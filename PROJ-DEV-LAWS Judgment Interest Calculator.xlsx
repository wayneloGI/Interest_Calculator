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lanation" sheetId="1" r:id="rId5"/>
    <sheet state="visible" name="Input" sheetId="2" r:id="rId6"/>
    <sheet state="visible" name="Visualisation" sheetId="3" r:id="rId7"/>
    <sheet state="visible" name="Calculation" sheetId="4" r:id="rId8"/>
    <sheet state="visible" name="Chart" sheetId="5" r:id="rId9"/>
    <sheet state="visible" name="Examples"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2">
      <text>
        <t xml:space="preserve">(updates automatically when Input changes)</t>
      </text>
    </comment>
    <comment authorId="0" ref="A25">
      <text>
        <t xml:space="preserve">(updates automatically when Input changes)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Enter the principal amount on which interest is calculated (before any interest or payments).</t>
      </text>
    </comment>
    <comment authorId="0" ref="B3">
      <text>
        <t xml:space="preserve"> Enter the first date from which interest may begin to run. </t>
      </text>
    </comment>
    <comment authorId="0" ref="B4">
      <text>
        <t xml:space="preserve">Choose “per annum” is interpreted:
Actual/365 Fixed: 
actual days between the dates ÷ 365;
Anniversary/365:
whole calendar years as integers, with only leftover days ÷ 365;
Actual/Actual: 
actual days, with each day weighted by whether it falls in a leap year.</t>
      </text>
    </comment>
    <comment authorId="0" ref="A5">
      <text>
        <t xml:space="preserve">For each period where the rate or conditions change:</t>
      </text>
    </comment>
    <comment authorId="0" ref="A6">
      <text>
        <t xml:space="preserve">A simple label for each period (1, 2, 3…). Used to keep periods in order and for reference.</t>
      </text>
    </comment>
    <comment authorId="0" ref="B6">
      <text>
        <t xml:space="preserve">The start date for the period. (auto-filled: Period 1 = global Start Date, later periods = previous End Date.)</t>
      </text>
    </comment>
    <comment authorId="0" ref="C6">
      <text>
        <t xml:space="preserve">The last date covered by this period. The next period typically starts from this date (or the following day depending on your inclusivity settings).</t>
      </text>
    </comment>
    <comment authorId="0" ref="D6">
      <text>
        <t xml:space="preserve">Whether this period uses Simple interest (linear accrual) or Compound interest (interest-on-interest based on compounding frequency).</t>
      </text>
    </comment>
    <comment authorId="0" ref="E6">
      <text>
        <t xml:space="preserve">What amount interest is calculated on for this period:
Running sum: 
interest is calculated on the current accumulated amount at the start of the period.
Initial principal: 
interest is calculated on the original initial principal.</t>
      </text>
    </comment>
    <comment authorId="0" ref="F6">
      <text>
        <t xml:space="preserve">The stated interest rate for this period (e.g. 5%); interpreted according to Rate Basis.</t>
      </text>
    </comment>
    <comment authorId="0" ref="G6">
      <text>
        <t xml:space="preserve">The time basis for the nominal rate (e.g. “Per annum”, “Per month”). </t>
      </text>
    </comment>
    <comment authorId="0" ref="H6">
      <text>
        <t xml:space="preserve">For Compound interest only, how often interest is compounded within a year (Annual / Semi-annual / Quarterly / Monthly).</t>
      </text>
    </comment>
    <comment authorId="0" ref="I6">
      <text>
        <t xml:space="preserve">Amount added (positive) or reduced (negative) at the start of this period, before interest is applied for the period.</t>
      </text>
    </comment>
    <comment authorId="0" ref="J6">
      <text>
        <t xml:space="preserve">Amount added (positive) or reduced (negative) at the end of this period, after interest for the period is applied.</t>
      </text>
    </comment>
    <comment authorId="0" ref="K6">
      <text>
        <t xml:space="preserve">If checked, the start date counts as a day that accrues interest in the period day-count.</t>
      </text>
    </comment>
    <comment authorId="0" ref="L6">
      <text>
        <t xml:space="preserve">If checked, the end date counts as a day that accrues interest in the period day-count.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Used to order and reference periods; each row represents one period’s interest calculation.</t>
      </text>
    </comment>
    <comment authorId="0" ref="B1">
      <text>
        <t xml:space="preserve">The period’s start date as shown (raw date from the Input sheet). Effective interest start is further controlled by the Include Start Day flag on the Input sheet.</t>
      </text>
    </comment>
    <comment authorId="0" ref="C1">
      <text>
        <t xml:space="preserve">The period’s end date as shown (raw date from the Input sheet). Effective interest end is further controlled by the Include End Day flag on the Input sheet.</t>
      </text>
    </comment>
    <comment authorId="0" ref="D1">
      <text>
        <t xml:space="preserve">The number of interest days in the period, after applying the Include Start Day and Include End Day flags. The actual day count used as the basis for the year‑fraction calculation.
Days = (End − Start) + (IncludeStart?1:0) + (IncludeEnd?1:0) − 1</t>
      </text>
    </comment>
    <comment authorId="0" ref="E1">
      <text>
        <t xml:space="preserve">The interest type for the period:
Simple: Interest is proportional to the year fraction (no interest‑on‑interest within the period).
Compound: Interest is compounded within the period according to the compounding frequency.</t>
      </text>
    </comment>
    <comment authorId="0" ref="F1">
      <text>
        <t xml:space="preserve">How the nominal rate is expressed in time units (e.g. Per annum, Per month). This is used to convert the nominal rate into an effective annual rate.</t>
      </text>
    </comment>
    <comment authorId="0" ref="G1">
      <text>
        <t xml:space="preserve">The stated percentage rate for the period (e.g. x%). Combined with Basis to compute the effective annual rate.</t>
      </text>
    </comment>
    <comment authorId="0" ref="H1">
      <text>
        <t xml:space="preserve">The compounding frequency for compound interest periods (e.g. Annual, Semi‑annual, Quarterly, Monthly). Determines how many times per year interest is compounded when Type = Compound.</t>
      </text>
    </comment>
    <comment authorId="0" ref="I1">
      <text>
        <t xml:space="preserve">The amount added to (or deduced from) the running sum at the start of the period. This is applied before interest is calculated for the period.</t>
      </text>
    </comment>
    <comment authorId="0" ref="J1">
      <text>
        <t xml:space="preserve">The amount added to (or deduced from) the running sum at the end of the period. This is applied after interest is calculated for the period.</t>
      </text>
    </comment>
    <comment authorId="0" ref="K1">
      <text>
        <t xml:space="preserve">The principal base on which interest for the period is calculated:
Initial Principal: Interest is calculated on the original starting principal, regardless of later interest or contributions.
Running Sum: Interest is calculated on the accumulated principal at the start of the period (including prior interest and contributions).</t>
      </text>
    </comment>
    <comment authorId="0" ref="L1">
      <text>
        <t xml:space="preserve">The annualised rate actually used in calculations after adjusting the Nominal Rate for its Basis. This is the input r for both simple and compound interest formulas.
AnnualisedNominalRate = NominalRate × k
where k = 1 (Per annum), 12 (Per month), 4 (Per quarter), 365 (Per day).</t>
      </text>
    </comment>
    <comment authorId="0" ref="M1">
      <text>
        <t xml:space="preserve">The total rate applied over this specific period (row), after combining the Annualised Nominal Rate with the Year Fraction implied by day count convention. 
Simple interest:
EffectivePeriodRate = AnnualisedNominalRate × YearFraction
Compound interest:
EffectivePeriodRate = (1 + AnnualisedNominalRate / m)^(m × YearFraction) − 1
where m = 1 (Annual), 2 (Semi‑annual), 4 (Quarterly), 12 (Monthly).</t>
      </text>
    </comment>
    <comment authorId="0" ref="N1">
      <text>
        <t xml:space="preserve">The principal amount at the start of the period on which interest will be based, after applying any Start Contrib and respecting the chosen Interest Basis. It forms the capital base for this period’s interest.
PrincipalStart(period 1) = InitialPrincipal + StartContrib₁
PrincipalStart(period i&gt;1) = PrincipalEndᵢ₋₁ + StartContribᵢ</t>
      </text>
    </comment>
    <comment authorId="0" ref="O1">
      <text>
        <t xml:space="preserve">The interest amount during this period, based on Interest Basis type.
Initial Principal:
Interest = InitialPrincipal × EffectivePeriodRate
Running Sum:
Interest = PrincipalStart × EffectivePeriodRate</t>
      </text>
    </comment>
    <comment authorId="0" ref="P1">
      <text>
        <t xml:space="preserve">The principal at the end of the period, equal to Principal Start + Interest + End Contrib. This is the starting point (before any adjustments) for the next period.
PrincipalEnd = PrincipalStart + Interest + EndContrib</t>
      </text>
    </comment>
    <comment authorId="0" ref="Q1">
      <text>
        <t xml:space="preserve">The total interest accumulated from the very beginning up to the end of this period (the running sum of the Interest column across all periods). Used to separate capital and interest in charts and summaries.
CumulativeInterest(period 1) = Interest₁
CumulativeInterest(period i&gt;1) = CumulativeInterestᵢ₋₁ + Interestᵢ</t>
      </text>
    </comment>
    <comment authorId="0" ref="R1">
      <text>
        <t xml:space="preserve">Number of years of the period, based on Day Count Convention: 
Actual/365 Fixed: 
YearFraction = ActualInterestDays / 365
Anniversary/365: 
YearFraction = FullCalendarYears + RemainingDays / 365
Actual/Actual: 
YearFraction = Σ(InterestDaysInYear / YearLengthOfThatYear)</t>
      </text>
    </comment>
    <comment authorId="0" ref="S1">
      <text>
        <t xml:space="preserve">Per‑annum rate implied by nominal + compounding frequency</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How to interpret for spreadsheet input
Initial Principal: 33,511,220.32
Interest Type: Simple
Interest Basis: Initial Principal
Nominal Rate:
Pre‑judgment period: 2.5%
Post‑judgment period: 8%
Rate Basis: Per annum
Day Count Convention: Actual/365 Fixed
Periods:
Period 1 (pre‑judgment)
Start Date: 28 Sep 2000
End Date: 18 Dec 2013
Include Start Day: TRUE
Include End Day: TRUE
Period 2 (post‑judgment to payment into court)
Start Date: 18 Dec 2013
End Date: 21 Mar 2014
Include Start Day: FALSE (boundary date “belongs” to Period 1)
Include End Day: TRUE
Adjustments to Start/End Sum: 0 (no contributions)</t>
      </text>
    </comment>
    <comment authorId="0" ref="B3">
      <text>
        <t xml:space="preserve">How to interpret for spreadsheet input
Initial Principal: 10,765,000.00
Interest Type: Simple
Interest Basis: Initial Principal
Nominal Rate: 24%
Rate Basis: Per annum
Day Count Convention: Anniversary/365
(full calendar years as integers + day‑stubs/365, matching “6 years” and “133/365 + 3 years + 265/365”)
Periods (following the judgment’s breakdown):
Period 1
Start Date: 21 Aug 2015
End Date: 20 Aug 2021
Include Start Day: TRUE
Include End Day: TRUE
Period 2
Start Date: 21 Aug 2021
End Date: [22 Sep 2025
Include Start Day: FALSE (boundary date “belongs” to Period 1)
Include End Day: TRUE
Adjustments to Start/End Sum: 0 (no contributions)</t>
      </text>
    </comment>
    <comment authorId="0" ref="A5">
      <text>
        <t xml:space="preserve">Patently wrong
</t>
      </text>
    </comment>
  </commentList>
</comments>
</file>

<file path=xl/sharedStrings.xml><?xml version="1.0" encoding="utf-8"?>
<sst xmlns="http://schemas.openxmlformats.org/spreadsheetml/2006/main" count="89" uniqueCount="77">
  <si>
    <t>Dispute lawyers: This is interesting (pun-intended)</t>
  </si>
  <si>
    <r>
      <rPr>
        <rFont val="Arial"/>
        <color theme="1"/>
      </rPr>
      <t xml:space="preserve">Judicial interest paragraphs often look simple (“2.5% per annum from [date] until [date]”), but </t>
    </r>
    <r>
      <rPr>
        <rFont val="Arial"/>
        <b/>
        <i/>
        <color theme="1"/>
      </rPr>
      <t>courts quietly make different assumptions about how to turn dates into “years”</t>
    </r>
    <r>
      <rPr>
        <rFont val="Arial"/>
        <color theme="1"/>
      </rPr>
      <t xml:space="preserve"> in calculating interest. </t>
    </r>
  </si>
  <si>
    <r>
      <rPr>
        <rFont val="Arial"/>
        <color theme="1"/>
      </rPr>
      <t xml:space="preserve">In some cases, the calculation uses a type of </t>
    </r>
    <r>
      <rPr>
        <rFont val="Arial"/>
        <b/>
        <color theme="1"/>
      </rPr>
      <t>Day Count Convention</t>
    </r>
    <r>
      <rPr>
        <rFont val="Arial"/>
        <color theme="1"/>
      </rPr>
      <t xml:space="preserve"> known as “</t>
    </r>
    <r>
      <rPr>
        <rFont val="Arial"/>
        <b/>
        <color theme="1"/>
      </rPr>
      <t>Actual/365 Fixed</t>
    </r>
    <r>
      <rPr>
        <rFont val="Arial"/>
        <color theme="1"/>
      </rPr>
      <t xml:space="preserve">” </t>
    </r>
    <r>
      <rPr>
        <rFont val="Arial"/>
        <color theme="1"/>
        <u/>
      </rPr>
      <t>(actual number of days ÷ 365)</t>
    </r>
    <r>
      <rPr>
        <rFont val="Arial"/>
        <color theme="1"/>
      </rPr>
      <t>; in others, it uses an “</t>
    </r>
    <r>
      <rPr>
        <rFont val="Arial"/>
        <b/>
        <color theme="1"/>
      </rPr>
      <t>Anniversary/365</t>
    </r>
    <r>
      <rPr>
        <rFont val="Arial"/>
        <color theme="1"/>
      </rPr>
      <t xml:space="preserve">” style </t>
    </r>
    <r>
      <rPr>
        <rFont val="Arial"/>
        <color theme="1"/>
        <u/>
      </rPr>
      <t>(whole calendar years counted as integers, with only leftover days ÷ 365)</t>
    </r>
    <r>
      <rPr>
        <rFont val="Arial"/>
        <color theme="1"/>
      </rPr>
      <t xml:space="preserve">. A third approach, </t>
    </r>
    <r>
      <rPr>
        <rFont val="Arial"/>
        <b/>
        <color theme="1"/>
      </rPr>
      <t>Actual/Actual</t>
    </r>
    <r>
      <rPr>
        <rFont val="Arial"/>
        <color theme="1"/>
      </rPr>
      <t xml:space="preserve">, weights each day by whether it falls in a leap year. </t>
    </r>
    <r>
      <rPr>
        <rFont val="Arial"/>
        <b/>
        <i/>
        <color theme="1"/>
      </rPr>
      <t>These choices affect leap years, stub periods, and</t>
    </r>
    <r>
      <rPr>
        <rFont val="Arial"/>
        <color theme="1"/>
      </rPr>
      <t xml:space="preserve"> </t>
    </r>
    <r>
      <rPr>
        <rFont val="Arial"/>
        <b/>
        <i/>
        <color theme="1"/>
      </rPr>
      <t>ultimately the total interest</t>
    </r>
    <r>
      <rPr>
        <rFont val="Arial"/>
        <color theme="1"/>
      </rPr>
      <t xml:space="preserve">. </t>
    </r>
  </si>
  <si>
    <t>Example A – Waddington Ltd v Chan Chun Hoo Thomas (HCA 3291/2003)</t>
  </si>
  <si>
    <t>The court stated that the 1st Defendant must pay “simple interest at 2.5% per annum on the judgment sum of HK$33,511,220.32 from 28 September 2000 until the date of judgment”, and later noted that the 1st Defendant paid “the sum of HK$44,597,466.49 (comprising the Judgment Sum and pre‑judgment interest thereon at 2.5% per annum) into court”. The interest component is HK$44,597,466.49 − HK$33,511,220.32 = HK$11,086,246.17.</t>
  </si>
  <si>
    <r>
      <rPr>
        <rFont val="Arial"/>
        <color theme="1"/>
      </rPr>
      <t>In this tool, that figure is reproduced by assuming that every calendar day between the start and end dates that we choose to “include” contributes 1/365 of a year (</t>
    </r>
    <r>
      <rPr>
        <rFont val="Arial"/>
        <b/>
        <color theme="1"/>
      </rPr>
      <t>Actual/365 Fixed</t>
    </r>
    <r>
      <rPr>
        <rFont val="Arial"/>
        <color theme="1"/>
      </rPr>
      <t>). The period from 28 September 2000 to 18 December 2013 contains 4,830 interest days, derived as:
13 years × 365 + 3 leap‑year days (2004, 2008, 2012) + 2 (Sep) + 31 (Oct) + 30 (Nov) + 18 (Dec) + 1 (included start day bearing interest) = 4,830 days.
The pre‑judgment interest then follows directly from the formula:
HK$33,511,220.32 × 2.5% ÷ 365 × 4,830.00 = HK$11,086,246.17, matching the judgment.</t>
    </r>
  </si>
  <si>
    <t>Example B – Easy Policy Finance Ltd v 陳海濱 (HCA 1256/2021, [2025] HKCFI 4295)</t>
  </si>
  <si>
    <t>The court set out the interest as follows:
• “Interest from 21 August 2015 to 20 August 2021 at 24% p.a.: HK$10,765,000 × 24% × 6 years = HK$15,501,600.00.”
• “Interest from 21 August 2021 to the date of this judgment (22 September 2025) at 24% p.a.: HK$10,765,000 × 24% × (133/365 days + 3 years + 265/365 days) = HK$10,567,985.75.”</t>
  </si>
  <si>
    <r>
      <rPr>
        <rFont val="Arial"/>
        <color theme="1"/>
      </rPr>
      <t>These expressions show that the court is effectively using an “</t>
    </r>
    <r>
      <rPr>
        <rFont val="Arial"/>
        <b/>
        <color theme="1"/>
      </rPr>
      <t>Anniversary/365</t>
    </r>
    <r>
      <rPr>
        <rFont val="Arial"/>
        <color theme="1"/>
      </rPr>
      <t>” convention:
– Full calendar years are counted as whole numbers (6 years; then 3 years), and
– Only the “stub” periods at the start and end are converted to days ÷ 365 (133/365 and 265/365).
In this tool, that behaviour is captured by setting Day Count Convention = Anniversary/365 and choosing inclusive start/end flags so that the total year fraction equals 6 for the first period and 133/365 + 3 + 265/365 for the second.</t>
    </r>
  </si>
  <si>
    <r>
      <rPr>
        <rFont val="Arial"/>
        <color theme="1"/>
      </rPr>
      <t xml:space="preserve">The judgment also refers to a “daily interest of HK$7,078.36” in the first period. That daily amount equals HK$10,765,000 × 24% ÷ 365, which assumes every year has 365 days. </t>
    </r>
    <r>
      <rPr>
        <rFont val="Arial"/>
        <i/>
        <color theme="1"/>
      </rPr>
      <t>However</t>
    </r>
    <r>
      <rPr>
        <rFont val="Arial"/>
        <color theme="1"/>
      </rPr>
      <t>, if we multiplied that daily interest by the actual number of days between 21 August 2015 and 20 August 2021 (including leap days, using “</t>
    </r>
    <r>
      <rPr>
        <rFont val="Arial"/>
        <b/>
        <color theme="1"/>
      </rPr>
      <t>Actual/365 Fixed</t>
    </r>
    <r>
      <rPr>
        <rFont val="Arial"/>
        <color theme="1"/>
      </rPr>
      <t xml:space="preserve">”), we would use 2,192 interest days, derived as: 
6 × 365 days + 2 leap‑year days - 1 day (from 21 Aug to 20 Aug) + 1 (included start day bearing interest) = 2,192 days 
HK$7,078.36 × 2,192 ≈ HK$15,515,756.71 does not match the court’s HK$15,501,600.00 figure. The court’s number is only recovered if we treat the period as exactly 6 years of 365 days (ignoring leap days):
HK$7,078.36 × 365 × 6 ≈ HK$15,501,600.00.
This is precisely what the </t>
    </r>
    <r>
      <rPr>
        <rFont val="Arial"/>
        <b/>
        <color theme="1"/>
      </rPr>
      <t>Anniversary/365</t>
    </r>
    <r>
      <rPr>
        <rFont val="Arial"/>
        <color theme="1"/>
      </rPr>
      <t xml:space="preserve"> option in the Day Count Convention setting is intended to reflect.</t>
    </r>
  </si>
  <si>
    <t>Let's give it a go!</t>
  </si>
  <si>
    <r>
      <rPr>
        <rFont val="Arial"/>
        <color theme="1"/>
      </rPr>
      <t xml:space="preserve">This tool makes those hidden assumptions </t>
    </r>
    <r>
      <rPr>
        <rFont val="Arial"/>
        <b/>
        <color theme="1"/>
      </rPr>
      <t>explicit</t>
    </r>
    <r>
      <rPr>
        <rFont val="Arial"/>
        <color theme="1"/>
      </rPr>
      <t xml:space="preserve">. You choose a </t>
    </r>
    <r>
      <rPr>
        <rFont val="Arial"/>
        <b/>
        <color theme="1"/>
      </rPr>
      <t xml:space="preserve">Day Count Convention </t>
    </r>
    <r>
      <rPr>
        <rFont val="Arial"/>
        <color theme="1"/>
      </rPr>
      <t>(</t>
    </r>
    <r>
      <rPr>
        <rFont val="Arial"/>
        <b/>
        <color theme="1"/>
      </rPr>
      <t>Actual/365 Fixed</t>
    </r>
    <r>
      <rPr>
        <rFont val="Arial"/>
        <color theme="1"/>
      </rPr>
      <t xml:space="preserve">, </t>
    </r>
    <r>
      <rPr>
        <rFont val="Arial"/>
        <b/>
        <color theme="1"/>
      </rPr>
      <t>Anniversary/365</t>
    </r>
    <r>
      <rPr>
        <rFont val="Arial"/>
        <color theme="1"/>
      </rPr>
      <t xml:space="preserve">, </t>
    </r>
    <r>
      <rPr>
        <rFont val="Arial"/>
        <b/>
        <color theme="1"/>
      </rPr>
      <t>Actual/Actual</t>
    </r>
    <r>
      <rPr>
        <rFont val="Arial"/>
        <color theme="1"/>
      </rPr>
      <t>) and set, for each period, whether the start and end days are included. The spreadsheet then computes a year fraction consistent with those choices and shows you, step‑by‑step, how the interest follows from the judgment’s wording.</t>
    </r>
  </si>
  <si>
    <t>How the sheets fit together</t>
  </si>
  <si>
    <r>
      <rPr>
        <rFont val="Arial"/>
        <color theme="1"/>
      </rPr>
      <t xml:space="preserve">- The </t>
    </r>
    <r>
      <rPr>
        <rFont val="Arial"/>
        <b/>
        <color theme="1"/>
      </rPr>
      <t xml:space="preserve">Input </t>
    </r>
    <r>
      <rPr>
        <rFont val="Arial"/>
        <color theme="1"/>
      </rPr>
      <t>sheet is where you work: set the initial principal, global start date, day‑count convention, and list each interest period with its dates, rates, and flags.</t>
    </r>
  </si>
  <si>
    <r>
      <rPr>
        <rFont val="Arial"/>
        <color theme="1"/>
      </rPr>
      <t xml:space="preserve">- The </t>
    </r>
    <r>
      <rPr>
        <rFont val="Arial"/>
        <b/>
        <color theme="1"/>
      </rPr>
      <t xml:space="preserve">Calculation </t>
    </r>
    <r>
      <rPr>
        <rFont val="Arial"/>
        <color theme="1"/>
      </rPr>
      <t>sheet turns those settings into year fractions, period rates, and per‑period interest on either the initial principal or the running sum.</t>
    </r>
  </si>
  <si>
    <r>
      <rPr>
        <rFont val="Arial"/>
        <color theme="1"/>
      </rPr>
      <t xml:space="preserve">The </t>
    </r>
    <r>
      <rPr>
        <rFont val="Arial"/>
        <b/>
        <color theme="1"/>
      </rPr>
      <t xml:space="preserve">Visualisation </t>
    </r>
    <r>
      <rPr>
        <rFont val="Arial"/>
        <color theme="1"/>
      </rPr>
      <t>sheet turns the numbers into daily curves and stacked charts, separating principal and interest so you can see how the total grows over time.</t>
    </r>
  </si>
  <si>
    <r>
      <rPr>
        <rFont val="Arial"/>
        <color theme="1"/>
      </rPr>
      <t xml:space="preserve">The </t>
    </r>
    <r>
      <rPr>
        <rFont val="Arial"/>
        <b/>
        <color theme="1"/>
      </rPr>
      <t xml:space="preserve">Explanation </t>
    </r>
    <r>
      <rPr>
        <rFont val="Arial"/>
        <color theme="1"/>
      </rPr>
      <t>sheet (this page) converts the calculations into plain‑language statements for a clear understanding of the calculations.</t>
    </r>
  </si>
  <si>
    <t>Short summary:</t>
  </si>
  <si>
    <t xml:space="preserve">Key settings summary (interpretation choices) : </t>
  </si>
  <si>
    <t>Interest breakdown:</t>
  </si>
  <si>
    <t>Period 2 – Include Start: No, Include End: Yes</t>
  </si>
  <si>
    <t>Period 2: interest from 20 Aug 2021 to 22 Sep 2025 at 24.00% per annum on the initial principal: HK$10,765,000.00 × 24.00% × 4.0932 years = HK$10,575,064.11. This period has 1494 interest days (including the end day and excluding the start day), which is 4.0932 year(s), derived as: 4.0932 year(s) = 1494 interest days ÷ 365.</t>
  </si>
  <si>
    <t>Initial information</t>
  </si>
  <si>
    <t>Initial Principal</t>
  </si>
  <si>
    <t>Start Date</t>
  </si>
  <si>
    <t>Day Count Convention</t>
  </si>
  <si>
    <t>Actual/365 Fixed</t>
  </si>
  <si>
    <t>Period table</t>
  </si>
  <si>
    <t>Period ID</t>
  </si>
  <si>
    <t>End Date</t>
  </si>
  <si>
    <t>Interest Type</t>
  </si>
  <si>
    <t>Interest Basis</t>
  </si>
  <si>
    <t>Nominal Rate</t>
  </si>
  <si>
    <t>Rate Basis</t>
  </si>
  <si>
    <t>Compounding Freq.</t>
  </si>
  <si>
    <t>Adjust. to Start Sum</t>
  </si>
  <si>
    <t>Adjust. to End Sum</t>
  </si>
  <si>
    <t>Include Start Day</t>
  </si>
  <si>
    <t>Include End Day</t>
  </si>
  <si>
    <t>Simple</t>
  </si>
  <si>
    <t>Per annum</t>
  </si>
  <si>
    <t>Annual</t>
  </si>
  <si>
    <t xml:space="preserve">Period ID </t>
  </si>
  <si>
    <t xml:space="preserve">Start </t>
  </si>
  <si>
    <t xml:space="preserve">End </t>
  </si>
  <si>
    <t xml:space="preserve">Days </t>
  </si>
  <si>
    <t xml:space="preserve">Type </t>
  </si>
  <si>
    <t xml:space="preserve">Basis </t>
  </si>
  <si>
    <t xml:space="preserve">Nominal Rate </t>
  </si>
  <si>
    <t>Comp Freq</t>
  </si>
  <si>
    <t xml:space="preserve">Start Contrib </t>
  </si>
  <si>
    <t xml:space="preserve">End Contrib </t>
  </si>
  <si>
    <t>Annualised Nominal Rate</t>
  </si>
  <si>
    <t>Effective Period Rate</t>
  </si>
  <si>
    <t xml:space="preserve">Principal Start </t>
  </si>
  <si>
    <t>Interest</t>
  </si>
  <si>
    <t xml:space="preserve">Principal End </t>
  </si>
  <si>
    <t>Cumulative Interest</t>
  </si>
  <si>
    <t>Year Fraction</t>
  </si>
  <si>
    <t>Effective Annual Rate</t>
  </si>
  <si>
    <t>Whole Years (Anniv)</t>
  </si>
  <si>
    <t>Stub Days (Anniv)</t>
  </si>
  <si>
    <t>Date</t>
  </si>
  <si>
    <t>Principal</t>
  </si>
  <si>
    <t xml:space="preserve">PeriodRow </t>
  </si>
  <si>
    <t xml:space="preserve">PrevCumInterest </t>
  </si>
  <si>
    <t xml:space="preserve">AccruedInPeriod </t>
  </si>
  <si>
    <t xml:space="preserve">Case </t>
  </si>
  <si>
    <t>Relevant Paragraphs</t>
  </si>
  <si>
    <t>Waddington Ltd v. Chan Chun Hoo Thomas and Others (06/12/2016, HCA3291/2003)</t>
  </si>
  <si>
    <t>3. On 18 December 2013 [(date of judgment)], [...] “1. the 1st Defendant do pay to the 5th Defendant simple interest at 2.5% per annum on the judgment sum of $33,511,220.32 from 28th September 2000 until the date of judgment; [...]" 
6. On 21 March 2014, [the 1st Defendant] paid the sum of HK$44,597,466.49 (comprising the Judgment Sum and pre-judgment interest thereon at 2.5% per annum) into court.  That was 93 days after the date of the Judgment.
9 [...] (3) the sum of HK$683,078.03, being post-judgment interest on the Judgment Sum at judgment rate from 18 December 2013 to 21 March 2014. 
21. [...] (2) post-judgment interest [...] at the rate of 8% per annum [...]</t>
  </si>
  <si>
    <t>Easy Policy Finance Ltd v. 陈海滨 (22/09/2025, HCA1256/2021) [2025] HKCFI 4295</t>
  </si>
  <si>
    <t>113.  [The Plaintiff] is entitled to claim interest on the outstanding principal of $10,765,000.00 at the rate of 24% per annum (ie daily interest of $7,078.36) from 21 August 2015 until full repayment. This comprises the following:
(3)  Interest from 21 August 2015 to 20 August 2021 at 24% p.a.: $10,765,000 × 24% × 6 years = $15,501,600.00
(4)  Interest from 21 August 2021 to the date of this judgment ([22 September 2025]) at 24% p.a.: $10,765,000 × 24% × (133/365 days + 3 years + 265/365 days) = $10,567,985.75</t>
  </si>
  <si>
    <t xml:space="preserve">Securities and Futures Commission v. Cheong Kai Tjieh Augustine and Another (22/02/2018, HCA2269/2012) [2018] HKCFI 437 </t>
  </si>
  <si>
    <t>C O R R I G E N D U M (2) 
(a) the sum of HK$2,321,816.86, together with interest in the sum of HK$176,585.30 calculated at 8% per annum accrued from 13 March 2017 up to and including 22 February 2018, totaling HK$2,498,402.16 (plus further interest at the rate of 8% per annum (i.e. a daily rate of HK$508.89) accruing from 23 February 2018 up to the date of payment out) [...]
(b)  the sum of HK$103,357.19, together with interest in the sum of HK$7,860.81 calculated at 8% per annum accrued from 13 March 2017 up to and    including 22 February 2018, totaling HK$111,218 (plus further interest at the rate of 8% per annum (i.e. a daily rate of HK$22.65) accruing from 23 February 2018 up to the date of payment out) [...]
(c) the sum of HK$669,600, together with interest in the sum of HK$50,926.29 calculated at 8% per annum accrued from 13 March 2017 up to and including 22 February 2018, totaling HK$720,526.29 (plus further interest at the rate of 8% per annum (i.e. a daily rate of HK$146.76) [...]
(d) the sum of HK$392,307, together with interest in the sum of HK$29,836.83 calculated at 8% per annum accrued from 13 March 2017 up to and including 22 February 2018, totaling HK$422,143.83 (plus further interest at the rate of 8% per annum (i.e. a daily rate of HK$85.99) [...]
(e)  the sum of HK$165,532.04, together with interest in the sum of HK$12,589.51 calculated at 8% per annum accrued from 13 March 2017 up to and including 22 February 2018, totaling HK$178,121.55 (plus further interest at the rate of 8% per annum (i.e. a daily rate of HK$36.28) accruing from 23 February 2018 up to the date of payment out) [...]</t>
  </si>
  <si>
    <t>Full Ying Holdings Ltd v. Active Access Holdings Ltd and Others (17/03/2025, HCA2122/2020) [2025] HKCFI 1018</t>
  </si>
  <si>
    <t>59. [...] (ii) 6% interest per annum shall be applied to the relevant principal [...]
71. [...] a.  The 3rd and 4th defendants are liable to and do pay the plaintiff damages in the amount of HK$10,432,085.28;
b.  The 3rd and 4th defendants are liable to and do pay the plaintiff pre-judgment interest up to 17 March 2025, in the sum of HK$2,704,147.38;
(Table 3: Interest FROM: 20/11/2020)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</si>
</sst>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0)"/>
    <numFmt numFmtId="165" formatCode="d mmmm yyyy"/>
    <numFmt numFmtId="166" formatCode="dd/MM/yyyy"/>
  </numFmts>
  <fonts count="7">
    <font>
      <sz val="10.0"/>
      <color rgb="FF000000"/>
      <name val="Arial"/>
      <scheme val="minor"/>
    </font>
    <font>
      <b/>
      <color theme="1"/>
      <name val="Arial"/>
      <scheme val="minor"/>
    </font>
    <font>
      <color theme="1"/>
      <name val="Arial"/>
      <scheme val="minor"/>
    </font>
    <font>
      <b/>
      <color theme="1"/>
      <name val="Consolas"/>
    </font>
    <font>
      <color theme="1"/>
      <name val="Consolas"/>
    </font>
    <font>
      <b/>
      <sz val="10.0"/>
      <color theme="1"/>
      <name val="Consolas"/>
    </font>
    <font>
      <b/>
      <sz val="10.0"/>
      <color theme="1"/>
      <name val="Arial"/>
      <scheme val="minor"/>
    </font>
  </fonts>
  <fills count="4">
    <fill>
      <patternFill patternType="none"/>
    </fill>
    <fill>
      <patternFill patternType="lightGray"/>
    </fill>
    <fill>
      <patternFill patternType="solid">
        <fgColor rgb="FFA4C2F4"/>
        <bgColor rgb="FFA4C2F4"/>
      </patternFill>
    </fill>
    <fill>
      <patternFill patternType="solid">
        <fgColor rgb="FFF3F3F3"/>
        <bgColor rgb="FFF3F3F3"/>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xf>
    <xf borderId="0" fillId="0" fontId="2" numFmtId="0" xfId="0" applyFont="1"/>
    <xf borderId="0" fillId="2" fontId="3" numFmtId="0" xfId="0" applyAlignment="1" applyFill="1" applyFont="1">
      <alignment readingOrder="0"/>
    </xf>
    <xf borderId="0" fillId="2" fontId="2" numFmtId="164" xfId="0" applyAlignment="1" applyFont="1" applyNumberFormat="1">
      <alignment readingOrder="0"/>
    </xf>
    <xf borderId="0" fillId="2" fontId="2" numFmtId="0" xfId="0" applyFont="1"/>
    <xf borderId="0" fillId="0" fontId="2" numFmtId="164" xfId="0" applyAlignment="1" applyFont="1" applyNumberFormat="1">
      <alignment readingOrder="0"/>
    </xf>
    <xf borderId="0" fillId="0" fontId="2" numFmtId="165" xfId="0" applyAlignment="1" applyFont="1" applyNumberFormat="1">
      <alignment readingOrder="0"/>
    </xf>
    <xf borderId="0" fillId="2" fontId="3" numFmtId="0" xfId="0" applyAlignment="1" applyFont="1">
      <alignment readingOrder="0"/>
    </xf>
    <xf borderId="0" fillId="2" fontId="1" numFmtId="0" xfId="0" applyFont="1"/>
    <xf borderId="0" fillId="3" fontId="4" numFmtId="0" xfId="0" applyAlignment="1" applyFill="1" applyFont="1">
      <alignment readingOrder="0"/>
    </xf>
    <xf borderId="0" fillId="3" fontId="4" numFmtId="165" xfId="0" applyAlignment="1" applyFont="1" applyNumberFormat="1">
      <alignment readingOrder="0"/>
    </xf>
    <xf borderId="0" fillId="0" fontId="2" numFmtId="10" xfId="0" applyAlignment="1" applyFont="1" applyNumberFormat="1">
      <alignment readingOrder="0"/>
    </xf>
    <xf borderId="0" fillId="2" fontId="3" numFmtId="0" xfId="0" applyFont="1"/>
    <xf borderId="0" fillId="0" fontId="4" numFmtId="0" xfId="0" applyFont="1"/>
    <xf borderId="0" fillId="0" fontId="4" numFmtId="166" xfId="0" applyFont="1" applyNumberFormat="1"/>
    <xf borderId="0" fillId="0" fontId="4" numFmtId="4" xfId="0" applyFont="1" applyNumberFormat="1"/>
    <xf borderId="0" fillId="0" fontId="4" numFmtId="10" xfId="0" applyAlignment="1" applyFont="1" applyNumberFormat="1">
      <alignment readingOrder="0"/>
    </xf>
    <xf borderId="0" fillId="0" fontId="4" numFmtId="10" xfId="0" applyFont="1" applyNumberFormat="1"/>
    <xf borderId="0" fillId="0" fontId="4" numFmtId="164" xfId="0" applyFont="1" applyNumberFormat="1"/>
    <xf borderId="0" fillId="0" fontId="2" numFmtId="4" xfId="0" applyFont="1" applyNumberFormat="1"/>
    <xf borderId="0" fillId="2" fontId="5" numFmtId="166" xfId="0" applyAlignment="1" applyFont="1" applyNumberFormat="1">
      <alignment readingOrder="0"/>
    </xf>
    <xf borderId="0" fillId="2" fontId="5" numFmtId="0" xfId="0" applyAlignment="1" applyFont="1">
      <alignment readingOrder="0"/>
    </xf>
    <xf borderId="0" fillId="2" fontId="6" numFmtId="0" xfId="0" applyFont="1"/>
    <xf borderId="0" fillId="0" fontId="2" numFmtId="166" xfId="0" applyFont="1" applyNumberFormat="1"/>
    <xf borderId="0" fillId="0" fontId="2"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grouping val="stacked"/>
        <c:ser>
          <c:idx val="0"/>
          <c:order val="0"/>
          <c:tx>
            <c:strRef>
              <c:f>Chart!$B$1</c:f>
            </c:strRef>
          </c:tx>
          <c:spPr>
            <a:solidFill>
              <a:srgbClr val="4285F4">
                <a:alpha val="30000"/>
              </a:srgbClr>
            </a:solidFill>
            <a:ln cmpd="sng">
              <a:solidFill>
                <a:srgbClr val="4285F4"/>
              </a:solidFill>
            </a:ln>
          </c:spPr>
          <c:cat>
            <c:strRef>
              <c:f>Chart!$A$2:$A$5424</c:f>
            </c:strRef>
          </c:cat>
          <c:val>
            <c:numRef>
              <c:f>Chart!$B$2:$B$5424</c:f>
              <c:numCache/>
            </c:numRef>
          </c:val>
        </c:ser>
        <c:ser>
          <c:idx val="1"/>
          <c:order val="1"/>
          <c:tx>
            <c:strRef>
              <c:f>Chart!$C$1</c:f>
            </c:strRef>
          </c:tx>
          <c:spPr>
            <a:solidFill>
              <a:srgbClr val="EA4335">
                <a:alpha val="30000"/>
              </a:srgbClr>
            </a:solidFill>
            <a:ln cmpd="sng">
              <a:solidFill>
                <a:srgbClr val="EA4335"/>
              </a:solidFill>
            </a:ln>
          </c:spPr>
          <c:cat>
            <c:strRef>
              <c:f>Chart!$A$2:$A$5424</c:f>
            </c:strRef>
          </c:cat>
          <c:val>
            <c:numRef>
              <c:f>Chart!$C$2:$C$5424</c:f>
              <c:numCache/>
            </c:numRef>
          </c:val>
        </c:ser>
        <c:axId val="1182886722"/>
        <c:axId val="2035600714"/>
      </c:areaChart>
      <c:catAx>
        <c:axId val="11828867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3600000"/>
          <a:lstStyle/>
          <a:p>
            <a:pPr lvl="0">
              <a:defRPr b="0">
                <a:solidFill>
                  <a:srgbClr val="000000"/>
                </a:solidFill>
                <a:latin typeface="+mn-lt"/>
              </a:defRPr>
            </a:pPr>
          </a:p>
        </c:txPr>
        <c:crossAx val="2035600714"/>
      </c:catAx>
      <c:valAx>
        <c:axId val="20356007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8288672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grouping val="stacked"/>
        <c:ser>
          <c:idx val="0"/>
          <c:order val="0"/>
          <c:tx>
            <c:strRef>
              <c:f>Chart!$B$1</c:f>
            </c:strRef>
          </c:tx>
          <c:spPr>
            <a:solidFill>
              <a:srgbClr val="4285F4">
                <a:alpha val="30000"/>
              </a:srgbClr>
            </a:solidFill>
            <a:ln cmpd="sng">
              <a:solidFill>
                <a:srgbClr val="4285F4"/>
              </a:solidFill>
            </a:ln>
          </c:spPr>
          <c:cat>
            <c:strRef>
              <c:f>Chart!$A$2:$A$5424</c:f>
            </c:strRef>
          </c:cat>
          <c:val>
            <c:numRef>
              <c:f>Chart!$B$2:$B$5424</c:f>
              <c:numCache/>
            </c:numRef>
          </c:val>
        </c:ser>
        <c:ser>
          <c:idx val="1"/>
          <c:order val="1"/>
          <c:tx>
            <c:strRef>
              <c:f>Chart!$E$1</c:f>
            </c:strRef>
          </c:tx>
          <c:spPr>
            <a:solidFill>
              <a:srgbClr val="EA4335">
                <a:alpha val="30000"/>
              </a:srgbClr>
            </a:solidFill>
            <a:ln cmpd="sng">
              <a:solidFill>
                <a:srgbClr val="EA4335"/>
              </a:solidFill>
            </a:ln>
          </c:spPr>
          <c:cat>
            <c:strRef>
              <c:f>Chart!$A$2:$A$5424</c:f>
            </c:strRef>
          </c:cat>
          <c:val>
            <c:numRef>
              <c:f>Chart!$E$2:$E$5424</c:f>
              <c:numCache/>
            </c:numRef>
          </c:val>
        </c:ser>
        <c:ser>
          <c:idx val="2"/>
          <c:order val="2"/>
          <c:tx>
            <c:strRef>
              <c:f>Chart!$F$1</c:f>
            </c:strRef>
          </c:tx>
          <c:spPr>
            <a:solidFill>
              <a:srgbClr val="FBBC04">
                <a:alpha val="30000"/>
              </a:srgbClr>
            </a:solidFill>
            <a:ln cmpd="sng">
              <a:solidFill>
                <a:srgbClr val="FBBC04"/>
              </a:solidFill>
            </a:ln>
          </c:spPr>
          <c:cat>
            <c:strRef>
              <c:f>Chart!$A$2:$A$5424</c:f>
            </c:strRef>
          </c:cat>
          <c:val>
            <c:numRef>
              <c:f>Chart!$F$2:$F$5424</c:f>
              <c:numCache/>
            </c:numRef>
          </c:val>
        </c:ser>
        <c:axId val="657087112"/>
        <c:axId val="459617619"/>
      </c:areaChart>
      <c:catAx>
        <c:axId val="6570871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3600000"/>
          <a:lstStyle/>
          <a:p>
            <a:pPr lvl="0">
              <a:defRPr b="0">
                <a:solidFill>
                  <a:srgbClr val="000000"/>
                </a:solidFill>
                <a:latin typeface="+mn-lt"/>
              </a:defRPr>
            </a:pPr>
          </a:p>
        </c:txPr>
        <c:crossAx val="459617619"/>
      </c:catAx>
      <c:valAx>
        <c:axId val="4596176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7087112"/>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2487275"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18</xdr:row>
      <xdr:rowOff>171450</xdr:rowOff>
    </xdr:from>
    <xdr:ext cx="12487275"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25"/>
    <col customWidth="1" min="2" max="2" width="38.38"/>
  </cols>
  <sheetData>
    <row r="1">
      <c r="A1" s="1" t="s">
        <v>0</v>
      </c>
      <c r="B1" s="2"/>
    </row>
    <row r="2">
      <c r="A2" s="3" t="s">
        <v>1</v>
      </c>
      <c r="B2" s="2"/>
    </row>
    <row r="3">
      <c r="A3" s="3" t="s">
        <v>2</v>
      </c>
      <c r="B3" s="2"/>
    </row>
    <row r="4">
      <c r="A4" s="1"/>
      <c r="B4" s="2"/>
    </row>
    <row r="5">
      <c r="A5" s="1" t="s">
        <v>3</v>
      </c>
      <c r="B5" s="2"/>
    </row>
    <row r="6">
      <c r="A6" s="3" t="s">
        <v>4</v>
      </c>
      <c r="B6" s="2"/>
    </row>
    <row r="7">
      <c r="A7" s="3" t="s">
        <v>5</v>
      </c>
      <c r="B7" s="2"/>
    </row>
    <row r="8">
      <c r="A8" s="1" t="s">
        <v>6</v>
      </c>
      <c r="B8" s="2"/>
    </row>
    <row r="9">
      <c r="A9" s="3" t="s">
        <v>7</v>
      </c>
      <c r="B9" s="2"/>
    </row>
    <row r="10">
      <c r="A10" s="3" t="s">
        <v>8</v>
      </c>
      <c r="B10" s="2"/>
    </row>
    <row r="11">
      <c r="A11" s="3" t="s">
        <v>9</v>
      </c>
      <c r="B11" s="2"/>
    </row>
    <row r="12">
      <c r="A12" s="3"/>
      <c r="B12" s="2"/>
    </row>
    <row r="13">
      <c r="A13" s="1" t="s">
        <v>10</v>
      </c>
      <c r="B13" s="2"/>
    </row>
    <row r="14">
      <c r="A14" s="3" t="s">
        <v>11</v>
      </c>
      <c r="B14" s="2"/>
    </row>
    <row r="15">
      <c r="A15" s="3"/>
      <c r="B15" s="2"/>
    </row>
    <row r="16">
      <c r="A16" s="1" t="s">
        <v>12</v>
      </c>
      <c r="B16" s="2"/>
    </row>
    <row r="17">
      <c r="A17" s="3" t="s">
        <v>13</v>
      </c>
      <c r="B17" s="2"/>
    </row>
    <row r="18">
      <c r="A18" s="3" t="s">
        <v>14</v>
      </c>
      <c r="B18" s="2"/>
    </row>
    <row r="19">
      <c r="A19" s="3" t="s">
        <v>15</v>
      </c>
      <c r="B19" s="2"/>
    </row>
    <row r="20">
      <c r="A20" s="3" t="s">
        <v>16</v>
      </c>
      <c r="B20" s="2"/>
    </row>
    <row r="21">
      <c r="A21" s="3"/>
      <c r="B21" s="2"/>
    </row>
    <row r="22">
      <c r="A22" s="2" t="s">
        <v>17</v>
      </c>
      <c r="B22" s="2" t="s">
        <v>18</v>
      </c>
    </row>
    <row r="23">
      <c r="A23" s="4"/>
      <c r="B23" s="5" t="str">
        <f>"Day Count Convention: " &amp; Input!C4</f>
        <v>Day Count Convention: Actual/365 Fixed</v>
      </c>
    </row>
    <row r="24">
      <c r="A24" s="4" t="str">
        <f>"Total interest from " 
 &amp; TEXT(MIN(Calculation!B2:B1025),"dd mmm yyyy") 
 &amp; " to " 
 &amp; TEXT(MAX(Calculation!C2:C1025),"dd mmm yyyy") 
 &amp; " is HK$" &amp; TEXT(SUM(Calculation!O2:O1025),"#,##0.00")
 &amp; ", giving a total amount of HK$" 
 &amp; TEXT(MAX(Calculation!P2:P1025),"#,##0.00") &amp; "."</f>
        <v>Total interest from 21 Aug 2015 to 22 Sep 2025 is HK$13,807,513.42, giving a total amount of HK$24,572,513.42.</v>
      </c>
      <c r="B24" s="6" t="str">
        <f t="array" ref="B24:B1525">IF(
    Calculation!A2:A1025="",
    ,
    "Period " &amp; Calculation!A2:A1025
    &amp; " – Include Start: "
    &amp; IF(
        INDEX(Input!$K$7:$K1025, Calculation!A2:A1025),
        "Yes",
        "No"
      )
    &amp; ", Include End: "
    &amp; IF(
        INDEX(Input!$L$7:$L1025, Calculation!A2:A1025),
        "Yes",
        "No"
      )
  )</f>
        <v>Period 1 – Include Start: Yes, Include End: Yes</v>
      </c>
    </row>
    <row r="25">
      <c r="A25" s="1" t="s">
        <v>19</v>
      </c>
      <c r="B25" s="6" t="s">
        <v>20</v>
      </c>
    </row>
    <row r="26">
      <c r="A26" s="4" t="str">
        <f t="array" ref="A26:A1527">IF(
    Calculation!A2:A1025="",
    ,
    "Period " &amp; Calculation!A2:A1025
    &amp; ": interest from "
    &amp; TEXT(Calculation!B2:B1025,"dd mmm yyyy")
    &amp; " to "
    &amp; TEXT(Calculation!C2:C1025,"dd mmm yyyy")
    &amp; " at "
    &amp; TEXT(Calculation!G2:G1025,"0.00%")
    &amp; " " &amp; Lower(Calculation!F2:F1025)
    &amp; " on the "
    &amp; LOWER(Calculation!K2:K1025)
    &amp; IF(
        Calculation!E2:E1025="Simple",
        ": HK$"
          &amp; TEXT(
              IF(
                Calculation!K2:K1025="Initial Principal",
                Input!$C$2,
                Calculation!N2:N1025
              ),
              "#,##0.00"
            )
          &amp; " × " &amp; TEXT(Calculation!L2:L1025,"0.00%")
          &amp; " × " &amp; TEXT(Calculation!R2:R1025,"0.0000")
          &amp; " years = HK$" &amp; TEXT(Calculation!O2:O1025,"#,##0.00"),
        ", compounded " &amp;
          SWITCH(
            Calculation!H2:H1025,
            "Monthly","monthly",
            "Quarterly","quarterly",
            "Semi-annual","semi-annually",
            "Annual","annually",
            LOWER(Calculation!H2:H1025)
          )
          &amp; ": HK$"
          &amp; TEXT(
              IF(
                Calculation!K2:K1025="Initial Principal",
                Input!$C$2,
                Calculation!N2:N1025
              ),
              "#,##0.00"
            )
          &amp; " × ((1 + " &amp; TEXT(Calculation!L2:L1025,"0.00%") &amp; "/"
          &amp; SWITCH(
              Calculation!H2:H1025,
              "Monthly",12,
              "Quarterly",4,
              "Semi-annual",2,
              "Annual",1,
              1
            )
          &amp; ")^("
          &amp; SWITCH(
              Calculation!H2:H1025,
              "Monthly",12,
              "Quarterly",4,
              "Semi-annual",2,
              "Annual",1,
              1
            )
          &amp; "×" &amp; TEXT(Calculation!R2:R1025,"0.0000")
          &amp; ") - 1) = HK$"
          &amp; TEXT(Calculation!O2:O1025,"#,##0.00")
      )
    &amp; ". This period has "
    &amp; Calculation!D2:D1025
    &amp; " interest days"
    &amp; IF(
        INDEX(Input!$K$7:$K1025,Calculation!A2:A1025),
        IF(
          INDEX(Input!$L$7:$L1025,Calculation!A2:A1025),
          " (including both the start day and the end day)",
          " (including the start day and excluding the end day)"
        ),
        IF(
          INDEX(Input!$L$7:$L1025,Calculation!A2:A1025),
          " (including the end day and excluding the start day)",
          " (excluding both the start day and the end day)"
        )
      )
&amp; ", which is "
&amp; TEXT(Calculation!R2:R1025,"0.0000")
&amp; " year(s), derived as: "
&amp; IF(
    Input!$C$4="Actual/365 Fixed",
    TEXT(Calculation!R2:R1025,"0.0000")
    &amp; " year(s) = "
    &amp; Calculation!D2:D1025
    &amp; " interest days ÷ 365.",
    IF(
      Input!$C$4="Anniversary/365",
      TEXT(Calculation!R2:R1025,"0.0000")
      &amp; " year(s) = "
      &amp; IF(Calculation!T2:T1025&lt;&gt;"",Calculation!T2:T1025 &amp; " whole year(s) + ","")
      &amp; Calculation!U2:U1025
      &amp; " day(s) ÷ 365.",
      IF(
        Input!$C$4="Actual/Actual",
        TEXT(Calculation!R2:R1025,"0.0000")
        &amp; " year(s) = "
        &amp; Calculation!V2:V1025 &amp; " day(s) ÷ 365 + "
        &amp; Calculation!W2:W1025 &amp; " day(s) ÷ 366.",
        TEXT(Calculation!R2:R1025,"0.0000")
        &amp; " year(s) following the selected convention."
      )
    )
  )
)</f>
        <v>Period 1: interest from 21 Aug 2015 to 20 Aug 2021 at 5.00% per annum on the initial principal: HK$10,765,000.00 × 5.00% × 6.0055 years = HK$3,232,449.32. This period has 2192 interest days (including both the start day and the end day), which is 6.0055 year(s), derived as: 6.0055 year(s) = 2192 interest days ÷ 365.</v>
      </c>
      <c r="B26" s="6"/>
    </row>
    <row r="27">
      <c r="A27" s="4" t="s">
        <v>21</v>
      </c>
      <c r="B27" s="6"/>
    </row>
    <row r="28">
      <c r="A28" s="4"/>
      <c r="B28" s="6"/>
    </row>
    <row r="29">
      <c r="A29" s="4"/>
      <c r="B29" s="6"/>
    </row>
    <row r="30">
      <c r="A30" s="4"/>
      <c r="B30" s="6"/>
    </row>
    <row r="31">
      <c r="A31" s="4"/>
      <c r="B31" s="6"/>
    </row>
    <row r="32">
      <c r="A32" s="4"/>
      <c r="B32" s="6"/>
    </row>
    <row r="33">
      <c r="A33" s="4"/>
      <c r="B33" s="6"/>
    </row>
    <row r="34">
      <c r="A34" s="4"/>
      <c r="B34" s="6"/>
    </row>
    <row r="35">
      <c r="A35" s="4"/>
      <c r="B35" s="6"/>
    </row>
    <row r="36">
      <c r="A36" s="4"/>
      <c r="B36" s="6"/>
    </row>
    <row r="37">
      <c r="A37" s="4"/>
      <c r="B37" s="6"/>
    </row>
    <row r="38">
      <c r="A38" s="4"/>
      <c r="B38" s="6"/>
    </row>
    <row r="39">
      <c r="A39" s="4"/>
      <c r="B39" s="6"/>
    </row>
    <row r="40">
      <c r="A40" s="4"/>
      <c r="B40" s="6"/>
    </row>
    <row r="41">
      <c r="A41" s="4"/>
      <c r="B41" s="6"/>
    </row>
    <row r="42">
      <c r="A42" s="4"/>
      <c r="B42" s="6"/>
    </row>
    <row r="43">
      <c r="A43" s="4"/>
      <c r="B43" s="6"/>
    </row>
    <row r="44">
      <c r="A44" s="4"/>
      <c r="B44" s="6"/>
    </row>
    <row r="45">
      <c r="A45" s="4"/>
      <c r="B45" s="6"/>
    </row>
    <row r="46">
      <c r="A46" s="4"/>
      <c r="B46" s="6"/>
    </row>
    <row r="47">
      <c r="A47" s="4"/>
      <c r="B47" s="6"/>
    </row>
    <row r="48">
      <c r="A48" s="4"/>
      <c r="B48" s="6"/>
    </row>
    <row r="49">
      <c r="A49" s="4"/>
      <c r="B49" s="6"/>
    </row>
    <row r="50">
      <c r="A50" s="4"/>
      <c r="B50" s="6"/>
    </row>
    <row r="51">
      <c r="A51" s="4"/>
      <c r="B51" s="6"/>
    </row>
    <row r="52">
      <c r="A52" s="4"/>
      <c r="B52" s="6"/>
    </row>
    <row r="53">
      <c r="A53" s="4"/>
      <c r="B53" s="6"/>
    </row>
    <row r="54">
      <c r="A54" s="4"/>
      <c r="B54" s="6"/>
    </row>
    <row r="55">
      <c r="A55" s="4"/>
      <c r="B55" s="6"/>
    </row>
    <row r="56">
      <c r="A56" s="4"/>
      <c r="B56" s="6"/>
    </row>
    <row r="57">
      <c r="A57" s="4"/>
      <c r="B57" s="6"/>
    </row>
    <row r="58">
      <c r="A58" s="4"/>
      <c r="B58" s="6"/>
    </row>
    <row r="59">
      <c r="A59" s="4"/>
      <c r="B59" s="6"/>
    </row>
    <row r="60">
      <c r="A60" s="4"/>
      <c r="B60" s="6"/>
    </row>
    <row r="61">
      <c r="A61" s="4"/>
      <c r="B61" s="6"/>
    </row>
    <row r="62">
      <c r="A62" s="4"/>
      <c r="B62" s="6"/>
    </row>
    <row r="63">
      <c r="A63" s="4"/>
      <c r="B63" s="6"/>
    </row>
    <row r="64">
      <c r="A64" s="4"/>
      <c r="B64" s="6"/>
    </row>
    <row r="65">
      <c r="A65" s="4"/>
      <c r="B65" s="6"/>
    </row>
    <row r="66">
      <c r="A66" s="4"/>
      <c r="B66" s="6"/>
    </row>
    <row r="67">
      <c r="A67" s="4"/>
      <c r="B67" s="6"/>
    </row>
    <row r="68">
      <c r="A68" s="4"/>
      <c r="B68" s="6"/>
    </row>
    <row r="69">
      <c r="A69" s="4"/>
      <c r="B69" s="6"/>
    </row>
    <row r="70">
      <c r="A70" s="4"/>
      <c r="B70" s="6"/>
    </row>
    <row r="71">
      <c r="A71" s="4"/>
      <c r="B71" s="6"/>
    </row>
    <row r="72">
      <c r="A72" s="4"/>
      <c r="B72" s="6"/>
    </row>
    <row r="73">
      <c r="A73" s="4"/>
      <c r="B73" s="6"/>
    </row>
    <row r="74">
      <c r="A74" s="4"/>
      <c r="B74" s="6"/>
    </row>
    <row r="75">
      <c r="A75" s="4"/>
      <c r="B75" s="6"/>
    </row>
    <row r="76">
      <c r="A76" s="4"/>
      <c r="B76" s="6"/>
    </row>
    <row r="77">
      <c r="A77" s="4"/>
      <c r="B77" s="6"/>
    </row>
    <row r="78">
      <c r="A78" s="4"/>
      <c r="B78" s="6"/>
    </row>
    <row r="79">
      <c r="A79" s="4"/>
      <c r="B79" s="6"/>
    </row>
    <row r="80">
      <c r="A80" s="4"/>
      <c r="B80" s="6"/>
    </row>
    <row r="81">
      <c r="A81" s="4"/>
      <c r="B81" s="6"/>
    </row>
    <row r="82">
      <c r="A82" s="4"/>
      <c r="B82" s="6"/>
    </row>
    <row r="83">
      <c r="A83" s="4"/>
      <c r="B83" s="6"/>
    </row>
    <row r="84">
      <c r="A84" s="4"/>
      <c r="B84" s="6"/>
    </row>
    <row r="85">
      <c r="A85" s="4"/>
      <c r="B85" s="6"/>
    </row>
    <row r="86">
      <c r="A86" s="4"/>
      <c r="B86" s="6"/>
    </row>
    <row r="87">
      <c r="A87" s="4"/>
      <c r="B87" s="6"/>
    </row>
    <row r="88">
      <c r="A88" s="4"/>
      <c r="B88" s="6"/>
    </row>
    <row r="89">
      <c r="A89" s="4"/>
      <c r="B89" s="6"/>
    </row>
    <row r="90">
      <c r="A90" s="4"/>
      <c r="B90" s="6"/>
    </row>
    <row r="91">
      <c r="A91" s="4"/>
      <c r="B91" s="6"/>
    </row>
    <row r="92">
      <c r="A92" s="4"/>
      <c r="B92" s="6"/>
    </row>
    <row r="93">
      <c r="A93" s="4"/>
      <c r="B93" s="6"/>
    </row>
    <row r="94">
      <c r="A94" s="4"/>
      <c r="B94" s="6"/>
    </row>
    <row r="95">
      <c r="A95" s="4"/>
      <c r="B95" s="6"/>
    </row>
    <row r="96">
      <c r="A96" s="4"/>
      <c r="B96" s="6"/>
    </row>
    <row r="97">
      <c r="A97" s="4"/>
      <c r="B97" s="6"/>
    </row>
    <row r="98">
      <c r="A98" s="4"/>
      <c r="B98" s="6"/>
    </row>
    <row r="99">
      <c r="A99" s="4"/>
      <c r="B99" s="6"/>
    </row>
    <row r="100">
      <c r="A100" s="4"/>
      <c r="B100" s="6"/>
    </row>
    <row r="101">
      <c r="A101" s="4"/>
      <c r="B101" s="6"/>
    </row>
    <row r="102">
      <c r="A102" s="4"/>
      <c r="B102" s="6"/>
    </row>
    <row r="103">
      <c r="A103" s="4"/>
      <c r="B103" s="6"/>
    </row>
    <row r="104">
      <c r="A104" s="4"/>
      <c r="B104" s="6"/>
    </row>
    <row r="105">
      <c r="A105" s="4"/>
      <c r="B105" s="6"/>
    </row>
    <row r="106">
      <c r="A106" s="4"/>
      <c r="B106" s="6"/>
    </row>
    <row r="107">
      <c r="A107" s="4"/>
      <c r="B107" s="6"/>
    </row>
    <row r="108">
      <c r="A108" s="4"/>
      <c r="B108" s="6"/>
    </row>
    <row r="109">
      <c r="A109" s="4"/>
      <c r="B109" s="6"/>
    </row>
    <row r="110">
      <c r="A110" s="4"/>
      <c r="B110" s="6"/>
    </row>
    <row r="111">
      <c r="A111" s="4"/>
      <c r="B111" s="6"/>
    </row>
    <row r="112">
      <c r="A112" s="4"/>
      <c r="B112" s="6"/>
    </row>
    <row r="113">
      <c r="A113" s="4"/>
      <c r="B113" s="6"/>
    </row>
    <row r="114">
      <c r="A114" s="4"/>
      <c r="B114" s="6"/>
    </row>
    <row r="115">
      <c r="A115" s="4"/>
      <c r="B115" s="6"/>
    </row>
    <row r="116">
      <c r="A116" s="4"/>
      <c r="B116" s="6"/>
    </row>
    <row r="117">
      <c r="A117" s="4"/>
      <c r="B117" s="6"/>
    </row>
    <row r="118">
      <c r="A118" s="4"/>
      <c r="B118" s="6"/>
    </row>
    <row r="119">
      <c r="A119" s="4"/>
      <c r="B119" s="6"/>
    </row>
    <row r="120">
      <c r="A120" s="4"/>
      <c r="B120" s="6"/>
    </row>
    <row r="121">
      <c r="A121" s="4"/>
      <c r="B121" s="6"/>
    </row>
    <row r="122">
      <c r="A122" s="4"/>
      <c r="B122" s="6"/>
    </row>
    <row r="123">
      <c r="A123" s="4"/>
      <c r="B123" s="6"/>
    </row>
    <row r="124">
      <c r="A124" s="4"/>
      <c r="B124" s="6"/>
    </row>
    <row r="125">
      <c r="A125" s="4"/>
      <c r="B125" s="6"/>
    </row>
    <row r="126">
      <c r="A126" s="4"/>
      <c r="B126" s="6"/>
    </row>
    <row r="127">
      <c r="A127" s="4"/>
      <c r="B127" s="6"/>
    </row>
    <row r="128">
      <c r="A128" s="4"/>
      <c r="B128" s="6"/>
    </row>
    <row r="129">
      <c r="A129" s="4"/>
      <c r="B129" s="6"/>
    </row>
    <row r="130">
      <c r="A130" s="4"/>
      <c r="B130" s="6"/>
    </row>
    <row r="131">
      <c r="A131" s="4"/>
      <c r="B131" s="6"/>
    </row>
    <row r="132">
      <c r="A132" s="4"/>
      <c r="B132" s="6"/>
    </row>
    <row r="133">
      <c r="A133" s="4"/>
      <c r="B133" s="6"/>
    </row>
    <row r="134">
      <c r="A134" s="4"/>
      <c r="B134" s="6"/>
    </row>
    <row r="135">
      <c r="A135" s="4"/>
      <c r="B135" s="6"/>
    </row>
    <row r="136">
      <c r="A136" s="4"/>
      <c r="B136" s="6"/>
    </row>
    <row r="137">
      <c r="A137" s="4"/>
      <c r="B137" s="6"/>
    </row>
    <row r="138">
      <c r="A138" s="4"/>
      <c r="B138" s="6"/>
    </row>
    <row r="139">
      <c r="A139" s="4"/>
      <c r="B139" s="6"/>
    </row>
    <row r="140">
      <c r="A140" s="4"/>
      <c r="B140" s="6"/>
    </row>
    <row r="141">
      <c r="A141" s="4"/>
      <c r="B141" s="6"/>
    </row>
    <row r="142">
      <c r="A142" s="4"/>
      <c r="B142" s="6"/>
    </row>
    <row r="143">
      <c r="A143" s="4"/>
      <c r="B143" s="6"/>
    </row>
    <row r="144">
      <c r="A144" s="4"/>
      <c r="B144" s="6"/>
    </row>
    <row r="145">
      <c r="A145" s="4"/>
      <c r="B145" s="6"/>
    </row>
    <row r="146">
      <c r="A146" s="4"/>
      <c r="B146" s="6"/>
    </row>
    <row r="147">
      <c r="A147" s="4"/>
      <c r="B147" s="6"/>
    </row>
    <row r="148">
      <c r="A148" s="4"/>
      <c r="B148" s="6"/>
    </row>
    <row r="149">
      <c r="A149" s="4"/>
      <c r="B149" s="6"/>
    </row>
    <row r="150">
      <c r="A150" s="4"/>
      <c r="B150" s="6"/>
    </row>
    <row r="151">
      <c r="A151" s="4"/>
      <c r="B151" s="6"/>
    </row>
    <row r="152">
      <c r="A152" s="4"/>
      <c r="B152" s="6"/>
    </row>
    <row r="153">
      <c r="A153" s="4"/>
      <c r="B153" s="6"/>
    </row>
    <row r="154">
      <c r="A154" s="4"/>
      <c r="B154" s="6"/>
    </row>
    <row r="155">
      <c r="A155" s="4"/>
      <c r="B155" s="6"/>
    </row>
    <row r="156">
      <c r="A156" s="4"/>
      <c r="B156" s="6"/>
    </row>
    <row r="157">
      <c r="A157" s="4"/>
      <c r="B157" s="6"/>
    </row>
    <row r="158">
      <c r="A158" s="4"/>
      <c r="B158" s="6"/>
    </row>
    <row r="159">
      <c r="A159" s="4"/>
      <c r="B159" s="6"/>
    </row>
    <row r="160">
      <c r="A160" s="4"/>
      <c r="B160" s="6"/>
    </row>
    <row r="161">
      <c r="A161" s="4"/>
      <c r="B161" s="6"/>
    </row>
    <row r="162">
      <c r="A162" s="4"/>
      <c r="B162" s="6"/>
    </row>
    <row r="163">
      <c r="A163" s="4"/>
      <c r="B163" s="6"/>
    </row>
    <row r="164">
      <c r="A164" s="4"/>
      <c r="B164" s="6"/>
    </row>
    <row r="165">
      <c r="A165" s="4"/>
      <c r="B165" s="6"/>
    </row>
    <row r="166">
      <c r="A166" s="4"/>
      <c r="B166" s="6"/>
    </row>
    <row r="167">
      <c r="A167" s="4"/>
      <c r="B167" s="6"/>
    </row>
    <row r="168">
      <c r="A168" s="4"/>
      <c r="B168" s="6"/>
    </row>
    <row r="169">
      <c r="A169" s="4"/>
      <c r="B169" s="6"/>
    </row>
    <row r="170">
      <c r="A170" s="4"/>
      <c r="B170" s="6"/>
    </row>
    <row r="171">
      <c r="A171" s="4"/>
      <c r="B171" s="6"/>
    </row>
    <row r="172">
      <c r="A172" s="4"/>
      <c r="B172" s="6"/>
    </row>
    <row r="173">
      <c r="A173" s="4"/>
      <c r="B173" s="6"/>
    </row>
    <row r="174">
      <c r="A174" s="4"/>
      <c r="B174" s="6"/>
    </row>
    <row r="175">
      <c r="A175" s="4"/>
      <c r="B175" s="6"/>
    </row>
    <row r="176">
      <c r="A176" s="4"/>
      <c r="B176" s="6"/>
    </row>
    <row r="177">
      <c r="A177" s="4"/>
      <c r="B177" s="6"/>
    </row>
    <row r="178">
      <c r="A178" s="4"/>
      <c r="B178" s="6"/>
    </row>
    <row r="179">
      <c r="A179" s="4"/>
      <c r="B179" s="6"/>
    </row>
    <row r="180">
      <c r="A180" s="4"/>
      <c r="B180" s="6"/>
    </row>
    <row r="181">
      <c r="A181" s="4"/>
      <c r="B181" s="6"/>
    </row>
    <row r="182">
      <c r="A182" s="4"/>
      <c r="B182" s="6"/>
    </row>
    <row r="183">
      <c r="A183" s="4"/>
      <c r="B183" s="6"/>
    </row>
    <row r="184">
      <c r="A184" s="4"/>
      <c r="B184" s="6"/>
    </row>
    <row r="185">
      <c r="A185" s="4"/>
      <c r="B185" s="6"/>
    </row>
    <row r="186">
      <c r="A186" s="4"/>
      <c r="B186" s="6"/>
    </row>
    <row r="187">
      <c r="A187" s="4"/>
      <c r="B187" s="6"/>
    </row>
    <row r="188">
      <c r="A188" s="4"/>
      <c r="B188" s="6"/>
    </row>
    <row r="189">
      <c r="A189" s="4"/>
      <c r="B189" s="6"/>
    </row>
    <row r="190">
      <c r="A190" s="4"/>
      <c r="B190" s="6"/>
    </row>
    <row r="191">
      <c r="A191" s="4"/>
      <c r="B191" s="6"/>
    </row>
    <row r="192">
      <c r="A192" s="4"/>
      <c r="B192" s="6"/>
    </row>
    <row r="193">
      <c r="A193" s="4"/>
      <c r="B193" s="6"/>
    </row>
    <row r="194">
      <c r="A194" s="4"/>
      <c r="B194" s="6"/>
    </row>
    <row r="195">
      <c r="A195" s="4"/>
      <c r="B195" s="6"/>
    </row>
    <row r="196">
      <c r="A196" s="4"/>
      <c r="B196" s="6"/>
    </row>
    <row r="197">
      <c r="A197" s="4"/>
      <c r="B197" s="6"/>
    </row>
    <row r="198">
      <c r="A198" s="4"/>
      <c r="B198" s="6"/>
    </row>
    <row r="199">
      <c r="A199" s="4"/>
      <c r="B199" s="6"/>
    </row>
    <row r="200">
      <c r="A200" s="4"/>
      <c r="B200" s="6"/>
    </row>
    <row r="201">
      <c r="A201" s="4"/>
      <c r="B201" s="6"/>
    </row>
    <row r="202">
      <c r="A202" s="4"/>
      <c r="B202" s="6"/>
    </row>
    <row r="203">
      <c r="A203" s="4"/>
      <c r="B203" s="6"/>
    </row>
    <row r="204">
      <c r="A204" s="4"/>
      <c r="B204" s="6"/>
    </row>
    <row r="205">
      <c r="A205" s="4"/>
      <c r="B205" s="6"/>
    </row>
    <row r="206">
      <c r="A206" s="4"/>
      <c r="B206" s="6"/>
    </row>
    <row r="207">
      <c r="A207" s="4"/>
      <c r="B207" s="6"/>
    </row>
    <row r="208">
      <c r="A208" s="4"/>
      <c r="B208" s="6"/>
    </row>
    <row r="209">
      <c r="A209" s="4"/>
      <c r="B209" s="6"/>
    </row>
    <row r="210">
      <c r="A210" s="4"/>
      <c r="B210" s="6"/>
    </row>
    <row r="211">
      <c r="A211" s="4"/>
      <c r="B211" s="6"/>
    </row>
    <row r="212">
      <c r="A212" s="4"/>
      <c r="B212" s="6"/>
    </row>
    <row r="213">
      <c r="A213" s="4"/>
      <c r="B213" s="6"/>
    </row>
    <row r="214">
      <c r="A214" s="4"/>
      <c r="B214" s="6"/>
    </row>
    <row r="215">
      <c r="A215" s="4"/>
      <c r="B215" s="6"/>
    </row>
    <row r="216">
      <c r="A216" s="4"/>
      <c r="B216" s="6"/>
    </row>
    <row r="217">
      <c r="A217" s="4"/>
      <c r="B217" s="6"/>
    </row>
    <row r="218">
      <c r="A218" s="4"/>
      <c r="B218" s="6"/>
    </row>
    <row r="219">
      <c r="A219" s="4"/>
      <c r="B219" s="6"/>
    </row>
    <row r="220">
      <c r="A220" s="4"/>
      <c r="B220" s="6"/>
    </row>
    <row r="221">
      <c r="A221" s="4"/>
      <c r="B221" s="6"/>
    </row>
    <row r="222">
      <c r="A222" s="4"/>
      <c r="B222" s="6"/>
    </row>
    <row r="223">
      <c r="A223" s="4"/>
      <c r="B223" s="6"/>
    </row>
    <row r="224">
      <c r="A224" s="4"/>
      <c r="B224" s="6"/>
    </row>
    <row r="225">
      <c r="A225" s="4"/>
      <c r="B225" s="6"/>
    </row>
    <row r="226">
      <c r="A226" s="4"/>
      <c r="B226" s="6"/>
    </row>
    <row r="227">
      <c r="A227" s="4"/>
      <c r="B227" s="6"/>
    </row>
    <row r="228">
      <c r="A228" s="4"/>
      <c r="B228" s="6"/>
    </row>
    <row r="229">
      <c r="A229" s="4"/>
      <c r="B229" s="6"/>
    </row>
    <row r="230">
      <c r="A230" s="4"/>
      <c r="B230" s="6"/>
    </row>
    <row r="231">
      <c r="A231" s="4"/>
      <c r="B231" s="6"/>
    </row>
    <row r="232">
      <c r="A232" s="4"/>
      <c r="B232" s="6"/>
    </row>
    <row r="233">
      <c r="A233" s="4"/>
      <c r="B233" s="6"/>
    </row>
    <row r="234">
      <c r="A234" s="4"/>
      <c r="B234" s="6"/>
    </row>
    <row r="235">
      <c r="A235" s="4"/>
      <c r="B235" s="6"/>
    </row>
    <row r="236">
      <c r="A236" s="4"/>
      <c r="B236" s="6"/>
    </row>
    <row r="237">
      <c r="A237" s="4"/>
      <c r="B237" s="6"/>
    </row>
    <row r="238">
      <c r="A238" s="4"/>
      <c r="B238" s="6"/>
    </row>
    <row r="239">
      <c r="A239" s="4"/>
      <c r="B239" s="6"/>
    </row>
    <row r="240">
      <c r="A240" s="4"/>
      <c r="B240" s="6"/>
    </row>
    <row r="241">
      <c r="A241" s="4"/>
      <c r="B241" s="6"/>
    </row>
    <row r="242">
      <c r="A242" s="4"/>
      <c r="B242" s="6"/>
    </row>
    <row r="243">
      <c r="A243" s="4"/>
      <c r="B243" s="6"/>
    </row>
    <row r="244">
      <c r="A244" s="4"/>
      <c r="B244" s="6"/>
    </row>
    <row r="245">
      <c r="A245" s="4"/>
      <c r="B245" s="6"/>
    </row>
    <row r="246">
      <c r="A246" s="4"/>
      <c r="B246" s="6"/>
    </row>
    <row r="247">
      <c r="A247" s="4"/>
      <c r="B247" s="6"/>
    </row>
    <row r="248">
      <c r="A248" s="4"/>
      <c r="B248" s="6"/>
    </row>
    <row r="249">
      <c r="A249" s="4"/>
      <c r="B249" s="6"/>
    </row>
    <row r="250">
      <c r="A250" s="4"/>
      <c r="B250" s="6"/>
    </row>
    <row r="251">
      <c r="A251" s="4"/>
      <c r="B251" s="6"/>
    </row>
    <row r="252">
      <c r="A252" s="4"/>
      <c r="B252" s="6"/>
    </row>
    <row r="253">
      <c r="A253" s="4"/>
      <c r="B253" s="6"/>
    </row>
    <row r="254">
      <c r="A254" s="4"/>
      <c r="B254" s="6"/>
    </row>
    <row r="255">
      <c r="A255" s="4"/>
      <c r="B255" s="6"/>
    </row>
    <row r="256">
      <c r="A256" s="4"/>
      <c r="B256" s="6"/>
    </row>
    <row r="257">
      <c r="A257" s="4"/>
      <c r="B257" s="6"/>
    </row>
    <row r="258">
      <c r="A258" s="4"/>
      <c r="B258" s="6"/>
    </row>
    <row r="259">
      <c r="A259" s="4"/>
      <c r="B259" s="6"/>
    </row>
    <row r="260">
      <c r="A260" s="4"/>
      <c r="B260" s="6"/>
    </row>
    <row r="261">
      <c r="A261" s="4"/>
      <c r="B261" s="6"/>
    </row>
    <row r="262">
      <c r="A262" s="4"/>
      <c r="B262" s="6"/>
    </row>
    <row r="263">
      <c r="A263" s="4"/>
      <c r="B263" s="6"/>
    </row>
    <row r="264">
      <c r="A264" s="4"/>
      <c r="B264" s="6"/>
    </row>
    <row r="265">
      <c r="A265" s="4"/>
      <c r="B265" s="6"/>
    </row>
    <row r="266">
      <c r="A266" s="4"/>
      <c r="B266" s="6"/>
    </row>
    <row r="267">
      <c r="A267" s="4"/>
      <c r="B267" s="6"/>
    </row>
    <row r="268">
      <c r="A268" s="4"/>
      <c r="B268" s="6"/>
    </row>
    <row r="269">
      <c r="A269" s="4"/>
      <c r="B269" s="6"/>
    </row>
    <row r="270">
      <c r="A270" s="4"/>
      <c r="B270" s="6"/>
    </row>
    <row r="271">
      <c r="A271" s="4"/>
      <c r="B271" s="6"/>
    </row>
    <row r="272">
      <c r="A272" s="4"/>
      <c r="B272" s="6"/>
    </row>
    <row r="273">
      <c r="A273" s="4"/>
      <c r="B273" s="6"/>
    </row>
    <row r="274">
      <c r="A274" s="4"/>
      <c r="B274" s="6"/>
    </row>
    <row r="275">
      <c r="A275" s="4"/>
      <c r="B275" s="6"/>
    </row>
    <row r="276">
      <c r="A276" s="4"/>
      <c r="B276" s="6"/>
    </row>
    <row r="277">
      <c r="A277" s="4"/>
      <c r="B277" s="6"/>
    </row>
    <row r="278">
      <c r="A278" s="4"/>
      <c r="B278" s="6"/>
    </row>
    <row r="279">
      <c r="A279" s="4"/>
      <c r="B279" s="6"/>
    </row>
    <row r="280">
      <c r="A280" s="4"/>
      <c r="B280" s="6"/>
    </row>
    <row r="281">
      <c r="A281" s="4"/>
      <c r="B281" s="6"/>
    </row>
    <row r="282">
      <c r="A282" s="4"/>
      <c r="B282" s="6"/>
    </row>
    <row r="283">
      <c r="A283" s="4"/>
      <c r="B283" s="6"/>
    </row>
    <row r="284">
      <c r="A284" s="4"/>
      <c r="B284" s="6"/>
    </row>
    <row r="285">
      <c r="A285" s="4"/>
      <c r="B285" s="6"/>
    </row>
    <row r="286">
      <c r="A286" s="4"/>
      <c r="B286" s="6"/>
    </row>
    <row r="287">
      <c r="A287" s="4"/>
      <c r="B287" s="6"/>
    </row>
    <row r="288">
      <c r="A288" s="4"/>
      <c r="B288" s="6"/>
    </row>
    <row r="289">
      <c r="A289" s="4"/>
      <c r="B289" s="6"/>
    </row>
    <row r="290">
      <c r="A290" s="4"/>
      <c r="B290" s="6"/>
    </row>
    <row r="291">
      <c r="A291" s="4"/>
      <c r="B291" s="6"/>
    </row>
    <row r="292">
      <c r="A292" s="4"/>
      <c r="B292" s="6"/>
    </row>
    <row r="293">
      <c r="A293" s="4"/>
      <c r="B293" s="6"/>
    </row>
    <row r="294">
      <c r="A294" s="4"/>
      <c r="B294" s="6"/>
    </row>
    <row r="295">
      <c r="A295" s="4"/>
      <c r="B295" s="6"/>
    </row>
    <row r="296">
      <c r="A296" s="4"/>
      <c r="B296" s="6"/>
    </row>
    <row r="297">
      <c r="A297" s="4"/>
      <c r="B297" s="6"/>
    </row>
    <row r="298">
      <c r="A298" s="4"/>
      <c r="B298" s="6"/>
    </row>
    <row r="299">
      <c r="A299" s="4"/>
      <c r="B299" s="6"/>
    </row>
    <row r="300">
      <c r="A300" s="4"/>
      <c r="B300" s="6"/>
    </row>
    <row r="301">
      <c r="A301" s="4"/>
      <c r="B301" s="6"/>
    </row>
    <row r="302">
      <c r="A302" s="4"/>
      <c r="B302" s="6"/>
    </row>
    <row r="303">
      <c r="A303" s="4"/>
      <c r="B303" s="6"/>
    </row>
    <row r="304">
      <c r="A304" s="4"/>
      <c r="B304" s="6"/>
    </row>
    <row r="305">
      <c r="A305" s="4"/>
      <c r="B305" s="6"/>
    </row>
    <row r="306">
      <c r="A306" s="4"/>
      <c r="B306" s="6"/>
    </row>
    <row r="307">
      <c r="A307" s="4"/>
      <c r="B307" s="6"/>
    </row>
    <row r="308">
      <c r="A308" s="4"/>
      <c r="B308" s="6"/>
    </row>
    <row r="309">
      <c r="A309" s="4"/>
      <c r="B309" s="6"/>
    </row>
    <row r="310">
      <c r="A310" s="4"/>
      <c r="B310" s="6"/>
    </row>
    <row r="311">
      <c r="A311" s="4"/>
      <c r="B311" s="6"/>
    </row>
    <row r="312">
      <c r="A312" s="4"/>
      <c r="B312" s="6"/>
    </row>
    <row r="313">
      <c r="A313" s="4"/>
      <c r="B313" s="6"/>
    </row>
    <row r="314">
      <c r="A314" s="4"/>
      <c r="B314" s="6"/>
    </row>
    <row r="315">
      <c r="A315" s="4"/>
      <c r="B315" s="6"/>
    </row>
    <row r="316">
      <c r="A316" s="4"/>
      <c r="B316" s="6"/>
    </row>
    <row r="317">
      <c r="A317" s="4"/>
      <c r="B317" s="6"/>
    </row>
    <row r="318">
      <c r="A318" s="4"/>
      <c r="B318" s="6"/>
    </row>
    <row r="319">
      <c r="A319" s="4"/>
      <c r="B319" s="6"/>
    </row>
    <row r="320">
      <c r="A320" s="4"/>
      <c r="B320" s="6"/>
    </row>
    <row r="321">
      <c r="A321" s="4"/>
      <c r="B321" s="6"/>
    </row>
    <row r="322">
      <c r="A322" s="4"/>
      <c r="B322" s="6"/>
    </row>
    <row r="323">
      <c r="A323" s="4"/>
      <c r="B323" s="6"/>
    </row>
    <row r="324">
      <c r="A324" s="4"/>
      <c r="B324" s="6"/>
    </row>
    <row r="325">
      <c r="A325" s="4"/>
      <c r="B325" s="6"/>
    </row>
    <row r="326">
      <c r="A326" s="4"/>
      <c r="B326" s="6"/>
    </row>
    <row r="327">
      <c r="A327" s="4"/>
      <c r="B327" s="6"/>
    </row>
    <row r="328">
      <c r="A328" s="4"/>
      <c r="B328" s="6"/>
    </row>
    <row r="329">
      <c r="A329" s="4"/>
      <c r="B329" s="6"/>
    </row>
    <row r="330">
      <c r="A330" s="4"/>
      <c r="B330" s="6"/>
    </row>
    <row r="331">
      <c r="A331" s="4"/>
      <c r="B331" s="6"/>
    </row>
    <row r="332">
      <c r="A332" s="4"/>
      <c r="B332" s="6"/>
    </row>
    <row r="333">
      <c r="A333" s="4"/>
      <c r="B333" s="6"/>
    </row>
    <row r="334">
      <c r="A334" s="4"/>
      <c r="B334" s="6"/>
    </row>
    <row r="335">
      <c r="A335" s="4"/>
      <c r="B335" s="6"/>
    </row>
    <row r="336">
      <c r="A336" s="4"/>
      <c r="B336" s="6"/>
    </row>
    <row r="337">
      <c r="A337" s="4"/>
      <c r="B337" s="6"/>
    </row>
    <row r="338">
      <c r="A338" s="4"/>
      <c r="B338" s="6"/>
    </row>
    <row r="339">
      <c r="A339" s="4"/>
      <c r="B339" s="6"/>
    </row>
    <row r="340">
      <c r="A340" s="4"/>
      <c r="B340" s="6"/>
    </row>
    <row r="341">
      <c r="A341" s="4"/>
      <c r="B341" s="6"/>
    </row>
    <row r="342">
      <c r="A342" s="4"/>
      <c r="B342" s="6"/>
    </row>
    <row r="343">
      <c r="A343" s="4"/>
      <c r="B343" s="6"/>
    </row>
    <row r="344">
      <c r="A344" s="4"/>
      <c r="B344" s="6"/>
    </row>
    <row r="345">
      <c r="A345" s="4"/>
      <c r="B345" s="6"/>
    </row>
    <row r="346">
      <c r="A346" s="4"/>
      <c r="B346" s="6"/>
    </row>
    <row r="347">
      <c r="A347" s="4"/>
      <c r="B347" s="6"/>
    </row>
    <row r="348">
      <c r="A348" s="4"/>
      <c r="B348" s="6"/>
    </row>
    <row r="349">
      <c r="A349" s="4"/>
      <c r="B349" s="6"/>
    </row>
    <row r="350">
      <c r="A350" s="4"/>
      <c r="B350" s="6"/>
    </row>
    <row r="351">
      <c r="A351" s="4"/>
      <c r="B351" s="6"/>
    </row>
    <row r="352">
      <c r="A352" s="4"/>
      <c r="B352" s="6"/>
    </row>
    <row r="353">
      <c r="A353" s="4"/>
      <c r="B353" s="6"/>
    </row>
    <row r="354">
      <c r="A354" s="4"/>
      <c r="B354" s="6"/>
    </row>
    <row r="355">
      <c r="A355" s="4"/>
      <c r="B355" s="6"/>
    </row>
    <row r="356">
      <c r="A356" s="4"/>
      <c r="B356" s="6"/>
    </row>
    <row r="357">
      <c r="A357" s="4"/>
      <c r="B357" s="6"/>
    </row>
    <row r="358">
      <c r="A358" s="4"/>
      <c r="B358" s="6"/>
    </row>
    <row r="359">
      <c r="A359" s="4"/>
      <c r="B359" s="6"/>
    </row>
    <row r="360">
      <c r="A360" s="4"/>
      <c r="B360" s="6"/>
    </row>
    <row r="361">
      <c r="A361" s="4"/>
      <c r="B361" s="6"/>
    </row>
    <row r="362">
      <c r="A362" s="4"/>
      <c r="B362" s="6"/>
    </row>
    <row r="363">
      <c r="A363" s="4"/>
      <c r="B363" s="6"/>
    </row>
    <row r="364">
      <c r="A364" s="4"/>
      <c r="B364" s="6"/>
    </row>
    <row r="365">
      <c r="A365" s="4"/>
      <c r="B365" s="6"/>
    </row>
    <row r="366">
      <c r="A366" s="4"/>
      <c r="B366" s="6"/>
    </row>
    <row r="367">
      <c r="A367" s="4"/>
      <c r="B367" s="6"/>
    </row>
    <row r="368">
      <c r="A368" s="4"/>
      <c r="B368" s="6"/>
    </row>
    <row r="369">
      <c r="A369" s="4"/>
      <c r="B369" s="6"/>
    </row>
    <row r="370">
      <c r="A370" s="4"/>
      <c r="B370" s="6"/>
    </row>
    <row r="371">
      <c r="A371" s="4"/>
      <c r="B371" s="6"/>
    </row>
    <row r="372">
      <c r="A372" s="4"/>
      <c r="B372" s="6"/>
    </row>
    <row r="373">
      <c r="A373" s="4"/>
      <c r="B373" s="6"/>
    </row>
    <row r="374">
      <c r="A374" s="4"/>
      <c r="B374" s="6"/>
    </row>
    <row r="375">
      <c r="A375" s="4"/>
      <c r="B375" s="6"/>
    </row>
    <row r="376">
      <c r="A376" s="4"/>
      <c r="B376" s="6"/>
    </row>
    <row r="377">
      <c r="A377" s="4"/>
      <c r="B377" s="6"/>
    </row>
    <row r="378">
      <c r="A378" s="4"/>
      <c r="B378" s="6"/>
    </row>
    <row r="379">
      <c r="A379" s="4"/>
      <c r="B379" s="6"/>
    </row>
    <row r="380">
      <c r="A380" s="4"/>
      <c r="B380" s="6"/>
    </row>
    <row r="381">
      <c r="A381" s="4"/>
      <c r="B381" s="6"/>
    </row>
    <row r="382">
      <c r="A382" s="4"/>
      <c r="B382" s="6"/>
    </row>
    <row r="383">
      <c r="A383" s="4"/>
      <c r="B383" s="6"/>
    </row>
    <row r="384">
      <c r="A384" s="4"/>
      <c r="B384" s="6"/>
    </row>
    <row r="385">
      <c r="A385" s="4"/>
      <c r="B385" s="6"/>
    </row>
    <row r="386">
      <c r="A386" s="4"/>
      <c r="B386" s="6"/>
    </row>
    <row r="387">
      <c r="A387" s="4"/>
      <c r="B387" s="6"/>
    </row>
    <row r="388">
      <c r="A388" s="4"/>
      <c r="B388" s="6"/>
    </row>
    <row r="389">
      <c r="A389" s="4"/>
      <c r="B389" s="6"/>
    </row>
    <row r="390">
      <c r="A390" s="4"/>
      <c r="B390" s="6"/>
    </row>
    <row r="391">
      <c r="A391" s="4"/>
      <c r="B391" s="6"/>
    </row>
    <row r="392">
      <c r="A392" s="4"/>
      <c r="B392" s="6"/>
    </row>
    <row r="393">
      <c r="A393" s="4"/>
      <c r="B393" s="6"/>
    </row>
    <row r="394">
      <c r="A394" s="4"/>
      <c r="B394" s="6"/>
    </row>
    <row r="395">
      <c r="A395" s="4"/>
      <c r="B395" s="6"/>
    </row>
    <row r="396">
      <c r="A396" s="4"/>
      <c r="B396" s="6"/>
    </row>
    <row r="397">
      <c r="A397" s="4"/>
      <c r="B397" s="6"/>
    </row>
    <row r="398">
      <c r="A398" s="4"/>
      <c r="B398" s="6"/>
    </row>
    <row r="399">
      <c r="A399" s="4"/>
      <c r="B399" s="6"/>
    </row>
    <row r="400">
      <c r="A400" s="4"/>
      <c r="B400" s="6"/>
    </row>
    <row r="401">
      <c r="A401" s="4"/>
      <c r="B401" s="6"/>
    </row>
    <row r="402">
      <c r="A402" s="4"/>
      <c r="B402" s="6"/>
    </row>
    <row r="403">
      <c r="A403" s="4"/>
      <c r="B403" s="6"/>
    </row>
    <row r="404">
      <c r="A404" s="4"/>
      <c r="B404" s="6"/>
    </row>
    <row r="405">
      <c r="A405" s="4"/>
      <c r="B405" s="6"/>
    </row>
    <row r="406">
      <c r="A406" s="4"/>
      <c r="B406" s="6"/>
    </row>
    <row r="407">
      <c r="A407" s="4"/>
      <c r="B407" s="6"/>
    </row>
    <row r="408">
      <c r="A408" s="4"/>
      <c r="B408" s="6"/>
    </row>
    <row r="409">
      <c r="A409" s="4"/>
      <c r="B409" s="6"/>
    </row>
    <row r="410">
      <c r="A410" s="4"/>
      <c r="B410" s="6"/>
    </row>
    <row r="411">
      <c r="A411" s="4"/>
      <c r="B411" s="6"/>
    </row>
    <row r="412">
      <c r="A412" s="4"/>
      <c r="B412" s="6"/>
    </row>
    <row r="413">
      <c r="A413" s="4"/>
      <c r="B413" s="6"/>
    </row>
    <row r="414">
      <c r="A414" s="4"/>
      <c r="B414" s="6"/>
    </row>
    <row r="415">
      <c r="A415" s="4"/>
      <c r="B415" s="6"/>
    </row>
    <row r="416">
      <c r="A416" s="4"/>
      <c r="B416" s="6"/>
    </row>
    <row r="417">
      <c r="A417" s="4"/>
      <c r="B417" s="6"/>
    </row>
    <row r="418">
      <c r="A418" s="4"/>
      <c r="B418" s="6"/>
    </row>
    <row r="419">
      <c r="A419" s="4"/>
      <c r="B419" s="6"/>
    </row>
    <row r="420">
      <c r="A420" s="4"/>
      <c r="B420" s="6"/>
    </row>
    <row r="421">
      <c r="A421" s="4"/>
      <c r="B421" s="6"/>
    </row>
    <row r="422">
      <c r="A422" s="4"/>
      <c r="B422" s="6"/>
    </row>
    <row r="423">
      <c r="A423" s="4"/>
      <c r="B423" s="6"/>
    </row>
    <row r="424">
      <c r="A424" s="4"/>
      <c r="B424" s="6"/>
    </row>
    <row r="425">
      <c r="A425" s="4"/>
      <c r="B425" s="6"/>
    </row>
    <row r="426">
      <c r="A426" s="4"/>
      <c r="B426" s="6"/>
    </row>
    <row r="427">
      <c r="A427" s="4"/>
      <c r="B427" s="6"/>
    </row>
    <row r="428">
      <c r="A428" s="4"/>
      <c r="B428" s="6"/>
    </row>
    <row r="429">
      <c r="A429" s="4"/>
      <c r="B429" s="6"/>
    </row>
    <row r="430">
      <c r="A430" s="4"/>
      <c r="B430" s="6"/>
    </row>
    <row r="431">
      <c r="A431" s="4"/>
      <c r="B431" s="6"/>
    </row>
    <row r="432">
      <c r="A432" s="4"/>
      <c r="B432" s="6"/>
    </row>
    <row r="433">
      <c r="A433" s="4"/>
      <c r="B433" s="6"/>
    </row>
    <row r="434">
      <c r="A434" s="4"/>
      <c r="B434" s="6"/>
    </row>
    <row r="435">
      <c r="A435" s="4"/>
      <c r="B435" s="6"/>
    </row>
    <row r="436">
      <c r="A436" s="4"/>
      <c r="B436" s="6"/>
    </row>
    <row r="437">
      <c r="A437" s="4"/>
      <c r="B437" s="6"/>
    </row>
    <row r="438">
      <c r="A438" s="4"/>
      <c r="B438" s="6"/>
    </row>
    <row r="439">
      <c r="A439" s="4"/>
      <c r="B439" s="6"/>
    </row>
    <row r="440">
      <c r="A440" s="4"/>
      <c r="B440" s="6"/>
    </row>
    <row r="441">
      <c r="A441" s="4"/>
      <c r="B441" s="6"/>
    </row>
    <row r="442">
      <c r="A442" s="4"/>
      <c r="B442" s="6"/>
    </row>
    <row r="443">
      <c r="A443" s="4"/>
      <c r="B443" s="6"/>
    </row>
    <row r="444">
      <c r="A444" s="4"/>
      <c r="B444" s="6"/>
    </row>
    <row r="445">
      <c r="A445" s="4"/>
      <c r="B445" s="6"/>
    </row>
    <row r="446">
      <c r="A446" s="4"/>
      <c r="B446" s="6"/>
    </row>
    <row r="447">
      <c r="A447" s="4"/>
      <c r="B447" s="6"/>
    </row>
    <row r="448">
      <c r="A448" s="4"/>
      <c r="B448" s="6"/>
    </row>
    <row r="449">
      <c r="A449" s="4"/>
      <c r="B449" s="6"/>
    </row>
    <row r="450">
      <c r="A450" s="4"/>
      <c r="B450" s="6"/>
    </row>
    <row r="451">
      <c r="A451" s="4"/>
      <c r="B451" s="6"/>
    </row>
    <row r="452">
      <c r="A452" s="4"/>
      <c r="B452" s="6"/>
    </row>
    <row r="453">
      <c r="A453" s="4"/>
      <c r="B453" s="6"/>
    </row>
    <row r="454">
      <c r="A454" s="4"/>
      <c r="B454" s="6"/>
    </row>
    <row r="455">
      <c r="A455" s="4"/>
      <c r="B455" s="6"/>
    </row>
    <row r="456">
      <c r="A456" s="4"/>
      <c r="B456" s="6"/>
    </row>
    <row r="457">
      <c r="A457" s="4"/>
      <c r="B457" s="6"/>
    </row>
    <row r="458">
      <c r="A458" s="4"/>
      <c r="B458" s="6"/>
    </row>
    <row r="459">
      <c r="A459" s="4"/>
      <c r="B459" s="6"/>
    </row>
    <row r="460">
      <c r="A460" s="4"/>
      <c r="B460" s="6"/>
    </row>
    <row r="461">
      <c r="A461" s="4"/>
      <c r="B461" s="6"/>
    </row>
    <row r="462">
      <c r="A462" s="4"/>
      <c r="B462" s="6"/>
    </row>
    <row r="463">
      <c r="A463" s="4"/>
      <c r="B463" s="6"/>
    </row>
    <row r="464">
      <c r="A464" s="4"/>
      <c r="B464" s="6"/>
    </row>
    <row r="465">
      <c r="A465" s="4"/>
      <c r="B465" s="6"/>
    </row>
    <row r="466">
      <c r="A466" s="4"/>
      <c r="B466" s="6"/>
    </row>
    <row r="467">
      <c r="A467" s="4"/>
      <c r="B467" s="6"/>
    </row>
    <row r="468">
      <c r="A468" s="4"/>
      <c r="B468" s="6"/>
    </row>
    <row r="469">
      <c r="A469" s="4"/>
      <c r="B469" s="6"/>
    </row>
    <row r="470">
      <c r="A470" s="4"/>
      <c r="B470" s="6"/>
    </row>
    <row r="471">
      <c r="A471" s="4"/>
      <c r="B471" s="6"/>
    </row>
    <row r="472">
      <c r="A472" s="4"/>
      <c r="B472" s="6"/>
    </row>
    <row r="473">
      <c r="A473" s="4"/>
      <c r="B473" s="6"/>
    </row>
    <row r="474">
      <c r="A474" s="4"/>
      <c r="B474" s="6"/>
    </row>
    <row r="475">
      <c r="A475" s="4"/>
      <c r="B475" s="6"/>
    </row>
    <row r="476">
      <c r="A476" s="4"/>
      <c r="B476" s="6"/>
    </row>
    <row r="477">
      <c r="A477" s="4"/>
      <c r="B477" s="6"/>
    </row>
    <row r="478">
      <c r="A478" s="4"/>
      <c r="B478" s="6"/>
    </row>
    <row r="479">
      <c r="A479" s="4"/>
      <c r="B479" s="6"/>
    </row>
    <row r="480">
      <c r="A480" s="4"/>
      <c r="B480" s="6"/>
    </row>
    <row r="481">
      <c r="A481" s="4"/>
      <c r="B481" s="6"/>
    </row>
    <row r="482">
      <c r="A482" s="4"/>
      <c r="B482" s="6"/>
    </row>
    <row r="483">
      <c r="A483" s="4"/>
      <c r="B483" s="6"/>
    </row>
    <row r="484">
      <c r="A484" s="4"/>
      <c r="B484" s="6"/>
    </row>
    <row r="485">
      <c r="A485" s="4"/>
      <c r="B485" s="6"/>
    </row>
    <row r="486">
      <c r="A486" s="4"/>
      <c r="B486" s="6"/>
    </row>
    <row r="487">
      <c r="A487" s="4"/>
      <c r="B487" s="6"/>
    </row>
    <row r="488">
      <c r="A488" s="4"/>
      <c r="B488" s="6"/>
    </row>
    <row r="489">
      <c r="A489" s="4"/>
      <c r="B489" s="6"/>
    </row>
    <row r="490">
      <c r="A490" s="4"/>
      <c r="B490" s="6"/>
    </row>
    <row r="491">
      <c r="A491" s="4"/>
      <c r="B491" s="6"/>
    </row>
    <row r="492">
      <c r="A492" s="4"/>
      <c r="B492" s="6"/>
    </row>
    <row r="493">
      <c r="A493" s="4"/>
      <c r="B493" s="6"/>
    </row>
    <row r="494">
      <c r="A494" s="4"/>
      <c r="B494" s="6"/>
    </row>
    <row r="495">
      <c r="A495" s="4"/>
      <c r="B495" s="6"/>
    </row>
    <row r="496">
      <c r="A496" s="4"/>
      <c r="B496" s="6"/>
    </row>
    <row r="497">
      <c r="A497" s="4"/>
      <c r="B497" s="6"/>
    </row>
    <row r="498">
      <c r="A498" s="4"/>
      <c r="B498" s="6"/>
    </row>
    <row r="499">
      <c r="A499" s="4"/>
      <c r="B499" s="6"/>
    </row>
    <row r="500">
      <c r="A500" s="4"/>
      <c r="B500" s="6"/>
    </row>
    <row r="501">
      <c r="A501" s="4"/>
      <c r="B501" s="6"/>
    </row>
    <row r="502">
      <c r="A502" s="4"/>
      <c r="B502" s="6"/>
    </row>
    <row r="503">
      <c r="A503" s="4"/>
      <c r="B503" s="6"/>
    </row>
    <row r="504">
      <c r="A504" s="4"/>
      <c r="B504" s="6"/>
    </row>
    <row r="505">
      <c r="A505" s="4"/>
      <c r="B505" s="6"/>
    </row>
    <row r="506">
      <c r="A506" s="4"/>
      <c r="B506" s="6"/>
    </row>
    <row r="507">
      <c r="A507" s="4"/>
      <c r="B507" s="6"/>
    </row>
    <row r="508">
      <c r="A508" s="4"/>
      <c r="B508" s="6"/>
    </row>
    <row r="509">
      <c r="A509" s="4"/>
      <c r="B509" s="6"/>
    </row>
    <row r="510">
      <c r="A510" s="4"/>
      <c r="B510" s="6"/>
    </row>
    <row r="511">
      <c r="A511" s="4"/>
      <c r="B511" s="6"/>
    </row>
    <row r="512">
      <c r="A512" s="4"/>
      <c r="B512" s="6"/>
    </row>
    <row r="513">
      <c r="A513" s="4"/>
      <c r="B513" s="6"/>
    </row>
    <row r="514">
      <c r="A514" s="4"/>
      <c r="B514" s="6"/>
    </row>
    <row r="515">
      <c r="A515" s="4"/>
      <c r="B515" s="6"/>
    </row>
    <row r="516">
      <c r="A516" s="4"/>
      <c r="B516" s="6"/>
    </row>
    <row r="517">
      <c r="A517" s="4"/>
      <c r="B517" s="6"/>
    </row>
    <row r="518">
      <c r="A518" s="4"/>
      <c r="B518" s="6"/>
    </row>
    <row r="519">
      <c r="A519" s="4"/>
      <c r="B519" s="6"/>
    </row>
    <row r="520">
      <c r="A520" s="4"/>
      <c r="B520" s="6"/>
    </row>
    <row r="521">
      <c r="A521" s="4"/>
      <c r="B521" s="6"/>
    </row>
    <row r="522">
      <c r="A522" s="4"/>
      <c r="B522" s="6"/>
    </row>
    <row r="523">
      <c r="A523" s="4"/>
      <c r="B523" s="6"/>
    </row>
    <row r="524">
      <c r="A524" s="4"/>
      <c r="B524" s="6"/>
    </row>
    <row r="525">
      <c r="A525" s="4"/>
      <c r="B525" s="6"/>
    </row>
    <row r="526">
      <c r="A526" s="4"/>
      <c r="B526" s="6"/>
    </row>
    <row r="527">
      <c r="A527" s="4"/>
      <c r="B527" s="6"/>
    </row>
    <row r="528">
      <c r="A528" s="4"/>
      <c r="B528" s="6"/>
    </row>
    <row r="529">
      <c r="A529" s="4"/>
      <c r="B529" s="6"/>
    </row>
    <row r="530">
      <c r="A530" s="4"/>
      <c r="B530" s="6"/>
    </row>
    <row r="531">
      <c r="A531" s="4"/>
      <c r="B531" s="6"/>
    </row>
    <row r="532">
      <c r="A532" s="4"/>
      <c r="B532" s="6"/>
    </row>
    <row r="533">
      <c r="A533" s="4"/>
      <c r="B533" s="6"/>
    </row>
    <row r="534">
      <c r="A534" s="4"/>
      <c r="B534" s="6"/>
    </row>
    <row r="535">
      <c r="A535" s="4"/>
      <c r="B535" s="6"/>
    </row>
    <row r="536">
      <c r="A536" s="4"/>
      <c r="B536" s="6"/>
    </row>
    <row r="537">
      <c r="A537" s="4"/>
      <c r="B537" s="6"/>
    </row>
    <row r="538">
      <c r="A538" s="4"/>
      <c r="B538" s="6"/>
    </row>
    <row r="539">
      <c r="A539" s="4"/>
      <c r="B539" s="6"/>
    </row>
    <row r="540">
      <c r="A540" s="4"/>
      <c r="B540" s="6"/>
    </row>
    <row r="541">
      <c r="A541" s="4"/>
      <c r="B541" s="6"/>
    </row>
    <row r="542">
      <c r="A542" s="4"/>
      <c r="B542" s="6"/>
    </row>
    <row r="543">
      <c r="A543" s="4"/>
      <c r="B543" s="6"/>
    </row>
    <row r="544">
      <c r="A544" s="4"/>
      <c r="B544" s="6"/>
    </row>
    <row r="545">
      <c r="A545" s="4"/>
      <c r="B545" s="6"/>
    </row>
    <row r="546">
      <c r="A546" s="4"/>
      <c r="B546" s="6"/>
    </row>
    <row r="547">
      <c r="A547" s="4"/>
      <c r="B547" s="6"/>
    </row>
    <row r="548">
      <c r="A548" s="4"/>
      <c r="B548" s="6"/>
    </row>
    <row r="549">
      <c r="A549" s="4"/>
      <c r="B549" s="6"/>
    </row>
    <row r="550">
      <c r="A550" s="4"/>
      <c r="B550" s="6"/>
    </row>
    <row r="551">
      <c r="A551" s="4"/>
      <c r="B551" s="6"/>
    </row>
    <row r="552">
      <c r="A552" s="4"/>
      <c r="B552" s="6"/>
    </row>
    <row r="553">
      <c r="A553" s="4"/>
      <c r="B553" s="6"/>
    </row>
    <row r="554">
      <c r="A554" s="4"/>
      <c r="B554" s="6"/>
    </row>
    <row r="555">
      <c r="A555" s="4"/>
      <c r="B555" s="6"/>
    </row>
    <row r="556">
      <c r="A556" s="4"/>
      <c r="B556" s="6"/>
    </row>
    <row r="557">
      <c r="A557" s="4"/>
      <c r="B557" s="6"/>
    </row>
    <row r="558">
      <c r="A558" s="4"/>
      <c r="B558" s="6"/>
    </row>
    <row r="559">
      <c r="A559" s="4"/>
      <c r="B559" s="6"/>
    </row>
    <row r="560">
      <c r="A560" s="4"/>
      <c r="B560" s="6"/>
    </row>
    <row r="561">
      <c r="A561" s="4"/>
      <c r="B561" s="6"/>
    </row>
    <row r="562">
      <c r="A562" s="4"/>
      <c r="B562" s="6"/>
    </row>
    <row r="563">
      <c r="A563" s="4"/>
      <c r="B563" s="6"/>
    </row>
    <row r="564">
      <c r="A564" s="4"/>
      <c r="B564" s="6"/>
    </row>
    <row r="565">
      <c r="A565" s="4"/>
      <c r="B565" s="6"/>
    </row>
    <row r="566">
      <c r="A566" s="4"/>
      <c r="B566" s="6"/>
    </row>
    <row r="567">
      <c r="A567" s="4"/>
      <c r="B567" s="6"/>
    </row>
    <row r="568">
      <c r="A568" s="4"/>
      <c r="B568" s="6"/>
    </row>
    <row r="569">
      <c r="A569" s="4"/>
      <c r="B569" s="6"/>
    </row>
    <row r="570">
      <c r="A570" s="4"/>
      <c r="B570" s="6"/>
    </row>
    <row r="571">
      <c r="A571" s="4"/>
      <c r="B571" s="6"/>
    </row>
    <row r="572">
      <c r="A572" s="4"/>
      <c r="B572" s="6"/>
    </row>
    <row r="573">
      <c r="A573" s="4"/>
      <c r="B573" s="6"/>
    </row>
    <row r="574">
      <c r="A574" s="4"/>
      <c r="B574" s="6"/>
    </row>
    <row r="575">
      <c r="A575" s="4"/>
      <c r="B575" s="6"/>
    </row>
    <row r="576">
      <c r="A576" s="4"/>
      <c r="B576" s="6"/>
    </row>
    <row r="577">
      <c r="A577" s="4"/>
      <c r="B577" s="6"/>
    </row>
    <row r="578">
      <c r="A578" s="4"/>
      <c r="B578" s="6"/>
    </row>
    <row r="579">
      <c r="A579" s="4"/>
      <c r="B579" s="6"/>
    </row>
    <row r="580">
      <c r="A580" s="4"/>
      <c r="B580" s="6"/>
    </row>
    <row r="581">
      <c r="A581" s="4"/>
      <c r="B581" s="6"/>
    </row>
    <row r="582">
      <c r="A582" s="4"/>
      <c r="B582" s="6"/>
    </row>
    <row r="583">
      <c r="A583" s="4"/>
      <c r="B583" s="6"/>
    </row>
    <row r="584">
      <c r="A584" s="4"/>
      <c r="B584" s="6"/>
    </row>
    <row r="585">
      <c r="A585" s="4"/>
      <c r="B585" s="6"/>
    </row>
    <row r="586">
      <c r="A586" s="4"/>
      <c r="B586" s="6"/>
    </row>
    <row r="587">
      <c r="A587" s="4"/>
      <c r="B587" s="6"/>
    </row>
    <row r="588">
      <c r="A588" s="4"/>
      <c r="B588" s="6"/>
    </row>
    <row r="589">
      <c r="A589" s="4"/>
      <c r="B589" s="6"/>
    </row>
    <row r="590">
      <c r="A590" s="4"/>
      <c r="B590" s="6"/>
    </row>
    <row r="591">
      <c r="A591" s="4"/>
      <c r="B591" s="6"/>
    </row>
    <row r="592">
      <c r="A592" s="4"/>
      <c r="B592" s="6"/>
    </row>
    <row r="593">
      <c r="A593" s="4"/>
      <c r="B593" s="6"/>
    </row>
    <row r="594">
      <c r="A594" s="4"/>
      <c r="B594" s="6"/>
    </row>
    <row r="595">
      <c r="A595" s="4"/>
      <c r="B595" s="6"/>
    </row>
    <row r="596">
      <c r="A596" s="4"/>
      <c r="B596" s="6"/>
    </row>
    <row r="597">
      <c r="A597" s="4"/>
      <c r="B597" s="6"/>
    </row>
    <row r="598">
      <c r="A598" s="4"/>
      <c r="B598" s="6"/>
    </row>
    <row r="599">
      <c r="A599" s="4"/>
      <c r="B599" s="6"/>
    </row>
    <row r="600">
      <c r="A600" s="4"/>
      <c r="B600" s="6"/>
    </row>
    <row r="601">
      <c r="A601" s="4"/>
      <c r="B601" s="6"/>
    </row>
    <row r="602">
      <c r="A602" s="4"/>
      <c r="B602" s="6"/>
    </row>
    <row r="603">
      <c r="A603" s="4"/>
      <c r="B603" s="6"/>
    </row>
    <row r="604">
      <c r="A604" s="4"/>
      <c r="B604" s="6"/>
    </row>
    <row r="605">
      <c r="A605" s="4"/>
      <c r="B605" s="6"/>
    </row>
    <row r="606">
      <c r="A606" s="4"/>
      <c r="B606" s="6"/>
    </row>
    <row r="607">
      <c r="A607" s="4"/>
      <c r="B607" s="6"/>
    </row>
    <row r="608">
      <c r="A608" s="4"/>
      <c r="B608" s="6"/>
    </row>
    <row r="609">
      <c r="A609" s="4"/>
      <c r="B609" s="6"/>
    </row>
    <row r="610">
      <c r="A610" s="4"/>
      <c r="B610" s="6"/>
    </row>
    <row r="611">
      <c r="A611" s="4"/>
      <c r="B611" s="6"/>
    </row>
    <row r="612">
      <c r="A612" s="4"/>
      <c r="B612" s="6"/>
    </row>
    <row r="613">
      <c r="A613" s="4"/>
      <c r="B613" s="6"/>
    </row>
    <row r="614">
      <c r="A614" s="4"/>
      <c r="B614" s="6"/>
    </row>
    <row r="615">
      <c r="A615" s="4"/>
      <c r="B615" s="6"/>
    </row>
    <row r="616">
      <c r="A616" s="4"/>
      <c r="B616" s="6"/>
    </row>
    <row r="617">
      <c r="A617" s="4"/>
      <c r="B617" s="6"/>
    </row>
    <row r="618">
      <c r="A618" s="4"/>
      <c r="B618" s="6"/>
    </row>
    <row r="619">
      <c r="A619" s="4"/>
      <c r="B619" s="6"/>
    </row>
    <row r="620">
      <c r="A620" s="4"/>
      <c r="B620" s="6"/>
    </row>
    <row r="621">
      <c r="A621" s="4"/>
      <c r="B621" s="6"/>
    </row>
    <row r="622">
      <c r="A622" s="4"/>
      <c r="B622" s="6"/>
    </row>
    <row r="623">
      <c r="A623" s="4"/>
      <c r="B623" s="6"/>
    </row>
    <row r="624">
      <c r="A624" s="4"/>
      <c r="B624" s="6"/>
    </row>
    <row r="625">
      <c r="A625" s="4"/>
      <c r="B625" s="6"/>
    </row>
    <row r="626">
      <c r="A626" s="4"/>
      <c r="B626" s="6"/>
    </row>
    <row r="627">
      <c r="A627" s="4"/>
      <c r="B627" s="6"/>
    </row>
    <row r="628">
      <c r="A628" s="4"/>
      <c r="B628" s="6"/>
    </row>
    <row r="629">
      <c r="A629" s="4"/>
      <c r="B629" s="6"/>
    </row>
    <row r="630">
      <c r="A630" s="4"/>
      <c r="B630" s="6"/>
    </row>
    <row r="631">
      <c r="A631" s="4"/>
      <c r="B631" s="6"/>
    </row>
    <row r="632">
      <c r="A632" s="4"/>
      <c r="B632" s="6"/>
    </row>
    <row r="633">
      <c r="A633" s="4"/>
      <c r="B633" s="6"/>
    </row>
    <row r="634">
      <c r="A634" s="4"/>
      <c r="B634" s="6"/>
    </row>
    <row r="635">
      <c r="A635" s="4"/>
      <c r="B635" s="6"/>
    </row>
    <row r="636">
      <c r="A636" s="4"/>
      <c r="B636" s="6"/>
    </row>
    <row r="637">
      <c r="A637" s="4"/>
      <c r="B637" s="6"/>
    </row>
    <row r="638">
      <c r="A638" s="4"/>
      <c r="B638" s="6"/>
    </row>
    <row r="639">
      <c r="A639" s="4"/>
      <c r="B639" s="6"/>
    </row>
    <row r="640">
      <c r="A640" s="4"/>
      <c r="B640" s="6"/>
    </row>
    <row r="641">
      <c r="A641" s="4"/>
      <c r="B641" s="6"/>
    </row>
    <row r="642">
      <c r="A642" s="4"/>
      <c r="B642" s="6"/>
    </row>
    <row r="643">
      <c r="A643" s="4"/>
      <c r="B643" s="6"/>
    </row>
    <row r="644">
      <c r="A644" s="4"/>
      <c r="B644" s="6"/>
    </row>
    <row r="645">
      <c r="A645" s="4"/>
      <c r="B645" s="6"/>
    </row>
    <row r="646">
      <c r="A646" s="4"/>
      <c r="B646" s="6"/>
    </row>
    <row r="647">
      <c r="A647" s="4"/>
      <c r="B647" s="6"/>
    </row>
    <row r="648">
      <c r="A648" s="4"/>
      <c r="B648" s="6"/>
    </row>
    <row r="649">
      <c r="A649" s="4"/>
      <c r="B649" s="6"/>
    </row>
    <row r="650">
      <c r="A650" s="4"/>
      <c r="B650" s="6"/>
    </row>
    <row r="651">
      <c r="A651" s="4"/>
      <c r="B651" s="6"/>
    </row>
    <row r="652">
      <c r="A652" s="4"/>
      <c r="B652" s="6"/>
    </row>
    <row r="653">
      <c r="A653" s="4"/>
      <c r="B653" s="6"/>
    </row>
    <row r="654">
      <c r="A654" s="4"/>
      <c r="B654" s="6"/>
    </row>
    <row r="655">
      <c r="A655" s="4"/>
      <c r="B655" s="6"/>
    </row>
    <row r="656">
      <c r="A656" s="4"/>
      <c r="B656" s="6"/>
    </row>
    <row r="657">
      <c r="A657" s="4"/>
      <c r="B657" s="6"/>
    </row>
    <row r="658">
      <c r="A658" s="4"/>
      <c r="B658" s="6"/>
    </row>
    <row r="659">
      <c r="A659" s="4"/>
      <c r="B659" s="6"/>
    </row>
    <row r="660">
      <c r="A660" s="4"/>
      <c r="B660" s="6"/>
    </row>
    <row r="661">
      <c r="A661" s="4"/>
      <c r="B661" s="6"/>
    </row>
    <row r="662">
      <c r="A662" s="4"/>
      <c r="B662" s="6"/>
    </row>
    <row r="663">
      <c r="A663" s="4"/>
      <c r="B663" s="6"/>
    </row>
    <row r="664">
      <c r="A664" s="4"/>
      <c r="B664" s="6"/>
    </row>
    <row r="665">
      <c r="A665" s="4"/>
      <c r="B665" s="6"/>
    </row>
    <row r="666">
      <c r="A666" s="4"/>
      <c r="B666" s="6"/>
    </row>
    <row r="667">
      <c r="A667" s="4"/>
      <c r="B667" s="6"/>
    </row>
    <row r="668">
      <c r="A668" s="4"/>
      <c r="B668" s="6"/>
    </row>
    <row r="669">
      <c r="A669" s="4"/>
      <c r="B669" s="6"/>
    </row>
    <row r="670">
      <c r="A670" s="4"/>
      <c r="B670" s="6"/>
    </row>
    <row r="671">
      <c r="A671" s="4"/>
      <c r="B671" s="6"/>
    </row>
    <row r="672">
      <c r="A672" s="4"/>
      <c r="B672" s="6"/>
    </row>
    <row r="673">
      <c r="A673" s="4"/>
      <c r="B673" s="6"/>
    </row>
    <row r="674">
      <c r="A674" s="4"/>
      <c r="B674" s="6"/>
    </row>
    <row r="675">
      <c r="A675" s="4"/>
      <c r="B675" s="6"/>
    </row>
    <row r="676">
      <c r="A676" s="4"/>
      <c r="B676" s="6"/>
    </row>
    <row r="677">
      <c r="A677" s="4"/>
      <c r="B677" s="6"/>
    </row>
    <row r="678">
      <c r="A678" s="4"/>
      <c r="B678" s="6"/>
    </row>
    <row r="679">
      <c r="A679" s="4"/>
      <c r="B679" s="6"/>
    </row>
    <row r="680">
      <c r="A680" s="4"/>
      <c r="B680" s="6"/>
    </row>
    <row r="681">
      <c r="A681" s="4"/>
      <c r="B681" s="6"/>
    </row>
    <row r="682">
      <c r="A682" s="4"/>
      <c r="B682" s="6"/>
    </row>
    <row r="683">
      <c r="A683" s="4"/>
      <c r="B683" s="6"/>
    </row>
    <row r="684">
      <c r="A684" s="4"/>
      <c r="B684" s="6"/>
    </row>
    <row r="685">
      <c r="A685" s="4"/>
      <c r="B685" s="6"/>
    </row>
    <row r="686">
      <c r="A686" s="4"/>
      <c r="B686" s="6"/>
    </row>
    <row r="687">
      <c r="A687" s="4"/>
      <c r="B687" s="6"/>
    </row>
    <row r="688">
      <c r="A688" s="4"/>
      <c r="B688" s="6"/>
    </row>
    <row r="689">
      <c r="A689" s="4"/>
      <c r="B689" s="6"/>
    </row>
    <row r="690">
      <c r="A690" s="4"/>
      <c r="B690" s="6"/>
    </row>
    <row r="691">
      <c r="A691" s="4"/>
      <c r="B691" s="6"/>
    </row>
    <row r="692">
      <c r="A692" s="4"/>
      <c r="B692" s="6"/>
    </row>
    <row r="693">
      <c r="A693" s="4"/>
      <c r="B693" s="6"/>
    </row>
    <row r="694">
      <c r="A694" s="4"/>
      <c r="B694" s="6"/>
    </row>
    <row r="695">
      <c r="A695" s="4"/>
      <c r="B695" s="6"/>
    </row>
    <row r="696">
      <c r="A696" s="4"/>
      <c r="B696" s="6"/>
    </row>
    <row r="697">
      <c r="A697" s="4"/>
      <c r="B697" s="6"/>
    </row>
    <row r="698">
      <c r="A698" s="4"/>
      <c r="B698" s="6"/>
    </row>
    <row r="699">
      <c r="A699" s="4"/>
      <c r="B699" s="6"/>
    </row>
    <row r="700">
      <c r="A700" s="4"/>
      <c r="B700" s="6"/>
    </row>
    <row r="701">
      <c r="A701" s="4"/>
      <c r="B701" s="6"/>
    </row>
    <row r="702">
      <c r="A702" s="4"/>
      <c r="B702" s="6"/>
    </row>
    <row r="703">
      <c r="A703" s="4"/>
      <c r="B703" s="6"/>
    </row>
    <row r="704">
      <c r="A704" s="4"/>
      <c r="B704" s="6"/>
    </row>
    <row r="705">
      <c r="A705" s="4"/>
      <c r="B705" s="6"/>
    </row>
    <row r="706">
      <c r="A706" s="4"/>
      <c r="B706" s="6"/>
    </row>
    <row r="707">
      <c r="A707" s="4"/>
      <c r="B707" s="6"/>
    </row>
    <row r="708">
      <c r="A708" s="4"/>
      <c r="B708" s="6"/>
    </row>
    <row r="709">
      <c r="A709" s="4"/>
      <c r="B709" s="6"/>
    </row>
    <row r="710">
      <c r="A710" s="4"/>
      <c r="B710" s="6"/>
    </row>
    <row r="711">
      <c r="A711" s="4"/>
      <c r="B711" s="6"/>
    </row>
    <row r="712">
      <c r="A712" s="4"/>
      <c r="B712" s="6"/>
    </row>
    <row r="713">
      <c r="A713" s="4"/>
      <c r="B713" s="6"/>
    </row>
    <row r="714">
      <c r="A714" s="4"/>
      <c r="B714" s="6"/>
    </row>
    <row r="715">
      <c r="A715" s="4"/>
      <c r="B715" s="6"/>
    </row>
    <row r="716">
      <c r="A716" s="4"/>
      <c r="B716" s="6"/>
    </row>
    <row r="717">
      <c r="A717" s="4"/>
      <c r="B717" s="6"/>
    </row>
    <row r="718">
      <c r="A718" s="4"/>
      <c r="B718" s="6"/>
    </row>
    <row r="719">
      <c r="A719" s="4"/>
      <c r="B719" s="6"/>
    </row>
    <row r="720">
      <c r="A720" s="4"/>
      <c r="B720" s="6"/>
    </row>
    <row r="721">
      <c r="A721" s="4"/>
      <c r="B721" s="6"/>
    </row>
    <row r="722">
      <c r="A722" s="4"/>
      <c r="B722" s="6"/>
    </row>
    <row r="723">
      <c r="A723" s="4"/>
      <c r="B723" s="6"/>
    </row>
    <row r="724">
      <c r="A724" s="4"/>
      <c r="B724" s="6"/>
    </row>
    <row r="725">
      <c r="A725" s="4"/>
      <c r="B725" s="6"/>
    </row>
    <row r="726">
      <c r="A726" s="4"/>
      <c r="B726" s="6"/>
    </row>
    <row r="727">
      <c r="A727" s="4"/>
      <c r="B727" s="6"/>
    </row>
    <row r="728">
      <c r="A728" s="4"/>
      <c r="B728" s="6"/>
    </row>
    <row r="729">
      <c r="A729" s="4"/>
      <c r="B729" s="6"/>
    </row>
    <row r="730">
      <c r="A730" s="4"/>
      <c r="B730" s="6"/>
    </row>
    <row r="731">
      <c r="A731" s="4"/>
      <c r="B731" s="6"/>
    </row>
    <row r="732">
      <c r="A732" s="4"/>
      <c r="B732" s="6"/>
    </row>
    <row r="733">
      <c r="A733" s="4"/>
      <c r="B733" s="6"/>
    </row>
    <row r="734">
      <c r="A734" s="4"/>
      <c r="B734" s="6"/>
    </row>
    <row r="735">
      <c r="A735" s="4"/>
      <c r="B735" s="6"/>
    </row>
    <row r="736">
      <c r="A736" s="4"/>
      <c r="B736" s="6"/>
    </row>
    <row r="737">
      <c r="A737" s="4"/>
      <c r="B737" s="6"/>
    </row>
    <row r="738">
      <c r="A738" s="4"/>
      <c r="B738" s="6"/>
    </row>
    <row r="739">
      <c r="A739" s="4"/>
      <c r="B739" s="6"/>
    </row>
    <row r="740">
      <c r="A740" s="4"/>
      <c r="B740" s="6"/>
    </row>
    <row r="741">
      <c r="A741" s="4"/>
      <c r="B741" s="6"/>
    </row>
    <row r="742">
      <c r="A742" s="4"/>
      <c r="B742" s="6"/>
    </row>
    <row r="743">
      <c r="A743" s="4"/>
      <c r="B743" s="6"/>
    </row>
    <row r="744">
      <c r="A744" s="4"/>
      <c r="B744" s="6"/>
    </row>
    <row r="745">
      <c r="A745" s="4"/>
      <c r="B745" s="6"/>
    </row>
    <row r="746">
      <c r="A746" s="4"/>
      <c r="B746" s="6"/>
    </row>
    <row r="747">
      <c r="A747" s="4"/>
      <c r="B747" s="6"/>
    </row>
    <row r="748">
      <c r="A748" s="4"/>
      <c r="B748" s="6"/>
    </row>
    <row r="749">
      <c r="A749" s="4"/>
      <c r="B749" s="6"/>
    </row>
    <row r="750">
      <c r="A750" s="4"/>
      <c r="B750" s="6"/>
    </row>
    <row r="751">
      <c r="A751" s="4"/>
      <c r="B751" s="6"/>
    </row>
    <row r="752">
      <c r="A752" s="4"/>
      <c r="B752" s="6"/>
    </row>
    <row r="753">
      <c r="A753" s="4"/>
      <c r="B753" s="6"/>
    </row>
    <row r="754">
      <c r="A754" s="4"/>
      <c r="B754" s="6"/>
    </row>
    <row r="755">
      <c r="A755" s="4"/>
      <c r="B755" s="6"/>
    </row>
    <row r="756">
      <c r="A756" s="4"/>
      <c r="B756" s="6"/>
    </row>
    <row r="757">
      <c r="A757" s="4"/>
      <c r="B757" s="6"/>
    </row>
    <row r="758">
      <c r="A758" s="4"/>
      <c r="B758" s="6"/>
    </row>
    <row r="759">
      <c r="A759" s="4"/>
      <c r="B759" s="6"/>
    </row>
    <row r="760">
      <c r="A760" s="4"/>
      <c r="B760" s="6"/>
    </row>
    <row r="761">
      <c r="A761" s="4"/>
      <c r="B761" s="6"/>
    </row>
    <row r="762">
      <c r="A762" s="4"/>
      <c r="B762" s="6"/>
    </row>
    <row r="763">
      <c r="A763" s="4"/>
      <c r="B763" s="6"/>
    </row>
    <row r="764">
      <c r="A764" s="4"/>
      <c r="B764" s="6"/>
    </row>
    <row r="765">
      <c r="A765" s="4"/>
      <c r="B765" s="6"/>
    </row>
    <row r="766">
      <c r="A766" s="4"/>
      <c r="B766" s="6"/>
    </row>
    <row r="767">
      <c r="A767" s="4"/>
      <c r="B767" s="6"/>
    </row>
    <row r="768">
      <c r="A768" s="4"/>
      <c r="B768" s="6"/>
    </row>
    <row r="769">
      <c r="A769" s="4"/>
      <c r="B769" s="6"/>
    </row>
    <row r="770">
      <c r="A770" s="4"/>
      <c r="B770" s="6"/>
    </row>
    <row r="771">
      <c r="A771" s="4"/>
      <c r="B771" s="6"/>
    </row>
    <row r="772">
      <c r="A772" s="4"/>
      <c r="B772" s="6"/>
    </row>
    <row r="773">
      <c r="A773" s="4"/>
      <c r="B773" s="6"/>
    </row>
    <row r="774">
      <c r="A774" s="4"/>
      <c r="B774" s="6"/>
    </row>
    <row r="775">
      <c r="A775" s="4"/>
      <c r="B775" s="6"/>
    </row>
    <row r="776">
      <c r="A776" s="4"/>
      <c r="B776" s="6"/>
    </row>
    <row r="777">
      <c r="A777" s="4"/>
      <c r="B777" s="6"/>
    </row>
    <row r="778">
      <c r="A778" s="4"/>
      <c r="B778" s="6"/>
    </row>
    <row r="779">
      <c r="A779" s="4"/>
      <c r="B779" s="6"/>
    </row>
    <row r="780">
      <c r="A780" s="4"/>
      <c r="B780" s="6"/>
    </row>
    <row r="781">
      <c r="A781" s="4"/>
      <c r="B781" s="6"/>
    </row>
    <row r="782">
      <c r="A782" s="4"/>
      <c r="B782" s="6"/>
    </row>
    <row r="783">
      <c r="A783" s="4"/>
      <c r="B783" s="6"/>
    </row>
    <row r="784">
      <c r="A784" s="4"/>
      <c r="B784" s="6"/>
    </row>
    <row r="785">
      <c r="A785" s="4"/>
      <c r="B785" s="6"/>
    </row>
    <row r="786">
      <c r="A786" s="4"/>
      <c r="B786" s="6"/>
    </row>
    <row r="787">
      <c r="A787" s="4"/>
      <c r="B787" s="6"/>
    </row>
    <row r="788">
      <c r="A788" s="4"/>
      <c r="B788" s="6"/>
    </row>
    <row r="789">
      <c r="A789" s="4"/>
      <c r="B789" s="6"/>
    </row>
    <row r="790">
      <c r="A790" s="4"/>
      <c r="B790" s="6"/>
    </row>
    <row r="791">
      <c r="A791" s="4"/>
      <c r="B791" s="6"/>
    </row>
    <row r="792">
      <c r="A792" s="4"/>
      <c r="B792" s="6"/>
    </row>
    <row r="793">
      <c r="A793" s="4"/>
      <c r="B793" s="6"/>
    </row>
    <row r="794">
      <c r="A794" s="4"/>
      <c r="B794" s="6"/>
    </row>
    <row r="795">
      <c r="A795" s="4"/>
      <c r="B795" s="6"/>
    </row>
    <row r="796">
      <c r="A796" s="4"/>
      <c r="B796" s="6"/>
    </row>
    <row r="797">
      <c r="A797" s="4"/>
      <c r="B797" s="6"/>
    </row>
    <row r="798">
      <c r="A798" s="4"/>
      <c r="B798" s="6"/>
    </row>
    <row r="799">
      <c r="A799" s="4"/>
      <c r="B799" s="6"/>
    </row>
    <row r="800">
      <c r="A800" s="4"/>
      <c r="B800" s="6"/>
    </row>
    <row r="801">
      <c r="A801" s="4"/>
      <c r="B801" s="6"/>
    </row>
    <row r="802">
      <c r="A802" s="4"/>
      <c r="B802" s="6"/>
    </row>
    <row r="803">
      <c r="A803" s="4"/>
      <c r="B803" s="6"/>
    </row>
    <row r="804">
      <c r="A804" s="4"/>
      <c r="B804" s="6"/>
    </row>
    <row r="805">
      <c r="A805" s="4"/>
      <c r="B805" s="6"/>
    </row>
    <row r="806">
      <c r="A806" s="4"/>
      <c r="B806" s="6"/>
    </row>
    <row r="807">
      <c r="A807" s="4"/>
      <c r="B807" s="6"/>
    </row>
    <row r="808">
      <c r="A808" s="4"/>
      <c r="B808" s="6"/>
    </row>
    <row r="809">
      <c r="A809" s="4"/>
      <c r="B809" s="6"/>
    </row>
    <row r="810">
      <c r="A810" s="4"/>
      <c r="B810" s="6"/>
    </row>
    <row r="811">
      <c r="A811" s="4"/>
      <c r="B811" s="6"/>
    </row>
    <row r="812">
      <c r="A812" s="4"/>
      <c r="B812" s="6"/>
    </row>
    <row r="813">
      <c r="A813" s="4"/>
      <c r="B813" s="6"/>
    </row>
    <row r="814">
      <c r="A814" s="4"/>
      <c r="B814" s="6"/>
    </row>
    <row r="815">
      <c r="A815" s="4"/>
      <c r="B815" s="6"/>
    </row>
    <row r="816">
      <c r="A816" s="4"/>
      <c r="B816" s="6"/>
    </row>
    <row r="817">
      <c r="A817" s="4"/>
      <c r="B817" s="6"/>
    </row>
    <row r="818">
      <c r="A818" s="4"/>
      <c r="B818" s="6"/>
    </row>
    <row r="819">
      <c r="A819" s="4"/>
      <c r="B819" s="6"/>
    </row>
    <row r="820">
      <c r="A820" s="4"/>
      <c r="B820" s="6"/>
    </row>
    <row r="821">
      <c r="A821" s="4"/>
      <c r="B821" s="6"/>
    </row>
    <row r="822">
      <c r="A822" s="4"/>
      <c r="B822" s="6"/>
    </row>
    <row r="823">
      <c r="A823" s="4"/>
      <c r="B823" s="6"/>
    </row>
    <row r="824">
      <c r="A824" s="4"/>
      <c r="B824" s="6"/>
    </row>
    <row r="825">
      <c r="A825" s="4"/>
      <c r="B825" s="6"/>
    </row>
    <row r="826">
      <c r="A826" s="4"/>
      <c r="B826" s="6"/>
    </row>
    <row r="827">
      <c r="A827" s="4"/>
      <c r="B827" s="6"/>
    </row>
    <row r="828">
      <c r="A828" s="4"/>
      <c r="B828" s="6"/>
    </row>
    <row r="829">
      <c r="A829" s="4"/>
      <c r="B829" s="6"/>
    </row>
    <row r="830">
      <c r="A830" s="4"/>
      <c r="B830" s="6"/>
    </row>
    <row r="831">
      <c r="A831" s="4"/>
      <c r="B831" s="6"/>
    </row>
    <row r="832">
      <c r="A832" s="4"/>
      <c r="B832" s="6"/>
    </row>
    <row r="833">
      <c r="A833" s="4"/>
      <c r="B833" s="6"/>
    </row>
    <row r="834">
      <c r="A834" s="4"/>
      <c r="B834" s="6"/>
    </row>
    <row r="835">
      <c r="A835" s="4"/>
      <c r="B835" s="6"/>
    </row>
    <row r="836">
      <c r="A836" s="4"/>
      <c r="B836" s="6"/>
    </row>
    <row r="837">
      <c r="A837" s="4"/>
      <c r="B837" s="6"/>
    </row>
    <row r="838">
      <c r="A838" s="4"/>
      <c r="B838" s="6"/>
    </row>
    <row r="839">
      <c r="A839" s="4"/>
      <c r="B839" s="6"/>
    </row>
    <row r="840">
      <c r="A840" s="4"/>
      <c r="B840" s="6"/>
    </row>
    <row r="841">
      <c r="A841" s="4"/>
      <c r="B841" s="6"/>
    </row>
    <row r="842">
      <c r="A842" s="4"/>
      <c r="B842" s="6"/>
    </row>
    <row r="843">
      <c r="A843" s="4"/>
      <c r="B843" s="6"/>
    </row>
    <row r="844">
      <c r="A844" s="4"/>
      <c r="B844" s="6"/>
    </row>
    <row r="845">
      <c r="A845" s="4"/>
      <c r="B845" s="6"/>
    </row>
    <row r="846">
      <c r="A846" s="4"/>
      <c r="B846" s="6"/>
    </row>
    <row r="847">
      <c r="A847" s="4"/>
      <c r="B847" s="6"/>
    </row>
    <row r="848">
      <c r="A848" s="4"/>
      <c r="B848" s="6"/>
    </row>
    <row r="849">
      <c r="A849" s="4"/>
      <c r="B849" s="6"/>
    </row>
    <row r="850">
      <c r="A850" s="4"/>
      <c r="B850" s="6"/>
    </row>
    <row r="851">
      <c r="A851" s="4"/>
      <c r="B851" s="6"/>
    </row>
    <row r="852">
      <c r="A852" s="4"/>
      <c r="B852" s="6"/>
    </row>
    <row r="853">
      <c r="A853" s="4"/>
      <c r="B853" s="6"/>
    </row>
    <row r="854">
      <c r="A854" s="4"/>
      <c r="B854" s="6"/>
    </row>
    <row r="855">
      <c r="A855" s="4"/>
      <c r="B855" s="6"/>
    </row>
    <row r="856">
      <c r="A856" s="4"/>
      <c r="B856" s="6"/>
    </row>
    <row r="857">
      <c r="A857" s="4"/>
      <c r="B857" s="6"/>
    </row>
    <row r="858">
      <c r="A858" s="4"/>
      <c r="B858" s="6"/>
    </row>
    <row r="859">
      <c r="A859" s="4"/>
      <c r="B859" s="6"/>
    </row>
    <row r="860">
      <c r="A860" s="4"/>
      <c r="B860" s="6"/>
    </row>
    <row r="861">
      <c r="A861" s="4"/>
      <c r="B861" s="6"/>
    </row>
    <row r="862">
      <c r="A862" s="4"/>
      <c r="B862" s="6"/>
    </row>
    <row r="863">
      <c r="A863" s="4"/>
      <c r="B863" s="6"/>
    </row>
    <row r="864">
      <c r="A864" s="4"/>
      <c r="B864" s="6"/>
    </row>
    <row r="865">
      <c r="A865" s="4"/>
      <c r="B865" s="6"/>
    </row>
    <row r="866">
      <c r="A866" s="4"/>
      <c r="B866" s="6"/>
    </row>
    <row r="867">
      <c r="A867" s="4"/>
      <c r="B867" s="6"/>
    </row>
    <row r="868">
      <c r="A868" s="4"/>
      <c r="B868" s="6"/>
    </row>
    <row r="869">
      <c r="A869" s="4"/>
      <c r="B869" s="6"/>
    </row>
    <row r="870">
      <c r="A870" s="4"/>
      <c r="B870" s="6"/>
    </row>
    <row r="871">
      <c r="A871" s="4"/>
      <c r="B871" s="6"/>
    </row>
    <row r="872">
      <c r="A872" s="4"/>
      <c r="B872" s="6"/>
    </row>
    <row r="873">
      <c r="A873" s="4"/>
      <c r="B873" s="6"/>
    </row>
    <row r="874">
      <c r="A874" s="4"/>
      <c r="B874" s="6"/>
    </row>
    <row r="875">
      <c r="A875" s="4"/>
      <c r="B875" s="6"/>
    </row>
    <row r="876">
      <c r="A876" s="4"/>
      <c r="B876" s="6"/>
    </row>
    <row r="877">
      <c r="A877" s="4"/>
      <c r="B877" s="6"/>
    </row>
    <row r="878">
      <c r="A878" s="4"/>
      <c r="B878" s="6"/>
    </row>
    <row r="879">
      <c r="A879" s="4"/>
      <c r="B879" s="6"/>
    </row>
    <row r="880">
      <c r="A880" s="4"/>
      <c r="B880" s="6"/>
    </row>
    <row r="881">
      <c r="A881" s="4"/>
      <c r="B881" s="6"/>
    </row>
    <row r="882">
      <c r="A882" s="4"/>
      <c r="B882" s="6"/>
    </row>
    <row r="883">
      <c r="A883" s="4"/>
      <c r="B883" s="6"/>
    </row>
    <row r="884">
      <c r="A884" s="4"/>
      <c r="B884" s="6"/>
    </row>
    <row r="885">
      <c r="A885" s="4"/>
      <c r="B885" s="6"/>
    </row>
    <row r="886">
      <c r="A886" s="4"/>
      <c r="B886" s="6"/>
    </row>
    <row r="887">
      <c r="A887" s="4"/>
      <c r="B887" s="6"/>
    </row>
    <row r="888">
      <c r="A888" s="4"/>
      <c r="B888" s="6"/>
    </row>
    <row r="889">
      <c r="A889" s="4"/>
      <c r="B889" s="6"/>
    </row>
    <row r="890">
      <c r="A890" s="4"/>
      <c r="B890" s="6"/>
    </row>
    <row r="891">
      <c r="A891" s="4"/>
      <c r="B891" s="6"/>
    </row>
    <row r="892">
      <c r="A892" s="4"/>
      <c r="B892" s="6"/>
    </row>
    <row r="893">
      <c r="A893" s="4"/>
      <c r="B893" s="6"/>
    </row>
    <row r="894">
      <c r="A894" s="4"/>
      <c r="B894" s="6"/>
    </row>
    <row r="895">
      <c r="A895" s="4"/>
      <c r="B895" s="6"/>
    </row>
    <row r="896">
      <c r="A896" s="4"/>
      <c r="B896" s="6"/>
    </row>
    <row r="897">
      <c r="A897" s="4"/>
      <c r="B897" s="6"/>
    </row>
    <row r="898">
      <c r="A898" s="4"/>
      <c r="B898" s="6"/>
    </row>
    <row r="899">
      <c r="A899" s="4"/>
      <c r="B899" s="6"/>
    </row>
    <row r="900">
      <c r="A900" s="4"/>
      <c r="B900" s="6"/>
    </row>
    <row r="901">
      <c r="A901" s="4"/>
      <c r="B901" s="6"/>
    </row>
    <row r="902">
      <c r="A902" s="4"/>
      <c r="B902" s="6"/>
    </row>
    <row r="903">
      <c r="A903" s="4"/>
      <c r="B903" s="6"/>
    </row>
    <row r="904">
      <c r="A904" s="4"/>
      <c r="B904" s="6"/>
    </row>
    <row r="905">
      <c r="A905" s="4"/>
      <c r="B905" s="6"/>
    </row>
    <row r="906">
      <c r="A906" s="4"/>
      <c r="B906" s="6"/>
    </row>
    <row r="907">
      <c r="A907" s="4"/>
      <c r="B907" s="6"/>
    </row>
    <row r="908">
      <c r="A908" s="4"/>
      <c r="B908" s="6"/>
    </row>
    <row r="909">
      <c r="A909" s="4"/>
      <c r="B909" s="6"/>
    </row>
    <row r="910">
      <c r="A910" s="4"/>
      <c r="B910" s="6"/>
    </row>
    <row r="911">
      <c r="A911" s="4"/>
      <c r="B911" s="6"/>
    </row>
    <row r="912">
      <c r="A912" s="4"/>
      <c r="B912" s="6"/>
    </row>
    <row r="913">
      <c r="A913" s="4"/>
      <c r="B913" s="6"/>
    </row>
    <row r="914">
      <c r="A914" s="4"/>
      <c r="B914" s="6"/>
    </row>
    <row r="915">
      <c r="A915" s="4"/>
      <c r="B915" s="6"/>
    </row>
    <row r="916">
      <c r="A916" s="4"/>
      <c r="B916" s="6"/>
    </row>
    <row r="917">
      <c r="A917" s="4"/>
      <c r="B917" s="6"/>
    </row>
    <row r="918">
      <c r="A918" s="4"/>
      <c r="B918" s="6"/>
    </row>
    <row r="919">
      <c r="A919" s="4"/>
      <c r="B919" s="6"/>
    </row>
    <row r="920">
      <c r="A920" s="4"/>
      <c r="B920" s="6"/>
    </row>
    <row r="921">
      <c r="A921" s="4"/>
      <c r="B921" s="6"/>
    </row>
    <row r="922">
      <c r="A922" s="4"/>
      <c r="B922" s="6"/>
    </row>
    <row r="923">
      <c r="A923" s="4"/>
      <c r="B923" s="6"/>
    </row>
    <row r="924">
      <c r="A924" s="4"/>
      <c r="B924" s="6"/>
    </row>
    <row r="925">
      <c r="A925" s="4"/>
      <c r="B925" s="6"/>
    </row>
    <row r="926">
      <c r="A926" s="4"/>
      <c r="B926" s="6"/>
    </row>
    <row r="927">
      <c r="A927" s="4"/>
      <c r="B927" s="6"/>
    </row>
    <row r="928">
      <c r="A928" s="4"/>
      <c r="B928" s="6"/>
    </row>
    <row r="929">
      <c r="A929" s="4"/>
      <c r="B929" s="6"/>
    </row>
    <row r="930">
      <c r="A930" s="4"/>
      <c r="B930" s="6"/>
    </row>
    <row r="931">
      <c r="A931" s="4"/>
      <c r="B931" s="6"/>
    </row>
    <row r="932">
      <c r="A932" s="4"/>
      <c r="B932" s="6"/>
    </row>
    <row r="933">
      <c r="A933" s="4"/>
      <c r="B933" s="6"/>
    </row>
    <row r="934">
      <c r="A934" s="4"/>
      <c r="B934" s="6"/>
    </row>
    <row r="935">
      <c r="A935" s="4"/>
      <c r="B935" s="6"/>
    </row>
    <row r="936">
      <c r="A936" s="4"/>
      <c r="B936" s="6"/>
    </row>
    <row r="937">
      <c r="A937" s="4"/>
      <c r="B937" s="6"/>
    </row>
    <row r="938">
      <c r="A938" s="4"/>
      <c r="B938" s="6"/>
    </row>
    <row r="939">
      <c r="A939" s="4"/>
      <c r="B939" s="6"/>
    </row>
    <row r="940">
      <c r="A940" s="4"/>
      <c r="B940" s="6"/>
    </row>
    <row r="941">
      <c r="A941" s="4"/>
      <c r="B941" s="6"/>
    </row>
    <row r="942">
      <c r="A942" s="4"/>
      <c r="B942" s="6"/>
    </row>
    <row r="943">
      <c r="A943" s="4"/>
      <c r="B943" s="6"/>
    </row>
    <row r="944">
      <c r="A944" s="4"/>
      <c r="B944" s="6"/>
    </row>
    <row r="945">
      <c r="A945" s="4"/>
      <c r="B945" s="6"/>
    </row>
    <row r="946">
      <c r="A946" s="4"/>
      <c r="B946" s="6"/>
    </row>
    <row r="947">
      <c r="A947" s="4"/>
      <c r="B947" s="6"/>
    </row>
    <row r="948">
      <c r="A948" s="4"/>
      <c r="B948" s="6"/>
    </row>
    <row r="949">
      <c r="A949" s="4"/>
      <c r="B949" s="6"/>
    </row>
    <row r="950">
      <c r="A950" s="4"/>
      <c r="B950" s="6"/>
    </row>
    <row r="951">
      <c r="A951" s="4"/>
      <c r="B951" s="6"/>
    </row>
    <row r="952">
      <c r="A952" s="4"/>
      <c r="B952" s="6"/>
    </row>
    <row r="953">
      <c r="A953" s="4"/>
      <c r="B953" s="6"/>
    </row>
    <row r="954">
      <c r="A954" s="4"/>
      <c r="B954" s="6"/>
    </row>
    <row r="955">
      <c r="A955" s="4"/>
      <c r="B955" s="6"/>
    </row>
    <row r="956">
      <c r="A956" s="4"/>
      <c r="B956" s="6"/>
    </row>
    <row r="957">
      <c r="A957" s="4"/>
      <c r="B957" s="6"/>
    </row>
    <row r="958">
      <c r="A958" s="4"/>
      <c r="B958" s="6"/>
    </row>
    <row r="959">
      <c r="A959" s="4"/>
      <c r="B959" s="6"/>
    </row>
    <row r="960">
      <c r="A960" s="4"/>
      <c r="B960" s="6"/>
    </row>
    <row r="961">
      <c r="A961" s="4"/>
      <c r="B961" s="6"/>
    </row>
    <row r="962">
      <c r="A962" s="4"/>
      <c r="B962" s="6"/>
    </row>
    <row r="963">
      <c r="A963" s="4"/>
      <c r="B963" s="6"/>
    </row>
    <row r="964">
      <c r="A964" s="4"/>
      <c r="B964" s="6"/>
    </row>
    <row r="965">
      <c r="A965" s="4"/>
      <c r="B965" s="6"/>
    </row>
    <row r="966">
      <c r="A966" s="4"/>
      <c r="B966" s="6"/>
    </row>
    <row r="967">
      <c r="A967" s="4"/>
      <c r="B967" s="6"/>
    </row>
    <row r="968">
      <c r="A968" s="4"/>
      <c r="B968" s="6"/>
    </row>
    <row r="969">
      <c r="A969" s="4"/>
      <c r="B969" s="6"/>
    </row>
    <row r="970">
      <c r="A970" s="4"/>
      <c r="B970" s="6"/>
    </row>
    <row r="971">
      <c r="A971" s="4"/>
      <c r="B971" s="6"/>
    </row>
    <row r="972">
      <c r="A972" s="4"/>
      <c r="B972" s="6"/>
    </row>
    <row r="973">
      <c r="A973" s="4"/>
      <c r="B973" s="6"/>
    </row>
    <row r="974">
      <c r="A974" s="4"/>
      <c r="B974" s="6"/>
    </row>
    <row r="975">
      <c r="A975" s="4"/>
      <c r="B975" s="6"/>
    </row>
    <row r="976">
      <c r="A976" s="4"/>
      <c r="B976" s="6"/>
    </row>
    <row r="977">
      <c r="A977" s="4"/>
      <c r="B977" s="6"/>
    </row>
    <row r="978">
      <c r="A978" s="4"/>
      <c r="B978" s="6"/>
    </row>
    <row r="979">
      <c r="A979" s="4"/>
      <c r="B979" s="6"/>
    </row>
    <row r="980">
      <c r="A980" s="4"/>
      <c r="B980" s="6"/>
    </row>
    <row r="981">
      <c r="A981" s="4"/>
      <c r="B981" s="6"/>
    </row>
    <row r="982">
      <c r="A982" s="4"/>
      <c r="B982" s="6"/>
    </row>
    <row r="983">
      <c r="A983" s="4"/>
      <c r="B983" s="6"/>
    </row>
    <row r="984">
      <c r="A984" s="4"/>
      <c r="B984" s="6"/>
    </row>
    <row r="985">
      <c r="A985" s="4"/>
      <c r="B985" s="6"/>
    </row>
    <row r="986">
      <c r="A986" s="4"/>
      <c r="B986" s="6"/>
    </row>
    <row r="987">
      <c r="A987" s="4"/>
      <c r="B987" s="6"/>
    </row>
    <row r="988">
      <c r="A988" s="4"/>
      <c r="B988" s="6"/>
    </row>
    <row r="989">
      <c r="A989" s="4"/>
      <c r="B989" s="6"/>
    </row>
    <row r="990">
      <c r="A990" s="4"/>
      <c r="B990" s="6"/>
    </row>
    <row r="991">
      <c r="A991" s="4"/>
      <c r="B991" s="6"/>
    </row>
    <row r="992">
      <c r="A992" s="4"/>
      <c r="B992" s="6"/>
    </row>
    <row r="993">
      <c r="A993" s="4"/>
      <c r="B993" s="6"/>
    </row>
    <row r="994">
      <c r="A994" s="4"/>
      <c r="B994" s="6"/>
    </row>
    <row r="995">
      <c r="A995" s="4"/>
      <c r="B995" s="6"/>
    </row>
    <row r="996">
      <c r="A996" s="4"/>
      <c r="B996" s="6"/>
    </row>
    <row r="997">
      <c r="A997" s="4"/>
      <c r="B997" s="6"/>
    </row>
    <row r="998">
      <c r="A998" s="4"/>
      <c r="B998" s="6"/>
    </row>
    <row r="999">
      <c r="A999" s="4"/>
      <c r="B999" s="6"/>
    </row>
    <row r="1000">
      <c r="A1000" s="4"/>
      <c r="B1000" s="6"/>
    </row>
    <row r="1001">
      <c r="A1001" s="4"/>
      <c r="B1001" s="6"/>
    </row>
    <row r="1002">
      <c r="A1002" s="4"/>
      <c r="B1002" s="6"/>
    </row>
    <row r="1003">
      <c r="A1003" s="4"/>
      <c r="B1003" s="6"/>
    </row>
    <row r="1004">
      <c r="A1004" s="4"/>
      <c r="B1004" s="6"/>
    </row>
    <row r="1005">
      <c r="A1005" s="4"/>
      <c r="B1005" s="6"/>
    </row>
    <row r="1006">
      <c r="A1006" s="4"/>
      <c r="B1006" s="6"/>
    </row>
    <row r="1007">
      <c r="A1007" s="4"/>
      <c r="B1007" s="6"/>
    </row>
    <row r="1008">
      <c r="A1008" s="4"/>
      <c r="B1008" s="6"/>
    </row>
    <row r="1009">
      <c r="A1009" s="4"/>
      <c r="B1009" s="6"/>
    </row>
    <row r="1010">
      <c r="A1010" s="4"/>
      <c r="B1010" s="6"/>
    </row>
    <row r="1011">
      <c r="A1011" s="4"/>
      <c r="B1011" s="6"/>
    </row>
    <row r="1012">
      <c r="A1012" s="4"/>
      <c r="B1012" s="6"/>
    </row>
    <row r="1013">
      <c r="A1013" s="4"/>
      <c r="B1013" s="6"/>
    </row>
    <row r="1014">
      <c r="A1014" s="4"/>
      <c r="B1014" s="6"/>
    </row>
    <row r="1015">
      <c r="A1015" s="4"/>
      <c r="B1015" s="6"/>
    </row>
    <row r="1016">
      <c r="A1016" s="4"/>
      <c r="B1016" s="6"/>
    </row>
    <row r="1017">
      <c r="A1017" s="4"/>
      <c r="B1017" s="6"/>
    </row>
    <row r="1018">
      <c r="A1018" s="4"/>
      <c r="B1018" s="6"/>
    </row>
    <row r="1019">
      <c r="A1019" s="4"/>
      <c r="B1019" s="6"/>
    </row>
    <row r="1020">
      <c r="A1020" s="4"/>
      <c r="B1020" s="6"/>
    </row>
    <row r="1021">
      <c r="A1021" s="4"/>
      <c r="B1021" s="6"/>
    </row>
    <row r="1022">
      <c r="A1022" s="4"/>
      <c r="B1022" s="6"/>
    </row>
    <row r="1023">
      <c r="A1023" s="4"/>
      <c r="B1023" s="6"/>
    </row>
    <row r="1024">
      <c r="A1024" s="4"/>
      <c r="B1024" s="6"/>
    </row>
    <row r="1025">
      <c r="A1025" s="4"/>
      <c r="B1025" s="6"/>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9.38"/>
    <col customWidth="1" min="3" max="3" width="18.25"/>
    <col customWidth="1" min="4" max="4" width="14.0"/>
    <col customWidth="1" min="5" max="5" width="16.63"/>
    <col customWidth="1" min="6" max="6" width="12.0"/>
    <col customWidth="1" min="7" max="7" width="14.25"/>
    <col customWidth="1" min="8" max="8" width="16.63"/>
    <col customWidth="1" min="9" max="9" width="19.38"/>
    <col customWidth="1" min="10" max="10" width="17.5"/>
    <col customWidth="1" min="11" max="11" width="16.63"/>
    <col customWidth="1" min="12" max="12" width="14.75"/>
  </cols>
  <sheetData>
    <row r="1">
      <c r="A1" s="7" t="s">
        <v>22</v>
      </c>
      <c r="B1" s="8"/>
      <c r="C1" s="9"/>
      <c r="D1" s="9"/>
      <c r="E1" s="9"/>
      <c r="F1" s="9"/>
      <c r="G1" s="9"/>
      <c r="H1" s="9"/>
      <c r="I1" s="9"/>
      <c r="J1" s="9"/>
      <c r="K1" s="9"/>
      <c r="L1" s="9"/>
      <c r="M1" s="9"/>
      <c r="N1" s="9"/>
      <c r="O1" s="9"/>
      <c r="P1" s="9"/>
      <c r="Q1" s="9"/>
      <c r="R1" s="9"/>
      <c r="S1" s="9"/>
      <c r="T1" s="9"/>
      <c r="U1" s="9"/>
      <c r="V1" s="9"/>
      <c r="W1" s="9"/>
      <c r="X1" s="9"/>
      <c r="Y1" s="9"/>
      <c r="Z1" s="9"/>
      <c r="AA1" s="9"/>
    </row>
    <row r="2">
      <c r="B2" s="7" t="s">
        <v>23</v>
      </c>
      <c r="C2" s="10">
        <v>1.0765E7</v>
      </c>
    </row>
    <row r="3">
      <c r="B3" s="7" t="s">
        <v>24</v>
      </c>
      <c r="C3" s="11">
        <v>42237.0</v>
      </c>
    </row>
    <row r="4">
      <c r="B4" s="7" t="s">
        <v>25</v>
      </c>
      <c r="C4" s="5" t="s">
        <v>26</v>
      </c>
    </row>
    <row r="5">
      <c r="A5" s="12" t="s">
        <v>27</v>
      </c>
      <c r="B5" s="9"/>
      <c r="C5" s="9"/>
      <c r="D5" s="9"/>
      <c r="E5" s="9"/>
      <c r="F5" s="9"/>
      <c r="G5" s="9"/>
      <c r="H5" s="9"/>
      <c r="I5" s="9"/>
      <c r="J5" s="9"/>
      <c r="K5" s="9"/>
      <c r="L5" s="9"/>
      <c r="M5" s="9"/>
      <c r="N5" s="9"/>
      <c r="O5" s="9"/>
      <c r="P5" s="9"/>
      <c r="Q5" s="9"/>
      <c r="R5" s="9"/>
      <c r="S5" s="9"/>
      <c r="T5" s="9"/>
      <c r="U5" s="9"/>
      <c r="V5" s="9"/>
      <c r="W5" s="9"/>
      <c r="X5" s="9"/>
      <c r="Y5" s="9"/>
      <c r="Z5" s="9"/>
      <c r="AA5" s="9"/>
    </row>
    <row r="6">
      <c r="A6" s="12" t="s">
        <v>28</v>
      </c>
      <c r="B6" s="12" t="s">
        <v>24</v>
      </c>
      <c r="C6" s="12" t="s">
        <v>29</v>
      </c>
      <c r="D6" s="12" t="s">
        <v>30</v>
      </c>
      <c r="E6" s="12" t="s">
        <v>31</v>
      </c>
      <c r="F6" s="12" t="s">
        <v>32</v>
      </c>
      <c r="G6" s="12" t="s">
        <v>33</v>
      </c>
      <c r="H6" s="12" t="s">
        <v>34</v>
      </c>
      <c r="I6" s="12" t="s">
        <v>35</v>
      </c>
      <c r="J6" s="12" t="s">
        <v>36</v>
      </c>
      <c r="K6" s="12" t="s">
        <v>37</v>
      </c>
      <c r="L6" s="12" t="s">
        <v>38</v>
      </c>
      <c r="M6" s="13"/>
      <c r="N6" s="13"/>
      <c r="O6" s="13"/>
      <c r="P6" s="13"/>
      <c r="Q6" s="13"/>
      <c r="R6" s="13"/>
      <c r="S6" s="13"/>
      <c r="T6" s="13"/>
      <c r="U6" s="13"/>
      <c r="V6" s="13"/>
      <c r="W6" s="13"/>
      <c r="X6" s="13"/>
      <c r="Y6" s="13"/>
      <c r="Z6" s="13"/>
      <c r="AA6" s="13"/>
    </row>
    <row r="7">
      <c r="A7" s="14">
        <f t="shared" ref="A7:A1008" si="1">IF($C7="","",IF(ROW()=7,1,A6+1))</f>
        <v>1</v>
      </c>
      <c r="B7" s="15">
        <f>IF($C7="","",IF(ROW()=7,Input!$C$3,C6))</f>
        <v>42237</v>
      </c>
      <c r="C7" s="11">
        <v>44428.0</v>
      </c>
      <c r="D7" s="5" t="s">
        <v>39</v>
      </c>
      <c r="E7" s="10" t="s">
        <v>23</v>
      </c>
      <c r="F7" s="16">
        <v>0.05</v>
      </c>
      <c r="G7" s="5" t="s">
        <v>40</v>
      </c>
      <c r="H7" s="5" t="s">
        <v>41</v>
      </c>
      <c r="I7" s="10">
        <v>0.0</v>
      </c>
      <c r="J7" s="10">
        <v>0.0</v>
      </c>
      <c r="K7" s="5" t="b">
        <v>1</v>
      </c>
      <c r="L7" s="5" t="b">
        <v>1</v>
      </c>
    </row>
    <row r="8">
      <c r="A8" s="14">
        <f t="shared" si="1"/>
        <v>2</v>
      </c>
      <c r="B8" s="15">
        <f>IF($C8="","",IF(ROW()=7,Input!$C$3,C7))</f>
        <v>44428</v>
      </c>
      <c r="C8" s="11">
        <v>45922.0</v>
      </c>
      <c r="D8" s="5" t="s">
        <v>39</v>
      </c>
      <c r="E8" s="10" t="s">
        <v>23</v>
      </c>
      <c r="F8" s="16">
        <v>0.24</v>
      </c>
      <c r="G8" s="5" t="s">
        <v>40</v>
      </c>
      <c r="H8" s="5" t="s">
        <v>41</v>
      </c>
      <c r="I8" s="10">
        <v>0.0</v>
      </c>
      <c r="J8" s="10">
        <v>0.0</v>
      </c>
      <c r="K8" s="5" t="b">
        <v>0</v>
      </c>
      <c r="L8" s="5" t="b">
        <v>1</v>
      </c>
    </row>
    <row r="9">
      <c r="A9" s="14" t="str">
        <f t="shared" si="1"/>
        <v/>
      </c>
      <c r="B9" s="15" t="str">
        <f>IF($C9="","",IF(ROW()=7,Input!$C$3,C8))</f>
        <v/>
      </c>
      <c r="C9" s="11"/>
      <c r="D9" s="6"/>
      <c r="E9" s="10"/>
      <c r="F9" s="16"/>
      <c r="G9" s="6"/>
      <c r="H9" s="6"/>
      <c r="I9" s="10">
        <v>0.0</v>
      </c>
      <c r="J9" s="10">
        <v>0.0</v>
      </c>
      <c r="K9" s="5" t="b">
        <v>0</v>
      </c>
      <c r="L9" s="5" t="b">
        <v>1</v>
      </c>
    </row>
    <row r="10">
      <c r="A10" s="14" t="str">
        <f t="shared" si="1"/>
        <v/>
      </c>
      <c r="B10" s="15" t="str">
        <f>IF($C10="","",IF(ROW()=7,Input!$C$3,C9))</f>
        <v/>
      </c>
      <c r="C10" s="11"/>
      <c r="D10" s="6"/>
      <c r="E10" s="10"/>
      <c r="F10" s="16"/>
      <c r="G10" s="6"/>
      <c r="H10" s="6"/>
      <c r="I10" s="10">
        <v>0.0</v>
      </c>
      <c r="J10" s="10">
        <v>0.0</v>
      </c>
      <c r="K10" s="5" t="b">
        <v>0</v>
      </c>
      <c r="L10" s="5" t="b">
        <v>1</v>
      </c>
    </row>
    <row r="11">
      <c r="A11" s="14" t="str">
        <f t="shared" si="1"/>
        <v/>
      </c>
      <c r="B11" s="15" t="str">
        <f>IF($C11="","",IF(ROW()=7,Input!$C$3,C10))</f>
        <v/>
      </c>
      <c r="C11" s="11"/>
      <c r="D11" s="6"/>
      <c r="E11" s="10"/>
      <c r="F11" s="16"/>
      <c r="G11" s="6"/>
      <c r="H11" s="6"/>
      <c r="I11" s="10">
        <v>0.0</v>
      </c>
      <c r="J11" s="10">
        <v>0.0</v>
      </c>
      <c r="K11" s="5" t="b">
        <v>0</v>
      </c>
      <c r="L11" s="5" t="b">
        <v>1</v>
      </c>
    </row>
    <row r="12">
      <c r="A12" s="14" t="str">
        <f t="shared" si="1"/>
        <v/>
      </c>
      <c r="B12" s="15" t="str">
        <f>IF($C12="","",IF(ROW()=7,Input!$C$3,C11))</f>
        <v/>
      </c>
      <c r="C12" s="11"/>
      <c r="D12" s="6"/>
      <c r="E12" s="10"/>
      <c r="F12" s="16"/>
      <c r="G12" s="6"/>
      <c r="H12" s="6"/>
      <c r="I12" s="10">
        <v>0.0</v>
      </c>
      <c r="J12" s="10">
        <v>0.0</v>
      </c>
      <c r="K12" s="5" t="b">
        <v>0</v>
      </c>
      <c r="L12" s="5" t="b">
        <v>1</v>
      </c>
    </row>
    <row r="13">
      <c r="A13" s="14" t="str">
        <f t="shared" si="1"/>
        <v/>
      </c>
      <c r="B13" s="15" t="str">
        <f>IF($C13="","",IF(ROW()=7,Input!$C$3,C12))</f>
        <v/>
      </c>
      <c r="C13" s="6"/>
      <c r="D13" s="6"/>
      <c r="E13" s="10"/>
      <c r="G13" s="6"/>
      <c r="H13" s="6"/>
      <c r="I13" s="10">
        <v>0.0</v>
      </c>
      <c r="J13" s="10">
        <v>0.0</v>
      </c>
      <c r="K13" s="5" t="b">
        <v>0</v>
      </c>
      <c r="L13" s="5" t="b">
        <v>1</v>
      </c>
    </row>
    <row r="14">
      <c r="A14" s="14" t="str">
        <f t="shared" si="1"/>
        <v/>
      </c>
      <c r="B14" s="15" t="str">
        <f>IF($C14="","",IF(ROW()=7,Input!$C$3,C13))</f>
        <v/>
      </c>
      <c r="C14" s="6"/>
      <c r="D14" s="6"/>
      <c r="E14" s="10"/>
      <c r="G14" s="6"/>
      <c r="H14" s="6"/>
      <c r="I14" s="10">
        <v>0.0</v>
      </c>
      <c r="J14" s="10">
        <v>0.0</v>
      </c>
      <c r="K14" s="5" t="b">
        <v>0</v>
      </c>
      <c r="L14" s="5" t="b">
        <v>1</v>
      </c>
    </row>
    <row r="15">
      <c r="A15" s="14" t="str">
        <f t="shared" si="1"/>
        <v/>
      </c>
      <c r="B15" s="15" t="str">
        <f>IF($C15="","",IF(ROW()=7,Input!$C$3,C14))</f>
        <v/>
      </c>
      <c r="C15" s="6"/>
      <c r="D15" s="6"/>
      <c r="E15" s="10"/>
      <c r="G15" s="6"/>
      <c r="H15" s="6"/>
      <c r="I15" s="10">
        <v>0.0</v>
      </c>
      <c r="J15" s="10">
        <v>0.0</v>
      </c>
      <c r="K15" s="5" t="b">
        <v>0</v>
      </c>
      <c r="L15" s="5" t="b">
        <v>1</v>
      </c>
    </row>
    <row r="16">
      <c r="A16" s="14" t="str">
        <f t="shared" si="1"/>
        <v/>
      </c>
      <c r="B16" s="15" t="str">
        <f>IF($C16="","",IF(ROW()=7,Input!$C$3,C15))</f>
        <v/>
      </c>
      <c r="C16" s="6"/>
      <c r="D16" s="6"/>
      <c r="E16" s="10"/>
      <c r="G16" s="6"/>
      <c r="H16" s="6"/>
      <c r="I16" s="10">
        <v>0.0</v>
      </c>
      <c r="J16" s="10">
        <v>0.0</v>
      </c>
      <c r="K16" s="5" t="b">
        <v>0</v>
      </c>
      <c r="L16" s="5" t="b">
        <v>1</v>
      </c>
    </row>
    <row r="17">
      <c r="A17" s="14" t="str">
        <f t="shared" si="1"/>
        <v/>
      </c>
      <c r="B17" s="15" t="str">
        <f>IF($C17="","",IF(ROW()=7,Input!$C$3,C16))</f>
        <v/>
      </c>
      <c r="C17" s="6"/>
      <c r="D17" s="6"/>
      <c r="E17" s="10"/>
      <c r="G17" s="6"/>
      <c r="H17" s="6"/>
      <c r="I17" s="10">
        <v>0.0</v>
      </c>
      <c r="J17" s="10">
        <v>0.0</v>
      </c>
      <c r="K17" s="5" t="b">
        <v>0</v>
      </c>
      <c r="L17" s="5" t="b">
        <v>1</v>
      </c>
    </row>
    <row r="18">
      <c r="A18" s="14" t="str">
        <f t="shared" si="1"/>
        <v/>
      </c>
      <c r="B18" s="15" t="str">
        <f>IF($C18="","",IF(ROW()=7,Input!$C$3,C17))</f>
        <v/>
      </c>
      <c r="C18" s="6"/>
      <c r="D18" s="6"/>
      <c r="E18" s="10"/>
      <c r="G18" s="6"/>
      <c r="H18" s="6"/>
      <c r="I18" s="10">
        <v>0.0</v>
      </c>
      <c r="J18" s="10">
        <v>0.0</v>
      </c>
      <c r="K18" s="5" t="b">
        <v>0</v>
      </c>
      <c r="L18" s="5" t="b">
        <v>1</v>
      </c>
    </row>
    <row r="19">
      <c r="A19" s="14" t="str">
        <f t="shared" si="1"/>
        <v/>
      </c>
      <c r="B19" s="15" t="str">
        <f>IF($C19="","",IF(ROW()=7,Input!$C$3,C18))</f>
        <v/>
      </c>
      <c r="C19" s="6"/>
      <c r="D19" s="6"/>
      <c r="E19" s="10"/>
      <c r="G19" s="6"/>
      <c r="H19" s="6"/>
      <c r="I19" s="10">
        <v>0.0</v>
      </c>
      <c r="J19" s="10">
        <v>0.0</v>
      </c>
      <c r="K19" s="5" t="b">
        <v>0</v>
      </c>
      <c r="L19" s="5" t="b">
        <v>1</v>
      </c>
    </row>
    <row r="20">
      <c r="A20" s="14" t="str">
        <f t="shared" si="1"/>
        <v/>
      </c>
      <c r="B20" s="15" t="str">
        <f>IF($C20="","",IF(ROW()=7,Input!$C$3,C19))</f>
        <v/>
      </c>
      <c r="C20" s="6"/>
      <c r="D20" s="6"/>
      <c r="E20" s="10"/>
      <c r="G20" s="6"/>
      <c r="H20" s="6"/>
      <c r="I20" s="10">
        <v>0.0</v>
      </c>
      <c r="J20" s="10">
        <v>0.0</v>
      </c>
      <c r="K20" s="5" t="b">
        <v>0</v>
      </c>
      <c r="L20" s="5" t="b">
        <v>1</v>
      </c>
    </row>
    <row r="21">
      <c r="A21" s="14" t="str">
        <f t="shared" si="1"/>
        <v/>
      </c>
      <c r="B21" s="15" t="str">
        <f>IF($C21="","",IF(ROW()=7,Input!$C$3,C20))</f>
        <v/>
      </c>
      <c r="C21" s="6"/>
      <c r="D21" s="6"/>
      <c r="E21" s="10"/>
      <c r="G21" s="6"/>
      <c r="H21" s="6"/>
      <c r="I21" s="10">
        <v>0.0</v>
      </c>
      <c r="J21" s="10">
        <v>0.0</v>
      </c>
      <c r="K21" s="5" t="b">
        <v>0</v>
      </c>
      <c r="L21" s="5" t="b">
        <v>1</v>
      </c>
    </row>
    <row r="22">
      <c r="A22" s="14" t="str">
        <f t="shared" si="1"/>
        <v/>
      </c>
      <c r="B22" s="15" t="str">
        <f>IF($C22="","",IF(ROW()=7,Input!$C$3,C21))</f>
        <v/>
      </c>
      <c r="C22" s="6"/>
      <c r="D22" s="6"/>
      <c r="E22" s="10"/>
      <c r="G22" s="6"/>
      <c r="H22" s="6"/>
      <c r="I22" s="10">
        <v>0.0</v>
      </c>
      <c r="J22" s="10">
        <v>0.0</v>
      </c>
      <c r="K22" s="5" t="b">
        <v>0</v>
      </c>
      <c r="L22" s="5" t="b">
        <v>1</v>
      </c>
    </row>
    <row r="23">
      <c r="A23" s="14" t="str">
        <f t="shared" si="1"/>
        <v/>
      </c>
      <c r="B23" s="15" t="str">
        <f>IF($C23="","",IF(ROW()=7,Input!$C$3,C22))</f>
        <v/>
      </c>
      <c r="C23" s="6"/>
      <c r="D23" s="6"/>
      <c r="E23" s="10"/>
      <c r="G23" s="6"/>
      <c r="H23" s="6"/>
      <c r="I23" s="10">
        <v>0.0</v>
      </c>
      <c r="J23" s="10">
        <v>0.0</v>
      </c>
      <c r="K23" s="5" t="b">
        <v>0</v>
      </c>
      <c r="L23" s="5" t="b">
        <v>1</v>
      </c>
    </row>
    <row r="24">
      <c r="A24" s="14" t="str">
        <f t="shared" si="1"/>
        <v/>
      </c>
      <c r="B24" s="15" t="str">
        <f>IF($C24="","",IF(ROW()=7,Input!$C$3,C23))</f>
        <v/>
      </c>
      <c r="C24" s="6"/>
      <c r="D24" s="6"/>
      <c r="E24" s="10"/>
      <c r="G24" s="6"/>
      <c r="H24" s="6"/>
      <c r="I24" s="10">
        <v>0.0</v>
      </c>
      <c r="J24" s="10">
        <v>0.0</v>
      </c>
      <c r="K24" s="5" t="b">
        <v>0</v>
      </c>
      <c r="L24" s="5" t="b">
        <v>1</v>
      </c>
    </row>
    <row r="25">
      <c r="A25" s="14" t="str">
        <f t="shared" si="1"/>
        <v/>
      </c>
      <c r="B25" s="15" t="str">
        <f>IF($C25="","",IF(ROW()=7,Input!$C$3,C24))</f>
        <v/>
      </c>
      <c r="C25" s="6"/>
      <c r="D25" s="6"/>
      <c r="E25" s="10"/>
      <c r="G25" s="6"/>
      <c r="H25" s="6"/>
      <c r="I25" s="10">
        <v>0.0</v>
      </c>
      <c r="J25" s="10">
        <v>0.0</v>
      </c>
      <c r="K25" s="5" t="b">
        <v>0</v>
      </c>
      <c r="L25" s="5" t="b">
        <v>1</v>
      </c>
    </row>
    <row r="26">
      <c r="A26" s="14" t="str">
        <f t="shared" si="1"/>
        <v/>
      </c>
      <c r="B26" s="15" t="str">
        <f>IF($C26="","",IF(ROW()=7,Input!$C$3,C25))</f>
        <v/>
      </c>
      <c r="C26" s="6"/>
      <c r="D26" s="6"/>
      <c r="E26" s="10"/>
      <c r="G26" s="6"/>
      <c r="H26" s="6"/>
      <c r="I26" s="10">
        <v>0.0</v>
      </c>
      <c r="J26" s="10">
        <v>0.0</v>
      </c>
      <c r="K26" s="5" t="b">
        <v>0</v>
      </c>
      <c r="L26" s="5" t="b">
        <v>1</v>
      </c>
    </row>
    <row r="27">
      <c r="A27" s="14" t="str">
        <f t="shared" si="1"/>
        <v/>
      </c>
      <c r="B27" s="15" t="str">
        <f>IF($C27="","",IF(ROW()=7,Input!$C$3,C26))</f>
        <v/>
      </c>
      <c r="C27" s="6"/>
      <c r="D27" s="6"/>
      <c r="E27" s="10"/>
      <c r="G27" s="6"/>
      <c r="H27" s="6"/>
      <c r="I27" s="10">
        <v>0.0</v>
      </c>
      <c r="J27" s="10">
        <v>0.0</v>
      </c>
      <c r="K27" s="5" t="b">
        <v>0</v>
      </c>
      <c r="L27" s="5" t="b">
        <v>1</v>
      </c>
    </row>
    <row r="28">
      <c r="A28" s="14" t="str">
        <f t="shared" si="1"/>
        <v/>
      </c>
      <c r="B28" s="15" t="str">
        <f>IF($C28="","",IF(ROW()=7,Input!$C$3,C27))</f>
        <v/>
      </c>
      <c r="C28" s="6"/>
      <c r="D28" s="6"/>
      <c r="E28" s="10"/>
      <c r="G28" s="6"/>
      <c r="H28" s="6"/>
      <c r="I28" s="10">
        <v>0.0</v>
      </c>
      <c r="J28" s="10">
        <v>0.0</v>
      </c>
      <c r="K28" s="5" t="b">
        <v>0</v>
      </c>
      <c r="L28" s="5" t="b">
        <v>1</v>
      </c>
    </row>
    <row r="29">
      <c r="A29" s="14" t="str">
        <f t="shared" si="1"/>
        <v/>
      </c>
      <c r="B29" s="15" t="str">
        <f>IF($C29="","",IF(ROW()=7,Input!$C$3,C28))</f>
        <v/>
      </c>
      <c r="C29" s="6"/>
      <c r="D29" s="6"/>
      <c r="E29" s="10"/>
      <c r="G29" s="6"/>
      <c r="H29" s="6"/>
      <c r="I29" s="10">
        <v>0.0</v>
      </c>
      <c r="J29" s="10">
        <v>0.0</v>
      </c>
      <c r="K29" s="5" t="b">
        <v>0</v>
      </c>
      <c r="L29" s="5" t="b">
        <v>1</v>
      </c>
    </row>
    <row r="30">
      <c r="A30" s="14" t="str">
        <f t="shared" si="1"/>
        <v/>
      </c>
      <c r="B30" s="15" t="str">
        <f>IF($C30="","",IF(ROW()=7,Input!$C$3,C29))</f>
        <v/>
      </c>
      <c r="C30" s="6"/>
      <c r="D30" s="6"/>
      <c r="E30" s="10"/>
      <c r="G30" s="6"/>
      <c r="H30" s="6"/>
      <c r="I30" s="10">
        <v>0.0</v>
      </c>
      <c r="J30" s="10">
        <v>0.0</v>
      </c>
      <c r="K30" s="5" t="b">
        <v>0</v>
      </c>
      <c r="L30" s="5" t="b">
        <v>1</v>
      </c>
    </row>
    <row r="31">
      <c r="A31" s="14" t="str">
        <f t="shared" si="1"/>
        <v/>
      </c>
      <c r="B31" s="15" t="str">
        <f>IF($C31="","",IF(ROW()=7,Input!$C$3,C30))</f>
        <v/>
      </c>
      <c r="C31" s="6"/>
      <c r="D31" s="6"/>
      <c r="E31" s="10"/>
      <c r="G31" s="6"/>
      <c r="H31" s="6"/>
      <c r="I31" s="10">
        <v>0.0</v>
      </c>
      <c r="J31" s="10">
        <v>0.0</v>
      </c>
      <c r="K31" s="5" t="b">
        <v>0</v>
      </c>
      <c r="L31" s="5" t="b">
        <v>1</v>
      </c>
    </row>
    <row r="32">
      <c r="A32" s="14" t="str">
        <f t="shared" si="1"/>
        <v/>
      </c>
      <c r="B32" s="15" t="str">
        <f>IF($C32="","",IF(ROW()=7,Input!$C$3,C31))</f>
        <v/>
      </c>
      <c r="C32" s="6"/>
      <c r="D32" s="6"/>
      <c r="E32" s="10"/>
      <c r="G32" s="6"/>
      <c r="H32" s="6"/>
      <c r="I32" s="10">
        <v>0.0</v>
      </c>
      <c r="J32" s="10">
        <v>0.0</v>
      </c>
      <c r="K32" s="5" t="b">
        <v>0</v>
      </c>
      <c r="L32" s="5" t="b">
        <v>1</v>
      </c>
    </row>
    <row r="33">
      <c r="A33" s="14" t="str">
        <f t="shared" si="1"/>
        <v/>
      </c>
      <c r="B33" s="15" t="str">
        <f>IF($C33="","",IF(ROW()=7,Input!$C$3,C32))</f>
        <v/>
      </c>
      <c r="C33" s="6"/>
      <c r="D33" s="6"/>
      <c r="E33" s="10"/>
      <c r="G33" s="6"/>
      <c r="H33" s="6"/>
      <c r="I33" s="10">
        <v>0.0</v>
      </c>
      <c r="J33" s="10">
        <v>0.0</v>
      </c>
      <c r="K33" s="5" t="b">
        <v>0</v>
      </c>
      <c r="L33" s="5" t="b">
        <v>1</v>
      </c>
    </row>
    <row r="34">
      <c r="A34" s="14" t="str">
        <f t="shared" si="1"/>
        <v/>
      </c>
      <c r="B34" s="15" t="str">
        <f>IF($C34="","",IF(ROW()=7,Input!$C$3,C33))</f>
        <v/>
      </c>
      <c r="C34" s="6"/>
      <c r="D34" s="6"/>
      <c r="E34" s="10"/>
      <c r="G34" s="6"/>
      <c r="H34" s="6"/>
      <c r="I34" s="10">
        <v>0.0</v>
      </c>
      <c r="J34" s="10">
        <v>0.0</v>
      </c>
      <c r="K34" s="5" t="b">
        <v>0</v>
      </c>
      <c r="L34" s="5" t="b">
        <v>1</v>
      </c>
    </row>
    <row r="35">
      <c r="A35" s="14" t="str">
        <f t="shared" si="1"/>
        <v/>
      </c>
      <c r="B35" s="15" t="str">
        <f>IF($C35="","",IF(ROW()=7,Input!$C$3,C34))</f>
        <v/>
      </c>
      <c r="C35" s="6"/>
      <c r="D35" s="6"/>
      <c r="E35" s="10"/>
      <c r="G35" s="6"/>
      <c r="H35" s="6"/>
      <c r="I35" s="10">
        <v>0.0</v>
      </c>
      <c r="J35" s="10">
        <v>0.0</v>
      </c>
      <c r="K35" s="5" t="b">
        <v>0</v>
      </c>
      <c r="L35" s="5" t="b">
        <v>1</v>
      </c>
    </row>
    <row r="36">
      <c r="A36" s="14" t="str">
        <f t="shared" si="1"/>
        <v/>
      </c>
      <c r="B36" s="15" t="str">
        <f>IF($C36="","",IF(ROW()=7,Input!$C$3,C35))</f>
        <v/>
      </c>
      <c r="C36" s="6"/>
      <c r="D36" s="6"/>
      <c r="E36" s="10"/>
      <c r="G36" s="6"/>
      <c r="H36" s="6"/>
      <c r="I36" s="10">
        <v>0.0</v>
      </c>
      <c r="J36" s="10">
        <v>0.0</v>
      </c>
      <c r="K36" s="5" t="b">
        <v>0</v>
      </c>
      <c r="L36" s="5" t="b">
        <v>1</v>
      </c>
    </row>
    <row r="37">
      <c r="A37" s="14" t="str">
        <f t="shared" si="1"/>
        <v/>
      </c>
      <c r="B37" s="15" t="str">
        <f>IF($C37="","",IF(ROW()=7,Input!$C$3,C36))</f>
        <v/>
      </c>
      <c r="C37" s="6"/>
      <c r="D37" s="6"/>
      <c r="E37" s="10"/>
      <c r="G37" s="6"/>
      <c r="H37" s="6"/>
      <c r="I37" s="10">
        <v>0.0</v>
      </c>
      <c r="J37" s="10">
        <v>0.0</v>
      </c>
      <c r="K37" s="5" t="b">
        <v>0</v>
      </c>
      <c r="L37" s="5" t="b">
        <v>1</v>
      </c>
    </row>
    <row r="38">
      <c r="A38" s="14" t="str">
        <f t="shared" si="1"/>
        <v/>
      </c>
      <c r="B38" s="15" t="str">
        <f>IF($C38="","",IF(ROW()=7,Input!$C$3,C37))</f>
        <v/>
      </c>
      <c r="C38" s="6"/>
      <c r="D38" s="6"/>
      <c r="E38" s="10"/>
      <c r="G38" s="6"/>
      <c r="H38" s="6"/>
      <c r="I38" s="10">
        <v>0.0</v>
      </c>
      <c r="J38" s="10">
        <v>0.0</v>
      </c>
      <c r="K38" s="5" t="b">
        <v>0</v>
      </c>
      <c r="L38" s="5" t="b">
        <v>1</v>
      </c>
    </row>
    <row r="39">
      <c r="A39" s="14" t="str">
        <f t="shared" si="1"/>
        <v/>
      </c>
      <c r="B39" s="15" t="str">
        <f>IF($C39="","",IF(ROW()=7,Input!$C$3,C38))</f>
        <v/>
      </c>
      <c r="C39" s="6"/>
      <c r="D39" s="6"/>
      <c r="E39" s="10"/>
      <c r="G39" s="6"/>
      <c r="H39" s="6"/>
      <c r="I39" s="10">
        <v>0.0</v>
      </c>
      <c r="J39" s="10">
        <v>0.0</v>
      </c>
      <c r="K39" s="5" t="b">
        <v>0</v>
      </c>
      <c r="L39" s="5" t="b">
        <v>1</v>
      </c>
    </row>
    <row r="40">
      <c r="A40" s="14" t="str">
        <f t="shared" si="1"/>
        <v/>
      </c>
      <c r="B40" s="15" t="str">
        <f>IF($C40="","",IF(ROW()=7,Input!$C$3,C39))</f>
        <v/>
      </c>
      <c r="C40" s="6"/>
      <c r="D40" s="6"/>
      <c r="E40" s="10"/>
      <c r="G40" s="6"/>
      <c r="H40" s="6"/>
      <c r="I40" s="10">
        <v>0.0</v>
      </c>
      <c r="J40" s="10">
        <v>0.0</v>
      </c>
      <c r="K40" s="5" t="b">
        <v>0</v>
      </c>
      <c r="L40" s="5" t="b">
        <v>1</v>
      </c>
    </row>
    <row r="41">
      <c r="A41" s="14" t="str">
        <f t="shared" si="1"/>
        <v/>
      </c>
      <c r="B41" s="15" t="str">
        <f>IF($C41="","",IF(ROW()=7,Input!$C$3,C40))</f>
        <v/>
      </c>
      <c r="C41" s="6"/>
      <c r="D41" s="6"/>
      <c r="E41" s="10"/>
      <c r="G41" s="6"/>
      <c r="H41" s="6"/>
      <c r="I41" s="10">
        <v>0.0</v>
      </c>
      <c r="J41" s="10">
        <v>0.0</v>
      </c>
      <c r="K41" s="5" t="b">
        <v>0</v>
      </c>
      <c r="L41" s="5" t="b">
        <v>1</v>
      </c>
    </row>
    <row r="42">
      <c r="A42" s="14" t="str">
        <f t="shared" si="1"/>
        <v/>
      </c>
      <c r="B42" s="15" t="str">
        <f>IF($C42="","",IF(ROW()=7,Input!$C$3,C41))</f>
        <v/>
      </c>
      <c r="C42" s="6"/>
      <c r="D42" s="6"/>
      <c r="E42" s="10"/>
      <c r="G42" s="6"/>
      <c r="H42" s="6"/>
      <c r="I42" s="10">
        <v>0.0</v>
      </c>
      <c r="J42" s="10">
        <v>0.0</v>
      </c>
      <c r="K42" s="5" t="b">
        <v>0</v>
      </c>
      <c r="L42" s="5" t="b">
        <v>1</v>
      </c>
    </row>
    <row r="43">
      <c r="A43" s="14" t="str">
        <f t="shared" si="1"/>
        <v/>
      </c>
      <c r="B43" s="15" t="str">
        <f>IF($C43="","",IF(ROW()=7,Input!$C$3,C42))</f>
        <v/>
      </c>
      <c r="C43" s="6"/>
      <c r="D43" s="6"/>
      <c r="E43" s="10"/>
      <c r="G43" s="6"/>
      <c r="H43" s="6"/>
      <c r="I43" s="10">
        <v>0.0</v>
      </c>
      <c r="J43" s="10">
        <v>0.0</v>
      </c>
      <c r="K43" s="5" t="b">
        <v>0</v>
      </c>
      <c r="L43" s="5" t="b">
        <v>1</v>
      </c>
    </row>
    <row r="44">
      <c r="A44" s="14" t="str">
        <f t="shared" si="1"/>
        <v/>
      </c>
      <c r="B44" s="15" t="str">
        <f>IF($C44="","",IF(ROW()=7,Input!$C$3,C43))</f>
        <v/>
      </c>
      <c r="C44" s="6"/>
      <c r="D44" s="6"/>
      <c r="E44" s="10"/>
      <c r="G44" s="6"/>
      <c r="H44" s="6"/>
      <c r="I44" s="10">
        <v>0.0</v>
      </c>
      <c r="J44" s="10">
        <v>0.0</v>
      </c>
      <c r="K44" s="5" t="b">
        <v>0</v>
      </c>
      <c r="L44" s="5" t="b">
        <v>1</v>
      </c>
    </row>
    <row r="45">
      <c r="A45" s="14" t="str">
        <f t="shared" si="1"/>
        <v/>
      </c>
      <c r="B45" s="15" t="str">
        <f>IF($C45="","",IF(ROW()=7,Input!$C$3,C44))</f>
        <v/>
      </c>
      <c r="C45" s="6"/>
      <c r="D45" s="6"/>
      <c r="E45" s="10"/>
      <c r="G45" s="6"/>
      <c r="H45" s="6"/>
      <c r="I45" s="10">
        <v>0.0</v>
      </c>
      <c r="J45" s="10">
        <v>0.0</v>
      </c>
      <c r="K45" s="5" t="b">
        <v>0</v>
      </c>
      <c r="L45" s="5" t="b">
        <v>1</v>
      </c>
    </row>
    <row r="46">
      <c r="A46" s="14" t="str">
        <f t="shared" si="1"/>
        <v/>
      </c>
      <c r="B46" s="15" t="str">
        <f>IF($C46="","",IF(ROW()=7,Input!$C$3,C45))</f>
        <v/>
      </c>
      <c r="C46" s="6"/>
      <c r="D46" s="6"/>
      <c r="E46" s="10"/>
      <c r="G46" s="6"/>
      <c r="H46" s="6"/>
      <c r="I46" s="10">
        <v>0.0</v>
      </c>
      <c r="J46" s="10">
        <v>0.0</v>
      </c>
      <c r="K46" s="5" t="b">
        <v>0</v>
      </c>
      <c r="L46" s="5" t="b">
        <v>1</v>
      </c>
    </row>
    <row r="47">
      <c r="A47" s="14" t="str">
        <f t="shared" si="1"/>
        <v/>
      </c>
      <c r="B47" s="15" t="str">
        <f>IF($C47="","",IF(ROW()=7,Input!$C$3,C46))</f>
        <v/>
      </c>
      <c r="C47" s="6"/>
      <c r="D47" s="6"/>
      <c r="E47" s="10"/>
      <c r="G47" s="6"/>
      <c r="H47" s="6"/>
      <c r="I47" s="10">
        <v>0.0</v>
      </c>
      <c r="J47" s="10">
        <v>0.0</v>
      </c>
      <c r="K47" s="5" t="b">
        <v>0</v>
      </c>
      <c r="L47" s="5" t="b">
        <v>1</v>
      </c>
    </row>
    <row r="48">
      <c r="A48" s="14" t="str">
        <f t="shared" si="1"/>
        <v/>
      </c>
      <c r="B48" s="15" t="str">
        <f>IF($C48="","",IF(ROW()=7,Input!$C$3,C47))</f>
        <v/>
      </c>
      <c r="C48" s="6"/>
      <c r="D48" s="6"/>
      <c r="E48" s="10"/>
      <c r="G48" s="6"/>
      <c r="H48" s="6"/>
      <c r="I48" s="10">
        <v>0.0</v>
      </c>
      <c r="J48" s="10">
        <v>0.0</v>
      </c>
      <c r="K48" s="5" t="b">
        <v>0</v>
      </c>
      <c r="L48" s="5" t="b">
        <v>1</v>
      </c>
    </row>
    <row r="49">
      <c r="A49" s="14" t="str">
        <f t="shared" si="1"/>
        <v/>
      </c>
      <c r="B49" s="15" t="str">
        <f>IF($C49="","",IF(ROW()=7,Input!$C$3,C48))</f>
        <v/>
      </c>
      <c r="C49" s="6"/>
      <c r="D49" s="6"/>
      <c r="E49" s="10"/>
      <c r="G49" s="6"/>
      <c r="H49" s="6"/>
      <c r="I49" s="10">
        <v>0.0</v>
      </c>
      <c r="J49" s="10">
        <v>0.0</v>
      </c>
      <c r="K49" s="5" t="b">
        <v>0</v>
      </c>
      <c r="L49" s="5" t="b">
        <v>1</v>
      </c>
    </row>
    <row r="50">
      <c r="A50" s="14" t="str">
        <f t="shared" si="1"/>
        <v/>
      </c>
      <c r="B50" s="15" t="str">
        <f>IF($C50="","",IF(ROW()=7,Input!$C$3,C49))</f>
        <v/>
      </c>
      <c r="C50" s="6"/>
      <c r="D50" s="6"/>
      <c r="E50" s="10"/>
      <c r="G50" s="6"/>
      <c r="H50" s="6"/>
      <c r="I50" s="10">
        <v>0.0</v>
      </c>
      <c r="J50" s="10">
        <v>0.0</v>
      </c>
      <c r="K50" s="5" t="b">
        <v>0</v>
      </c>
      <c r="L50" s="5" t="b">
        <v>1</v>
      </c>
    </row>
    <row r="51">
      <c r="A51" s="14" t="str">
        <f t="shared" si="1"/>
        <v/>
      </c>
      <c r="B51" s="15" t="str">
        <f>IF($C51="","",IF(ROW()=7,Input!$C$3,C50))</f>
        <v/>
      </c>
      <c r="C51" s="6"/>
      <c r="D51" s="6"/>
      <c r="E51" s="10"/>
      <c r="G51" s="6"/>
      <c r="H51" s="6"/>
      <c r="I51" s="10">
        <v>0.0</v>
      </c>
      <c r="J51" s="10">
        <v>0.0</v>
      </c>
      <c r="K51" s="5" t="b">
        <v>0</v>
      </c>
      <c r="L51" s="5" t="b">
        <v>1</v>
      </c>
    </row>
    <row r="52">
      <c r="A52" s="14" t="str">
        <f t="shared" si="1"/>
        <v/>
      </c>
      <c r="B52" s="15" t="str">
        <f>IF($C52="","",IF(ROW()=7,Input!$C$3,C51))</f>
        <v/>
      </c>
      <c r="C52" s="6"/>
      <c r="D52" s="6"/>
      <c r="E52" s="10"/>
      <c r="G52" s="6"/>
      <c r="H52" s="6"/>
      <c r="I52" s="10">
        <v>0.0</v>
      </c>
      <c r="J52" s="10">
        <v>0.0</v>
      </c>
      <c r="K52" s="5" t="b">
        <v>0</v>
      </c>
      <c r="L52" s="5" t="b">
        <v>1</v>
      </c>
    </row>
    <row r="53">
      <c r="A53" s="14" t="str">
        <f t="shared" si="1"/>
        <v/>
      </c>
      <c r="B53" s="15" t="str">
        <f>IF($C53="","",IF(ROW()=7,Input!$C$3,C52))</f>
        <v/>
      </c>
      <c r="C53" s="6"/>
      <c r="D53" s="6"/>
      <c r="E53" s="10"/>
      <c r="G53" s="6"/>
      <c r="H53" s="6"/>
      <c r="I53" s="10">
        <v>0.0</v>
      </c>
      <c r="J53" s="10">
        <v>0.0</v>
      </c>
      <c r="K53" s="5" t="b">
        <v>0</v>
      </c>
      <c r="L53" s="5" t="b">
        <v>1</v>
      </c>
    </row>
    <row r="54">
      <c r="A54" s="14" t="str">
        <f t="shared" si="1"/>
        <v/>
      </c>
      <c r="B54" s="15" t="str">
        <f>IF($C54="","",IF(ROW()=7,Input!$C$3,C53))</f>
        <v/>
      </c>
      <c r="C54" s="6"/>
      <c r="D54" s="6"/>
      <c r="E54" s="10"/>
      <c r="G54" s="6"/>
      <c r="H54" s="6"/>
      <c r="I54" s="10">
        <v>0.0</v>
      </c>
      <c r="J54" s="10">
        <v>0.0</v>
      </c>
      <c r="K54" s="5" t="b">
        <v>0</v>
      </c>
      <c r="L54" s="5" t="b">
        <v>1</v>
      </c>
    </row>
    <row r="55">
      <c r="A55" s="14" t="str">
        <f t="shared" si="1"/>
        <v/>
      </c>
      <c r="B55" s="15" t="str">
        <f>IF($C55="","",IF(ROW()=7,Input!$C$3,C54))</f>
        <v/>
      </c>
      <c r="C55" s="6"/>
      <c r="D55" s="6"/>
      <c r="E55" s="10"/>
      <c r="G55" s="6"/>
      <c r="H55" s="6"/>
      <c r="I55" s="10">
        <v>0.0</v>
      </c>
      <c r="J55" s="10">
        <v>0.0</v>
      </c>
      <c r="K55" s="5" t="b">
        <v>0</v>
      </c>
      <c r="L55" s="5" t="b">
        <v>1</v>
      </c>
    </row>
    <row r="56">
      <c r="A56" s="14" t="str">
        <f t="shared" si="1"/>
        <v/>
      </c>
      <c r="B56" s="15" t="str">
        <f>IF($C56="","",IF(ROW()=7,Input!$C$3,C55))</f>
        <v/>
      </c>
      <c r="C56" s="6"/>
      <c r="D56" s="6"/>
      <c r="E56" s="10"/>
      <c r="G56" s="6"/>
      <c r="H56" s="6"/>
      <c r="I56" s="10">
        <v>0.0</v>
      </c>
      <c r="J56" s="10">
        <v>0.0</v>
      </c>
      <c r="K56" s="5" t="b">
        <v>0</v>
      </c>
      <c r="L56" s="5" t="b">
        <v>1</v>
      </c>
    </row>
    <row r="57">
      <c r="A57" s="14" t="str">
        <f t="shared" si="1"/>
        <v/>
      </c>
      <c r="B57" s="15" t="str">
        <f>IF($C57="","",IF(ROW()=7,Input!$C$3,C56))</f>
        <v/>
      </c>
      <c r="C57" s="6"/>
      <c r="D57" s="6"/>
      <c r="E57" s="10"/>
      <c r="G57" s="6"/>
      <c r="H57" s="6"/>
      <c r="I57" s="10">
        <v>0.0</v>
      </c>
      <c r="J57" s="10">
        <v>0.0</v>
      </c>
      <c r="K57" s="5" t="b">
        <v>0</v>
      </c>
      <c r="L57" s="5" t="b">
        <v>1</v>
      </c>
    </row>
    <row r="58">
      <c r="A58" s="14" t="str">
        <f t="shared" si="1"/>
        <v/>
      </c>
      <c r="B58" s="15" t="str">
        <f>IF($C58="","",IF(ROW()=7,Input!$C$3,C57))</f>
        <v/>
      </c>
      <c r="C58" s="6"/>
      <c r="D58" s="6"/>
      <c r="E58" s="10"/>
      <c r="G58" s="6"/>
      <c r="H58" s="6"/>
      <c r="I58" s="10">
        <v>0.0</v>
      </c>
      <c r="J58" s="10">
        <v>0.0</v>
      </c>
      <c r="K58" s="5" t="b">
        <v>0</v>
      </c>
      <c r="L58" s="5" t="b">
        <v>1</v>
      </c>
    </row>
    <row r="59">
      <c r="A59" s="14" t="str">
        <f t="shared" si="1"/>
        <v/>
      </c>
      <c r="B59" s="15" t="str">
        <f>IF($C59="","",IF(ROW()=7,Input!$C$3,C58))</f>
        <v/>
      </c>
      <c r="C59" s="6"/>
      <c r="D59" s="6"/>
      <c r="E59" s="10"/>
      <c r="G59" s="6"/>
      <c r="H59" s="6"/>
      <c r="I59" s="10">
        <v>0.0</v>
      </c>
      <c r="J59" s="10">
        <v>0.0</v>
      </c>
      <c r="K59" s="5" t="b">
        <v>0</v>
      </c>
      <c r="L59" s="5" t="b">
        <v>1</v>
      </c>
    </row>
    <row r="60">
      <c r="A60" s="14" t="str">
        <f t="shared" si="1"/>
        <v/>
      </c>
      <c r="B60" s="15" t="str">
        <f>IF($C60="","",IF(ROW()=7,Input!$C$3,C59))</f>
        <v/>
      </c>
      <c r="C60" s="6"/>
      <c r="D60" s="6"/>
      <c r="E60" s="10"/>
      <c r="G60" s="6"/>
      <c r="H60" s="6"/>
      <c r="I60" s="10">
        <v>0.0</v>
      </c>
      <c r="J60" s="10">
        <v>0.0</v>
      </c>
      <c r="K60" s="5" t="b">
        <v>0</v>
      </c>
      <c r="L60" s="5" t="b">
        <v>1</v>
      </c>
    </row>
    <row r="61">
      <c r="A61" s="14" t="str">
        <f t="shared" si="1"/>
        <v/>
      </c>
      <c r="B61" s="15" t="str">
        <f>IF($C61="","",IF(ROW()=7,Input!$C$3,C60))</f>
        <v/>
      </c>
      <c r="C61" s="6"/>
      <c r="D61" s="6"/>
      <c r="E61" s="10"/>
      <c r="G61" s="6"/>
      <c r="H61" s="6"/>
      <c r="I61" s="10">
        <v>0.0</v>
      </c>
      <c r="J61" s="10">
        <v>0.0</v>
      </c>
      <c r="K61" s="5" t="b">
        <v>0</v>
      </c>
      <c r="L61" s="5" t="b">
        <v>1</v>
      </c>
    </row>
    <row r="62">
      <c r="A62" s="14" t="str">
        <f t="shared" si="1"/>
        <v/>
      </c>
      <c r="B62" s="15" t="str">
        <f>IF($C62="","",IF(ROW()=7,Input!$C$3,C61))</f>
        <v/>
      </c>
      <c r="C62" s="6"/>
      <c r="D62" s="6"/>
      <c r="E62" s="10"/>
      <c r="G62" s="6"/>
      <c r="H62" s="6"/>
      <c r="I62" s="10">
        <v>0.0</v>
      </c>
      <c r="J62" s="10">
        <v>0.0</v>
      </c>
      <c r="K62" s="5" t="b">
        <v>0</v>
      </c>
      <c r="L62" s="5" t="b">
        <v>1</v>
      </c>
    </row>
    <row r="63">
      <c r="A63" s="14" t="str">
        <f t="shared" si="1"/>
        <v/>
      </c>
      <c r="B63" s="15" t="str">
        <f>IF($C63="","",IF(ROW()=7,Input!$C$3,C62))</f>
        <v/>
      </c>
      <c r="C63" s="6"/>
      <c r="D63" s="6"/>
      <c r="E63" s="10"/>
      <c r="G63" s="6"/>
      <c r="H63" s="6"/>
      <c r="I63" s="10">
        <v>0.0</v>
      </c>
      <c r="J63" s="10">
        <v>0.0</v>
      </c>
      <c r="K63" s="5" t="b">
        <v>0</v>
      </c>
      <c r="L63" s="5" t="b">
        <v>1</v>
      </c>
    </row>
    <row r="64">
      <c r="A64" s="14" t="str">
        <f t="shared" si="1"/>
        <v/>
      </c>
      <c r="B64" s="15" t="str">
        <f>IF($C64="","",IF(ROW()=7,Input!$C$3,C63))</f>
        <v/>
      </c>
      <c r="C64" s="6"/>
      <c r="D64" s="6"/>
      <c r="E64" s="10"/>
      <c r="G64" s="6"/>
      <c r="H64" s="6"/>
      <c r="I64" s="10">
        <v>0.0</v>
      </c>
      <c r="J64" s="10">
        <v>0.0</v>
      </c>
      <c r="K64" s="5" t="b">
        <v>0</v>
      </c>
      <c r="L64" s="5" t="b">
        <v>1</v>
      </c>
    </row>
    <row r="65">
      <c r="A65" s="14" t="str">
        <f t="shared" si="1"/>
        <v/>
      </c>
      <c r="B65" s="15" t="str">
        <f>IF($C65="","",IF(ROW()=7,Input!$C$3,C64))</f>
        <v/>
      </c>
      <c r="C65" s="6"/>
      <c r="D65" s="6"/>
      <c r="E65" s="10"/>
      <c r="G65" s="6"/>
      <c r="H65" s="6"/>
      <c r="I65" s="10">
        <v>0.0</v>
      </c>
      <c r="J65" s="10">
        <v>0.0</v>
      </c>
      <c r="K65" s="5" t="b">
        <v>0</v>
      </c>
      <c r="L65" s="5" t="b">
        <v>1</v>
      </c>
    </row>
    <row r="66">
      <c r="A66" s="14" t="str">
        <f t="shared" si="1"/>
        <v/>
      </c>
      <c r="B66" s="15" t="str">
        <f>IF($C66="","",IF(ROW()=7,Input!$C$3,C65))</f>
        <v/>
      </c>
      <c r="C66" s="6"/>
      <c r="D66" s="6"/>
      <c r="E66" s="10"/>
      <c r="G66" s="6"/>
      <c r="H66" s="6"/>
      <c r="I66" s="10">
        <v>0.0</v>
      </c>
      <c r="J66" s="10">
        <v>0.0</v>
      </c>
      <c r="K66" s="5" t="b">
        <v>0</v>
      </c>
      <c r="L66" s="5" t="b">
        <v>1</v>
      </c>
    </row>
    <row r="67">
      <c r="A67" s="14" t="str">
        <f t="shared" si="1"/>
        <v/>
      </c>
      <c r="B67" s="15" t="str">
        <f>IF($C67="","",IF(ROW()=7,Input!$C$3,C66))</f>
        <v/>
      </c>
      <c r="C67" s="6"/>
      <c r="D67" s="6"/>
      <c r="E67" s="10"/>
      <c r="G67" s="6"/>
      <c r="H67" s="6"/>
      <c r="I67" s="10">
        <v>0.0</v>
      </c>
      <c r="J67" s="10">
        <v>0.0</v>
      </c>
      <c r="K67" s="5" t="b">
        <v>0</v>
      </c>
      <c r="L67" s="5" t="b">
        <v>1</v>
      </c>
    </row>
    <row r="68">
      <c r="A68" s="14" t="str">
        <f t="shared" si="1"/>
        <v/>
      </c>
      <c r="B68" s="15" t="str">
        <f>IF($C68="","",IF(ROW()=7,Input!$C$3,C67))</f>
        <v/>
      </c>
      <c r="C68" s="6"/>
      <c r="D68" s="6"/>
      <c r="E68" s="10"/>
      <c r="G68" s="6"/>
      <c r="H68" s="6"/>
      <c r="I68" s="10">
        <v>0.0</v>
      </c>
      <c r="J68" s="10">
        <v>0.0</v>
      </c>
      <c r="K68" s="5" t="b">
        <v>0</v>
      </c>
      <c r="L68" s="5" t="b">
        <v>1</v>
      </c>
    </row>
    <row r="69">
      <c r="A69" s="14" t="str">
        <f t="shared" si="1"/>
        <v/>
      </c>
      <c r="B69" s="15" t="str">
        <f>IF($C69="","",IF(ROW()=7,Input!$C$3,C68))</f>
        <v/>
      </c>
      <c r="C69" s="6"/>
      <c r="D69" s="6"/>
      <c r="E69" s="10"/>
      <c r="G69" s="6"/>
      <c r="H69" s="6"/>
      <c r="I69" s="10">
        <v>0.0</v>
      </c>
      <c r="J69" s="10">
        <v>0.0</v>
      </c>
      <c r="K69" s="5" t="b">
        <v>0</v>
      </c>
      <c r="L69" s="5" t="b">
        <v>1</v>
      </c>
    </row>
    <row r="70">
      <c r="A70" s="14" t="str">
        <f t="shared" si="1"/>
        <v/>
      </c>
      <c r="B70" s="15" t="str">
        <f>IF($C70="","",IF(ROW()=7,Input!$C$3,C69))</f>
        <v/>
      </c>
      <c r="C70" s="6"/>
      <c r="D70" s="6"/>
      <c r="E70" s="10"/>
      <c r="G70" s="6"/>
      <c r="H70" s="6"/>
      <c r="I70" s="10">
        <v>0.0</v>
      </c>
      <c r="J70" s="10">
        <v>0.0</v>
      </c>
      <c r="K70" s="5" t="b">
        <v>0</v>
      </c>
      <c r="L70" s="5" t="b">
        <v>1</v>
      </c>
    </row>
    <row r="71">
      <c r="A71" s="14" t="str">
        <f t="shared" si="1"/>
        <v/>
      </c>
      <c r="B71" s="15" t="str">
        <f>IF($C71="","",IF(ROW()=7,Input!$C$3,C70))</f>
        <v/>
      </c>
      <c r="C71" s="6"/>
      <c r="D71" s="6"/>
      <c r="E71" s="10"/>
      <c r="G71" s="6"/>
      <c r="H71" s="6"/>
      <c r="I71" s="10">
        <v>0.0</v>
      </c>
      <c r="J71" s="10">
        <v>0.0</v>
      </c>
      <c r="K71" s="5" t="b">
        <v>0</v>
      </c>
      <c r="L71" s="5" t="b">
        <v>1</v>
      </c>
    </row>
    <row r="72">
      <c r="A72" s="14" t="str">
        <f t="shared" si="1"/>
        <v/>
      </c>
      <c r="B72" s="15" t="str">
        <f>IF($C72="","",IF(ROW()=7,Input!$C$3,C71))</f>
        <v/>
      </c>
      <c r="C72" s="6"/>
      <c r="D72" s="6"/>
      <c r="E72" s="10"/>
      <c r="G72" s="6"/>
      <c r="H72" s="6"/>
      <c r="I72" s="10">
        <v>0.0</v>
      </c>
      <c r="J72" s="10">
        <v>0.0</v>
      </c>
      <c r="K72" s="5" t="b">
        <v>0</v>
      </c>
      <c r="L72" s="5" t="b">
        <v>1</v>
      </c>
    </row>
    <row r="73">
      <c r="A73" s="14" t="str">
        <f t="shared" si="1"/>
        <v/>
      </c>
      <c r="B73" s="15" t="str">
        <f>IF($C73="","",IF(ROW()=7,Input!$C$3,C72))</f>
        <v/>
      </c>
      <c r="C73" s="6"/>
      <c r="D73" s="6"/>
      <c r="E73" s="10"/>
      <c r="G73" s="6"/>
      <c r="H73" s="6"/>
      <c r="I73" s="10">
        <v>0.0</v>
      </c>
      <c r="J73" s="10">
        <v>0.0</v>
      </c>
      <c r="K73" s="5" t="b">
        <v>0</v>
      </c>
      <c r="L73" s="5" t="b">
        <v>1</v>
      </c>
    </row>
    <row r="74">
      <c r="A74" s="14" t="str">
        <f t="shared" si="1"/>
        <v/>
      </c>
      <c r="B74" s="15" t="str">
        <f>IF($C74="","",IF(ROW()=7,Input!$C$3,C73))</f>
        <v/>
      </c>
      <c r="C74" s="6"/>
      <c r="D74" s="6"/>
      <c r="E74" s="10"/>
      <c r="G74" s="6"/>
      <c r="H74" s="6"/>
      <c r="I74" s="10">
        <v>0.0</v>
      </c>
      <c r="J74" s="10">
        <v>0.0</v>
      </c>
      <c r="K74" s="5" t="b">
        <v>0</v>
      </c>
      <c r="L74" s="5" t="b">
        <v>1</v>
      </c>
    </row>
    <row r="75">
      <c r="A75" s="14" t="str">
        <f t="shared" si="1"/>
        <v/>
      </c>
      <c r="B75" s="15" t="str">
        <f>IF($C75="","",IF(ROW()=7,Input!$C$3,C74))</f>
        <v/>
      </c>
      <c r="C75" s="6"/>
      <c r="D75" s="6"/>
      <c r="E75" s="10"/>
      <c r="G75" s="6"/>
      <c r="H75" s="6"/>
      <c r="I75" s="10">
        <v>0.0</v>
      </c>
      <c r="J75" s="10">
        <v>0.0</v>
      </c>
      <c r="K75" s="5" t="b">
        <v>0</v>
      </c>
      <c r="L75" s="5" t="b">
        <v>1</v>
      </c>
    </row>
    <row r="76">
      <c r="A76" s="14" t="str">
        <f t="shared" si="1"/>
        <v/>
      </c>
      <c r="B76" s="15" t="str">
        <f>IF($C76="","",IF(ROW()=7,Input!$C$3,C75))</f>
        <v/>
      </c>
      <c r="C76" s="6"/>
      <c r="D76" s="6"/>
      <c r="E76" s="10"/>
      <c r="G76" s="6"/>
      <c r="H76" s="6"/>
      <c r="I76" s="10">
        <v>0.0</v>
      </c>
      <c r="J76" s="10">
        <v>0.0</v>
      </c>
      <c r="K76" s="5" t="b">
        <v>0</v>
      </c>
      <c r="L76" s="5" t="b">
        <v>1</v>
      </c>
    </row>
    <row r="77">
      <c r="A77" s="14" t="str">
        <f t="shared" si="1"/>
        <v/>
      </c>
      <c r="B77" s="15" t="str">
        <f>IF($C77="","",IF(ROW()=7,Input!$C$3,C76))</f>
        <v/>
      </c>
      <c r="C77" s="6"/>
      <c r="D77" s="6"/>
      <c r="E77" s="10"/>
      <c r="G77" s="6"/>
      <c r="H77" s="6"/>
      <c r="I77" s="10">
        <v>0.0</v>
      </c>
      <c r="J77" s="10">
        <v>0.0</v>
      </c>
      <c r="K77" s="5" t="b">
        <v>0</v>
      </c>
      <c r="L77" s="5" t="b">
        <v>1</v>
      </c>
    </row>
    <row r="78">
      <c r="A78" s="14" t="str">
        <f t="shared" si="1"/>
        <v/>
      </c>
      <c r="B78" s="15" t="str">
        <f>IF($C78="","",IF(ROW()=7,Input!$C$3,C77))</f>
        <v/>
      </c>
      <c r="C78" s="6"/>
      <c r="D78" s="6"/>
      <c r="E78" s="10"/>
      <c r="G78" s="6"/>
      <c r="H78" s="6"/>
      <c r="I78" s="10">
        <v>0.0</v>
      </c>
      <c r="J78" s="10">
        <v>0.0</v>
      </c>
      <c r="K78" s="5" t="b">
        <v>0</v>
      </c>
      <c r="L78" s="5" t="b">
        <v>1</v>
      </c>
    </row>
    <row r="79">
      <c r="A79" s="14" t="str">
        <f t="shared" si="1"/>
        <v/>
      </c>
      <c r="B79" s="15" t="str">
        <f>IF($C79="","",IF(ROW()=7,Input!$C$3,C78))</f>
        <v/>
      </c>
      <c r="C79" s="6"/>
      <c r="D79" s="6"/>
      <c r="E79" s="10"/>
      <c r="G79" s="6"/>
      <c r="H79" s="6"/>
      <c r="I79" s="10">
        <v>0.0</v>
      </c>
      <c r="J79" s="10">
        <v>0.0</v>
      </c>
      <c r="K79" s="5" t="b">
        <v>0</v>
      </c>
      <c r="L79" s="5" t="b">
        <v>1</v>
      </c>
    </row>
    <row r="80">
      <c r="A80" s="14" t="str">
        <f t="shared" si="1"/>
        <v/>
      </c>
      <c r="B80" s="15" t="str">
        <f>IF($C80="","",IF(ROW()=7,Input!$C$3,C79))</f>
        <v/>
      </c>
      <c r="C80" s="6"/>
      <c r="D80" s="6"/>
      <c r="E80" s="10"/>
      <c r="G80" s="6"/>
      <c r="H80" s="6"/>
      <c r="I80" s="10">
        <v>0.0</v>
      </c>
      <c r="J80" s="10">
        <v>0.0</v>
      </c>
      <c r="K80" s="5" t="b">
        <v>0</v>
      </c>
      <c r="L80" s="5" t="b">
        <v>1</v>
      </c>
    </row>
    <row r="81">
      <c r="A81" s="14" t="str">
        <f t="shared" si="1"/>
        <v/>
      </c>
      <c r="B81" s="15" t="str">
        <f>IF($C81="","",IF(ROW()=7,Input!$C$3,C80))</f>
        <v/>
      </c>
      <c r="C81" s="6"/>
      <c r="D81" s="6"/>
      <c r="E81" s="10"/>
      <c r="G81" s="6"/>
      <c r="H81" s="6"/>
      <c r="I81" s="10">
        <v>0.0</v>
      </c>
      <c r="J81" s="10">
        <v>0.0</v>
      </c>
      <c r="K81" s="5" t="b">
        <v>0</v>
      </c>
      <c r="L81" s="5" t="b">
        <v>1</v>
      </c>
    </row>
    <row r="82">
      <c r="A82" s="14" t="str">
        <f t="shared" si="1"/>
        <v/>
      </c>
      <c r="B82" s="15" t="str">
        <f>IF($C82="","",IF(ROW()=7,Input!$C$3,C81))</f>
        <v/>
      </c>
      <c r="C82" s="6"/>
      <c r="D82" s="6"/>
      <c r="E82" s="10"/>
      <c r="G82" s="6"/>
      <c r="H82" s="6"/>
      <c r="I82" s="10">
        <v>0.0</v>
      </c>
      <c r="J82" s="10">
        <v>0.0</v>
      </c>
      <c r="K82" s="5" t="b">
        <v>0</v>
      </c>
      <c r="L82" s="5" t="b">
        <v>1</v>
      </c>
    </row>
    <row r="83">
      <c r="A83" s="14" t="str">
        <f t="shared" si="1"/>
        <v/>
      </c>
      <c r="B83" s="15" t="str">
        <f>IF($C83="","",IF(ROW()=7,Input!$C$3,C82))</f>
        <v/>
      </c>
      <c r="C83" s="6"/>
      <c r="D83" s="6"/>
      <c r="E83" s="10"/>
      <c r="G83" s="6"/>
      <c r="H83" s="6"/>
      <c r="I83" s="10">
        <v>0.0</v>
      </c>
      <c r="J83" s="10">
        <v>0.0</v>
      </c>
      <c r="K83" s="5" t="b">
        <v>0</v>
      </c>
      <c r="L83" s="5" t="b">
        <v>1</v>
      </c>
    </row>
    <row r="84">
      <c r="A84" s="14" t="str">
        <f t="shared" si="1"/>
        <v/>
      </c>
      <c r="B84" s="15" t="str">
        <f>IF($C84="","",IF(ROW()=7,Input!$C$3,C83))</f>
        <v/>
      </c>
      <c r="C84" s="6"/>
      <c r="D84" s="6"/>
      <c r="E84" s="10"/>
      <c r="G84" s="6"/>
      <c r="H84" s="6"/>
      <c r="I84" s="10">
        <v>0.0</v>
      </c>
      <c r="J84" s="10">
        <v>0.0</v>
      </c>
      <c r="K84" s="5" t="b">
        <v>0</v>
      </c>
      <c r="L84" s="5" t="b">
        <v>1</v>
      </c>
    </row>
    <row r="85">
      <c r="A85" s="14" t="str">
        <f t="shared" si="1"/>
        <v/>
      </c>
      <c r="B85" s="15" t="str">
        <f>IF($C85="","",IF(ROW()=7,Input!$C$3,C84))</f>
        <v/>
      </c>
      <c r="C85" s="6"/>
      <c r="D85" s="6"/>
      <c r="E85" s="10"/>
      <c r="G85" s="6"/>
      <c r="H85" s="6"/>
      <c r="I85" s="10">
        <v>0.0</v>
      </c>
      <c r="J85" s="10">
        <v>0.0</v>
      </c>
      <c r="K85" s="5" t="b">
        <v>0</v>
      </c>
      <c r="L85" s="5" t="b">
        <v>1</v>
      </c>
    </row>
    <row r="86">
      <c r="A86" s="14" t="str">
        <f t="shared" si="1"/>
        <v/>
      </c>
      <c r="B86" s="15" t="str">
        <f>IF($C86="","",IF(ROW()=7,Input!$C$3,C85))</f>
        <v/>
      </c>
      <c r="C86" s="6"/>
      <c r="D86" s="6"/>
      <c r="E86" s="10"/>
      <c r="G86" s="6"/>
      <c r="H86" s="6"/>
      <c r="I86" s="10">
        <v>0.0</v>
      </c>
      <c r="J86" s="10">
        <v>0.0</v>
      </c>
      <c r="K86" s="5" t="b">
        <v>0</v>
      </c>
      <c r="L86" s="5" t="b">
        <v>1</v>
      </c>
    </row>
    <row r="87">
      <c r="A87" s="14" t="str">
        <f t="shared" si="1"/>
        <v/>
      </c>
      <c r="B87" s="15" t="str">
        <f>IF($C87="","",IF(ROW()=7,Input!$C$3,C86))</f>
        <v/>
      </c>
      <c r="C87" s="6"/>
      <c r="D87" s="6"/>
      <c r="E87" s="10"/>
      <c r="G87" s="6"/>
      <c r="H87" s="6"/>
      <c r="I87" s="10">
        <v>0.0</v>
      </c>
      <c r="J87" s="10">
        <v>0.0</v>
      </c>
      <c r="K87" s="5" t="b">
        <v>0</v>
      </c>
      <c r="L87" s="5" t="b">
        <v>1</v>
      </c>
    </row>
    <row r="88">
      <c r="A88" s="14" t="str">
        <f t="shared" si="1"/>
        <v/>
      </c>
      <c r="B88" s="15" t="str">
        <f>IF($C88="","",IF(ROW()=7,Input!$C$3,C87))</f>
        <v/>
      </c>
      <c r="C88" s="6"/>
      <c r="D88" s="6"/>
      <c r="E88" s="10"/>
      <c r="G88" s="6"/>
      <c r="H88" s="6"/>
      <c r="I88" s="10">
        <v>0.0</v>
      </c>
      <c r="J88" s="10">
        <v>0.0</v>
      </c>
      <c r="K88" s="5" t="b">
        <v>0</v>
      </c>
      <c r="L88" s="5" t="b">
        <v>1</v>
      </c>
    </row>
    <row r="89">
      <c r="A89" s="14" t="str">
        <f t="shared" si="1"/>
        <v/>
      </c>
      <c r="B89" s="15" t="str">
        <f>IF($C89="","",IF(ROW()=7,Input!$C$3,C88))</f>
        <v/>
      </c>
      <c r="C89" s="6"/>
      <c r="D89" s="6"/>
      <c r="E89" s="10"/>
      <c r="G89" s="6"/>
      <c r="H89" s="6"/>
      <c r="I89" s="10">
        <v>0.0</v>
      </c>
      <c r="J89" s="10">
        <v>0.0</v>
      </c>
      <c r="K89" s="5" t="b">
        <v>0</v>
      </c>
      <c r="L89" s="5" t="b">
        <v>1</v>
      </c>
    </row>
    <row r="90">
      <c r="A90" s="14" t="str">
        <f t="shared" si="1"/>
        <v/>
      </c>
      <c r="B90" s="15" t="str">
        <f>IF($C90="","",IF(ROW()=7,Input!$C$3,C89))</f>
        <v/>
      </c>
      <c r="C90" s="6"/>
      <c r="D90" s="6"/>
      <c r="E90" s="10"/>
      <c r="G90" s="6"/>
      <c r="H90" s="6"/>
      <c r="I90" s="10">
        <v>0.0</v>
      </c>
      <c r="J90" s="10">
        <v>0.0</v>
      </c>
      <c r="K90" s="5" t="b">
        <v>0</v>
      </c>
      <c r="L90" s="5" t="b">
        <v>1</v>
      </c>
    </row>
    <row r="91">
      <c r="A91" s="14" t="str">
        <f t="shared" si="1"/>
        <v/>
      </c>
      <c r="B91" s="15" t="str">
        <f>IF($C91="","",IF(ROW()=7,Input!$C$3,C90))</f>
        <v/>
      </c>
      <c r="C91" s="6"/>
      <c r="D91" s="6"/>
      <c r="E91" s="10"/>
      <c r="G91" s="6"/>
      <c r="H91" s="6"/>
      <c r="I91" s="10">
        <v>0.0</v>
      </c>
      <c r="J91" s="10">
        <v>0.0</v>
      </c>
      <c r="K91" s="5" t="b">
        <v>0</v>
      </c>
      <c r="L91" s="5" t="b">
        <v>1</v>
      </c>
    </row>
    <row r="92">
      <c r="A92" s="14" t="str">
        <f t="shared" si="1"/>
        <v/>
      </c>
      <c r="B92" s="15" t="str">
        <f>IF($C92="","",IF(ROW()=7,Input!$C$3,C91))</f>
        <v/>
      </c>
      <c r="C92" s="6"/>
      <c r="D92" s="6"/>
      <c r="E92" s="10"/>
      <c r="G92" s="6"/>
      <c r="H92" s="6"/>
      <c r="I92" s="10">
        <v>0.0</v>
      </c>
      <c r="J92" s="10">
        <v>0.0</v>
      </c>
      <c r="K92" s="5" t="b">
        <v>0</v>
      </c>
      <c r="L92" s="5" t="b">
        <v>1</v>
      </c>
    </row>
    <row r="93">
      <c r="A93" s="14" t="str">
        <f t="shared" si="1"/>
        <v/>
      </c>
      <c r="B93" s="15" t="str">
        <f>IF($C93="","",IF(ROW()=7,Input!$C$3,C92))</f>
        <v/>
      </c>
      <c r="C93" s="6"/>
      <c r="D93" s="6"/>
      <c r="E93" s="10"/>
      <c r="G93" s="6"/>
      <c r="H93" s="6"/>
      <c r="I93" s="10">
        <v>0.0</v>
      </c>
      <c r="J93" s="10">
        <v>0.0</v>
      </c>
      <c r="K93" s="5" t="b">
        <v>0</v>
      </c>
      <c r="L93" s="5" t="b">
        <v>1</v>
      </c>
    </row>
    <row r="94">
      <c r="A94" s="14" t="str">
        <f t="shared" si="1"/>
        <v/>
      </c>
      <c r="B94" s="15" t="str">
        <f>IF($C94="","",IF(ROW()=7,Input!$C$3,C93))</f>
        <v/>
      </c>
      <c r="C94" s="6"/>
      <c r="D94" s="6"/>
      <c r="E94" s="10"/>
      <c r="G94" s="6"/>
      <c r="H94" s="6"/>
      <c r="I94" s="10">
        <v>0.0</v>
      </c>
      <c r="J94" s="10">
        <v>0.0</v>
      </c>
      <c r="K94" s="5" t="b">
        <v>0</v>
      </c>
      <c r="L94" s="5" t="b">
        <v>1</v>
      </c>
    </row>
    <row r="95">
      <c r="A95" s="14" t="str">
        <f t="shared" si="1"/>
        <v/>
      </c>
      <c r="B95" s="15" t="str">
        <f>IF($C95="","",IF(ROW()=7,Input!$C$3,C94))</f>
        <v/>
      </c>
      <c r="C95" s="6"/>
      <c r="D95" s="6"/>
      <c r="E95" s="10"/>
      <c r="G95" s="6"/>
      <c r="H95" s="6"/>
      <c r="I95" s="10">
        <v>0.0</v>
      </c>
      <c r="J95" s="10">
        <v>0.0</v>
      </c>
      <c r="K95" s="5" t="b">
        <v>0</v>
      </c>
      <c r="L95" s="5" t="b">
        <v>1</v>
      </c>
    </row>
    <row r="96">
      <c r="A96" s="14" t="str">
        <f t="shared" si="1"/>
        <v/>
      </c>
      <c r="B96" s="15" t="str">
        <f>IF($C96="","",IF(ROW()=7,Input!$C$3,C95))</f>
        <v/>
      </c>
      <c r="C96" s="6"/>
      <c r="D96" s="6"/>
      <c r="E96" s="10"/>
      <c r="G96" s="6"/>
      <c r="H96" s="6"/>
      <c r="I96" s="10">
        <v>0.0</v>
      </c>
      <c r="J96" s="10">
        <v>0.0</v>
      </c>
      <c r="K96" s="5" t="b">
        <v>0</v>
      </c>
      <c r="L96" s="5" t="b">
        <v>1</v>
      </c>
    </row>
    <row r="97">
      <c r="A97" s="14" t="str">
        <f t="shared" si="1"/>
        <v/>
      </c>
      <c r="B97" s="15" t="str">
        <f>IF($C97="","",IF(ROW()=7,Input!$C$3,C96))</f>
        <v/>
      </c>
      <c r="C97" s="6"/>
      <c r="D97" s="6"/>
      <c r="E97" s="10"/>
      <c r="G97" s="6"/>
      <c r="H97" s="6"/>
      <c r="I97" s="10">
        <v>0.0</v>
      </c>
      <c r="J97" s="10">
        <v>0.0</v>
      </c>
      <c r="K97" s="5" t="b">
        <v>0</v>
      </c>
      <c r="L97" s="5" t="b">
        <v>1</v>
      </c>
    </row>
    <row r="98">
      <c r="A98" s="14" t="str">
        <f t="shared" si="1"/>
        <v/>
      </c>
      <c r="B98" s="15" t="str">
        <f>IF($C98="","",IF(ROW()=7,Input!$C$3,C97))</f>
        <v/>
      </c>
      <c r="C98" s="6"/>
      <c r="D98" s="6"/>
      <c r="E98" s="10"/>
      <c r="G98" s="6"/>
      <c r="H98" s="6"/>
      <c r="I98" s="10">
        <v>0.0</v>
      </c>
      <c r="J98" s="10">
        <v>0.0</v>
      </c>
      <c r="K98" s="5" t="b">
        <v>0</v>
      </c>
      <c r="L98" s="5" t="b">
        <v>1</v>
      </c>
    </row>
    <row r="99">
      <c r="A99" s="14" t="str">
        <f t="shared" si="1"/>
        <v/>
      </c>
      <c r="B99" s="15" t="str">
        <f>IF($C99="","",IF(ROW()=7,Input!$C$3,C98))</f>
        <v/>
      </c>
      <c r="C99" s="6"/>
      <c r="D99" s="6"/>
      <c r="E99" s="10"/>
      <c r="G99" s="6"/>
      <c r="H99" s="6"/>
      <c r="I99" s="10">
        <v>0.0</v>
      </c>
      <c r="J99" s="10">
        <v>0.0</v>
      </c>
      <c r="K99" s="5" t="b">
        <v>0</v>
      </c>
      <c r="L99" s="5" t="b">
        <v>1</v>
      </c>
    </row>
    <row r="100">
      <c r="A100" s="14" t="str">
        <f t="shared" si="1"/>
        <v/>
      </c>
      <c r="B100" s="15" t="str">
        <f>IF($C100="","",IF(ROW()=7,Input!$C$3,C99))</f>
        <v/>
      </c>
      <c r="C100" s="6"/>
      <c r="D100" s="6"/>
      <c r="E100" s="10"/>
      <c r="G100" s="6"/>
      <c r="H100" s="6"/>
      <c r="I100" s="10">
        <v>0.0</v>
      </c>
      <c r="J100" s="10">
        <v>0.0</v>
      </c>
      <c r="K100" s="5" t="b">
        <v>0</v>
      </c>
      <c r="L100" s="5" t="b">
        <v>1</v>
      </c>
    </row>
    <row r="101">
      <c r="A101" s="14" t="str">
        <f t="shared" si="1"/>
        <v/>
      </c>
      <c r="B101" s="15" t="str">
        <f>IF($C101="","",IF(ROW()=7,Input!$C$3,C100))</f>
        <v/>
      </c>
      <c r="C101" s="6"/>
      <c r="D101" s="6"/>
      <c r="E101" s="10"/>
      <c r="G101" s="6"/>
      <c r="H101" s="6"/>
      <c r="I101" s="10">
        <v>0.0</v>
      </c>
      <c r="J101" s="10">
        <v>0.0</v>
      </c>
      <c r="K101" s="5" t="b">
        <v>0</v>
      </c>
      <c r="L101" s="5" t="b">
        <v>1</v>
      </c>
    </row>
    <row r="102">
      <c r="A102" s="14" t="str">
        <f t="shared" si="1"/>
        <v/>
      </c>
      <c r="B102" s="15" t="str">
        <f>IF($C102="","",IF(ROW()=7,Input!$C$3,C101))</f>
        <v/>
      </c>
      <c r="C102" s="6"/>
      <c r="D102" s="6"/>
      <c r="E102" s="10"/>
      <c r="G102" s="6"/>
      <c r="H102" s="6"/>
      <c r="I102" s="10">
        <v>0.0</v>
      </c>
      <c r="J102" s="10">
        <v>0.0</v>
      </c>
      <c r="K102" s="5" t="b">
        <v>0</v>
      </c>
      <c r="L102" s="5" t="b">
        <v>1</v>
      </c>
    </row>
    <row r="103">
      <c r="A103" s="14" t="str">
        <f t="shared" si="1"/>
        <v/>
      </c>
      <c r="B103" s="15" t="str">
        <f>IF($C103="","",IF(ROW()=7,Input!$C$3,C102))</f>
        <v/>
      </c>
      <c r="C103" s="6"/>
      <c r="D103" s="6"/>
      <c r="E103" s="10"/>
      <c r="G103" s="6"/>
      <c r="H103" s="6"/>
      <c r="I103" s="10">
        <v>0.0</v>
      </c>
      <c r="J103" s="10">
        <v>0.0</v>
      </c>
      <c r="K103" s="5" t="b">
        <v>0</v>
      </c>
      <c r="L103" s="5" t="b">
        <v>1</v>
      </c>
    </row>
    <row r="104">
      <c r="A104" s="14" t="str">
        <f t="shared" si="1"/>
        <v/>
      </c>
      <c r="B104" s="15" t="str">
        <f>IF($C104="","",IF(ROW()=7,Input!$C$3,C103))</f>
        <v/>
      </c>
      <c r="C104" s="6"/>
      <c r="D104" s="6"/>
      <c r="E104" s="10"/>
      <c r="G104" s="6"/>
      <c r="H104" s="6"/>
      <c r="I104" s="10">
        <v>0.0</v>
      </c>
      <c r="J104" s="10">
        <v>0.0</v>
      </c>
      <c r="K104" s="5" t="b">
        <v>0</v>
      </c>
      <c r="L104" s="5" t="b">
        <v>1</v>
      </c>
    </row>
    <row r="105">
      <c r="A105" s="14" t="str">
        <f t="shared" si="1"/>
        <v/>
      </c>
      <c r="B105" s="15" t="str">
        <f>IF($C105="","",IF(ROW()=7,Input!$C$3,C104))</f>
        <v/>
      </c>
      <c r="C105" s="6"/>
      <c r="D105" s="6"/>
      <c r="E105" s="10"/>
      <c r="G105" s="6"/>
      <c r="H105" s="6"/>
      <c r="I105" s="10">
        <v>0.0</v>
      </c>
      <c r="J105" s="10">
        <v>0.0</v>
      </c>
      <c r="K105" s="5" t="b">
        <v>0</v>
      </c>
      <c r="L105" s="5" t="b">
        <v>1</v>
      </c>
    </row>
    <row r="106">
      <c r="A106" s="14" t="str">
        <f t="shared" si="1"/>
        <v/>
      </c>
      <c r="B106" s="15" t="str">
        <f>IF($C106="","",IF(ROW()=7,Input!$C$3,C105))</f>
        <v/>
      </c>
      <c r="C106" s="6"/>
      <c r="D106" s="6"/>
      <c r="E106" s="10"/>
      <c r="G106" s="6"/>
      <c r="H106" s="6"/>
      <c r="I106" s="10">
        <v>0.0</v>
      </c>
      <c r="J106" s="10">
        <v>0.0</v>
      </c>
      <c r="K106" s="5" t="b">
        <v>0</v>
      </c>
      <c r="L106" s="5" t="b">
        <v>1</v>
      </c>
    </row>
    <row r="107">
      <c r="A107" s="14" t="str">
        <f t="shared" si="1"/>
        <v/>
      </c>
      <c r="B107" s="15" t="str">
        <f>IF($C107="","",IF(ROW()=7,Input!$C$3,C106))</f>
        <v/>
      </c>
      <c r="C107" s="6"/>
      <c r="D107" s="6"/>
      <c r="E107" s="10"/>
      <c r="G107" s="6"/>
      <c r="H107" s="6"/>
      <c r="I107" s="10">
        <v>0.0</v>
      </c>
      <c r="J107" s="10">
        <v>0.0</v>
      </c>
      <c r="K107" s="5" t="b">
        <v>0</v>
      </c>
      <c r="L107" s="5" t="b">
        <v>1</v>
      </c>
    </row>
    <row r="108">
      <c r="A108" s="14" t="str">
        <f t="shared" si="1"/>
        <v/>
      </c>
      <c r="B108" s="15" t="str">
        <f>IF($C108="","",IF(ROW()=7,Input!$C$3,C107))</f>
        <v/>
      </c>
      <c r="C108" s="6"/>
      <c r="D108" s="6"/>
      <c r="E108" s="10"/>
      <c r="G108" s="6"/>
      <c r="H108" s="6"/>
      <c r="I108" s="10">
        <v>0.0</v>
      </c>
      <c r="J108" s="10">
        <v>0.0</v>
      </c>
      <c r="K108" s="5" t="b">
        <v>0</v>
      </c>
      <c r="L108" s="5" t="b">
        <v>1</v>
      </c>
    </row>
    <row r="109">
      <c r="A109" s="14" t="str">
        <f t="shared" si="1"/>
        <v/>
      </c>
      <c r="B109" s="15" t="str">
        <f>IF($C109="","",IF(ROW()=7,Input!$C$3,C108))</f>
        <v/>
      </c>
      <c r="C109" s="6"/>
      <c r="D109" s="6"/>
      <c r="E109" s="10"/>
      <c r="G109" s="6"/>
      <c r="H109" s="6"/>
      <c r="I109" s="10">
        <v>0.0</v>
      </c>
      <c r="J109" s="10">
        <v>0.0</v>
      </c>
      <c r="K109" s="5" t="b">
        <v>0</v>
      </c>
      <c r="L109" s="5" t="b">
        <v>1</v>
      </c>
    </row>
    <row r="110">
      <c r="A110" s="14" t="str">
        <f t="shared" si="1"/>
        <v/>
      </c>
      <c r="B110" s="15" t="str">
        <f>IF($C110="","",IF(ROW()=7,Input!$C$3,C109))</f>
        <v/>
      </c>
      <c r="C110" s="6"/>
      <c r="D110" s="6"/>
      <c r="E110" s="10"/>
      <c r="G110" s="6"/>
      <c r="H110" s="6"/>
      <c r="I110" s="10">
        <v>0.0</v>
      </c>
      <c r="J110" s="10">
        <v>0.0</v>
      </c>
      <c r="K110" s="5" t="b">
        <v>0</v>
      </c>
      <c r="L110" s="5" t="b">
        <v>1</v>
      </c>
    </row>
    <row r="111">
      <c r="A111" s="14" t="str">
        <f t="shared" si="1"/>
        <v/>
      </c>
      <c r="B111" s="15" t="str">
        <f>IF($C111="","",IF(ROW()=7,Input!$C$3,C110))</f>
        <v/>
      </c>
      <c r="C111" s="6"/>
      <c r="D111" s="6"/>
      <c r="E111" s="10"/>
      <c r="G111" s="6"/>
      <c r="H111" s="6"/>
      <c r="I111" s="10">
        <v>0.0</v>
      </c>
      <c r="J111" s="10">
        <v>0.0</v>
      </c>
      <c r="K111" s="5" t="b">
        <v>0</v>
      </c>
      <c r="L111" s="5" t="b">
        <v>1</v>
      </c>
    </row>
    <row r="112">
      <c r="A112" s="14" t="str">
        <f t="shared" si="1"/>
        <v/>
      </c>
      <c r="B112" s="15" t="str">
        <f>IF($C112="","",IF(ROW()=7,Input!$C$3,C111))</f>
        <v/>
      </c>
      <c r="C112" s="6"/>
      <c r="D112" s="6"/>
      <c r="E112" s="10"/>
      <c r="G112" s="6"/>
      <c r="H112" s="6"/>
      <c r="I112" s="10">
        <v>0.0</v>
      </c>
      <c r="J112" s="10">
        <v>0.0</v>
      </c>
      <c r="K112" s="5" t="b">
        <v>0</v>
      </c>
      <c r="L112" s="5" t="b">
        <v>1</v>
      </c>
    </row>
    <row r="113">
      <c r="A113" s="14" t="str">
        <f t="shared" si="1"/>
        <v/>
      </c>
      <c r="B113" s="15" t="str">
        <f>IF($C113="","",IF(ROW()=7,Input!$C$3,C112))</f>
        <v/>
      </c>
      <c r="C113" s="6"/>
      <c r="D113" s="6"/>
      <c r="E113" s="10"/>
      <c r="G113" s="6"/>
      <c r="H113" s="6"/>
      <c r="I113" s="10">
        <v>0.0</v>
      </c>
      <c r="J113" s="10">
        <v>0.0</v>
      </c>
      <c r="K113" s="5" t="b">
        <v>0</v>
      </c>
      <c r="L113" s="5" t="b">
        <v>1</v>
      </c>
    </row>
    <row r="114">
      <c r="A114" s="14" t="str">
        <f t="shared" si="1"/>
        <v/>
      </c>
      <c r="B114" s="15" t="str">
        <f>IF($C114="","",IF(ROW()=7,Input!$C$3,C113))</f>
        <v/>
      </c>
      <c r="C114" s="6"/>
      <c r="D114" s="6"/>
      <c r="E114" s="10"/>
      <c r="G114" s="6"/>
      <c r="H114" s="6"/>
      <c r="I114" s="10">
        <v>0.0</v>
      </c>
      <c r="J114" s="10">
        <v>0.0</v>
      </c>
      <c r="K114" s="5" t="b">
        <v>0</v>
      </c>
      <c r="L114" s="5" t="b">
        <v>1</v>
      </c>
    </row>
    <row r="115">
      <c r="A115" s="14" t="str">
        <f t="shared" si="1"/>
        <v/>
      </c>
      <c r="B115" s="15" t="str">
        <f>IF($C115="","",IF(ROW()=7,Input!$C$3,C114))</f>
        <v/>
      </c>
      <c r="C115" s="6"/>
      <c r="D115" s="6"/>
      <c r="E115" s="10"/>
      <c r="G115" s="6"/>
      <c r="H115" s="6"/>
      <c r="I115" s="10">
        <v>0.0</v>
      </c>
      <c r="J115" s="10">
        <v>0.0</v>
      </c>
      <c r="K115" s="5" t="b">
        <v>0</v>
      </c>
      <c r="L115" s="5" t="b">
        <v>1</v>
      </c>
    </row>
    <row r="116">
      <c r="A116" s="14" t="str">
        <f t="shared" si="1"/>
        <v/>
      </c>
      <c r="B116" s="15" t="str">
        <f>IF($C116="","",IF(ROW()=7,Input!$C$3,C115))</f>
        <v/>
      </c>
      <c r="C116" s="6"/>
      <c r="D116" s="6"/>
      <c r="E116" s="10"/>
      <c r="G116" s="6"/>
      <c r="H116" s="6"/>
      <c r="I116" s="10">
        <v>0.0</v>
      </c>
      <c r="J116" s="10">
        <v>0.0</v>
      </c>
      <c r="K116" s="5" t="b">
        <v>0</v>
      </c>
      <c r="L116" s="5" t="b">
        <v>1</v>
      </c>
    </row>
    <row r="117">
      <c r="A117" s="14" t="str">
        <f t="shared" si="1"/>
        <v/>
      </c>
      <c r="B117" s="15" t="str">
        <f>IF($C117="","",IF(ROW()=7,Input!$C$3,C116))</f>
        <v/>
      </c>
      <c r="C117" s="6"/>
      <c r="D117" s="6"/>
      <c r="E117" s="10"/>
      <c r="G117" s="6"/>
      <c r="H117" s="6"/>
      <c r="I117" s="10">
        <v>0.0</v>
      </c>
      <c r="J117" s="10">
        <v>0.0</v>
      </c>
      <c r="K117" s="5" t="b">
        <v>0</v>
      </c>
      <c r="L117" s="5" t="b">
        <v>1</v>
      </c>
    </row>
    <row r="118">
      <c r="A118" s="14" t="str">
        <f t="shared" si="1"/>
        <v/>
      </c>
      <c r="B118" s="15" t="str">
        <f>IF($C118="","",IF(ROW()=7,Input!$C$3,C117))</f>
        <v/>
      </c>
      <c r="C118" s="6"/>
      <c r="D118" s="6"/>
      <c r="E118" s="10"/>
      <c r="G118" s="6"/>
      <c r="H118" s="6"/>
      <c r="I118" s="10">
        <v>0.0</v>
      </c>
      <c r="J118" s="10">
        <v>0.0</v>
      </c>
      <c r="K118" s="5" t="b">
        <v>0</v>
      </c>
      <c r="L118" s="5" t="b">
        <v>1</v>
      </c>
    </row>
    <row r="119">
      <c r="A119" s="14" t="str">
        <f t="shared" si="1"/>
        <v/>
      </c>
      <c r="B119" s="15" t="str">
        <f>IF($C119="","",IF(ROW()=7,Input!$C$3,C118))</f>
        <v/>
      </c>
      <c r="C119" s="6"/>
      <c r="D119" s="6"/>
      <c r="E119" s="10"/>
      <c r="G119" s="6"/>
      <c r="H119" s="6"/>
      <c r="I119" s="10">
        <v>0.0</v>
      </c>
      <c r="J119" s="10">
        <v>0.0</v>
      </c>
      <c r="K119" s="5" t="b">
        <v>0</v>
      </c>
      <c r="L119" s="5" t="b">
        <v>1</v>
      </c>
    </row>
    <row r="120">
      <c r="A120" s="14" t="str">
        <f t="shared" si="1"/>
        <v/>
      </c>
      <c r="B120" s="15" t="str">
        <f>IF($C120="","",IF(ROW()=7,Input!$C$3,C119))</f>
        <v/>
      </c>
      <c r="C120" s="6"/>
      <c r="D120" s="6"/>
      <c r="E120" s="10"/>
      <c r="G120" s="6"/>
      <c r="H120" s="6"/>
      <c r="I120" s="10">
        <v>0.0</v>
      </c>
      <c r="J120" s="10">
        <v>0.0</v>
      </c>
      <c r="K120" s="5" t="b">
        <v>0</v>
      </c>
      <c r="L120" s="5" t="b">
        <v>1</v>
      </c>
    </row>
    <row r="121">
      <c r="A121" s="14" t="str">
        <f t="shared" si="1"/>
        <v/>
      </c>
      <c r="B121" s="15" t="str">
        <f>IF($C121="","",IF(ROW()=7,Input!$C$3,C120))</f>
        <v/>
      </c>
      <c r="C121" s="6"/>
      <c r="D121" s="6"/>
      <c r="E121" s="10"/>
      <c r="G121" s="6"/>
      <c r="H121" s="6"/>
      <c r="I121" s="10">
        <v>0.0</v>
      </c>
      <c r="J121" s="10">
        <v>0.0</v>
      </c>
      <c r="K121" s="5" t="b">
        <v>0</v>
      </c>
      <c r="L121" s="5" t="b">
        <v>1</v>
      </c>
    </row>
    <row r="122">
      <c r="A122" s="14" t="str">
        <f t="shared" si="1"/>
        <v/>
      </c>
      <c r="B122" s="15" t="str">
        <f>IF($C122="","",IF(ROW()=7,Input!$C$3,C121))</f>
        <v/>
      </c>
      <c r="C122" s="6"/>
      <c r="D122" s="6"/>
      <c r="E122" s="10"/>
      <c r="G122" s="6"/>
      <c r="H122" s="6"/>
      <c r="I122" s="10">
        <v>0.0</v>
      </c>
      <c r="J122" s="10">
        <v>0.0</v>
      </c>
      <c r="K122" s="5" t="b">
        <v>0</v>
      </c>
      <c r="L122" s="5" t="b">
        <v>1</v>
      </c>
    </row>
    <row r="123">
      <c r="A123" s="14" t="str">
        <f t="shared" si="1"/>
        <v/>
      </c>
      <c r="B123" s="15" t="str">
        <f>IF($C123="","",IF(ROW()=7,Input!$C$3,C122))</f>
        <v/>
      </c>
      <c r="C123" s="6"/>
      <c r="D123" s="6"/>
      <c r="E123" s="10"/>
      <c r="G123" s="6"/>
      <c r="H123" s="6"/>
      <c r="I123" s="10">
        <v>0.0</v>
      </c>
      <c r="J123" s="10">
        <v>0.0</v>
      </c>
      <c r="K123" s="5" t="b">
        <v>0</v>
      </c>
      <c r="L123" s="5" t="b">
        <v>1</v>
      </c>
    </row>
    <row r="124">
      <c r="A124" s="14" t="str">
        <f t="shared" si="1"/>
        <v/>
      </c>
      <c r="B124" s="15" t="str">
        <f>IF($C124="","",IF(ROW()=7,Input!$C$3,C123))</f>
        <v/>
      </c>
      <c r="C124" s="6"/>
      <c r="D124" s="6"/>
      <c r="E124" s="10"/>
      <c r="G124" s="6"/>
      <c r="H124" s="6"/>
      <c r="I124" s="10">
        <v>0.0</v>
      </c>
      <c r="J124" s="10">
        <v>0.0</v>
      </c>
      <c r="K124" s="5" t="b">
        <v>0</v>
      </c>
      <c r="L124" s="5" t="b">
        <v>1</v>
      </c>
    </row>
    <row r="125">
      <c r="A125" s="14" t="str">
        <f t="shared" si="1"/>
        <v/>
      </c>
      <c r="B125" s="15" t="str">
        <f>IF($C125="","",IF(ROW()=7,Input!$C$3,C124))</f>
        <v/>
      </c>
      <c r="C125" s="6"/>
      <c r="D125" s="6"/>
      <c r="E125" s="10"/>
      <c r="G125" s="6"/>
      <c r="H125" s="6"/>
      <c r="I125" s="10">
        <v>0.0</v>
      </c>
      <c r="J125" s="10">
        <v>0.0</v>
      </c>
      <c r="K125" s="5" t="b">
        <v>0</v>
      </c>
      <c r="L125" s="5" t="b">
        <v>1</v>
      </c>
    </row>
    <row r="126">
      <c r="A126" s="14" t="str">
        <f t="shared" si="1"/>
        <v/>
      </c>
      <c r="B126" s="15" t="str">
        <f>IF($C126="","",IF(ROW()=7,Input!$C$3,C125))</f>
        <v/>
      </c>
      <c r="C126" s="6"/>
      <c r="D126" s="6"/>
      <c r="E126" s="10"/>
      <c r="G126" s="6"/>
      <c r="H126" s="6"/>
      <c r="I126" s="10">
        <v>0.0</v>
      </c>
      <c r="J126" s="10">
        <v>0.0</v>
      </c>
      <c r="K126" s="5" t="b">
        <v>0</v>
      </c>
      <c r="L126" s="5" t="b">
        <v>1</v>
      </c>
    </row>
    <row r="127">
      <c r="A127" s="14" t="str">
        <f t="shared" si="1"/>
        <v/>
      </c>
      <c r="B127" s="15" t="str">
        <f>IF($C127="","",IF(ROW()=7,Input!$C$3,C126))</f>
        <v/>
      </c>
      <c r="C127" s="6"/>
      <c r="D127" s="6"/>
      <c r="E127" s="10"/>
      <c r="G127" s="6"/>
      <c r="H127" s="6"/>
      <c r="I127" s="10">
        <v>0.0</v>
      </c>
      <c r="J127" s="10">
        <v>0.0</v>
      </c>
      <c r="K127" s="5" t="b">
        <v>0</v>
      </c>
      <c r="L127" s="5" t="b">
        <v>1</v>
      </c>
    </row>
    <row r="128">
      <c r="A128" s="14" t="str">
        <f t="shared" si="1"/>
        <v/>
      </c>
      <c r="B128" s="15" t="str">
        <f>IF($C128="","",IF(ROW()=7,Input!$C$3,C127))</f>
        <v/>
      </c>
      <c r="C128" s="6"/>
      <c r="D128" s="6"/>
      <c r="E128" s="10"/>
      <c r="G128" s="6"/>
      <c r="H128" s="6"/>
      <c r="I128" s="10">
        <v>0.0</v>
      </c>
      <c r="J128" s="10">
        <v>0.0</v>
      </c>
      <c r="K128" s="5" t="b">
        <v>0</v>
      </c>
      <c r="L128" s="5" t="b">
        <v>1</v>
      </c>
    </row>
    <row r="129">
      <c r="A129" s="14" t="str">
        <f t="shared" si="1"/>
        <v/>
      </c>
      <c r="B129" s="15" t="str">
        <f>IF($C129="","",IF(ROW()=7,Input!$C$3,C128))</f>
        <v/>
      </c>
      <c r="C129" s="6"/>
      <c r="D129" s="6"/>
      <c r="E129" s="10"/>
      <c r="G129" s="6"/>
      <c r="H129" s="6"/>
      <c r="I129" s="10">
        <v>0.0</v>
      </c>
      <c r="J129" s="10">
        <v>0.0</v>
      </c>
      <c r="K129" s="5" t="b">
        <v>0</v>
      </c>
      <c r="L129" s="5" t="b">
        <v>1</v>
      </c>
    </row>
    <row r="130">
      <c r="A130" s="14" t="str">
        <f t="shared" si="1"/>
        <v/>
      </c>
      <c r="B130" s="15" t="str">
        <f>IF($C130="","",IF(ROW()=7,Input!$C$3,C129))</f>
        <v/>
      </c>
      <c r="C130" s="6"/>
      <c r="D130" s="6"/>
      <c r="E130" s="10"/>
      <c r="G130" s="6"/>
      <c r="H130" s="6"/>
      <c r="I130" s="10">
        <v>0.0</v>
      </c>
      <c r="J130" s="10">
        <v>0.0</v>
      </c>
      <c r="K130" s="5" t="b">
        <v>0</v>
      </c>
      <c r="L130" s="5" t="b">
        <v>1</v>
      </c>
    </row>
    <row r="131">
      <c r="A131" s="14" t="str">
        <f t="shared" si="1"/>
        <v/>
      </c>
      <c r="B131" s="15" t="str">
        <f>IF($C131="","",IF(ROW()=7,Input!$C$3,C130))</f>
        <v/>
      </c>
      <c r="C131" s="6"/>
      <c r="D131" s="6"/>
      <c r="E131" s="10"/>
      <c r="G131" s="6"/>
      <c r="H131" s="6"/>
      <c r="I131" s="10">
        <v>0.0</v>
      </c>
      <c r="J131" s="10">
        <v>0.0</v>
      </c>
      <c r="K131" s="5" t="b">
        <v>0</v>
      </c>
      <c r="L131" s="5" t="b">
        <v>1</v>
      </c>
    </row>
    <row r="132">
      <c r="A132" s="14" t="str">
        <f t="shared" si="1"/>
        <v/>
      </c>
      <c r="B132" s="15" t="str">
        <f>IF($C132="","",IF(ROW()=7,Input!$C$3,C131))</f>
        <v/>
      </c>
      <c r="C132" s="6"/>
      <c r="D132" s="6"/>
      <c r="E132" s="10"/>
      <c r="G132" s="6"/>
      <c r="H132" s="6"/>
      <c r="I132" s="10">
        <v>0.0</v>
      </c>
      <c r="J132" s="10">
        <v>0.0</v>
      </c>
      <c r="K132" s="5" t="b">
        <v>0</v>
      </c>
      <c r="L132" s="5" t="b">
        <v>1</v>
      </c>
    </row>
    <row r="133">
      <c r="A133" s="14" t="str">
        <f t="shared" si="1"/>
        <v/>
      </c>
      <c r="B133" s="15" t="str">
        <f>IF($C133="","",IF(ROW()=7,Input!$C$3,C132))</f>
        <v/>
      </c>
      <c r="C133" s="6"/>
      <c r="D133" s="6"/>
      <c r="E133" s="10"/>
      <c r="G133" s="6"/>
      <c r="H133" s="6"/>
      <c r="I133" s="10">
        <v>0.0</v>
      </c>
      <c r="J133" s="10">
        <v>0.0</v>
      </c>
      <c r="K133" s="5" t="b">
        <v>0</v>
      </c>
      <c r="L133" s="5" t="b">
        <v>1</v>
      </c>
    </row>
    <row r="134">
      <c r="A134" s="14" t="str">
        <f t="shared" si="1"/>
        <v/>
      </c>
      <c r="B134" s="15" t="str">
        <f>IF($C134="","",IF(ROW()=7,Input!$C$3,C133))</f>
        <v/>
      </c>
      <c r="C134" s="6"/>
      <c r="D134" s="6"/>
      <c r="E134" s="10"/>
      <c r="G134" s="6"/>
      <c r="H134" s="6"/>
      <c r="I134" s="10">
        <v>0.0</v>
      </c>
      <c r="J134" s="10">
        <v>0.0</v>
      </c>
      <c r="K134" s="5" t="b">
        <v>0</v>
      </c>
      <c r="L134" s="5" t="b">
        <v>1</v>
      </c>
    </row>
    <row r="135">
      <c r="A135" s="14" t="str">
        <f t="shared" si="1"/>
        <v/>
      </c>
      <c r="B135" s="15" t="str">
        <f>IF($C135="","",IF(ROW()=7,Input!$C$3,C134))</f>
        <v/>
      </c>
      <c r="C135" s="6"/>
      <c r="D135" s="6"/>
      <c r="E135" s="10"/>
      <c r="G135" s="6"/>
      <c r="H135" s="6"/>
      <c r="I135" s="10">
        <v>0.0</v>
      </c>
      <c r="J135" s="10">
        <v>0.0</v>
      </c>
      <c r="K135" s="5" t="b">
        <v>0</v>
      </c>
      <c r="L135" s="5" t="b">
        <v>1</v>
      </c>
    </row>
    <row r="136">
      <c r="A136" s="14" t="str">
        <f t="shared" si="1"/>
        <v/>
      </c>
      <c r="B136" s="15" t="str">
        <f>IF($C136="","",IF(ROW()=7,Input!$C$3,C135))</f>
        <v/>
      </c>
      <c r="C136" s="6"/>
      <c r="D136" s="6"/>
      <c r="E136" s="10"/>
      <c r="G136" s="6"/>
      <c r="H136" s="6"/>
      <c r="I136" s="10">
        <v>0.0</v>
      </c>
      <c r="J136" s="10">
        <v>0.0</v>
      </c>
      <c r="K136" s="5" t="b">
        <v>0</v>
      </c>
      <c r="L136" s="5" t="b">
        <v>1</v>
      </c>
    </row>
    <row r="137">
      <c r="A137" s="14" t="str">
        <f t="shared" si="1"/>
        <v/>
      </c>
      <c r="B137" s="15" t="str">
        <f>IF($C137="","",IF(ROW()=7,Input!$C$3,C136))</f>
        <v/>
      </c>
      <c r="C137" s="6"/>
      <c r="D137" s="6"/>
      <c r="E137" s="10"/>
      <c r="G137" s="6"/>
      <c r="H137" s="6"/>
      <c r="I137" s="10">
        <v>0.0</v>
      </c>
      <c r="J137" s="10">
        <v>0.0</v>
      </c>
      <c r="K137" s="5" t="b">
        <v>0</v>
      </c>
      <c r="L137" s="5" t="b">
        <v>1</v>
      </c>
    </row>
    <row r="138">
      <c r="A138" s="14" t="str">
        <f t="shared" si="1"/>
        <v/>
      </c>
      <c r="B138" s="15" t="str">
        <f>IF($C138="","",IF(ROW()=7,Input!$C$3,C137))</f>
        <v/>
      </c>
      <c r="C138" s="6"/>
      <c r="D138" s="6"/>
      <c r="E138" s="10"/>
      <c r="G138" s="6"/>
      <c r="H138" s="6"/>
      <c r="I138" s="10">
        <v>0.0</v>
      </c>
      <c r="J138" s="10">
        <v>0.0</v>
      </c>
      <c r="K138" s="5" t="b">
        <v>0</v>
      </c>
      <c r="L138" s="5" t="b">
        <v>1</v>
      </c>
    </row>
    <row r="139">
      <c r="A139" s="14" t="str">
        <f t="shared" si="1"/>
        <v/>
      </c>
      <c r="B139" s="15" t="str">
        <f>IF($C139="","",IF(ROW()=7,Input!$C$3,C138))</f>
        <v/>
      </c>
      <c r="C139" s="6"/>
      <c r="D139" s="6"/>
      <c r="E139" s="10"/>
      <c r="G139" s="6"/>
      <c r="H139" s="6"/>
      <c r="I139" s="10">
        <v>0.0</v>
      </c>
      <c r="J139" s="10">
        <v>0.0</v>
      </c>
      <c r="K139" s="5" t="b">
        <v>0</v>
      </c>
      <c r="L139" s="5" t="b">
        <v>1</v>
      </c>
    </row>
    <row r="140">
      <c r="A140" s="14" t="str">
        <f t="shared" si="1"/>
        <v/>
      </c>
      <c r="B140" s="15" t="str">
        <f>IF($C140="","",IF(ROW()=7,Input!$C$3,C139))</f>
        <v/>
      </c>
      <c r="C140" s="6"/>
      <c r="D140" s="6"/>
      <c r="E140" s="10"/>
      <c r="G140" s="6"/>
      <c r="H140" s="6"/>
      <c r="I140" s="10">
        <v>0.0</v>
      </c>
      <c r="J140" s="10">
        <v>0.0</v>
      </c>
      <c r="K140" s="5" t="b">
        <v>0</v>
      </c>
      <c r="L140" s="5" t="b">
        <v>1</v>
      </c>
    </row>
    <row r="141">
      <c r="A141" s="14" t="str">
        <f t="shared" si="1"/>
        <v/>
      </c>
      <c r="B141" s="15" t="str">
        <f>IF($C141="","",IF(ROW()=7,Input!$C$3,C140))</f>
        <v/>
      </c>
      <c r="C141" s="6"/>
      <c r="D141" s="6"/>
      <c r="E141" s="10"/>
      <c r="G141" s="6"/>
      <c r="H141" s="6"/>
      <c r="I141" s="10">
        <v>0.0</v>
      </c>
      <c r="J141" s="10">
        <v>0.0</v>
      </c>
      <c r="K141" s="5" t="b">
        <v>0</v>
      </c>
      <c r="L141" s="5" t="b">
        <v>1</v>
      </c>
    </row>
    <row r="142">
      <c r="A142" s="14" t="str">
        <f t="shared" si="1"/>
        <v/>
      </c>
      <c r="B142" s="15" t="str">
        <f>IF($C142="","",IF(ROW()=7,Input!$C$3,C141))</f>
        <v/>
      </c>
      <c r="C142" s="6"/>
      <c r="D142" s="6"/>
      <c r="E142" s="10"/>
      <c r="G142" s="6"/>
      <c r="H142" s="6"/>
      <c r="I142" s="10">
        <v>0.0</v>
      </c>
      <c r="J142" s="10">
        <v>0.0</v>
      </c>
      <c r="K142" s="5" t="b">
        <v>0</v>
      </c>
      <c r="L142" s="5" t="b">
        <v>1</v>
      </c>
    </row>
    <row r="143">
      <c r="A143" s="14" t="str">
        <f t="shared" si="1"/>
        <v/>
      </c>
      <c r="B143" s="15" t="str">
        <f>IF($C143="","",IF(ROW()=7,Input!$C$3,C142))</f>
        <v/>
      </c>
      <c r="C143" s="6"/>
      <c r="D143" s="6"/>
      <c r="E143" s="10"/>
      <c r="G143" s="6"/>
      <c r="H143" s="6"/>
      <c r="I143" s="10">
        <v>0.0</v>
      </c>
      <c r="J143" s="10">
        <v>0.0</v>
      </c>
      <c r="K143" s="5" t="b">
        <v>0</v>
      </c>
      <c r="L143" s="5" t="b">
        <v>1</v>
      </c>
    </row>
    <row r="144">
      <c r="A144" s="14" t="str">
        <f t="shared" si="1"/>
        <v/>
      </c>
      <c r="B144" s="15" t="str">
        <f>IF($C144="","",IF(ROW()=7,Input!$C$3,C143))</f>
        <v/>
      </c>
      <c r="C144" s="6"/>
      <c r="D144" s="6"/>
      <c r="E144" s="10"/>
      <c r="G144" s="6"/>
      <c r="H144" s="6"/>
      <c r="I144" s="10">
        <v>0.0</v>
      </c>
      <c r="J144" s="10">
        <v>0.0</v>
      </c>
      <c r="K144" s="5" t="b">
        <v>0</v>
      </c>
      <c r="L144" s="5" t="b">
        <v>1</v>
      </c>
    </row>
    <row r="145">
      <c r="A145" s="14" t="str">
        <f t="shared" si="1"/>
        <v/>
      </c>
      <c r="B145" s="15" t="str">
        <f>IF($C145="","",IF(ROW()=7,Input!$C$3,C144))</f>
        <v/>
      </c>
      <c r="C145" s="6"/>
      <c r="D145" s="6"/>
      <c r="E145" s="10"/>
      <c r="G145" s="6"/>
      <c r="H145" s="6"/>
      <c r="I145" s="10">
        <v>0.0</v>
      </c>
      <c r="J145" s="10">
        <v>0.0</v>
      </c>
      <c r="K145" s="5" t="b">
        <v>0</v>
      </c>
      <c r="L145" s="5" t="b">
        <v>1</v>
      </c>
    </row>
    <row r="146">
      <c r="A146" s="14" t="str">
        <f t="shared" si="1"/>
        <v/>
      </c>
      <c r="B146" s="15" t="str">
        <f>IF($C146="","",IF(ROW()=7,Input!$C$3,C145))</f>
        <v/>
      </c>
      <c r="C146" s="6"/>
      <c r="D146" s="6"/>
      <c r="E146" s="10"/>
      <c r="G146" s="6"/>
      <c r="H146" s="6"/>
      <c r="I146" s="10">
        <v>0.0</v>
      </c>
      <c r="J146" s="10">
        <v>0.0</v>
      </c>
      <c r="K146" s="5" t="b">
        <v>0</v>
      </c>
      <c r="L146" s="5" t="b">
        <v>1</v>
      </c>
    </row>
    <row r="147">
      <c r="A147" s="14" t="str">
        <f t="shared" si="1"/>
        <v/>
      </c>
      <c r="B147" s="15" t="str">
        <f>IF($C147="","",IF(ROW()=7,Input!$C$3,C146))</f>
        <v/>
      </c>
      <c r="C147" s="6"/>
      <c r="D147" s="6"/>
      <c r="E147" s="10"/>
      <c r="G147" s="6"/>
      <c r="H147" s="6"/>
      <c r="I147" s="10">
        <v>0.0</v>
      </c>
      <c r="J147" s="10">
        <v>0.0</v>
      </c>
      <c r="K147" s="5" t="b">
        <v>0</v>
      </c>
      <c r="L147" s="5" t="b">
        <v>1</v>
      </c>
    </row>
    <row r="148">
      <c r="A148" s="14" t="str">
        <f t="shared" si="1"/>
        <v/>
      </c>
      <c r="B148" s="15" t="str">
        <f>IF($C148="","",IF(ROW()=7,Input!$C$3,C147))</f>
        <v/>
      </c>
      <c r="C148" s="6"/>
      <c r="D148" s="6"/>
      <c r="E148" s="10"/>
      <c r="G148" s="6"/>
      <c r="H148" s="6"/>
      <c r="I148" s="10">
        <v>0.0</v>
      </c>
      <c r="J148" s="10">
        <v>0.0</v>
      </c>
      <c r="K148" s="5" t="b">
        <v>0</v>
      </c>
      <c r="L148" s="5" t="b">
        <v>1</v>
      </c>
    </row>
    <row r="149">
      <c r="A149" s="14" t="str">
        <f t="shared" si="1"/>
        <v/>
      </c>
      <c r="B149" s="15" t="str">
        <f>IF($C149="","",IF(ROW()=7,Input!$C$3,C148))</f>
        <v/>
      </c>
      <c r="C149" s="6"/>
      <c r="D149" s="6"/>
      <c r="E149" s="10"/>
      <c r="G149" s="6"/>
      <c r="H149" s="6"/>
      <c r="I149" s="10">
        <v>0.0</v>
      </c>
      <c r="J149" s="10">
        <v>0.0</v>
      </c>
      <c r="K149" s="5" t="b">
        <v>0</v>
      </c>
      <c r="L149" s="5" t="b">
        <v>1</v>
      </c>
    </row>
    <row r="150">
      <c r="A150" s="14" t="str">
        <f t="shared" si="1"/>
        <v/>
      </c>
      <c r="B150" s="15" t="str">
        <f>IF($C150="","",IF(ROW()=7,Input!$C$3,C149))</f>
        <v/>
      </c>
      <c r="C150" s="6"/>
      <c r="D150" s="6"/>
      <c r="E150" s="10"/>
      <c r="G150" s="6"/>
      <c r="H150" s="6"/>
      <c r="I150" s="10">
        <v>0.0</v>
      </c>
      <c r="J150" s="10">
        <v>0.0</v>
      </c>
      <c r="K150" s="5" t="b">
        <v>0</v>
      </c>
      <c r="L150" s="5" t="b">
        <v>1</v>
      </c>
    </row>
    <row r="151">
      <c r="A151" s="14" t="str">
        <f t="shared" si="1"/>
        <v/>
      </c>
      <c r="B151" s="15" t="str">
        <f>IF($C151="","",IF(ROW()=7,Input!$C$3,C150))</f>
        <v/>
      </c>
      <c r="C151" s="6"/>
      <c r="D151" s="6"/>
      <c r="E151" s="10"/>
      <c r="G151" s="6"/>
      <c r="H151" s="6"/>
      <c r="I151" s="10">
        <v>0.0</v>
      </c>
      <c r="J151" s="10">
        <v>0.0</v>
      </c>
      <c r="K151" s="5" t="b">
        <v>0</v>
      </c>
      <c r="L151" s="5" t="b">
        <v>1</v>
      </c>
    </row>
    <row r="152">
      <c r="A152" s="14" t="str">
        <f t="shared" si="1"/>
        <v/>
      </c>
      <c r="B152" s="15" t="str">
        <f>IF($C152="","",IF(ROW()=7,Input!$C$3,C151))</f>
        <v/>
      </c>
      <c r="C152" s="6"/>
      <c r="D152" s="6"/>
      <c r="E152" s="10"/>
      <c r="G152" s="6"/>
      <c r="H152" s="6"/>
      <c r="I152" s="10">
        <v>0.0</v>
      </c>
      <c r="J152" s="10">
        <v>0.0</v>
      </c>
      <c r="K152" s="5" t="b">
        <v>0</v>
      </c>
      <c r="L152" s="5" t="b">
        <v>1</v>
      </c>
    </row>
    <row r="153">
      <c r="A153" s="14" t="str">
        <f t="shared" si="1"/>
        <v/>
      </c>
      <c r="B153" s="15" t="str">
        <f>IF($C153="","",IF(ROW()=7,Input!$C$3,C152))</f>
        <v/>
      </c>
      <c r="C153" s="6"/>
      <c r="D153" s="6"/>
      <c r="E153" s="10"/>
      <c r="G153" s="6"/>
      <c r="H153" s="6"/>
      <c r="I153" s="10">
        <v>0.0</v>
      </c>
      <c r="J153" s="10">
        <v>0.0</v>
      </c>
      <c r="K153" s="5" t="b">
        <v>0</v>
      </c>
      <c r="L153" s="5" t="b">
        <v>1</v>
      </c>
    </row>
    <row r="154">
      <c r="A154" s="14" t="str">
        <f t="shared" si="1"/>
        <v/>
      </c>
      <c r="B154" s="15" t="str">
        <f>IF($C154="","",IF(ROW()=7,Input!$C$3,C153))</f>
        <v/>
      </c>
      <c r="C154" s="6"/>
      <c r="D154" s="6"/>
      <c r="E154" s="10"/>
      <c r="G154" s="6"/>
      <c r="H154" s="6"/>
      <c r="I154" s="10">
        <v>0.0</v>
      </c>
      <c r="J154" s="10">
        <v>0.0</v>
      </c>
      <c r="K154" s="5" t="b">
        <v>0</v>
      </c>
      <c r="L154" s="5" t="b">
        <v>1</v>
      </c>
    </row>
    <row r="155">
      <c r="A155" s="14" t="str">
        <f t="shared" si="1"/>
        <v/>
      </c>
      <c r="B155" s="15" t="str">
        <f>IF($C155="","",IF(ROW()=7,Input!$C$3,C154))</f>
        <v/>
      </c>
      <c r="C155" s="6"/>
      <c r="D155" s="6"/>
      <c r="E155" s="10"/>
      <c r="G155" s="6"/>
      <c r="H155" s="6"/>
      <c r="I155" s="10">
        <v>0.0</v>
      </c>
      <c r="J155" s="10">
        <v>0.0</v>
      </c>
      <c r="K155" s="5" t="b">
        <v>0</v>
      </c>
      <c r="L155" s="5" t="b">
        <v>1</v>
      </c>
    </row>
    <row r="156">
      <c r="A156" s="14" t="str">
        <f t="shared" si="1"/>
        <v/>
      </c>
      <c r="B156" s="15" t="str">
        <f>IF($C156="","",IF(ROW()=7,Input!$C$3,C155))</f>
        <v/>
      </c>
      <c r="C156" s="6"/>
      <c r="D156" s="6"/>
      <c r="E156" s="10"/>
      <c r="G156" s="6"/>
      <c r="H156" s="6"/>
      <c r="I156" s="10">
        <v>0.0</v>
      </c>
      <c r="J156" s="10">
        <v>0.0</v>
      </c>
      <c r="K156" s="5" t="b">
        <v>0</v>
      </c>
      <c r="L156" s="5" t="b">
        <v>1</v>
      </c>
    </row>
    <row r="157">
      <c r="A157" s="14" t="str">
        <f t="shared" si="1"/>
        <v/>
      </c>
      <c r="B157" s="15" t="str">
        <f>IF($C157="","",IF(ROW()=7,Input!$C$3,C156))</f>
        <v/>
      </c>
      <c r="C157" s="6"/>
      <c r="D157" s="6"/>
      <c r="E157" s="10"/>
      <c r="G157" s="6"/>
      <c r="H157" s="6"/>
      <c r="I157" s="10">
        <v>0.0</v>
      </c>
      <c r="J157" s="10">
        <v>0.0</v>
      </c>
      <c r="K157" s="5" t="b">
        <v>0</v>
      </c>
      <c r="L157" s="5" t="b">
        <v>1</v>
      </c>
    </row>
    <row r="158">
      <c r="A158" s="14" t="str">
        <f t="shared" si="1"/>
        <v/>
      </c>
      <c r="B158" s="15" t="str">
        <f>IF($C158="","",IF(ROW()=7,Input!$C$3,C157))</f>
        <v/>
      </c>
      <c r="C158" s="6"/>
      <c r="D158" s="6"/>
      <c r="E158" s="10"/>
      <c r="G158" s="6"/>
      <c r="H158" s="6"/>
      <c r="I158" s="10">
        <v>0.0</v>
      </c>
      <c r="J158" s="10">
        <v>0.0</v>
      </c>
      <c r="K158" s="5" t="b">
        <v>0</v>
      </c>
      <c r="L158" s="5" t="b">
        <v>1</v>
      </c>
    </row>
    <row r="159">
      <c r="A159" s="14" t="str">
        <f t="shared" si="1"/>
        <v/>
      </c>
      <c r="B159" s="15" t="str">
        <f>IF($C159="","",IF(ROW()=7,Input!$C$3,C158))</f>
        <v/>
      </c>
      <c r="C159" s="6"/>
      <c r="D159" s="6"/>
      <c r="E159" s="10"/>
      <c r="G159" s="6"/>
      <c r="H159" s="6"/>
      <c r="I159" s="10">
        <v>0.0</v>
      </c>
      <c r="J159" s="10">
        <v>0.0</v>
      </c>
      <c r="K159" s="5" t="b">
        <v>0</v>
      </c>
      <c r="L159" s="5" t="b">
        <v>1</v>
      </c>
    </row>
    <row r="160">
      <c r="A160" s="14" t="str">
        <f t="shared" si="1"/>
        <v/>
      </c>
      <c r="B160" s="15" t="str">
        <f>IF($C160="","",IF(ROW()=7,Input!$C$3,C159))</f>
        <v/>
      </c>
      <c r="C160" s="6"/>
      <c r="D160" s="6"/>
      <c r="E160" s="10"/>
      <c r="G160" s="6"/>
      <c r="H160" s="6"/>
      <c r="I160" s="10">
        <v>0.0</v>
      </c>
      <c r="J160" s="10">
        <v>0.0</v>
      </c>
      <c r="K160" s="5" t="b">
        <v>0</v>
      </c>
      <c r="L160" s="5" t="b">
        <v>1</v>
      </c>
    </row>
    <row r="161">
      <c r="A161" s="14" t="str">
        <f t="shared" si="1"/>
        <v/>
      </c>
      <c r="B161" s="15" t="str">
        <f>IF($C161="","",IF(ROW()=7,Input!$C$3,C160))</f>
        <v/>
      </c>
      <c r="C161" s="6"/>
      <c r="D161" s="6"/>
      <c r="E161" s="10"/>
      <c r="G161" s="6"/>
      <c r="H161" s="6"/>
      <c r="I161" s="10">
        <v>0.0</v>
      </c>
      <c r="J161" s="10">
        <v>0.0</v>
      </c>
      <c r="K161" s="5" t="b">
        <v>0</v>
      </c>
      <c r="L161" s="5" t="b">
        <v>1</v>
      </c>
    </row>
    <row r="162">
      <c r="A162" s="14" t="str">
        <f t="shared" si="1"/>
        <v/>
      </c>
      <c r="B162" s="15" t="str">
        <f>IF($C162="","",IF(ROW()=7,Input!$C$3,C161))</f>
        <v/>
      </c>
      <c r="C162" s="6"/>
      <c r="D162" s="6"/>
      <c r="E162" s="10"/>
      <c r="G162" s="6"/>
      <c r="H162" s="6"/>
      <c r="I162" s="10">
        <v>0.0</v>
      </c>
      <c r="J162" s="10">
        <v>0.0</v>
      </c>
      <c r="K162" s="5" t="b">
        <v>0</v>
      </c>
      <c r="L162" s="5" t="b">
        <v>1</v>
      </c>
    </row>
    <row r="163">
      <c r="A163" s="14" t="str">
        <f t="shared" si="1"/>
        <v/>
      </c>
      <c r="B163" s="15" t="str">
        <f>IF($C163="","",IF(ROW()=7,Input!$C$3,C162))</f>
        <v/>
      </c>
      <c r="C163" s="6"/>
      <c r="D163" s="6"/>
      <c r="E163" s="10"/>
      <c r="G163" s="6"/>
      <c r="H163" s="6"/>
      <c r="I163" s="10">
        <v>0.0</v>
      </c>
      <c r="J163" s="10">
        <v>0.0</v>
      </c>
      <c r="K163" s="5" t="b">
        <v>0</v>
      </c>
      <c r="L163" s="5" t="b">
        <v>1</v>
      </c>
    </row>
    <row r="164">
      <c r="A164" s="14" t="str">
        <f t="shared" si="1"/>
        <v/>
      </c>
      <c r="B164" s="15" t="str">
        <f>IF($C164="","",IF(ROW()=7,Input!$C$3,C163))</f>
        <v/>
      </c>
      <c r="C164" s="6"/>
      <c r="D164" s="6"/>
      <c r="E164" s="10"/>
      <c r="G164" s="6"/>
      <c r="H164" s="6"/>
      <c r="I164" s="10">
        <v>0.0</v>
      </c>
      <c r="J164" s="10">
        <v>0.0</v>
      </c>
      <c r="K164" s="5" t="b">
        <v>0</v>
      </c>
      <c r="L164" s="5" t="b">
        <v>1</v>
      </c>
    </row>
    <row r="165">
      <c r="A165" s="14" t="str">
        <f t="shared" si="1"/>
        <v/>
      </c>
      <c r="B165" s="15" t="str">
        <f>IF($C165="","",IF(ROW()=7,Input!$C$3,C164))</f>
        <v/>
      </c>
      <c r="C165" s="6"/>
      <c r="D165" s="6"/>
      <c r="E165" s="10"/>
      <c r="G165" s="6"/>
      <c r="H165" s="6"/>
      <c r="I165" s="10">
        <v>0.0</v>
      </c>
      <c r="J165" s="10">
        <v>0.0</v>
      </c>
      <c r="K165" s="5" t="b">
        <v>0</v>
      </c>
      <c r="L165" s="5" t="b">
        <v>1</v>
      </c>
    </row>
    <row r="166">
      <c r="A166" s="14" t="str">
        <f t="shared" si="1"/>
        <v/>
      </c>
      <c r="B166" s="15" t="str">
        <f>IF($C166="","",IF(ROW()=7,Input!$C$3,C165))</f>
        <v/>
      </c>
      <c r="C166" s="6"/>
      <c r="D166" s="6"/>
      <c r="E166" s="10"/>
      <c r="G166" s="6"/>
      <c r="H166" s="6"/>
      <c r="I166" s="10">
        <v>0.0</v>
      </c>
      <c r="J166" s="10">
        <v>0.0</v>
      </c>
      <c r="K166" s="5" t="b">
        <v>0</v>
      </c>
      <c r="L166" s="5" t="b">
        <v>1</v>
      </c>
    </row>
    <row r="167">
      <c r="A167" s="14" t="str">
        <f t="shared" si="1"/>
        <v/>
      </c>
      <c r="B167" s="15" t="str">
        <f>IF($C167="","",IF(ROW()=7,Input!$C$3,C166))</f>
        <v/>
      </c>
      <c r="C167" s="6"/>
      <c r="D167" s="6"/>
      <c r="E167" s="10"/>
      <c r="G167" s="6"/>
      <c r="H167" s="6"/>
      <c r="I167" s="10">
        <v>0.0</v>
      </c>
      <c r="J167" s="10">
        <v>0.0</v>
      </c>
      <c r="K167" s="5" t="b">
        <v>0</v>
      </c>
      <c r="L167" s="5" t="b">
        <v>1</v>
      </c>
    </row>
    <row r="168">
      <c r="A168" s="14" t="str">
        <f t="shared" si="1"/>
        <v/>
      </c>
      <c r="B168" s="15" t="str">
        <f>IF($C168="","",IF(ROW()=7,Input!$C$3,C167))</f>
        <v/>
      </c>
      <c r="C168" s="6"/>
      <c r="D168" s="6"/>
      <c r="E168" s="10"/>
      <c r="G168" s="6"/>
      <c r="H168" s="6"/>
      <c r="I168" s="10">
        <v>0.0</v>
      </c>
      <c r="J168" s="10">
        <v>0.0</v>
      </c>
      <c r="K168" s="5" t="b">
        <v>0</v>
      </c>
      <c r="L168" s="5" t="b">
        <v>1</v>
      </c>
    </row>
    <row r="169">
      <c r="A169" s="14" t="str">
        <f t="shared" si="1"/>
        <v/>
      </c>
      <c r="B169" s="15" t="str">
        <f>IF($C169="","",IF(ROW()=7,Input!$C$3,C168))</f>
        <v/>
      </c>
      <c r="C169" s="6"/>
      <c r="D169" s="6"/>
      <c r="E169" s="10"/>
      <c r="G169" s="6"/>
      <c r="H169" s="6"/>
      <c r="I169" s="10">
        <v>0.0</v>
      </c>
      <c r="J169" s="10">
        <v>0.0</v>
      </c>
      <c r="K169" s="5" t="b">
        <v>0</v>
      </c>
      <c r="L169" s="5" t="b">
        <v>1</v>
      </c>
    </row>
    <row r="170">
      <c r="A170" s="14" t="str">
        <f t="shared" si="1"/>
        <v/>
      </c>
      <c r="B170" s="15" t="str">
        <f>IF($C170="","",IF(ROW()=7,Input!$C$3,C169))</f>
        <v/>
      </c>
      <c r="C170" s="6"/>
      <c r="D170" s="6"/>
      <c r="E170" s="10"/>
      <c r="G170" s="6"/>
      <c r="H170" s="6"/>
      <c r="I170" s="10">
        <v>0.0</v>
      </c>
      <c r="J170" s="10">
        <v>0.0</v>
      </c>
      <c r="K170" s="5" t="b">
        <v>0</v>
      </c>
      <c r="L170" s="5" t="b">
        <v>1</v>
      </c>
    </row>
    <row r="171">
      <c r="A171" s="14" t="str">
        <f t="shared" si="1"/>
        <v/>
      </c>
      <c r="B171" s="15" t="str">
        <f>IF($C171="","",IF(ROW()=7,Input!$C$3,C170))</f>
        <v/>
      </c>
      <c r="C171" s="6"/>
      <c r="D171" s="6"/>
      <c r="E171" s="10"/>
      <c r="G171" s="6"/>
      <c r="H171" s="6"/>
      <c r="I171" s="10">
        <v>0.0</v>
      </c>
      <c r="J171" s="10">
        <v>0.0</v>
      </c>
      <c r="K171" s="5" t="b">
        <v>0</v>
      </c>
      <c r="L171" s="5" t="b">
        <v>1</v>
      </c>
    </row>
    <row r="172">
      <c r="A172" s="14" t="str">
        <f t="shared" si="1"/>
        <v/>
      </c>
      <c r="B172" s="15" t="str">
        <f>IF($C172="","",IF(ROW()=7,Input!$C$3,C171))</f>
        <v/>
      </c>
      <c r="C172" s="6"/>
      <c r="D172" s="6"/>
      <c r="E172" s="10"/>
      <c r="G172" s="6"/>
      <c r="H172" s="6"/>
      <c r="I172" s="10">
        <v>0.0</v>
      </c>
      <c r="J172" s="10">
        <v>0.0</v>
      </c>
      <c r="K172" s="5" t="b">
        <v>0</v>
      </c>
      <c r="L172" s="5" t="b">
        <v>1</v>
      </c>
    </row>
    <row r="173">
      <c r="A173" s="14" t="str">
        <f t="shared" si="1"/>
        <v/>
      </c>
      <c r="B173" s="15" t="str">
        <f>IF($C173="","",IF(ROW()=7,Input!$C$3,C172))</f>
        <v/>
      </c>
      <c r="C173" s="6"/>
      <c r="D173" s="6"/>
      <c r="E173" s="10"/>
      <c r="G173" s="6"/>
      <c r="H173" s="6"/>
      <c r="I173" s="10">
        <v>0.0</v>
      </c>
      <c r="J173" s="10">
        <v>0.0</v>
      </c>
      <c r="K173" s="5" t="b">
        <v>0</v>
      </c>
      <c r="L173" s="5" t="b">
        <v>1</v>
      </c>
    </row>
    <row r="174">
      <c r="A174" s="14" t="str">
        <f t="shared" si="1"/>
        <v/>
      </c>
      <c r="B174" s="15" t="str">
        <f>IF($C174="","",IF(ROW()=7,Input!$C$3,C173))</f>
        <v/>
      </c>
      <c r="C174" s="6"/>
      <c r="D174" s="6"/>
      <c r="E174" s="10"/>
      <c r="G174" s="6"/>
      <c r="H174" s="6"/>
      <c r="I174" s="10">
        <v>0.0</v>
      </c>
      <c r="J174" s="10">
        <v>0.0</v>
      </c>
      <c r="K174" s="5" t="b">
        <v>0</v>
      </c>
      <c r="L174" s="5" t="b">
        <v>1</v>
      </c>
    </row>
    <row r="175">
      <c r="A175" s="14" t="str">
        <f t="shared" si="1"/>
        <v/>
      </c>
      <c r="B175" s="15" t="str">
        <f>IF($C175="","",IF(ROW()=7,Input!$C$3,C174))</f>
        <v/>
      </c>
      <c r="C175" s="6"/>
      <c r="D175" s="6"/>
      <c r="E175" s="10"/>
      <c r="G175" s="6"/>
      <c r="H175" s="6"/>
      <c r="I175" s="10">
        <v>0.0</v>
      </c>
      <c r="J175" s="10">
        <v>0.0</v>
      </c>
      <c r="K175" s="5" t="b">
        <v>0</v>
      </c>
      <c r="L175" s="5" t="b">
        <v>1</v>
      </c>
    </row>
    <row r="176">
      <c r="A176" s="14" t="str">
        <f t="shared" si="1"/>
        <v/>
      </c>
      <c r="B176" s="15" t="str">
        <f>IF($C176="","",IF(ROW()=7,Input!$C$3,C175))</f>
        <v/>
      </c>
      <c r="C176" s="6"/>
      <c r="D176" s="6"/>
      <c r="E176" s="10"/>
      <c r="G176" s="6"/>
      <c r="H176" s="6"/>
      <c r="I176" s="10">
        <v>0.0</v>
      </c>
      <c r="J176" s="10">
        <v>0.0</v>
      </c>
      <c r="K176" s="5" t="b">
        <v>0</v>
      </c>
      <c r="L176" s="5" t="b">
        <v>1</v>
      </c>
    </row>
    <row r="177">
      <c r="A177" s="14" t="str">
        <f t="shared" si="1"/>
        <v/>
      </c>
      <c r="B177" s="15" t="str">
        <f>IF($C177="","",IF(ROW()=7,Input!$C$3,C176))</f>
        <v/>
      </c>
      <c r="C177" s="6"/>
      <c r="D177" s="6"/>
      <c r="E177" s="10"/>
      <c r="G177" s="6"/>
      <c r="H177" s="6"/>
      <c r="I177" s="10">
        <v>0.0</v>
      </c>
      <c r="J177" s="10">
        <v>0.0</v>
      </c>
      <c r="K177" s="5" t="b">
        <v>0</v>
      </c>
      <c r="L177" s="5" t="b">
        <v>1</v>
      </c>
    </row>
    <row r="178">
      <c r="A178" s="14" t="str">
        <f t="shared" si="1"/>
        <v/>
      </c>
      <c r="B178" s="15" t="str">
        <f>IF($C178="","",IF(ROW()=7,Input!$C$3,C177))</f>
        <v/>
      </c>
      <c r="C178" s="6"/>
      <c r="D178" s="6"/>
      <c r="E178" s="10"/>
      <c r="G178" s="6"/>
      <c r="H178" s="6"/>
      <c r="I178" s="10">
        <v>0.0</v>
      </c>
      <c r="J178" s="10">
        <v>0.0</v>
      </c>
      <c r="K178" s="5" t="b">
        <v>0</v>
      </c>
      <c r="L178" s="5" t="b">
        <v>1</v>
      </c>
    </row>
    <row r="179">
      <c r="A179" s="14" t="str">
        <f t="shared" si="1"/>
        <v/>
      </c>
      <c r="B179" s="15" t="str">
        <f>IF($C179="","",IF(ROW()=7,Input!$C$3,C178))</f>
        <v/>
      </c>
      <c r="C179" s="6"/>
      <c r="D179" s="6"/>
      <c r="E179" s="10"/>
      <c r="G179" s="6"/>
      <c r="H179" s="6"/>
      <c r="I179" s="10">
        <v>0.0</v>
      </c>
      <c r="J179" s="10">
        <v>0.0</v>
      </c>
      <c r="K179" s="5" t="b">
        <v>0</v>
      </c>
      <c r="L179" s="5" t="b">
        <v>1</v>
      </c>
    </row>
    <row r="180">
      <c r="A180" s="14" t="str">
        <f t="shared" si="1"/>
        <v/>
      </c>
      <c r="B180" s="15" t="str">
        <f>IF($C180="","",IF(ROW()=7,Input!$C$3,C179))</f>
        <v/>
      </c>
      <c r="C180" s="6"/>
      <c r="D180" s="6"/>
      <c r="E180" s="10"/>
      <c r="G180" s="6"/>
      <c r="H180" s="6"/>
      <c r="I180" s="10">
        <v>0.0</v>
      </c>
      <c r="J180" s="10">
        <v>0.0</v>
      </c>
      <c r="K180" s="5" t="b">
        <v>0</v>
      </c>
      <c r="L180" s="5" t="b">
        <v>1</v>
      </c>
    </row>
    <row r="181">
      <c r="A181" s="14" t="str">
        <f t="shared" si="1"/>
        <v/>
      </c>
      <c r="B181" s="15" t="str">
        <f>IF($C181="","",IF(ROW()=7,Input!$C$3,C180))</f>
        <v/>
      </c>
      <c r="C181" s="6"/>
      <c r="D181" s="6"/>
      <c r="E181" s="10"/>
      <c r="G181" s="6"/>
      <c r="H181" s="6"/>
      <c r="I181" s="10">
        <v>0.0</v>
      </c>
      <c r="J181" s="10">
        <v>0.0</v>
      </c>
      <c r="K181" s="5" t="b">
        <v>0</v>
      </c>
      <c r="L181" s="5" t="b">
        <v>1</v>
      </c>
    </row>
    <row r="182">
      <c r="A182" s="14" t="str">
        <f t="shared" si="1"/>
        <v/>
      </c>
      <c r="B182" s="15" t="str">
        <f>IF($C182="","",IF(ROW()=7,Input!$C$3,C181))</f>
        <v/>
      </c>
      <c r="C182" s="6"/>
      <c r="D182" s="6"/>
      <c r="E182" s="10"/>
      <c r="G182" s="6"/>
      <c r="H182" s="6"/>
      <c r="I182" s="10">
        <v>0.0</v>
      </c>
      <c r="J182" s="10">
        <v>0.0</v>
      </c>
      <c r="K182" s="5" t="b">
        <v>0</v>
      </c>
      <c r="L182" s="5" t="b">
        <v>1</v>
      </c>
    </row>
    <row r="183">
      <c r="A183" s="14" t="str">
        <f t="shared" si="1"/>
        <v/>
      </c>
      <c r="B183" s="15" t="str">
        <f>IF($C183="","",IF(ROW()=7,Input!$C$3,C182))</f>
        <v/>
      </c>
      <c r="C183" s="6"/>
      <c r="D183" s="6"/>
      <c r="E183" s="10"/>
      <c r="G183" s="6"/>
      <c r="H183" s="6"/>
      <c r="I183" s="10">
        <v>0.0</v>
      </c>
      <c r="J183" s="10">
        <v>0.0</v>
      </c>
      <c r="K183" s="5" t="b">
        <v>0</v>
      </c>
      <c r="L183" s="5" t="b">
        <v>1</v>
      </c>
    </row>
    <row r="184">
      <c r="A184" s="14" t="str">
        <f t="shared" si="1"/>
        <v/>
      </c>
      <c r="B184" s="15" t="str">
        <f>IF($C184="","",IF(ROW()=7,Input!$C$3,C183))</f>
        <v/>
      </c>
      <c r="C184" s="6"/>
      <c r="D184" s="6"/>
      <c r="E184" s="10"/>
      <c r="G184" s="6"/>
      <c r="H184" s="6"/>
      <c r="I184" s="10">
        <v>0.0</v>
      </c>
      <c r="J184" s="10">
        <v>0.0</v>
      </c>
      <c r="K184" s="5" t="b">
        <v>0</v>
      </c>
      <c r="L184" s="5" t="b">
        <v>1</v>
      </c>
    </row>
    <row r="185">
      <c r="A185" s="14" t="str">
        <f t="shared" si="1"/>
        <v/>
      </c>
      <c r="B185" s="15" t="str">
        <f>IF($C185="","",IF(ROW()=7,Input!$C$3,C184))</f>
        <v/>
      </c>
      <c r="C185" s="6"/>
      <c r="D185" s="6"/>
      <c r="E185" s="10"/>
      <c r="G185" s="6"/>
      <c r="H185" s="6"/>
      <c r="I185" s="10">
        <v>0.0</v>
      </c>
      <c r="J185" s="10">
        <v>0.0</v>
      </c>
      <c r="K185" s="5" t="b">
        <v>0</v>
      </c>
      <c r="L185" s="5" t="b">
        <v>1</v>
      </c>
    </row>
    <row r="186">
      <c r="A186" s="14" t="str">
        <f t="shared" si="1"/>
        <v/>
      </c>
      <c r="B186" s="15" t="str">
        <f>IF($C186="","",IF(ROW()=7,Input!$C$3,C185))</f>
        <v/>
      </c>
      <c r="C186" s="6"/>
      <c r="D186" s="6"/>
      <c r="E186" s="10"/>
      <c r="G186" s="6"/>
      <c r="H186" s="6"/>
      <c r="I186" s="10">
        <v>0.0</v>
      </c>
      <c r="J186" s="10">
        <v>0.0</v>
      </c>
      <c r="K186" s="5" t="b">
        <v>0</v>
      </c>
      <c r="L186" s="5" t="b">
        <v>1</v>
      </c>
    </row>
    <row r="187">
      <c r="A187" s="14" t="str">
        <f t="shared" si="1"/>
        <v/>
      </c>
      <c r="B187" s="15" t="str">
        <f>IF($C187="","",IF(ROW()=7,Input!$C$3,C186))</f>
        <v/>
      </c>
      <c r="C187" s="6"/>
      <c r="D187" s="6"/>
      <c r="E187" s="10"/>
      <c r="G187" s="6"/>
      <c r="H187" s="6"/>
      <c r="I187" s="10">
        <v>0.0</v>
      </c>
      <c r="J187" s="10">
        <v>0.0</v>
      </c>
      <c r="K187" s="5" t="b">
        <v>0</v>
      </c>
      <c r="L187" s="5" t="b">
        <v>1</v>
      </c>
    </row>
    <row r="188">
      <c r="A188" s="14" t="str">
        <f t="shared" si="1"/>
        <v/>
      </c>
      <c r="B188" s="15" t="str">
        <f>IF($C188="","",IF(ROW()=7,Input!$C$3,C187))</f>
        <v/>
      </c>
      <c r="C188" s="6"/>
      <c r="D188" s="6"/>
      <c r="E188" s="10"/>
      <c r="G188" s="6"/>
      <c r="H188" s="6"/>
      <c r="I188" s="10">
        <v>0.0</v>
      </c>
      <c r="J188" s="10">
        <v>0.0</v>
      </c>
      <c r="K188" s="5" t="b">
        <v>0</v>
      </c>
      <c r="L188" s="5" t="b">
        <v>1</v>
      </c>
    </row>
    <row r="189">
      <c r="A189" s="14" t="str">
        <f t="shared" si="1"/>
        <v/>
      </c>
      <c r="B189" s="15" t="str">
        <f>IF($C189="","",IF(ROW()=7,Input!$C$3,C188))</f>
        <v/>
      </c>
      <c r="C189" s="6"/>
      <c r="D189" s="6"/>
      <c r="E189" s="10"/>
      <c r="G189" s="6"/>
      <c r="H189" s="6"/>
      <c r="I189" s="10">
        <v>0.0</v>
      </c>
      <c r="J189" s="10">
        <v>0.0</v>
      </c>
      <c r="K189" s="5" t="b">
        <v>0</v>
      </c>
      <c r="L189" s="5" t="b">
        <v>1</v>
      </c>
    </row>
    <row r="190">
      <c r="A190" s="14" t="str">
        <f t="shared" si="1"/>
        <v/>
      </c>
      <c r="B190" s="15" t="str">
        <f>IF($C190="","",IF(ROW()=7,Input!$C$3,C189))</f>
        <v/>
      </c>
      <c r="C190" s="6"/>
      <c r="D190" s="6"/>
      <c r="E190" s="10"/>
      <c r="G190" s="6"/>
      <c r="H190" s="6"/>
      <c r="I190" s="10">
        <v>0.0</v>
      </c>
      <c r="J190" s="10">
        <v>0.0</v>
      </c>
      <c r="K190" s="5" t="b">
        <v>0</v>
      </c>
      <c r="L190" s="5" t="b">
        <v>1</v>
      </c>
    </row>
    <row r="191">
      <c r="A191" s="14" t="str">
        <f t="shared" si="1"/>
        <v/>
      </c>
      <c r="B191" s="15" t="str">
        <f>IF($C191="","",IF(ROW()=7,Input!$C$3,C190))</f>
        <v/>
      </c>
      <c r="C191" s="6"/>
      <c r="D191" s="6"/>
      <c r="E191" s="10"/>
      <c r="G191" s="6"/>
      <c r="H191" s="6"/>
      <c r="I191" s="10">
        <v>0.0</v>
      </c>
      <c r="J191" s="10">
        <v>0.0</v>
      </c>
      <c r="K191" s="5" t="b">
        <v>0</v>
      </c>
      <c r="L191" s="5" t="b">
        <v>1</v>
      </c>
    </row>
    <row r="192">
      <c r="A192" s="14" t="str">
        <f t="shared" si="1"/>
        <v/>
      </c>
      <c r="B192" s="15" t="str">
        <f>IF($C192="","",IF(ROW()=7,Input!$C$3,C191))</f>
        <v/>
      </c>
      <c r="C192" s="6"/>
      <c r="D192" s="6"/>
      <c r="E192" s="10"/>
      <c r="G192" s="6"/>
      <c r="H192" s="6"/>
      <c r="I192" s="10">
        <v>0.0</v>
      </c>
      <c r="J192" s="10">
        <v>0.0</v>
      </c>
      <c r="K192" s="5" t="b">
        <v>0</v>
      </c>
      <c r="L192" s="5" t="b">
        <v>1</v>
      </c>
    </row>
    <row r="193">
      <c r="A193" s="14" t="str">
        <f t="shared" si="1"/>
        <v/>
      </c>
      <c r="B193" s="15" t="str">
        <f>IF($C193="","",IF(ROW()=7,Input!$C$3,C192))</f>
        <v/>
      </c>
      <c r="C193" s="6"/>
      <c r="D193" s="6"/>
      <c r="E193" s="10"/>
      <c r="G193" s="6"/>
      <c r="H193" s="6"/>
      <c r="I193" s="10">
        <v>0.0</v>
      </c>
      <c r="J193" s="10">
        <v>0.0</v>
      </c>
      <c r="K193" s="5" t="b">
        <v>0</v>
      </c>
      <c r="L193" s="5" t="b">
        <v>1</v>
      </c>
    </row>
    <row r="194">
      <c r="A194" s="14" t="str">
        <f t="shared" si="1"/>
        <v/>
      </c>
      <c r="B194" s="15" t="str">
        <f>IF($C194="","",IF(ROW()=7,Input!$C$3,C193))</f>
        <v/>
      </c>
      <c r="C194" s="6"/>
      <c r="D194" s="6"/>
      <c r="E194" s="10"/>
      <c r="G194" s="6"/>
      <c r="H194" s="6"/>
      <c r="I194" s="10">
        <v>0.0</v>
      </c>
      <c r="J194" s="10">
        <v>0.0</v>
      </c>
      <c r="K194" s="5" t="b">
        <v>0</v>
      </c>
      <c r="L194" s="5" t="b">
        <v>1</v>
      </c>
    </row>
    <row r="195">
      <c r="A195" s="14" t="str">
        <f t="shared" si="1"/>
        <v/>
      </c>
      <c r="B195" s="15" t="str">
        <f>IF($C195="","",IF(ROW()=7,Input!$C$3,C194))</f>
        <v/>
      </c>
      <c r="C195" s="6"/>
      <c r="D195" s="6"/>
      <c r="E195" s="10"/>
      <c r="G195" s="6"/>
      <c r="H195" s="6"/>
      <c r="I195" s="10">
        <v>0.0</v>
      </c>
      <c r="J195" s="10">
        <v>0.0</v>
      </c>
      <c r="K195" s="5" t="b">
        <v>0</v>
      </c>
      <c r="L195" s="5" t="b">
        <v>1</v>
      </c>
    </row>
    <row r="196">
      <c r="A196" s="14" t="str">
        <f t="shared" si="1"/>
        <v/>
      </c>
      <c r="B196" s="15" t="str">
        <f>IF($C196="","",IF(ROW()=7,Input!$C$3,C195))</f>
        <v/>
      </c>
      <c r="C196" s="6"/>
      <c r="D196" s="6"/>
      <c r="E196" s="10"/>
      <c r="G196" s="6"/>
      <c r="H196" s="6"/>
      <c r="I196" s="10">
        <v>0.0</v>
      </c>
      <c r="J196" s="10">
        <v>0.0</v>
      </c>
      <c r="K196" s="5" t="b">
        <v>0</v>
      </c>
      <c r="L196" s="5" t="b">
        <v>1</v>
      </c>
    </row>
    <row r="197">
      <c r="A197" s="14" t="str">
        <f t="shared" si="1"/>
        <v/>
      </c>
      <c r="B197" s="15" t="str">
        <f>IF($C197="","",IF(ROW()=7,Input!$C$3,C196))</f>
        <v/>
      </c>
      <c r="C197" s="6"/>
      <c r="D197" s="6"/>
      <c r="E197" s="10"/>
      <c r="G197" s="6"/>
      <c r="H197" s="6"/>
      <c r="I197" s="10">
        <v>0.0</v>
      </c>
      <c r="J197" s="10">
        <v>0.0</v>
      </c>
      <c r="K197" s="5" t="b">
        <v>0</v>
      </c>
      <c r="L197" s="5" t="b">
        <v>1</v>
      </c>
    </row>
    <row r="198">
      <c r="A198" s="14" t="str">
        <f t="shared" si="1"/>
        <v/>
      </c>
      <c r="B198" s="15" t="str">
        <f>IF($C198="","",IF(ROW()=7,Input!$C$3,C197))</f>
        <v/>
      </c>
      <c r="C198" s="6"/>
      <c r="D198" s="6"/>
      <c r="E198" s="10"/>
      <c r="G198" s="6"/>
      <c r="H198" s="6"/>
      <c r="I198" s="10">
        <v>0.0</v>
      </c>
      <c r="J198" s="10">
        <v>0.0</v>
      </c>
      <c r="K198" s="5" t="b">
        <v>0</v>
      </c>
      <c r="L198" s="5" t="b">
        <v>1</v>
      </c>
    </row>
    <row r="199">
      <c r="A199" s="14" t="str">
        <f t="shared" si="1"/>
        <v/>
      </c>
      <c r="B199" s="15" t="str">
        <f>IF($C199="","",IF(ROW()=7,Input!$C$3,C198))</f>
        <v/>
      </c>
      <c r="C199" s="6"/>
      <c r="D199" s="6"/>
      <c r="E199" s="10"/>
      <c r="G199" s="6"/>
      <c r="H199" s="6"/>
      <c r="I199" s="10">
        <v>0.0</v>
      </c>
      <c r="J199" s="10">
        <v>0.0</v>
      </c>
      <c r="K199" s="5" t="b">
        <v>0</v>
      </c>
      <c r="L199" s="5" t="b">
        <v>1</v>
      </c>
    </row>
    <row r="200">
      <c r="A200" s="14" t="str">
        <f t="shared" si="1"/>
        <v/>
      </c>
      <c r="B200" s="15" t="str">
        <f>IF($C200="","",IF(ROW()=7,Input!$C$3,C199))</f>
        <v/>
      </c>
      <c r="C200" s="6"/>
      <c r="D200" s="6"/>
      <c r="E200" s="10"/>
      <c r="G200" s="6"/>
      <c r="H200" s="6"/>
      <c r="I200" s="10">
        <v>0.0</v>
      </c>
      <c r="J200" s="10">
        <v>0.0</v>
      </c>
      <c r="K200" s="5" t="b">
        <v>0</v>
      </c>
      <c r="L200" s="5" t="b">
        <v>1</v>
      </c>
    </row>
    <row r="201">
      <c r="A201" s="14" t="str">
        <f t="shared" si="1"/>
        <v/>
      </c>
      <c r="B201" s="15" t="str">
        <f>IF($C201="","",IF(ROW()=7,Input!$C$3,C200))</f>
        <v/>
      </c>
      <c r="C201" s="6"/>
      <c r="D201" s="6"/>
      <c r="E201" s="10"/>
      <c r="G201" s="6"/>
      <c r="H201" s="6"/>
      <c r="I201" s="10">
        <v>0.0</v>
      </c>
      <c r="J201" s="10">
        <v>0.0</v>
      </c>
      <c r="K201" s="5" t="b">
        <v>0</v>
      </c>
      <c r="L201" s="5" t="b">
        <v>1</v>
      </c>
    </row>
    <row r="202">
      <c r="A202" s="14" t="str">
        <f t="shared" si="1"/>
        <v/>
      </c>
      <c r="B202" s="15" t="str">
        <f>IF($C202="","",IF(ROW()=7,Input!$C$3,C201))</f>
        <v/>
      </c>
      <c r="C202" s="6"/>
      <c r="D202" s="6"/>
      <c r="E202" s="10"/>
      <c r="G202" s="6"/>
      <c r="H202" s="6"/>
      <c r="I202" s="10">
        <v>0.0</v>
      </c>
      <c r="J202" s="10">
        <v>0.0</v>
      </c>
      <c r="K202" s="5" t="b">
        <v>0</v>
      </c>
      <c r="L202" s="5" t="b">
        <v>1</v>
      </c>
    </row>
    <row r="203">
      <c r="A203" s="14" t="str">
        <f t="shared" si="1"/>
        <v/>
      </c>
      <c r="B203" s="15" t="str">
        <f>IF($C203="","",IF(ROW()=7,Input!$C$3,C202))</f>
        <v/>
      </c>
      <c r="C203" s="6"/>
      <c r="D203" s="6"/>
      <c r="E203" s="10"/>
      <c r="G203" s="6"/>
      <c r="H203" s="6"/>
      <c r="I203" s="10">
        <v>0.0</v>
      </c>
      <c r="J203" s="10">
        <v>0.0</v>
      </c>
      <c r="K203" s="5" t="b">
        <v>0</v>
      </c>
      <c r="L203" s="5" t="b">
        <v>1</v>
      </c>
    </row>
    <row r="204">
      <c r="A204" s="14" t="str">
        <f t="shared" si="1"/>
        <v/>
      </c>
      <c r="B204" s="15" t="str">
        <f>IF($C204="","",IF(ROW()=7,Input!$C$3,C203))</f>
        <v/>
      </c>
      <c r="C204" s="6"/>
      <c r="D204" s="6"/>
      <c r="E204" s="10"/>
      <c r="G204" s="6"/>
      <c r="H204" s="6"/>
      <c r="I204" s="10">
        <v>0.0</v>
      </c>
      <c r="J204" s="10">
        <v>0.0</v>
      </c>
      <c r="K204" s="5" t="b">
        <v>0</v>
      </c>
      <c r="L204" s="5" t="b">
        <v>1</v>
      </c>
    </row>
    <row r="205">
      <c r="A205" s="14" t="str">
        <f t="shared" si="1"/>
        <v/>
      </c>
      <c r="B205" s="15" t="str">
        <f>IF($C205="","",IF(ROW()=7,Input!$C$3,C204))</f>
        <v/>
      </c>
      <c r="C205" s="6"/>
      <c r="D205" s="6"/>
      <c r="E205" s="10"/>
      <c r="G205" s="6"/>
      <c r="H205" s="6"/>
      <c r="I205" s="10">
        <v>0.0</v>
      </c>
      <c r="J205" s="10">
        <v>0.0</v>
      </c>
      <c r="K205" s="5" t="b">
        <v>0</v>
      </c>
      <c r="L205" s="5" t="b">
        <v>1</v>
      </c>
    </row>
    <row r="206">
      <c r="A206" s="14" t="str">
        <f t="shared" si="1"/>
        <v/>
      </c>
      <c r="B206" s="15" t="str">
        <f>IF($C206="","",IF(ROW()=7,Input!$C$3,C205))</f>
        <v/>
      </c>
      <c r="C206" s="6"/>
      <c r="D206" s="6"/>
      <c r="E206" s="10"/>
      <c r="G206" s="6"/>
      <c r="H206" s="6"/>
      <c r="I206" s="10">
        <v>0.0</v>
      </c>
      <c r="J206" s="10">
        <v>0.0</v>
      </c>
      <c r="K206" s="5" t="b">
        <v>0</v>
      </c>
      <c r="L206" s="5" t="b">
        <v>1</v>
      </c>
    </row>
    <row r="207">
      <c r="A207" s="14" t="str">
        <f t="shared" si="1"/>
        <v/>
      </c>
      <c r="B207" s="15" t="str">
        <f>IF($C207="","",IF(ROW()=7,Input!$C$3,C206))</f>
        <v/>
      </c>
      <c r="C207" s="6"/>
      <c r="D207" s="6"/>
      <c r="E207" s="10"/>
      <c r="G207" s="6"/>
      <c r="H207" s="6"/>
      <c r="I207" s="10">
        <v>0.0</v>
      </c>
      <c r="J207" s="10">
        <v>0.0</v>
      </c>
      <c r="K207" s="5" t="b">
        <v>0</v>
      </c>
      <c r="L207" s="5" t="b">
        <v>1</v>
      </c>
    </row>
    <row r="208">
      <c r="A208" s="14" t="str">
        <f t="shared" si="1"/>
        <v/>
      </c>
      <c r="B208" s="15" t="str">
        <f>IF($C208="","",IF(ROW()=7,Input!$C$3,C207))</f>
        <v/>
      </c>
      <c r="C208" s="6"/>
      <c r="D208" s="6"/>
      <c r="E208" s="10"/>
      <c r="G208" s="6"/>
      <c r="H208" s="6"/>
      <c r="I208" s="10">
        <v>0.0</v>
      </c>
      <c r="J208" s="10">
        <v>0.0</v>
      </c>
      <c r="K208" s="5" t="b">
        <v>0</v>
      </c>
      <c r="L208" s="5" t="b">
        <v>1</v>
      </c>
    </row>
    <row r="209">
      <c r="A209" s="14" t="str">
        <f t="shared" si="1"/>
        <v/>
      </c>
      <c r="B209" s="15" t="str">
        <f>IF($C209="","",IF(ROW()=7,Input!$C$3,C208))</f>
        <v/>
      </c>
      <c r="C209" s="6"/>
      <c r="D209" s="6"/>
      <c r="E209" s="10"/>
      <c r="G209" s="6"/>
      <c r="H209" s="6"/>
      <c r="I209" s="10">
        <v>0.0</v>
      </c>
      <c r="J209" s="10">
        <v>0.0</v>
      </c>
      <c r="K209" s="5" t="b">
        <v>0</v>
      </c>
      <c r="L209" s="5" t="b">
        <v>1</v>
      </c>
    </row>
    <row r="210">
      <c r="A210" s="14" t="str">
        <f t="shared" si="1"/>
        <v/>
      </c>
      <c r="B210" s="15" t="str">
        <f>IF($C210="","",IF(ROW()=7,Input!$C$3,C209))</f>
        <v/>
      </c>
      <c r="C210" s="6"/>
      <c r="D210" s="6"/>
      <c r="E210" s="10"/>
      <c r="G210" s="6"/>
      <c r="H210" s="6"/>
      <c r="I210" s="10">
        <v>0.0</v>
      </c>
      <c r="J210" s="10">
        <v>0.0</v>
      </c>
      <c r="K210" s="5" t="b">
        <v>0</v>
      </c>
      <c r="L210" s="5" t="b">
        <v>1</v>
      </c>
    </row>
    <row r="211">
      <c r="A211" s="14" t="str">
        <f t="shared" si="1"/>
        <v/>
      </c>
      <c r="B211" s="15" t="str">
        <f>IF($C211="","",IF(ROW()=7,Input!$C$3,C210))</f>
        <v/>
      </c>
      <c r="C211" s="6"/>
      <c r="D211" s="6"/>
      <c r="E211" s="10"/>
      <c r="G211" s="6"/>
      <c r="H211" s="6"/>
      <c r="I211" s="10">
        <v>0.0</v>
      </c>
      <c r="J211" s="10">
        <v>0.0</v>
      </c>
      <c r="K211" s="5" t="b">
        <v>0</v>
      </c>
      <c r="L211" s="5" t="b">
        <v>1</v>
      </c>
    </row>
    <row r="212">
      <c r="A212" s="14" t="str">
        <f t="shared" si="1"/>
        <v/>
      </c>
      <c r="B212" s="15" t="str">
        <f>IF($C212="","",IF(ROW()=7,Input!$C$3,C211))</f>
        <v/>
      </c>
      <c r="C212" s="6"/>
      <c r="D212" s="6"/>
      <c r="E212" s="10"/>
      <c r="G212" s="6"/>
      <c r="H212" s="6"/>
      <c r="I212" s="10">
        <v>0.0</v>
      </c>
      <c r="J212" s="10">
        <v>0.0</v>
      </c>
      <c r="K212" s="5" t="b">
        <v>0</v>
      </c>
      <c r="L212" s="5" t="b">
        <v>1</v>
      </c>
    </row>
    <row r="213">
      <c r="A213" s="14" t="str">
        <f t="shared" si="1"/>
        <v/>
      </c>
      <c r="B213" s="15" t="str">
        <f>IF($C213="","",IF(ROW()=7,Input!$C$3,C212))</f>
        <v/>
      </c>
      <c r="C213" s="6"/>
      <c r="D213" s="6"/>
      <c r="E213" s="10"/>
      <c r="G213" s="6"/>
      <c r="H213" s="6"/>
      <c r="I213" s="10">
        <v>0.0</v>
      </c>
      <c r="J213" s="10">
        <v>0.0</v>
      </c>
      <c r="K213" s="5" t="b">
        <v>0</v>
      </c>
      <c r="L213" s="5" t="b">
        <v>1</v>
      </c>
    </row>
    <row r="214">
      <c r="A214" s="14" t="str">
        <f t="shared" si="1"/>
        <v/>
      </c>
      <c r="B214" s="15" t="str">
        <f>IF($C214="","",IF(ROW()=7,Input!$C$3,C213))</f>
        <v/>
      </c>
      <c r="C214" s="6"/>
      <c r="D214" s="6"/>
      <c r="E214" s="10"/>
      <c r="G214" s="6"/>
      <c r="H214" s="6"/>
      <c r="I214" s="10">
        <v>0.0</v>
      </c>
      <c r="J214" s="10">
        <v>0.0</v>
      </c>
      <c r="K214" s="5" t="b">
        <v>0</v>
      </c>
      <c r="L214" s="5" t="b">
        <v>1</v>
      </c>
    </row>
    <row r="215">
      <c r="A215" s="14" t="str">
        <f t="shared" si="1"/>
        <v/>
      </c>
      <c r="B215" s="15" t="str">
        <f>IF($C215="","",IF(ROW()=7,Input!$C$3,C214))</f>
        <v/>
      </c>
      <c r="C215" s="6"/>
      <c r="D215" s="6"/>
      <c r="E215" s="10"/>
      <c r="G215" s="6"/>
      <c r="H215" s="6"/>
      <c r="I215" s="10">
        <v>0.0</v>
      </c>
      <c r="J215" s="10">
        <v>0.0</v>
      </c>
      <c r="K215" s="5" t="b">
        <v>0</v>
      </c>
      <c r="L215" s="5" t="b">
        <v>1</v>
      </c>
    </row>
    <row r="216">
      <c r="A216" s="14" t="str">
        <f t="shared" si="1"/>
        <v/>
      </c>
      <c r="B216" s="15" t="str">
        <f>IF($C216="","",IF(ROW()=7,Input!$C$3,C215))</f>
        <v/>
      </c>
      <c r="C216" s="6"/>
      <c r="D216" s="6"/>
      <c r="E216" s="10"/>
      <c r="G216" s="6"/>
      <c r="H216" s="6"/>
      <c r="I216" s="10">
        <v>0.0</v>
      </c>
      <c r="J216" s="10">
        <v>0.0</v>
      </c>
      <c r="K216" s="5" t="b">
        <v>0</v>
      </c>
      <c r="L216" s="5" t="b">
        <v>1</v>
      </c>
    </row>
    <row r="217">
      <c r="A217" s="14" t="str">
        <f t="shared" si="1"/>
        <v/>
      </c>
      <c r="B217" s="15" t="str">
        <f>IF($C217="","",IF(ROW()=7,Input!$C$3,C216))</f>
        <v/>
      </c>
      <c r="C217" s="6"/>
      <c r="D217" s="6"/>
      <c r="E217" s="10"/>
      <c r="G217" s="6"/>
      <c r="H217" s="6"/>
      <c r="I217" s="10">
        <v>0.0</v>
      </c>
      <c r="J217" s="10">
        <v>0.0</v>
      </c>
      <c r="K217" s="5" t="b">
        <v>0</v>
      </c>
      <c r="L217" s="5" t="b">
        <v>1</v>
      </c>
    </row>
    <row r="218">
      <c r="A218" s="14" t="str">
        <f t="shared" si="1"/>
        <v/>
      </c>
      <c r="B218" s="15" t="str">
        <f>IF($C218="","",IF(ROW()=7,Input!$C$3,C217))</f>
        <v/>
      </c>
      <c r="C218" s="6"/>
      <c r="D218" s="6"/>
      <c r="E218" s="10"/>
      <c r="G218" s="6"/>
      <c r="H218" s="6"/>
      <c r="I218" s="10">
        <v>0.0</v>
      </c>
      <c r="J218" s="10">
        <v>0.0</v>
      </c>
      <c r="K218" s="5" t="b">
        <v>0</v>
      </c>
      <c r="L218" s="5" t="b">
        <v>1</v>
      </c>
    </row>
    <row r="219">
      <c r="A219" s="14" t="str">
        <f t="shared" si="1"/>
        <v/>
      </c>
      <c r="B219" s="15" t="str">
        <f>IF($C219="","",IF(ROW()=7,Input!$C$3,C218))</f>
        <v/>
      </c>
      <c r="C219" s="6"/>
      <c r="D219" s="6"/>
      <c r="E219" s="10"/>
      <c r="G219" s="6"/>
      <c r="H219" s="6"/>
      <c r="I219" s="10">
        <v>0.0</v>
      </c>
      <c r="J219" s="10">
        <v>0.0</v>
      </c>
      <c r="K219" s="5" t="b">
        <v>0</v>
      </c>
      <c r="L219" s="5" t="b">
        <v>1</v>
      </c>
    </row>
    <row r="220">
      <c r="A220" s="14" t="str">
        <f t="shared" si="1"/>
        <v/>
      </c>
      <c r="B220" s="15" t="str">
        <f>IF($C220="","",IF(ROW()=7,Input!$C$3,C219))</f>
        <v/>
      </c>
      <c r="C220" s="6"/>
      <c r="D220" s="6"/>
      <c r="E220" s="10"/>
      <c r="G220" s="6"/>
      <c r="H220" s="6"/>
      <c r="I220" s="10">
        <v>0.0</v>
      </c>
      <c r="J220" s="10">
        <v>0.0</v>
      </c>
      <c r="K220" s="5" t="b">
        <v>0</v>
      </c>
      <c r="L220" s="5" t="b">
        <v>1</v>
      </c>
    </row>
    <row r="221">
      <c r="A221" s="14" t="str">
        <f t="shared" si="1"/>
        <v/>
      </c>
      <c r="B221" s="15" t="str">
        <f>IF($C221="","",IF(ROW()=7,Input!$C$3,C220))</f>
        <v/>
      </c>
      <c r="C221" s="6"/>
      <c r="D221" s="6"/>
      <c r="E221" s="10"/>
      <c r="G221" s="6"/>
      <c r="H221" s="6"/>
      <c r="I221" s="10">
        <v>0.0</v>
      </c>
      <c r="J221" s="10">
        <v>0.0</v>
      </c>
      <c r="K221" s="5" t="b">
        <v>0</v>
      </c>
      <c r="L221" s="5" t="b">
        <v>1</v>
      </c>
    </row>
    <row r="222">
      <c r="A222" s="14" t="str">
        <f t="shared" si="1"/>
        <v/>
      </c>
      <c r="B222" s="15" t="str">
        <f>IF($C222="","",IF(ROW()=7,Input!$C$3,C221))</f>
        <v/>
      </c>
      <c r="C222" s="6"/>
      <c r="D222" s="6"/>
      <c r="E222" s="10"/>
      <c r="G222" s="6"/>
      <c r="H222" s="6"/>
      <c r="I222" s="10">
        <v>0.0</v>
      </c>
      <c r="J222" s="10">
        <v>0.0</v>
      </c>
      <c r="K222" s="5" t="b">
        <v>0</v>
      </c>
      <c r="L222" s="5" t="b">
        <v>1</v>
      </c>
    </row>
    <row r="223">
      <c r="A223" s="14" t="str">
        <f t="shared" si="1"/>
        <v/>
      </c>
      <c r="B223" s="15" t="str">
        <f>IF($C223="","",IF(ROW()=7,Input!$C$3,C222))</f>
        <v/>
      </c>
      <c r="C223" s="6"/>
      <c r="D223" s="6"/>
      <c r="E223" s="10"/>
      <c r="G223" s="6"/>
      <c r="H223" s="6"/>
      <c r="I223" s="10">
        <v>0.0</v>
      </c>
      <c r="J223" s="10">
        <v>0.0</v>
      </c>
      <c r="K223" s="5" t="b">
        <v>0</v>
      </c>
      <c r="L223" s="5" t="b">
        <v>1</v>
      </c>
    </row>
    <row r="224">
      <c r="A224" s="14" t="str">
        <f t="shared" si="1"/>
        <v/>
      </c>
      <c r="B224" s="15" t="str">
        <f>IF($C224="","",IF(ROW()=7,Input!$C$3,C223))</f>
        <v/>
      </c>
      <c r="C224" s="6"/>
      <c r="D224" s="6"/>
      <c r="E224" s="10"/>
      <c r="G224" s="6"/>
      <c r="H224" s="6"/>
      <c r="I224" s="10">
        <v>0.0</v>
      </c>
      <c r="J224" s="10">
        <v>0.0</v>
      </c>
      <c r="K224" s="5" t="b">
        <v>0</v>
      </c>
      <c r="L224" s="5" t="b">
        <v>1</v>
      </c>
    </row>
    <row r="225">
      <c r="A225" s="14" t="str">
        <f t="shared" si="1"/>
        <v/>
      </c>
      <c r="B225" s="15" t="str">
        <f>IF($C225="","",IF(ROW()=7,Input!$C$3,C224))</f>
        <v/>
      </c>
      <c r="C225" s="6"/>
      <c r="D225" s="6"/>
      <c r="E225" s="10"/>
      <c r="G225" s="6"/>
      <c r="H225" s="6"/>
      <c r="I225" s="10">
        <v>0.0</v>
      </c>
      <c r="J225" s="10">
        <v>0.0</v>
      </c>
      <c r="K225" s="5" t="b">
        <v>0</v>
      </c>
      <c r="L225" s="5" t="b">
        <v>1</v>
      </c>
    </row>
    <row r="226">
      <c r="A226" s="14" t="str">
        <f t="shared" si="1"/>
        <v/>
      </c>
      <c r="B226" s="15" t="str">
        <f>IF($C226="","",IF(ROW()=7,Input!$C$3,C225))</f>
        <v/>
      </c>
      <c r="C226" s="6"/>
      <c r="D226" s="6"/>
      <c r="E226" s="10"/>
      <c r="G226" s="6"/>
      <c r="H226" s="6"/>
      <c r="I226" s="10">
        <v>0.0</v>
      </c>
      <c r="J226" s="10">
        <v>0.0</v>
      </c>
      <c r="K226" s="5" t="b">
        <v>0</v>
      </c>
      <c r="L226" s="5" t="b">
        <v>1</v>
      </c>
    </row>
    <row r="227">
      <c r="A227" s="14" t="str">
        <f t="shared" si="1"/>
        <v/>
      </c>
      <c r="B227" s="15" t="str">
        <f>IF($C227="","",IF(ROW()=7,Input!$C$3,C226))</f>
        <v/>
      </c>
      <c r="C227" s="6"/>
      <c r="D227" s="6"/>
      <c r="E227" s="10"/>
      <c r="G227" s="6"/>
      <c r="H227" s="6"/>
      <c r="I227" s="10">
        <v>0.0</v>
      </c>
      <c r="J227" s="10">
        <v>0.0</v>
      </c>
      <c r="K227" s="5" t="b">
        <v>0</v>
      </c>
      <c r="L227" s="5" t="b">
        <v>1</v>
      </c>
    </row>
    <row r="228">
      <c r="A228" s="14" t="str">
        <f t="shared" si="1"/>
        <v/>
      </c>
      <c r="B228" s="15" t="str">
        <f>IF($C228="","",IF(ROW()=7,Input!$C$3,C227))</f>
        <v/>
      </c>
      <c r="C228" s="6"/>
      <c r="D228" s="6"/>
      <c r="E228" s="10"/>
      <c r="G228" s="6"/>
      <c r="H228" s="6"/>
      <c r="I228" s="10">
        <v>0.0</v>
      </c>
      <c r="J228" s="10">
        <v>0.0</v>
      </c>
      <c r="K228" s="5" t="b">
        <v>0</v>
      </c>
      <c r="L228" s="5" t="b">
        <v>1</v>
      </c>
    </row>
    <row r="229">
      <c r="A229" s="14" t="str">
        <f t="shared" si="1"/>
        <v/>
      </c>
      <c r="B229" s="15" t="str">
        <f>IF($C229="","",IF(ROW()=7,Input!$C$3,C228))</f>
        <v/>
      </c>
      <c r="C229" s="6"/>
      <c r="D229" s="6"/>
      <c r="E229" s="10"/>
      <c r="G229" s="6"/>
      <c r="H229" s="6"/>
      <c r="I229" s="10">
        <v>0.0</v>
      </c>
      <c r="J229" s="10">
        <v>0.0</v>
      </c>
      <c r="K229" s="5" t="b">
        <v>0</v>
      </c>
      <c r="L229" s="5" t="b">
        <v>1</v>
      </c>
    </row>
    <row r="230">
      <c r="A230" s="14" t="str">
        <f t="shared" si="1"/>
        <v/>
      </c>
      <c r="B230" s="15" t="str">
        <f>IF($C230="","",IF(ROW()=7,Input!$C$3,C229))</f>
        <v/>
      </c>
      <c r="C230" s="6"/>
      <c r="D230" s="6"/>
      <c r="E230" s="10"/>
      <c r="G230" s="6"/>
      <c r="H230" s="6"/>
      <c r="I230" s="10">
        <v>0.0</v>
      </c>
      <c r="J230" s="10">
        <v>0.0</v>
      </c>
      <c r="K230" s="5" t="b">
        <v>0</v>
      </c>
      <c r="L230" s="5" t="b">
        <v>1</v>
      </c>
    </row>
    <row r="231">
      <c r="A231" s="14" t="str">
        <f t="shared" si="1"/>
        <v/>
      </c>
      <c r="B231" s="15" t="str">
        <f>IF($C231="","",IF(ROW()=7,Input!$C$3,C230))</f>
        <v/>
      </c>
      <c r="C231" s="6"/>
      <c r="D231" s="6"/>
      <c r="E231" s="10"/>
      <c r="G231" s="6"/>
      <c r="H231" s="6"/>
      <c r="I231" s="10">
        <v>0.0</v>
      </c>
      <c r="J231" s="10">
        <v>0.0</v>
      </c>
      <c r="K231" s="5" t="b">
        <v>0</v>
      </c>
      <c r="L231" s="5" t="b">
        <v>1</v>
      </c>
    </row>
    <row r="232">
      <c r="A232" s="14" t="str">
        <f t="shared" si="1"/>
        <v/>
      </c>
      <c r="B232" s="15" t="str">
        <f>IF($C232="","",IF(ROW()=7,Input!$C$3,C231))</f>
        <v/>
      </c>
      <c r="C232" s="6"/>
      <c r="D232" s="6"/>
      <c r="E232" s="10"/>
      <c r="G232" s="6"/>
      <c r="H232" s="6"/>
      <c r="I232" s="10">
        <v>0.0</v>
      </c>
      <c r="J232" s="10">
        <v>0.0</v>
      </c>
      <c r="K232" s="5" t="b">
        <v>0</v>
      </c>
      <c r="L232" s="5" t="b">
        <v>1</v>
      </c>
    </row>
    <row r="233">
      <c r="A233" s="14" t="str">
        <f t="shared" si="1"/>
        <v/>
      </c>
      <c r="B233" s="15" t="str">
        <f>IF($C233="","",IF(ROW()=7,Input!$C$3,C232))</f>
        <v/>
      </c>
      <c r="C233" s="6"/>
      <c r="D233" s="6"/>
      <c r="E233" s="10"/>
      <c r="G233" s="6"/>
      <c r="H233" s="6"/>
      <c r="I233" s="10">
        <v>0.0</v>
      </c>
      <c r="J233" s="10">
        <v>0.0</v>
      </c>
      <c r="K233" s="5" t="b">
        <v>0</v>
      </c>
      <c r="L233" s="5" t="b">
        <v>1</v>
      </c>
    </row>
    <row r="234">
      <c r="A234" s="14" t="str">
        <f t="shared" si="1"/>
        <v/>
      </c>
      <c r="B234" s="15" t="str">
        <f>IF($C234="","",IF(ROW()=7,Input!$C$3,C233))</f>
        <v/>
      </c>
      <c r="C234" s="6"/>
      <c r="D234" s="6"/>
      <c r="E234" s="10"/>
      <c r="G234" s="6"/>
      <c r="H234" s="6"/>
      <c r="I234" s="10">
        <v>0.0</v>
      </c>
      <c r="J234" s="10">
        <v>0.0</v>
      </c>
      <c r="K234" s="5" t="b">
        <v>0</v>
      </c>
      <c r="L234" s="5" t="b">
        <v>1</v>
      </c>
    </row>
    <row r="235">
      <c r="A235" s="14" t="str">
        <f t="shared" si="1"/>
        <v/>
      </c>
      <c r="B235" s="15" t="str">
        <f>IF($C235="","",IF(ROW()=7,Input!$C$3,C234))</f>
        <v/>
      </c>
      <c r="C235" s="6"/>
      <c r="D235" s="6"/>
      <c r="E235" s="10"/>
      <c r="G235" s="6"/>
      <c r="H235" s="6"/>
      <c r="I235" s="10">
        <v>0.0</v>
      </c>
      <c r="J235" s="10">
        <v>0.0</v>
      </c>
      <c r="K235" s="5" t="b">
        <v>0</v>
      </c>
      <c r="L235" s="5" t="b">
        <v>1</v>
      </c>
    </row>
    <row r="236">
      <c r="A236" s="14" t="str">
        <f t="shared" si="1"/>
        <v/>
      </c>
      <c r="B236" s="15" t="str">
        <f>IF($C236="","",IF(ROW()=7,Input!$C$3,C235))</f>
        <v/>
      </c>
      <c r="C236" s="6"/>
      <c r="D236" s="6"/>
      <c r="E236" s="10"/>
      <c r="G236" s="6"/>
      <c r="H236" s="6"/>
      <c r="I236" s="10">
        <v>0.0</v>
      </c>
      <c r="J236" s="10">
        <v>0.0</v>
      </c>
      <c r="K236" s="5" t="b">
        <v>0</v>
      </c>
      <c r="L236" s="5" t="b">
        <v>1</v>
      </c>
    </row>
    <row r="237">
      <c r="A237" s="14" t="str">
        <f t="shared" si="1"/>
        <v/>
      </c>
      <c r="B237" s="15" t="str">
        <f>IF($C237="","",IF(ROW()=7,Input!$C$3,C236))</f>
        <v/>
      </c>
      <c r="C237" s="6"/>
      <c r="D237" s="6"/>
      <c r="E237" s="10"/>
      <c r="G237" s="6"/>
      <c r="H237" s="6"/>
      <c r="I237" s="10">
        <v>0.0</v>
      </c>
      <c r="J237" s="10">
        <v>0.0</v>
      </c>
      <c r="K237" s="5" t="b">
        <v>0</v>
      </c>
      <c r="L237" s="5" t="b">
        <v>1</v>
      </c>
    </row>
    <row r="238">
      <c r="A238" s="14" t="str">
        <f t="shared" si="1"/>
        <v/>
      </c>
      <c r="B238" s="15" t="str">
        <f>IF($C238="","",IF(ROW()=7,Input!$C$3,C237))</f>
        <v/>
      </c>
      <c r="C238" s="6"/>
      <c r="D238" s="6"/>
      <c r="E238" s="10"/>
      <c r="G238" s="6"/>
      <c r="H238" s="6"/>
      <c r="I238" s="10">
        <v>0.0</v>
      </c>
      <c r="J238" s="10">
        <v>0.0</v>
      </c>
      <c r="K238" s="5" t="b">
        <v>0</v>
      </c>
      <c r="L238" s="5" t="b">
        <v>1</v>
      </c>
    </row>
    <row r="239">
      <c r="A239" s="14" t="str">
        <f t="shared" si="1"/>
        <v/>
      </c>
      <c r="B239" s="15" t="str">
        <f>IF($C239="","",IF(ROW()=7,Input!$C$3,C238))</f>
        <v/>
      </c>
      <c r="C239" s="6"/>
      <c r="D239" s="6"/>
      <c r="E239" s="10"/>
      <c r="G239" s="6"/>
      <c r="H239" s="6"/>
      <c r="I239" s="10">
        <v>0.0</v>
      </c>
      <c r="J239" s="10">
        <v>0.0</v>
      </c>
      <c r="K239" s="5" t="b">
        <v>0</v>
      </c>
      <c r="L239" s="5" t="b">
        <v>1</v>
      </c>
    </row>
    <row r="240">
      <c r="A240" s="14" t="str">
        <f t="shared" si="1"/>
        <v/>
      </c>
      <c r="B240" s="15" t="str">
        <f>IF($C240="","",IF(ROW()=7,Input!$C$3,C239))</f>
        <v/>
      </c>
      <c r="C240" s="6"/>
      <c r="D240" s="6"/>
      <c r="E240" s="10"/>
      <c r="G240" s="6"/>
      <c r="H240" s="6"/>
      <c r="I240" s="10">
        <v>0.0</v>
      </c>
      <c r="J240" s="10">
        <v>0.0</v>
      </c>
      <c r="K240" s="5" t="b">
        <v>0</v>
      </c>
      <c r="L240" s="5" t="b">
        <v>1</v>
      </c>
    </row>
    <row r="241">
      <c r="A241" s="14" t="str">
        <f t="shared" si="1"/>
        <v/>
      </c>
      <c r="B241" s="15" t="str">
        <f>IF($C241="","",IF(ROW()=7,Input!$C$3,C240))</f>
        <v/>
      </c>
      <c r="C241" s="6"/>
      <c r="D241" s="6"/>
      <c r="E241" s="10"/>
      <c r="G241" s="6"/>
      <c r="H241" s="6"/>
      <c r="I241" s="10">
        <v>0.0</v>
      </c>
      <c r="J241" s="10">
        <v>0.0</v>
      </c>
      <c r="K241" s="5" t="b">
        <v>0</v>
      </c>
      <c r="L241" s="5" t="b">
        <v>1</v>
      </c>
    </row>
    <row r="242">
      <c r="A242" s="14" t="str">
        <f t="shared" si="1"/>
        <v/>
      </c>
      <c r="B242" s="15" t="str">
        <f>IF($C242="","",IF(ROW()=7,Input!$C$3,C241))</f>
        <v/>
      </c>
      <c r="C242" s="6"/>
      <c r="D242" s="6"/>
      <c r="E242" s="10"/>
      <c r="G242" s="6"/>
      <c r="H242" s="6"/>
      <c r="I242" s="10">
        <v>0.0</v>
      </c>
      <c r="J242" s="10">
        <v>0.0</v>
      </c>
      <c r="K242" s="5" t="b">
        <v>0</v>
      </c>
      <c r="L242" s="5" t="b">
        <v>1</v>
      </c>
    </row>
    <row r="243">
      <c r="A243" s="14" t="str">
        <f t="shared" si="1"/>
        <v/>
      </c>
      <c r="B243" s="15" t="str">
        <f>IF($C243="","",IF(ROW()=7,Input!$C$3,C242))</f>
        <v/>
      </c>
      <c r="C243" s="6"/>
      <c r="D243" s="6"/>
      <c r="E243" s="10"/>
      <c r="G243" s="6"/>
      <c r="H243" s="6"/>
      <c r="I243" s="10">
        <v>0.0</v>
      </c>
      <c r="J243" s="10">
        <v>0.0</v>
      </c>
      <c r="K243" s="5" t="b">
        <v>0</v>
      </c>
      <c r="L243" s="5" t="b">
        <v>1</v>
      </c>
    </row>
    <row r="244">
      <c r="A244" s="14" t="str">
        <f t="shared" si="1"/>
        <v/>
      </c>
      <c r="B244" s="15" t="str">
        <f>IF($C244="","",IF(ROW()=7,Input!$C$3,C243))</f>
        <v/>
      </c>
      <c r="C244" s="6"/>
      <c r="D244" s="6"/>
      <c r="E244" s="10"/>
      <c r="G244" s="6"/>
      <c r="H244" s="6"/>
      <c r="I244" s="10">
        <v>0.0</v>
      </c>
      <c r="J244" s="10">
        <v>0.0</v>
      </c>
      <c r="K244" s="5" t="b">
        <v>0</v>
      </c>
      <c r="L244" s="5" t="b">
        <v>1</v>
      </c>
    </row>
    <row r="245">
      <c r="A245" s="14" t="str">
        <f t="shared" si="1"/>
        <v/>
      </c>
      <c r="B245" s="15" t="str">
        <f>IF($C245="","",IF(ROW()=7,Input!$C$3,C244))</f>
        <v/>
      </c>
      <c r="C245" s="6"/>
      <c r="D245" s="6"/>
      <c r="E245" s="10"/>
      <c r="G245" s="6"/>
      <c r="H245" s="6"/>
      <c r="I245" s="10">
        <v>0.0</v>
      </c>
      <c r="J245" s="10">
        <v>0.0</v>
      </c>
      <c r="K245" s="5" t="b">
        <v>0</v>
      </c>
      <c r="L245" s="5" t="b">
        <v>1</v>
      </c>
    </row>
    <row r="246">
      <c r="A246" s="14" t="str">
        <f t="shared" si="1"/>
        <v/>
      </c>
      <c r="B246" s="15" t="str">
        <f>IF($C246="","",IF(ROW()=7,Input!$C$3,C245))</f>
        <v/>
      </c>
      <c r="C246" s="6"/>
      <c r="D246" s="6"/>
      <c r="E246" s="10"/>
      <c r="G246" s="6"/>
      <c r="H246" s="6"/>
      <c r="I246" s="10">
        <v>0.0</v>
      </c>
      <c r="J246" s="10">
        <v>0.0</v>
      </c>
      <c r="K246" s="5" t="b">
        <v>0</v>
      </c>
      <c r="L246" s="5" t="b">
        <v>1</v>
      </c>
    </row>
    <row r="247">
      <c r="A247" s="14" t="str">
        <f t="shared" si="1"/>
        <v/>
      </c>
      <c r="B247" s="15" t="str">
        <f>IF($C247="","",IF(ROW()=7,Input!$C$3,C246))</f>
        <v/>
      </c>
      <c r="C247" s="6"/>
      <c r="D247" s="6"/>
      <c r="E247" s="10"/>
      <c r="G247" s="6"/>
      <c r="H247" s="6"/>
      <c r="I247" s="10">
        <v>0.0</v>
      </c>
      <c r="J247" s="10">
        <v>0.0</v>
      </c>
      <c r="K247" s="5" t="b">
        <v>0</v>
      </c>
      <c r="L247" s="5" t="b">
        <v>1</v>
      </c>
    </row>
    <row r="248">
      <c r="A248" s="14" t="str">
        <f t="shared" si="1"/>
        <v/>
      </c>
      <c r="B248" s="15" t="str">
        <f>IF($C248="","",IF(ROW()=7,Input!$C$3,C247))</f>
        <v/>
      </c>
      <c r="C248" s="6"/>
      <c r="D248" s="6"/>
      <c r="E248" s="10"/>
      <c r="G248" s="6"/>
      <c r="H248" s="6"/>
      <c r="I248" s="10">
        <v>0.0</v>
      </c>
      <c r="J248" s="10">
        <v>0.0</v>
      </c>
      <c r="K248" s="5" t="b">
        <v>0</v>
      </c>
      <c r="L248" s="5" t="b">
        <v>1</v>
      </c>
    </row>
    <row r="249">
      <c r="A249" s="14" t="str">
        <f t="shared" si="1"/>
        <v/>
      </c>
      <c r="B249" s="15" t="str">
        <f>IF($C249="","",IF(ROW()=7,Input!$C$3,C248))</f>
        <v/>
      </c>
      <c r="C249" s="6"/>
      <c r="D249" s="6"/>
      <c r="E249" s="10"/>
      <c r="G249" s="6"/>
      <c r="H249" s="6"/>
      <c r="I249" s="10">
        <v>0.0</v>
      </c>
      <c r="J249" s="10">
        <v>0.0</v>
      </c>
      <c r="K249" s="5" t="b">
        <v>0</v>
      </c>
      <c r="L249" s="5" t="b">
        <v>1</v>
      </c>
    </row>
    <row r="250">
      <c r="A250" s="14" t="str">
        <f t="shared" si="1"/>
        <v/>
      </c>
      <c r="B250" s="15" t="str">
        <f>IF($C250="","",IF(ROW()=7,Input!$C$3,C249))</f>
        <v/>
      </c>
      <c r="C250" s="6"/>
      <c r="D250" s="6"/>
      <c r="E250" s="10"/>
      <c r="G250" s="6"/>
      <c r="H250" s="6"/>
      <c r="I250" s="10">
        <v>0.0</v>
      </c>
      <c r="J250" s="10">
        <v>0.0</v>
      </c>
      <c r="K250" s="5" t="b">
        <v>0</v>
      </c>
      <c r="L250" s="5" t="b">
        <v>1</v>
      </c>
    </row>
    <row r="251">
      <c r="A251" s="14" t="str">
        <f t="shared" si="1"/>
        <v/>
      </c>
      <c r="B251" s="15" t="str">
        <f>IF($C251="","",IF(ROW()=7,Input!$C$3,C250))</f>
        <v/>
      </c>
      <c r="C251" s="6"/>
      <c r="D251" s="6"/>
      <c r="E251" s="10"/>
      <c r="G251" s="6"/>
      <c r="H251" s="6"/>
      <c r="I251" s="10">
        <v>0.0</v>
      </c>
      <c r="J251" s="10">
        <v>0.0</v>
      </c>
      <c r="K251" s="5" t="b">
        <v>0</v>
      </c>
      <c r="L251" s="5" t="b">
        <v>1</v>
      </c>
    </row>
    <row r="252">
      <c r="A252" s="14" t="str">
        <f t="shared" si="1"/>
        <v/>
      </c>
      <c r="B252" s="15" t="str">
        <f>IF($C252="","",IF(ROW()=7,Input!$C$3,C251))</f>
        <v/>
      </c>
      <c r="C252" s="6"/>
      <c r="D252" s="6"/>
      <c r="E252" s="10"/>
      <c r="G252" s="6"/>
      <c r="H252" s="6"/>
      <c r="I252" s="10">
        <v>0.0</v>
      </c>
      <c r="J252" s="10">
        <v>0.0</v>
      </c>
      <c r="K252" s="5" t="b">
        <v>0</v>
      </c>
      <c r="L252" s="5" t="b">
        <v>1</v>
      </c>
    </row>
    <row r="253">
      <c r="A253" s="14" t="str">
        <f t="shared" si="1"/>
        <v/>
      </c>
      <c r="B253" s="15" t="str">
        <f>IF($C253="","",IF(ROW()=7,Input!$C$3,C252))</f>
        <v/>
      </c>
      <c r="C253" s="6"/>
      <c r="D253" s="6"/>
      <c r="E253" s="10"/>
      <c r="G253" s="6"/>
      <c r="H253" s="6"/>
      <c r="I253" s="10">
        <v>0.0</v>
      </c>
      <c r="J253" s="10">
        <v>0.0</v>
      </c>
      <c r="K253" s="5" t="b">
        <v>0</v>
      </c>
      <c r="L253" s="5" t="b">
        <v>1</v>
      </c>
    </row>
    <row r="254">
      <c r="A254" s="14" t="str">
        <f t="shared" si="1"/>
        <v/>
      </c>
      <c r="B254" s="15" t="str">
        <f>IF($C254="","",IF(ROW()=7,Input!$C$3,C253))</f>
        <v/>
      </c>
      <c r="C254" s="6"/>
      <c r="D254" s="6"/>
      <c r="E254" s="10"/>
      <c r="G254" s="6"/>
      <c r="H254" s="6"/>
      <c r="I254" s="10">
        <v>0.0</v>
      </c>
      <c r="J254" s="10">
        <v>0.0</v>
      </c>
      <c r="K254" s="5" t="b">
        <v>0</v>
      </c>
      <c r="L254" s="5" t="b">
        <v>1</v>
      </c>
    </row>
    <row r="255">
      <c r="A255" s="14" t="str">
        <f t="shared" si="1"/>
        <v/>
      </c>
      <c r="B255" s="15" t="str">
        <f>IF($C255="","",IF(ROW()=7,Input!$C$3,C254))</f>
        <v/>
      </c>
      <c r="C255" s="6"/>
      <c r="D255" s="6"/>
      <c r="E255" s="10"/>
      <c r="G255" s="6"/>
      <c r="H255" s="6"/>
      <c r="I255" s="10">
        <v>0.0</v>
      </c>
      <c r="J255" s="10">
        <v>0.0</v>
      </c>
      <c r="K255" s="5" t="b">
        <v>0</v>
      </c>
      <c r="L255" s="5" t="b">
        <v>1</v>
      </c>
    </row>
    <row r="256">
      <c r="A256" s="14" t="str">
        <f t="shared" si="1"/>
        <v/>
      </c>
      <c r="B256" s="15" t="str">
        <f>IF($C256="","",IF(ROW()=7,Input!$C$3,C255))</f>
        <v/>
      </c>
      <c r="C256" s="6"/>
      <c r="D256" s="6"/>
      <c r="E256" s="10"/>
      <c r="G256" s="6"/>
      <c r="H256" s="6"/>
      <c r="I256" s="10">
        <v>0.0</v>
      </c>
      <c r="J256" s="10">
        <v>0.0</v>
      </c>
      <c r="K256" s="5" t="b">
        <v>0</v>
      </c>
      <c r="L256" s="5" t="b">
        <v>1</v>
      </c>
    </row>
    <row r="257">
      <c r="A257" s="14" t="str">
        <f t="shared" si="1"/>
        <v/>
      </c>
      <c r="B257" s="15" t="str">
        <f>IF($C257="","",IF(ROW()=7,Input!$C$3,C256))</f>
        <v/>
      </c>
      <c r="C257" s="6"/>
      <c r="D257" s="6"/>
      <c r="E257" s="10"/>
      <c r="G257" s="6"/>
      <c r="H257" s="6"/>
      <c r="I257" s="10">
        <v>0.0</v>
      </c>
      <c r="J257" s="10">
        <v>0.0</v>
      </c>
      <c r="K257" s="5" t="b">
        <v>0</v>
      </c>
      <c r="L257" s="5" t="b">
        <v>1</v>
      </c>
    </row>
    <row r="258">
      <c r="A258" s="14" t="str">
        <f t="shared" si="1"/>
        <v/>
      </c>
      <c r="B258" s="15" t="str">
        <f>IF($C258="","",IF(ROW()=7,Input!$C$3,C257))</f>
        <v/>
      </c>
      <c r="C258" s="6"/>
      <c r="D258" s="6"/>
      <c r="E258" s="10"/>
      <c r="G258" s="6"/>
      <c r="H258" s="6"/>
      <c r="I258" s="10">
        <v>0.0</v>
      </c>
      <c r="J258" s="10">
        <v>0.0</v>
      </c>
      <c r="K258" s="5" t="b">
        <v>0</v>
      </c>
      <c r="L258" s="5" t="b">
        <v>1</v>
      </c>
    </row>
    <row r="259">
      <c r="A259" s="14" t="str">
        <f t="shared" si="1"/>
        <v/>
      </c>
      <c r="B259" s="15" t="str">
        <f>IF($C259="","",IF(ROW()=7,Input!$C$3,C258))</f>
        <v/>
      </c>
      <c r="C259" s="6"/>
      <c r="D259" s="6"/>
      <c r="E259" s="10"/>
      <c r="G259" s="6"/>
      <c r="H259" s="6"/>
      <c r="I259" s="10">
        <v>0.0</v>
      </c>
      <c r="J259" s="10">
        <v>0.0</v>
      </c>
      <c r="K259" s="5" t="b">
        <v>0</v>
      </c>
      <c r="L259" s="5" t="b">
        <v>1</v>
      </c>
    </row>
    <row r="260">
      <c r="A260" s="14" t="str">
        <f t="shared" si="1"/>
        <v/>
      </c>
      <c r="B260" s="15" t="str">
        <f>IF($C260="","",IF(ROW()=7,Input!$C$3,C259))</f>
        <v/>
      </c>
      <c r="C260" s="6"/>
      <c r="D260" s="6"/>
      <c r="E260" s="10"/>
      <c r="G260" s="6"/>
      <c r="H260" s="6"/>
      <c r="I260" s="10">
        <v>0.0</v>
      </c>
      <c r="J260" s="10">
        <v>0.0</v>
      </c>
      <c r="K260" s="5" t="b">
        <v>0</v>
      </c>
      <c r="L260" s="5" t="b">
        <v>1</v>
      </c>
    </row>
    <row r="261">
      <c r="A261" s="14" t="str">
        <f t="shared" si="1"/>
        <v/>
      </c>
      <c r="B261" s="15" t="str">
        <f>IF($C261="","",IF(ROW()=7,Input!$C$3,C260))</f>
        <v/>
      </c>
      <c r="C261" s="6"/>
      <c r="D261" s="6"/>
      <c r="E261" s="10"/>
      <c r="G261" s="6"/>
      <c r="H261" s="6"/>
      <c r="I261" s="10">
        <v>0.0</v>
      </c>
      <c r="J261" s="10">
        <v>0.0</v>
      </c>
      <c r="K261" s="5" t="b">
        <v>0</v>
      </c>
      <c r="L261" s="5" t="b">
        <v>1</v>
      </c>
    </row>
    <row r="262">
      <c r="A262" s="14" t="str">
        <f t="shared" si="1"/>
        <v/>
      </c>
      <c r="B262" s="15" t="str">
        <f>IF($C262="","",IF(ROW()=7,Input!$C$3,C261))</f>
        <v/>
      </c>
      <c r="C262" s="6"/>
      <c r="D262" s="6"/>
      <c r="E262" s="10"/>
      <c r="G262" s="6"/>
      <c r="H262" s="6"/>
      <c r="I262" s="10">
        <v>0.0</v>
      </c>
      <c r="J262" s="10">
        <v>0.0</v>
      </c>
      <c r="K262" s="5" t="b">
        <v>0</v>
      </c>
      <c r="L262" s="5" t="b">
        <v>1</v>
      </c>
    </row>
    <row r="263">
      <c r="A263" s="14" t="str">
        <f t="shared" si="1"/>
        <v/>
      </c>
      <c r="B263" s="15" t="str">
        <f>IF($C263="","",IF(ROW()=7,Input!$C$3,C262))</f>
        <v/>
      </c>
      <c r="C263" s="6"/>
      <c r="D263" s="6"/>
      <c r="E263" s="10"/>
      <c r="G263" s="6"/>
      <c r="H263" s="6"/>
      <c r="I263" s="10">
        <v>0.0</v>
      </c>
      <c r="J263" s="10">
        <v>0.0</v>
      </c>
      <c r="K263" s="5" t="b">
        <v>0</v>
      </c>
      <c r="L263" s="5" t="b">
        <v>1</v>
      </c>
    </row>
    <row r="264">
      <c r="A264" s="14" t="str">
        <f t="shared" si="1"/>
        <v/>
      </c>
      <c r="B264" s="15" t="str">
        <f>IF($C264="","",IF(ROW()=7,Input!$C$3,C263))</f>
        <v/>
      </c>
      <c r="C264" s="6"/>
      <c r="D264" s="6"/>
      <c r="E264" s="10"/>
      <c r="G264" s="6"/>
      <c r="H264" s="6"/>
      <c r="I264" s="10">
        <v>0.0</v>
      </c>
      <c r="J264" s="10">
        <v>0.0</v>
      </c>
      <c r="K264" s="5" t="b">
        <v>0</v>
      </c>
      <c r="L264" s="5" t="b">
        <v>1</v>
      </c>
    </row>
    <row r="265">
      <c r="A265" s="14" t="str">
        <f t="shared" si="1"/>
        <v/>
      </c>
      <c r="B265" s="15" t="str">
        <f>IF($C265="","",IF(ROW()=7,Input!$C$3,C264))</f>
        <v/>
      </c>
      <c r="C265" s="6"/>
      <c r="D265" s="6"/>
      <c r="E265" s="10"/>
      <c r="G265" s="6"/>
      <c r="H265" s="6"/>
      <c r="I265" s="10">
        <v>0.0</v>
      </c>
      <c r="J265" s="10">
        <v>0.0</v>
      </c>
      <c r="K265" s="5" t="b">
        <v>0</v>
      </c>
      <c r="L265" s="5" t="b">
        <v>1</v>
      </c>
    </row>
    <row r="266">
      <c r="A266" s="14" t="str">
        <f t="shared" si="1"/>
        <v/>
      </c>
      <c r="B266" s="15" t="str">
        <f>IF($C266="","",IF(ROW()=7,Input!$C$3,C265))</f>
        <v/>
      </c>
      <c r="C266" s="6"/>
      <c r="D266" s="6"/>
      <c r="E266" s="10"/>
      <c r="G266" s="6"/>
      <c r="H266" s="6"/>
      <c r="I266" s="10">
        <v>0.0</v>
      </c>
      <c r="J266" s="10">
        <v>0.0</v>
      </c>
      <c r="K266" s="5" t="b">
        <v>0</v>
      </c>
      <c r="L266" s="5" t="b">
        <v>1</v>
      </c>
    </row>
    <row r="267">
      <c r="A267" s="14" t="str">
        <f t="shared" si="1"/>
        <v/>
      </c>
      <c r="B267" s="15" t="str">
        <f>IF($C267="","",IF(ROW()=7,Input!$C$3,C266))</f>
        <v/>
      </c>
      <c r="C267" s="6"/>
      <c r="D267" s="6"/>
      <c r="E267" s="10"/>
      <c r="G267" s="6"/>
      <c r="H267" s="6"/>
      <c r="I267" s="10">
        <v>0.0</v>
      </c>
      <c r="J267" s="10">
        <v>0.0</v>
      </c>
      <c r="K267" s="5" t="b">
        <v>0</v>
      </c>
      <c r="L267" s="5" t="b">
        <v>1</v>
      </c>
    </row>
    <row r="268">
      <c r="A268" s="14" t="str">
        <f t="shared" si="1"/>
        <v/>
      </c>
      <c r="B268" s="15" t="str">
        <f>IF($C268="","",IF(ROW()=7,Input!$C$3,C267))</f>
        <v/>
      </c>
      <c r="C268" s="6"/>
      <c r="D268" s="6"/>
      <c r="E268" s="10"/>
      <c r="G268" s="6"/>
      <c r="H268" s="6"/>
      <c r="I268" s="10">
        <v>0.0</v>
      </c>
      <c r="J268" s="10">
        <v>0.0</v>
      </c>
      <c r="K268" s="5" t="b">
        <v>0</v>
      </c>
      <c r="L268" s="5" t="b">
        <v>1</v>
      </c>
    </row>
    <row r="269">
      <c r="A269" s="14" t="str">
        <f t="shared" si="1"/>
        <v/>
      </c>
      <c r="B269" s="15" t="str">
        <f>IF($C269="","",IF(ROW()=7,Input!$C$3,C268))</f>
        <v/>
      </c>
      <c r="C269" s="6"/>
      <c r="D269" s="6"/>
      <c r="E269" s="10"/>
      <c r="G269" s="6"/>
      <c r="H269" s="6"/>
      <c r="I269" s="10">
        <v>0.0</v>
      </c>
      <c r="J269" s="10">
        <v>0.0</v>
      </c>
      <c r="K269" s="5" t="b">
        <v>0</v>
      </c>
      <c r="L269" s="5" t="b">
        <v>1</v>
      </c>
    </row>
    <row r="270">
      <c r="A270" s="14" t="str">
        <f t="shared" si="1"/>
        <v/>
      </c>
      <c r="B270" s="15" t="str">
        <f>IF($C270="","",IF(ROW()=7,Input!$C$3,C269))</f>
        <v/>
      </c>
      <c r="C270" s="6"/>
      <c r="D270" s="6"/>
      <c r="E270" s="10"/>
      <c r="G270" s="6"/>
      <c r="H270" s="6"/>
      <c r="I270" s="10">
        <v>0.0</v>
      </c>
      <c r="J270" s="10">
        <v>0.0</v>
      </c>
      <c r="K270" s="5" t="b">
        <v>0</v>
      </c>
      <c r="L270" s="5" t="b">
        <v>1</v>
      </c>
    </row>
    <row r="271">
      <c r="A271" s="14" t="str">
        <f t="shared" si="1"/>
        <v/>
      </c>
      <c r="B271" s="15" t="str">
        <f>IF($C271="","",IF(ROW()=7,Input!$C$3,C270))</f>
        <v/>
      </c>
      <c r="C271" s="6"/>
      <c r="D271" s="6"/>
      <c r="E271" s="10"/>
      <c r="G271" s="6"/>
      <c r="H271" s="6"/>
      <c r="I271" s="10">
        <v>0.0</v>
      </c>
      <c r="J271" s="10">
        <v>0.0</v>
      </c>
      <c r="K271" s="5" t="b">
        <v>0</v>
      </c>
      <c r="L271" s="5" t="b">
        <v>1</v>
      </c>
    </row>
    <row r="272">
      <c r="A272" s="14" t="str">
        <f t="shared" si="1"/>
        <v/>
      </c>
      <c r="B272" s="15" t="str">
        <f>IF($C272="","",IF(ROW()=7,Input!$C$3,C271))</f>
        <v/>
      </c>
      <c r="C272" s="6"/>
      <c r="D272" s="6"/>
      <c r="E272" s="10"/>
      <c r="G272" s="6"/>
      <c r="H272" s="6"/>
      <c r="I272" s="10">
        <v>0.0</v>
      </c>
      <c r="J272" s="10">
        <v>0.0</v>
      </c>
      <c r="K272" s="5" t="b">
        <v>0</v>
      </c>
      <c r="L272" s="5" t="b">
        <v>1</v>
      </c>
    </row>
    <row r="273">
      <c r="A273" s="14" t="str">
        <f t="shared" si="1"/>
        <v/>
      </c>
      <c r="B273" s="15" t="str">
        <f>IF($C273="","",IF(ROW()=7,Input!$C$3,C272))</f>
        <v/>
      </c>
      <c r="C273" s="6"/>
      <c r="D273" s="6"/>
      <c r="E273" s="10"/>
      <c r="G273" s="6"/>
      <c r="H273" s="6"/>
      <c r="I273" s="10">
        <v>0.0</v>
      </c>
      <c r="J273" s="10">
        <v>0.0</v>
      </c>
      <c r="K273" s="5" t="b">
        <v>0</v>
      </c>
      <c r="L273" s="5" t="b">
        <v>1</v>
      </c>
    </row>
    <row r="274">
      <c r="A274" s="14" t="str">
        <f t="shared" si="1"/>
        <v/>
      </c>
      <c r="B274" s="15" t="str">
        <f>IF($C274="","",IF(ROW()=7,Input!$C$3,C273))</f>
        <v/>
      </c>
      <c r="C274" s="6"/>
      <c r="D274" s="6"/>
      <c r="E274" s="10"/>
      <c r="G274" s="6"/>
      <c r="H274" s="6"/>
      <c r="I274" s="10">
        <v>0.0</v>
      </c>
      <c r="J274" s="10">
        <v>0.0</v>
      </c>
      <c r="K274" s="5" t="b">
        <v>0</v>
      </c>
      <c r="L274" s="5" t="b">
        <v>1</v>
      </c>
    </row>
    <row r="275">
      <c r="A275" s="14" t="str">
        <f t="shared" si="1"/>
        <v/>
      </c>
      <c r="B275" s="15" t="str">
        <f>IF($C275="","",IF(ROW()=7,Input!$C$3,C274))</f>
        <v/>
      </c>
      <c r="C275" s="6"/>
      <c r="D275" s="6"/>
      <c r="E275" s="10"/>
      <c r="G275" s="6"/>
      <c r="H275" s="6"/>
      <c r="I275" s="10">
        <v>0.0</v>
      </c>
      <c r="J275" s="10">
        <v>0.0</v>
      </c>
      <c r="K275" s="5" t="b">
        <v>0</v>
      </c>
      <c r="L275" s="5" t="b">
        <v>1</v>
      </c>
    </row>
    <row r="276">
      <c r="A276" s="14" t="str">
        <f t="shared" si="1"/>
        <v/>
      </c>
      <c r="B276" s="15" t="str">
        <f>IF($C276="","",IF(ROW()=7,Input!$C$3,C275))</f>
        <v/>
      </c>
      <c r="C276" s="6"/>
      <c r="D276" s="6"/>
      <c r="E276" s="10"/>
      <c r="G276" s="6"/>
      <c r="H276" s="6"/>
      <c r="I276" s="10">
        <v>0.0</v>
      </c>
      <c r="J276" s="10">
        <v>0.0</v>
      </c>
      <c r="K276" s="5" t="b">
        <v>0</v>
      </c>
      <c r="L276" s="5" t="b">
        <v>1</v>
      </c>
    </row>
    <row r="277">
      <c r="A277" s="14" t="str">
        <f t="shared" si="1"/>
        <v/>
      </c>
      <c r="B277" s="15" t="str">
        <f>IF($C277="","",IF(ROW()=7,Input!$C$3,C276))</f>
        <v/>
      </c>
      <c r="C277" s="6"/>
      <c r="D277" s="6"/>
      <c r="E277" s="10"/>
      <c r="G277" s="6"/>
      <c r="H277" s="6"/>
      <c r="I277" s="10">
        <v>0.0</v>
      </c>
      <c r="J277" s="10">
        <v>0.0</v>
      </c>
      <c r="K277" s="5" t="b">
        <v>0</v>
      </c>
      <c r="L277" s="5" t="b">
        <v>1</v>
      </c>
    </row>
    <row r="278">
      <c r="A278" s="14" t="str">
        <f t="shared" si="1"/>
        <v/>
      </c>
      <c r="B278" s="15" t="str">
        <f>IF($C278="","",IF(ROW()=7,Input!$C$3,C277))</f>
        <v/>
      </c>
      <c r="C278" s="6"/>
      <c r="D278" s="6"/>
      <c r="E278" s="10"/>
      <c r="G278" s="6"/>
      <c r="H278" s="6"/>
      <c r="I278" s="10">
        <v>0.0</v>
      </c>
      <c r="J278" s="10">
        <v>0.0</v>
      </c>
      <c r="K278" s="5" t="b">
        <v>0</v>
      </c>
      <c r="L278" s="5" t="b">
        <v>1</v>
      </c>
    </row>
    <row r="279">
      <c r="A279" s="14" t="str">
        <f t="shared" si="1"/>
        <v/>
      </c>
      <c r="B279" s="15" t="str">
        <f>IF($C279="","",IF(ROW()=7,Input!$C$3,C278))</f>
        <v/>
      </c>
      <c r="C279" s="6"/>
      <c r="D279" s="6"/>
      <c r="E279" s="10"/>
      <c r="G279" s="6"/>
      <c r="H279" s="6"/>
      <c r="I279" s="10">
        <v>0.0</v>
      </c>
      <c r="J279" s="10">
        <v>0.0</v>
      </c>
      <c r="K279" s="5" t="b">
        <v>0</v>
      </c>
      <c r="L279" s="5" t="b">
        <v>1</v>
      </c>
    </row>
    <row r="280">
      <c r="A280" s="14" t="str">
        <f t="shared" si="1"/>
        <v/>
      </c>
      <c r="B280" s="15" t="str">
        <f>IF($C280="","",IF(ROW()=7,Input!$C$3,C279))</f>
        <v/>
      </c>
      <c r="C280" s="6"/>
      <c r="D280" s="6"/>
      <c r="E280" s="10"/>
      <c r="G280" s="6"/>
      <c r="H280" s="6"/>
      <c r="I280" s="10">
        <v>0.0</v>
      </c>
      <c r="J280" s="10">
        <v>0.0</v>
      </c>
      <c r="K280" s="5" t="b">
        <v>0</v>
      </c>
      <c r="L280" s="5" t="b">
        <v>1</v>
      </c>
    </row>
    <row r="281">
      <c r="A281" s="14" t="str">
        <f t="shared" si="1"/>
        <v/>
      </c>
      <c r="B281" s="15" t="str">
        <f>IF($C281="","",IF(ROW()=7,Input!$C$3,C280))</f>
        <v/>
      </c>
      <c r="C281" s="6"/>
      <c r="D281" s="6"/>
      <c r="E281" s="10"/>
      <c r="G281" s="6"/>
      <c r="H281" s="6"/>
      <c r="I281" s="10">
        <v>0.0</v>
      </c>
      <c r="J281" s="10">
        <v>0.0</v>
      </c>
      <c r="K281" s="5" t="b">
        <v>0</v>
      </c>
      <c r="L281" s="5" t="b">
        <v>1</v>
      </c>
    </row>
    <row r="282">
      <c r="A282" s="14" t="str">
        <f t="shared" si="1"/>
        <v/>
      </c>
      <c r="B282" s="15" t="str">
        <f>IF($C282="","",IF(ROW()=7,Input!$C$3,C281))</f>
        <v/>
      </c>
      <c r="C282" s="6"/>
      <c r="D282" s="6"/>
      <c r="E282" s="10"/>
      <c r="G282" s="6"/>
      <c r="H282" s="6"/>
      <c r="I282" s="10">
        <v>0.0</v>
      </c>
      <c r="J282" s="10">
        <v>0.0</v>
      </c>
      <c r="K282" s="5" t="b">
        <v>0</v>
      </c>
      <c r="L282" s="5" t="b">
        <v>1</v>
      </c>
    </row>
    <row r="283">
      <c r="A283" s="14" t="str">
        <f t="shared" si="1"/>
        <v/>
      </c>
      <c r="B283" s="15" t="str">
        <f>IF($C283="","",IF(ROW()=7,Input!$C$3,C282))</f>
        <v/>
      </c>
      <c r="C283" s="6"/>
      <c r="D283" s="6"/>
      <c r="E283" s="10"/>
      <c r="G283" s="6"/>
      <c r="H283" s="6"/>
      <c r="I283" s="10">
        <v>0.0</v>
      </c>
      <c r="J283" s="10">
        <v>0.0</v>
      </c>
      <c r="K283" s="5" t="b">
        <v>0</v>
      </c>
      <c r="L283" s="5" t="b">
        <v>1</v>
      </c>
    </row>
    <row r="284">
      <c r="A284" s="14" t="str">
        <f t="shared" si="1"/>
        <v/>
      </c>
      <c r="B284" s="15" t="str">
        <f>IF($C284="","",IF(ROW()=7,Input!$C$3,C283))</f>
        <v/>
      </c>
      <c r="C284" s="6"/>
      <c r="D284" s="6"/>
      <c r="E284" s="10"/>
      <c r="G284" s="6"/>
      <c r="H284" s="6"/>
      <c r="I284" s="10">
        <v>0.0</v>
      </c>
      <c r="J284" s="10">
        <v>0.0</v>
      </c>
      <c r="K284" s="5" t="b">
        <v>0</v>
      </c>
      <c r="L284" s="5" t="b">
        <v>1</v>
      </c>
    </row>
    <row r="285">
      <c r="A285" s="14" t="str">
        <f t="shared" si="1"/>
        <v/>
      </c>
      <c r="B285" s="15" t="str">
        <f>IF($C285="","",IF(ROW()=7,Input!$C$3,C284))</f>
        <v/>
      </c>
      <c r="C285" s="6"/>
      <c r="D285" s="6"/>
      <c r="E285" s="10"/>
      <c r="G285" s="6"/>
      <c r="H285" s="6"/>
      <c r="I285" s="10">
        <v>0.0</v>
      </c>
      <c r="J285" s="10">
        <v>0.0</v>
      </c>
      <c r="K285" s="5" t="b">
        <v>0</v>
      </c>
      <c r="L285" s="5" t="b">
        <v>1</v>
      </c>
    </row>
    <row r="286">
      <c r="A286" s="14" t="str">
        <f t="shared" si="1"/>
        <v/>
      </c>
      <c r="B286" s="15" t="str">
        <f>IF($C286="","",IF(ROW()=7,Input!$C$3,C285))</f>
        <v/>
      </c>
      <c r="C286" s="6"/>
      <c r="D286" s="6"/>
      <c r="E286" s="10"/>
      <c r="G286" s="6"/>
      <c r="H286" s="6"/>
      <c r="I286" s="10">
        <v>0.0</v>
      </c>
      <c r="J286" s="10">
        <v>0.0</v>
      </c>
      <c r="K286" s="5" t="b">
        <v>0</v>
      </c>
      <c r="L286" s="5" t="b">
        <v>1</v>
      </c>
    </row>
    <row r="287">
      <c r="A287" s="14" t="str">
        <f t="shared" si="1"/>
        <v/>
      </c>
      <c r="B287" s="15" t="str">
        <f>IF($C287="","",IF(ROW()=7,Input!$C$3,C286))</f>
        <v/>
      </c>
      <c r="C287" s="6"/>
      <c r="D287" s="6"/>
      <c r="E287" s="10"/>
      <c r="G287" s="6"/>
      <c r="H287" s="6"/>
      <c r="I287" s="10">
        <v>0.0</v>
      </c>
      <c r="J287" s="10">
        <v>0.0</v>
      </c>
      <c r="K287" s="5" t="b">
        <v>0</v>
      </c>
      <c r="L287" s="5" t="b">
        <v>1</v>
      </c>
    </row>
    <row r="288">
      <c r="A288" s="14" t="str">
        <f t="shared" si="1"/>
        <v/>
      </c>
      <c r="B288" s="15" t="str">
        <f>IF($C288="","",IF(ROW()=7,Input!$C$3,C287))</f>
        <v/>
      </c>
      <c r="C288" s="6"/>
      <c r="D288" s="6"/>
      <c r="E288" s="10"/>
      <c r="G288" s="6"/>
      <c r="H288" s="6"/>
      <c r="I288" s="10">
        <v>0.0</v>
      </c>
      <c r="J288" s="10">
        <v>0.0</v>
      </c>
      <c r="K288" s="5" t="b">
        <v>0</v>
      </c>
      <c r="L288" s="5" t="b">
        <v>1</v>
      </c>
    </row>
    <row r="289">
      <c r="A289" s="14" t="str">
        <f t="shared" si="1"/>
        <v/>
      </c>
      <c r="B289" s="15" t="str">
        <f>IF($C289="","",IF(ROW()=7,Input!$C$3,C288))</f>
        <v/>
      </c>
      <c r="C289" s="6"/>
      <c r="D289" s="6"/>
      <c r="E289" s="10"/>
      <c r="G289" s="6"/>
      <c r="H289" s="6"/>
      <c r="I289" s="10">
        <v>0.0</v>
      </c>
      <c r="J289" s="10">
        <v>0.0</v>
      </c>
      <c r="K289" s="5" t="b">
        <v>0</v>
      </c>
      <c r="L289" s="5" t="b">
        <v>1</v>
      </c>
    </row>
    <row r="290">
      <c r="A290" s="14" t="str">
        <f t="shared" si="1"/>
        <v/>
      </c>
      <c r="B290" s="15" t="str">
        <f>IF($C290="","",IF(ROW()=7,Input!$C$3,C289))</f>
        <v/>
      </c>
      <c r="C290" s="6"/>
      <c r="D290" s="6"/>
      <c r="E290" s="10"/>
      <c r="G290" s="6"/>
      <c r="H290" s="6"/>
      <c r="I290" s="10">
        <v>0.0</v>
      </c>
      <c r="J290" s="10">
        <v>0.0</v>
      </c>
      <c r="K290" s="5" t="b">
        <v>0</v>
      </c>
      <c r="L290" s="5" t="b">
        <v>1</v>
      </c>
    </row>
    <row r="291">
      <c r="A291" s="14" t="str">
        <f t="shared" si="1"/>
        <v/>
      </c>
      <c r="B291" s="15" t="str">
        <f>IF($C291="","",IF(ROW()=7,Input!$C$3,C290))</f>
        <v/>
      </c>
      <c r="C291" s="6"/>
      <c r="D291" s="6"/>
      <c r="E291" s="10"/>
      <c r="G291" s="6"/>
      <c r="H291" s="6"/>
      <c r="I291" s="10">
        <v>0.0</v>
      </c>
      <c r="J291" s="10">
        <v>0.0</v>
      </c>
      <c r="K291" s="5" t="b">
        <v>0</v>
      </c>
      <c r="L291" s="5" t="b">
        <v>1</v>
      </c>
    </row>
    <row r="292">
      <c r="A292" s="14" t="str">
        <f t="shared" si="1"/>
        <v/>
      </c>
      <c r="B292" s="15" t="str">
        <f>IF($C292="","",IF(ROW()=7,Input!$C$3,C291))</f>
        <v/>
      </c>
      <c r="C292" s="6"/>
      <c r="D292" s="6"/>
      <c r="E292" s="10"/>
      <c r="G292" s="6"/>
      <c r="H292" s="6"/>
      <c r="I292" s="10">
        <v>0.0</v>
      </c>
      <c r="J292" s="10">
        <v>0.0</v>
      </c>
      <c r="K292" s="5" t="b">
        <v>0</v>
      </c>
      <c r="L292" s="5" t="b">
        <v>1</v>
      </c>
    </row>
    <row r="293">
      <c r="A293" s="14" t="str">
        <f t="shared" si="1"/>
        <v/>
      </c>
      <c r="B293" s="15" t="str">
        <f>IF($C293="","",IF(ROW()=7,Input!$C$3,C292))</f>
        <v/>
      </c>
      <c r="C293" s="6"/>
      <c r="D293" s="6"/>
      <c r="E293" s="10"/>
      <c r="G293" s="6"/>
      <c r="H293" s="6"/>
      <c r="I293" s="10">
        <v>0.0</v>
      </c>
      <c r="J293" s="10">
        <v>0.0</v>
      </c>
      <c r="K293" s="5" t="b">
        <v>0</v>
      </c>
      <c r="L293" s="5" t="b">
        <v>1</v>
      </c>
    </row>
    <row r="294">
      <c r="A294" s="14" t="str">
        <f t="shared" si="1"/>
        <v/>
      </c>
      <c r="B294" s="15" t="str">
        <f>IF($C294="","",IF(ROW()=7,Input!$C$3,C293))</f>
        <v/>
      </c>
      <c r="C294" s="6"/>
      <c r="D294" s="6"/>
      <c r="E294" s="10"/>
      <c r="G294" s="6"/>
      <c r="H294" s="6"/>
      <c r="I294" s="10">
        <v>0.0</v>
      </c>
      <c r="J294" s="10">
        <v>0.0</v>
      </c>
      <c r="K294" s="5" t="b">
        <v>0</v>
      </c>
      <c r="L294" s="5" t="b">
        <v>1</v>
      </c>
    </row>
    <row r="295">
      <c r="A295" s="14" t="str">
        <f t="shared" si="1"/>
        <v/>
      </c>
      <c r="B295" s="15" t="str">
        <f>IF($C295="","",IF(ROW()=7,Input!$C$3,C294))</f>
        <v/>
      </c>
      <c r="C295" s="6"/>
      <c r="D295" s="6"/>
      <c r="E295" s="10"/>
      <c r="G295" s="6"/>
      <c r="H295" s="6"/>
      <c r="I295" s="10">
        <v>0.0</v>
      </c>
      <c r="J295" s="10">
        <v>0.0</v>
      </c>
      <c r="K295" s="5" t="b">
        <v>0</v>
      </c>
      <c r="L295" s="5" t="b">
        <v>1</v>
      </c>
    </row>
    <row r="296">
      <c r="A296" s="14" t="str">
        <f t="shared" si="1"/>
        <v/>
      </c>
      <c r="B296" s="15" t="str">
        <f>IF($C296="","",IF(ROW()=7,Input!$C$3,C295))</f>
        <v/>
      </c>
      <c r="C296" s="6"/>
      <c r="D296" s="6"/>
      <c r="E296" s="10"/>
      <c r="G296" s="6"/>
      <c r="H296" s="6"/>
      <c r="I296" s="10">
        <v>0.0</v>
      </c>
      <c r="J296" s="10">
        <v>0.0</v>
      </c>
      <c r="K296" s="5" t="b">
        <v>0</v>
      </c>
      <c r="L296" s="5" t="b">
        <v>1</v>
      </c>
    </row>
    <row r="297">
      <c r="A297" s="14" t="str">
        <f t="shared" si="1"/>
        <v/>
      </c>
      <c r="B297" s="15" t="str">
        <f>IF($C297="","",IF(ROW()=7,Input!$C$3,C296))</f>
        <v/>
      </c>
      <c r="C297" s="6"/>
      <c r="D297" s="6"/>
      <c r="E297" s="10"/>
      <c r="G297" s="6"/>
      <c r="H297" s="6"/>
      <c r="I297" s="10">
        <v>0.0</v>
      </c>
      <c r="J297" s="10">
        <v>0.0</v>
      </c>
      <c r="K297" s="5" t="b">
        <v>0</v>
      </c>
      <c r="L297" s="5" t="b">
        <v>1</v>
      </c>
    </row>
    <row r="298">
      <c r="A298" s="14" t="str">
        <f t="shared" si="1"/>
        <v/>
      </c>
      <c r="B298" s="15" t="str">
        <f>IF($C298="","",IF(ROW()=7,Input!$C$3,C297))</f>
        <v/>
      </c>
      <c r="C298" s="6"/>
      <c r="D298" s="6"/>
      <c r="E298" s="10"/>
      <c r="G298" s="6"/>
      <c r="H298" s="6"/>
      <c r="I298" s="10">
        <v>0.0</v>
      </c>
      <c r="J298" s="10">
        <v>0.0</v>
      </c>
      <c r="K298" s="5" t="b">
        <v>0</v>
      </c>
      <c r="L298" s="5" t="b">
        <v>1</v>
      </c>
    </row>
    <row r="299">
      <c r="A299" s="14" t="str">
        <f t="shared" si="1"/>
        <v/>
      </c>
      <c r="B299" s="15" t="str">
        <f>IF($C299="","",IF(ROW()=7,Input!$C$3,C298))</f>
        <v/>
      </c>
      <c r="C299" s="6"/>
      <c r="D299" s="6"/>
      <c r="E299" s="10"/>
      <c r="G299" s="6"/>
      <c r="H299" s="6"/>
      <c r="I299" s="10">
        <v>0.0</v>
      </c>
      <c r="J299" s="10">
        <v>0.0</v>
      </c>
      <c r="K299" s="5" t="b">
        <v>0</v>
      </c>
      <c r="L299" s="5" t="b">
        <v>1</v>
      </c>
    </row>
    <row r="300">
      <c r="A300" s="14" t="str">
        <f t="shared" si="1"/>
        <v/>
      </c>
      <c r="B300" s="15" t="str">
        <f>IF($C300="","",IF(ROW()=7,Input!$C$3,C299))</f>
        <v/>
      </c>
      <c r="C300" s="6"/>
      <c r="D300" s="6"/>
      <c r="E300" s="10"/>
      <c r="G300" s="6"/>
      <c r="H300" s="6"/>
      <c r="I300" s="10">
        <v>0.0</v>
      </c>
      <c r="J300" s="10">
        <v>0.0</v>
      </c>
      <c r="K300" s="5" t="b">
        <v>0</v>
      </c>
      <c r="L300" s="5" t="b">
        <v>1</v>
      </c>
    </row>
    <row r="301">
      <c r="A301" s="14" t="str">
        <f t="shared" si="1"/>
        <v/>
      </c>
      <c r="B301" s="15" t="str">
        <f>IF($C301="","",IF(ROW()=7,Input!$C$3,C300))</f>
        <v/>
      </c>
      <c r="C301" s="6"/>
      <c r="D301" s="6"/>
      <c r="E301" s="10"/>
      <c r="G301" s="6"/>
      <c r="H301" s="6"/>
      <c r="I301" s="10">
        <v>0.0</v>
      </c>
      <c r="J301" s="10">
        <v>0.0</v>
      </c>
      <c r="K301" s="5" t="b">
        <v>0</v>
      </c>
      <c r="L301" s="5" t="b">
        <v>1</v>
      </c>
    </row>
    <row r="302">
      <c r="A302" s="14" t="str">
        <f t="shared" si="1"/>
        <v/>
      </c>
      <c r="B302" s="15" t="str">
        <f>IF($C302="","",IF(ROW()=7,Input!$C$3,C301))</f>
        <v/>
      </c>
      <c r="C302" s="6"/>
      <c r="D302" s="6"/>
      <c r="E302" s="10"/>
      <c r="G302" s="6"/>
      <c r="H302" s="6"/>
      <c r="I302" s="10">
        <v>0.0</v>
      </c>
      <c r="J302" s="10">
        <v>0.0</v>
      </c>
      <c r="K302" s="5" t="b">
        <v>0</v>
      </c>
      <c r="L302" s="5" t="b">
        <v>1</v>
      </c>
    </row>
    <row r="303">
      <c r="A303" s="14" t="str">
        <f t="shared" si="1"/>
        <v/>
      </c>
      <c r="B303" s="15" t="str">
        <f>IF($C303="","",IF(ROW()=7,Input!$C$3,C302))</f>
        <v/>
      </c>
      <c r="C303" s="6"/>
      <c r="D303" s="6"/>
      <c r="E303" s="10"/>
      <c r="G303" s="6"/>
      <c r="H303" s="6"/>
      <c r="I303" s="10">
        <v>0.0</v>
      </c>
      <c r="J303" s="10">
        <v>0.0</v>
      </c>
      <c r="K303" s="5" t="b">
        <v>0</v>
      </c>
      <c r="L303" s="5" t="b">
        <v>1</v>
      </c>
    </row>
    <row r="304">
      <c r="A304" s="14" t="str">
        <f t="shared" si="1"/>
        <v/>
      </c>
      <c r="B304" s="15" t="str">
        <f>IF($C304="","",IF(ROW()=7,Input!$C$3,C303))</f>
        <v/>
      </c>
      <c r="C304" s="6"/>
      <c r="D304" s="6"/>
      <c r="E304" s="10"/>
      <c r="G304" s="6"/>
      <c r="H304" s="6"/>
      <c r="I304" s="10">
        <v>0.0</v>
      </c>
      <c r="J304" s="10">
        <v>0.0</v>
      </c>
      <c r="K304" s="5" t="b">
        <v>0</v>
      </c>
      <c r="L304" s="5" t="b">
        <v>1</v>
      </c>
    </row>
    <row r="305">
      <c r="A305" s="14" t="str">
        <f t="shared" si="1"/>
        <v/>
      </c>
      <c r="B305" s="15" t="str">
        <f>IF($C305="","",IF(ROW()=7,Input!$C$3,C304))</f>
        <v/>
      </c>
      <c r="C305" s="6"/>
      <c r="D305" s="6"/>
      <c r="E305" s="10"/>
      <c r="G305" s="6"/>
      <c r="H305" s="6"/>
      <c r="I305" s="10">
        <v>0.0</v>
      </c>
      <c r="J305" s="10">
        <v>0.0</v>
      </c>
      <c r="K305" s="5" t="b">
        <v>0</v>
      </c>
      <c r="L305" s="5" t="b">
        <v>1</v>
      </c>
    </row>
    <row r="306">
      <c r="A306" s="14" t="str">
        <f t="shared" si="1"/>
        <v/>
      </c>
      <c r="B306" s="15" t="str">
        <f>IF($C306="","",IF(ROW()=7,Input!$C$3,C305))</f>
        <v/>
      </c>
      <c r="C306" s="6"/>
      <c r="D306" s="6"/>
      <c r="E306" s="10"/>
      <c r="G306" s="6"/>
      <c r="H306" s="6"/>
      <c r="I306" s="10">
        <v>0.0</v>
      </c>
      <c r="J306" s="10">
        <v>0.0</v>
      </c>
      <c r="K306" s="5" t="b">
        <v>0</v>
      </c>
      <c r="L306" s="5" t="b">
        <v>1</v>
      </c>
    </row>
    <row r="307">
      <c r="A307" s="14" t="str">
        <f t="shared" si="1"/>
        <v/>
      </c>
      <c r="B307" s="15" t="str">
        <f>IF($C307="","",IF(ROW()=7,Input!$C$3,C306))</f>
        <v/>
      </c>
      <c r="C307" s="6"/>
      <c r="D307" s="6"/>
      <c r="E307" s="10"/>
      <c r="G307" s="6"/>
      <c r="H307" s="6"/>
      <c r="I307" s="10">
        <v>0.0</v>
      </c>
      <c r="J307" s="10">
        <v>0.0</v>
      </c>
      <c r="K307" s="5" t="b">
        <v>0</v>
      </c>
      <c r="L307" s="5" t="b">
        <v>1</v>
      </c>
    </row>
    <row r="308">
      <c r="A308" s="14" t="str">
        <f t="shared" si="1"/>
        <v/>
      </c>
      <c r="B308" s="15" t="str">
        <f>IF($C308="","",IF(ROW()=7,Input!$C$3,C307))</f>
        <v/>
      </c>
      <c r="C308" s="6"/>
      <c r="D308" s="6"/>
      <c r="E308" s="10"/>
      <c r="G308" s="6"/>
      <c r="H308" s="6"/>
      <c r="I308" s="10">
        <v>0.0</v>
      </c>
      <c r="J308" s="10">
        <v>0.0</v>
      </c>
      <c r="K308" s="5" t="b">
        <v>0</v>
      </c>
      <c r="L308" s="5" t="b">
        <v>1</v>
      </c>
    </row>
    <row r="309">
      <c r="A309" s="14" t="str">
        <f t="shared" si="1"/>
        <v/>
      </c>
      <c r="B309" s="15" t="str">
        <f>IF($C309="","",IF(ROW()=7,Input!$C$3,C308))</f>
        <v/>
      </c>
      <c r="C309" s="6"/>
      <c r="D309" s="6"/>
      <c r="E309" s="10"/>
      <c r="G309" s="6"/>
      <c r="H309" s="6"/>
      <c r="I309" s="10">
        <v>0.0</v>
      </c>
      <c r="J309" s="10">
        <v>0.0</v>
      </c>
      <c r="K309" s="5" t="b">
        <v>0</v>
      </c>
      <c r="L309" s="5" t="b">
        <v>1</v>
      </c>
    </row>
    <row r="310">
      <c r="A310" s="14" t="str">
        <f t="shared" si="1"/>
        <v/>
      </c>
      <c r="B310" s="15" t="str">
        <f>IF($C310="","",IF(ROW()=7,Input!$C$3,C309))</f>
        <v/>
      </c>
      <c r="C310" s="6"/>
      <c r="D310" s="6"/>
      <c r="E310" s="10"/>
      <c r="G310" s="6"/>
      <c r="H310" s="6"/>
      <c r="I310" s="10">
        <v>0.0</v>
      </c>
      <c r="J310" s="10">
        <v>0.0</v>
      </c>
      <c r="K310" s="5" t="b">
        <v>0</v>
      </c>
      <c r="L310" s="5" t="b">
        <v>1</v>
      </c>
    </row>
    <row r="311">
      <c r="A311" s="14" t="str">
        <f t="shared" si="1"/>
        <v/>
      </c>
      <c r="B311" s="15" t="str">
        <f>IF($C311="","",IF(ROW()=7,Input!$C$3,C310))</f>
        <v/>
      </c>
      <c r="C311" s="6"/>
      <c r="D311" s="6"/>
      <c r="E311" s="10"/>
      <c r="G311" s="6"/>
      <c r="H311" s="6"/>
      <c r="I311" s="10">
        <v>0.0</v>
      </c>
      <c r="J311" s="10">
        <v>0.0</v>
      </c>
      <c r="K311" s="5" t="b">
        <v>0</v>
      </c>
      <c r="L311" s="5" t="b">
        <v>1</v>
      </c>
    </row>
    <row r="312">
      <c r="A312" s="14" t="str">
        <f t="shared" si="1"/>
        <v/>
      </c>
      <c r="B312" s="15" t="str">
        <f>IF($C312="","",IF(ROW()=7,Input!$C$3,C311))</f>
        <v/>
      </c>
      <c r="C312" s="6"/>
      <c r="D312" s="6"/>
      <c r="E312" s="10"/>
      <c r="G312" s="6"/>
      <c r="H312" s="6"/>
      <c r="I312" s="10">
        <v>0.0</v>
      </c>
      <c r="J312" s="10">
        <v>0.0</v>
      </c>
      <c r="K312" s="5" t="b">
        <v>0</v>
      </c>
      <c r="L312" s="5" t="b">
        <v>1</v>
      </c>
    </row>
    <row r="313">
      <c r="A313" s="14" t="str">
        <f t="shared" si="1"/>
        <v/>
      </c>
      <c r="B313" s="15" t="str">
        <f>IF($C313="","",IF(ROW()=7,Input!$C$3,C312))</f>
        <v/>
      </c>
      <c r="C313" s="6"/>
      <c r="D313" s="6"/>
      <c r="E313" s="10"/>
      <c r="G313" s="6"/>
      <c r="H313" s="6"/>
      <c r="I313" s="10">
        <v>0.0</v>
      </c>
      <c r="J313" s="10">
        <v>0.0</v>
      </c>
      <c r="K313" s="5" t="b">
        <v>0</v>
      </c>
      <c r="L313" s="5" t="b">
        <v>1</v>
      </c>
    </row>
    <row r="314">
      <c r="A314" s="14" t="str">
        <f t="shared" si="1"/>
        <v/>
      </c>
      <c r="B314" s="15" t="str">
        <f>IF($C314="","",IF(ROW()=7,Input!$C$3,C313))</f>
        <v/>
      </c>
      <c r="C314" s="6"/>
      <c r="D314" s="6"/>
      <c r="E314" s="10"/>
      <c r="G314" s="6"/>
      <c r="H314" s="6"/>
      <c r="I314" s="10">
        <v>0.0</v>
      </c>
      <c r="J314" s="10">
        <v>0.0</v>
      </c>
      <c r="K314" s="5" t="b">
        <v>0</v>
      </c>
      <c r="L314" s="5" t="b">
        <v>1</v>
      </c>
    </row>
    <row r="315">
      <c r="A315" s="14" t="str">
        <f t="shared" si="1"/>
        <v/>
      </c>
      <c r="B315" s="15" t="str">
        <f>IF($C315="","",IF(ROW()=7,Input!$C$3,C314))</f>
        <v/>
      </c>
      <c r="C315" s="6"/>
      <c r="D315" s="6"/>
      <c r="E315" s="10"/>
      <c r="G315" s="6"/>
      <c r="H315" s="6"/>
      <c r="I315" s="10">
        <v>0.0</v>
      </c>
      <c r="J315" s="10">
        <v>0.0</v>
      </c>
      <c r="K315" s="5" t="b">
        <v>0</v>
      </c>
      <c r="L315" s="5" t="b">
        <v>1</v>
      </c>
    </row>
    <row r="316">
      <c r="A316" s="14" t="str">
        <f t="shared" si="1"/>
        <v/>
      </c>
      <c r="B316" s="15" t="str">
        <f>IF($C316="","",IF(ROW()=7,Input!$C$3,C315))</f>
        <v/>
      </c>
      <c r="C316" s="6"/>
      <c r="D316" s="6"/>
      <c r="E316" s="10"/>
      <c r="G316" s="6"/>
      <c r="H316" s="6"/>
      <c r="I316" s="10">
        <v>0.0</v>
      </c>
      <c r="J316" s="10">
        <v>0.0</v>
      </c>
      <c r="K316" s="5" t="b">
        <v>0</v>
      </c>
      <c r="L316" s="5" t="b">
        <v>1</v>
      </c>
    </row>
    <row r="317">
      <c r="A317" s="14" t="str">
        <f t="shared" si="1"/>
        <v/>
      </c>
      <c r="B317" s="15" t="str">
        <f>IF($C317="","",IF(ROW()=7,Input!$C$3,C316))</f>
        <v/>
      </c>
      <c r="C317" s="6"/>
      <c r="D317" s="6"/>
      <c r="E317" s="10"/>
      <c r="G317" s="6"/>
      <c r="H317" s="6"/>
      <c r="I317" s="10">
        <v>0.0</v>
      </c>
      <c r="J317" s="10">
        <v>0.0</v>
      </c>
      <c r="K317" s="5" t="b">
        <v>0</v>
      </c>
      <c r="L317" s="5" t="b">
        <v>1</v>
      </c>
    </row>
    <row r="318">
      <c r="A318" s="14" t="str">
        <f t="shared" si="1"/>
        <v/>
      </c>
      <c r="B318" s="15" t="str">
        <f>IF($C318="","",IF(ROW()=7,Input!$C$3,C317))</f>
        <v/>
      </c>
      <c r="C318" s="6"/>
      <c r="D318" s="6"/>
      <c r="E318" s="10"/>
      <c r="G318" s="6"/>
      <c r="H318" s="6"/>
      <c r="I318" s="10">
        <v>0.0</v>
      </c>
      <c r="J318" s="10">
        <v>0.0</v>
      </c>
      <c r="K318" s="5" t="b">
        <v>0</v>
      </c>
      <c r="L318" s="5" t="b">
        <v>1</v>
      </c>
    </row>
    <row r="319">
      <c r="A319" s="14" t="str">
        <f t="shared" si="1"/>
        <v/>
      </c>
      <c r="B319" s="15" t="str">
        <f>IF($C319="","",IF(ROW()=7,Input!$C$3,C318))</f>
        <v/>
      </c>
      <c r="C319" s="6"/>
      <c r="D319" s="6"/>
      <c r="E319" s="10"/>
      <c r="G319" s="6"/>
      <c r="H319" s="6"/>
      <c r="I319" s="10">
        <v>0.0</v>
      </c>
      <c r="J319" s="10">
        <v>0.0</v>
      </c>
      <c r="K319" s="5" t="b">
        <v>0</v>
      </c>
      <c r="L319" s="5" t="b">
        <v>1</v>
      </c>
    </row>
    <row r="320">
      <c r="A320" s="14" t="str">
        <f t="shared" si="1"/>
        <v/>
      </c>
      <c r="B320" s="15" t="str">
        <f>IF($C320="","",IF(ROW()=7,Input!$C$3,C319))</f>
        <v/>
      </c>
      <c r="C320" s="6"/>
      <c r="D320" s="6"/>
      <c r="E320" s="10"/>
      <c r="G320" s="6"/>
      <c r="H320" s="6"/>
      <c r="I320" s="10">
        <v>0.0</v>
      </c>
      <c r="J320" s="10">
        <v>0.0</v>
      </c>
      <c r="K320" s="5" t="b">
        <v>0</v>
      </c>
      <c r="L320" s="5" t="b">
        <v>1</v>
      </c>
    </row>
    <row r="321">
      <c r="A321" s="14" t="str">
        <f t="shared" si="1"/>
        <v/>
      </c>
      <c r="B321" s="15" t="str">
        <f>IF($C321="","",IF(ROW()=7,Input!$C$3,C320))</f>
        <v/>
      </c>
      <c r="C321" s="6"/>
      <c r="D321" s="6"/>
      <c r="E321" s="10"/>
      <c r="G321" s="6"/>
      <c r="H321" s="6"/>
      <c r="I321" s="10">
        <v>0.0</v>
      </c>
      <c r="J321" s="10">
        <v>0.0</v>
      </c>
      <c r="K321" s="5" t="b">
        <v>0</v>
      </c>
      <c r="L321" s="5" t="b">
        <v>1</v>
      </c>
    </row>
    <row r="322">
      <c r="A322" s="14" t="str">
        <f t="shared" si="1"/>
        <v/>
      </c>
      <c r="B322" s="15" t="str">
        <f>IF($C322="","",IF(ROW()=7,Input!$C$3,C321))</f>
        <v/>
      </c>
      <c r="C322" s="6"/>
      <c r="D322" s="6"/>
      <c r="E322" s="10"/>
      <c r="G322" s="6"/>
      <c r="H322" s="6"/>
      <c r="I322" s="10">
        <v>0.0</v>
      </c>
      <c r="J322" s="10">
        <v>0.0</v>
      </c>
      <c r="K322" s="5" t="b">
        <v>0</v>
      </c>
      <c r="L322" s="5" t="b">
        <v>1</v>
      </c>
    </row>
    <row r="323">
      <c r="A323" s="14" t="str">
        <f t="shared" si="1"/>
        <v/>
      </c>
      <c r="B323" s="15" t="str">
        <f>IF($C323="","",IF(ROW()=7,Input!$C$3,C322))</f>
        <v/>
      </c>
      <c r="C323" s="6"/>
      <c r="D323" s="6"/>
      <c r="E323" s="10"/>
      <c r="G323" s="6"/>
      <c r="H323" s="6"/>
      <c r="I323" s="10">
        <v>0.0</v>
      </c>
      <c r="J323" s="10">
        <v>0.0</v>
      </c>
      <c r="K323" s="5" t="b">
        <v>0</v>
      </c>
      <c r="L323" s="5" t="b">
        <v>1</v>
      </c>
    </row>
    <row r="324">
      <c r="A324" s="14" t="str">
        <f t="shared" si="1"/>
        <v/>
      </c>
      <c r="B324" s="15" t="str">
        <f>IF($C324="","",IF(ROW()=7,Input!$C$3,C323))</f>
        <v/>
      </c>
      <c r="C324" s="6"/>
      <c r="D324" s="6"/>
      <c r="E324" s="10"/>
      <c r="G324" s="6"/>
      <c r="H324" s="6"/>
      <c r="I324" s="10">
        <v>0.0</v>
      </c>
      <c r="J324" s="10">
        <v>0.0</v>
      </c>
      <c r="K324" s="5" t="b">
        <v>0</v>
      </c>
      <c r="L324" s="5" t="b">
        <v>1</v>
      </c>
    </row>
    <row r="325">
      <c r="A325" s="14" t="str">
        <f t="shared" si="1"/>
        <v/>
      </c>
      <c r="B325" s="15" t="str">
        <f>IF($C325="","",IF(ROW()=7,Input!$C$3,C324))</f>
        <v/>
      </c>
      <c r="C325" s="6"/>
      <c r="D325" s="6"/>
      <c r="E325" s="10"/>
      <c r="G325" s="6"/>
      <c r="H325" s="6"/>
      <c r="I325" s="10">
        <v>0.0</v>
      </c>
      <c r="J325" s="10">
        <v>0.0</v>
      </c>
      <c r="K325" s="5" t="b">
        <v>0</v>
      </c>
      <c r="L325" s="5" t="b">
        <v>1</v>
      </c>
    </row>
    <row r="326">
      <c r="A326" s="14" t="str">
        <f t="shared" si="1"/>
        <v/>
      </c>
      <c r="B326" s="15" t="str">
        <f>IF($C326="","",IF(ROW()=7,Input!$C$3,C325))</f>
        <v/>
      </c>
      <c r="C326" s="6"/>
      <c r="D326" s="6"/>
      <c r="E326" s="10"/>
      <c r="G326" s="6"/>
      <c r="H326" s="6"/>
      <c r="I326" s="10">
        <v>0.0</v>
      </c>
      <c r="J326" s="10">
        <v>0.0</v>
      </c>
      <c r="K326" s="5" t="b">
        <v>0</v>
      </c>
      <c r="L326" s="5" t="b">
        <v>1</v>
      </c>
    </row>
    <row r="327">
      <c r="A327" s="14" t="str">
        <f t="shared" si="1"/>
        <v/>
      </c>
      <c r="B327" s="15" t="str">
        <f>IF($C327="","",IF(ROW()=7,Input!$C$3,C326))</f>
        <v/>
      </c>
      <c r="C327" s="6"/>
      <c r="D327" s="6"/>
      <c r="E327" s="10"/>
      <c r="G327" s="6"/>
      <c r="H327" s="6"/>
      <c r="I327" s="10">
        <v>0.0</v>
      </c>
      <c r="J327" s="10">
        <v>0.0</v>
      </c>
      <c r="K327" s="5" t="b">
        <v>0</v>
      </c>
      <c r="L327" s="5" t="b">
        <v>1</v>
      </c>
    </row>
    <row r="328">
      <c r="A328" s="14" t="str">
        <f t="shared" si="1"/>
        <v/>
      </c>
      <c r="B328" s="15" t="str">
        <f>IF($C328="","",IF(ROW()=7,Input!$C$3,C327))</f>
        <v/>
      </c>
      <c r="C328" s="6"/>
      <c r="D328" s="6"/>
      <c r="E328" s="10"/>
      <c r="G328" s="6"/>
      <c r="H328" s="6"/>
      <c r="I328" s="10">
        <v>0.0</v>
      </c>
      <c r="J328" s="10">
        <v>0.0</v>
      </c>
      <c r="K328" s="5" t="b">
        <v>0</v>
      </c>
      <c r="L328" s="5" t="b">
        <v>1</v>
      </c>
    </row>
    <row r="329">
      <c r="A329" s="14" t="str">
        <f t="shared" si="1"/>
        <v/>
      </c>
      <c r="B329" s="15" t="str">
        <f>IF($C329="","",IF(ROW()=7,Input!$C$3,C328))</f>
        <v/>
      </c>
      <c r="C329" s="6"/>
      <c r="D329" s="6"/>
      <c r="E329" s="10"/>
      <c r="G329" s="6"/>
      <c r="H329" s="6"/>
      <c r="I329" s="10">
        <v>0.0</v>
      </c>
      <c r="J329" s="10">
        <v>0.0</v>
      </c>
      <c r="K329" s="5" t="b">
        <v>0</v>
      </c>
      <c r="L329" s="5" t="b">
        <v>1</v>
      </c>
    </row>
    <row r="330">
      <c r="A330" s="14" t="str">
        <f t="shared" si="1"/>
        <v/>
      </c>
      <c r="B330" s="15" t="str">
        <f>IF($C330="","",IF(ROW()=7,Input!$C$3,C329))</f>
        <v/>
      </c>
      <c r="C330" s="6"/>
      <c r="D330" s="6"/>
      <c r="E330" s="10"/>
      <c r="G330" s="6"/>
      <c r="H330" s="6"/>
      <c r="I330" s="10">
        <v>0.0</v>
      </c>
      <c r="J330" s="10">
        <v>0.0</v>
      </c>
      <c r="K330" s="5" t="b">
        <v>0</v>
      </c>
      <c r="L330" s="5" t="b">
        <v>1</v>
      </c>
    </row>
    <row r="331">
      <c r="A331" s="14" t="str">
        <f t="shared" si="1"/>
        <v/>
      </c>
      <c r="B331" s="15" t="str">
        <f>IF($C331="","",IF(ROW()=7,Input!$C$3,C330))</f>
        <v/>
      </c>
      <c r="C331" s="6"/>
      <c r="D331" s="6"/>
      <c r="E331" s="10"/>
      <c r="G331" s="6"/>
      <c r="H331" s="6"/>
      <c r="I331" s="10">
        <v>0.0</v>
      </c>
      <c r="J331" s="10">
        <v>0.0</v>
      </c>
      <c r="K331" s="5" t="b">
        <v>0</v>
      </c>
      <c r="L331" s="5" t="b">
        <v>1</v>
      </c>
    </row>
    <row r="332">
      <c r="A332" s="14" t="str">
        <f t="shared" si="1"/>
        <v/>
      </c>
      <c r="B332" s="15" t="str">
        <f>IF($C332="","",IF(ROW()=7,Input!$C$3,C331))</f>
        <v/>
      </c>
      <c r="C332" s="6"/>
      <c r="D332" s="6"/>
      <c r="E332" s="10"/>
      <c r="G332" s="6"/>
      <c r="H332" s="6"/>
      <c r="I332" s="10">
        <v>0.0</v>
      </c>
      <c r="J332" s="10">
        <v>0.0</v>
      </c>
      <c r="K332" s="5" t="b">
        <v>0</v>
      </c>
      <c r="L332" s="5" t="b">
        <v>1</v>
      </c>
    </row>
    <row r="333">
      <c r="A333" s="14" t="str">
        <f t="shared" si="1"/>
        <v/>
      </c>
      <c r="B333" s="15" t="str">
        <f>IF($C333="","",IF(ROW()=7,Input!$C$3,C332))</f>
        <v/>
      </c>
      <c r="C333" s="6"/>
      <c r="D333" s="6"/>
      <c r="E333" s="10"/>
      <c r="G333" s="6"/>
      <c r="H333" s="6"/>
      <c r="I333" s="10">
        <v>0.0</v>
      </c>
      <c r="J333" s="10">
        <v>0.0</v>
      </c>
      <c r="K333" s="5" t="b">
        <v>0</v>
      </c>
      <c r="L333" s="5" t="b">
        <v>1</v>
      </c>
    </row>
    <row r="334">
      <c r="A334" s="14" t="str">
        <f t="shared" si="1"/>
        <v/>
      </c>
      <c r="B334" s="15" t="str">
        <f>IF($C334="","",IF(ROW()=7,Input!$C$3,C333))</f>
        <v/>
      </c>
      <c r="C334" s="6"/>
      <c r="D334" s="6"/>
      <c r="E334" s="10"/>
      <c r="G334" s="6"/>
      <c r="H334" s="6"/>
      <c r="I334" s="10">
        <v>0.0</v>
      </c>
      <c r="J334" s="10">
        <v>0.0</v>
      </c>
      <c r="K334" s="5" t="b">
        <v>0</v>
      </c>
      <c r="L334" s="5" t="b">
        <v>1</v>
      </c>
    </row>
    <row r="335">
      <c r="A335" s="14" t="str">
        <f t="shared" si="1"/>
        <v/>
      </c>
      <c r="B335" s="15" t="str">
        <f>IF($C335="","",IF(ROW()=7,Input!$C$3,C334))</f>
        <v/>
      </c>
      <c r="C335" s="6"/>
      <c r="D335" s="6"/>
      <c r="E335" s="10"/>
      <c r="G335" s="6"/>
      <c r="H335" s="6"/>
      <c r="I335" s="10">
        <v>0.0</v>
      </c>
      <c r="J335" s="10">
        <v>0.0</v>
      </c>
      <c r="K335" s="5" t="b">
        <v>0</v>
      </c>
      <c r="L335" s="5" t="b">
        <v>1</v>
      </c>
    </row>
    <row r="336">
      <c r="A336" s="14" t="str">
        <f t="shared" si="1"/>
        <v/>
      </c>
      <c r="B336" s="15" t="str">
        <f>IF($C336="","",IF(ROW()=7,Input!$C$3,C335))</f>
        <v/>
      </c>
      <c r="C336" s="6"/>
      <c r="D336" s="6"/>
      <c r="E336" s="10"/>
      <c r="G336" s="6"/>
      <c r="H336" s="6"/>
      <c r="I336" s="10">
        <v>0.0</v>
      </c>
      <c r="J336" s="10">
        <v>0.0</v>
      </c>
      <c r="K336" s="5" t="b">
        <v>0</v>
      </c>
      <c r="L336" s="5" t="b">
        <v>1</v>
      </c>
    </row>
    <row r="337">
      <c r="A337" s="14" t="str">
        <f t="shared" si="1"/>
        <v/>
      </c>
      <c r="B337" s="15" t="str">
        <f>IF($C337="","",IF(ROW()=7,Input!$C$3,C336))</f>
        <v/>
      </c>
      <c r="C337" s="6"/>
      <c r="D337" s="6"/>
      <c r="E337" s="10"/>
      <c r="G337" s="6"/>
      <c r="H337" s="6"/>
      <c r="I337" s="10">
        <v>0.0</v>
      </c>
      <c r="J337" s="10">
        <v>0.0</v>
      </c>
      <c r="K337" s="5" t="b">
        <v>0</v>
      </c>
      <c r="L337" s="5" t="b">
        <v>1</v>
      </c>
    </row>
    <row r="338">
      <c r="A338" s="14" t="str">
        <f t="shared" si="1"/>
        <v/>
      </c>
      <c r="B338" s="15" t="str">
        <f>IF($C338="","",IF(ROW()=7,Input!$C$3,C337))</f>
        <v/>
      </c>
      <c r="C338" s="6"/>
      <c r="D338" s="6"/>
      <c r="E338" s="10"/>
      <c r="G338" s="6"/>
      <c r="H338" s="6"/>
      <c r="I338" s="10">
        <v>0.0</v>
      </c>
      <c r="J338" s="10">
        <v>0.0</v>
      </c>
      <c r="K338" s="5" t="b">
        <v>0</v>
      </c>
      <c r="L338" s="5" t="b">
        <v>1</v>
      </c>
    </row>
    <row r="339">
      <c r="A339" s="14" t="str">
        <f t="shared" si="1"/>
        <v/>
      </c>
      <c r="B339" s="15" t="str">
        <f>IF($C339="","",IF(ROW()=7,Input!$C$3,C338))</f>
        <v/>
      </c>
      <c r="C339" s="6"/>
      <c r="D339" s="6"/>
      <c r="E339" s="10"/>
      <c r="G339" s="6"/>
      <c r="H339" s="6"/>
      <c r="I339" s="10">
        <v>0.0</v>
      </c>
      <c r="J339" s="10">
        <v>0.0</v>
      </c>
      <c r="K339" s="5" t="b">
        <v>0</v>
      </c>
      <c r="L339" s="5" t="b">
        <v>1</v>
      </c>
    </row>
    <row r="340">
      <c r="A340" s="14" t="str">
        <f t="shared" si="1"/>
        <v/>
      </c>
      <c r="B340" s="15" t="str">
        <f>IF($C340="","",IF(ROW()=7,Input!$C$3,C339))</f>
        <v/>
      </c>
      <c r="C340" s="6"/>
      <c r="D340" s="6"/>
      <c r="E340" s="10"/>
      <c r="G340" s="6"/>
      <c r="H340" s="6"/>
      <c r="I340" s="10">
        <v>0.0</v>
      </c>
      <c r="J340" s="10">
        <v>0.0</v>
      </c>
      <c r="K340" s="5" t="b">
        <v>0</v>
      </c>
      <c r="L340" s="5" t="b">
        <v>1</v>
      </c>
    </row>
    <row r="341">
      <c r="A341" s="14" t="str">
        <f t="shared" si="1"/>
        <v/>
      </c>
      <c r="B341" s="15" t="str">
        <f>IF($C341="","",IF(ROW()=7,Input!$C$3,C340))</f>
        <v/>
      </c>
      <c r="C341" s="6"/>
      <c r="D341" s="6"/>
      <c r="E341" s="10"/>
      <c r="G341" s="6"/>
      <c r="H341" s="6"/>
      <c r="I341" s="10">
        <v>0.0</v>
      </c>
      <c r="J341" s="10">
        <v>0.0</v>
      </c>
      <c r="K341" s="5" t="b">
        <v>0</v>
      </c>
      <c r="L341" s="5" t="b">
        <v>1</v>
      </c>
    </row>
    <row r="342">
      <c r="A342" s="14" t="str">
        <f t="shared" si="1"/>
        <v/>
      </c>
      <c r="B342" s="15" t="str">
        <f>IF($C342="","",IF(ROW()=7,Input!$C$3,C341))</f>
        <v/>
      </c>
      <c r="C342" s="6"/>
      <c r="D342" s="6"/>
      <c r="E342" s="10"/>
      <c r="G342" s="6"/>
      <c r="H342" s="6"/>
      <c r="I342" s="10">
        <v>0.0</v>
      </c>
      <c r="J342" s="10">
        <v>0.0</v>
      </c>
      <c r="K342" s="5" t="b">
        <v>0</v>
      </c>
      <c r="L342" s="5" t="b">
        <v>1</v>
      </c>
    </row>
    <row r="343">
      <c r="A343" s="14" t="str">
        <f t="shared" si="1"/>
        <v/>
      </c>
      <c r="B343" s="15" t="str">
        <f>IF($C343="","",IF(ROW()=7,Input!$C$3,C342))</f>
        <v/>
      </c>
      <c r="C343" s="6"/>
      <c r="D343" s="6"/>
      <c r="E343" s="10"/>
      <c r="G343" s="6"/>
      <c r="H343" s="6"/>
      <c r="I343" s="10">
        <v>0.0</v>
      </c>
      <c r="J343" s="10">
        <v>0.0</v>
      </c>
      <c r="K343" s="5" t="b">
        <v>0</v>
      </c>
      <c r="L343" s="5" t="b">
        <v>1</v>
      </c>
    </row>
    <row r="344">
      <c r="A344" s="14" t="str">
        <f t="shared" si="1"/>
        <v/>
      </c>
      <c r="B344" s="15" t="str">
        <f>IF($C344="","",IF(ROW()=7,Input!$C$3,C343))</f>
        <v/>
      </c>
      <c r="C344" s="6"/>
      <c r="D344" s="6"/>
      <c r="E344" s="10"/>
      <c r="G344" s="6"/>
      <c r="H344" s="6"/>
      <c r="I344" s="10">
        <v>0.0</v>
      </c>
      <c r="J344" s="10">
        <v>0.0</v>
      </c>
      <c r="K344" s="5" t="b">
        <v>0</v>
      </c>
      <c r="L344" s="5" t="b">
        <v>1</v>
      </c>
    </row>
    <row r="345">
      <c r="A345" s="14" t="str">
        <f t="shared" si="1"/>
        <v/>
      </c>
      <c r="B345" s="15" t="str">
        <f>IF($C345="","",IF(ROW()=7,Input!$C$3,C344))</f>
        <v/>
      </c>
      <c r="C345" s="6"/>
      <c r="D345" s="6"/>
      <c r="E345" s="10"/>
      <c r="G345" s="6"/>
      <c r="H345" s="6"/>
      <c r="I345" s="10">
        <v>0.0</v>
      </c>
      <c r="J345" s="10">
        <v>0.0</v>
      </c>
      <c r="K345" s="5" t="b">
        <v>0</v>
      </c>
      <c r="L345" s="5" t="b">
        <v>1</v>
      </c>
    </row>
    <row r="346">
      <c r="A346" s="14" t="str">
        <f t="shared" si="1"/>
        <v/>
      </c>
      <c r="B346" s="15" t="str">
        <f>IF($C346="","",IF(ROW()=7,Input!$C$3,C345))</f>
        <v/>
      </c>
      <c r="C346" s="6"/>
      <c r="D346" s="6"/>
      <c r="E346" s="10"/>
      <c r="G346" s="6"/>
      <c r="H346" s="6"/>
      <c r="I346" s="10">
        <v>0.0</v>
      </c>
      <c r="J346" s="10">
        <v>0.0</v>
      </c>
      <c r="K346" s="5" t="b">
        <v>0</v>
      </c>
      <c r="L346" s="5" t="b">
        <v>1</v>
      </c>
    </row>
    <row r="347">
      <c r="A347" s="14" t="str">
        <f t="shared" si="1"/>
        <v/>
      </c>
      <c r="B347" s="15" t="str">
        <f>IF($C347="","",IF(ROW()=7,Input!$C$3,C346))</f>
        <v/>
      </c>
      <c r="C347" s="6"/>
      <c r="D347" s="6"/>
      <c r="E347" s="10"/>
      <c r="G347" s="6"/>
      <c r="H347" s="6"/>
      <c r="I347" s="10">
        <v>0.0</v>
      </c>
      <c r="J347" s="10">
        <v>0.0</v>
      </c>
      <c r="K347" s="5" t="b">
        <v>0</v>
      </c>
      <c r="L347" s="5" t="b">
        <v>1</v>
      </c>
    </row>
    <row r="348">
      <c r="A348" s="14" t="str">
        <f t="shared" si="1"/>
        <v/>
      </c>
      <c r="B348" s="15" t="str">
        <f>IF($C348="","",IF(ROW()=7,Input!$C$3,C347))</f>
        <v/>
      </c>
      <c r="C348" s="6"/>
      <c r="D348" s="6"/>
      <c r="E348" s="10"/>
      <c r="G348" s="6"/>
      <c r="H348" s="6"/>
      <c r="I348" s="10">
        <v>0.0</v>
      </c>
      <c r="J348" s="10">
        <v>0.0</v>
      </c>
      <c r="K348" s="5" t="b">
        <v>0</v>
      </c>
      <c r="L348" s="5" t="b">
        <v>1</v>
      </c>
    </row>
    <row r="349">
      <c r="A349" s="14" t="str">
        <f t="shared" si="1"/>
        <v/>
      </c>
      <c r="B349" s="15" t="str">
        <f>IF($C349="","",IF(ROW()=7,Input!$C$3,C348))</f>
        <v/>
      </c>
      <c r="C349" s="6"/>
      <c r="D349" s="6"/>
      <c r="E349" s="10"/>
      <c r="G349" s="6"/>
      <c r="H349" s="6"/>
      <c r="I349" s="10">
        <v>0.0</v>
      </c>
      <c r="J349" s="10">
        <v>0.0</v>
      </c>
      <c r="K349" s="5" t="b">
        <v>0</v>
      </c>
      <c r="L349" s="5" t="b">
        <v>1</v>
      </c>
    </row>
    <row r="350">
      <c r="A350" s="14" t="str">
        <f t="shared" si="1"/>
        <v/>
      </c>
      <c r="B350" s="15" t="str">
        <f>IF($C350="","",IF(ROW()=7,Input!$C$3,C349))</f>
        <v/>
      </c>
      <c r="C350" s="6"/>
      <c r="D350" s="6"/>
      <c r="E350" s="10"/>
      <c r="G350" s="6"/>
      <c r="H350" s="6"/>
      <c r="I350" s="10">
        <v>0.0</v>
      </c>
      <c r="J350" s="10">
        <v>0.0</v>
      </c>
      <c r="K350" s="5" t="b">
        <v>0</v>
      </c>
      <c r="L350" s="5" t="b">
        <v>1</v>
      </c>
    </row>
    <row r="351">
      <c r="A351" s="14" t="str">
        <f t="shared" si="1"/>
        <v/>
      </c>
      <c r="B351" s="15" t="str">
        <f>IF($C351="","",IF(ROW()=7,Input!$C$3,C350))</f>
        <v/>
      </c>
      <c r="C351" s="6"/>
      <c r="D351" s="6"/>
      <c r="E351" s="10"/>
      <c r="G351" s="6"/>
      <c r="H351" s="6"/>
      <c r="I351" s="10">
        <v>0.0</v>
      </c>
      <c r="J351" s="10">
        <v>0.0</v>
      </c>
      <c r="K351" s="5" t="b">
        <v>0</v>
      </c>
      <c r="L351" s="5" t="b">
        <v>1</v>
      </c>
    </row>
    <row r="352">
      <c r="A352" s="14" t="str">
        <f t="shared" si="1"/>
        <v/>
      </c>
      <c r="B352" s="15" t="str">
        <f>IF($C352="","",IF(ROW()=7,Input!$C$3,C351))</f>
        <v/>
      </c>
      <c r="C352" s="6"/>
      <c r="D352" s="6"/>
      <c r="E352" s="10"/>
      <c r="G352" s="6"/>
      <c r="H352" s="6"/>
      <c r="I352" s="10">
        <v>0.0</v>
      </c>
      <c r="J352" s="10">
        <v>0.0</v>
      </c>
      <c r="K352" s="5" t="b">
        <v>0</v>
      </c>
      <c r="L352" s="5" t="b">
        <v>1</v>
      </c>
    </row>
    <row r="353">
      <c r="A353" s="14" t="str">
        <f t="shared" si="1"/>
        <v/>
      </c>
      <c r="B353" s="15" t="str">
        <f>IF($C353="","",IF(ROW()=7,Input!$C$3,C352))</f>
        <v/>
      </c>
      <c r="C353" s="6"/>
      <c r="D353" s="6"/>
      <c r="E353" s="10"/>
      <c r="G353" s="6"/>
      <c r="H353" s="6"/>
      <c r="I353" s="10">
        <v>0.0</v>
      </c>
      <c r="J353" s="10">
        <v>0.0</v>
      </c>
      <c r="K353" s="5" t="b">
        <v>0</v>
      </c>
      <c r="L353" s="5" t="b">
        <v>1</v>
      </c>
    </row>
    <row r="354">
      <c r="A354" s="14" t="str">
        <f t="shared" si="1"/>
        <v/>
      </c>
      <c r="B354" s="15" t="str">
        <f>IF($C354="","",IF(ROW()=7,Input!$C$3,C353))</f>
        <v/>
      </c>
      <c r="C354" s="6"/>
      <c r="D354" s="6"/>
      <c r="E354" s="10"/>
      <c r="G354" s="6"/>
      <c r="H354" s="6"/>
      <c r="I354" s="10">
        <v>0.0</v>
      </c>
      <c r="J354" s="10">
        <v>0.0</v>
      </c>
      <c r="K354" s="5" t="b">
        <v>0</v>
      </c>
      <c r="L354" s="5" t="b">
        <v>1</v>
      </c>
    </row>
    <row r="355">
      <c r="A355" s="14" t="str">
        <f t="shared" si="1"/>
        <v/>
      </c>
      <c r="B355" s="15" t="str">
        <f>IF($C355="","",IF(ROW()=7,Input!$C$3,C354))</f>
        <v/>
      </c>
      <c r="C355" s="6"/>
      <c r="D355" s="6"/>
      <c r="E355" s="10"/>
      <c r="G355" s="6"/>
      <c r="H355" s="6"/>
      <c r="I355" s="10">
        <v>0.0</v>
      </c>
      <c r="J355" s="10">
        <v>0.0</v>
      </c>
      <c r="K355" s="5" t="b">
        <v>0</v>
      </c>
      <c r="L355" s="5" t="b">
        <v>1</v>
      </c>
    </row>
    <row r="356">
      <c r="A356" s="14" t="str">
        <f t="shared" si="1"/>
        <v/>
      </c>
      <c r="B356" s="15" t="str">
        <f>IF($C356="","",IF(ROW()=7,Input!$C$3,C355))</f>
        <v/>
      </c>
      <c r="C356" s="6"/>
      <c r="D356" s="6"/>
      <c r="E356" s="10"/>
      <c r="G356" s="6"/>
      <c r="H356" s="6"/>
      <c r="I356" s="10">
        <v>0.0</v>
      </c>
      <c r="J356" s="10">
        <v>0.0</v>
      </c>
      <c r="K356" s="5" t="b">
        <v>0</v>
      </c>
      <c r="L356" s="5" t="b">
        <v>1</v>
      </c>
    </row>
    <row r="357">
      <c r="A357" s="14" t="str">
        <f t="shared" si="1"/>
        <v/>
      </c>
      <c r="B357" s="15" t="str">
        <f>IF($C357="","",IF(ROW()=7,Input!$C$3,C356))</f>
        <v/>
      </c>
      <c r="C357" s="6"/>
      <c r="D357" s="6"/>
      <c r="E357" s="10"/>
      <c r="G357" s="6"/>
      <c r="H357" s="6"/>
      <c r="I357" s="10">
        <v>0.0</v>
      </c>
      <c r="J357" s="10">
        <v>0.0</v>
      </c>
      <c r="K357" s="5" t="b">
        <v>0</v>
      </c>
      <c r="L357" s="5" t="b">
        <v>1</v>
      </c>
    </row>
    <row r="358">
      <c r="A358" s="14" t="str">
        <f t="shared" si="1"/>
        <v/>
      </c>
      <c r="B358" s="15" t="str">
        <f>IF($C358="","",IF(ROW()=7,Input!$C$3,C357))</f>
        <v/>
      </c>
      <c r="C358" s="6"/>
      <c r="D358" s="6"/>
      <c r="E358" s="10"/>
      <c r="G358" s="6"/>
      <c r="H358" s="6"/>
      <c r="I358" s="10">
        <v>0.0</v>
      </c>
      <c r="J358" s="10">
        <v>0.0</v>
      </c>
      <c r="K358" s="5" t="b">
        <v>0</v>
      </c>
      <c r="L358" s="5" t="b">
        <v>1</v>
      </c>
    </row>
    <row r="359">
      <c r="A359" s="14" t="str">
        <f t="shared" si="1"/>
        <v/>
      </c>
      <c r="B359" s="15" t="str">
        <f>IF($C359="","",IF(ROW()=7,Input!$C$3,C358))</f>
        <v/>
      </c>
      <c r="C359" s="6"/>
      <c r="D359" s="6"/>
      <c r="E359" s="10"/>
      <c r="G359" s="6"/>
      <c r="H359" s="6"/>
      <c r="I359" s="10">
        <v>0.0</v>
      </c>
      <c r="J359" s="10">
        <v>0.0</v>
      </c>
      <c r="K359" s="5" t="b">
        <v>0</v>
      </c>
      <c r="L359" s="5" t="b">
        <v>1</v>
      </c>
    </row>
    <row r="360">
      <c r="A360" s="14" t="str">
        <f t="shared" si="1"/>
        <v/>
      </c>
      <c r="B360" s="15" t="str">
        <f>IF($C360="","",IF(ROW()=7,Input!$C$3,C359))</f>
        <v/>
      </c>
      <c r="C360" s="6"/>
      <c r="D360" s="6"/>
      <c r="E360" s="10"/>
      <c r="G360" s="6"/>
      <c r="H360" s="6"/>
      <c r="I360" s="10">
        <v>0.0</v>
      </c>
      <c r="J360" s="10">
        <v>0.0</v>
      </c>
      <c r="K360" s="5" t="b">
        <v>0</v>
      </c>
      <c r="L360" s="5" t="b">
        <v>1</v>
      </c>
    </row>
    <row r="361">
      <c r="A361" s="14" t="str">
        <f t="shared" si="1"/>
        <v/>
      </c>
      <c r="B361" s="15" t="str">
        <f>IF($C361="","",IF(ROW()=7,Input!$C$3,C360))</f>
        <v/>
      </c>
      <c r="C361" s="6"/>
      <c r="D361" s="6"/>
      <c r="E361" s="10"/>
      <c r="G361" s="6"/>
      <c r="H361" s="6"/>
      <c r="I361" s="10">
        <v>0.0</v>
      </c>
      <c r="J361" s="10">
        <v>0.0</v>
      </c>
      <c r="K361" s="5" t="b">
        <v>0</v>
      </c>
      <c r="L361" s="5" t="b">
        <v>1</v>
      </c>
    </row>
    <row r="362">
      <c r="A362" s="14" t="str">
        <f t="shared" si="1"/>
        <v/>
      </c>
      <c r="B362" s="15" t="str">
        <f>IF($C362="","",IF(ROW()=7,Input!$C$3,C361))</f>
        <v/>
      </c>
      <c r="C362" s="6"/>
      <c r="D362" s="6"/>
      <c r="E362" s="10"/>
      <c r="G362" s="6"/>
      <c r="H362" s="6"/>
      <c r="I362" s="10">
        <v>0.0</v>
      </c>
      <c r="J362" s="10">
        <v>0.0</v>
      </c>
      <c r="K362" s="5" t="b">
        <v>0</v>
      </c>
      <c r="L362" s="5" t="b">
        <v>1</v>
      </c>
    </row>
    <row r="363">
      <c r="A363" s="14" t="str">
        <f t="shared" si="1"/>
        <v/>
      </c>
      <c r="B363" s="15" t="str">
        <f>IF($C363="","",IF(ROW()=7,Input!$C$3,C362))</f>
        <v/>
      </c>
      <c r="C363" s="6"/>
      <c r="D363" s="6"/>
      <c r="E363" s="10"/>
      <c r="G363" s="6"/>
      <c r="H363" s="6"/>
      <c r="I363" s="10">
        <v>0.0</v>
      </c>
      <c r="J363" s="10">
        <v>0.0</v>
      </c>
      <c r="K363" s="5" t="b">
        <v>0</v>
      </c>
      <c r="L363" s="5" t="b">
        <v>1</v>
      </c>
    </row>
    <row r="364">
      <c r="A364" s="14" t="str">
        <f t="shared" si="1"/>
        <v/>
      </c>
      <c r="B364" s="15" t="str">
        <f>IF($C364="","",IF(ROW()=7,Input!$C$3,C363))</f>
        <v/>
      </c>
      <c r="C364" s="6"/>
      <c r="D364" s="6"/>
      <c r="E364" s="10"/>
      <c r="G364" s="6"/>
      <c r="H364" s="6"/>
      <c r="I364" s="10">
        <v>0.0</v>
      </c>
      <c r="J364" s="10">
        <v>0.0</v>
      </c>
      <c r="K364" s="5" t="b">
        <v>0</v>
      </c>
      <c r="L364" s="5" t="b">
        <v>1</v>
      </c>
    </row>
    <row r="365">
      <c r="A365" s="14" t="str">
        <f t="shared" si="1"/>
        <v/>
      </c>
      <c r="B365" s="15" t="str">
        <f>IF($C365="","",IF(ROW()=7,Input!$C$3,C364))</f>
        <v/>
      </c>
      <c r="C365" s="6"/>
      <c r="D365" s="6"/>
      <c r="E365" s="10"/>
      <c r="G365" s="6"/>
      <c r="H365" s="6"/>
      <c r="I365" s="10">
        <v>0.0</v>
      </c>
      <c r="J365" s="10">
        <v>0.0</v>
      </c>
      <c r="K365" s="5" t="b">
        <v>0</v>
      </c>
      <c r="L365" s="5" t="b">
        <v>1</v>
      </c>
    </row>
    <row r="366">
      <c r="A366" s="14" t="str">
        <f t="shared" si="1"/>
        <v/>
      </c>
      <c r="B366" s="15" t="str">
        <f>IF($C366="","",IF(ROW()=7,Input!$C$3,C365))</f>
        <v/>
      </c>
      <c r="C366" s="6"/>
      <c r="D366" s="6"/>
      <c r="E366" s="10"/>
      <c r="G366" s="6"/>
      <c r="H366" s="6"/>
      <c r="I366" s="10">
        <v>0.0</v>
      </c>
      <c r="J366" s="10">
        <v>0.0</v>
      </c>
      <c r="K366" s="5" t="b">
        <v>0</v>
      </c>
      <c r="L366" s="5" t="b">
        <v>1</v>
      </c>
    </row>
    <row r="367">
      <c r="A367" s="14" t="str">
        <f t="shared" si="1"/>
        <v/>
      </c>
      <c r="B367" s="15" t="str">
        <f>IF($C367="","",IF(ROW()=7,Input!$C$3,C366))</f>
        <v/>
      </c>
      <c r="C367" s="6"/>
      <c r="D367" s="6"/>
      <c r="E367" s="10"/>
      <c r="G367" s="6"/>
      <c r="H367" s="6"/>
      <c r="I367" s="10">
        <v>0.0</v>
      </c>
      <c r="J367" s="10">
        <v>0.0</v>
      </c>
      <c r="K367" s="5" t="b">
        <v>0</v>
      </c>
      <c r="L367" s="5" t="b">
        <v>1</v>
      </c>
    </row>
    <row r="368">
      <c r="A368" s="14" t="str">
        <f t="shared" si="1"/>
        <v/>
      </c>
      <c r="B368" s="15" t="str">
        <f>IF($C368="","",IF(ROW()=7,Input!$C$3,C367))</f>
        <v/>
      </c>
      <c r="C368" s="6"/>
      <c r="D368" s="6"/>
      <c r="E368" s="10"/>
      <c r="G368" s="6"/>
      <c r="H368" s="6"/>
      <c r="I368" s="10">
        <v>0.0</v>
      </c>
      <c r="J368" s="10">
        <v>0.0</v>
      </c>
      <c r="K368" s="5" t="b">
        <v>0</v>
      </c>
      <c r="L368" s="5" t="b">
        <v>1</v>
      </c>
    </row>
    <row r="369">
      <c r="A369" s="14" t="str">
        <f t="shared" si="1"/>
        <v/>
      </c>
      <c r="B369" s="15" t="str">
        <f>IF($C369="","",IF(ROW()=7,Input!$C$3,C368))</f>
        <v/>
      </c>
      <c r="C369" s="6"/>
      <c r="D369" s="6"/>
      <c r="E369" s="10"/>
      <c r="G369" s="6"/>
      <c r="H369" s="6"/>
      <c r="I369" s="10">
        <v>0.0</v>
      </c>
      <c r="J369" s="10">
        <v>0.0</v>
      </c>
      <c r="K369" s="5" t="b">
        <v>0</v>
      </c>
      <c r="L369" s="5" t="b">
        <v>1</v>
      </c>
    </row>
    <row r="370">
      <c r="A370" s="14" t="str">
        <f t="shared" si="1"/>
        <v/>
      </c>
      <c r="B370" s="15" t="str">
        <f>IF($C370="","",IF(ROW()=7,Input!$C$3,C369))</f>
        <v/>
      </c>
      <c r="C370" s="6"/>
      <c r="D370" s="6"/>
      <c r="E370" s="10"/>
      <c r="G370" s="6"/>
      <c r="H370" s="6"/>
      <c r="I370" s="10">
        <v>0.0</v>
      </c>
      <c r="J370" s="10">
        <v>0.0</v>
      </c>
      <c r="K370" s="5" t="b">
        <v>0</v>
      </c>
      <c r="L370" s="5" t="b">
        <v>1</v>
      </c>
    </row>
    <row r="371">
      <c r="A371" s="14" t="str">
        <f t="shared" si="1"/>
        <v/>
      </c>
      <c r="B371" s="15" t="str">
        <f>IF($C371="","",IF(ROW()=7,Input!$C$3,C370))</f>
        <v/>
      </c>
      <c r="C371" s="6"/>
      <c r="D371" s="6"/>
      <c r="E371" s="10"/>
      <c r="G371" s="6"/>
      <c r="H371" s="6"/>
      <c r="I371" s="10">
        <v>0.0</v>
      </c>
      <c r="J371" s="10">
        <v>0.0</v>
      </c>
      <c r="K371" s="5" t="b">
        <v>0</v>
      </c>
      <c r="L371" s="5" t="b">
        <v>1</v>
      </c>
    </row>
    <row r="372">
      <c r="A372" s="14" t="str">
        <f t="shared" si="1"/>
        <v/>
      </c>
      <c r="B372" s="15" t="str">
        <f>IF($C372="","",IF(ROW()=7,Input!$C$3,C371))</f>
        <v/>
      </c>
      <c r="C372" s="6"/>
      <c r="D372" s="6"/>
      <c r="E372" s="10"/>
      <c r="G372" s="6"/>
      <c r="H372" s="6"/>
      <c r="I372" s="10">
        <v>0.0</v>
      </c>
      <c r="J372" s="10">
        <v>0.0</v>
      </c>
      <c r="K372" s="5" t="b">
        <v>0</v>
      </c>
      <c r="L372" s="5" t="b">
        <v>1</v>
      </c>
    </row>
    <row r="373">
      <c r="A373" s="14" t="str">
        <f t="shared" si="1"/>
        <v/>
      </c>
      <c r="B373" s="15" t="str">
        <f>IF($C373="","",IF(ROW()=7,Input!$C$3,C372))</f>
        <v/>
      </c>
      <c r="C373" s="6"/>
      <c r="D373" s="6"/>
      <c r="E373" s="10"/>
      <c r="G373" s="6"/>
      <c r="H373" s="6"/>
      <c r="I373" s="10">
        <v>0.0</v>
      </c>
      <c r="J373" s="10">
        <v>0.0</v>
      </c>
      <c r="K373" s="5" t="b">
        <v>0</v>
      </c>
      <c r="L373" s="5" t="b">
        <v>1</v>
      </c>
    </row>
    <row r="374">
      <c r="A374" s="14" t="str">
        <f t="shared" si="1"/>
        <v/>
      </c>
      <c r="B374" s="15" t="str">
        <f>IF($C374="","",IF(ROW()=7,Input!$C$3,C373))</f>
        <v/>
      </c>
      <c r="C374" s="6"/>
      <c r="D374" s="6"/>
      <c r="E374" s="10"/>
      <c r="G374" s="6"/>
      <c r="H374" s="6"/>
      <c r="I374" s="10">
        <v>0.0</v>
      </c>
      <c r="J374" s="10">
        <v>0.0</v>
      </c>
      <c r="K374" s="5" t="b">
        <v>0</v>
      </c>
      <c r="L374" s="5" t="b">
        <v>1</v>
      </c>
    </row>
    <row r="375">
      <c r="A375" s="14" t="str">
        <f t="shared" si="1"/>
        <v/>
      </c>
      <c r="B375" s="15" t="str">
        <f>IF($C375="","",IF(ROW()=7,Input!$C$3,C374))</f>
        <v/>
      </c>
      <c r="C375" s="6"/>
      <c r="D375" s="6"/>
      <c r="E375" s="10"/>
      <c r="G375" s="6"/>
      <c r="H375" s="6"/>
      <c r="I375" s="10">
        <v>0.0</v>
      </c>
      <c r="J375" s="10">
        <v>0.0</v>
      </c>
      <c r="K375" s="5" t="b">
        <v>0</v>
      </c>
      <c r="L375" s="5" t="b">
        <v>1</v>
      </c>
    </row>
    <row r="376">
      <c r="A376" s="14" t="str">
        <f t="shared" si="1"/>
        <v/>
      </c>
      <c r="B376" s="15" t="str">
        <f>IF($C376="","",IF(ROW()=7,Input!$C$3,C375))</f>
        <v/>
      </c>
      <c r="C376" s="6"/>
      <c r="D376" s="6"/>
      <c r="E376" s="10"/>
      <c r="G376" s="6"/>
      <c r="H376" s="6"/>
      <c r="I376" s="10">
        <v>0.0</v>
      </c>
      <c r="J376" s="10">
        <v>0.0</v>
      </c>
      <c r="K376" s="5" t="b">
        <v>0</v>
      </c>
      <c r="L376" s="5" t="b">
        <v>1</v>
      </c>
    </row>
    <row r="377">
      <c r="A377" s="14" t="str">
        <f t="shared" si="1"/>
        <v/>
      </c>
      <c r="B377" s="15" t="str">
        <f>IF($C377="","",IF(ROW()=7,Input!$C$3,C376))</f>
        <v/>
      </c>
      <c r="C377" s="6"/>
      <c r="D377" s="6"/>
      <c r="E377" s="10"/>
      <c r="G377" s="6"/>
      <c r="H377" s="6"/>
      <c r="I377" s="10">
        <v>0.0</v>
      </c>
      <c r="J377" s="10">
        <v>0.0</v>
      </c>
      <c r="K377" s="5" t="b">
        <v>0</v>
      </c>
      <c r="L377" s="5" t="b">
        <v>1</v>
      </c>
    </row>
    <row r="378">
      <c r="A378" s="14" t="str">
        <f t="shared" si="1"/>
        <v/>
      </c>
      <c r="B378" s="15" t="str">
        <f>IF($C378="","",IF(ROW()=7,Input!$C$3,C377))</f>
        <v/>
      </c>
      <c r="C378" s="6"/>
      <c r="D378" s="6"/>
      <c r="E378" s="10"/>
      <c r="G378" s="6"/>
      <c r="H378" s="6"/>
      <c r="I378" s="10">
        <v>0.0</v>
      </c>
      <c r="J378" s="10">
        <v>0.0</v>
      </c>
      <c r="K378" s="5" t="b">
        <v>0</v>
      </c>
      <c r="L378" s="5" t="b">
        <v>1</v>
      </c>
    </row>
    <row r="379">
      <c r="A379" s="14" t="str">
        <f t="shared" si="1"/>
        <v/>
      </c>
      <c r="B379" s="15" t="str">
        <f>IF($C379="","",IF(ROW()=7,Input!$C$3,C378))</f>
        <v/>
      </c>
      <c r="C379" s="6"/>
      <c r="D379" s="6"/>
      <c r="E379" s="10"/>
      <c r="G379" s="6"/>
      <c r="H379" s="6"/>
      <c r="I379" s="10">
        <v>0.0</v>
      </c>
      <c r="J379" s="10">
        <v>0.0</v>
      </c>
      <c r="K379" s="5" t="b">
        <v>0</v>
      </c>
      <c r="L379" s="5" t="b">
        <v>1</v>
      </c>
    </row>
    <row r="380">
      <c r="A380" s="14" t="str">
        <f t="shared" si="1"/>
        <v/>
      </c>
      <c r="B380" s="15" t="str">
        <f>IF($C380="","",IF(ROW()=7,Input!$C$3,C379))</f>
        <v/>
      </c>
      <c r="C380" s="6"/>
      <c r="D380" s="6"/>
      <c r="E380" s="10"/>
      <c r="G380" s="6"/>
      <c r="H380" s="6"/>
      <c r="I380" s="10">
        <v>0.0</v>
      </c>
      <c r="J380" s="10">
        <v>0.0</v>
      </c>
      <c r="K380" s="5" t="b">
        <v>0</v>
      </c>
      <c r="L380" s="5" t="b">
        <v>1</v>
      </c>
    </row>
    <row r="381">
      <c r="A381" s="14" t="str">
        <f t="shared" si="1"/>
        <v/>
      </c>
      <c r="B381" s="15" t="str">
        <f>IF($C381="","",IF(ROW()=7,Input!$C$3,C380))</f>
        <v/>
      </c>
      <c r="C381" s="6"/>
      <c r="D381" s="6"/>
      <c r="E381" s="10"/>
      <c r="G381" s="6"/>
      <c r="H381" s="6"/>
      <c r="I381" s="10">
        <v>0.0</v>
      </c>
      <c r="J381" s="10">
        <v>0.0</v>
      </c>
      <c r="K381" s="5" t="b">
        <v>0</v>
      </c>
      <c r="L381" s="5" t="b">
        <v>1</v>
      </c>
    </row>
    <row r="382">
      <c r="A382" s="14" t="str">
        <f t="shared" si="1"/>
        <v/>
      </c>
      <c r="B382" s="15" t="str">
        <f>IF($C382="","",IF(ROW()=7,Input!$C$3,C381))</f>
        <v/>
      </c>
      <c r="C382" s="6"/>
      <c r="D382" s="6"/>
      <c r="E382" s="10"/>
      <c r="G382" s="6"/>
      <c r="H382" s="6"/>
      <c r="I382" s="10">
        <v>0.0</v>
      </c>
      <c r="J382" s="10">
        <v>0.0</v>
      </c>
      <c r="K382" s="5" t="b">
        <v>0</v>
      </c>
      <c r="L382" s="5" t="b">
        <v>1</v>
      </c>
    </row>
    <row r="383">
      <c r="A383" s="14" t="str">
        <f t="shared" si="1"/>
        <v/>
      </c>
      <c r="B383" s="15" t="str">
        <f>IF($C383="","",IF(ROW()=7,Input!$C$3,C382))</f>
        <v/>
      </c>
      <c r="C383" s="6"/>
      <c r="D383" s="6"/>
      <c r="E383" s="10"/>
      <c r="G383" s="6"/>
      <c r="H383" s="6"/>
      <c r="I383" s="10">
        <v>0.0</v>
      </c>
      <c r="J383" s="10">
        <v>0.0</v>
      </c>
      <c r="K383" s="5" t="b">
        <v>0</v>
      </c>
      <c r="L383" s="5" t="b">
        <v>1</v>
      </c>
    </row>
    <row r="384">
      <c r="A384" s="14" t="str">
        <f t="shared" si="1"/>
        <v/>
      </c>
      <c r="B384" s="15" t="str">
        <f>IF($C384="","",IF(ROW()=7,Input!$C$3,C383))</f>
        <v/>
      </c>
      <c r="C384" s="6"/>
      <c r="D384" s="6"/>
      <c r="E384" s="10"/>
      <c r="G384" s="6"/>
      <c r="H384" s="6"/>
      <c r="I384" s="10">
        <v>0.0</v>
      </c>
      <c r="J384" s="10">
        <v>0.0</v>
      </c>
      <c r="K384" s="5" t="b">
        <v>0</v>
      </c>
      <c r="L384" s="5" t="b">
        <v>1</v>
      </c>
    </row>
    <row r="385">
      <c r="A385" s="14" t="str">
        <f t="shared" si="1"/>
        <v/>
      </c>
      <c r="B385" s="15" t="str">
        <f>IF($C385="","",IF(ROW()=7,Input!$C$3,C384))</f>
        <v/>
      </c>
      <c r="C385" s="6"/>
      <c r="D385" s="6"/>
      <c r="E385" s="10"/>
      <c r="G385" s="6"/>
      <c r="H385" s="6"/>
      <c r="I385" s="10">
        <v>0.0</v>
      </c>
      <c r="J385" s="10">
        <v>0.0</v>
      </c>
      <c r="K385" s="5" t="b">
        <v>0</v>
      </c>
      <c r="L385" s="5" t="b">
        <v>1</v>
      </c>
    </row>
    <row r="386">
      <c r="A386" s="14" t="str">
        <f t="shared" si="1"/>
        <v/>
      </c>
      <c r="B386" s="15" t="str">
        <f>IF($C386="","",IF(ROW()=7,Input!$C$3,C385))</f>
        <v/>
      </c>
      <c r="C386" s="6"/>
      <c r="D386" s="6"/>
      <c r="E386" s="10"/>
      <c r="G386" s="6"/>
      <c r="H386" s="6"/>
      <c r="I386" s="10">
        <v>0.0</v>
      </c>
      <c r="J386" s="10">
        <v>0.0</v>
      </c>
      <c r="K386" s="5" t="b">
        <v>0</v>
      </c>
      <c r="L386" s="5" t="b">
        <v>1</v>
      </c>
    </row>
    <row r="387">
      <c r="A387" s="14" t="str">
        <f t="shared" si="1"/>
        <v/>
      </c>
      <c r="B387" s="15" t="str">
        <f>IF($C387="","",IF(ROW()=7,Input!$C$3,C386))</f>
        <v/>
      </c>
      <c r="C387" s="6"/>
      <c r="D387" s="6"/>
      <c r="E387" s="10"/>
      <c r="G387" s="6"/>
      <c r="H387" s="6"/>
      <c r="I387" s="10">
        <v>0.0</v>
      </c>
      <c r="J387" s="10">
        <v>0.0</v>
      </c>
      <c r="K387" s="5" t="b">
        <v>0</v>
      </c>
      <c r="L387" s="5" t="b">
        <v>1</v>
      </c>
    </row>
    <row r="388">
      <c r="A388" s="14" t="str">
        <f t="shared" si="1"/>
        <v/>
      </c>
      <c r="B388" s="15" t="str">
        <f>IF($C388="","",IF(ROW()=7,Input!$C$3,C387))</f>
        <v/>
      </c>
      <c r="C388" s="6"/>
      <c r="D388" s="6"/>
      <c r="E388" s="10"/>
      <c r="G388" s="6"/>
      <c r="H388" s="6"/>
      <c r="I388" s="10">
        <v>0.0</v>
      </c>
      <c r="J388" s="10">
        <v>0.0</v>
      </c>
      <c r="K388" s="5" t="b">
        <v>0</v>
      </c>
      <c r="L388" s="5" t="b">
        <v>1</v>
      </c>
    </row>
    <row r="389">
      <c r="A389" s="14" t="str">
        <f t="shared" si="1"/>
        <v/>
      </c>
      <c r="B389" s="15" t="str">
        <f>IF($C389="","",IF(ROW()=7,Input!$C$3,C388))</f>
        <v/>
      </c>
      <c r="C389" s="6"/>
      <c r="D389" s="6"/>
      <c r="E389" s="10"/>
      <c r="G389" s="6"/>
      <c r="H389" s="6"/>
      <c r="I389" s="10">
        <v>0.0</v>
      </c>
      <c r="J389" s="10">
        <v>0.0</v>
      </c>
      <c r="K389" s="5" t="b">
        <v>0</v>
      </c>
      <c r="L389" s="5" t="b">
        <v>1</v>
      </c>
    </row>
    <row r="390">
      <c r="A390" s="14" t="str">
        <f t="shared" si="1"/>
        <v/>
      </c>
      <c r="B390" s="15" t="str">
        <f>IF($C390="","",IF(ROW()=7,Input!$C$3,C389))</f>
        <v/>
      </c>
      <c r="C390" s="6"/>
      <c r="D390" s="6"/>
      <c r="E390" s="10"/>
      <c r="G390" s="6"/>
      <c r="H390" s="6"/>
      <c r="I390" s="10">
        <v>0.0</v>
      </c>
      <c r="J390" s="10">
        <v>0.0</v>
      </c>
      <c r="K390" s="5" t="b">
        <v>0</v>
      </c>
      <c r="L390" s="5" t="b">
        <v>1</v>
      </c>
    </row>
    <row r="391">
      <c r="A391" s="14" t="str">
        <f t="shared" si="1"/>
        <v/>
      </c>
      <c r="B391" s="15" t="str">
        <f>IF($C391="","",IF(ROW()=7,Input!$C$3,C390))</f>
        <v/>
      </c>
      <c r="C391" s="6"/>
      <c r="D391" s="6"/>
      <c r="E391" s="10"/>
      <c r="G391" s="6"/>
      <c r="H391" s="6"/>
      <c r="I391" s="10">
        <v>0.0</v>
      </c>
      <c r="J391" s="10">
        <v>0.0</v>
      </c>
      <c r="K391" s="5" t="b">
        <v>0</v>
      </c>
      <c r="L391" s="5" t="b">
        <v>1</v>
      </c>
    </row>
    <row r="392">
      <c r="A392" s="14" t="str">
        <f t="shared" si="1"/>
        <v/>
      </c>
      <c r="B392" s="15" t="str">
        <f>IF($C392="","",IF(ROW()=7,Input!$C$3,C391))</f>
        <v/>
      </c>
      <c r="C392" s="6"/>
      <c r="D392" s="6"/>
      <c r="E392" s="10"/>
      <c r="G392" s="6"/>
      <c r="H392" s="6"/>
      <c r="I392" s="10">
        <v>0.0</v>
      </c>
      <c r="J392" s="10">
        <v>0.0</v>
      </c>
      <c r="K392" s="5" t="b">
        <v>0</v>
      </c>
      <c r="L392" s="5" t="b">
        <v>1</v>
      </c>
    </row>
    <row r="393">
      <c r="A393" s="14" t="str">
        <f t="shared" si="1"/>
        <v/>
      </c>
      <c r="B393" s="15" t="str">
        <f>IF($C393="","",IF(ROW()=7,Input!$C$3,C392))</f>
        <v/>
      </c>
      <c r="C393" s="6"/>
      <c r="D393" s="6"/>
      <c r="E393" s="10"/>
      <c r="G393" s="6"/>
      <c r="H393" s="6"/>
      <c r="I393" s="10">
        <v>0.0</v>
      </c>
      <c r="J393" s="10">
        <v>0.0</v>
      </c>
      <c r="K393" s="5" t="b">
        <v>0</v>
      </c>
      <c r="L393" s="5" t="b">
        <v>1</v>
      </c>
    </row>
    <row r="394">
      <c r="A394" s="14" t="str">
        <f t="shared" si="1"/>
        <v/>
      </c>
      <c r="B394" s="15" t="str">
        <f>IF($C394="","",IF(ROW()=7,Input!$C$3,C393))</f>
        <v/>
      </c>
      <c r="C394" s="6"/>
      <c r="D394" s="6"/>
      <c r="E394" s="10"/>
      <c r="G394" s="6"/>
      <c r="H394" s="6"/>
      <c r="I394" s="10">
        <v>0.0</v>
      </c>
      <c r="J394" s="10">
        <v>0.0</v>
      </c>
      <c r="K394" s="5" t="b">
        <v>0</v>
      </c>
      <c r="L394" s="5" t="b">
        <v>1</v>
      </c>
    </row>
    <row r="395">
      <c r="A395" s="14" t="str">
        <f t="shared" si="1"/>
        <v/>
      </c>
      <c r="B395" s="15" t="str">
        <f>IF($C395="","",IF(ROW()=7,Input!$C$3,C394))</f>
        <v/>
      </c>
      <c r="C395" s="6"/>
      <c r="D395" s="6"/>
      <c r="E395" s="10"/>
      <c r="G395" s="6"/>
      <c r="H395" s="6"/>
      <c r="I395" s="10">
        <v>0.0</v>
      </c>
      <c r="J395" s="10">
        <v>0.0</v>
      </c>
      <c r="K395" s="5" t="b">
        <v>0</v>
      </c>
      <c r="L395" s="5" t="b">
        <v>1</v>
      </c>
    </row>
    <row r="396">
      <c r="A396" s="14" t="str">
        <f t="shared" si="1"/>
        <v/>
      </c>
      <c r="B396" s="15" t="str">
        <f>IF($C396="","",IF(ROW()=7,Input!$C$3,C395))</f>
        <v/>
      </c>
      <c r="C396" s="6"/>
      <c r="D396" s="6"/>
      <c r="E396" s="10"/>
      <c r="G396" s="6"/>
      <c r="H396" s="6"/>
      <c r="I396" s="10">
        <v>0.0</v>
      </c>
      <c r="J396" s="10">
        <v>0.0</v>
      </c>
      <c r="K396" s="5" t="b">
        <v>0</v>
      </c>
      <c r="L396" s="5" t="b">
        <v>1</v>
      </c>
    </row>
    <row r="397">
      <c r="A397" s="14" t="str">
        <f t="shared" si="1"/>
        <v/>
      </c>
      <c r="B397" s="15" t="str">
        <f>IF($C397="","",IF(ROW()=7,Input!$C$3,C396))</f>
        <v/>
      </c>
      <c r="C397" s="6"/>
      <c r="D397" s="6"/>
      <c r="E397" s="10"/>
      <c r="G397" s="6"/>
      <c r="H397" s="6"/>
      <c r="I397" s="10">
        <v>0.0</v>
      </c>
      <c r="J397" s="10">
        <v>0.0</v>
      </c>
      <c r="K397" s="5" t="b">
        <v>0</v>
      </c>
      <c r="L397" s="5" t="b">
        <v>1</v>
      </c>
    </row>
    <row r="398">
      <c r="A398" s="14" t="str">
        <f t="shared" si="1"/>
        <v/>
      </c>
      <c r="B398" s="15" t="str">
        <f>IF($C398="","",IF(ROW()=7,Input!$C$3,C397))</f>
        <v/>
      </c>
      <c r="C398" s="6"/>
      <c r="D398" s="6"/>
      <c r="E398" s="10"/>
      <c r="G398" s="6"/>
      <c r="H398" s="6"/>
      <c r="I398" s="10">
        <v>0.0</v>
      </c>
      <c r="J398" s="10">
        <v>0.0</v>
      </c>
      <c r="K398" s="5" t="b">
        <v>0</v>
      </c>
      <c r="L398" s="5" t="b">
        <v>1</v>
      </c>
    </row>
    <row r="399">
      <c r="A399" s="14" t="str">
        <f t="shared" si="1"/>
        <v/>
      </c>
      <c r="B399" s="15" t="str">
        <f>IF($C399="","",IF(ROW()=7,Input!$C$3,C398))</f>
        <v/>
      </c>
      <c r="C399" s="6"/>
      <c r="D399" s="6"/>
      <c r="E399" s="10"/>
      <c r="G399" s="6"/>
      <c r="H399" s="6"/>
      <c r="I399" s="10">
        <v>0.0</v>
      </c>
      <c r="J399" s="10">
        <v>0.0</v>
      </c>
      <c r="K399" s="5" t="b">
        <v>0</v>
      </c>
      <c r="L399" s="5" t="b">
        <v>1</v>
      </c>
    </row>
    <row r="400">
      <c r="A400" s="14" t="str">
        <f t="shared" si="1"/>
        <v/>
      </c>
      <c r="B400" s="15" t="str">
        <f>IF($C400="","",IF(ROW()=7,Input!$C$3,C399))</f>
        <v/>
      </c>
      <c r="C400" s="6"/>
      <c r="D400" s="6"/>
      <c r="E400" s="10"/>
      <c r="G400" s="6"/>
      <c r="H400" s="6"/>
      <c r="I400" s="10">
        <v>0.0</v>
      </c>
      <c r="J400" s="10">
        <v>0.0</v>
      </c>
      <c r="K400" s="5" t="b">
        <v>0</v>
      </c>
      <c r="L400" s="5" t="b">
        <v>1</v>
      </c>
    </row>
    <row r="401">
      <c r="A401" s="14" t="str">
        <f t="shared" si="1"/>
        <v/>
      </c>
      <c r="B401" s="15" t="str">
        <f>IF($C401="","",IF(ROW()=7,Input!$C$3,C400))</f>
        <v/>
      </c>
      <c r="C401" s="6"/>
      <c r="D401" s="6"/>
      <c r="E401" s="10"/>
      <c r="G401" s="6"/>
      <c r="H401" s="6"/>
      <c r="I401" s="10">
        <v>0.0</v>
      </c>
      <c r="J401" s="10">
        <v>0.0</v>
      </c>
      <c r="K401" s="5" t="b">
        <v>0</v>
      </c>
      <c r="L401" s="5" t="b">
        <v>1</v>
      </c>
    </row>
    <row r="402">
      <c r="A402" s="14" t="str">
        <f t="shared" si="1"/>
        <v/>
      </c>
      <c r="B402" s="15" t="str">
        <f>IF($C402="","",IF(ROW()=7,Input!$C$3,C401))</f>
        <v/>
      </c>
      <c r="C402" s="6"/>
      <c r="D402" s="6"/>
      <c r="E402" s="10"/>
      <c r="G402" s="6"/>
      <c r="H402" s="6"/>
      <c r="I402" s="10">
        <v>0.0</v>
      </c>
      <c r="J402" s="10">
        <v>0.0</v>
      </c>
      <c r="K402" s="5" t="b">
        <v>0</v>
      </c>
      <c r="L402" s="5" t="b">
        <v>1</v>
      </c>
    </row>
    <row r="403">
      <c r="A403" s="14" t="str">
        <f t="shared" si="1"/>
        <v/>
      </c>
      <c r="B403" s="15" t="str">
        <f>IF($C403="","",IF(ROW()=7,Input!$C$3,C402))</f>
        <v/>
      </c>
      <c r="C403" s="6"/>
      <c r="D403" s="6"/>
      <c r="E403" s="10"/>
      <c r="G403" s="6"/>
      <c r="H403" s="6"/>
      <c r="I403" s="10">
        <v>0.0</v>
      </c>
      <c r="J403" s="10">
        <v>0.0</v>
      </c>
      <c r="K403" s="5" t="b">
        <v>0</v>
      </c>
      <c r="L403" s="5" t="b">
        <v>1</v>
      </c>
    </row>
    <row r="404">
      <c r="A404" s="14" t="str">
        <f t="shared" si="1"/>
        <v/>
      </c>
      <c r="B404" s="15" t="str">
        <f>IF($C404="","",IF(ROW()=7,Input!$C$3,C403))</f>
        <v/>
      </c>
      <c r="C404" s="6"/>
      <c r="D404" s="6"/>
      <c r="E404" s="10"/>
      <c r="G404" s="6"/>
      <c r="H404" s="6"/>
      <c r="I404" s="10">
        <v>0.0</v>
      </c>
      <c r="J404" s="10">
        <v>0.0</v>
      </c>
      <c r="K404" s="5" t="b">
        <v>0</v>
      </c>
      <c r="L404" s="5" t="b">
        <v>1</v>
      </c>
    </row>
    <row r="405">
      <c r="A405" s="14" t="str">
        <f t="shared" si="1"/>
        <v/>
      </c>
      <c r="B405" s="15" t="str">
        <f>IF($C405="","",IF(ROW()=7,Input!$C$3,C404))</f>
        <v/>
      </c>
      <c r="C405" s="6"/>
      <c r="D405" s="6"/>
      <c r="E405" s="10"/>
      <c r="G405" s="6"/>
      <c r="H405" s="6"/>
      <c r="I405" s="10">
        <v>0.0</v>
      </c>
      <c r="J405" s="10">
        <v>0.0</v>
      </c>
      <c r="K405" s="5" t="b">
        <v>0</v>
      </c>
      <c r="L405" s="5" t="b">
        <v>1</v>
      </c>
    </row>
    <row r="406">
      <c r="A406" s="14" t="str">
        <f t="shared" si="1"/>
        <v/>
      </c>
      <c r="B406" s="15" t="str">
        <f>IF($C406="","",IF(ROW()=7,Input!$C$3,C405))</f>
        <v/>
      </c>
      <c r="C406" s="6"/>
      <c r="D406" s="6"/>
      <c r="E406" s="10"/>
      <c r="G406" s="6"/>
      <c r="H406" s="6"/>
      <c r="I406" s="10">
        <v>0.0</v>
      </c>
      <c r="J406" s="10">
        <v>0.0</v>
      </c>
      <c r="K406" s="5" t="b">
        <v>0</v>
      </c>
      <c r="L406" s="5" t="b">
        <v>1</v>
      </c>
    </row>
    <row r="407">
      <c r="A407" s="14" t="str">
        <f t="shared" si="1"/>
        <v/>
      </c>
      <c r="B407" s="15" t="str">
        <f>IF($C407="","",IF(ROW()=7,Input!$C$3,C406))</f>
        <v/>
      </c>
      <c r="C407" s="6"/>
      <c r="D407" s="6"/>
      <c r="E407" s="10"/>
      <c r="G407" s="6"/>
      <c r="H407" s="6"/>
      <c r="I407" s="10">
        <v>0.0</v>
      </c>
      <c r="J407" s="10">
        <v>0.0</v>
      </c>
      <c r="K407" s="5" t="b">
        <v>0</v>
      </c>
      <c r="L407" s="5" t="b">
        <v>1</v>
      </c>
    </row>
    <row r="408">
      <c r="A408" s="14" t="str">
        <f t="shared" si="1"/>
        <v/>
      </c>
      <c r="B408" s="15" t="str">
        <f>IF($C408="","",IF(ROW()=7,Input!$C$3,C407))</f>
        <v/>
      </c>
      <c r="C408" s="6"/>
      <c r="D408" s="6"/>
      <c r="E408" s="10"/>
      <c r="G408" s="6"/>
      <c r="H408" s="6"/>
      <c r="I408" s="10">
        <v>0.0</v>
      </c>
      <c r="J408" s="10">
        <v>0.0</v>
      </c>
      <c r="K408" s="5" t="b">
        <v>0</v>
      </c>
      <c r="L408" s="5" t="b">
        <v>1</v>
      </c>
    </row>
    <row r="409">
      <c r="A409" s="14" t="str">
        <f t="shared" si="1"/>
        <v/>
      </c>
      <c r="B409" s="15" t="str">
        <f>IF($C409="","",IF(ROW()=7,Input!$C$3,C408))</f>
        <v/>
      </c>
      <c r="C409" s="6"/>
      <c r="D409" s="6"/>
      <c r="E409" s="10"/>
      <c r="G409" s="6"/>
      <c r="H409" s="6"/>
      <c r="I409" s="10">
        <v>0.0</v>
      </c>
      <c r="J409" s="10">
        <v>0.0</v>
      </c>
      <c r="K409" s="5" t="b">
        <v>0</v>
      </c>
      <c r="L409" s="5" t="b">
        <v>1</v>
      </c>
    </row>
    <row r="410">
      <c r="A410" s="14" t="str">
        <f t="shared" si="1"/>
        <v/>
      </c>
      <c r="B410" s="15" t="str">
        <f>IF($C410="","",IF(ROW()=7,Input!$C$3,C409))</f>
        <v/>
      </c>
      <c r="C410" s="6"/>
      <c r="D410" s="6"/>
      <c r="E410" s="10"/>
      <c r="G410" s="6"/>
      <c r="H410" s="6"/>
      <c r="I410" s="10">
        <v>0.0</v>
      </c>
      <c r="J410" s="10">
        <v>0.0</v>
      </c>
      <c r="K410" s="5" t="b">
        <v>0</v>
      </c>
      <c r="L410" s="5" t="b">
        <v>1</v>
      </c>
    </row>
    <row r="411">
      <c r="A411" s="14" t="str">
        <f t="shared" si="1"/>
        <v/>
      </c>
      <c r="B411" s="15" t="str">
        <f>IF($C411="","",IF(ROW()=7,Input!$C$3,C410))</f>
        <v/>
      </c>
      <c r="C411" s="6"/>
      <c r="D411" s="6"/>
      <c r="E411" s="10"/>
      <c r="G411" s="6"/>
      <c r="H411" s="6"/>
      <c r="I411" s="10">
        <v>0.0</v>
      </c>
      <c r="J411" s="10">
        <v>0.0</v>
      </c>
      <c r="K411" s="5" t="b">
        <v>0</v>
      </c>
      <c r="L411" s="5" t="b">
        <v>1</v>
      </c>
    </row>
    <row r="412">
      <c r="A412" s="14" t="str">
        <f t="shared" si="1"/>
        <v/>
      </c>
      <c r="B412" s="15" t="str">
        <f>IF($C412="","",IF(ROW()=7,Input!$C$3,C411))</f>
        <v/>
      </c>
      <c r="C412" s="6"/>
      <c r="D412" s="6"/>
      <c r="E412" s="10"/>
      <c r="G412" s="6"/>
      <c r="H412" s="6"/>
      <c r="I412" s="10">
        <v>0.0</v>
      </c>
      <c r="J412" s="10">
        <v>0.0</v>
      </c>
      <c r="K412" s="5" t="b">
        <v>0</v>
      </c>
      <c r="L412" s="5" t="b">
        <v>1</v>
      </c>
    </row>
    <row r="413">
      <c r="A413" s="14" t="str">
        <f t="shared" si="1"/>
        <v/>
      </c>
      <c r="B413" s="15" t="str">
        <f>IF($C413="","",IF(ROW()=7,Input!$C$3,C412))</f>
        <v/>
      </c>
      <c r="C413" s="6"/>
      <c r="D413" s="6"/>
      <c r="E413" s="10"/>
      <c r="G413" s="6"/>
      <c r="H413" s="6"/>
      <c r="I413" s="10">
        <v>0.0</v>
      </c>
      <c r="J413" s="10">
        <v>0.0</v>
      </c>
      <c r="K413" s="5" t="b">
        <v>0</v>
      </c>
      <c r="L413" s="5" t="b">
        <v>1</v>
      </c>
    </row>
    <row r="414">
      <c r="A414" s="14" t="str">
        <f t="shared" si="1"/>
        <v/>
      </c>
      <c r="B414" s="15" t="str">
        <f>IF($C414="","",IF(ROW()=7,Input!$C$3,C413))</f>
        <v/>
      </c>
      <c r="C414" s="6"/>
      <c r="D414" s="6"/>
      <c r="E414" s="10"/>
      <c r="G414" s="6"/>
      <c r="H414" s="6"/>
      <c r="I414" s="10">
        <v>0.0</v>
      </c>
      <c r="J414" s="10">
        <v>0.0</v>
      </c>
      <c r="K414" s="5" t="b">
        <v>0</v>
      </c>
      <c r="L414" s="5" t="b">
        <v>1</v>
      </c>
    </row>
    <row r="415">
      <c r="A415" s="14" t="str">
        <f t="shared" si="1"/>
        <v/>
      </c>
      <c r="B415" s="15" t="str">
        <f>IF($C415="","",IF(ROW()=7,Input!$C$3,C414))</f>
        <v/>
      </c>
      <c r="C415" s="6"/>
      <c r="D415" s="6"/>
      <c r="E415" s="10"/>
      <c r="G415" s="6"/>
      <c r="H415" s="6"/>
      <c r="I415" s="10">
        <v>0.0</v>
      </c>
      <c r="J415" s="10">
        <v>0.0</v>
      </c>
      <c r="K415" s="5" t="b">
        <v>0</v>
      </c>
      <c r="L415" s="5" t="b">
        <v>1</v>
      </c>
    </row>
    <row r="416">
      <c r="A416" s="14" t="str">
        <f t="shared" si="1"/>
        <v/>
      </c>
      <c r="B416" s="15" t="str">
        <f>IF($C416="","",IF(ROW()=7,Input!$C$3,C415))</f>
        <v/>
      </c>
      <c r="C416" s="6"/>
      <c r="D416" s="6"/>
      <c r="E416" s="10"/>
      <c r="G416" s="6"/>
      <c r="H416" s="6"/>
      <c r="I416" s="10">
        <v>0.0</v>
      </c>
      <c r="J416" s="10">
        <v>0.0</v>
      </c>
      <c r="K416" s="5" t="b">
        <v>0</v>
      </c>
      <c r="L416" s="5" t="b">
        <v>1</v>
      </c>
    </row>
    <row r="417">
      <c r="A417" s="14" t="str">
        <f t="shared" si="1"/>
        <v/>
      </c>
      <c r="B417" s="15" t="str">
        <f>IF($C417="","",IF(ROW()=7,Input!$C$3,C416))</f>
        <v/>
      </c>
      <c r="C417" s="6"/>
      <c r="D417" s="6"/>
      <c r="E417" s="10"/>
      <c r="G417" s="6"/>
      <c r="H417" s="6"/>
      <c r="I417" s="10">
        <v>0.0</v>
      </c>
      <c r="J417" s="10">
        <v>0.0</v>
      </c>
      <c r="K417" s="5" t="b">
        <v>0</v>
      </c>
      <c r="L417" s="5" t="b">
        <v>1</v>
      </c>
    </row>
    <row r="418">
      <c r="A418" s="14" t="str">
        <f t="shared" si="1"/>
        <v/>
      </c>
      <c r="B418" s="15" t="str">
        <f>IF($C418="","",IF(ROW()=7,Input!$C$3,C417))</f>
        <v/>
      </c>
      <c r="C418" s="6"/>
      <c r="D418" s="6"/>
      <c r="E418" s="10"/>
      <c r="G418" s="6"/>
      <c r="H418" s="6"/>
      <c r="I418" s="10">
        <v>0.0</v>
      </c>
      <c r="J418" s="10">
        <v>0.0</v>
      </c>
      <c r="K418" s="5" t="b">
        <v>0</v>
      </c>
      <c r="L418" s="5" t="b">
        <v>1</v>
      </c>
    </row>
    <row r="419">
      <c r="A419" s="14" t="str">
        <f t="shared" si="1"/>
        <v/>
      </c>
      <c r="B419" s="15" t="str">
        <f>IF($C419="","",IF(ROW()=7,Input!$C$3,C418))</f>
        <v/>
      </c>
      <c r="C419" s="6"/>
      <c r="D419" s="6"/>
      <c r="E419" s="10"/>
      <c r="G419" s="6"/>
      <c r="H419" s="6"/>
      <c r="I419" s="10">
        <v>0.0</v>
      </c>
      <c r="J419" s="10">
        <v>0.0</v>
      </c>
      <c r="K419" s="5" t="b">
        <v>0</v>
      </c>
      <c r="L419" s="5" t="b">
        <v>1</v>
      </c>
    </row>
    <row r="420">
      <c r="A420" s="14" t="str">
        <f t="shared" si="1"/>
        <v/>
      </c>
      <c r="B420" s="15" t="str">
        <f>IF($C420="","",IF(ROW()=7,Input!$C$3,C419))</f>
        <v/>
      </c>
      <c r="C420" s="6"/>
      <c r="D420" s="6"/>
      <c r="E420" s="10"/>
      <c r="G420" s="6"/>
      <c r="H420" s="6"/>
      <c r="I420" s="10">
        <v>0.0</v>
      </c>
      <c r="J420" s="10">
        <v>0.0</v>
      </c>
      <c r="K420" s="5" t="b">
        <v>0</v>
      </c>
      <c r="L420" s="5" t="b">
        <v>1</v>
      </c>
    </row>
    <row r="421">
      <c r="A421" s="14" t="str">
        <f t="shared" si="1"/>
        <v/>
      </c>
      <c r="B421" s="15" t="str">
        <f>IF($C421="","",IF(ROW()=7,Input!$C$3,C420))</f>
        <v/>
      </c>
      <c r="C421" s="6"/>
      <c r="D421" s="6"/>
      <c r="E421" s="10"/>
      <c r="G421" s="6"/>
      <c r="H421" s="6"/>
      <c r="I421" s="10">
        <v>0.0</v>
      </c>
      <c r="J421" s="10">
        <v>0.0</v>
      </c>
      <c r="K421" s="5" t="b">
        <v>0</v>
      </c>
      <c r="L421" s="5" t="b">
        <v>1</v>
      </c>
    </row>
    <row r="422">
      <c r="A422" s="14" t="str">
        <f t="shared" si="1"/>
        <v/>
      </c>
      <c r="B422" s="15" t="str">
        <f>IF($C422="","",IF(ROW()=7,Input!$C$3,C421))</f>
        <v/>
      </c>
      <c r="C422" s="6"/>
      <c r="D422" s="6"/>
      <c r="E422" s="10"/>
      <c r="G422" s="6"/>
      <c r="H422" s="6"/>
      <c r="I422" s="10">
        <v>0.0</v>
      </c>
      <c r="J422" s="10">
        <v>0.0</v>
      </c>
      <c r="K422" s="5" t="b">
        <v>0</v>
      </c>
      <c r="L422" s="5" t="b">
        <v>1</v>
      </c>
    </row>
    <row r="423">
      <c r="A423" s="14" t="str">
        <f t="shared" si="1"/>
        <v/>
      </c>
      <c r="B423" s="15" t="str">
        <f>IF($C423="","",IF(ROW()=7,Input!$C$3,C422))</f>
        <v/>
      </c>
      <c r="C423" s="6"/>
      <c r="D423" s="6"/>
      <c r="E423" s="10"/>
      <c r="G423" s="6"/>
      <c r="H423" s="6"/>
      <c r="I423" s="10">
        <v>0.0</v>
      </c>
      <c r="J423" s="10">
        <v>0.0</v>
      </c>
      <c r="K423" s="5" t="b">
        <v>0</v>
      </c>
      <c r="L423" s="5" t="b">
        <v>1</v>
      </c>
    </row>
    <row r="424">
      <c r="A424" s="14" t="str">
        <f t="shared" si="1"/>
        <v/>
      </c>
      <c r="B424" s="15" t="str">
        <f>IF($C424="","",IF(ROW()=7,Input!$C$3,C423))</f>
        <v/>
      </c>
      <c r="C424" s="6"/>
      <c r="D424" s="6"/>
      <c r="E424" s="10"/>
      <c r="G424" s="6"/>
      <c r="H424" s="6"/>
      <c r="I424" s="10">
        <v>0.0</v>
      </c>
      <c r="J424" s="10">
        <v>0.0</v>
      </c>
      <c r="K424" s="5" t="b">
        <v>0</v>
      </c>
      <c r="L424" s="5" t="b">
        <v>1</v>
      </c>
    </row>
    <row r="425">
      <c r="A425" s="14" t="str">
        <f t="shared" si="1"/>
        <v/>
      </c>
      <c r="B425" s="15" t="str">
        <f>IF($C425="","",IF(ROW()=7,Input!$C$3,C424))</f>
        <v/>
      </c>
      <c r="C425" s="6"/>
      <c r="D425" s="6"/>
      <c r="E425" s="10"/>
      <c r="G425" s="6"/>
      <c r="H425" s="6"/>
      <c r="I425" s="10">
        <v>0.0</v>
      </c>
      <c r="J425" s="10">
        <v>0.0</v>
      </c>
      <c r="K425" s="5" t="b">
        <v>0</v>
      </c>
      <c r="L425" s="5" t="b">
        <v>1</v>
      </c>
    </row>
    <row r="426">
      <c r="A426" s="14" t="str">
        <f t="shared" si="1"/>
        <v/>
      </c>
      <c r="B426" s="15" t="str">
        <f>IF($C426="","",IF(ROW()=7,Input!$C$3,C425))</f>
        <v/>
      </c>
      <c r="C426" s="6"/>
      <c r="D426" s="6"/>
      <c r="E426" s="10"/>
      <c r="G426" s="6"/>
      <c r="H426" s="6"/>
      <c r="I426" s="10">
        <v>0.0</v>
      </c>
      <c r="J426" s="10">
        <v>0.0</v>
      </c>
      <c r="K426" s="5" t="b">
        <v>0</v>
      </c>
      <c r="L426" s="5" t="b">
        <v>1</v>
      </c>
    </row>
    <row r="427">
      <c r="A427" s="14" t="str">
        <f t="shared" si="1"/>
        <v/>
      </c>
      <c r="B427" s="15" t="str">
        <f>IF($C427="","",IF(ROW()=7,Input!$C$3,C426))</f>
        <v/>
      </c>
      <c r="C427" s="6"/>
      <c r="D427" s="6"/>
      <c r="E427" s="10"/>
      <c r="G427" s="6"/>
      <c r="H427" s="6"/>
      <c r="I427" s="10">
        <v>0.0</v>
      </c>
      <c r="J427" s="10">
        <v>0.0</v>
      </c>
      <c r="K427" s="5" t="b">
        <v>0</v>
      </c>
      <c r="L427" s="5" t="b">
        <v>1</v>
      </c>
    </row>
    <row r="428">
      <c r="A428" s="14" t="str">
        <f t="shared" si="1"/>
        <v/>
      </c>
      <c r="B428" s="15" t="str">
        <f>IF($C428="","",IF(ROW()=7,Input!$C$3,C427))</f>
        <v/>
      </c>
      <c r="C428" s="6"/>
      <c r="D428" s="6"/>
      <c r="E428" s="10"/>
      <c r="G428" s="6"/>
      <c r="H428" s="6"/>
      <c r="I428" s="10">
        <v>0.0</v>
      </c>
      <c r="J428" s="10">
        <v>0.0</v>
      </c>
      <c r="K428" s="5" t="b">
        <v>0</v>
      </c>
      <c r="L428" s="5" t="b">
        <v>1</v>
      </c>
    </row>
    <row r="429">
      <c r="A429" s="14" t="str">
        <f t="shared" si="1"/>
        <v/>
      </c>
      <c r="B429" s="15" t="str">
        <f>IF($C429="","",IF(ROW()=7,Input!$C$3,C428))</f>
        <v/>
      </c>
      <c r="C429" s="6"/>
      <c r="D429" s="6"/>
      <c r="E429" s="10"/>
      <c r="G429" s="6"/>
      <c r="H429" s="6"/>
      <c r="I429" s="10">
        <v>0.0</v>
      </c>
      <c r="J429" s="10">
        <v>0.0</v>
      </c>
      <c r="K429" s="5" t="b">
        <v>0</v>
      </c>
      <c r="L429" s="5" t="b">
        <v>1</v>
      </c>
    </row>
    <row r="430">
      <c r="A430" s="14" t="str">
        <f t="shared" si="1"/>
        <v/>
      </c>
      <c r="B430" s="15" t="str">
        <f>IF($C430="","",IF(ROW()=7,Input!$C$3,C429))</f>
        <v/>
      </c>
      <c r="C430" s="6"/>
      <c r="D430" s="6"/>
      <c r="E430" s="10"/>
      <c r="G430" s="6"/>
      <c r="H430" s="6"/>
      <c r="I430" s="10">
        <v>0.0</v>
      </c>
      <c r="J430" s="10">
        <v>0.0</v>
      </c>
      <c r="K430" s="5" t="b">
        <v>0</v>
      </c>
      <c r="L430" s="5" t="b">
        <v>1</v>
      </c>
    </row>
    <row r="431">
      <c r="A431" s="14" t="str">
        <f t="shared" si="1"/>
        <v/>
      </c>
      <c r="B431" s="15" t="str">
        <f>IF($C431="","",IF(ROW()=7,Input!$C$3,C430))</f>
        <v/>
      </c>
      <c r="C431" s="6"/>
      <c r="D431" s="6"/>
      <c r="E431" s="10"/>
      <c r="G431" s="6"/>
      <c r="H431" s="6"/>
      <c r="I431" s="10">
        <v>0.0</v>
      </c>
      <c r="J431" s="10">
        <v>0.0</v>
      </c>
      <c r="K431" s="5" t="b">
        <v>0</v>
      </c>
      <c r="L431" s="5" t="b">
        <v>1</v>
      </c>
    </row>
    <row r="432">
      <c r="A432" s="14" t="str">
        <f t="shared" si="1"/>
        <v/>
      </c>
      <c r="B432" s="15" t="str">
        <f>IF($C432="","",IF(ROW()=7,Input!$C$3,C431))</f>
        <v/>
      </c>
      <c r="C432" s="6"/>
      <c r="D432" s="6"/>
      <c r="E432" s="10"/>
      <c r="G432" s="6"/>
      <c r="H432" s="6"/>
      <c r="I432" s="10">
        <v>0.0</v>
      </c>
      <c r="J432" s="10">
        <v>0.0</v>
      </c>
      <c r="K432" s="5" t="b">
        <v>0</v>
      </c>
      <c r="L432" s="5" t="b">
        <v>1</v>
      </c>
    </row>
    <row r="433">
      <c r="A433" s="14" t="str">
        <f t="shared" si="1"/>
        <v/>
      </c>
      <c r="B433" s="15" t="str">
        <f>IF($C433="","",IF(ROW()=7,Input!$C$3,C432))</f>
        <v/>
      </c>
      <c r="C433" s="6"/>
      <c r="D433" s="6"/>
      <c r="E433" s="10"/>
      <c r="G433" s="6"/>
      <c r="H433" s="6"/>
      <c r="I433" s="10">
        <v>0.0</v>
      </c>
      <c r="J433" s="10">
        <v>0.0</v>
      </c>
      <c r="K433" s="5" t="b">
        <v>0</v>
      </c>
      <c r="L433" s="5" t="b">
        <v>1</v>
      </c>
    </row>
    <row r="434">
      <c r="A434" s="14" t="str">
        <f t="shared" si="1"/>
        <v/>
      </c>
      <c r="B434" s="15" t="str">
        <f>IF($C434="","",IF(ROW()=7,Input!$C$3,C433))</f>
        <v/>
      </c>
      <c r="C434" s="6"/>
      <c r="D434" s="6"/>
      <c r="E434" s="10"/>
      <c r="G434" s="6"/>
      <c r="H434" s="6"/>
      <c r="I434" s="10">
        <v>0.0</v>
      </c>
      <c r="J434" s="10">
        <v>0.0</v>
      </c>
      <c r="K434" s="5" t="b">
        <v>0</v>
      </c>
      <c r="L434" s="5" t="b">
        <v>1</v>
      </c>
    </row>
    <row r="435">
      <c r="A435" s="14" t="str">
        <f t="shared" si="1"/>
        <v/>
      </c>
      <c r="B435" s="15" t="str">
        <f>IF($C435="","",IF(ROW()=7,Input!$C$3,C434))</f>
        <v/>
      </c>
      <c r="C435" s="6"/>
      <c r="D435" s="6"/>
      <c r="E435" s="10"/>
      <c r="G435" s="6"/>
      <c r="H435" s="6"/>
      <c r="I435" s="10">
        <v>0.0</v>
      </c>
      <c r="J435" s="10">
        <v>0.0</v>
      </c>
      <c r="K435" s="5" t="b">
        <v>0</v>
      </c>
      <c r="L435" s="5" t="b">
        <v>1</v>
      </c>
    </row>
    <row r="436">
      <c r="A436" s="14" t="str">
        <f t="shared" si="1"/>
        <v/>
      </c>
      <c r="B436" s="15" t="str">
        <f>IF($C436="","",IF(ROW()=7,Input!$C$3,C435))</f>
        <v/>
      </c>
      <c r="C436" s="6"/>
      <c r="D436" s="6"/>
      <c r="E436" s="10"/>
      <c r="G436" s="6"/>
      <c r="H436" s="6"/>
      <c r="I436" s="10">
        <v>0.0</v>
      </c>
      <c r="J436" s="10">
        <v>0.0</v>
      </c>
      <c r="K436" s="5" t="b">
        <v>0</v>
      </c>
      <c r="L436" s="5" t="b">
        <v>1</v>
      </c>
    </row>
    <row r="437">
      <c r="A437" s="14" t="str">
        <f t="shared" si="1"/>
        <v/>
      </c>
      <c r="B437" s="15" t="str">
        <f>IF($C437="","",IF(ROW()=7,Input!$C$3,C436))</f>
        <v/>
      </c>
      <c r="C437" s="6"/>
      <c r="D437" s="6"/>
      <c r="E437" s="10"/>
      <c r="G437" s="6"/>
      <c r="H437" s="6"/>
      <c r="I437" s="10">
        <v>0.0</v>
      </c>
      <c r="J437" s="10">
        <v>0.0</v>
      </c>
      <c r="K437" s="5" t="b">
        <v>0</v>
      </c>
      <c r="L437" s="5" t="b">
        <v>1</v>
      </c>
    </row>
    <row r="438">
      <c r="A438" s="14" t="str">
        <f t="shared" si="1"/>
        <v/>
      </c>
      <c r="B438" s="15" t="str">
        <f>IF($C438="","",IF(ROW()=7,Input!$C$3,C437))</f>
        <v/>
      </c>
      <c r="C438" s="6"/>
      <c r="D438" s="6"/>
      <c r="E438" s="10"/>
      <c r="G438" s="6"/>
      <c r="H438" s="6"/>
      <c r="I438" s="10">
        <v>0.0</v>
      </c>
      <c r="J438" s="10">
        <v>0.0</v>
      </c>
      <c r="K438" s="5" t="b">
        <v>0</v>
      </c>
      <c r="L438" s="5" t="b">
        <v>1</v>
      </c>
    </row>
    <row r="439">
      <c r="A439" s="14" t="str">
        <f t="shared" si="1"/>
        <v/>
      </c>
      <c r="B439" s="15" t="str">
        <f>IF($C439="","",IF(ROW()=7,Input!$C$3,C438))</f>
        <v/>
      </c>
      <c r="C439" s="6"/>
      <c r="D439" s="6"/>
      <c r="E439" s="10"/>
      <c r="G439" s="6"/>
      <c r="H439" s="6"/>
      <c r="I439" s="10">
        <v>0.0</v>
      </c>
      <c r="J439" s="10">
        <v>0.0</v>
      </c>
      <c r="K439" s="5" t="b">
        <v>0</v>
      </c>
      <c r="L439" s="5" t="b">
        <v>1</v>
      </c>
    </row>
    <row r="440">
      <c r="A440" s="14" t="str">
        <f t="shared" si="1"/>
        <v/>
      </c>
      <c r="B440" s="15" t="str">
        <f>IF($C440="","",IF(ROW()=7,Input!$C$3,C439))</f>
        <v/>
      </c>
      <c r="C440" s="6"/>
      <c r="D440" s="6"/>
      <c r="E440" s="10"/>
      <c r="G440" s="6"/>
      <c r="H440" s="6"/>
      <c r="I440" s="10">
        <v>0.0</v>
      </c>
      <c r="J440" s="10">
        <v>0.0</v>
      </c>
      <c r="K440" s="5" t="b">
        <v>0</v>
      </c>
      <c r="L440" s="5" t="b">
        <v>1</v>
      </c>
    </row>
    <row r="441">
      <c r="A441" s="14" t="str">
        <f t="shared" si="1"/>
        <v/>
      </c>
      <c r="B441" s="15" t="str">
        <f>IF($C441="","",IF(ROW()=7,Input!$C$3,C440))</f>
        <v/>
      </c>
      <c r="C441" s="6"/>
      <c r="D441" s="6"/>
      <c r="E441" s="10"/>
      <c r="G441" s="6"/>
      <c r="H441" s="6"/>
      <c r="I441" s="10">
        <v>0.0</v>
      </c>
      <c r="J441" s="10">
        <v>0.0</v>
      </c>
      <c r="K441" s="5" t="b">
        <v>0</v>
      </c>
      <c r="L441" s="5" t="b">
        <v>1</v>
      </c>
    </row>
    <row r="442">
      <c r="A442" s="14" t="str">
        <f t="shared" si="1"/>
        <v/>
      </c>
      <c r="B442" s="15" t="str">
        <f>IF($C442="","",IF(ROW()=7,Input!$C$3,C441))</f>
        <v/>
      </c>
      <c r="C442" s="6"/>
      <c r="D442" s="6"/>
      <c r="E442" s="10"/>
      <c r="G442" s="6"/>
      <c r="H442" s="6"/>
      <c r="I442" s="10">
        <v>0.0</v>
      </c>
      <c r="J442" s="10">
        <v>0.0</v>
      </c>
      <c r="K442" s="5" t="b">
        <v>0</v>
      </c>
      <c r="L442" s="5" t="b">
        <v>1</v>
      </c>
    </row>
    <row r="443">
      <c r="A443" s="14" t="str">
        <f t="shared" si="1"/>
        <v/>
      </c>
      <c r="B443" s="15" t="str">
        <f>IF($C443="","",IF(ROW()=7,Input!$C$3,C442))</f>
        <v/>
      </c>
      <c r="C443" s="6"/>
      <c r="D443" s="6"/>
      <c r="E443" s="10"/>
      <c r="G443" s="6"/>
      <c r="H443" s="6"/>
      <c r="I443" s="10">
        <v>0.0</v>
      </c>
      <c r="J443" s="10">
        <v>0.0</v>
      </c>
      <c r="K443" s="5" t="b">
        <v>0</v>
      </c>
      <c r="L443" s="5" t="b">
        <v>1</v>
      </c>
    </row>
    <row r="444">
      <c r="A444" s="14" t="str">
        <f t="shared" si="1"/>
        <v/>
      </c>
      <c r="B444" s="15" t="str">
        <f>IF($C444="","",IF(ROW()=7,Input!$C$3,C443))</f>
        <v/>
      </c>
      <c r="C444" s="6"/>
      <c r="D444" s="6"/>
      <c r="E444" s="10"/>
      <c r="G444" s="6"/>
      <c r="H444" s="6"/>
      <c r="I444" s="10">
        <v>0.0</v>
      </c>
      <c r="J444" s="10">
        <v>0.0</v>
      </c>
      <c r="K444" s="5" t="b">
        <v>0</v>
      </c>
      <c r="L444" s="5" t="b">
        <v>1</v>
      </c>
    </row>
    <row r="445">
      <c r="A445" s="14" t="str">
        <f t="shared" si="1"/>
        <v/>
      </c>
      <c r="B445" s="15" t="str">
        <f>IF($C445="","",IF(ROW()=7,Input!$C$3,C444))</f>
        <v/>
      </c>
      <c r="C445" s="6"/>
      <c r="D445" s="6"/>
      <c r="E445" s="10"/>
      <c r="G445" s="6"/>
      <c r="H445" s="6"/>
      <c r="I445" s="10">
        <v>0.0</v>
      </c>
      <c r="J445" s="10">
        <v>0.0</v>
      </c>
      <c r="K445" s="5" t="b">
        <v>0</v>
      </c>
      <c r="L445" s="5" t="b">
        <v>1</v>
      </c>
    </row>
    <row r="446">
      <c r="A446" s="14" t="str">
        <f t="shared" si="1"/>
        <v/>
      </c>
      <c r="B446" s="15" t="str">
        <f>IF($C446="","",IF(ROW()=7,Input!$C$3,C445))</f>
        <v/>
      </c>
      <c r="C446" s="6"/>
      <c r="D446" s="6"/>
      <c r="E446" s="10"/>
      <c r="G446" s="6"/>
      <c r="H446" s="6"/>
      <c r="I446" s="10">
        <v>0.0</v>
      </c>
      <c r="J446" s="10">
        <v>0.0</v>
      </c>
      <c r="K446" s="5" t="b">
        <v>0</v>
      </c>
      <c r="L446" s="5" t="b">
        <v>1</v>
      </c>
    </row>
    <row r="447">
      <c r="A447" s="14" t="str">
        <f t="shared" si="1"/>
        <v/>
      </c>
      <c r="B447" s="15" t="str">
        <f>IF($C447="","",IF(ROW()=7,Input!$C$3,C446))</f>
        <v/>
      </c>
      <c r="C447" s="6"/>
      <c r="D447" s="6"/>
      <c r="E447" s="10"/>
      <c r="G447" s="6"/>
      <c r="H447" s="6"/>
      <c r="I447" s="10">
        <v>0.0</v>
      </c>
      <c r="J447" s="10">
        <v>0.0</v>
      </c>
      <c r="K447" s="5" t="b">
        <v>0</v>
      </c>
      <c r="L447" s="5" t="b">
        <v>1</v>
      </c>
    </row>
    <row r="448">
      <c r="A448" s="14" t="str">
        <f t="shared" si="1"/>
        <v/>
      </c>
      <c r="B448" s="15" t="str">
        <f>IF($C448="","",IF(ROW()=7,Input!$C$3,C447))</f>
        <v/>
      </c>
      <c r="C448" s="6"/>
      <c r="D448" s="6"/>
      <c r="E448" s="10"/>
      <c r="G448" s="6"/>
      <c r="H448" s="6"/>
      <c r="I448" s="10">
        <v>0.0</v>
      </c>
      <c r="J448" s="10">
        <v>0.0</v>
      </c>
      <c r="K448" s="5" t="b">
        <v>0</v>
      </c>
      <c r="L448" s="5" t="b">
        <v>1</v>
      </c>
    </row>
    <row r="449">
      <c r="A449" s="14" t="str">
        <f t="shared" si="1"/>
        <v/>
      </c>
      <c r="B449" s="15" t="str">
        <f>IF($C449="","",IF(ROW()=7,Input!$C$3,C448))</f>
        <v/>
      </c>
      <c r="C449" s="6"/>
      <c r="D449" s="6"/>
      <c r="E449" s="10"/>
      <c r="G449" s="6"/>
      <c r="H449" s="6"/>
      <c r="I449" s="10">
        <v>0.0</v>
      </c>
      <c r="J449" s="10">
        <v>0.0</v>
      </c>
      <c r="K449" s="5" t="b">
        <v>0</v>
      </c>
      <c r="L449" s="5" t="b">
        <v>1</v>
      </c>
    </row>
    <row r="450">
      <c r="A450" s="14" t="str">
        <f t="shared" si="1"/>
        <v/>
      </c>
      <c r="B450" s="15" t="str">
        <f>IF($C450="","",IF(ROW()=7,Input!$C$3,C449))</f>
        <v/>
      </c>
      <c r="C450" s="6"/>
      <c r="D450" s="6"/>
      <c r="E450" s="10"/>
      <c r="G450" s="6"/>
      <c r="H450" s="6"/>
      <c r="I450" s="10">
        <v>0.0</v>
      </c>
      <c r="J450" s="10">
        <v>0.0</v>
      </c>
      <c r="K450" s="5" t="b">
        <v>0</v>
      </c>
      <c r="L450" s="5" t="b">
        <v>1</v>
      </c>
    </row>
    <row r="451">
      <c r="A451" s="14" t="str">
        <f t="shared" si="1"/>
        <v/>
      </c>
      <c r="B451" s="15" t="str">
        <f>IF($C451="","",IF(ROW()=7,Input!$C$3,C450))</f>
        <v/>
      </c>
      <c r="C451" s="6"/>
      <c r="D451" s="6"/>
      <c r="E451" s="10"/>
      <c r="G451" s="6"/>
      <c r="H451" s="6"/>
      <c r="I451" s="10">
        <v>0.0</v>
      </c>
      <c r="J451" s="10">
        <v>0.0</v>
      </c>
      <c r="K451" s="5" t="b">
        <v>0</v>
      </c>
      <c r="L451" s="5" t="b">
        <v>1</v>
      </c>
    </row>
    <row r="452">
      <c r="A452" s="14" t="str">
        <f t="shared" si="1"/>
        <v/>
      </c>
      <c r="B452" s="15" t="str">
        <f>IF($C452="","",IF(ROW()=7,Input!$C$3,C451))</f>
        <v/>
      </c>
      <c r="C452" s="6"/>
      <c r="D452" s="6"/>
      <c r="E452" s="10"/>
      <c r="G452" s="6"/>
      <c r="H452" s="6"/>
      <c r="I452" s="10">
        <v>0.0</v>
      </c>
      <c r="J452" s="10">
        <v>0.0</v>
      </c>
      <c r="K452" s="5" t="b">
        <v>0</v>
      </c>
      <c r="L452" s="5" t="b">
        <v>1</v>
      </c>
    </row>
    <row r="453">
      <c r="A453" s="14" t="str">
        <f t="shared" si="1"/>
        <v/>
      </c>
      <c r="B453" s="15" t="str">
        <f>IF($C453="","",IF(ROW()=7,Input!$C$3,C452))</f>
        <v/>
      </c>
      <c r="C453" s="6"/>
      <c r="D453" s="6"/>
      <c r="E453" s="10"/>
      <c r="G453" s="6"/>
      <c r="H453" s="6"/>
      <c r="I453" s="10">
        <v>0.0</v>
      </c>
      <c r="J453" s="10">
        <v>0.0</v>
      </c>
      <c r="K453" s="5" t="b">
        <v>0</v>
      </c>
      <c r="L453" s="5" t="b">
        <v>1</v>
      </c>
    </row>
    <row r="454">
      <c r="A454" s="14" t="str">
        <f t="shared" si="1"/>
        <v/>
      </c>
      <c r="B454" s="15" t="str">
        <f>IF($C454="","",IF(ROW()=7,Input!$C$3,C453))</f>
        <v/>
      </c>
      <c r="C454" s="6"/>
      <c r="D454" s="6"/>
      <c r="E454" s="10"/>
      <c r="G454" s="6"/>
      <c r="H454" s="6"/>
      <c r="I454" s="10">
        <v>0.0</v>
      </c>
      <c r="J454" s="10">
        <v>0.0</v>
      </c>
      <c r="K454" s="5" t="b">
        <v>0</v>
      </c>
      <c r="L454" s="5" t="b">
        <v>1</v>
      </c>
    </row>
    <row r="455">
      <c r="A455" s="14" t="str">
        <f t="shared" si="1"/>
        <v/>
      </c>
      <c r="B455" s="15" t="str">
        <f>IF($C455="","",IF(ROW()=7,Input!$C$3,C454))</f>
        <v/>
      </c>
      <c r="C455" s="6"/>
      <c r="D455" s="6"/>
      <c r="E455" s="10"/>
      <c r="G455" s="6"/>
      <c r="H455" s="6"/>
      <c r="I455" s="10">
        <v>0.0</v>
      </c>
      <c r="J455" s="10">
        <v>0.0</v>
      </c>
      <c r="K455" s="5" t="b">
        <v>0</v>
      </c>
      <c r="L455" s="5" t="b">
        <v>1</v>
      </c>
    </row>
    <row r="456">
      <c r="A456" s="14" t="str">
        <f t="shared" si="1"/>
        <v/>
      </c>
      <c r="B456" s="15" t="str">
        <f>IF($C456="","",IF(ROW()=7,Input!$C$3,C455))</f>
        <v/>
      </c>
      <c r="C456" s="6"/>
      <c r="D456" s="6"/>
      <c r="E456" s="10"/>
      <c r="G456" s="6"/>
      <c r="H456" s="6"/>
      <c r="I456" s="10">
        <v>0.0</v>
      </c>
      <c r="J456" s="10">
        <v>0.0</v>
      </c>
      <c r="K456" s="5" t="b">
        <v>0</v>
      </c>
      <c r="L456" s="5" t="b">
        <v>1</v>
      </c>
    </row>
    <row r="457">
      <c r="A457" s="14" t="str">
        <f t="shared" si="1"/>
        <v/>
      </c>
      <c r="B457" s="15" t="str">
        <f>IF($C457="","",IF(ROW()=7,Input!$C$3,C456))</f>
        <v/>
      </c>
      <c r="C457" s="6"/>
      <c r="D457" s="6"/>
      <c r="E457" s="10"/>
      <c r="G457" s="6"/>
      <c r="H457" s="6"/>
      <c r="I457" s="10">
        <v>0.0</v>
      </c>
      <c r="J457" s="10">
        <v>0.0</v>
      </c>
      <c r="K457" s="5" t="b">
        <v>0</v>
      </c>
      <c r="L457" s="5" t="b">
        <v>1</v>
      </c>
    </row>
    <row r="458">
      <c r="A458" s="14" t="str">
        <f t="shared" si="1"/>
        <v/>
      </c>
      <c r="B458" s="15" t="str">
        <f>IF($C458="","",IF(ROW()=7,Input!$C$3,C457))</f>
        <v/>
      </c>
      <c r="C458" s="6"/>
      <c r="D458" s="6"/>
      <c r="E458" s="10"/>
      <c r="G458" s="6"/>
      <c r="H458" s="6"/>
      <c r="I458" s="10">
        <v>0.0</v>
      </c>
      <c r="J458" s="10">
        <v>0.0</v>
      </c>
      <c r="K458" s="5" t="b">
        <v>0</v>
      </c>
      <c r="L458" s="5" t="b">
        <v>1</v>
      </c>
    </row>
    <row r="459">
      <c r="A459" s="14" t="str">
        <f t="shared" si="1"/>
        <v/>
      </c>
      <c r="B459" s="15" t="str">
        <f>IF($C459="","",IF(ROW()=7,Input!$C$3,C458))</f>
        <v/>
      </c>
      <c r="C459" s="6"/>
      <c r="D459" s="6"/>
      <c r="E459" s="10"/>
      <c r="G459" s="6"/>
      <c r="H459" s="6"/>
      <c r="I459" s="10">
        <v>0.0</v>
      </c>
      <c r="J459" s="10">
        <v>0.0</v>
      </c>
      <c r="K459" s="5" t="b">
        <v>0</v>
      </c>
      <c r="L459" s="5" t="b">
        <v>1</v>
      </c>
    </row>
    <row r="460">
      <c r="A460" s="14" t="str">
        <f t="shared" si="1"/>
        <v/>
      </c>
      <c r="B460" s="15" t="str">
        <f>IF($C460="","",IF(ROW()=7,Input!$C$3,C459))</f>
        <v/>
      </c>
      <c r="C460" s="6"/>
      <c r="D460" s="6"/>
      <c r="E460" s="10"/>
      <c r="G460" s="6"/>
      <c r="H460" s="6"/>
      <c r="I460" s="10">
        <v>0.0</v>
      </c>
      <c r="J460" s="10">
        <v>0.0</v>
      </c>
      <c r="K460" s="5" t="b">
        <v>0</v>
      </c>
      <c r="L460" s="5" t="b">
        <v>1</v>
      </c>
    </row>
    <row r="461">
      <c r="A461" s="14" t="str">
        <f t="shared" si="1"/>
        <v/>
      </c>
      <c r="B461" s="15" t="str">
        <f>IF($C461="","",IF(ROW()=7,Input!$C$3,C460))</f>
        <v/>
      </c>
      <c r="C461" s="6"/>
      <c r="D461" s="6"/>
      <c r="E461" s="10"/>
      <c r="G461" s="6"/>
      <c r="H461" s="6"/>
      <c r="I461" s="10">
        <v>0.0</v>
      </c>
      <c r="J461" s="10">
        <v>0.0</v>
      </c>
      <c r="K461" s="5" t="b">
        <v>0</v>
      </c>
      <c r="L461" s="5" t="b">
        <v>1</v>
      </c>
    </row>
    <row r="462">
      <c r="A462" s="14" t="str">
        <f t="shared" si="1"/>
        <v/>
      </c>
      <c r="B462" s="15" t="str">
        <f>IF($C462="","",IF(ROW()=7,Input!$C$3,C461))</f>
        <v/>
      </c>
      <c r="C462" s="6"/>
      <c r="D462" s="6"/>
      <c r="E462" s="10"/>
      <c r="G462" s="6"/>
      <c r="H462" s="6"/>
      <c r="I462" s="10">
        <v>0.0</v>
      </c>
      <c r="J462" s="10">
        <v>0.0</v>
      </c>
      <c r="K462" s="5" t="b">
        <v>0</v>
      </c>
      <c r="L462" s="5" t="b">
        <v>1</v>
      </c>
    </row>
    <row r="463">
      <c r="A463" s="14" t="str">
        <f t="shared" si="1"/>
        <v/>
      </c>
      <c r="B463" s="15" t="str">
        <f>IF($C463="","",IF(ROW()=7,Input!$C$3,C462))</f>
        <v/>
      </c>
      <c r="C463" s="6"/>
      <c r="D463" s="6"/>
      <c r="E463" s="10"/>
      <c r="G463" s="6"/>
      <c r="H463" s="6"/>
      <c r="I463" s="10">
        <v>0.0</v>
      </c>
      <c r="J463" s="10">
        <v>0.0</v>
      </c>
      <c r="K463" s="5" t="b">
        <v>0</v>
      </c>
      <c r="L463" s="5" t="b">
        <v>1</v>
      </c>
    </row>
    <row r="464">
      <c r="A464" s="14" t="str">
        <f t="shared" si="1"/>
        <v/>
      </c>
      <c r="B464" s="15" t="str">
        <f>IF($C464="","",IF(ROW()=7,Input!$C$3,C463))</f>
        <v/>
      </c>
      <c r="C464" s="6"/>
      <c r="D464" s="6"/>
      <c r="E464" s="10"/>
      <c r="G464" s="6"/>
      <c r="H464" s="6"/>
      <c r="I464" s="10">
        <v>0.0</v>
      </c>
      <c r="J464" s="10">
        <v>0.0</v>
      </c>
      <c r="K464" s="5" t="b">
        <v>0</v>
      </c>
      <c r="L464" s="5" t="b">
        <v>1</v>
      </c>
    </row>
    <row r="465">
      <c r="A465" s="14" t="str">
        <f t="shared" si="1"/>
        <v/>
      </c>
      <c r="B465" s="15" t="str">
        <f>IF($C465="","",IF(ROW()=7,Input!$C$3,C464))</f>
        <v/>
      </c>
      <c r="C465" s="6"/>
      <c r="D465" s="6"/>
      <c r="E465" s="10"/>
      <c r="G465" s="6"/>
      <c r="H465" s="6"/>
      <c r="I465" s="10">
        <v>0.0</v>
      </c>
      <c r="J465" s="10">
        <v>0.0</v>
      </c>
      <c r="K465" s="5" t="b">
        <v>0</v>
      </c>
      <c r="L465" s="5" t="b">
        <v>1</v>
      </c>
    </row>
    <row r="466">
      <c r="A466" s="14" t="str">
        <f t="shared" si="1"/>
        <v/>
      </c>
      <c r="B466" s="15" t="str">
        <f>IF($C466="","",IF(ROW()=7,Input!$C$3,C465))</f>
        <v/>
      </c>
      <c r="C466" s="6"/>
      <c r="D466" s="6"/>
      <c r="E466" s="10"/>
      <c r="G466" s="6"/>
      <c r="H466" s="6"/>
      <c r="I466" s="10">
        <v>0.0</v>
      </c>
      <c r="J466" s="10">
        <v>0.0</v>
      </c>
      <c r="K466" s="5" t="b">
        <v>0</v>
      </c>
      <c r="L466" s="5" t="b">
        <v>1</v>
      </c>
    </row>
    <row r="467">
      <c r="A467" s="14" t="str">
        <f t="shared" si="1"/>
        <v/>
      </c>
      <c r="B467" s="15" t="str">
        <f>IF($C467="","",IF(ROW()=7,Input!$C$3,C466))</f>
        <v/>
      </c>
      <c r="C467" s="6"/>
      <c r="D467" s="6"/>
      <c r="E467" s="10"/>
      <c r="G467" s="6"/>
      <c r="H467" s="6"/>
      <c r="I467" s="10">
        <v>0.0</v>
      </c>
      <c r="J467" s="10">
        <v>0.0</v>
      </c>
      <c r="K467" s="5" t="b">
        <v>0</v>
      </c>
      <c r="L467" s="5" t="b">
        <v>1</v>
      </c>
    </row>
    <row r="468">
      <c r="A468" s="14" t="str">
        <f t="shared" si="1"/>
        <v/>
      </c>
      <c r="B468" s="15" t="str">
        <f>IF($C468="","",IF(ROW()=7,Input!$C$3,C467))</f>
        <v/>
      </c>
      <c r="C468" s="6"/>
      <c r="D468" s="6"/>
      <c r="E468" s="10"/>
      <c r="G468" s="6"/>
      <c r="H468" s="6"/>
      <c r="I468" s="10">
        <v>0.0</v>
      </c>
      <c r="J468" s="10">
        <v>0.0</v>
      </c>
      <c r="K468" s="5" t="b">
        <v>0</v>
      </c>
      <c r="L468" s="5" t="b">
        <v>1</v>
      </c>
    </row>
    <row r="469">
      <c r="A469" s="14" t="str">
        <f t="shared" si="1"/>
        <v/>
      </c>
      <c r="B469" s="15" t="str">
        <f>IF($C469="","",IF(ROW()=7,Input!$C$3,C468))</f>
        <v/>
      </c>
      <c r="C469" s="6"/>
      <c r="D469" s="6"/>
      <c r="E469" s="10"/>
      <c r="G469" s="6"/>
      <c r="H469" s="6"/>
      <c r="I469" s="10">
        <v>0.0</v>
      </c>
      <c r="J469" s="10">
        <v>0.0</v>
      </c>
      <c r="K469" s="5" t="b">
        <v>0</v>
      </c>
      <c r="L469" s="5" t="b">
        <v>1</v>
      </c>
    </row>
    <row r="470">
      <c r="A470" s="14" t="str">
        <f t="shared" si="1"/>
        <v/>
      </c>
      <c r="B470" s="15" t="str">
        <f>IF($C470="","",IF(ROW()=7,Input!$C$3,C469))</f>
        <v/>
      </c>
      <c r="C470" s="6"/>
      <c r="D470" s="6"/>
      <c r="E470" s="10"/>
      <c r="G470" s="6"/>
      <c r="H470" s="6"/>
      <c r="I470" s="10">
        <v>0.0</v>
      </c>
      <c r="J470" s="10">
        <v>0.0</v>
      </c>
      <c r="K470" s="5" t="b">
        <v>0</v>
      </c>
      <c r="L470" s="5" t="b">
        <v>1</v>
      </c>
    </row>
    <row r="471">
      <c r="A471" s="14" t="str">
        <f t="shared" si="1"/>
        <v/>
      </c>
      <c r="B471" s="15" t="str">
        <f>IF($C471="","",IF(ROW()=7,Input!$C$3,C470))</f>
        <v/>
      </c>
      <c r="C471" s="6"/>
      <c r="D471" s="6"/>
      <c r="E471" s="10"/>
      <c r="G471" s="6"/>
      <c r="H471" s="6"/>
      <c r="I471" s="10">
        <v>0.0</v>
      </c>
      <c r="J471" s="10">
        <v>0.0</v>
      </c>
      <c r="K471" s="5" t="b">
        <v>0</v>
      </c>
      <c r="L471" s="5" t="b">
        <v>1</v>
      </c>
    </row>
    <row r="472">
      <c r="A472" s="14" t="str">
        <f t="shared" si="1"/>
        <v/>
      </c>
      <c r="B472" s="15" t="str">
        <f>IF($C472="","",IF(ROW()=7,Input!$C$3,C471))</f>
        <v/>
      </c>
      <c r="C472" s="6"/>
      <c r="D472" s="6"/>
      <c r="E472" s="10"/>
      <c r="G472" s="6"/>
      <c r="H472" s="6"/>
      <c r="I472" s="10">
        <v>0.0</v>
      </c>
      <c r="J472" s="10">
        <v>0.0</v>
      </c>
      <c r="K472" s="5" t="b">
        <v>0</v>
      </c>
      <c r="L472" s="5" t="b">
        <v>1</v>
      </c>
    </row>
    <row r="473">
      <c r="A473" s="14" t="str">
        <f t="shared" si="1"/>
        <v/>
      </c>
      <c r="B473" s="15" t="str">
        <f>IF($C473="","",IF(ROW()=7,Input!$C$3,C472))</f>
        <v/>
      </c>
      <c r="C473" s="6"/>
      <c r="D473" s="6"/>
      <c r="E473" s="10"/>
      <c r="G473" s="6"/>
      <c r="H473" s="6"/>
      <c r="I473" s="10">
        <v>0.0</v>
      </c>
      <c r="J473" s="10">
        <v>0.0</v>
      </c>
      <c r="K473" s="5" t="b">
        <v>0</v>
      </c>
      <c r="L473" s="5" t="b">
        <v>1</v>
      </c>
    </row>
    <row r="474">
      <c r="A474" s="14" t="str">
        <f t="shared" si="1"/>
        <v/>
      </c>
      <c r="B474" s="15" t="str">
        <f>IF($C474="","",IF(ROW()=7,Input!$C$3,C473))</f>
        <v/>
      </c>
      <c r="C474" s="6"/>
      <c r="D474" s="6"/>
      <c r="E474" s="10"/>
      <c r="G474" s="6"/>
      <c r="H474" s="6"/>
      <c r="I474" s="10">
        <v>0.0</v>
      </c>
      <c r="J474" s="10">
        <v>0.0</v>
      </c>
      <c r="K474" s="5" t="b">
        <v>0</v>
      </c>
      <c r="L474" s="5" t="b">
        <v>1</v>
      </c>
    </row>
    <row r="475">
      <c r="A475" s="14" t="str">
        <f t="shared" si="1"/>
        <v/>
      </c>
      <c r="B475" s="15" t="str">
        <f>IF($C475="","",IF(ROW()=7,Input!$C$3,C474))</f>
        <v/>
      </c>
      <c r="C475" s="6"/>
      <c r="D475" s="6"/>
      <c r="E475" s="10"/>
      <c r="G475" s="6"/>
      <c r="H475" s="6"/>
      <c r="I475" s="10">
        <v>0.0</v>
      </c>
      <c r="J475" s="10">
        <v>0.0</v>
      </c>
      <c r="K475" s="5" t="b">
        <v>0</v>
      </c>
      <c r="L475" s="5" t="b">
        <v>1</v>
      </c>
    </row>
    <row r="476">
      <c r="A476" s="14" t="str">
        <f t="shared" si="1"/>
        <v/>
      </c>
      <c r="B476" s="15" t="str">
        <f>IF($C476="","",IF(ROW()=7,Input!$C$3,C475))</f>
        <v/>
      </c>
      <c r="C476" s="6"/>
      <c r="D476" s="6"/>
      <c r="E476" s="10"/>
      <c r="G476" s="6"/>
      <c r="H476" s="6"/>
      <c r="I476" s="10">
        <v>0.0</v>
      </c>
      <c r="J476" s="10">
        <v>0.0</v>
      </c>
      <c r="K476" s="5" t="b">
        <v>0</v>
      </c>
      <c r="L476" s="5" t="b">
        <v>1</v>
      </c>
    </row>
    <row r="477">
      <c r="A477" s="14" t="str">
        <f t="shared" si="1"/>
        <v/>
      </c>
      <c r="B477" s="15" t="str">
        <f>IF($C477="","",IF(ROW()=7,Input!$C$3,C476))</f>
        <v/>
      </c>
      <c r="C477" s="6"/>
      <c r="D477" s="6"/>
      <c r="E477" s="10"/>
      <c r="G477" s="6"/>
      <c r="H477" s="6"/>
      <c r="I477" s="10">
        <v>0.0</v>
      </c>
      <c r="J477" s="10">
        <v>0.0</v>
      </c>
      <c r="K477" s="5" t="b">
        <v>0</v>
      </c>
      <c r="L477" s="5" t="b">
        <v>1</v>
      </c>
    </row>
    <row r="478">
      <c r="A478" s="14" t="str">
        <f t="shared" si="1"/>
        <v/>
      </c>
      <c r="B478" s="15" t="str">
        <f>IF($C478="","",IF(ROW()=7,Input!$C$3,C477))</f>
        <v/>
      </c>
      <c r="C478" s="6"/>
      <c r="D478" s="6"/>
      <c r="E478" s="10"/>
      <c r="G478" s="6"/>
      <c r="H478" s="6"/>
      <c r="I478" s="10">
        <v>0.0</v>
      </c>
      <c r="J478" s="10">
        <v>0.0</v>
      </c>
      <c r="K478" s="5" t="b">
        <v>0</v>
      </c>
      <c r="L478" s="5" t="b">
        <v>1</v>
      </c>
    </row>
    <row r="479">
      <c r="A479" s="14" t="str">
        <f t="shared" si="1"/>
        <v/>
      </c>
      <c r="B479" s="15" t="str">
        <f>IF($C479="","",IF(ROW()=7,Input!$C$3,C478))</f>
        <v/>
      </c>
      <c r="C479" s="6"/>
      <c r="D479" s="6"/>
      <c r="E479" s="10"/>
      <c r="G479" s="6"/>
      <c r="H479" s="6"/>
      <c r="I479" s="10">
        <v>0.0</v>
      </c>
      <c r="J479" s="10">
        <v>0.0</v>
      </c>
      <c r="K479" s="5" t="b">
        <v>0</v>
      </c>
      <c r="L479" s="5" t="b">
        <v>1</v>
      </c>
    </row>
    <row r="480">
      <c r="A480" s="14" t="str">
        <f t="shared" si="1"/>
        <v/>
      </c>
      <c r="B480" s="15" t="str">
        <f>IF($C480="","",IF(ROW()=7,Input!$C$3,C479))</f>
        <v/>
      </c>
      <c r="C480" s="6"/>
      <c r="D480" s="6"/>
      <c r="E480" s="10"/>
      <c r="G480" s="6"/>
      <c r="H480" s="6"/>
      <c r="I480" s="10">
        <v>0.0</v>
      </c>
      <c r="J480" s="10">
        <v>0.0</v>
      </c>
      <c r="K480" s="5" t="b">
        <v>0</v>
      </c>
      <c r="L480" s="5" t="b">
        <v>1</v>
      </c>
    </row>
    <row r="481">
      <c r="A481" s="14" t="str">
        <f t="shared" si="1"/>
        <v/>
      </c>
      <c r="B481" s="15" t="str">
        <f>IF($C481="","",IF(ROW()=7,Input!$C$3,C480))</f>
        <v/>
      </c>
      <c r="C481" s="6"/>
      <c r="D481" s="6"/>
      <c r="E481" s="10"/>
      <c r="G481" s="6"/>
      <c r="H481" s="6"/>
      <c r="I481" s="10">
        <v>0.0</v>
      </c>
      <c r="J481" s="10">
        <v>0.0</v>
      </c>
      <c r="K481" s="5" t="b">
        <v>0</v>
      </c>
      <c r="L481" s="5" t="b">
        <v>1</v>
      </c>
    </row>
    <row r="482">
      <c r="A482" s="14" t="str">
        <f t="shared" si="1"/>
        <v/>
      </c>
      <c r="B482" s="15" t="str">
        <f>IF($C482="","",IF(ROW()=7,Input!$C$3,C481))</f>
        <v/>
      </c>
      <c r="C482" s="6"/>
      <c r="D482" s="6"/>
      <c r="E482" s="10"/>
      <c r="G482" s="6"/>
      <c r="H482" s="6"/>
      <c r="I482" s="10">
        <v>0.0</v>
      </c>
      <c r="J482" s="10">
        <v>0.0</v>
      </c>
      <c r="K482" s="5" t="b">
        <v>0</v>
      </c>
      <c r="L482" s="5" t="b">
        <v>1</v>
      </c>
    </row>
    <row r="483">
      <c r="A483" s="14" t="str">
        <f t="shared" si="1"/>
        <v/>
      </c>
      <c r="B483" s="15" t="str">
        <f>IF($C483="","",IF(ROW()=7,Input!$C$3,C482))</f>
        <v/>
      </c>
      <c r="C483" s="6"/>
      <c r="D483" s="6"/>
      <c r="E483" s="10"/>
      <c r="G483" s="6"/>
      <c r="H483" s="6"/>
      <c r="I483" s="10">
        <v>0.0</v>
      </c>
      <c r="J483" s="10">
        <v>0.0</v>
      </c>
      <c r="K483" s="5" t="b">
        <v>0</v>
      </c>
      <c r="L483" s="5" t="b">
        <v>1</v>
      </c>
    </row>
    <row r="484">
      <c r="A484" s="14" t="str">
        <f t="shared" si="1"/>
        <v/>
      </c>
      <c r="B484" s="15" t="str">
        <f>IF($C484="","",IF(ROW()=7,Input!$C$3,C483))</f>
        <v/>
      </c>
      <c r="C484" s="6"/>
      <c r="D484" s="6"/>
      <c r="E484" s="10"/>
      <c r="G484" s="6"/>
      <c r="H484" s="6"/>
      <c r="I484" s="10">
        <v>0.0</v>
      </c>
      <c r="J484" s="10">
        <v>0.0</v>
      </c>
      <c r="K484" s="5" t="b">
        <v>0</v>
      </c>
      <c r="L484" s="5" t="b">
        <v>1</v>
      </c>
    </row>
    <row r="485">
      <c r="A485" s="14" t="str">
        <f t="shared" si="1"/>
        <v/>
      </c>
      <c r="B485" s="15" t="str">
        <f>IF($C485="","",IF(ROW()=7,Input!$C$3,C484))</f>
        <v/>
      </c>
      <c r="C485" s="6"/>
      <c r="D485" s="6"/>
      <c r="E485" s="10"/>
      <c r="G485" s="6"/>
      <c r="H485" s="6"/>
      <c r="I485" s="10">
        <v>0.0</v>
      </c>
      <c r="J485" s="10">
        <v>0.0</v>
      </c>
      <c r="K485" s="5" t="b">
        <v>0</v>
      </c>
      <c r="L485" s="5" t="b">
        <v>1</v>
      </c>
    </row>
    <row r="486">
      <c r="A486" s="14" t="str">
        <f t="shared" si="1"/>
        <v/>
      </c>
      <c r="B486" s="15" t="str">
        <f>IF($C486="","",IF(ROW()=7,Input!$C$3,C485))</f>
        <v/>
      </c>
      <c r="C486" s="6"/>
      <c r="D486" s="6"/>
      <c r="E486" s="10"/>
      <c r="G486" s="6"/>
      <c r="H486" s="6"/>
      <c r="I486" s="10">
        <v>0.0</v>
      </c>
      <c r="J486" s="10">
        <v>0.0</v>
      </c>
      <c r="K486" s="5" t="b">
        <v>0</v>
      </c>
      <c r="L486" s="5" t="b">
        <v>1</v>
      </c>
    </row>
    <row r="487">
      <c r="A487" s="14" t="str">
        <f t="shared" si="1"/>
        <v/>
      </c>
      <c r="B487" s="15" t="str">
        <f>IF($C487="","",IF(ROW()=7,Input!$C$3,C486))</f>
        <v/>
      </c>
      <c r="C487" s="6"/>
      <c r="D487" s="6"/>
      <c r="E487" s="10"/>
      <c r="G487" s="6"/>
      <c r="H487" s="6"/>
      <c r="I487" s="10">
        <v>0.0</v>
      </c>
      <c r="J487" s="10">
        <v>0.0</v>
      </c>
      <c r="K487" s="5" t="b">
        <v>0</v>
      </c>
      <c r="L487" s="5" t="b">
        <v>1</v>
      </c>
    </row>
    <row r="488">
      <c r="A488" s="14" t="str">
        <f t="shared" si="1"/>
        <v/>
      </c>
      <c r="B488" s="15" t="str">
        <f>IF($C488="","",IF(ROW()=7,Input!$C$3,C487))</f>
        <v/>
      </c>
      <c r="C488" s="6"/>
      <c r="D488" s="6"/>
      <c r="E488" s="10"/>
      <c r="G488" s="6"/>
      <c r="H488" s="6"/>
      <c r="I488" s="10">
        <v>0.0</v>
      </c>
      <c r="J488" s="10">
        <v>0.0</v>
      </c>
      <c r="K488" s="5" t="b">
        <v>0</v>
      </c>
      <c r="L488" s="5" t="b">
        <v>1</v>
      </c>
    </row>
    <row r="489">
      <c r="A489" s="14" t="str">
        <f t="shared" si="1"/>
        <v/>
      </c>
      <c r="B489" s="15" t="str">
        <f>IF($C489="","",IF(ROW()=7,Input!$C$3,C488))</f>
        <v/>
      </c>
      <c r="C489" s="6"/>
      <c r="D489" s="6"/>
      <c r="E489" s="10"/>
      <c r="G489" s="6"/>
      <c r="H489" s="6"/>
      <c r="I489" s="10">
        <v>0.0</v>
      </c>
      <c r="J489" s="10">
        <v>0.0</v>
      </c>
      <c r="K489" s="5" t="b">
        <v>0</v>
      </c>
      <c r="L489" s="5" t="b">
        <v>1</v>
      </c>
    </row>
    <row r="490">
      <c r="A490" s="14" t="str">
        <f t="shared" si="1"/>
        <v/>
      </c>
      <c r="B490" s="15" t="str">
        <f>IF($C490="","",IF(ROW()=7,Input!$C$3,C489))</f>
        <v/>
      </c>
      <c r="C490" s="6"/>
      <c r="D490" s="6"/>
      <c r="E490" s="10"/>
      <c r="G490" s="6"/>
      <c r="H490" s="6"/>
      <c r="I490" s="10">
        <v>0.0</v>
      </c>
      <c r="J490" s="10">
        <v>0.0</v>
      </c>
      <c r="K490" s="5" t="b">
        <v>0</v>
      </c>
      <c r="L490" s="5" t="b">
        <v>1</v>
      </c>
    </row>
    <row r="491">
      <c r="A491" s="14" t="str">
        <f t="shared" si="1"/>
        <v/>
      </c>
      <c r="B491" s="15" t="str">
        <f>IF($C491="","",IF(ROW()=7,Input!$C$3,C490))</f>
        <v/>
      </c>
      <c r="C491" s="6"/>
      <c r="D491" s="6"/>
      <c r="E491" s="10"/>
      <c r="G491" s="6"/>
      <c r="H491" s="6"/>
      <c r="I491" s="10">
        <v>0.0</v>
      </c>
      <c r="J491" s="10">
        <v>0.0</v>
      </c>
      <c r="K491" s="5" t="b">
        <v>0</v>
      </c>
      <c r="L491" s="5" t="b">
        <v>1</v>
      </c>
    </row>
    <row r="492">
      <c r="A492" s="14" t="str">
        <f t="shared" si="1"/>
        <v/>
      </c>
      <c r="B492" s="15" t="str">
        <f>IF($C492="","",IF(ROW()=7,Input!$C$3,C491))</f>
        <v/>
      </c>
      <c r="C492" s="6"/>
      <c r="D492" s="6"/>
      <c r="E492" s="10"/>
      <c r="G492" s="6"/>
      <c r="H492" s="6"/>
      <c r="I492" s="10">
        <v>0.0</v>
      </c>
      <c r="J492" s="10">
        <v>0.0</v>
      </c>
      <c r="K492" s="5" t="b">
        <v>0</v>
      </c>
      <c r="L492" s="5" t="b">
        <v>1</v>
      </c>
    </row>
    <row r="493">
      <c r="A493" s="14" t="str">
        <f t="shared" si="1"/>
        <v/>
      </c>
      <c r="B493" s="15" t="str">
        <f>IF($C493="","",IF(ROW()=7,Input!$C$3,C492))</f>
        <v/>
      </c>
      <c r="C493" s="6"/>
      <c r="D493" s="6"/>
      <c r="E493" s="10"/>
      <c r="G493" s="6"/>
      <c r="H493" s="6"/>
      <c r="I493" s="10">
        <v>0.0</v>
      </c>
      <c r="J493" s="10">
        <v>0.0</v>
      </c>
      <c r="K493" s="5" t="b">
        <v>0</v>
      </c>
      <c r="L493" s="5" t="b">
        <v>1</v>
      </c>
    </row>
    <row r="494">
      <c r="A494" s="14" t="str">
        <f t="shared" si="1"/>
        <v/>
      </c>
      <c r="B494" s="15" t="str">
        <f>IF($C494="","",IF(ROW()=7,Input!$C$3,C493))</f>
        <v/>
      </c>
      <c r="C494" s="6"/>
      <c r="D494" s="6"/>
      <c r="E494" s="10"/>
      <c r="G494" s="6"/>
      <c r="H494" s="6"/>
      <c r="I494" s="10">
        <v>0.0</v>
      </c>
      <c r="J494" s="10">
        <v>0.0</v>
      </c>
      <c r="K494" s="5" t="b">
        <v>0</v>
      </c>
      <c r="L494" s="5" t="b">
        <v>1</v>
      </c>
    </row>
    <row r="495">
      <c r="A495" s="14" t="str">
        <f t="shared" si="1"/>
        <v/>
      </c>
      <c r="B495" s="15" t="str">
        <f>IF($C495="","",IF(ROW()=7,Input!$C$3,C494))</f>
        <v/>
      </c>
      <c r="C495" s="6"/>
      <c r="D495" s="6"/>
      <c r="E495" s="10"/>
      <c r="G495" s="6"/>
      <c r="H495" s="6"/>
      <c r="I495" s="10">
        <v>0.0</v>
      </c>
      <c r="J495" s="10">
        <v>0.0</v>
      </c>
      <c r="K495" s="5" t="b">
        <v>0</v>
      </c>
      <c r="L495" s="5" t="b">
        <v>1</v>
      </c>
    </row>
    <row r="496">
      <c r="A496" s="14" t="str">
        <f t="shared" si="1"/>
        <v/>
      </c>
      <c r="B496" s="15" t="str">
        <f>IF($C496="","",IF(ROW()=7,Input!$C$3,C495))</f>
        <v/>
      </c>
      <c r="C496" s="6"/>
      <c r="D496" s="6"/>
      <c r="E496" s="10"/>
      <c r="G496" s="6"/>
      <c r="H496" s="6"/>
      <c r="I496" s="10">
        <v>0.0</v>
      </c>
      <c r="J496" s="10">
        <v>0.0</v>
      </c>
      <c r="K496" s="5" t="b">
        <v>0</v>
      </c>
      <c r="L496" s="5" t="b">
        <v>1</v>
      </c>
    </row>
    <row r="497">
      <c r="A497" s="14" t="str">
        <f t="shared" si="1"/>
        <v/>
      </c>
      <c r="B497" s="15" t="str">
        <f>IF($C497="","",IF(ROW()=7,Input!$C$3,C496))</f>
        <v/>
      </c>
      <c r="C497" s="6"/>
      <c r="D497" s="6"/>
      <c r="E497" s="10"/>
      <c r="G497" s="6"/>
      <c r="H497" s="6"/>
      <c r="I497" s="10">
        <v>0.0</v>
      </c>
      <c r="J497" s="10">
        <v>0.0</v>
      </c>
      <c r="K497" s="5" t="b">
        <v>0</v>
      </c>
      <c r="L497" s="5" t="b">
        <v>1</v>
      </c>
    </row>
    <row r="498">
      <c r="A498" s="14" t="str">
        <f t="shared" si="1"/>
        <v/>
      </c>
      <c r="B498" s="15" t="str">
        <f>IF($C498="","",IF(ROW()=7,Input!$C$3,C497))</f>
        <v/>
      </c>
      <c r="C498" s="6"/>
      <c r="D498" s="6"/>
      <c r="E498" s="10"/>
      <c r="G498" s="6"/>
      <c r="H498" s="6"/>
      <c r="I498" s="10">
        <v>0.0</v>
      </c>
      <c r="J498" s="10">
        <v>0.0</v>
      </c>
      <c r="K498" s="5" t="b">
        <v>0</v>
      </c>
      <c r="L498" s="5" t="b">
        <v>1</v>
      </c>
    </row>
    <row r="499">
      <c r="A499" s="14" t="str">
        <f t="shared" si="1"/>
        <v/>
      </c>
      <c r="B499" s="15" t="str">
        <f>IF($C499="","",IF(ROW()=7,Input!$C$3,C498))</f>
        <v/>
      </c>
      <c r="C499" s="6"/>
      <c r="D499" s="6"/>
      <c r="E499" s="10"/>
      <c r="G499" s="6"/>
      <c r="H499" s="6"/>
      <c r="I499" s="10">
        <v>0.0</v>
      </c>
      <c r="J499" s="10">
        <v>0.0</v>
      </c>
      <c r="K499" s="5" t="b">
        <v>0</v>
      </c>
      <c r="L499" s="5" t="b">
        <v>1</v>
      </c>
    </row>
    <row r="500">
      <c r="A500" s="14" t="str">
        <f t="shared" si="1"/>
        <v/>
      </c>
      <c r="B500" s="15" t="str">
        <f>IF($C500="","",IF(ROW()=7,Input!$C$3,C499))</f>
        <v/>
      </c>
      <c r="C500" s="6"/>
      <c r="D500" s="6"/>
      <c r="E500" s="10"/>
      <c r="G500" s="6"/>
      <c r="H500" s="6"/>
      <c r="I500" s="10">
        <v>0.0</v>
      </c>
      <c r="J500" s="10">
        <v>0.0</v>
      </c>
      <c r="K500" s="5" t="b">
        <v>0</v>
      </c>
      <c r="L500" s="5" t="b">
        <v>1</v>
      </c>
    </row>
    <row r="501">
      <c r="A501" s="14" t="str">
        <f t="shared" si="1"/>
        <v/>
      </c>
      <c r="B501" s="15" t="str">
        <f>IF($C501="","",IF(ROW()=7,Input!$C$3,C500))</f>
        <v/>
      </c>
      <c r="C501" s="6"/>
      <c r="D501" s="6"/>
      <c r="E501" s="10"/>
      <c r="G501" s="6"/>
      <c r="H501" s="6"/>
      <c r="I501" s="10">
        <v>0.0</v>
      </c>
      <c r="J501" s="10">
        <v>0.0</v>
      </c>
      <c r="K501" s="5" t="b">
        <v>0</v>
      </c>
      <c r="L501" s="5" t="b">
        <v>1</v>
      </c>
    </row>
    <row r="502">
      <c r="A502" s="14" t="str">
        <f t="shared" si="1"/>
        <v/>
      </c>
      <c r="B502" s="15" t="str">
        <f>IF($C502="","",IF(ROW()=7,Input!$C$3,C501))</f>
        <v/>
      </c>
      <c r="C502" s="6"/>
      <c r="D502" s="6"/>
      <c r="E502" s="10"/>
      <c r="G502" s="6"/>
      <c r="H502" s="6"/>
      <c r="I502" s="10">
        <v>0.0</v>
      </c>
      <c r="J502" s="10">
        <v>0.0</v>
      </c>
      <c r="K502" s="5" t="b">
        <v>0</v>
      </c>
      <c r="L502" s="5" t="b">
        <v>1</v>
      </c>
    </row>
    <row r="503">
      <c r="A503" s="14" t="str">
        <f t="shared" si="1"/>
        <v/>
      </c>
      <c r="B503" s="15" t="str">
        <f>IF($C503="","",IF(ROW()=7,Input!$C$3,C502))</f>
        <v/>
      </c>
      <c r="C503" s="6"/>
      <c r="D503" s="6"/>
      <c r="E503" s="10"/>
      <c r="G503" s="6"/>
      <c r="H503" s="6"/>
      <c r="I503" s="10">
        <v>0.0</v>
      </c>
      <c r="J503" s="10">
        <v>0.0</v>
      </c>
      <c r="K503" s="5" t="b">
        <v>0</v>
      </c>
      <c r="L503" s="5" t="b">
        <v>1</v>
      </c>
    </row>
    <row r="504">
      <c r="A504" s="14" t="str">
        <f t="shared" si="1"/>
        <v/>
      </c>
      <c r="B504" s="15" t="str">
        <f>IF($C504="","",IF(ROW()=7,Input!$C$3,C503))</f>
        <v/>
      </c>
      <c r="C504" s="6"/>
      <c r="D504" s="6"/>
      <c r="E504" s="10"/>
      <c r="G504" s="6"/>
      <c r="H504" s="6"/>
      <c r="I504" s="10">
        <v>0.0</v>
      </c>
      <c r="J504" s="10">
        <v>0.0</v>
      </c>
      <c r="K504" s="5" t="b">
        <v>0</v>
      </c>
      <c r="L504" s="5" t="b">
        <v>1</v>
      </c>
    </row>
    <row r="505">
      <c r="A505" s="14" t="str">
        <f t="shared" si="1"/>
        <v/>
      </c>
      <c r="B505" s="15" t="str">
        <f>IF($C505="","",IF(ROW()=7,Input!$C$3,C504))</f>
        <v/>
      </c>
      <c r="C505" s="6"/>
      <c r="D505" s="6"/>
      <c r="E505" s="10"/>
      <c r="G505" s="6"/>
      <c r="H505" s="6"/>
      <c r="I505" s="10">
        <v>0.0</v>
      </c>
      <c r="J505" s="10">
        <v>0.0</v>
      </c>
      <c r="K505" s="5" t="b">
        <v>0</v>
      </c>
      <c r="L505" s="5" t="b">
        <v>1</v>
      </c>
    </row>
    <row r="506">
      <c r="A506" s="14" t="str">
        <f t="shared" si="1"/>
        <v/>
      </c>
      <c r="B506" s="15" t="str">
        <f>IF($C506="","",IF(ROW()=7,Input!$C$3,C505))</f>
        <v/>
      </c>
      <c r="C506" s="6"/>
      <c r="D506" s="6"/>
      <c r="E506" s="10"/>
      <c r="G506" s="6"/>
      <c r="H506" s="6"/>
      <c r="I506" s="10">
        <v>0.0</v>
      </c>
      <c r="J506" s="10">
        <v>0.0</v>
      </c>
      <c r="K506" s="5" t="b">
        <v>0</v>
      </c>
      <c r="L506" s="5" t="b">
        <v>1</v>
      </c>
    </row>
    <row r="507">
      <c r="A507" s="14" t="str">
        <f t="shared" si="1"/>
        <v/>
      </c>
      <c r="B507" s="15" t="str">
        <f>IF($C507="","",IF(ROW()=7,Input!$C$3,C506))</f>
        <v/>
      </c>
      <c r="C507" s="6"/>
      <c r="D507" s="6"/>
      <c r="E507" s="10"/>
      <c r="G507" s="6"/>
      <c r="H507" s="6"/>
      <c r="I507" s="10">
        <v>0.0</v>
      </c>
      <c r="J507" s="10">
        <v>0.0</v>
      </c>
      <c r="K507" s="5" t="b">
        <v>0</v>
      </c>
      <c r="L507" s="5" t="b">
        <v>1</v>
      </c>
    </row>
    <row r="508">
      <c r="A508" s="14" t="str">
        <f t="shared" si="1"/>
        <v/>
      </c>
      <c r="B508" s="15" t="str">
        <f>IF($C508="","",IF(ROW()=7,Input!$C$3,C507))</f>
        <v/>
      </c>
      <c r="C508" s="6"/>
      <c r="D508" s="6"/>
      <c r="E508" s="10"/>
      <c r="G508" s="6"/>
      <c r="H508" s="6"/>
      <c r="I508" s="10">
        <v>0.0</v>
      </c>
      <c r="J508" s="10">
        <v>0.0</v>
      </c>
      <c r="K508" s="5" t="b">
        <v>0</v>
      </c>
      <c r="L508" s="5" t="b">
        <v>1</v>
      </c>
    </row>
    <row r="509">
      <c r="A509" s="14" t="str">
        <f t="shared" si="1"/>
        <v/>
      </c>
      <c r="B509" s="15" t="str">
        <f>IF($C509="","",IF(ROW()=7,Input!$C$3,C508))</f>
        <v/>
      </c>
      <c r="C509" s="6"/>
      <c r="D509" s="6"/>
      <c r="E509" s="10"/>
      <c r="G509" s="6"/>
      <c r="H509" s="6"/>
      <c r="I509" s="10">
        <v>0.0</v>
      </c>
      <c r="J509" s="10">
        <v>0.0</v>
      </c>
      <c r="K509" s="5" t="b">
        <v>0</v>
      </c>
      <c r="L509" s="5" t="b">
        <v>1</v>
      </c>
    </row>
    <row r="510">
      <c r="A510" s="14" t="str">
        <f t="shared" si="1"/>
        <v/>
      </c>
      <c r="B510" s="15" t="str">
        <f>IF($C510="","",IF(ROW()=7,Input!$C$3,C509))</f>
        <v/>
      </c>
      <c r="C510" s="6"/>
      <c r="D510" s="6"/>
      <c r="E510" s="10"/>
      <c r="G510" s="6"/>
      <c r="H510" s="6"/>
      <c r="I510" s="10">
        <v>0.0</v>
      </c>
      <c r="J510" s="10">
        <v>0.0</v>
      </c>
      <c r="K510" s="5" t="b">
        <v>0</v>
      </c>
      <c r="L510" s="5" t="b">
        <v>1</v>
      </c>
    </row>
    <row r="511">
      <c r="A511" s="14" t="str">
        <f t="shared" si="1"/>
        <v/>
      </c>
      <c r="B511" s="15" t="str">
        <f>IF($C511="","",IF(ROW()=7,Input!$C$3,C510))</f>
        <v/>
      </c>
      <c r="C511" s="6"/>
      <c r="D511" s="6"/>
      <c r="E511" s="10"/>
      <c r="G511" s="6"/>
      <c r="H511" s="6"/>
      <c r="I511" s="10">
        <v>0.0</v>
      </c>
      <c r="J511" s="10">
        <v>0.0</v>
      </c>
      <c r="K511" s="5" t="b">
        <v>0</v>
      </c>
      <c r="L511" s="5" t="b">
        <v>1</v>
      </c>
    </row>
    <row r="512">
      <c r="A512" s="14" t="str">
        <f t="shared" si="1"/>
        <v/>
      </c>
      <c r="B512" s="15" t="str">
        <f>IF($C512="","",IF(ROW()=7,Input!$C$3,C511))</f>
        <v/>
      </c>
      <c r="C512" s="6"/>
      <c r="D512" s="6"/>
      <c r="E512" s="10"/>
      <c r="G512" s="6"/>
      <c r="H512" s="6"/>
      <c r="I512" s="10">
        <v>0.0</v>
      </c>
      <c r="J512" s="10">
        <v>0.0</v>
      </c>
      <c r="K512" s="5" t="b">
        <v>0</v>
      </c>
      <c r="L512" s="5" t="b">
        <v>1</v>
      </c>
    </row>
    <row r="513">
      <c r="A513" s="14" t="str">
        <f t="shared" si="1"/>
        <v/>
      </c>
      <c r="B513" s="15" t="str">
        <f>IF($C513="","",IF(ROW()=7,Input!$C$3,C512))</f>
        <v/>
      </c>
      <c r="C513" s="6"/>
      <c r="D513" s="6"/>
      <c r="E513" s="10"/>
      <c r="G513" s="6"/>
      <c r="H513" s="6"/>
      <c r="I513" s="10">
        <v>0.0</v>
      </c>
      <c r="J513" s="10">
        <v>0.0</v>
      </c>
      <c r="K513" s="5" t="b">
        <v>0</v>
      </c>
      <c r="L513" s="5" t="b">
        <v>1</v>
      </c>
    </row>
    <row r="514">
      <c r="A514" s="14" t="str">
        <f t="shared" si="1"/>
        <v/>
      </c>
      <c r="B514" s="15" t="str">
        <f>IF($C514="","",IF(ROW()=7,Input!$C$3,C513))</f>
        <v/>
      </c>
      <c r="C514" s="6"/>
      <c r="D514" s="6"/>
      <c r="E514" s="10"/>
      <c r="G514" s="6"/>
      <c r="H514" s="6"/>
      <c r="I514" s="10">
        <v>0.0</v>
      </c>
      <c r="J514" s="10">
        <v>0.0</v>
      </c>
      <c r="K514" s="5" t="b">
        <v>0</v>
      </c>
      <c r="L514" s="5" t="b">
        <v>1</v>
      </c>
    </row>
    <row r="515">
      <c r="A515" s="14" t="str">
        <f t="shared" si="1"/>
        <v/>
      </c>
      <c r="B515" s="15" t="str">
        <f>IF($C515="","",IF(ROW()=7,Input!$C$3,C514))</f>
        <v/>
      </c>
      <c r="C515" s="6"/>
      <c r="D515" s="6"/>
      <c r="E515" s="10"/>
      <c r="G515" s="6"/>
      <c r="H515" s="6"/>
      <c r="I515" s="10">
        <v>0.0</v>
      </c>
      <c r="J515" s="10">
        <v>0.0</v>
      </c>
      <c r="K515" s="5" t="b">
        <v>0</v>
      </c>
      <c r="L515" s="5" t="b">
        <v>1</v>
      </c>
    </row>
    <row r="516">
      <c r="A516" s="14" t="str">
        <f t="shared" si="1"/>
        <v/>
      </c>
      <c r="B516" s="15" t="str">
        <f>IF($C516="","",IF(ROW()=7,Input!$C$3,C515))</f>
        <v/>
      </c>
      <c r="C516" s="6"/>
      <c r="D516" s="6"/>
      <c r="E516" s="10"/>
      <c r="G516" s="6"/>
      <c r="H516" s="6"/>
      <c r="I516" s="10">
        <v>0.0</v>
      </c>
      <c r="J516" s="10">
        <v>0.0</v>
      </c>
      <c r="K516" s="5" t="b">
        <v>0</v>
      </c>
      <c r="L516" s="5" t="b">
        <v>1</v>
      </c>
    </row>
    <row r="517">
      <c r="A517" s="14" t="str">
        <f t="shared" si="1"/>
        <v/>
      </c>
      <c r="B517" s="15" t="str">
        <f>IF($C517="","",IF(ROW()=7,Input!$C$3,C516))</f>
        <v/>
      </c>
      <c r="C517" s="6"/>
      <c r="D517" s="6"/>
      <c r="E517" s="10"/>
      <c r="G517" s="6"/>
      <c r="H517" s="6"/>
      <c r="I517" s="10">
        <v>0.0</v>
      </c>
      <c r="J517" s="10">
        <v>0.0</v>
      </c>
      <c r="K517" s="5" t="b">
        <v>0</v>
      </c>
      <c r="L517" s="5" t="b">
        <v>1</v>
      </c>
    </row>
    <row r="518">
      <c r="A518" s="14" t="str">
        <f t="shared" si="1"/>
        <v/>
      </c>
      <c r="B518" s="15" t="str">
        <f>IF($C518="","",IF(ROW()=7,Input!$C$3,C517))</f>
        <v/>
      </c>
      <c r="C518" s="6"/>
      <c r="D518" s="6"/>
      <c r="E518" s="10"/>
      <c r="G518" s="6"/>
      <c r="H518" s="6"/>
      <c r="I518" s="10">
        <v>0.0</v>
      </c>
      <c r="J518" s="10">
        <v>0.0</v>
      </c>
      <c r="K518" s="5" t="b">
        <v>0</v>
      </c>
      <c r="L518" s="5" t="b">
        <v>1</v>
      </c>
    </row>
    <row r="519">
      <c r="A519" s="14" t="str">
        <f t="shared" si="1"/>
        <v/>
      </c>
      <c r="B519" s="15" t="str">
        <f>IF($C519="","",IF(ROW()=7,Input!$C$3,C518))</f>
        <v/>
      </c>
      <c r="C519" s="6"/>
      <c r="D519" s="6"/>
      <c r="E519" s="10"/>
      <c r="G519" s="6"/>
      <c r="H519" s="6"/>
      <c r="I519" s="10">
        <v>0.0</v>
      </c>
      <c r="J519" s="10">
        <v>0.0</v>
      </c>
      <c r="K519" s="5" t="b">
        <v>0</v>
      </c>
      <c r="L519" s="5" t="b">
        <v>1</v>
      </c>
    </row>
    <row r="520">
      <c r="A520" s="14" t="str">
        <f t="shared" si="1"/>
        <v/>
      </c>
      <c r="B520" s="15" t="str">
        <f>IF($C520="","",IF(ROW()=7,Input!$C$3,C519))</f>
        <v/>
      </c>
      <c r="C520" s="6"/>
      <c r="D520" s="6"/>
      <c r="E520" s="10"/>
      <c r="G520" s="6"/>
      <c r="H520" s="6"/>
      <c r="I520" s="10">
        <v>0.0</v>
      </c>
      <c r="J520" s="10">
        <v>0.0</v>
      </c>
      <c r="K520" s="5" t="b">
        <v>0</v>
      </c>
      <c r="L520" s="5" t="b">
        <v>1</v>
      </c>
    </row>
    <row r="521">
      <c r="A521" s="14" t="str">
        <f t="shared" si="1"/>
        <v/>
      </c>
      <c r="B521" s="15" t="str">
        <f>IF($C521="","",IF(ROW()=7,Input!$C$3,C520))</f>
        <v/>
      </c>
      <c r="C521" s="6"/>
      <c r="D521" s="6"/>
      <c r="E521" s="10"/>
      <c r="G521" s="6"/>
      <c r="H521" s="6"/>
      <c r="I521" s="10">
        <v>0.0</v>
      </c>
      <c r="J521" s="10">
        <v>0.0</v>
      </c>
      <c r="K521" s="5" t="b">
        <v>0</v>
      </c>
      <c r="L521" s="5" t="b">
        <v>1</v>
      </c>
    </row>
    <row r="522">
      <c r="A522" s="14" t="str">
        <f t="shared" si="1"/>
        <v/>
      </c>
      <c r="B522" s="15" t="str">
        <f>IF($C522="","",IF(ROW()=7,Input!$C$3,C521))</f>
        <v/>
      </c>
      <c r="C522" s="6"/>
      <c r="D522" s="6"/>
      <c r="E522" s="10"/>
      <c r="G522" s="6"/>
      <c r="H522" s="6"/>
      <c r="I522" s="10">
        <v>0.0</v>
      </c>
      <c r="J522" s="10">
        <v>0.0</v>
      </c>
      <c r="K522" s="5" t="b">
        <v>0</v>
      </c>
      <c r="L522" s="5" t="b">
        <v>1</v>
      </c>
    </row>
    <row r="523">
      <c r="A523" s="14" t="str">
        <f t="shared" si="1"/>
        <v/>
      </c>
      <c r="B523" s="15" t="str">
        <f>IF($C523="","",IF(ROW()=7,Input!$C$3,C522))</f>
        <v/>
      </c>
      <c r="C523" s="6"/>
      <c r="D523" s="6"/>
      <c r="E523" s="10"/>
      <c r="G523" s="6"/>
      <c r="H523" s="6"/>
      <c r="I523" s="10">
        <v>0.0</v>
      </c>
      <c r="J523" s="10">
        <v>0.0</v>
      </c>
      <c r="K523" s="5" t="b">
        <v>0</v>
      </c>
      <c r="L523" s="5" t="b">
        <v>1</v>
      </c>
    </row>
    <row r="524">
      <c r="A524" s="14" t="str">
        <f t="shared" si="1"/>
        <v/>
      </c>
      <c r="B524" s="15" t="str">
        <f>IF($C524="","",IF(ROW()=7,Input!$C$3,C523))</f>
        <v/>
      </c>
      <c r="C524" s="6"/>
      <c r="D524" s="6"/>
      <c r="E524" s="10"/>
      <c r="G524" s="6"/>
      <c r="H524" s="6"/>
      <c r="I524" s="10">
        <v>0.0</v>
      </c>
      <c r="J524" s="10">
        <v>0.0</v>
      </c>
      <c r="K524" s="5" t="b">
        <v>0</v>
      </c>
      <c r="L524" s="5" t="b">
        <v>1</v>
      </c>
    </row>
    <row r="525">
      <c r="A525" s="14" t="str">
        <f t="shared" si="1"/>
        <v/>
      </c>
      <c r="B525" s="15" t="str">
        <f>IF($C525="","",IF(ROW()=7,Input!$C$3,C524))</f>
        <v/>
      </c>
      <c r="C525" s="6"/>
      <c r="D525" s="6"/>
      <c r="E525" s="10"/>
      <c r="G525" s="6"/>
      <c r="H525" s="6"/>
      <c r="I525" s="10">
        <v>0.0</v>
      </c>
      <c r="J525" s="10">
        <v>0.0</v>
      </c>
      <c r="K525" s="5" t="b">
        <v>0</v>
      </c>
      <c r="L525" s="5" t="b">
        <v>1</v>
      </c>
    </row>
    <row r="526">
      <c r="A526" s="14" t="str">
        <f t="shared" si="1"/>
        <v/>
      </c>
      <c r="B526" s="15" t="str">
        <f>IF($C526="","",IF(ROW()=7,Input!$C$3,C525))</f>
        <v/>
      </c>
      <c r="C526" s="6"/>
      <c r="D526" s="6"/>
      <c r="E526" s="10"/>
      <c r="G526" s="6"/>
      <c r="H526" s="6"/>
      <c r="I526" s="10">
        <v>0.0</v>
      </c>
      <c r="J526" s="10">
        <v>0.0</v>
      </c>
      <c r="K526" s="5" t="b">
        <v>0</v>
      </c>
      <c r="L526" s="5" t="b">
        <v>1</v>
      </c>
    </row>
    <row r="527">
      <c r="A527" s="14" t="str">
        <f t="shared" si="1"/>
        <v/>
      </c>
      <c r="B527" s="15" t="str">
        <f>IF($C527="","",IF(ROW()=7,Input!$C$3,C526))</f>
        <v/>
      </c>
      <c r="C527" s="6"/>
      <c r="D527" s="6"/>
      <c r="E527" s="10"/>
      <c r="G527" s="6"/>
      <c r="H527" s="6"/>
      <c r="I527" s="10">
        <v>0.0</v>
      </c>
      <c r="J527" s="10">
        <v>0.0</v>
      </c>
      <c r="K527" s="5" t="b">
        <v>0</v>
      </c>
      <c r="L527" s="5" t="b">
        <v>1</v>
      </c>
    </row>
    <row r="528">
      <c r="A528" s="14" t="str">
        <f t="shared" si="1"/>
        <v/>
      </c>
      <c r="B528" s="15" t="str">
        <f>IF($C528="","",IF(ROW()=7,Input!$C$3,C527))</f>
        <v/>
      </c>
      <c r="C528" s="6"/>
      <c r="D528" s="6"/>
      <c r="E528" s="10"/>
      <c r="G528" s="6"/>
      <c r="H528" s="6"/>
      <c r="I528" s="10">
        <v>0.0</v>
      </c>
      <c r="J528" s="10">
        <v>0.0</v>
      </c>
      <c r="K528" s="5" t="b">
        <v>0</v>
      </c>
      <c r="L528" s="5" t="b">
        <v>1</v>
      </c>
    </row>
    <row r="529">
      <c r="A529" s="14" t="str">
        <f t="shared" si="1"/>
        <v/>
      </c>
      <c r="B529" s="15" t="str">
        <f>IF($C529="","",IF(ROW()=7,Input!$C$3,C528))</f>
        <v/>
      </c>
      <c r="C529" s="6"/>
      <c r="D529" s="6"/>
      <c r="E529" s="10"/>
      <c r="G529" s="6"/>
      <c r="H529" s="6"/>
      <c r="I529" s="10">
        <v>0.0</v>
      </c>
      <c r="J529" s="10">
        <v>0.0</v>
      </c>
      <c r="K529" s="5" t="b">
        <v>0</v>
      </c>
      <c r="L529" s="5" t="b">
        <v>1</v>
      </c>
    </row>
    <row r="530">
      <c r="A530" s="14" t="str">
        <f t="shared" si="1"/>
        <v/>
      </c>
      <c r="B530" s="15" t="str">
        <f>IF($C530="","",IF(ROW()=7,Input!$C$3,C529))</f>
        <v/>
      </c>
      <c r="C530" s="6"/>
      <c r="D530" s="6"/>
      <c r="E530" s="10"/>
      <c r="G530" s="6"/>
      <c r="H530" s="6"/>
      <c r="I530" s="10">
        <v>0.0</v>
      </c>
      <c r="J530" s="10">
        <v>0.0</v>
      </c>
      <c r="K530" s="5" t="b">
        <v>0</v>
      </c>
      <c r="L530" s="5" t="b">
        <v>1</v>
      </c>
    </row>
    <row r="531">
      <c r="A531" s="14" t="str">
        <f t="shared" si="1"/>
        <v/>
      </c>
      <c r="B531" s="15" t="str">
        <f>IF($C531="","",IF(ROW()=7,Input!$C$3,C530))</f>
        <v/>
      </c>
      <c r="C531" s="6"/>
      <c r="D531" s="6"/>
      <c r="E531" s="10"/>
      <c r="G531" s="6"/>
      <c r="H531" s="6"/>
      <c r="I531" s="10">
        <v>0.0</v>
      </c>
      <c r="J531" s="10">
        <v>0.0</v>
      </c>
      <c r="K531" s="5" t="b">
        <v>0</v>
      </c>
      <c r="L531" s="5" t="b">
        <v>1</v>
      </c>
    </row>
    <row r="532">
      <c r="A532" s="14" t="str">
        <f t="shared" si="1"/>
        <v/>
      </c>
      <c r="B532" s="15" t="str">
        <f>IF($C532="","",IF(ROW()=7,Input!$C$3,C531))</f>
        <v/>
      </c>
      <c r="C532" s="6"/>
      <c r="D532" s="6"/>
      <c r="E532" s="10"/>
      <c r="G532" s="6"/>
      <c r="H532" s="6"/>
      <c r="I532" s="10">
        <v>0.0</v>
      </c>
      <c r="J532" s="10">
        <v>0.0</v>
      </c>
      <c r="K532" s="5" t="b">
        <v>0</v>
      </c>
      <c r="L532" s="5" t="b">
        <v>1</v>
      </c>
    </row>
    <row r="533">
      <c r="A533" s="14" t="str">
        <f t="shared" si="1"/>
        <v/>
      </c>
      <c r="B533" s="15" t="str">
        <f>IF($C533="","",IF(ROW()=7,Input!$C$3,C532))</f>
        <v/>
      </c>
      <c r="C533" s="6"/>
      <c r="D533" s="6"/>
      <c r="E533" s="10"/>
      <c r="G533" s="6"/>
      <c r="H533" s="6"/>
      <c r="I533" s="10">
        <v>0.0</v>
      </c>
      <c r="J533" s="10">
        <v>0.0</v>
      </c>
      <c r="K533" s="5" t="b">
        <v>0</v>
      </c>
      <c r="L533" s="5" t="b">
        <v>1</v>
      </c>
    </row>
    <row r="534">
      <c r="A534" s="14" t="str">
        <f t="shared" si="1"/>
        <v/>
      </c>
      <c r="B534" s="15" t="str">
        <f>IF($C534="","",IF(ROW()=7,Input!$C$3,C533))</f>
        <v/>
      </c>
      <c r="C534" s="6"/>
      <c r="D534" s="6"/>
      <c r="E534" s="10"/>
      <c r="G534" s="6"/>
      <c r="H534" s="6"/>
      <c r="I534" s="10">
        <v>0.0</v>
      </c>
      <c r="J534" s="10">
        <v>0.0</v>
      </c>
      <c r="K534" s="5" t="b">
        <v>0</v>
      </c>
      <c r="L534" s="5" t="b">
        <v>1</v>
      </c>
    </row>
    <row r="535">
      <c r="A535" s="14" t="str">
        <f t="shared" si="1"/>
        <v/>
      </c>
      <c r="B535" s="15" t="str">
        <f>IF($C535="","",IF(ROW()=7,Input!$C$3,C534))</f>
        <v/>
      </c>
      <c r="C535" s="6"/>
      <c r="D535" s="6"/>
      <c r="E535" s="10"/>
      <c r="G535" s="6"/>
      <c r="H535" s="6"/>
      <c r="I535" s="10">
        <v>0.0</v>
      </c>
      <c r="J535" s="10">
        <v>0.0</v>
      </c>
      <c r="K535" s="5" t="b">
        <v>0</v>
      </c>
      <c r="L535" s="5" t="b">
        <v>1</v>
      </c>
    </row>
    <row r="536">
      <c r="A536" s="14" t="str">
        <f t="shared" si="1"/>
        <v/>
      </c>
      <c r="B536" s="15" t="str">
        <f>IF($C536="","",IF(ROW()=7,Input!$C$3,C535))</f>
        <v/>
      </c>
      <c r="C536" s="6"/>
      <c r="D536" s="6"/>
      <c r="E536" s="10"/>
      <c r="G536" s="6"/>
      <c r="H536" s="6"/>
      <c r="I536" s="10">
        <v>0.0</v>
      </c>
      <c r="J536" s="10">
        <v>0.0</v>
      </c>
      <c r="K536" s="5" t="b">
        <v>0</v>
      </c>
      <c r="L536" s="5" t="b">
        <v>1</v>
      </c>
    </row>
    <row r="537">
      <c r="A537" s="14" t="str">
        <f t="shared" si="1"/>
        <v/>
      </c>
      <c r="B537" s="15" t="str">
        <f>IF($C537="","",IF(ROW()=7,Input!$C$3,C536))</f>
        <v/>
      </c>
      <c r="C537" s="6"/>
      <c r="D537" s="6"/>
      <c r="E537" s="10"/>
      <c r="G537" s="6"/>
      <c r="H537" s="6"/>
      <c r="I537" s="10">
        <v>0.0</v>
      </c>
      <c r="J537" s="10">
        <v>0.0</v>
      </c>
      <c r="K537" s="5" t="b">
        <v>0</v>
      </c>
      <c r="L537" s="5" t="b">
        <v>1</v>
      </c>
    </row>
    <row r="538">
      <c r="A538" s="14" t="str">
        <f t="shared" si="1"/>
        <v/>
      </c>
      <c r="B538" s="15" t="str">
        <f>IF($C538="","",IF(ROW()=7,Input!$C$3,C537))</f>
        <v/>
      </c>
      <c r="C538" s="6"/>
      <c r="D538" s="6"/>
      <c r="E538" s="10"/>
      <c r="G538" s="6"/>
      <c r="H538" s="6"/>
      <c r="I538" s="10">
        <v>0.0</v>
      </c>
      <c r="J538" s="10">
        <v>0.0</v>
      </c>
      <c r="K538" s="5" t="b">
        <v>0</v>
      </c>
      <c r="L538" s="5" t="b">
        <v>1</v>
      </c>
    </row>
    <row r="539">
      <c r="A539" s="14" t="str">
        <f t="shared" si="1"/>
        <v/>
      </c>
      <c r="B539" s="15" t="str">
        <f>IF($C539="","",IF(ROW()=7,Input!$C$3,C538))</f>
        <v/>
      </c>
      <c r="C539" s="6"/>
      <c r="D539" s="6"/>
      <c r="E539" s="10"/>
      <c r="G539" s="6"/>
      <c r="H539" s="6"/>
      <c r="I539" s="10">
        <v>0.0</v>
      </c>
      <c r="J539" s="10">
        <v>0.0</v>
      </c>
      <c r="K539" s="5" t="b">
        <v>0</v>
      </c>
      <c r="L539" s="5" t="b">
        <v>1</v>
      </c>
    </row>
    <row r="540">
      <c r="A540" s="14" t="str">
        <f t="shared" si="1"/>
        <v/>
      </c>
      <c r="B540" s="15" t="str">
        <f>IF($C540="","",IF(ROW()=7,Input!$C$3,C539))</f>
        <v/>
      </c>
      <c r="C540" s="6"/>
      <c r="D540" s="6"/>
      <c r="E540" s="10"/>
      <c r="G540" s="6"/>
      <c r="H540" s="6"/>
      <c r="I540" s="10">
        <v>0.0</v>
      </c>
      <c r="J540" s="10">
        <v>0.0</v>
      </c>
      <c r="K540" s="5" t="b">
        <v>0</v>
      </c>
      <c r="L540" s="5" t="b">
        <v>1</v>
      </c>
    </row>
    <row r="541">
      <c r="A541" s="14" t="str">
        <f t="shared" si="1"/>
        <v/>
      </c>
      <c r="B541" s="15" t="str">
        <f>IF($C541="","",IF(ROW()=7,Input!$C$3,C540))</f>
        <v/>
      </c>
      <c r="C541" s="6"/>
      <c r="D541" s="6"/>
      <c r="E541" s="10"/>
      <c r="G541" s="6"/>
      <c r="H541" s="6"/>
      <c r="I541" s="10">
        <v>0.0</v>
      </c>
      <c r="J541" s="10">
        <v>0.0</v>
      </c>
      <c r="K541" s="5" t="b">
        <v>0</v>
      </c>
      <c r="L541" s="5" t="b">
        <v>1</v>
      </c>
    </row>
    <row r="542">
      <c r="A542" s="14" t="str">
        <f t="shared" si="1"/>
        <v/>
      </c>
      <c r="B542" s="15" t="str">
        <f>IF($C542="","",IF(ROW()=7,Input!$C$3,C541))</f>
        <v/>
      </c>
      <c r="C542" s="6"/>
      <c r="D542" s="6"/>
      <c r="E542" s="10"/>
      <c r="G542" s="6"/>
      <c r="H542" s="6"/>
      <c r="I542" s="10">
        <v>0.0</v>
      </c>
      <c r="J542" s="10">
        <v>0.0</v>
      </c>
      <c r="K542" s="5" t="b">
        <v>0</v>
      </c>
      <c r="L542" s="5" t="b">
        <v>1</v>
      </c>
    </row>
    <row r="543">
      <c r="A543" s="14" t="str">
        <f t="shared" si="1"/>
        <v/>
      </c>
      <c r="B543" s="15" t="str">
        <f>IF($C543="","",IF(ROW()=7,Input!$C$3,C542))</f>
        <v/>
      </c>
      <c r="C543" s="6"/>
      <c r="D543" s="6"/>
      <c r="E543" s="10"/>
      <c r="G543" s="6"/>
      <c r="H543" s="6"/>
      <c r="I543" s="10">
        <v>0.0</v>
      </c>
      <c r="J543" s="10">
        <v>0.0</v>
      </c>
      <c r="K543" s="5" t="b">
        <v>0</v>
      </c>
      <c r="L543" s="5" t="b">
        <v>1</v>
      </c>
    </row>
    <row r="544">
      <c r="A544" s="14" t="str">
        <f t="shared" si="1"/>
        <v/>
      </c>
      <c r="B544" s="15" t="str">
        <f>IF($C544="","",IF(ROW()=7,Input!$C$3,C543))</f>
        <v/>
      </c>
      <c r="C544" s="6"/>
      <c r="D544" s="6"/>
      <c r="E544" s="10"/>
      <c r="G544" s="6"/>
      <c r="H544" s="6"/>
      <c r="I544" s="10">
        <v>0.0</v>
      </c>
      <c r="J544" s="10">
        <v>0.0</v>
      </c>
      <c r="K544" s="5" t="b">
        <v>0</v>
      </c>
      <c r="L544" s="5" t="b">
        <v>1</v>
      </c>
    </row>
    <row r="545">
      <c r="A545" s="14" t="str">
        <f t="shared" si="1"/>
        <v/>
      </c>
      <c r="B545" s="15" t="str">
        <f>IF($C545="","",IF(ROW()=7,Input!$C$3,C544))</f>
        <v/>
      </c>
      <c r="C545" s="6"/>
      <c r="D545" s="6"/>
      <c r="E545" s="10"/>
      <c r="G545" s="6"/>
      <c r="H545" s="6"/>
      <c r="I545" s="10">
        <v>0.0</v>
      </c>
      <c r="J545" s="10">
        <v>0.0</v>
      </c>
      <c r="K545" s="5" t="b">
        <v>0</v>
      </c>
      <c r="L545" s="5" t="b">
        <v>1</v>
      </c>
    </row>
    <row r="546">
      <c r="A546" s="14" t="str">
        <f t="shared" si="1"/>
        <v/>
      </c>
      <c r="B546" s="15" t="str">
        <f>IF($C546="","",IF(ROW()=7,Input!$C$3,C545))</f>
        <v/>
      </c>
      <c r="C546" s="6"/>
      <c r="D546" s="6"/>
      <c r="E546" s="10"/>
      <c r="G546" s="6"/>
      <c r="H546" s="6"/>
      <c r="I546" s="10">
        <v>0.0</v>
      </c>
      <c r="J546" s="10">
        <v>0.0</v>
      </c>
      <c r="K546" s="5" t="b">
        <v>0</v>
      </c>
      <c r="L546" s="5" t="b">
        <v>1</v>
      </c>
    </row>
    <row r="547">
      <c r="A547" s="14" t="str">
        <f t="shared" si="1"/>
        <v/>
      </c>
      <c r="B547" s="15" t="str">
        <f>IF($C547="","",IF(ROW()=7,Input!$C$3,C546))</f>
        <v/>
      </c>
      <c r="C547" s="6"/>
      <c r="D547" s="6"/>
      <c r="E547" s="10"/>
      <c r="G547" s="6"/>
      <c r="H547" s="6"/>
      <c r="I547" s="10">
        <v>0.0</v>
      </c>
      <c r="J547" s="10">
        <v>0.0</v>
      </c>
      <c r="K547" s="5" t="b">
        <v>0</v>
      </c>
      <c r="L547" s="5" t="b">
        <v>1</v>
      </c>
    </row>
    <row r="548">
      <c r="A548" s="14" t="str">
        <f t="shared" si="1"/>
        <v/>
      </c>
      <c r="B548" s="15" t="str">
        <f>IF($C548="","",IF(ROW()=7,Input!$C$3,C547))</f>
        <v/>
      </c>
      <c r="C548" s="6"/>
      <c r="D548" s="6"/>
      <c r="E548" s="10"/>
      <c r="G548" s="6"/>
      <c r="H548" s="6"/>
      <c r="I548" s="10">
        <v>0.0</v>
      </c>
      <c r="J548" s="10">
        <v>0.0</v>
      </c>
      <c r="K548" s="5" t="b">
        <v>0</v>
      </c>
      <c r="L548" s="5" t="b">
        <v>1</v>
      </c>
    </row>
    <row r="549">
      <c r="A549" s="14" t="str">
        <f t="shared" si="1"/>
        <v/>
      </c>
      <c r="B549" s="15" t="str">
        <f>IF($C549="","",IF(ROW()=7,Input!$C$3,C548))</f>
        <v/>
      </c>
      <c r="C549" s="6"/>
      <c r="D549" s="6"/>
      <c r="E549" s="10"/>
      <c r="G549" s="6"/>
      <c r="H549" s="6"/>
      <c r="I549" s="10">
        <v>0.0</v>
      </c>
      <c r="J549" s="10">
        <v>0.0</v>
      </c>
      <c r="K549" s="5" t="b">
        <v>0</v>
      </c>
      <c r="L549" s="5" t="b">
        <v>1</v>
      </c>
    </row>
    <row r="550">
      <c r="A550" s="14" t="str">
        <f t="shared" si="1"/>
        <v/>
      </c>
      <c r="B550" s="15" t="str">
        <f>IF($C550="","",IF(ROW()=7,Input!$C$3,C549))</f>
        <v/>
      </c>
      <c r="C550" s="6"/>
      <c r="D550" s="6"/>
      <c r="E550" s="10"/>
      <c r="G550" s="6"/>
      <c r="H550" s="6"/>
      <c r="I550" s="10">
        <v>0.0</v>
      </c>
      <c r="J550" s="10">
        <v>0.0</v>
      </c>
      <c r="K550" s="5" t="b">
        <v>0</v>
      </c>
      <c r="L550" s="5" t="b">
        <v>1</v>
      </c>
    </row>
    <row r="551">
      <c r="A551" s="14" t="str">
        <f t="shared" si="1"/>
        <v/>
      </c>
      <c r="B551" s="15" t="str">
        <f>IF($C551="","",IF(ROW()=7,Input!$C$3,C550))</f>
        <v/>
      </c>
      <c r="C551" s="6"/>
      <c r="D551" s="6"/>
      <c r="E551" s="10"/>
      <c r="G551" s="6"/>
      <c r="H551" s="6"/>
      <c r="I551" s="10">
        <v>0.0</v>
      </c>
      <c r="J551" s="10">
        <v>0.0</v>
      </c>
      <c r="K551" s="5" t="b">
        <v>0</v>
      </c>
      <c r="L551" s="5" t="b">
        <v>1</v>
      </c>
    </row>
    <row r="552">
      <c r="A552" s="14" t="str">
        <f t="shared" si="1"/>
        <v/>
      </c>
      <c r="B552" s="15" t="str">
        <f>IF($C552="","",IF(ROW()=7,Input!$C$3,C551))</f>
        <v/>
      </c>
      <c r="C552" s="6"/>
      <c r="D552" s="6"/>
      <c r="E552" s="10"/>
      <c r="G552" s="6"/>
      <c r="H552" s="6"/>
      <c r="I552" s="10">
        <v>0.0</v>
      </c>
      <c r="J552" s="10">
        <v>0.0</v>
      </c>
      <c r="K552" s="5" t="b">
        <v>0</v>
      </c>
      <c r="L552" s="5" t="b">
        <v>1</v>
      </c>
    </row>
    <row r="553">
      <c r="A553" s="14" t="str">
        <f t="shared" si="1"/>
        <v/>
      </c>
      <c r="B553" s="15" t="str">
        <f>IF($C553="","",IF(ROW()=7,Input!$C$3,C552))</f>
        <v/>
      </c>
      <c r="C553" s="6"/>
      <c r="D553" s="6"/>
      <c r="E553" s="10"/>
      <c r="G553" s="6"/>
      <c r="H553" s="6"/>
      <c r="I553" s="10">
        <v>0.0</v>
      </c>
      <c r="J553" s="10">
        <v>0.0</v>
      </c>
      <c r="K553" s="5" t="b">
        <v>0</v>
      </c>
      <c r="L553" s="5" t="b">
        <v>1</v>
      </c>
    </row>
    <row r="554">
      <c r="A554" s="14" t="str">
        <f t="shared" si="1"/>
        <v/>
      </c>
      <c r="B554" s="15" t="str">
        <f>IF($C554="","",IF(ROW()=7,Input!$C$3,C553))</f>
        <v/>
      </c>
      <c r="C554" s="6"/>
      <c r="D554" s="6"/>
      <c r="E554" s="10"/>
      <c r="G554" s="6"/>
      <c r="H554" s="6"/>
      <c r="I554" s="10">
        <v>0.0</v>
      </c>
      <c r="J554" s="10">
        <v>0.0</v>
      </c>
      <c r="K554" s="5" t="b">
        <v>0</v>
      </c>
      <c r="L554" s="5" t="b">
        <v>1</v>
      </c>
    </row>
    <row r="555">
      <c r="A555" s="14" t="str">
        <f t="shared" si="1"/>
        <v/>
      </c>
      <c r="B555" s="15" t="str">
        <f>IF($C555="","",IF(ROW()=7,Input!$C$3,C554))</f>
        <v/>
      </c>
      <c r="C555" s="6"/>
      <c r="D555" s="6"/>
      <c r="E555" s="10"/>
      <c r="G555" s="6"/>
      <c r="H555" s="6"/>
      <c r="I555" s="10">
        <v>0.0</v>
      </c>
      <c r="J555" s="10">
        <v>0.0</v>
      </c>
      <c r="K555" s="5" t="b">
        <v>0</v>
      </c>
      <c r="L555" s="5" t="b">
        <v>1</v>
      </c>
    </row>
    <row r="556">
      <c r="A556" s="14" t="str">
        <f t="shared" si="1"/>
        <v/>
      </c>
      <c r="B556" s="15" t="str">
        <f>IF($C556="","",IF(ROW()=7,Input!$C$3,C555))</f>
        <v/>
      </c>
      <c r="C556" s="6"/>
      <c r="D556" s="6"/>
      <c r="E556" s="10"/>
      <c r="G556" s="6"/>
      <c r="H556" s="6"/>
      <c r="I556" s="10">
        <v>0.0</v>
      </c>
      <c r="J556" s="10">
        <v>0.0</v>
      </c>
      <c r="K556" s="5" t="b">
        <v>0</v>
      </c>
      <c r="L556" s="5" t="b">
        <v>1</v>
      </c>
    </row>
    <row r="557">
      <c r="A557" s="14" t="str">
        <f t="shared" si="1"/>
        <v/>
      </c>
      <c r="B557" s="15" t="str">
        <f>IF($C557="","",IF(ROW()=7,Input!$C$3,C556))</f>
        <v/>
      </c>
      <c r="C557" s="6"/>
      <c r="D557" s="6"/>
      <c r="E557" s="10"/>
      <c r="G557" s="6"/>
      <c r="H557" s="6"/>
      <c r="I557" s="10">
        <v>0.0</v>
      </c>
      <c r="J557" s="10">
        <v>0.0</v>
      </c>
      <c r="K557" s="5" t="b">
        <v>0</v>
      </c>
      <c r="L557" s="5" t="b">
        <v>1</v>
      </c>
    </row>
    <row r="558">
      <c r="A558" s="14" t="str">
        <f t="shared" si="1"/>
        <v/>
      </c>
      <c r="B558" s="15" t="str">
        <f>IF($C558="","",IF(ROW()=7,Input!$C$3,C557))</f>
        <v/>
      </c>
      <c r="C558" s="6"/>
      <c r="D558" s="6"/>
      <c r="E558" s="10"/>
      <c r="G558" s="6"/>
      <c r="H558" s="6"/>
      <c r="I558" s="10">
        <v>0.0</v>
      </c>
      <c r="J558" s="10">
        <v>0.0</v>
      </c>
      <c r="K558" s="5" t="b">
        <v>0</v>
      </c>
      <c r="L558" s="5" t="b">
        <v>1</v>
      </c>
    </row>
    <row r="559">
      <c r="A559" s="14" t="str">
        <f t="shared" si="1"/>
        <v/>
      </c>
      <c r="B559" s="15" t="str">
        <f>IF($C559="","",IF(ROW()=7,Input!$C$3,C558))</f>
        <v/>
      </c>
      <c r="C559" s="6"/>
      <c r="D559" s="6"/>
      <c r="E559" s="10"/>
      <c r="G559" s="6"/>
      <c r="H559" s="6"/>
      <c r="I559" s="10">
        <v>0.0</v>
      </c>
      <c r="J559" s="10">
        <v>0.0</v>
      </c>
      <c r="K559" s="5" t="b">
        <v>0</v>
      </c>
      <c r="L559" s="5" t="b">
        <v>1</v>
      </c>
    </row>
    <row r="560">
      <c r="A560" s="14" t="str">
        <f t="shared" si="1"/>
        <v/>
      </c>
      <c r="B560" s="15" t="str">
        <f>IF($C560="","",IF(ROW()=7,Input!$C$3,C559))</f>
        <v/>
      </c>
      <c r="C560" s="6"/>
      <c r="D560" s="6"/>
      <c r="E560" s="10"/>
      <c r="G560" s="6"/>
      <c r="H560" s="6"/>
      <c r="I560" s="10">
        <v>0.0</v>
      </c>
      <c r="J560" s="10">
        <v>0.0</v>
      </c>
      <c r="K560" s="5" t="b">
        <v>0</v>
      </c>
      <c r="L560" s="5" t="b">
        <v>1</v>
      </c>
    </row>
    <row r="561">
      <c r="A561" s="14" t="str">
        <f t="shared" si="1"/>
        <v/>
      </c>
      <c r="B561" s="15" t="str">
        <f>IF($C561="","",IF(ROW()=7,Input!$C$3,C560))</f>
        <v/>
      </c>
      <c r="C561" s="6"/>
      <c r="D561" s="6"/>
      <c r="E561" s="10"/>
      <c r="G561" s="6"/>
      <c r="H561" s="6"/>
      <c r="I561" s="10">
        <v>0.0</v>
      </c>
      <c r="J561" s="10">
        <v>0.0</v>
      </c>
      <c r="K561" s="5" t="b">
        <v>0</v>
      </c>
      <c r="L561" s="5" t="b">
        <v>1</v>
      </c>
    </row>
    <row r="562">
      <c r="A562" s="14" t="str">
        <f t="shared" si="1"/>
        <v/>
      </c>
      <c r="B562" s="15" t="str">
        <f>IF($C562="","",IF(ROW()=7,Input!$C$3,C561))</f>
        <v/>
      </c>
      <c r="C562" s="6"/>
      <c r="D562" s="6"/>
      <c r="E562" s="10"/>
      <c r="G562" s="6"/>
      <c r="H562" s="6"/>
      <c r="I562" s="10">
        <v>0.0</v>
      </c>
      <c r="J562" s="10">
        <v>0.0</v>
      </c>
      <c r="K562" s="5" t="b">
        <v>0</v>
      </c>
      <c r="L562" s="5" t="b">
        <v>1</v>
      </c>
    </row>
    <row r="563">
      <c r="A563" s="14" t="str">
        <f t="shared" si="1"/>
        <v/>
      </c>
      <c r="B563" s="15" t="str">
        <f>IF($C563="","",IF(ROW()=7,Input!$C$3,C562))</f>
        <v/>
      </c>
      <c r="C563" s="6"/>
      <c r="D563" s="6"/>
      <c r="E563" s="10"/>
      <c r="G563" s="6"/>
      <c r="H563" s="6"/>
      <c r="I563" s="10">
        <v>0.0</v>
      </c>
      <c r="J563" s="10">
        <v>0.0</v>
      </c>
      <c r="K563" s="5" t="b">
        <v>0</v>
      </c>
      <c r="L563" s="5" t="b">
        <v>1</v>
      </c>
    </row>
    <row r="564">
      <c r="A564" s="14" t="str">
        <f t="shared" si="1"/>
        <v/>
      </c>
      <c r="B564" s="15" t="str">
        <f>IF($C564="","",IF(ROW()=7,Input!$C$3,C563))</f>
        <v/>
      </c>
      <c r="C564" s="6"/>
      <c r="D564" s="6"/>
      <c r="E564" s="10"/>
      <c r="G564" s="6"/>
      <c r="H564" s="6"/>
      <c r="I564" s="10">
        <v>0.0</v>
      </c>
      <c r="J564" s="10">
        <v>0.0</v>
      </c>
      <c r="K564" s="5" t="b">
        <v>0</v>
      </c>
      <c r="L564" s="5" t="b">
        <v>1</v>
      </c>
    </row>
    <row r="565">
      <c r="A565" s="14" t="str">
        <f t="shared" si="1"/>
        <v/>
      </c>
      <c r="B565" s="15" t="str">
        <f>IF($C565="","",IF(ROW()=7,Input!$C$3,C564))</f>
        <v/>
      </c>
      <c r="C565" s="6"/>
      <c r="D565" s="6"/>
      <c r="E565" s="10"/>
      <c r="G565" s="6"/>
      <c r="H565" s="6"/>
      <c r="I565" s="10">
        <v>0.0</v>
      </c>
      <c r="J565" s="10">
        <v>0.0</v>
      </c>
      <c r="K565" s="5" t="b">
        <v>0</v>
      </c>
      <c r="L565" s="5" t="b">
        <v>1</v>
      </c>
    </row>
    <row r="566">
      <c r="A566" s="14" t="str">
        <f t="shared" si="1"/>
        <v/>
      </c>
      <c r="B566" s="15" t="str">
        <f>IF($C566="","",IF(ROW()=7,Input!$C$3,C565))</f>
        <v/>
      </c>
      <c r="C566" s="6"/>
      <c r="D566" s="6"/>
      <c r="E566" s="10"/>
      <c r="G566" s="6"/>
      <c r="H566" s="6"/>
      <c r="I566" s="10">
        <v>0.0</v>
      </c>
      <c r="J566" s="10">
        <v>0.0</v>
      </c>
      <c r="K566" s="5" t="b">
        <v>0</v>
      </c>
      <c r="L566" s="5" t="b">
        <v>1</v>
      </c>
    </row>
    <row r="567">
      <c r="A567" s="14" t="str">
        <f t="shared" si="1"/>
        <v/>
      </c>
      <c r="B567" s="15" t="str">
        <f>IF($C567="","",IF(ROW()=7,Input!$C$3,C566))</f>
        <v/>
      </c>
      <c r="C567" s="6"/>
      <c r="D567" s="6"/>
      <c r="E567" s="10"/>
      <c r="G567" s="6"/>
      <c r="H567" s="6"/>
      <c r="I567" s="10">
        <v>0.0</v>
      </c>
      <c r="J567" s="10">
        <v>0.0</v>
      </c>
      <c r="K567" s="5" t="b">
        <v>0</v>
      </c>
      <c r="L567" s="5" t="b">
        <v>1</v>
      </c>
    </row>
    <row r="568">
      <c r="A568" s="14" t="str">
        <f t="shared" si="1"/>
        <v/>
      </c>
      <c r="B568" s="15" t="str">
        <f>IF($C568="","",IF(ROW()=7,Input!$C$3,C567))</f>
        <v/>
      </c>
      <c r="C568" s="6"/>
      <c r="D568" s="6"/>
      <c r="E568" s="10"/>
      <c r="G568" s="6"/>
      <c r="H568" s="6"/>
      <c r="I568" s="10">
        <v>0.0</v>
      </c>
      <c r="J568" s="10">
        <v>0.0</v>
      </c>
      <c r="K568" s="5" t="b">
        <v>0</v>
      </c>
      <c r="L568" s="5" t="b">
        <v>1</v>
      </c>
    </row>
    <row r="569">
      <c r="A569" s="14" t="str">
        <f t="shared" si="1"/>
        <v/>
      </c>
      <c r="B569" s="15" t="str">
        <f>IF($C569="","",IF(ROW()=7,Input!$C$3,C568))</f>
        <v/>
      </c>
      <c r="C569" s="6"/>
      <c r="D569" s="6"/>
      <c r="E569" s="10"/>
      <c r="G569" s="6"/>
      <c r="H569" s="6"/>
      <c r="I569" s="10">
        <v>0.0</v>
      </c>
      <c r="J569" s="10">
        <v>0.0</v>
      </c>
      <c r="K569" s="5" t="b">
        <v>0</v>
      </c>
      <c r="L569" s="5" t="b">
        <v>1</v>
      </c>
    </row>
    <row r="570">
      <c r="A570" s="14" t="str">
        <f t="shared" si="1"/>
        <v/>
      </c>
      <c r="B570" s="15" t="str">
        <f>IF($C570="","",IF(ROW()=7,Input!$C$3,C569))</f>
        <v/>
      </c>
      <c r="C570" s="6"/>
      <c r="D570" s="6"/>
      <c r="E570" s="10"/>
      <c r="G570" s="6"/>
      <c r="H570" s="6"/>
      <c r="I570" s="10">
        <v>0.0</v>
      </c>
      <c r="J570" s="10">
        <v>0.0</v>
      </c>
      <c r="K570" s="5" t="b">
        <v>0</v>
      </c>
      <c r="L570" s="5" t="b">
        <v>1</v>
      </c>
    </row>
    <row r="571">
      <c r="A571" s="14" t="str">
        <f t="shared" si="1"/>
        <v/>
      </c>
      <c r="B571" s="15" t="str">
        <f>IF($C571="","",IF(ROW()=7,Input!$C$3,C570))</f>
        <v/>
      </c>
      <c r="C571" s="6"/>
      <c r="D571" s="6"/>
      <c r="E571" s="10"/>
      <c r="G571" s="6"/>
      <c r="H571" s="6"/>
      <c r="I571" s="10">
        <v>0.0</v>
      </c>
      <c r="J571" s="10">
        <v>0.0</v>
      </c>
      <c r="K571" s="5" t="b">
        <v>0</v>
      </c>
      <c r="L571" s="5" t="b">
        <v>1</v>
      </c>
    </row>
    <row r="572">
      <c r="A572" s="14" t="str">
        <f t="shared" si="1"/>
        <v/>
      </c>
      <c r="B572" s="15" t="str">
        <f>IF($C572="","",IF(ROW()=7,Input!$C$3,C571))</f>
        <v/>
      </c>
      <c r="C572" s="6"/>
      <c r="D572" s="6"/>
      <c r="E572" s="10"/>
      <c r="G572" s="6"/>
      <c r="H572" s="6"/>
      <c r="I572" s="10">
        <v>0.0</v>
      </c>
      <c r="J572" s="10">
        <v>0.0</v>
      </c>
      <c r="K572" s="5" t="b">
        <v>0</v>
      </c>
      <c r="L572" s="5" t="b">
        <v>1</v>
      </c>
    </row>
    <row r="573">
      <c r="A573" s="14" t="str">
        <f t="shared" si="1"/>
        <v/>
      </c>
      <c r="B573" s="15" t="str">
        <f>IF($C573="","",IF(ROW()=7,Input!$C$3,C572))</f>
        <v/>
      </c>
      <c r="C573" s="6"/>
      <c r="D573" s="6"/>
      <c r="E573" s="10"/>
      <c r="G573" s="6"/>
      <c r="H573" s="6"/>
      <c r="I573" s="10">
        <v>0.0</v>
      </c>
      <c r="J573" s="10">
        <v>0.0</v>
      </c>
      <c r="K573" s="5" t="b">
        <v>0</v>
      </c>
      <c r="L573" s="5" t="b">
        <v>1</v>
      </c>
    </row>
    <row r="574">
      <c r="A574" s="14" t="str">
        <f t="shared" si="1"/>
        <v/>
      </c>
      <c r="B574" s="15" t="str">
        <f>IF($C574="","",IF(ROW()=7,Input!$C$3,C573))</f>
        <v/>
      </c>
      <c r="C574" s="6"/>
      <c r="D574" s="6"/>
      <c r="E574" s="10"/>
      <c r="G574" s="6"/>
      <c r="H574" s="6"/>
      <c r="I574" s="10">
        <v>0.0</v>
      </c>
      <c r="J574" s="10">
        <v>0.0</v>
      </c>
      <c r="K574" s="5" t="b">
        <v>0</v>
      </c>
      <c r="L574" s="5" t="b">
        <v>1</v>
      </c>
    </row>
    <row r="575">
      <c r="A575" s="14" t="str">
        <f t="shared" si="1"/>
        <v/>
      </c>
      <c r="B575" s="15" t="str">
        <f>IF($C575="","",IF(ROW()=7,Input!$C$3,C574))</f>
        <v/>
      </c>
      <c r="C575" s="6"/>
      <c r="D575" s="6"/>
      <c r="E575" s="10"/>
      <c r="G575" s="6"/>
      <c r="H575" s="6"/>
      <c r="I575" s="10">
        <v>0.0</v>
      </c>
      <c r="J575" s="10">
        <v>0.0</v>
      </c>
      <c r="K575" s="5" t="b">
        <v>0</v>
      </c>
      <c r="L575" s="5" t="b">
        <v>1</v>
      </c>
    </row>
    <row r="576">
      <c r="A576" s="14" t="str">
        <f t="shared" si="1"/>
        <v/>
      </c>
      <c r="B576" s="15" t="str">
        <f>IF($C576="","",IF(ROW()=7,Input!$C$3,C575))</f>
        <v/>
      </c>
      <c r="C576" s="6"/>
      <c r="D576" s="6"/>
      <c r="E576" s="10"/>
      <c r="G576" s="6"/>
      <c r="H576" s="6"/>
      <c r="I576" s="10">
        <v>0.0</v>
      </c>
      <c r="J576" s="10">
        <v>0.0</v>
      </c>
      <c r="K576" s="5" t="b">
        <v>0</v>
      </c>
      <c r="L576" s="5" t="b">
        <v>1</v>
      </c>
    </row>
    <row r="577">
      <c r="A577" s="14" t="str">
        <f t="shared" si="1"/>
        <v/>
      </c>
      <c r="B577" s="15" t="str">
        <f>IF($C577="","",IF(ROW()=7,Input!$C$3,C576))</f>
        <v/>
      </c>
      <c r="C577" s="6"/>
      <c r="D577" s="6"/>
      <c r="E577" s="10"/>
      <c r="G577" s="6"/>
      <c r="H577" s="6"/>
      <c r="I577" s="10">
        <v>0.0</v>
      </c>
      <c r="J577" s="10">
        <v>0.0</v>
      </c>
      <c r="K577" s="5" t="b">
        <v>0</v>
      </c>
      <c r="L577" s="5" t="b">
        <v>1</v>
      </c>
    </row>
    <row r="578">
      <c r="A578" s="14" t="str">
        <f t="shared" si="1"/>
        <v/>
      </c>
      <c r="B578" s="15" t="str">
        <f>IF($C578="","",IF(ROW()=7,Input!$C$3,C577))</f>
        <v/>
      </c>
      <c r="C578" s="6"/>
      <c r="D578" s="6"/>
      <c r="E578" s="10"/>
      <c r="G578" s="6"/>
      <c r="H578" s="6"/>
      <c r="I578" s="10">
        <v>0.0</v>
      </c>
      <c r="J578" s="10">
        <v>0.0</v>
      </c>
      <c r="K578" s="5" t="b">
        <v>0</v>
      </c>
      <c r="L578" s="5" t="b">
        <v>1</v>
      </c>
    </row>
    <row r="579">
      <c r="A579" s="14" t="str">
        <f t="shared" si="1"/>
        <v/>
      </c>
      <c r="B579" s="15" t="str">
        <f>IF($C579="","",IF(ROW()=7,Input!$C$3,C578))</f>
        <v/>
      </c>
      <c r="C579" s="6"/>
      <c r="D579" s="6"/>
      <c r="E579" s="10"/>
      <c r="G579" s="6"/>
      <c r="H579" s="6"/>
      <c r="I579" s="10">
        <v>0.0</v>
      </c>
      <c r="J579" s="10">
        <v>0.0</v>
      </c>
      <c r="K579" s="5" t="b">
        <v>0</v>
      </c>
      <c r="L579" s="5" t="b">
        <v>1</v>
      </c>
    </row>
    <row r="580">
      <c r="A580" s="14" t="str">
        <f t="shared" si="1"/>
        <v/>
      </c>
      <c r="B580" s="15" t="str">
        <f>IF($C580="","",IF(ROW()=7,Input!$C$3,C579))</f>
        <v/>
      </c>
      <c r="C580" s="6"/>
      <c r="D580" s="6"/>
      <c r="E580" s="10"/>
      <c r="G580" s="6"/>
      <c r="H580" s="6"/>
      <c r="I580" s="10">
        <v>0.0</v>
      </c>
      <c r="J580" s="10">
        <v>0.0</v>
      </c>
      <c r="K580" s="5" t="b">
        <v>0</v>
      </c>
      <c r="L580" s="5" t="b">
        <v>1</v>
      </c>
    </row>
    <row r="581">
      <c r="A581" s="14" t="str">
        <f t="shared" si="1"/>
        <v/>
      </c>
      <c r="B581" s="15" t="str">
        <f>IF($C581="","",IF(ROW()=7,Input!$C$3,C580))</f>
        <v/>
      </c>
      <c r="C581" s="6"/>
      <c r="D581" s="6"/>
      <c r="E581" s="10"/>
      <c r="G581" s="6"/>
      <c r="H581" s="6"/>
      <c r="I581" s="10">
        <v>0.0</v>
      </c>
      <c r="J581" s="10">
        <v>0.0</v>
      </c>
      <c r="K581" s="5" t="b">
        <v>0</v>
      </c>
      <c r="L581" s="5" t="b">
        <v>1</v>
      </c>
    </row>
    <row r="582">
      <c r="A582" s="14" t="str">
        <f t="shared" si="1"/>
        <v/>
      </c>
      <c r="B582" s="15" t="str">
        <f>IF($C582="","",IF(ROW()=7,Input!$C$3,C581))</f>
        <v/>
      </c>
      <c r="C582" s="6"/>
      <c r="D582" s="6"/>
      <c r="E582" s="10"/>
      <c r="G582" s="6"/>
      <c r="H582" s="6"/>
      <c r="I582" s="10">
        <v>0.0</v>
      </c>
      <c r="J582" s="10">
        <v>0.0</v>
      </c>
      <c r="K582" s="5" t="b">
        <v>0</v>
      </c>
      <c r="L582" s="5" t="b">
        <v>1</v>
      </c>
    </row>
    <row r="583">
      <c r="A583" s="14" t="str">
        <f t="shared" si="1"/>
        <v/>
      </c>
      <c r="B583" s="15" t="str">
        <f>IF($C583="","",IF(ROW()=7,Input!$C$3,C582))</f>
        <v/>
      </c>
      <c r="C583" s="6"/>
      <c r="D583" s="6"/>
      <c r="E583" s="10"/>
      <c r="G583" s="6"/>
      <c r="H583" s="6"/>
      <c r="I583" s="10">
        <v>0.0</v>
      </c>
      <c r="J583" s="10">
        <v>0.0</v>
      </c>
      <c r="K583" s="5" t="b">
        <v>0</v>
      </c>
      <c r="L583" s="5" t="b">
        <v>1</v>
      </c>
    </row>
    <row r="584">
      <c r="A584" s="14" t="str">
        <f t="shared" si="1"/>
        <v/>
      </c>
      <c r="B584" s="15" t="str">
        <f>IF($C584="","",IF(ROW()=7,Input!$C$3,C583))</f>
        <v/>
      </c>
      <c r="C584" s="6"/>
      <c r="D584" s="6"/>
      <c r="E584" s="10"/>
      <c r="G584" s="6"/>
      <c r="H584" s="6"/>
      <c r="I584" s="10">
        <v>0.0</v>
      </c>
      <c r="J584" s="10">
        <v>0.0</v>
      </c>
      <c r="K584" s="5" t="b">
        <v>0</v>
      </c>
      <c r="L584" s="5" t="b">
        <v>1</v>
      </c>
    </row>
    <row r="585">
      <c r="A585" s="14" t="str">
        <f t="shared" si="1"/>
        <v/>
      </c>
      <c r="B585" s="15" t="str">
        <f>IF($C585="","",IF(ROW()=7,Input!$C$3,C584))</f>
        <v/>
      </c>
      <c r="C585" s="6"/>
      <c r="D585" s="6"/>
      <c r="E585" s="10"/>
      <c r="G585" s="6"/>
      <c r="H585" s="6"/>
      <c r="I585" s="10">
        <v>0.0</v>
      </c>
      <c r="J585" s="10">
        <v>0.0</v>
      </c>
      <c r="K585" s="5" t="b">
        <v>0</v>
      </c>
      <c r="L585" s="5" t="b">
        <v>1</v>
      </c>
    </row>
    <row r="586">
      <c r="A586" s="14" t="str">
        <f t="shared" si="1"/>
        <v/>
      </c>
      <c r="B586" s="15" t="str">
        <f>IF($C586="","",IF(ROW()=7,Input!$C$3,C585))</f>
        <v/>
      </c>
      <c r="C586" s="6"/>
      <c r="D586" s="6"/>
      <c r="E586" s="10"/>
      <c r="G586" s="6"/>
      <c r="H586" s="6"/>
      <c r="I586" s="10">
        <v>0.0</v>
      </c>
      <c r="J586" s="10">
        <v>0.0</v>
      </c>
      <c r="K586" s="5" t="b">
        <v>0</v>
      </c>
      <c r="L586" s="5" t="b">
        <v>1</v>
      </c>
    </row>
    <row r="587">
      <c r="A587" s="14" t="str">
        <f t="shared" si="1"/>
        <v/>
      </c>
      <c r="B587" s="15" t="str">
        <f>IF($C587="","",IF(ROW()=7,Input!$C$3,C586))</f>
        <v/>
      </c>
      <c r="C587" s="6"/>
      <c r="D587" s="6"/>
      <c r="E587" s="10"/>
      <c r="G587" s="6"/>
      <c r="H587" s="6"/>
      <c r="I587" s="10">
        <v>0.0</v>
      </c>
      <c r="J587" s="10">
        <v>0.0</v>
      </c>
      <c r="K587" s="5" t="b">
        <v>0</v>
      </c>
      <c r="L587" s="5" t="b">
        <v>1</v>
      </c>
    </row>
    <row r="588">
      <c r="A588" s="14" t="str">
        <f t="shared" si="1"/>
        <v/>
      </c>
      <c r="B588" s="15" t="str">
        <f>IF($C588="","",IF(ROW()=7,Input!$C$3,C587))</f>
        <v/>
      </c>
      <c r="C588" s="6"/>
      <c r="D588" s="6"/>
      <c r="E588" s="10"/>
      <c r="G588" s="6"/>
      <c r="H588" s="6"/>
      <c r="I588" s="10">
        <v>0.0</v>
      </c>
      <c r="J588" s="10">
        <v>0.0</v>
      </c>
      <c r="K588" s="5" t="b">
        <v>0</v>
      </c>
      <c r="L588" s="5" t="b">
        <v>1</v>
      </c>
    </row>
    <row r="589">
      <c r="A589" s="14" t="str">
        <f t="shared" si="1"/>
        <v/>
      </c>
      <c r="B589" s="15" t="str">
        <f>IF($C589="","",IF(ROW()=7,Input!$C$3,C588))</f>
        <v/>
      </c>
      <c r="C589" s="6"/>
      <c r="D589" s="6"/>
      <c r="E589" s="10"/>
      <c r="G589" s="6"/>
      <c r="H589" s="6"/>
      <c r="I589" s="10">
        <v>0.0</v>
      </c>
      <c r="J589" s="10">
        <v>0.0</v>
      </c>
      <c r="K589" s="5" t="b">
        <v>0</v>
      </c>
      <c r="L589" s="5" t="b">
        <v>1</v>
      </c>
    </row>
    <row r="590">
      <c r="A590" s="14" t="str">
        <f t="shared" si="1"/>
        <v/>
      </c>
      <c r="B590" s="15" t="str">
        <f>IF($C590="","",IF(ROW()=7,Input!$C$3,C589))</f>
        <v/>
      </c>
      <c r="C590" s="6"/>
      <c r="D590" s="6"/>
      <c r="E590" s="10"/>
      <c r="G590" s="6"/>
      <c r="H590" s="6"/>
      <c r="I590" s="10">
        <v>0.0</v>
      </c>
      <c r="J590" s="10">
        <v>0.0</v>
      </c>
      <c r="K590" s="5" t="b">
        <v>0</v>
      </c>
      <c r="L590" s="5" t="b">
        <v>1</v>
      </c>
    </row>
    <row r="591">
      <c r="A591" s="14" t="str">
        <f t="shared" si="1"/>
        <v/>
      </c>
      <c r="B591" s="15" t="str">
        <f>IF($C591="","",IF(ROW()=7,Input!$C$3,C590))</f>
        <v/>
      </c>
      <c r="C591" s="6"/>
      <c r="D591" s="6"/>
      <c r="E591" s="10"/>
      <c r="G591" s="6"/>
      <c r="H591" s="6"/>
      <c r="I591" s="10">
        <v>0.0</v>
      </c>
      <c r="J591" s="10">
        <v>0.0</v>
      </c>
      <c r="K591" s="5" t="b">
        <v>0</v>
      </c>
      <c r="L591" s="5" t="b">
        <v>1</v>
      </c>
    </row>
    <row r="592">
      <c r="A592" s="14" t="str">
        <f t="shared" si="1"/>
        <v/>
      </c>
      <c r="B592" s="15" t="str">
        <f>IF($C592="","",IF(ROW()=7,Input!$C$3,C591))</f>
        <v/>
      </c>
      <c r="C592" s="6"/>
      <c r="D592" s="6"/>
      <c r="E592" s="10"/>
      <c r="G592" s="6"/>
      <c r="H592" s="6"/>
      <c r="I592" s="10">
        <v>0.0</v>
      </c>
      <c r="J592" s="10">
        <v>0.0</v>
      </c>
      <c r="K592" s="5" t="b">
        <v>0</v>
      </c>
      <c r="L592" s="5" t="b">
        <v>1</v>
      </c>
    </row>
    <row r="593">
      <c r="A593" s="14" t="str">
        <f t="shared" si="1"/>
        <v/>
      </c>
      <c r="B593" s="15" t="str">
        <f>IF($C593="","",IF(ROW()=7,Input!$C$3,C592))</f>
        <v/>
      </c>
      <c r="C593" s="6"/>
      <c r="D593" s="6"/>
      <c r="E593" s="10"/>
      <c r="G593" s="6"/>
      <c r="H593" s="6"/>
      <c r="I593" s="10">
        <v>0.0</v>
      </c>
      <c r="J593" s="10">
        <v>0.0</v>
      </c>
      <c r="K593" s="5" t="b">
        <v>0</v>
      </c>
      <c r="L593" s="5" t="b">
        <v>1</v>
      </c>
    </row>
    <row r="594">
      <c r="A594" s="14" t="str">
        <f t="shared" si="1"/>
        <v/>
      </c>
      <c r="B594" s="15" t="str">
        <f>IF($C594="","",IF(ROW()=7,Input!$C$3,C593))</f>
        <v/>
      </c>
      <c r="C594" s="6"/>
      <c r="D594" s="6"/>
      <c r="E594" s="10"/>
      <c r="G594" s="6"/>
      <c r="H594" s="6"/>
      <c r="I594" s="10">
        <v>0.0</v>
      </c>
      <c r="J594" s="10">
        <v>0.0</v>
      </c>
      <c r="K594" s="5" t="b">
        <v>0</v>
      </c>
      <c r="L594" s="5" t="b">
        <v>1</v>
      </c>
    </row>
    <row r="595">
      <c r="A595" s="14" t="str">
        <f t="shared" si="1"/>
        <v/>
      </c>
      <c r="B595" s="15" t="str">
        <f>IF($C595="","",IF(ROW()=7,Input!$C$3,C594))</f>
        <v/>
      </c>
      <c r="C595" s="6"/>
      <c r="D595" s="6"/>
      <c r="E595" s="10"/>
      <c r="G595" s="6"/>
      <c r="H595" s="6"/>
      <c r="I595" s="10">
        <v>0.0</v>
      </c>
      <c r="J595" s="10">
        <v>0.0</v>
      </c>
      <c r="K595" s="5" t="b">
        <v>0</v>
      </c>
      <c r="L595" s="5" t="b">
        <v>1</v>
      </c>
    </row>
    <row r="596">
      <c r="A596" s="14" t="str">
        <f t="shared" si="1"/>
        <v/>
      </c>
      <c r="B596" s="15" t="str">
        <f>IF($C596="","",IF(ROW()=7,Input!$C$3,C595))</f>
        <v/>
      </c>
      <c r="C596" s="6"/>
      <c r="D596" s="6"/>
      <c r="E596" s="10"/>
      <c r="G596" s="6"/>
      <c r="H596" s="6"/>
      <c r="I596" s="10">
        <v>0.0</v>
      </c>
      <c r="J596" s="10">
        <v>0.0</v>
      </c>
      <c r="K596" s="5" t="b">
        <v>0</v>
      </c>
      <c r="L596" s="5" t="b">
        <v>1</v>
      </c>
    </row>
    <row r="597">
      <c r="A597" s="14" t="str">
        <f t="shared" si="1"/>
        <v/>
      </c>
      <c r="B597" s="15" t="str">
        <f>IF($C597="","",IF(ROW()=7,Input!$C$3,C596))</f>
        <v/>
      </c>
      <c r="C597" s="6"/>
      <c r="D597" s="6"/>
      <c r="E597" s="10"/>
      <c r="G597" s="6"/>
      <c r="H597" s="6"/>
      <c r="I597" s="10">
        <v>0.0</v>
      </c>
      <c r="J597" s="10">
        <v>0.0</v>
      </c>
      <c r="K597" s="5" t="b">
        <v>0</v>
      </c>
      <c r="L597" s="5" t="b">
        <v>1</v>
      </c>
    </row>
    <row r="598">
      <c r="A598" s="14" t="str">
        <f t="shared" si="1"/>
        <v/>
      </c>
      <c r="B598" s="15" t="str">
        <f>IF($C598="","",IF(ROW()=7,Input!$C$3,C597))</f>
        <v/>
      </c>
      <c r="C598" s="6"/>
      <c r="D598" s="6"/>
      <c r="E598" s="10"/>
      <c r="G598" s="6"/>
      <c r="H598" s="6"/>
      <c r="I598" s="10">
        <v>0.0</v>
      </c>
      <c r="J598" s="10">
        <v>0.0</v>
      </c>
      <c r="K598" s="5" t="b">
        <v>0</v>
      </c>
      <c r="L598" s="5" t="b">
        <v>1</v>
      </c>
    </row>
    <row r="599">
      <c r="A599" s="14" t="str">
        <f t="shared" si="1"/>
        <v/>
      </c>
      <c r="B599" s="15" t="str">
        <f>IF($C599="","",IF(ROW()=7,Input!$C$3,C598))</f>
        <v/>
      </c>
      <c r="C599" s="6"/>
      <c r="D599" s="6"/>
      <c r="E599" s="10"/>
      <c r="G599" s="6"/>
      <c r="H599" s="6"/>
      <c r="I599" s="10">
        <v>0.0</v>
      </c>
      <c r="J599" s="10">
        <v>0.0</v>
      </c>
      <c r="K599" s="5" t="b">
        <v>0</v>
      </c>
      <c r="L599" s="5" t="b">
        <v>1</v>
      </c>
    </row>
    <row r="600">
      <c r="A600" s="14" t="str">
        <f t="shared" si="1"/>
        <v/>
      </c>
      <c r="B600" s="15" t="str">
        <f>IF($C600="","",IF(ROW()=7,Input!$C$3,C599))</f>
        <v/>
      </c>
      <c r="C600" s="6"/>
      <c r="D600" s="6"/>
      <c r="E600" s="10"/>
      <c r="G600" s="6"/>
      <c r="H600" s="6"/>
      <c r="I600" s="10">
        <v>0.0</v>
      </c>
      <c r="J600" s="10">
        <v>0.0</v>
      </c>
      <c r="K600" s="5" t="b">
        <v>0</v>
      </c>
      <c r="L600" s="5" t="b">
        <v>1</v>
      </c>
    </row>
    <row r="601">
      <c r="A601" s="14" t="str">
        <f t="shared" si="1"/>
        <v/>
      </c>
      <c r="B601" s="15" t="str">
        <f>IF($C601="","",IF(ROW()=7,Input!$C$3,C600))</f>
        <v/>
      </c>
      <c r="C601" s="6"/>
      <c r="D601" s="6"/>
      <c r="E601" s="10"/>
      <c r="G601" s="6"/>
      <c r="H601" s="6"/>
      <c r="I601" s="10">
        <v>0.0</v>
      </c>
      <c r="J601" s="10">
        <v>0.0</v>
      </c>
      <c r="K601" s="5" t="b">
        <v>0</v>
      </c>
      <c r="L601" s="5" t="b">
        <v>1</v>
      </c>
    </row>
    <row r="602">
      <c r="A602" s="14" t="str">
        <f t="shared" si="1"/>
        <v/>
      </c>
      <c r="B602" s="15" t="str">
        <f>IF($C602="","",IF(ROW()=7,Input!$C$3,C601))</f>
        <v/>
      </c>
      <c r="C602" s="6"/>
      <c r="D602" s="6"/>
      <c r="E602" s="10"/>
      <c r="G602" s="6"/>
      <c r="H602" s="6"/>
      <c r="I602" s="10">
        <v>0.0</v>
      </c>
      <c r="J602" s="10">
        <v>0.0</v>
      </c>
      <c r="K602" s="5" t="b">
        <v>0</v>
      </c>
      <c r="L602" s="5" t="b">
        <v>1</v>
      </c>
    </row>
    <row r="603">
      <c r="A603" s="14" t="str">
        <f t="shared" si="1"/>
        <v/>
      </c>
      <c r="B603" s="15" t="str">
        <f>IF($C603="","",IF(ROW()=7,Input!$C$3,C602))</f>
        <v/>
      </c>
      <c r="C603" s="6"/>
      <c r="D603" s="6"/>
      <c r="E603" s="10"/>
      <c r="G603" s="6"/>
      <c r="H603" s="6"/>
      <c r="I603" s="10">
        <v>0.0</v>
      </c>
      <c r="J603" s="10">
        <v>0.0</v>
      </c>
      <c r="K603" s="5" t="b">
        <v>0</v>
      </c>
      <c r="L603" s="5" t="b">
        <v>1</v>
      </c>
    </row>
    <row r="604">
      <c r="A604" s="14" t="str">
        <f t="shared" si="1"/>
        <v/>
      </c>
      <c r="B604" s="15" t="str">
        <f>IF($C604="","",IF(ROW()=7,Input!$C$3,C603))</f>
        <v/>
      </c>
      <c r="C604" s="6"/>
      <c r="D604" s="6"/>
      <c r="E604" s="10"/>
      <c r="G604" s="6"/>
      <c r="H604" s="6"/>
      <c r="I604" s="10">
        <v>0.0</v>
      </c>
      <c r="J604" s="10">
        <v>0.0</v>
      </c>
      <c r="K604" s="5" t="b">
        <v>0</v>
      </c>
      <c r="L604" s="5" t="b">
        <v>1</v>
      </c>
    </row>
    <row r="605">
      <c r="A605" s="14" t="str">
        <f t="shared" si="1"/>
        <v/>
      </c>
      <c r="B605" s="15" t="str">
        <f>IF($C605="","",IF(ROW()=7,Input!$C$3,C604))</f>
        <v/>
      </c>
      <c r="C605" s="6"/>
      <c r="D605" s="6"/>
      <c r="E605" s="10"/>
      <c r="G605" s="6"/>
      <c r="H605" s="6"/>
      <c r="I605" s="10">
        <v>0.0</v>
      </c>
      <c r="J605" s="10">
        <v>0.0</v>
      </c>
      <c r="K605" s="5" t="b">
        <v>0</v>
      </c>
      <c r="L605" s="5" t="b">
        <v>1</v>
      </c>
    </row>
    <row r="606">
      <c r="A606" s="14" t="str">
        <f t="shared" si="1"/>
        <v/>
      </c>
      <c r="B606" s="15" t="str">
        <f>IF($C606="","",IF(ROW()=7,Input!$C$3,C605))</f>
        <v/>
      </c>
      <c r="C606" s="6"/>
      <c r="D606" s="6"/>
      <c r="E606" s="10"/>
      <c r="G606" s="6"/>
      <c r="H606" s="6"/>
      <c r="I606" s="10">
        <v>0.0</v>
      </c>
      <c r="J606" s="10">
        <v>0.0</v>
      </c>
      <c r="K606" s="5" t="b">
        <v>0</v>
      </c>
      <c r="L606" s="5" t="b">
        <v>1</v>
      </c>
    </row>
    <row r="607">
      <c r="A607" s="14" t="str">
        <f t="shared" si="1"/>
        <v/>
      </c>
      <c r="B607" s="15" t="str">
        <f>IF($C607="","",IF(ROW()=7,Input!$C$3,C606))</f>
        <v/>
      </c>
      <c r="C607" s="6"/>
      <c r="D607" s="6"/>
      <c r="E607" s="10"/>
      <c r="G607" s="6"/>
      <c r="H607" s="6"/>
      <c r="I607" s="10">
        <v>0.0</v>
      </c>
      <c r="J607" s="10">
        <v>0.0</v>
      </c>
      <c r="K607" s="5" t="b">
        <v>0</v>
      </c>
      <c r="L607" s="5" t="b">
        <v>1</v>
      </c>
    </row>
    <row r="608">
      <c r="A608" s="14" t="str">
        <f t="shared" si="1"/>
        <v/>
      </c>
      <c r="B608" s="15" t="str">
        <f>IF($C608="","",IF(ROW()=7,Input!$C$3,C607))</f>
        <v/>
      </c>
      <c r="C608" s="6"/>
      <c r="D608" s="6"/>
      <c r="E608" s="10"/>
      <c r="G608" s="6"/>
      <c r="H608" s="6"/>
      <c r="I608" s="10">
        <v>0.0</v>
      </c>
      <c r="J608" s="10">
        <v>0.0</v>
      </c>
      <c r="K608" s="5" t="b">
        <v>0</v>
      </c>
      <c r="L608" s="5" t="b">
        <v>1</v>
      </c>
    </row>
    <row r="609">
      <c r="A609" s="14" t="str">
        <f t="shared" si="1"/>
        <v/>
      </c>
      <c r="B609" s="15" t="str">
        <f>IF($C609="","",IF(ROW()=7,Input!$C$3,C608))</f>
        <v/>
      </c>
      <c r="C609" s="6"/>
      <c r="D609" s="6"/>
      <c r="E609" s="10"/>
      <c r="G609" s="6"/>
      <c r="H609" s="6"/>
      <c r="I609" s="10">
        <v>0.0</v>
      </c>
      <c r="J609" s="10">
        <v>0.0</v>
      </c>
      <c r="K609" s="5" t="b">
        <v>0</v>
      </c>
      <c r="L609" s="5" t="b">
        <v>1</v>
      </c>
    </row>
    <row r="610">
      <c r="A610" s="14" t="str">
        <f t="shared" si="1"/>
        <v/>
      </c>
      <c r="B610" s="15" t="str">
        <f>IF($C610="","",IF(ROW()=7,Input!$C$3,C609))</f>
        <v/>
      </c>
      <c r="C610" s="6"/>
      <c r="D610" s="6"/>
      <c r="E610" s="10"/>
      <c r="G610" s="6"/>
      <c r="H610" s="6"/>
      <c r="I610" s="10">
        <v>0.0</v>
      </c>
      <c r="J610" s="10">
        <v>0.0</v>
      </c>
      <c r="K610" s="5" t="b">
        <v>0</v>
      </c>
      <c r="L610" s="5" t="b">
        <v>1</v>
      </c>
    </row>
    <row r="611">
      <c r="A611" s="14" t="str">
        <f t="shared" si="1"/>
        <v/>
      </c>
      <c r="B611" s="15" t="str">
        <f>IF($C611="","",IF(ROW()=7,Input!$C$3,C610))</f>
        <v/>
      </c>
      <c r="C611" s="6"/>
      <c r="D611" s="6"/>
      <c r="E611" s="10"/>
      <c r="G611" s="6"/>
      <c r="H611" s="6"/>
      <c r="I611" s="10">
        <v>0.0</v>
      </c>
      <c r="J611" s="10">
        <v>0.0</v>
      </c>
      <c r="K611" s="5" t="b">
        <v>0</v>
      </c>
      <c r="L611" s="5" t="b">
        <v>1</v>
      </c>
    </row>
    <row r="612">
      <c r="A612" s="14" t="str">
        <f t="shared" si="1"/>
        <v/>
      </c>
      <c r="B612" s="15" t="str">
        <f>IF($C612="","",IF(ROW()=7,Input!$C$3,C611))</f>
        <v/>
      </c>
      <c r="C612" s="6"/>
      <c r="D612" s="6"/>
      <c r="E612" s="10"/>
      <c r="G612" s="6"/>
      <c r="H612" s="6"/>
      <c r="I612" s="10">
        <v>0.0</v>
      </c>
      <c r="J612" s="10">
        <v>0.0</v>
      </c>
      <c r="K612" s="5" t="b">
        <v>0</v>
      </c>
      <c r="L612" s="5" t="b">
        <v>1</v>
      </c>
    </row>
    <row r="613">
      <c r="A613" s="14" t="str">
        <f t="shared" si="1"/>
        <v/>
      </c>
      <c r="B613" s="15" t="str">
        <f>IF($C613="","",IF(ROW()=7,Input!$C$3,C612))</f>
        <v/>
      </c>
      <c r="C613" s="6"/>
      <c r="D613" s="6"/>
      <c r="E613" s="10"/>
      <c r="G613" s="6"/>
      <c r="H613" s="6"/>
      <c r="I613" s="10">
        <v>0.0</v>
      </c>
      <c r="J613" s="10">
        <v>0.0</v>
      </c>
      <c r="K613" s="5" t="b">
        <v>0</v>
      </c>
      <c r="L613" s="5" t="b">
        <v>1</v>
      </c>
    </row>
    <row r="614">
      <c r="A614" s="14" t="str">
        <f t="shared" si="1"/>
        <v/>
      </c>
      <c r="B614" s="15" t="str">
        <f>IF($C614="","",IF(ROW()=7,Input!$C$3,C613))</f>
        <v/>
      </c>
      <c r="C614" s="6"/>
      <c r="D614" s="6"/>
      <c r="E614" s="10"/>
      <c r="G614" s="6"/>
      <c r="H614" s="6"/>
      <c r="I614" s="10">
        <v>0.0</v>
      </c>
      <c r="J614" s="10">
        <v>0.0</v>
      </c>
      <c r="K614" s="5" t="b">
        <v>0</v>
      </c>
      <c r="L614" s="5" t="b">
        <v>1</v>
      </c>
    </row>
    <row r="615">
      <c r="A615" s="14" t="str">
        <f t="shared" si="1"/>
        <v/>
      </c>
      <c r="B615" s="15" t="str">
        <f>IF($C615="","",IF(ROW()=7,Input!$C$3,C614))</f>
        <v/>
      </c>
      <c r="C615" s="6"/>
      <c r="D615" s="6"/>
      <c r="E615" s="10"/>
      <c r="G615" s="6"/>
      <c r="H615" s="6"/>
      <c r="I615" s="10">
        <v>0.0</v>
      </c>
      <c r="J615" s="10">
        <v>0.0</v>
      </c>
      <c r="K615" s="5" t="b">
        <v>0</v>
      </c>
      <c r="L615" s="5" t="b">
        <v>1</v>
      </c>
    </row>
    <row r="616">
      <c r="A616" s="14" t="str">
        <f t="shared" si="1"/>
        <v/>
      </c>
      <c r="B616" s="15" t="str">
        <f>IF($C616="","",IF(ROW()=7,Input!$C$3,C615))</f>
        <v/>
      </c>
      <c r="C616" s="6"/>
      <c r="D616" s="6"/>
      <c r="E616" s="10"/>
      <c r="G616" s="6"/>
      <c r="H616" s="6"/>
      <c r="I616" s="10">
        <v>0.0</v>
      </c>
      <c r="J616" s="10">
        <v>0.0</v>
      </c>
      <c r="K616" s="5" t="b">
        <v>0</v>
      </c>
      <c r="L616" s="5" t="b">
        <v>1</v>
      </c>
    </row>
    <row r="617">
      <c r="A617" s="14" t="str">
        <f t="shared" si="1"/>
        <v/>
      </c>
      <c r="B617" s="15" t="str">
        <f>IF($C617="","",IF(ROW()=7,Input!$C$3,C616))</f>
        <v/>
      </c>
      <c r="C617" s="6"/>
      <c r="D617" s="6"/>
      <c r="E617" s="10"/>
      <c r="G617" s="6"/>
      <c r="H617" s="6"/>
      <c r="I617" s="10">
        <v>0.0</v>
      </c>
      <c r="J617" s="10">
        <v>0.0</v>
      </c>
      <c r="K617" s="5" t="b">
        <v>0</v>
      </c>
      <c r="L617" s="5" t="b">
        <v>1</v>
      </c>
    </row>
    <row r="618">
      <c r="A618" s="14" t="str">
        <f t="shared" si="1"/>
        <v/>
      </c>
      <c r="B618" s="15" t="str">
        <f>IF($C618="","",IF(ROW()=7,Input!$C$3,C617))</f>
        <v/>
      </c>
      <c r="C618" s="6"/>
      <c r="D618" s="6"/>
      <c r="E618" s="10"/>
      <c r="G618" s="6"/>
      <c r="H618" s="6"/>
      <c r="I618" s="10">
        <v>0.0</v>
      </c>
      <c r="J618" s="10">
        <v>0.0</v>
      </c>
      <c r="K618" s="5" t="b">
        <v>0</v>
      </c>
      <c r="L618" s="5" t="b">
        <v>1</v>
      </c>
    </row>
    <row r="619">
      <c r="A619" s="14" t="str">
        <f t="shared" si="1"/>
        <v/>
      </c>
      <c r="B619" s="15" t="str">
        <f>IF($C619="","",IF(ROW()=7,Input!$C$3,C618))</f>
        <v/>
      </c>
      <c r="C619" s="6"/>
      <c r="D619" s="6"/>
      <c r="E619" s="10"/>
      <c r="G619" s="6"/>
      <c r="H619" s="6"/>
      <c r="I619" s="10">
        <v>0.0</v>
      </c>
      <c r="J619" s="10">
        <v>0.0</v>
      </c>
      <c r="K619" s="5" t="b">
        <v>0</v>
      </c>
      <c r="L619" s="5" t="b">
        <v>1</v>
      </c>
    </row>
    <row r="620">
      <c r="A620" s="14" t="str">
        <f t="shared" si="1"/>
        <v/>
      </c>
      <c r="B620" s="15" t="str">
        <f>IF($C620="","",IF(ROW()=7,Input!$C$3,C619))</f>
        <v/>
      </c>
      <c r="C620" s="6"/>
      <c r="D620" s="6"/>
      <c r="E620" s="10"/>
      <c r="G620" s="6"/>
      <c r="H620" s="6"/>
      <c r="I620" s="10">
        <v>0.0</v>
      </c>
      <c r="J620" s="10">
        <v>0.0</v>
      </c>
      <c r="K620" s="5" t="b">
        <v>0</v>
      </c>
      <c r="L620" s="5" t="b">
        <v>1</v>
      </c>
    </row>
    <row r="621">
      <c r="A621" s="14" t="str">
        <f t="shared" si="1"/>
        <v/>
      </c>
      <c r="B621" s="15" t="str">
        <f>IF($C621="","",IF(ROW()=7,Input!$C$3,C620))</f>
        <v/>
      </c>
      <c r="C621" s="6"/>
      <c r="D621" s="6"/>
      <c r="E621" s="10"/>
      <c r="G621" s="6"/>
      <c r="H621" s="6"/>
      <c r="I621" s="10">
        <v>0.0</v>
      </c>
      <c r="J621" s="10">
        <v>0.0</v>
      </c>
      <c r="K621" s="5" t="b">
        <v>0</v>
      </c>
      <c r="L621" s="5" t="b">
        <v>1</v>
      </c>
    </row>
    <row r="622">
      <c r="A622" s="14" t="str">
        <f t="shared" si="1"/>
        <v/>
      </c>
      <c r="B622" s="15" t="str">
        <f>IF($C622="","",IF(ROW()=7,Input!$C$3,C621))</f>
        <v/>
      </c>
      <c r="C622" s="6"/>
      <c r="D622" s="6"/>
      <c r="E622" s="10"/>
      <c r="G622" s="6"/>
      <c r="H622" s="6"/>
      <c r="I622" s="10">
        <v>0.0</v>
      </c>
      <c r="J622" s="10">
        <v>0.0</v>
      </c>
      <c r="K622" s="5" t="b">
        <v>0</v>
      </c>
      <c r="L622" s="5" t="b">
        <v>1</v>
      </c>
    </row>
    <row r="623">
      <c r="A623" s="14" t="str">
        <f t="shared" si="1"/>
        <v/>
      </c>
      <c r="B623" s="15" t="str">
        <f>IF($C623="","",IF(ROW()=7,Input!$C$3,C622))</f>
        <v/>
      </c>
      <c r="C623" s="6"/>
      <c r="D623" s="6"/>
      <c r="E623" s="10"/>
      <c r="G623" s="6"/>
      <c r="H623" s="6"/>
      <c r="I623" s="10">
        <v>0.0</v>
      </c>
      <c r="J623" s="10">
        <v>0.0</v>
      </c>
      <c r="K623" s="5" t="b">
        <v>0</v>
      </c>
      <c r="L623" s="5" t="b">
        <v>1</v>
      </c>
    </row>
    <row r="624">
      <c r="A624" s="14" t="str">
        <f t="shared" si="1"/>
        <v/>
      </c>
      <c r="B624" s="15" t="str">
        <f>IF($C624="","",IF(ROW()=7,Input!$C$3,C623))</f>
        <v/>
      </c>
      <c r="C624" s="6"/>
      <c r="D624" s="6"/>
      <c r="E624" s="10"/>
      <c r="G624" s="6"/>
      <c r="H624" s="6"/>
      <c r="I624" s="10">
        <v>0.0</v>
      </c>
      <c r="J624" s="10">
        <v>0.0</v>
      </c>
      <c r="K624" s="5" t="b">
        <v>0</v>
      </c>
      <c r="L624" s="5" t="b">
        <v>1</v>
      </c>
    </row>
    <row r="625">
      <c r="A625" s="14" t="str">
        <f t="shared" si="1"/>
        <v/>
      </c>
      <c r="B625" s="15" t="str">
        <f>IF($C625="","",IF(ROW()=7,Input!$C$3,C624))</f>
        <v/>
      </c>
      <c r="C625" s="6"/>
      <c r="D625" s="6"/>
      <c r="E625" s="10"/>
      <c r="G625" s="6"/>
      <c r="H625" s="6"/>
      <c r="I625" s="10">
        <v>0.0</v>
      </c>
      <c r="J625" s="10">
        <v>0.0</v>
      </c>
      <c r="K625" s="5" t="b">
        <v>0</v>
      </c>
      <c r="L625" s="5" t="b">
        <v>1</v>
      </c>
    </row>
    <row r="626">
      <c r="A626" s="14" t="str">
        <f t="shared" si="1"/>
        <v/>
      </c>
      <c r="B626" s="15" t="str">
        <f>IF($C626="","",IF(ROW()=7,Input!$C$3,C625))</f>
        <v/>
      </c>
      <c r="C626" s="6"/>
      <c r="D626" s="6"/>
      <c r="E626" s="10"/>
      <c r="G626" s="6"/>
      <c r="H626" s="6"/>
      <c r="I626" s="10">
        <v>0.0</v>
      </c>
      <c r="J626" s="10">
        <v>0.0</v>
      </c>
      <c r="K626" s="5" t="b">
        <v>0</v>
      </c>
      <c r="L626" s="5" t="b">
        <v>1</v>
      </c>
    </row>
    <row r="627">
      <c r="A627" s="14" t="str">
        <f t="shared" si="1"/>
        <v/>
      </c>
      <c r="B627" s="15" t="str">
        <f>IF($C627="","",IF(ROW()=7,Input!$C$3,C626))</f>
        <v/>
      </c>
      <c r="C627" s="6"/>
      <c r="D627" s="6"/>
      <c r="E627" s="10"/>
      <c r="G627" s="6"/>
      <c r="H627" s="6"/>
      <c r="I627" s="10">
        <v>0.0</v>
      </c>
      <c r="J627" s="10">
        <v>0.0</v>
      </c>
      <c r="K627" s="5" t="b">
        <v>0</v>
      </c>
      <c r="L627" s="5" t="b">
        <v>1</v>
      </c>
    </row>
    <row r="628">
      <c r="A628" s="14" t="str">
        <f t="shared" si="1"/>
        <v/>
      </c>
      <c r="B628" s="15" t="str">
        <f>IF($C628="","",IF(ROW()=7,Input!$C$3,C627))</f>
        <v/>
      </c>
      <c r="C628" s="6"/>
      <c r="D628" s="6"/>
      <c r="E628" s="10"/>
      <c r="G628" s="6"/>
      <c r="H628" s="6"/>
      <c r="I628" s="10">
        <v>0.0</v>
      </c>
      <c r="J628" s="10">
        <v>0.0</v>
      </c>
      <c r="K628" s="5" t="b">
        <v>0</v>
      </c>
      <c r="L628" s="5" t="b">
        <v>1</v>
      </c>
    </row>
    <row r="629">
      <c r="A629" s="14" t="str">
        <f t="shared" si="1"/>
        <v/>
      </c>
      <c r="B629" s="15" t="str">
        <f>IF($C629="","",IF(ROW()=7,Input!$C$3,C628))</f>
        <v/>
      </c>
      <c r="C629" s="6"/>
      <c r="D629" s="6"/>
      <c r="E629" s="10"/>
      <c r="G629" s="6"/>
      <c r="H629" s="6"/>
      <c r="I629" s="10">
        <v>0.0</v>
      </c>
      <c r="J629" s="10">
        <v>0.0</v>
      </c>
      <c r="K629" s="5" t="b">
        <v>0</v>
      </c>
      <c r="L629" s="5" t="b">
        <v>1</v>
      </c>
    </row>
    <row r="630">
      <c r="A630" s="14" t="str">
        <f t="shared" si="1"/>
        <v/>
      </c>
      <c r="B630" s="15" t="str">
        <f>IF($C630="","",IF(ROW()=7,Input!$C$3,C629))</f>
        <v/>
      </c>
      <c r="C630" s="6"/>
      <c r="D630" s="6"/>
      <c r="E630" s="10"/>
      <c r="G630" s="6"/>
      <c r="H630" s="6"/>
      <c r="I630" s="10">
        <v>0.0</v>
      </c>
      <c r="J630" s="10">
        <v>0.0</v>
      </c>
      <c r="K630" s="5" t="b">
        <v>0</v>
      </c>
      <c r="L630" s="5" t="b">
        <v>1</v>
      </c>
    </row>
    <row r="631">
      <c r="A631" s="14" t="str">
        <f t="shared" si="1"/>
        <v/>
      </c>
      <c r="B631" s="15" t="str">
        <f>IF($C631="","",IF(ROW()=7,Input!$C$3,C630))</f>
        <v/>
      </c>
      <c r="C631" s="6"/>
      <c r="D631" s="6"/>
      <c r="E631" s="10"/>
      <c r="G631" s="6"/>
      <c r="H631" s="6"/>
      <c r="I631" s="10">
        <v>0.0</v>
      </c>
      <c r="J631" s="10">
        <v>0.0</v>
      </c>
      <c r="K631" s="5" t="b">
        <v>0</v>
      </c>
      <c r="L631" s="5" t="b">
        <v>1</v>
      </c>
    </row>
    <row r="632">
      <c r="A632" s="14" t="str">
        <f t="shared" si="1"/>
        <v/>
      </c>
      <c r="B632" s="15" t="str">
        <f>IF($C632="","",IF(ROW()=7,Input!$C$3,C631))</f>
        <v/>
      </c>
      <c r="C632" s="6"/>
      <c r="D632" s="6"/>
      <c r="E632" s="10"/>
      <c r="G632" s="6"/>
      <c r="H632" s="6"/>
      <c r="I632" s="10">
        <v>0.0</v>
      </c>
      <c r="J632" s="10">
        <v>0.0</v>
      </c>
      <c r="K632" s="5" t="b">
        <v>0</v>
      </c>
      <c r="L632" s="5" t="b">
        <v>1</v>
      </c>
    </row>
    <row r="633">
      <c r="A633" s="14" t="str">
        <f t="shared" si="1"/>
        <v/>
      </c>
      <c r="B633" s="15" t="str">
        <f>IF($C633="","",IF(ROW()=7,Input!$C$3,C632))</f>
        <v/>
      </c>
      <c r="C633" s="6"/>
      <c r="D633" s="6"/>
      <c r="E633" s="10"/>
      <c r="G633" s="6"/>
      <c r="H633" s="6"/>
      <c r="I633" s="10">
        <v>0.0</v>
      </c>
      <c r="J633" s="10">
        <v>0.0</v>
      </c>
      <c r="K633" s="5" t="b">
        <v>0</v>
      </c>
      <c r="L633" s="5" t="b">
        <v>1</v>
      </c>
    </row>
    <row r="634">
      <c r="A634" s="14" t="str">
        <f t="shared" si="1"/>
        <v/>
      </c>
      <c r="B634" s="15" t="str">
        <f>IF($C634="","",IF(ROW()=7,Input!$C$3,C633))</f>
        <v/>
      </c>
      <c r="C634" s="6"/>
      <c r="D634" s="6"/>
      <c r="E634" s="10"/>
      <c r="G634" s="6"/>
      <c r="H634" s="6"/>
      <c r="I634" s="10">
        <v>0.0</v>
      </c>
      <c r="J634" s="10">
        <v>0.0</v>
      </c>
      <c r="K634" s="5" t="b">
        <v>0</v>
      </c>
      <c r="L634" s="5" t="b">
        <v>1</v>
      </c>
    </row>
    <row r="635">
      <c r="A635" s="14" t="str">
        <f t="shared" si="1"/>
        <v/>
      </c>
      <c r="B635" s="15" t="str">
        <f>IF($C635="","",IF(ROW()=7,Input!$C$3,C634))</f>
        <v/>
      </c>
      <c r="C635" s="6"/>
      <c r="D635" s="6"/>
      <c r="E635" s="10"/>
      <c r="G635" s="6"/>
      <c r="H635" s="6"/>
      <c r="I635" s="10">
        <v>0.0</v>
      </c>
      <c r="J635" s="10">
        <v>0.0</v>
      </c>
      <c r="K635" s="5" t="b">
        <v>0</v>
      </c>
      <c r="L635" s="5" t="b">
        <v>1</v>
      </c>
    </row>
    <row r="636">
      <c r="A636" s="14" t="str">
        <f t="shared" si="1"/>
        <v/>
      </c>
      <c r="B636" s="15" t="str">
        <f>IF($C636="","",IF(ROW()=7,Input!$C$3,C635))</f>
        <v/>
      </c>
      <c r="C636" s="6"/>
      <c r="D636" s="6"/>
      <c r="E636" s="10"/>
      <c r="G636" s="6"/>
      <c r="H636" s="6"/>
      <c r="I636" s="10">
        <v>0.0</v>
      </c>
      <c r="J636" s="10">
        <v>0.0</v>
      </c>
      <c r="K636" s="5" t="b">
        <v>0</v>
      </c>
      <c r="L636" s="5" t="b">
        <v>1</v>
      </c>
    </row>
    <row r="637">
      <c r="A637" s="14" t="str">
        <f t="shared" si="1"/>
        <v/>
      </c>
      <c r="B637" s="15" t="str">
        <f>IF($C637="","",IF(ROW()=7,Input!$C$3,C636))</f>
        <v/>
      </c>
      <c r="C637" s="6"/>
      <c r="D637" s="6"/>
      <c r="E637" s="10"/>
      <c r="G637" s="6"/>
      <c r="H637" s="6"/>
      <c r="I637" s="10">
        <v>0.0</v>
      </c>
      <c r="J637" s="10">
        <v>0.0</v>
      </c>
      <c r="K637" s="5" t="b">
        <v>0</v>
      </c>
      <c r="L637" s="5" t="b">
        <v>1</v>
      </c>
    </row>
    <row r="638">
      <c r="A638" s="14" t="str">
        <f t="shared" si="1"/>
        <v/>
      </c>
      <c r="B638" s="15" t="str">
        <f>IF($C638="","",IF(ROW()=7,Input!$C$3,C637))</f>
        <v/>
      </c>
      <c r="C638" s="6"/>
      <c r="D638" s="6"/>
      <c r="E638" s="10"/>
      <c r="G638" s="6"/>
      <c r="H638" s="6"/>
      <c r="I638" s="10">
        <v>0.0</v>
      </c>
      <c r="J638" s="10">
        <v>0.0</v>
      </c>
      <c r="K638" s="5" t="b">
        <v>0</v>
      </c>
      <c r="L638" s="5" t="b">
        <v>1</v>
      </c>
    </row>
    <row r="639">
      <c r="A639" s="14" t="str">
        <f t="shared" si="1"/>
        <v/>
      </c>
      <c r="B639" s="15" t="str">
        <f>IF($C639="","",IF(ROW()=7,Input!$C$3,C638))</f>
        <v/>
      </c>
      <c r="C639" s="6"/>
      <c r="D639" s="6"/>
      <c r="E639" s="10"/>
      <c r="G639" s="6"/>
      <c r="H639" s="6"/>
      <c r="I639" s="10">
        <v>0.0</v>
      </c>
      <c r="J639" s="10">
        <v>0.0</v>
      </c>
      <c r="K639" s="5" t="b">
        <v>0</v>
      </c>
      <c r="L639" s="5" t="b">
        <v>1</v>
      </c>
    </row>
    <row r="640">
      <c r="A640" s="14" t="str">
        <f t="shared" si="1"/>
        <v/>
      </c>
      <c r="B640" s="15" t="str">
        <f>IF($C640="","",IF(ROW()=7,Input!$C$3,C639))</f>
        <v/>
      </c>
      <c r="C640" s="6"/>
      <c r="D640" s="6"/>
      <c r="E640" s="10"/>
      <c r="G640" s="6"/>
      <c r="H640" s="6"/>
      <c r="I640" s="10">
        <v>0.0</v>
      </c>
      <c r="J640" s="10">
        <v>0.0</v>
      </c>
      <c r="K640" s="5" t="b">
        <v>0</v>
      </c>
      <c r="L640" s="5" t="b">
        <v>1</v>
      </c>
    </row>
    <row r="641">
      <c r="A641" s="14" t="str">
        <f t="shared" si="1"/>
        <v/>
      </c>
      <c r="B641" s="15" t="str">
        <f>IF($C641="","",IF(ROW()=7,Input!$C$3,C640))</f>
        <v/>
      </c>
      <c r="C641" s="6"/>
      <c r="D641" s="6"/>
      <c r="E641" s="10"/>
      <c r="G641" s="6"/>
      <c r="H641" s="6"/>
      <c r="I641" s="10">
        <v>0.0</v>
      </c>
      <c r="J641" s="10">
        <v>0.0</v>
      </c>
      <c r="K641" s="5" t="b">
        <v>0</v>
      </c>
      <c r="L641" s="5" t="b">
        <v>1</v>
      </c>
    </row>
    <row r="642">
      <c r="A642" s="14" t="str">
        <f t="shared" si="1"/>
        <v/>
      </c>
      <c r="B642" s="15" t="str">
        <f>IF($C642="","",IF(ROW()=7,Input!$C$3,C641))</f>
        <v/>
      </c>
      <c r="C642" s="6"/>
      <c r="D642" s="6"/>
      <c r="E642" s="10"/>
      <c r="G642" s="6"/>
      <c r="H642" s="6"/>
      <c r="I642" s="10">
        <v>0.0</v>
      </c>
      <c r="J642" s="10">
        <v>0.0</v>
      </c>
      <c r="K642" s="5" t="b">
        <v>0</v>
      </c>
      <c r="L642" s="5" t="b">
        <v>1</v>
      </c>
    </row>
    <row r="643">
      <c r="A643" s="14" t="str">
        <f t="shared" si="1"/>
        <v/>
      </c>
      <c r="B643" s="15" t="str">
        <f>IF($C643="","",IF(ROW()=7,Input!$C$3,C642))</f>
        <v/>
      </c>
      <c r="C643" s="6"/>
      <c r="D643" s="6"/>
      <c r="E643" s="10"/>
      <c r="G643" s="6"/>
      <c r="H643" s="6"/>
      <c r="I643" s="10">
        <v>0.0</v>
      </c>
      <c r="J643" s="10">
        <v>0.0</v>
      </c>
      <c r="K643" s="5" t="b">
        <v>0</v>
      </c>
      <c r="L643" s="5" t="b">
        <v>1</v>
      </c>
    </row>
    <row r="644">
      <c r="A644" s="14" t="str">
        <f t="shared" si="1"/>
        <v/>
      </c>
      <c r="B644" s="15" t="str">
        <f>IF($C644="","",IF(ROW()=7,Input!$C$3,C643))</f>
        <v/>
      </c>
      <c r="C644" s="6"/>
      <c r="D644" s="6"/>
      <c r="E644" s="10"/>
      <c r="G644" s="6"/>
      <c r="H644" s="6"/>
      <c r="I644" s="10">
        <v>0.0</v>
      </c>
      <c r="J644" s="10">
        <v>0.0</v>
      </c>
      <c r="K644" s="5" t="b">
        <v>0</v>
      </c>
      <c r="L644" s="5" t="b">
        <v>1</v>
      </c>
    </row>
    <row r="645">
      <c r="A645" s="14" t="str">
        <f t="shared" si="1"/>
        <v/>
      </c>
      <c r="B645" s="15" t="str">
        <f>IF($C645="","",IF(ROW()=7,Input!$C$3,C644))</f>
        <v/>
      </c>
      <c r="C645" s="6"/>
      <c r="D645" s="6"/>
      <c r="E645" s="10"/>
      <c r="G645" s="6"/>
      <c r="H645" s="6"/>
      <c r="I645" s="10">
        <v>0.0</v>
      </c>
      <c r="J645" s="10">
        <v>0.0</v>
      </c>
      <c r="K645" s="5" t="b">
        <v>0</v>
      </c>
      <c r="L645" s="5" t="b">
        <v>1</v>
      </c>
    </row>
    <row r="646">
      <c r="A646" s="14" t="str">
        <f t="shared" si="1"/>
        <v/>
      </c>
      <c r="B646" s="15" t="str">
        <f>IF($C646="","",IF(ROW()=7,Input!$C$3,C645))</f>
        <v/>
      </c>
      <c r="C646" s="6"/>
      <c r="D646" s="6"/>
      <c r="E646" s="10"/>
      <c r="G646" s="6"/>
      <c r="H646" s="6"/>
      <c r="I646" s="10">
        <v>0.0</v>
      </c>
      <c r="J646" s="10">
        <v>0.0</v>
      </c>
      <c r="K646" s="5" t="b">
        <v>0</v>
      </c>
      <c r="L646" s="5" t="b">
        <v>1</v>
      </c>
    </row>
    <row r="647">
      <c r="A647" s="14" t="str">
        <f t="shared" si="1"/>
        <v/>
      </c>
      <c r="B647" s="15" t="str">
        <f>IF($C647="","",IF(ROW()=7,Input!$C$3,C646))</f>
        <v/>
      </c>
      <c r="C647" s="6"/>
      <c r="D647" s="6"/>
      <c r="E647" s="10"/>
      <c r="G647" s="6"/>
      <c r="H647" s="6"/>
      <c r="I647" s="10">
        <v>0.0</v>
      </c>
      <c r="J647" s="10">
        <v>0.0</v>
      </c>
      <c r="K647" s="5" t="b">
        <v>0</v>
      </c>
      <c r="L647" s="5" t="b">
        <v>1</v>
      </c>
    </row>
    <row r="648">
      <c r="A648" s="14" t="str">
        <f t="shared" si="1"/>
        <v/>
      </c>
      <c r="B648" s="15" t="str">
        <f>IF($C648="","",IF(ROW()=7,Input!$C$3,C647))</f>
        <v/>
      </c>
      <c r="C648" s="6"/>
      <c r="D648" s="6"/>
      <c r="E648" s="10"/>
      <c r="G648" s="6"/>
      <c r="H648" s="6"/>
      <c r="I648" s="10">
        <v>0.0</v>
      </c>
      <c r="J648" s="10">
        <v>0.0</v>
      </c>
      <c r="K648" s="5" t="b">
        <v>0</v>
      </c>
      <c r="L648" s="5" t="b">
        <v>1</v>
      </c>
    </row>
    <row r="649">
      <c r="A649" s="14" t="str">
        <f t="shared" si="1"/>
        <v/>
      </c>
      <c r="B649" s="15" t="str">
        <f>IF($C649="","",IF(ROW()=7,Input!$C$3,C648))</f>
        <v/>
      </c>
      <c r="C649" s="6"/>
      <c r="D649" s="6"/>
      <c r="E649" s="10"/>
      <c r="G649" s="6"/>
      <c r="H649" s="6"/>
      <c r="I649" s="10">
        <v>0.0</v>
      </c>
      <c r="J649" s="10">
        <v>0.0</v>
      </c>
      <c r="K649" s="5" t="b">
        <v>0</v>
      </c>
      <c r="L649" s="5" t="b">
        <v>1</v>
      </c>
    </row>
    <row r="650">
      <c r="A650" s="14" t="str">
        <f t="shared" si="1"/>
        <v/>
      </c>
      <c r="B650" s="15" t="str">
        <f>IF($C650="","",IF(ROW()=7,Input!$C$3,C649))</f>
        <v/>
      </c>
      <c r="C650" s="6"/>
      <c r="D650" s="6"/>
      <c r="E650" s="10"/>
      <c r="G650" s="6"/>
      <c r="H650" s="6"/>
      <c r="I650" s="10">
        <v>0.0</v>
      </c>
      <c r="J650" s="10">
        <v>0.0</v>
      </c>
      <c r="K650" s="5" t="b">
        <v>0</v>
      </c>
      <c r="L650" s="5" t="b">
        <v>1</v>
      </c>
    </row>
    <row r="651">
      <c r="A651" s="14" t="str">
        <f t="shared" si="1"/>
        <v/>
      </c>
      <c r="B651" s="15" t="str">
        <f>IF($C651="","",IF(ROW()=7,Input!$C$3,C650))</f>
        <v/>
      </c>
      <c r="C651" s="6"/>
      <c r="D651" s="6"/>
      <c r="E651" s="10"/>
      <c r="G651" s="6"/>
      <c r="H651" s="6"/>
      <c r="I651" s="10">
        <v>0.0</v>
      </c>
      <c r="J651" s="10">
        <v>0.0</v>
      </c>
      <c r="K651" s="5" t="b">
        <v>0</v>
      </c>
      <c r="L651" s="5" t="b">
        <v>1</v>
      </c>
    </row>
    <row r="652">
      <c r="A652" s="14" t="str">
        <f t="shared" si="1"/>
        <v/>
      </c>
      <c r="B652" s="15" t="str">
        <f>IF($C652="","",IF(ROW()=7,Input!$C$3,C651))</f>
        <v/>
      </c>
      <c r="C652" s="6"/>
      <c r="D652" s="6"/>
      <c r="E652" s="10"/>
      <c r="G652" s="6"/>
      <c r="H652" s="6"/>
      <c r="I652" s="10">
        <v>0.0</v>
      </c>
      <c r="J652" s="10">
        <v>0.0</v>
      </c>
      <c r="K652" s="5" t="b">
        <v>0</v>
      </c>
      <c r="L652" s="5" t="b">
        <v>1</v>
      </c>
    </row>
    <row r="653">
      <c r="A653" s="14" t="str">
        <f t="shared" si="1"/>
        <v/>
      </c>
      <c r="B653" s="15" t="str">
        <f>IF($C653="","",IF(ROW()=7,Input!$C$3,C652))</f>
        <v/>
      </c>
      <c r="C653" s="6"/>
      <c r="D653" s="6"/>
      <c r="E653" s="10"/>
      <c r="G653" s="6"/>
      <c r="H653" s="6"/>
      <c r="I653" s="10">
        <v>0.0</v>
      </c>
      <c r="J653" s="10">
        <v>0.0</v>
      </c>
      <c r="K653" s="5" t="b">
        <v>0</v>
      </c>
      <c r="L653" s="5" t="b">
        <v>1</v>
      </c>
    </row>
    <row r="654">
      <c r="A654" s="14" t="str">
        <f t="shared" si="1"/>
        <v/>
      </c>
      <c r="B654" s="15" t="str">
        <f>IF($C654="","",IF(ROW()=7,Input!$C$3,C653))</f>
        <v/>
      </c>
      <c r="C654" s="6"/>
      <c r="D654" s="6"/>
      <c r="E654" s="10"/>
      <c r="G654" s="6"/>
      <c r="H654" s="6"/>
      <c r="I654" s="10">
        <v>0.0</v>
      </c>
      <c r="J654" s="10">
        <v>0.0</v>
      </c>
      <c r="K654" s="5" t="b">
        <v>0</v>
      </c>
      <c r="L654" s="5" t="b">
        <v>1</v>
      </c>
    </row>
    <row r="655">
      <c r="A655" s="14" t="str">
        <f t="shared" si="1"/>
        <v/>
      </c>
      <c r="B655" s="15" t="str">
        <f>IF($C655="","",IF(ROW()=7,Input!$C$3,C654))</f>
        <v/>
      </c>
      <c r="C655" s="6"/>
      <c r="D655" s="6"/>
      <c r="E655" s="10"/>
      <c r="G655" s="6"/>
      <c r="H655" s="6"/>
      <c r="I655" s="10">
        <v>0.0</v>
      </c>
      <c r="J655" s="10">
        <v>0.0</v>
      </c>
      <c r="K655" s="5" t="b">
        <v>0</v>
      </c>
      <c r="L655" s="5" t="b">
        <v>1</v>
      </c>
    </row>
    <row r="656">
      <c r="A656" s="14" t="str">
        <f t="shared" si="1"/>
        <v/>
      </c>
      <c r="B656" s="15" t="str">
        <f>IF($C656="","",IF(ROW()=7,Input!$C$3,C655))</f>
        <v/>
      </c>
      <c r="C656" s="6"/>
      <c r="D656" s="6"/>
      <c r="E656" s="10"/>
      <c r="G656" s="6"/>
      <c r="H656" s="6"/>
      <c r="I656" s="10">
        <v>0.0</v>
      </c>
      <c r="J656" s="10">
        <v>0.0</v>
      </c>
      <c r="K656" s="5" t="b">
        <v>0</v>
      </c>
      <c r="L656" s="5" t="b">
        <v>1</v>
      </c>
    </row>
    <row r="657">
      <c r="A657" s="14" t="str">
        <f t="shared" si="1"/>
        <v/>
      </c>
      <c r="B657" s="15" t="str">
        <f>IF($C657="","",IF(ROW()=7,Input!$C$3,C656))</f>
        <v/>
      </c>
      <c r="C657" s="6"/>
      <c r="D657" s="6"/>
      <c r="E657" s="10"/>
      <c r="G657" s="6"/>
      <c r="H657" s="6"/>
      <c r="I657" s="10">
        <v>0.0</v>
      </c>
      <c r="J657" s="10">
        <v>0.0</v>
      </c>
      <c r="K657" s="5" t="b">
        <v>0</v>
      </c>
      <c r="L657" s="5" t="b">
        <v>1</v>
      </c>
    </row>
    <row r="658">
      <c r="A658" s="14" t="str">
        <f t="shared" si="1"/>
        <v/>
      </c>
      <c r="B658" s="15" t="str">
        <f>IF($C658="","",IF(ROW()=7,Input!$C$3,C657))</f>
        <v/>
      </c>
      <c r="C658" s="6"/>
      <c r="D658" s="6"/>
      <c r="E658" s="10"/>
      <c r="G658" s="6"/>
      <c r="H658" s="6"/>
      <c r="I658" s="10">
        <v>0.0</v>
      </c>
      <c r="J658" s="10">
        <v>0.0</v>
      </c>
      <c r="K658" s="5" t="b">
        <v>0</v>
      </c>
      <c r="L658" s="5" t="b">
        <v>1</v>
      </c>
    </row>
    <row r="659">
      <c r="A659" s="14" t="str">
        <f t="shared" si="1"/>
        <v/>
      </c>
      <c r="B659" s="15" t="str">
        <f>IF($C659="","",IF(ROW()=7,Input!$C$3,C658))</f>
        <v/>
      </c>
      <c r="C659" s="6"/>
      <c r="D659" s="6"/>
      <c r="E659" s="10"/>
      <c r="G659" s="6"/>
      <c r="H659" s="6"/>
      <c r="I659" s="10">
        <v>0.0</v>
      </c>
      <c r="J659" s="10">
        <v>0.0</v>
      </c>
      <c r="K659" s="5" t="b">
        <v>0</v>
      </c>
      <c r="L659" s="5" t="b">
        <v>1</v>
      </c>
    </row>
    <row r="660">
      <c r="A660" s="14" t="str">
        <f t="shared" si="1"/>
        <v/>
      </c>
      <c r="B660" s="15" t="str">
        <f>IF($C660="","",IF(ROW()=7,Input!$C$3,C659))</f>
        <v/>
      </c>
      <c r="C660" s="6"/>
      <c r="D660" s="6"/>
      <c r="E660" s="10"/>
      <c r="G660" s="6"/>
      <c r="H660" s="6"/>
      <c r="I660" s="10">
        <v>0.0</v>
      </c>
      <c r="J660" s="10">
        <v>0.0</v>
      </c>
      <c r="K660" s="5" t="b">
        <v>0</v>
      </c>
      <c r="L660" s="5" t="b">
        <v>1</v>
      </c>
    </row>
    <row r="661">
      <c r="A661" s="14" t="str">
        <f t="shared" si="1"/>
        <v/>
      </c>
      <c r="B661" s="15" t="str">
        <f>IF($C661="","",IF(ROW()=7,Input!$C$3,C660))</f>
        <v/>
      </c>
      <c r="C661" s="6"/>
      <c r="D661" s="6"/>
      <c r="E661" s="10"/>
      <c r="G661" s="6"/>
      <c r="H661" s="6"/>
      <c r="I661" s="10">
        <v>0.0</v>
      </c>
      <c r="J661" s="10">
        <v>0.0</v>
      </c>
      <c r="K661" s="5" t="b">
        <v>0</v>
      </c>
      <c r="L661" s="5" t="b">
        <v>1</v>
      </c>
    </row>
    <row r="662">
      <c r="A662" s="14" t="str">
        <f t="shared" si="1"/>
        <v/>
      </c>
      <c r="B662" s="15" t="str">
        <f>IF($C662="","",IF(ROW()=7,Input!$C$3,C661))</f>
        <v/>
      </c>
      <c r="C662" s="6"/>
      <c r="D662" s="6"/>
      <c r="E662" s="10"/>
      <c r="G662" s="6"/>
      <c r="H662" s="6"/>
      <c r="I662" s="10">
        <v>0.0</v>
      </c>
      <c r="J662" s="10">
        <v>0.0</v>
      </c>
      <c r="K662" s="5" t="b">
        <v>0</v>
      </c>
      <c r="L662" s="5" t="b">
        <v>1</v>
      </c>
    </row>
    <row r="663">
      <c r="A663" s="14" t="str">
        <f t="shared" si="1"/>
        <v/>
      </c>
      <c r="B663" s="15" t="str">
        <f>IF($C663="","",IF(ROW()=7,Input!$C$3,C662))</f>
        <v/>
      </c>
      <c r="C663" s="6"/>
      <c r="D663" s="6"/>
      <c r="E663" s="10"/>
      <c r="G663" s="6"/>
      <c r="H663" s="6"/>
      <c r="I663" s="10">
        <v>0.0</v>
      </c>
      <c r="J663" s="10">
        <v>0.0</v>
      </c>
      <c r="K663" s="5" t="b">
        <v>0</v>
      </c>
      <c r="L663" s="5" t="b">
        <v>1</v>
      </c>
    </row>
    <row r="664">
      <c r="A664" s="14" t="str">
        <f t="shared" si="1"/>
        <v/>
      </c>
      <c r="B664" s="15" t="str">
        <f>IF($C664="","",IF(ROW()=7,Input!$C$3,C663))</f>
        <v/>
      </c>
      <c r="C664" s="6"/>
      <c r="D664" s="6"/>
      <c r="E664" s="10"/>
      <c r="G664" s="6"/>
      <c r="H664" s="6"/>
      <c r="I664" s="10">
        <v>0.0</v>
      </c>
      <c r="J664" s="10">
        <v>0.0</v>
      </c>
      <c r="K664" s="5" t="b">
        <v>0</v>
      </c>
      <c r="L664" s="5" t="b">
        <v>1</v>
      </c>
    </row>
    <row r="665">
      <c r="A665" s="14" t="str">
        <f t="shared" si="1"/>
        <v/>
      </c>
      <c r="B665" s="15" t="str">
        <f>IF($C665="","",IF(ROW()=7,Input!$C$3,C664))</f>
        <v/>
      </c>
      <c r="C665" s="6"/>
      <c r="D665" s="6"/>
      <c r="E665" s="10"/>
      <c r="G665" s="6"/>
      <c r="H665" s="6"/>
      <c r="I665" s="10">
        <v>0.0</v>
      </c>
      <c r="J665" s="10">
        <v>0.0</v>
      </c>
      <c r="K665" s="5" t="b">
        <v>0</v>
      </c>
      <c r="L665" s="5" t="b">
        <v>1</v>
      </c>
    </row>
    <row r="666">
      <c r="A666" s="14" t="str">
        <f t="shared" si="1"/>
        <v/>
      </c>
      <c r="B666" s="15" t="str">
        <f>IF($C666="","",IF(ROW()=7,Input!$C$3,C665))</f>
        <v/>
      </c>
      <c r="C666" s="6"/>
      <c r="D666" s="6"/>
      <c r="E666" s="10"/>
      <c r="G666" s="6"/>
      <c r="H666" s="6"/>
      <c r="I666" s="10">
        <v>0.0</v>
      </c>
      <c r="J666" s="10">
        <v>0.0</v>
      </c>
      <c r="K666" s="5" t="b">
        <v>0</v>
      </c>
      <c r="L666" s="5" t="b">
        <v>1</v>
      </c>
    </row>
    <row r="667">
      <c r="A667" s="14" t="str">
        <f t="shared" si="1"/>
        <v/>
      </c>
      <c r="B667" s="15" t="str">
        <f>IF($C667="","",IF(ROW()=7,Input!$C$3,C666))</f>
        <v/>
      </c>
      <c r="C667" s="6"/>
      <c r="D667" s="6"/>
      <c r="E667" s="10"/>
      <c r="G667" s="6"/>
      <c r="H667" s="6"/>
      <c r="I667" s="10">
        <v>0.0</v>
      </c>
      <c r="J667" s="10">
        <v>0.0</v>
      </c>
      <c r="K667" s="5" t="b">
        <v>0</v>
      </c>
      <c r="L667" s="5" t="b">
        <v>1</v>
      </c>
    </row>
    <row r="668">
      <c r="A668" s="14" t="str">
        <f t="shared" si="1"/>
        <v/>
      </c>
      <c r="B668" s="15" t="str">
        <f>IF($C668="","",IF(ROW()=7,Input!$C$3,C667))</f>
        <v/>
      </c>
      <c r="C668" s="6"/>
      <c r="D668" s="6"/>
      <c r="E668" s="10"/>
      <c r="G668" s="6"/>
      <c r="H668" s="6"/>
      <c r="I668" s="10">
        <v>0.0</v>
      </c>
      <c r="J668" s="10">
        <v>0.0</v>
      </c>
      <c r="K668" s="5" t="b">
        <v>0</v>
      </c>
      <c r="L668" s="5" t="b">
        <v>1</v>
      </c>
    </row>
    <row r="669">
      <c r="A669" s="14" t="str">
        <f t="shared" si="1"/>
        <v/>
      </c>
      <c r="B669" s="15" t="str">
        <f>IF($C669="","",IF(ROW()=7,Input!$C$3,C668))</f>
        <v/>
      </c>
      <c r="C669" s="6"/>
      <c r="D669" s="6"/>
      <c r="E669" s="10"/>
      <c r="G669" s="6"/>
      <c r="H669" s="6"/>
      <c r="I669" s="10">
        <v>0.0</v>
      </c>
      <c r="J669" s="10">
        <v>0.0</v>
      </c>
      <c r="K669" s="5" t="b">
        <v>0</v>
      </c>
      <c r="L669" s="5" t="b">
        <v>1</v>
      </c>
    </row>
    <row r="670">
      <c r="A670" s="14" t="str">
        <f t="shared" si="1"/>
        <v/>
      </c>
      <c r="B670" s="15" t="str">
        <f>IF($C670="","",IF(ROW()=7,Input!$C$3,C669))</f>
        <v/>
      </c>
      <c r="C670" s="6"/>
      <c r="D670" s="6"/>
      <c r="E670" s="10"/>
      <c r="G670" s="6"/>
      <c r="H670" s="6"/>
      <c r="I670" s="10">
        <v>0.0</v>
      </c>
      <c r="J670" s="10">
        <v>0.0</v>
      </c>
      <c r="K670" s="5" t="b">
        <v>0</v>
      </c>
      <c r="L670" s="5" t="b">
        <v>1</v>
      </c>
    </row>
    <row r="671">
      <c r="A671" s="14" t="str">
        <f t="shared" si="1"/>
        <v/>
      </c>
      <c r="B671" s="15" t="str">
        <f>IF($C671="","",IF(ROW()=7,Input!$C$3,C670))</f>
        <v/>
      </c>
      <c r="C671" s="6"/>
      <c r="D671" s="6"/>
      <c r="E671" s="10"/>
      <c r="G671" s="6"/>
      <c r="H671" s="6"/>
      <c r="I671" s="10">
        <v>0.0</v>
      </c>
      <c r="J671" s="10">
        <v>0.0</v>
      </c>
      <c r="K671" s="5" t="b">
        <v>0</v>
      </c>
      <c r="L671" s="5" t="b">
        <v>1</v>
      </c>
    </row>
    <row r="672">
      <c r="A672" s="14" t="str">
        <f t="shared" si="1"/>
        <v/>
      </c>
      <c r="B672" s="15" t="str">
        <f>IF($C672="","",IF(ROW()=7,Input!$C$3,C671))</f>
        <v/>
      </c>
      <c r="C672" s="6"/>
      <c r="D672" s="6"/>
      <c r="E672" s="10"/>
      <c r="G672" s="6"/>
      <c r="H672" s="6"/>
      <c r="I672" s="10">
        <v>0.0</v>
      </c>
      <c r="J672" s="10">
        <v>0.0</v>
      </c>
      <c r="K672" s="5" t="b">
        <v>0</v>
      </c>
      <c r="L672" s="5" t="b">
        <v>1</v>
      </c>
    </row>
    <row r="673">
      <c r="A673" s="14" t="str">
        <f t="shared" si="1"/>
        <v/>
      </c>
      <c r="B673" s="15" t="str">
        <f>IF($C673="","",IF(ROW()=7,Input!$C$3,C672))</f>
        <v/>
      </c>
      <c r="C673" s="6"/>
      <c r="D673" s="6"/>
      <c r="E673" s="10"/>
      <c r="G673" s="6"/>
      <c r="H673" s="6"/>
      <c r="I673" s="10">
        <v>0.0</v>
      </c>
      <c r="J673" s="10">
        <v>0.0</v>
      </c>
      <c r="K673" s="5" t="b">
        <v>0</v>
      </c>
      <c r="L673" s="5" t="b">
        <v>1</v>
      </c>
    </row>
    <row r="674">
      <c r="A674" s="14" t="str">
        <f t="shared" si="1"/>
        <v/>
      </c>
      <c r="B674" s="15" t="str">
        <f>IF($C674="","",IF(ROW()=7,Input!$C$3,C673))</f>
        <v/>
      </c>
      <c r="C674" s="6"/>
      <c r="D674" s="6"/>
      <c r="E674" s="10"/>
      <c r="G674" s="6"/>
      <c r="H674" s="6"/>
      <c r="I674" s="10">
        <v>0.0</v>
      </c>
      <c r="J674" s="10">
        <v>0.0</v>
      </c>
      <c r="K674" s="5" t="b">
        <v>0</v>
      </c>
      <c r="L674" s="5" t="b">
        <v>1</v>
      </c>
    </row>
    <row r="675">
      <c r="A675" s="14" t="str">
        <f t="shared" si="1"/>
        <v/>
      </c>
      <c r="B675" s="15" t="str">
        <f>IF($C675="","",IF(ROW()=7,Input!$C$3,C674))</f>
        <v/>
      </c>
      <c r="C675" s="6"/>
      <c r="D675" s="6"/>
      <c r="E675" s="10"/>
      <c r="G675" s="6"/>
      <c r="H675" s="6"/>
      <c r="I675" s="10">
        <v>0.0</v>
      </c>
      <c r="J675" s="10">
        <v>0.0</v>
      </c>
      <c r="K675" s="5" t="b">
        <v>0</v>
      </c>
      <c r="L675" s="5" t="b">
        <v>1</v>
      </c>
    </row>
    <row r="676">
      <c r="A676" s="14" t="str">
        <f t="shared" si="1"/>
        <v/>
      </c>
      <c r="B676" s="15" t="str">
        <f>IF($C676="","",IF(ROW()=7,Input!$C$3,C675))</f>
        <v/>
      </c>
      <c r="C676" s="6"/>
      <c r="D676" s="6"/>
      <c r="E676" s="10"/>
      <c r="G676" s="6"/>
      <c r="H676" s="6"/>
      <c r="I676" s="10">
        <v>0.0</v>
      </c>
      <c r="J676" s="10">
        <v>0.0</v>
      </c>
      <c r="K676" s="5" t="b">
        <v>0</v>
      </c>
      <c r="L676" s="5" t="b">
        <v>1</v>
      </c>
    </row>
    <row r="677">
      <c r="A677" s="14" t="str">
        <f t="shared" si="1"/>
        <v/>
      </c>
      <c r="B677" s="15" t="str">
        <f>IF($C677="","",IF(ROW()=7,Input!$C$3,C676))</f>
        <v/>
      </c>
      <c r="C677" s="6"/>
      <c r="D677" s="6"/>
      <c r="E677" s="10"/>
      <c r="G677" s="6"/>
      <c r="H677" s="6"/>
      <c r="I677" s="10">
        <v>0.0</v>
      </c>
      <c r="J677" s="10">
        <v>0.0</v>
      </c>
      <c r="K677" s="5" t="b">
        <v>0</v>
      </c>
      <c r="L677" s="5" t="b">
        <v>1</v>
      </c>
    </row>
    <row r="678">
      <c r="A678" s="14" t="str">
        <f t="shared" si="1"/>
        <v/>
      </c>
      <c r="B678" s="15" t="str">
        <f>IF($C678="","",IF(ROW()=7,Input!$C$3,C677))</f>
        <v/>
      </c>
      <c r="C678" s="6"/>
      <c r="D678" s="6"/>
      <c r="E678" s="10"/>
      <c r="G678" s="6"/>
      <c r="H678" s="6"/>
      <c r="I678" s="10">
        <v>0.0</v>
      </c>
      <c r="J678" s="10">
        <v>0.0</v>
      </c>
      <c r="K678" s="5" t="b">
        <v>0</v>
      </c>
      <c r="L678" s="5" t="b">
        <v>1</v>
      </c>
    </row>
    <row r="679">
      <c r="A679" s="14" t="str">
        <f t="shared" si="1"/>
        <v/>
      </c>
      <c r="B679" s="15" t="str">
        <f>IF($C679="","",IF(ROW()=7,Input!$C$3,C678))</f>
        <v/>
      </c>
      <c r="C679" s="6"/>
      <c r="D679" s="6"/>
      <c r="E679" s="10"/>
      <c r="G679" s="6"/>
      <c r="H679" s="6"/>
      <c r="I679" s="10">
        <v>0.0</v>
      </c>
      <c r="J679" s="10">
        <v>0.0</v>
      </c>
      <c r="K679" s="5" t="b">
        <v>0</v>
      </c>
      <c r="L679" s="5" t="b">
        <v>1</v>
      </c>
    </row>
    <row r="680">
      <c r="A680" s="14" t="str">
        <f t="shared" si="1"/>
        <v/>
      </c>
      <c r="B680" s="15" t="str">
        <f>IF($C680="","",IF(ROW()=7,Input!$C$3,C679))</f>
        <v/>
      </c>
      <c r="C680" s="6"/>
      <c r="D680" s="6"/>
      <c r="E680" s="10"/>
      <c r="G680" s="6"/>
      <c r="H680" s="6"/>
      <c r="I680" s="10">
        <v>0.0</v>
      </c>
      <c r="J680" s="10">
        <v>0.0</v>
      </c>
      <c r="K680" s="5" t="b">
        <v>0</v>
      </c>
      <c r="L680" s="5" t="b">
        <v>1</v>
      </c>
    </row>
    <row r="681">
      <c r="A681" s="14" t="str">
        <f t="shared" si="1"/>
        <v/>
      </c>
      <c r="B681" s="15" t="str">
        <f>IF($C681="","",IF(ROW()=7,Input!$C$3,C680))</f>
        <v/>
      </c>
      <c r="C681" s="6"/>
      <c r="D681" s="6"/>
      <c r="E681" s="10"/>
      <c r="G681" s="6"/>
      <c r="H681" s="6"/>
      <c r="I681" s="10">
        <v>0.0</v>
      </c>
      <c r="J681" s="10">
        <v>0.0</v>
      </c>
      <c r="K681" s="5" t="b">
        <v>0</v>
      </c>
      <c r="L681" s="5" t="b">
        <v>1</v>
      </c>
    </row>
    <row r="682">
      <c r="A682" s="14" t="str">
        <f t="shared" si="1"/>
        <v/>
      </c>
      <c r="B682" s="15" t="str">
        <f>IF($C682="","",IF(ROW()=7,Input!$C$3,C681))</f>
        <v/>
      </c>
      <c r="C682" s="6"/>
      <c r="D682" s="6"/>
      <c r="E682" s="10"/>
      <c r="G682" s="6"/>
      <c r="H682" s="6"/>
      <c r="I682" s="10">
        <v>0.0</v>
      </c>
      <c r="J682" s="10">
        <v>0.0</v>
      </c>
      <c r="K682" s="5" t="b">
        <v>0</v>
      </c>
      <c r="L682" s="5" t="b">
        <v>1</v>
      </c>
    </row>
    <row r="683">
      <c r="A683" s="14" t="str">
        <f t="shared" si="1"/>
        <v/>
      </c>
      <c r="B683" s="15" t="str">
        <f>IF($C683="","",IF(ROW()=7,Input!$C$3,C682))</f>
        <v/>
      </c>
      <c r="C683" s="6"/>
      <c r="D683" s="6"/>
      <c r="E683" s="10"/>
      <c r="G683" s="6"/>
      <c r="H683" s="6"/>
      <c r="I683" s="10">
        <v>0.0</v>
      </c>
      <c r="J683" s="10">
        <v>0.0</v>
      </c>
      <c r="K683" s="5" t="b">
        <v>0</v>
      </c>
      <c r="L683" s="5" t="b">
        <v>1</v>
      </c>
    </row>
    <row r="684">
      <c r="A684" s="14" t="str">
        <f t="shared" si="1"/>
        <v/>
      </c>
      <c r="B684" s="15" t="str">
        <f>IF($C684="","",IF(ROW()=7,Input!$C$3,C683))</f>
        <v/>
      </c>
      <c r="C684" s="6"/>
      <c r="D684" s="6"/>
      <c r="E684" s="10"/>
      <c r="G684" s="6"/>
      <c r="H684" s="6"/>
      <c r="I684" s="10">
        <v>0.0</v>
      </c>
      <c r="J684" s="10">
        <v>0.0</v>
      </c>
      <c r="K684" s="5" t="b">
        <v>0</v>
      </c>
      <c r="L684" s="5" t="b">
        <v>1</v>
      </c>
    </row>
    <row r="685">
      <c r="A685" s="14" t="str">
        <f t="shared" si="1"/>
        <v/>
      </c>
      <c r="B685" s="15" t="str">
        <f>IF($C685="","",IF(ROW()=7,Input!$C$3,C684))</f>
        <v/>
      </c>
      <c r="C685" s="6"/>
      <c r="D685" s="6"/>
      <c r="E685" s="10"/>
      <c r="G685" s="6"/>
      <c r="H685" s="6"/>
      <c r="I685" s="10">
        <v>0.0</v>
      </c>
      <c r="J685" s="10">
        <v>0.0</v>
      </c>
      <c r="K685" s="5" t="b">
        <v>0</v>
      </c>
      <c r="L685" s="5" t="b">
        <v>1</v>
      </c>
    </row>
    <row r="686">
      <c r="A686" s="14" t="str">
        <f t="shared" si="1"/>
        <v/>
      </c>
      <c r="B686" s="15" t="str">
        <f>IF($C686="","",IF(ROW()=7,Input!$C$3,C685))</f>
        <v/>
      </c>
      <c r="C686" s="6"/>
      <c r="D686" s="6"/>
      <c r="E686" s="10"/>
      <c r="G686" s="6"/>
      <c r="H686" s="6"/>
      <c r="I686" s="10">
        <v>0.0</v>
      </c>
      <c r="J686" s="10">
        <v>0.0</v>
      </c>
      <c r="K686" s="5" t="b">
        <v>0</v>
      </c>
      <c r="L686" s="5" t="b">
        <v>1</v>
      </c>
    </row>
    <row r="687">
      <c r="A687" s="14" t="str">
        <f t="shared" si="1"/>
        <v/>
      </c>
      <c r="B687" s="15" t="str">
        <f>IF($C687="","",IF(ROW()=7,Input!$C$3,C686))</f>
        <v/>
      </c>
      <c r="C687" s="6"/>
      <c r="D687" s="6"/>
      <c r="E687" s="10"/>
      <c r="G687" s="6"/>
      <c r="H687" s="6"/>
      <c r="I687" s="10">
        <v>0.0</v>
      </c>
      <c r="J687" s="10">
        <v>0.0</v>
      </c>
      <c r="K687" s="5" t="b">
        <v>0</v>
      </c>
      <c r="L687" s="5" t="b">
        <v>1</v>
      </c>
    </row>
    <row r="688">
      <c r="A688" s="14" t="str">
        <f t="shared" si="1"/>
        <v/>
      </c>
      <c r="B688" s="15" t="str">
        <f>IF($C688="","",IF(ROW()=7,Input!$C$3,C687))</f>
        <v/>
      </c>
      <c r="C688" s="6"/>
      <c r="D688" s="6"/>
      <c r="E688" s="10"/>
      <c r="G688" s="6"/>
      <c r="H688" s="6"/>
      <c r="I688" s="10">
        <v>0.0</v>
      </c>
      <c r="J688" s="10">
        <v>0.0</v>
      </c>
      <c r="K688" s="5" t="b">
        <v>0</v>
      </c>
      <c r="L688" s="5" t="b">
        <v>1</v>
      </c>
    </row>
    <row r="689">
      <c r="A689" s="14" t="str">
        <f t="shared" si="1"/>
        <v/>
      </c>
      <c r="B689" s="15" t="str">
        <f>IF($C689="","",IF(ROW()=7,Input!$C$3,C688))</f>
        <v/>
      </c>
      <c r="C689" s="6"/>
      <c r="D689" s="6"/>
      <c r="E689" s="10"/>
      <c r="G689" s="6"/>
      <c r="H689" s="6"/>
      <c r="I689" s="10">
        <v>0.0</v>
      </c>
      <c r="J689" s="10">
        <v>0.0</v>
      </c>
      <c r="K689" s="5" t="b">
        <v>0</v>
      </c>
      <c r="L689" s="5" t="b">
        <v>1</v>
      </c>
    </row>
    <row r="690">
      <c r="A690" s="14" t="str">
        <f t="shared" si="1"/>
        <v/>
      </c>
      <c r="B690" s="15" t="str">
        <f>IF($C690="","",IF(ROW()=7,Input!$C$3,C689))</f>
        <v/>
      </c>
      <c r="C690" s="6"/>
      <c r="D690" s="6"/>
      <c r="E690" s="10"/>
      <c r="G690" s="6"/>
      <c r="H690" s="6"/>
      <c r="I690" s="10">
        <v>0.0</v>
      </c>
      <c r="J690" s="10">
        <v>0.0</v>
      </c>
      <c r="K690" s="5" t="b">
        <v>0</v>
      </c>
      <c r="L690" s="5" t="b">
        <v>1</v>
      </c>
    </row>
    <row r="691">
      <c r="A691" s="14" t="str">
        <f t="shared" si="1"/>
        <v/>
      </c>
      <c r="B691" s="15" t="str">
        <f>IF($C691="","",IF(ROW()=7,Input!$C$3,C690))</f>
        <v/>
      </c>
      <c r="C691" s="6"/>
      <c r="D691" s="6"/>
      <c r="E691" s="10"/>
      <c r="G691" s="6"/>
      <c r="H691" s="6"/>
      <c r="I691" s="10">
        <v>0.0</v>
      </c>
      <c r="J691" s="10">
        <v>0.0</v>
      </c>
      <c r="K691" s="5" t="b">
        <v>0</v>
      </c>
      <c r="L691" s="5" t="b">
        <v>1</v>
      </c>
    </row>
    <row r="692">
      <c r="A692" s="14" t="str">
        <f t="shared" si="1"/>
        <v/>
      </c>
      <c r="B692" s="15" t="str">
        <f>IF($C692="","",IF(ROW()=7,Input!$C$3,C691))</f>
        <v/>
      </c>
      <c r="C692" s="6"/>
      <c r="D692" s="6"/>
      <c r="E692" s="10"/>
      <c r="G692" s="6"/>
      <c r="H692" s="6"/>
      <c r="I692" s="10">
        <v>0.0</v>
      </c>
      <c r="J692" s="10">
        <v>0.0</v>
      </c>
      <c r="K692" s="5" t="b">
        <v>0</v>
      </c>
      <c r="L692" s="5" t="b">
        <v>1</v>
      </c>
    </row>
    <row r="693">
      <c r="A693" s="14" t="str">
        <f t="shared" si="1"/>
        <v/>
      </c>
      <c r="B693" s="15" t="str">
        <f>IF($C693="","",IF(ROW()=7,Input!$C$3,C692))</f>
        <v/>
      </c>
      <c r="C693" s="6"/>
      <c r="D693" s="6"/>
      <c r="E693" s="10"/>
      <c r="G693" s="6"/>
      <c r="H693" s="6"/>
      <c r="I693" s="10">
        <v>0.0</v>
      </c>
      <c r="J693" s="10">
        <v>0.0</v>
      </c>
      <c r="K693" s="5" t="b">
        <v>0</v>
      </c>
      <c r="L693" s="5" t="b">
        <v>1</v>
      </c>
    </row>
    <row r="694">
      <c r="A694" s="14" t="str">
        <f t="shared" si="1"/>
        <v/>
      </c>
      <c r="B694" s="15" t="str">
        <f>IF($C694="","",IF(ROW()=7,Input!$C$3,C693))</f>
        <v/>
      </c>
      <c r="C694" s="6"/>
      <c r="D694" s="6"/>
      <c r="E694" s="10"/>
      <c r="G694" s="6"/>
      <c r="H694" s="6"/>
      <c r="I694" s="10">
        <v>0.0</v>
      </c>
      <c r="J694" s="10">
        <v>0.0</v>
      </c>
      <c r="K694" s="5" t="b">
        <v>0</v>
      </c>
      <c r="L694" s="5" t="b">
        <v>1</v>
      </c>
    </row>
    <row r="695">
      <c r="A695" s="14" t="str">
        <f t="shared" si="1"/>
        <v/>
      </c>
      <c r="B695" s="15" t="str">
        <f>IF($C695="","",IF(ROW()=7,Input!$C$3,C694))</f>
        <v/>
      </c>
      <c r="C695" s="6"/>
      <c r="D695" s="6"/>
      <c r="E695" s="10"/>
      <c r="G695" s="6"/>
      <c r="H695" s="6"/>
      <c r="I695" s="10">
        <v>0.0</v>
      </c>
      <c r="J695" s="10">
        <v>0.0</v>
      </c>
      <c r="K695" s="5" t="b">
        <v>0</v>
      </c>
      <c r="L695" s="5" t="b">
        <v>1</v>
      </c>
    </row>
    <row r="696">
      <c r="A696" s="14" t="str">
        <f t="shared" si="1"/>
        <v/>
      </c>
      <c r="B696" s="15" t="str">
        <f>IF($C696="","",IF(ROW()=7,Input!$C$3,C695))</f>
        <v/>
      </c>
      <c r="C696" s="6"/>
      <c r="D696" s="6"/>
      <c r="E696" s="10"/>
      <c r="G696" s="6"/>
      <c r="H696" s="6"/>
      <c r="I696" s="10">
        <v>0.0</v>
      </c>
      <c r="J696" s="10">
        <v>0.0</v>
      </c>
      <c r="K696" s="5" t="b">
        <v>0</v>
      </c>
      <c r="L696" s="5" t="b">
        <v>1</v>
      </c>
    </row>
    <row r="697">
      <c r="A697" s="14" t="str">
        <f t="shared" si="1"/>
        <v/>
      </c>
      <c r="B697" s="15" t="str">
        <f>IF($C697="","",IF(ROW()=7,Input!$C$3,C696))</f>
        <v/>
      </c>
      <c r="C697" s="6"/>
      <c r="D697" s="6"/>
      <c r="E697" s="10"/>
      <c r="G697" s="6"/>
      <c r="H697" s="6"/>
      <c r="I697" s="10">
        <v>0.0</v>
      </c>
      <c r="J697" s="10">
        <v>0.0</v>
      </c>
      <c r="K697" s="5" t="b">
        <v>0</v>
      </c>
      <c r="L697" s="5" t="b">
        <v>1</v>
      </c>
    </row>
    <row r="698">
      <c r="A698" s="14" t="str">
        <f t="shared" si="1"/>
        <v/>
      </c>
      <c r="B698" s="15" t="str">
        <f>IF($C698="","",IF(ROW()=7,Input!$C$3,C697))</f>
        <v/>
      </c>
      <c r="C698" s="6"/>
      <c r="D698" s="6"/>
      <c r="E698" s="10"/>
      <c r="G698" s="6"/>
      <c r="H698" s="6"/>
      <c r="I698" s="10">
        <v>0.0</v>
      </c>
      <c r="J698" s="10">
        <v>0.0</v>
      </c>
      <c r="K698" s="5" t="b">
        <v>0</v>
      </c>
      <c r="L698" s="5" t="b">
        <v>1</v>
      </c>
    </row>
    <row r="699">
      <c r="A699" s="14" t="str">
        <f t="shared" si="1"/>
        <v/>
      </c>
      <c r="B699" s="15" t="str">
        <f>IF($C699="","",IF(ROW()=7,Input!$C$3,C698))</f>
        <v/>
      </c>
      <c r="C699" s="6"/>
      <c r="D699" s="6"/>
      <c r="E699" s="10"/>
      <c r="G699" s="6"/>
      <c r="H699" s="6"/>
      <c r="I699" s="10">
        <v>0.0</v>
      </c>
      <c r="J699" s="10">
        <v>0.0</v>
      </c>
      <c r="K699" s="5" t="b">
        <v>0</v>
      </c>
      <c r="L699" s="5" t="b">
        <v>1</v>
      </c>
    </row>
    <row r="700">
      <c r="A700" s="14" t="str">
        <f t="shared" si="1"/>
        <v/>
      </c>
      <c r="B700" s="15" t="str">
        <f>IF($C700="","",IF(ROW()=7,Input!$C$3,C699))</f>
        <v/>
      </c>
      <c r="C700" s="6"/>
      <c r="D700" s="6"/>
      <c r="E700" s="10"/>
      <c r="G700" s="6"/>
      <c r="H700" s="6"/>
      <c r="I700" s="10">
        <v>0.0</v>
      </c>
      <c r="J700" s="10">
        <v>0.0</v>
      </c>
      <c r="K700" s="5" t="b">
        <v>0</v>
      </c>
      <c r="L700" s="5" t="b">
        <v>1</v>
      </c>
    </row>
    <row r="701">
      <c r="A701" s="14" t="str">
        <f t="shared" si="1"/>
        <v/>
      </c>
      <c r="B701" s="15" t="str">
        <f>IF($C701="","",IF(ROW()=7,Input!$C$3,C700))</f>
        <v/>
      </c>
      <c r="C701" s="6"/>
      <c r="D701" s="6"/>
      <c r="E701" s="10"/>
      <c r="G701" s="6"/>
      <c r="H701" s="6"/>
      <c r="I701" s="10">
        <v>0.0</v>
      </c>
      <c r="J701" s="10">
        <v>0.0</v>
      </c>
      <c r="K701" s="5" t="b">
        <v>0</v>
      </c>
      <c r="L701" s="5" t="b">
        <v>1</v>
      </c>
    </row>
    <row r="702">
      <c r="A702" s="14" t="str">
        <f t="shared" si="1"/>
        <v/>
      </c>
      <c r="B702" s="15" t="str">
        <f>IF($C702="","",IF(ROW()=7,Input!$C$3,C701))</f>
        <v/>
      </c>
      <c r="C702" s="6"/>
      <c r="D702" s="6"/>
      <c r="E702" s="10"/>
      <c r="G702" s="6"/>
      <c r="H702" s="6"/>
      <c r="I702" s="10">
        <v>0.0</v>
      </c>
      <c r="J702" s="10">
        <v>0.0</v>
      </c>
      <c r="K702" s="5" t="b">
        <v>0</v>
      </c>
      <c r="L702" s="5" t="b">
        <v>1</v>
      </c>
    </row>
    <row r="703">
      <c r="A703" s="14" t="str">
        <f t="shared" si="1"/>
        <v/>
      </c>
      <c r="B703" s="15" t="str">
        <f>IF($C703="","",IF(ROW()=7,Input!$C$3,C702))</f>
        <v/>
      </c>
      <c r="C703" s="6"/>
      <c r="D703" s="6"/>
      <c r="E703" s="10"/>
      <c r="G703" s="6"/>
      <c r="H703" s="6"/>
      <c r="I703" s="10">
        <v>0.0</v>
      </c>
      <c r="J703" s="10">
        <v>0.0</v>
      </c>
      <c r="K703" s="5" t="b">
        <v>0</v>
      </c>
      <c r="L703" s="5" t="b">
        <v>1</v>
      </c>
    </row>
    <row r="704">
      <c r="A704" s="14" t="str">
        <f t="shared" si="1"/>
        <v/>
      </c>
      <c r="B704" s="15" t="str">
        <f>IF($C704="","",IF(ROW()=7,Input!$C$3,C703))</f>
        <v/>
      </c>
      <c r="C704" s="6"/>
      <c r="D704" s="6"/>
      <c r="E704" s="10"/>
      <c r="G704" s="6"/>
      <c r="H704" s="6"/>
      <c r="I704" s="10">
        <v>0.0</v>
      </c>
      <c r="J704" s="10">
        <v>0.0</v>
      </c>
      <c r="K704" s="5" t="b">
        <v>0</v>
      </c>
      <c r="L704" s="5" t="b">
        <v>1</v>
      </c>
    </row>
    <row r="705">
      <c r="A705" s="14" t="str">
        <f t="shared" si="1"/>
        <v/>
      </c>
      <c r="B705" s="15" t="str">
        <f>IF($C705="","",IF(ROW()=7,Input!$C$3,C704))</f>
        <v/>
      </c>
      <c r="C705" s="6"/>
      <c r="D705" s="6"/>
      <c r="E705" s="10"/>
      <c r="G705" s="6"/>
      <c r="H705" s="6"/>
      <c r="I705" s="10">
        <v>0.0</v>
      </c>
      <c r="J705" s="10">
        <v>0.0</v>
      </c>
      <c r="K705" s="5" t="b">
        <v>0</v>
      </c>
      <c r="L705" s="5" t="b">
        <v>1</v>
      </c>
    </row>
    <row r="706">
      <c r="A706" s="14" t="str">
        <f t="shared" si="1"/>
        <v/>
      </c>
      <c r="B706" s="15" t="str">
        <f>IF($C706="","",IF(ROW()=7,Input!$C$3,C705))</f>
        <v/>
      </c>
      <c r="C706" s="6"/>
      <c r="D706" s="6"/>
      <c r="E706" s="10"/>
      <c r="G706" s="6"/>
      <c r="H706" s="6"/>
      <c r="I706" s="10">
        <v>0.0</v>
      </c>
      <c r="J706" s="10">
        <v>0.0</v>
      </c>
      <c r="K706" s="5" t="b">
        <v>0</v>
      </c>
      <c r="L706" s="5" t="b">
        <v>1</v>
      </c>
    </row>
    <row r="707">
      <c r="A707" s="14" t="str">
        <f t="shared" si="1"/>
        <v/>
      </c>
      <c r="B707" s="15" t="str">
        <f>IF($C707="","",IF(ROW()=7,Input!$C$3,C706))</f>
        <v/>
      </c>
      <c r="C707" s="6"/>
      <c r="D707" s="6"/>
      <c r="E707" s="10"/>
      <c r="G707" s="6"/>
      <c r="H707" s="6"/>
      <c r="I707" s="10">
        <v>0.0</v>
      </c>
      <c r="J707" s="10">
        <v>0.0</v>
      </c>
      <c r="K707" s="5" t="b">
        <v>0</v>
      </c>
      <c r="L707" s="5" t="b">
        <v>1</v>
      </c>
    </row>
    <row r="708">
      <c r="A708" s="14" t="str">
        <f t="shared" si="1"/>
        <v/>
      </c>
      <c r="B708" s="15" t="str">
        <f>IF($C708="","",IF(ROW()=7,Input!$C$3,C707))</f>
        <v/>
      </c>
      <c r="C708" s="6"/>
      <c r="D708" s="6"/>
      <c r="E708" s="10"/>
      <c r="G708" s="6"/>
      <c r="H708" s="6"/>
      <c r="I708" s="10">
        <v>0.0</v>
      </c>
      <c r="J708" s="10">
        <v>0.0</v>
      </c>
      <c r="K708" s="5" t="b">
        <v>0</v>
      </c>
      <c r="L708" s="5" t="b">
        <v>1</v>
      </c>
    </row>
    <row r="709">
      <c r="A709" s="14" t="str">
        <f t="shared" si="1"/>
        <v/>
      </c>
      <c r="B709" s="15" t="str">
        <f>IF($C709="","",IF(ROW()=7,Input!$C$3,C708))</f>
        <v/>
      </c>
      <c r="C709" s="6"/>
      <c r="D709" s="6"/>
      <c r="E709" s="10"/>
      <c r="G709" s="6"/>
      <c r="H709" s="6"/>
      <c r="I709" s="10">
        <v>0.0</v>
      </c>
      <c r="J709" s="10">
        <v>0.0</v>
      </c>
      <c r="K709" s="5" t="b">
        <v>0</v>
      </c>
      <c r="L709" s="5" t="b">
        <v>1</v>
      </c>
    </row>
    <row r="710">
      <c r="A710" s="14" t="str">
        <f t="shared" si="1"/>
        <v/>
      </c>
      <c r="B710" s="15" t="str">
        <f>IF($C710="","",IF(ROW()=7,Input!$C$3,C709))</f>
        <v/>
      </c>
      <c r="C710" s="6"/>
      <c r="D710" s="6"/>
      <c r="E710" s="10"/>
      <c r="G710" s="6"/>
      <c r="H710" s="6"/>
      <c r="I710" s="10">
        <v>0.0</v>
      </c>
      <c r="J710" s="10">
        <v>0.0</v>
      </c>
      <c r="K710" s="5" t="b">
        <v>0</v>
      </c>
      <c r="L710" s="5" t="b">
        <v>1</v>
      </c>
    </row>
    <row r="711">
      <c r="A711" s="14" t="str">
        <f t="shared" si="1"/>
        <v/>
      </c>
      <c r="B711" s="15" t="str">
        <f>IF($C711="","",IF(ROW()=7,Input!$C$3,C710))</f>
        <v/>
      </c>
      <c r="C711" s="6"/>
      <c r="D711" s="6"/>
      <c r="E711" s="10"/>
      <c r="G711" s="6"/>
      <c r="H711" s="6"/>
      <c r="I711" s="10">
        <v>0.0</v>
      </c>
      <c r="J711" s="10">
        <v>0.0</v>
      </c>
      <c r="K711" s="5" t="b">
        <v>0</v>
      </c>
      <c r="L711" s="5" t="b">
        <v>1</v>
      </c>
    </row>
    <row r="712">
      <c r="A712" s="14" t="str">
        <f t="shared" si="1"/>
        <v/>
      </c>
      <c r="B712" s="15" t="str">
        <f>IF($C712="","",IF(ROW()=7,Input!$C$3,C711))</f>
        <v/>
      </c>
      <c r="C712" s="6"/>
      <c r="D712" s="6"/>
      <c r="E712" s="10"/>
      <c r="G712" s="6"/>
      <c r="H712" s="6"/>
      <c r="I712" s="10">
        <v>0.0</v>
      </c>
      <c r="J712" s="10">
        <v>0.0</v>
      </c>
      <c r="K712" s="5" t="b">
        <v>0</v>
      </c>
      <c r="L712" s="5" t="b">
        <v>1</v>
      </c>
    </row>
    <row r="713">
      <c r="A713" s="14" t="str">
        <f t="shared" si="1"/>
        <v/>
      </c>
      <c r="B713" s="15" t="str">
        <f>IF($C713="","",IF(ROW()=7,Input!$C$3,C712))</f>
        <v/>
      </c>
      <c r="C713" s="6"/>
      <c r="D713" s="6"/>
      <c r="E713" s="10"/>
      <c r="G713" s="6"/>
      <c r="H713" s="6"/>
      <c r="I713" s="10">
        <v>0.0</v>
      </c>
      <c r="J713" s="10">
        <v>0.0</v>
      </c>
      <c r="K713" s="5" t="b">
        <v>0</v>
      </c>
      <c r="L713" s="5" t="b">
        <v>1</v>
      </c>
    </row>
    <row r="714">
      <c r="A714" s="14" t="str">
        <f t="shared" si="1"/>
        <v/>
      </c>
      <c r="B714" s="15" t="str">
        <f>IF($C714="","",IF(ROW()=7,Input!$C$3,C713))</f>
        <v/>
      </c>
      <c r="C714" s="6"/>
      <c r="D714" s="6"/>
      <c r="E714" s="10"/>
      <c r="G714" s="6"/>
      <c r="H714" s="6"/>
      <c r="I714" s="10">
        <v>0.0</v>
      </c>
      <c r="J714" s="10">
        <v>0.0</v>
      </c>
      <c r="K714" s="5" t="b">
        <v>0</v>
      </c>
      <c r="L714" s="5" t="b">
        <v>1</v>
      </c>
    </row>
    <row r="715">
      <c r="A715" s="14" t="str">
        <f t="shared" si="1"/>
        <v/>
      </c>
      <c r="B715" s="15" t="str">
        <f>IF($C715="","",IF(ROW()=7,Input!$C$3,C714))</f>
        <v/>
      </c>
      <c r="C715" s="6"/>
      <c r="D715" s="6"/>
      <c r="E715" s="10"/>
      <c r="G715" s="6"/>
      <c r="H715" s="6"/>
      <c r="I715" s="10">
        <v>0.0</v>
      </c>
      <c r="J715" s="10">
        <v>0.0</v>
      </c>
      <c r="K715" s="5" t="b">
        <v>0</v>
      </c>
      <c r="L715" s="5" t="b">
        <v>1</v>
      </c>
    </row>
    <row r="716">
      <c r="A716" s="14" t="str">
        <f t="shared" si="1"/>
        <v/>
      </c>
      <c r="B716" s="15" t="str">
        <f>IF($C716="","",IF(ROW()=7,Input!$C$3,C715))</f>
        <v/>
      </c>
      <c r="C716" s="6"/>
      <c r="D716" s="6"/>
      <c r="E716" s="10"/>
      <c r="G716" s="6"/>
      <c r="H716" s="6"/>
      <c r="I716" s="10">
        <v>0.0</v>
      </c>
      <c r="J716" s="10">
        <v>0.0</v>
      </c>
      <c r="K716" s="5" t="b">
        <v>0</v>
      </c>
      <c r="L716" s="5" t="b">
        <v>1</v>
      </c>
    </row>
    <row r="717">
      <c r="A717" s="14" t="str">
        <f t="shared" si="1"/>
        <v/>
      </c>
      <c r="B717" s="15" t="str">
        <f>IF($C717="","",IF(ROW()=7,Input!$C$3,C716))</f>
        <v/>
      </c>
      <c r="C717" s="6"/>
      <c r="D717" s="6"/>
      <c r="E717" s="10"/>
      <c r="G717" s="6"/>
      <c r="H717" s="6"/>
      <c r="I717" s="10">
        <v>0.0</v>
      </c>
      <c r="J717" s="10">
        <v>0.0</v>
      </c>
      <c r="K717" s="5" t="b">
        <v>0</v>
      </c>
      <c r="L717" s="5" t="b">
        <v>1</v>
      </c>
    </row>
    <row r="718">
      <c r="A718" s="14" t="str">
        <f t="shared" si="1"/>
        <v/>
      </c>
      <c r="B718" s="15" t="str">
        <f>IF($C718="","",IF(ROW()=7,Input!$C$3,C717))</f>
        <v/>
      </c>
      <c r="C718" s="6"/>
      <c r="D718" s="6"/>
      <c r="E718" s="10"/>
      <c r="G718" s="6"/>
      <c r="H718" s="6"/>
      <c r="I718" s="10">
        <v>0.0</v>
      </c>
      <c r="J718" s="10">
        <v>0.0</v>
      </c>
      <c r="K718" s="5" t="b">
        <v>0</v>
      </c>
      <c r="L718" s="5" t="b">
        <v>1</v>
      </c>
    </row>
    <row r="719">
      <c r="A719" s="14" t="str">
        <f t="shared" si="1"/>
        <v/>
      </c>
      <c r="B719" s="15" t="str">
        <f>IF($C719="","",IF(ROW()=7,Input!$C$3,C718))</f>
        <v/>
      </c>
      <c r="C719" s="6"/>
      <c r="D719" s="6"/>
      <c r="E719" s="10"/>
      <c r="G719" s="6"/>
      <c r="H719" s="6"/>
      <c r="I719" s="10">
        <v>0.0</v>
      </c>
      <c r="J719" s="10">
        <v>0.0</v>
      </c>
      <c r="K719" s="5" t="b">
        <v>0</v>
      </c>
      <c r="L719" s="5" t="b">
        <v>1</v>
      </c>
    </row>
    <row r="720">
      <c r="A720" s="14" t="str">
        <f t="shared" si="1"/>
        <v/>
      </c>
      <c r="B720" s="15" t="str">
        <f>IF($C720="","",IF(ROW()=7,Input!$C$3,C719))</f>
        <v/>
      </c>
      <c r="C720" s="6"/>
      <c r="D720" s="6"/>
      <c r="E720" s="10"/>
      <c r="G720" s="6"/>
      <c r="H720" s="6"/>
      <c r="I720" s="10">
        <v>0.0</v>
      </c>
      <c r="J720" s="10">
        <v>0.0</v>
      </c>
      <c r="K720" s="5" t="b">
        <v>0</v>
      </c>
      <c r="L720" s="5" t="b">
        <v>1</v>
      </c>
    </row>
    <row r="721">
      <c r="A721" s="14" t="str">
        <f t="shared" si="1"/>
        <v/>
      </c>
      <c r="B721" s="15" t="str">
        <f>IF($C721="","",IF(ROW()=7,Input!$C$3,C720))</f>
        <v/>
      </c>
      <c r="C721" s="6"/>
      <c r="D721" s="6"/>
      <c r="E721" s="10"/>
      <c r="G721" s="6"/>
      <c r="H721" s="6"/>
      <c r="I721" s="10">
        <v>0.0</v>
      </c>
      <c r="J721" s="10">
        <v>0.0</v>
      </c>
      <c r="K721" s="5" t="b">
        <v>0</v>
      </c>
      <c r="L721" s="5" t="b">
        <v>1</v>
      </c>
    </row>
    <row r="722">
      <c r="A722" s="14" t="str">
        <f t="shared" si="1"/>
        <v/>
      </c>
      <c r="B722" s="15" t="str">
        <f>IF($C722="","",IF(ROW()=7,Input!$C$3,C721))</f>
        <v/>
      </c>
      <c r="C722" s="6"/>
      <c r="D722" s="6"/>
      <c r="E722" s="10"/>
      <c r="G722" s="6"/>
      <c r="H722" s="6"/>
      <c r="I722" s="10">
        <v>0.0</v>
      </c>
      <c r="J722" s="10">
        <v>0.0</v>
      </c>
      <c r="K722" s="5" t="b">
        <v>0</v>
      </c>
      <c r="L722" s="5" t="b">
        <v>1</v>
      </c>
    </row>
    <row r="723">
      <c r="A723" s="14" t="str">
        <f t="shared" si="1"/>
        <v/>
      </c>
      <c r="B723" s="15" t="str">
        <f>IF($C723="","",IF(ROW()=7,Input!$C$3,C722))</f>
        <v/>
      </c>
      <c r="C723" s="6"/>
      <c r="D723" s="6"/>
      <c r="E723" s="10"/>
      <c r="G723" s="6"/>
      <c r="H723" s="6"/>
      <c r="I723" s="10">
        <v>0.0</v>
      </c>
      <c r="J723" s="10">
        <v>0.0</v>
      </c>
      <c r="K723" s="5" t="b">
        <v>0</v>
      </c>
      <c r="L723" s="5" t="b">
        <v>1</v>
      </c>
    </row>
    <row r="724">
      <c r="A724" s="14" t="str">
        <f t="shared" si="1"/>
        <v/>
      </c>
      <c r="B724" s="15" t="str">
        <f>IF($C724="","",IF(ROW()=7,Input!$C$3,C723))</f>
        <v/>
      </c>
      <c r="C724" s="6"/>
      <c r="D724" s="6"/>
      <c r="E724" s="10"/>
      <c r="G724" s="6"/>
      <c r="H724" s="6"/>
      <c r="I724" s="10">
        <v>0.0</v>
      </c>
      <c r="J724" s="10">
        <v>0.0</v>
      </c>
      <c r="K724" s="5" t="b">
        <v>0</v>
      </c>
      <c r="L724" s="5" t="b">
        <v>1</v>
      </c>
    </row>
    <row r="725">
      <c r="A725" s="14" t="str">
        <f t="shared" si="1"/>
        <v/>
      </c>
      <c r="B725" s="15" t="str">
        <f>IF($C725="","",IF(ROW()=7,Input!$C$3,C724))</f>
        <v/>
      </c>
      <c r="C725" s="6"/>
      <c r="D725" s="6"/>
      <c r="E725" s="10"/>
      <c r="G725" s="6"/>
      <c r="H725" s="6"/>
      <c r="I725" s="10">
        <v>0.0</v>
      </c>
      <c r="J725" s="10">
        <v>0.0</v>
      </c>
      <c r="K725" s="5" t="b">
        <v>0</v>
      </c>
      <c r="L725" s="5" t="b">
        <v>1</v>
      </c>
    </row>
    <row r="726">
      <c r="A726" s="14" t="str">
        <f t="shared" si="1"/>
        <v/>
      </c>
      <c r="B726" s="15" t="str">
        <f>IF($C726="","",IF(ROW()=7,Input!$C$3,C725))</f>
        <v/>
      </c>
      <c r="C726" s="6"/>
      <c r="D726" s="6"/>
      <c r="E726" s="10"/>
      <c r="G726" s="6"/>
      <c r="H726" s="6"/>
      <c r="I726" s="10">
        <v>0.0</v>
      </c>
      <c r="J726" s="10">
        <v>0.0</v>
      </c>
      <c r="K726" s="5" t="b">
        <v>0</v>
      </c>
      <c r="L726" s="5" t="b">
        <v>1</v>
      </c>
    </row>
    <row r="727">
      <c r="A727" s="14" t="str">
        <f t="shared" si="1"/>
        <v/>
      </c>
      <c r="B727" s="15" t="str">
        <f>IF($C727="","",IF(ROW()=7,Input!$C$3,C726))</f>
        <v/>
      </c>
      <c r="C727" s="6"/>
      <c r="D727" s="6"/>
      <c r="E727" s="10"/>
      <c r="G727" s="6"/>
      <c r="H727" s="6"/>
      <c r="I727" s="10">
        <v>0.0</v>
      </c>
      <c r="J727" s="10">
        <v>0.0</v>
      </c>
      <c r="K727" s="5" t="b">
        <v>0</v>
      </c>
      <c r="L727" s="5" t="b">
        <v>1</v>
      </c>
    </row>
    <row r="728">
      <c r="A728" s="14" t="str">
        <f t="shared" si="1"/>
        <v/>
      </c>
      <c r="B728" s="15" t="str">
        <f>IF($C728="","",IF(ROW()=7,Input!$C$3,C727))</f>
        <v/>
      </c>
      <c r="C728" s="6"/>
      <c r="D728" s="6"/>
      <c r="E728" s="10"/>
      <c r="G728" s="6"/>
      <c r="H728" s="6"/>
      <c r="I728" s="10">
        <v>0.0</v>
      </c>
      <c r="J728" s="10">
        <v>0.0</v>
      </c>
      <c r="K728" s="5" t="b">
        <v>0</v>
      </c>
      <c r="L728" s="5" t="b">
        <v>1</v>
      </c>
    </row>
    <row r="729">
      <c r="A729" s="14" t="str">
        <f t="shared" si="1"/>
        <v/>
      </c>
      <c r="B729" s="15" t="str">
        <f>IF($C729="","",IF(ROW()=7,Input!$C$3,C728))</f>
        <v/>
      </c>
      <c r="C729" s="6"/>
      <c r="D729" s="6"/>
      <c r="E729" s="10"/>
      <c r="G729" s="6"/>
      <c r="H729" s="6"/>
      <c r="I729" s="10">
        <v>0.0</v>
      </c>
      <c r="J729" s="10">
        <v>0.0</v>
      </c>
      <c r="K729" s="5" t="b">
        <v>0</v>
      </c>
      <c r="L729" s="5" t="b">
        <v>1</v>
      </c>
    </row>
    <row r="730">
      <c r="A730" s="14" t="str">
        <f t="shared" si="1"/>
        <v/>
      </c>
      <c r="B730" s="15" t="str">
        <f>IF($C730="","",IF(ROW()=7,Input!$C$3,C729))</f>
        <v/>
      </c>
      <c r="C730" s="6"/>
      <c r="D730" s="6"/>
      <c r="E730" s="10"/>
      <c r="G730" s="6"/>
      <c r="H730" s="6"/>
      <c r="I730" s="10">
        <v>0.0</v>
      </c>
      <c r="J730" s="10">
        <v>0.0</v>
      </c>
      <c r="K730" s="5" t="b">
        <v>0</v>
      </c>
      <c r="L730" s="5" t="b">
        <v>1</v>
      </c>
    </row>
    <row r="731">
      <c r="A731" s="14" t="str">
        <f t="shared" si="1"/>
        <v/>
      </c>
      <c r="B731" s="15" t="str">
        <f>IF($C731="","",IF(ROW()=7,Input!$C$3,C730))</f>
        <v/>
      </c>
      <c r="C731" s="6"/>
      <c r="D731" s="6"/>
      <c r="E731" s="10"/>
      <c r="G731" s="6"/>
      <c r="H731" s="6"/>
      <c r="I731" s="10">
        <v>0.0</v>
      </c>
      <c r="J731" s="10">
        <v>0.0</v>
      </c>
      <c r="K731" s="5" t="b">
        <v>0</v>
      </c>
      <c r="L731" s="5" t="b">
        <v>1</v>
      </c>
    </row>
    <row r="732">
      <c r="A732" s="14" t="str">
        <f t="shared" si="1"/>
        <v/>
      </c>
      <c r="B732" s="15" t="str">
        <f>IF($C732="","",IF(ROW()=7,Input!$C$3,C731))</f>
        <v/>
      </c>
      <c r="C732" s="6"/>
      <c r="D732" s="6"/>
      <c r="E732" s="10"/>
      <c r="G732" s="6"/>
      <c r="H732" s="6"/>
      <c r="I732" s="10">
        <v>0.0</v>
      </c>
      <c r="J732" s="10">
        <v>0.0</v>
      </c>
      <c r="K732" s="5" t="b">
        <v>0</v>
      </c>
      <c r="L732" s="5" t="b">
        <v>1</v>
      </c>
    </row>
    <row r="733">
      <c r="A733" s="14" t="str">
        <f t="shared" si="1"/>
        <v/>
      </c>
      <c r="B733" s="15" t="str">
        <f>IF($C733="","",IF(ROW()=7,Input!$C$3,C732))</f>
        <v/>
      </c>
      <c r="C733" s="6"/>
      <c r="D733" s="6"/>
      <c r="E733" s="10"/>
      <c r="G733" s="6"/>
      <c r="H733" s="6"/>
      <c r="I733" s="10">
        <v>0.0</v>
      </c>
      <c r="J733" s="10">
        <v>0.0</v>
      </c>
      <c r="K733" s="5" t="b">
        <v>0</v>
      </c>
      <c r="L733" s="5" t="b">
        <v>1</v>
      </c>
    </row>
    <row r="734">
      <c r="A734" s="14" t="str">
        <f t="shared" si="1"/>
        <v/>
      </c>
      <c r="B734" s="15" t="str">
        <f>IF($C734="","",IF(ROW()=7,Input!$C$3,C733))</f>
        <v/>
      </c>
      <c r="C734" s="6"/>
      <c r="D734" s="6"/>
      <c r="E734" s="10"/>
      <c r="G734" s="6"/>
      <c r="H734" s="6"/>
      <c r="I734" s="10">
        <v>0.0</v>
      </c>
      <c r="J734" s="10">
        <v>0.0</v>
      </c>
      <c r="K734" s="5" t="b">
        <v>0</v>
      </c>
      <c r="L734" s="5" t="b">
        <v>1</v>
      </c>
    </row>
    <row r="735">
      <c r="A735" s="14" t="str">
        <f t="shared" si="1"/>
        <v/>
      </c>
      <c r="B735" s="15" t="str">
        <f>IF($C735="","",IF(ROW()=7,Input!$C$3,C734))</f>
        <v/>
      </c>
      <c r="C735" s="6"/>
      <c r="D735" s="6"/>
      <c r="E735" s="10"/>
      <c r="G735" s="6"/>
      <c r="H735" s="6"/>
      <c r="I735" s="10">
        <v>0.0</v>
      </c>
      <c r="J735" s="10">
        <v>0.0</v>
      </c>
      <c r="K735" s="5" t="b">
        <v>0</v>
      </c>
      <c r="L735" s="5" t="b">
        <v>1</v>
      </c>
    </row>
    <row r="736">
      <c r="A736" s="14" t="str">
        <f t="shared" si="1"/>
        <v/>
      </c>
      <c r="B736" s="15" t="str">
        <f>IF($C736="","",IF(ROW()=7,Input!$C$3,C735))</f>
        <v/>
      </c>
      <c r="C736" s="6"/>
      <c r="D736" s="6"/>
      <c r="E736" s="10"/>
      <c r="G736" s="6"/>
      <c r="H736" s="6"/>
      <c r="I736" s="10">
        <v>0.0</v>
      </c>
      <c r="J736" s="10">
        <v>0.0</v>
      </c>
      <c r="K736" s="5" t="b">
        <v>0</v>
      </c>
      <c r="L736" s="5" t="b">
        <v>1</v>
      </c>
    </row>
    <row r="737">
      <c r="A737" s="14" t="str">
        <f t="shared" si="1"/>
        <v/>
      </c>
      <c r="B737" s="15" t="str">
        <f>IF($C737="","",IF(ROW()=7,Input!$C$3,C736))</f>
        <v/>
      </c>
      <c r="C737" s="6"/>
      <c r="D737" s="6"/>
      <c r="E737" s="10"/>
      <c r="G737" s="6"/>
      <c r="H737" s="6"/>
      <c r="I737" s="10">
        <v>0.0</v>
      </c>
      <c r="J737" s="10">
        <v>0.0</v>
      </c>
      <c r="K737" s="5" t="b">
        <v>0</v>
      </c>
      <c r="L737" s="5" t="b">
        <v>1</v>
      </c>
    </row>
    <row r="738">
      <c r="A738" s="14" t="str">
        <f t="shared" si="1"/>
        <v/>
      </c>
      <c r="B738" s="15" t="str">
        <f>IF($C738="","",IF(ROW()=7,Input!$C$3,C737))</f>
        <v/>
      </c>
      <c r="C738" s="6"/>
      <c r="D738" s="6"/>
      <c r="E738" s="10"/>
      <c r="G738" s="6"/>
      <c r="H738" s="6"/>
      <c r="I738" s="10">
        <v>0.0</v>
      </c>
      <c r="J738" s="10">
        <v>0.0</v>
      </c>
      <c r="K738" s="5" t="b">
        <v>0</v>
      </c>
      <c r="L738" s="5" t="b">
        <v>1</v>
      </c>
    </row>
    <row r="739">
      <c r="A739" s="14" t="str">
        <f t="shared" si="1"/>
        <v/>
      </c>
      <c r="B739" s="15" t="str">
        <f>IF($C739="","",IF(ROW()=7,Input!$C$3,C738))</f>
        <v/>
      </c>
      <c r="C739" s="6"/>
      <c r="D739" s="6"/>
      <c r="E739" s="10"/>
      <c r="G739" s="6"/>
      <c r="H739" s="6"/>
      <c r="I739" s="10">
        <v>0.0</v>
      </c>
      <c r="J739" s="10">
        <v>0.0</v>
      </c>
      <c r="K739" s="5" t="b">
        <v>0</v>
      </c>
      <c r="L739" s="5" t="b">
        <v>1</v>
      </c>
    </row>
    <row r="740">
      <c r="A740" s="14" t="str">
        <f t="shared" si="1"/>
        <v/>
      </c>
      <c r="B740" s="15" t="str">
        <f>IF($C740="","",IF(ROW()=7,Input!$C$3,C739))</f>
        <v/>
      </c>
      <c r="C740" s="6"/>
      <c r="D740" s="6"/>
      <c r="E740" s="10"/>
      <c r="G740" s="6"/>
      <c r="H740" s="6"/>
      <c r="I740" s="10">
        <v>0.0</v>
      </c>
      <c r="J740" s="10">
        <v>0.0</v>
      </c>
      <c r="K740" s="5" t="b">
        <v>0</v>
      </c>
      <c r="L740" s="5" t="b">
        <v>1</v>
      </c>
    </row>
    <row r="741">
      <c r="A741" s="14" t="str">
        <f t="shared" si="1"/>
        <v/>
      </c>
      <c r="B741" s="15" t="str">
        <f>IF($C741="","",IF(ROW()=7,Input!$C$3,C740))</f>
        <v/>
      </c>
      <c r="C741" s="6"/>
      <c r="D741" s="6"/>
      <c r="E741" s="10"/>
      <c r="G741" s="6"/>
      <c r="H741" s="6"/>
      <c r="I741" s="10">
        <v>0.0</v>
      </c>
      <c r="J741" s="10">
        <v>0.0</v>
      </c>
      <c r="K741" s="5" t="b">
        <v>0</v>
      </c>
      <c r="L741" s="5" t="b">
        <v>1</v>
      </c>
    </row>
    <row r="742">
      <c r="A742" s="14" t="str">
        <f t="shared" si="1"/>
        <v/>
      </c>
      <c r="B742" s="15" t="str">
        <f>IF($C742="","",IF(ROW()=7,Input!$C$3,C741))</f>
        <v/>
      </c>
      <c r="C742" s="6"/>
      <c r="D742" s="6"/>
      <c r="E742" s="10"/>
      <c r="G742" s="6"/>
      <c r="H742" s="6"/>
      <c r="I742" s="10">
        <v>0.0</v>
      </c>
      <c r="J742" s="10">
        <v>0.0</v>
      </c>
      <c r="K742" s="5" t="b">
        <v>0</v>
      </c>
      <c r="L742" s="5" t="b">
        <v>1</v>
      </c>
    </row>
    <row r="743">
      <c r="A743" s="14" t="str">
        <f t="shared" si="1"/>
        <v/>
      </c>
      <c r="B743" s="15" t="str">
        <f>IF($C743="","",IF(ROW()=7,Input!$C$3,C742))</f>
        <v/>
      </c>
      <c r="C743" s="6"/>
      <c r="D743" s="6"/>
      <c r="E743" s="10"/>
      <c r="G743" s="6"/>
      <c r="H743" s="6"/>
      <c r="I743" s="10">
        <v>0.0</v>
      </c>
      <c r="J743" s="10">
        <v>0.0</v>
      </c>
      <c r="K743" s="5" t="b">
        <v>0</v>
      </c>
      <c r="L743" s="5" t="b">
        <v>1</v>
      </c>
    </row>
    <row r="744">
      <c r="A744" s="14" t="str">
        <f t="shared" si="1"/>
        <v/>
      </c>
      <c r="B744" s="15" t="str">
        <f>IF($C744="","",IF(ROW()=7,Input!$C$3,C743))</f>
        <v/>
      </c>
      <c r="C744" s="6"/>
      <c r="D744" s="6"/>
      <c r="E744" s="10"/>
      <c r="G744" s="6"/>
      <c r="H744" s="6"/>
      <c r="I744" s="10">
        <v>0.0</v>
      </c>
      <c r="J744" s="10">
        <v>0.0</v>
      </c>
      <c r="K744" s="5" t="b">
        <v>0</v>
      </c>
      <c r="L744" s="5" t="b">
        <v>1</v>
      </c>
    </row>
    <row r="745">
      <c r="A745" s="14" t="str">
        <f t="shared" si="1"/>
        <v/>
      </c>
      <c r="B745" s="15" t="str">
        <f>IF($C745="","",IF(ROW()=7,Input!$C$3,C744))</f>
        <v/>
      </c>
      <c r="C745" s="6"/>
      <c r="D745" s="6"/>
      <c r="E745" s="10"/>
      <c r="G745" s="6"/>
      <c r="H745" s="6"/>
      <c r="I745" s="10">
        <v>0.0</v>
      </c>
      <c r="J745" s="10">
        <v>0.0</v>
      </c>
      <c r="K745" s="5" t="b">
        <v>0</v>
      </c>
      <c r="L745" s="5" t="b">
        <v>1</v>
      </c>
    </row>
    <row r="746">
      <c r="A746" s="14" t="str">
        <f t="shared" si="1"/>
        <v/>
      </c>
      <c r="B746" s="15" t="str">
        <f>IF($C746="","",IF(ROW()=7,Input!$C$3,C745))</f>
        <v/>
      </c>
      <c r="C746" s="6"/>
      <c r="D746" s="6"/>
      <c r="E746" s="10"/>
      <c r="G746" s="6"/>
      <c r="H746" s="6"/>
      <c r="I746" s="10">
        <v>0.0</v>
      </c>
      <c r="J746" s="10">
        <v>0.0</v>
      </c>
      <c r="K746" s="5" t="b">
        <v>0</v>
      </c>
      <c r="L746" s="5" t="b">
        <v>1</v>
      </c>
    </row>
    <row r="747">
      <c r="A747" s="14" t="str">
        <f t="shared" si="1"/>
        <v/>
      </c>
      <c r="B747" s="15" t="str">
        <f>IF($C747="","",IF(ROW()=7,Input!$C$3,C746))</f>
        <v/>
      </c>
      <c r="C747" s="6"/>
      <c r="D747" s="6"/>
      <c r="E747" s="10"/>
      <c r="G747" s="6"/>
      <c r="H747" s="6"/>
      <c r="I747" s="10">
        <v>0.0</v>
      </c>
      <c r="J747" s="10">
        <v>0.0</v>
      </c>
      <c r="K747" s="5" t="b">
        <v>0</v>
      </c>
      <c r="L747" s="5" t="b">
        <v>1</v>
      </c>
    </row>
    <row r="748">
      <c r="A748" s="14" t="str">
        <f t="shared" si="1"/>
        <v/>
      </c>
      <c r="B748" s="15" t="str">
        <f>IF($C748="","",IF(ROW()=7,Input!$C$3,C747))</f>
        <v/>
      </c>
      <c r="C748" s="6"/>
      <c r="D748" s="6"/>
      <c r="E748" s="10"/>
      <c r="G748" s="6"/>
      <c r="H748" s="6"/>
      <c r="I748" s="10">
        <v>0.0</v>
      </c>
      <c r="J748" s="10">
        <v>0.0</v>
      </c>
      <c r="K748" s="5" t="b">
        <v>0</v>
      </c>
      <c r="L748" s="5" t="b">
        <v>1</v>
      </c>
    </row>
    <row r="749">
      <c r="A749" s="14" t="str">
        <f t="shared" si="1"/>
        <v/>
      </c>
      <c r="B749" s="15" t="str">
        <f>IF($C749="","",IF(ROW()=7,Input!$C$3,C748))</f>
        <v/>
      </c>
      <c r="C749" s="6"/>
      <c r="D749" s="6"/>
      <c r="E749" s="10"/>
      <c r="G749" s="6"/>
      <c r="H749" s="6"/>
      <c r="I749" s="10">
        <v>0.0</v>
      </c>
      <c r="J749" s="10">
        <v>0.0</v>
      </c>
      <c r="K749" s="5" t="b">
        <v>0</v>
      </c>
      <c r="L749" s="5" t="b">
        <v>1</v>
      </c>
    </row>
    <row r="750">
      <c r="A750" s="14" t="str">
        <f t="shared" si="1"/>
        <v/>
      </c>
      <c r="B750" s="15" t="str">
        <f>IF($C750="","",IF(ROW()=7,Input!$C$3,C749))</f>
        <v/>
      </c>
      <c r="C750" s="6"/>
      <c r="D750" s="6"/>
      <c r="E750" s="10"/>
      <c r="G750" s="6"/>
      <c r="H750" s="6"/>
      <c r="I750" s="10">
        <v>0.0</v>
      </c>
      <c r="J750" s="10">
        <v>0.0</v>
      </c>
      <c r="K750" s="5" t="b">
        <v>0</v>
      </c>
      <c r="L750" s="5" t="b">
        <v>1</v>
      </c>
    </row>
    <row r="751">
      <c r="A751" s="14" t="str">
        <f t="shared" si="1"/>
        <v/>
      </c>
      <c r="B751" s="15" t="str">
        <f>IF($C751="","",IF(ROW()=7,Input!$C$3,C750))</f>
        <v/>
      </c>
      <c r="C751" s="6"/>
      <c r="D751" s="6"/>
      <c r="E751" s="10"/>
      <c r="G751" s="6"/>
      <c r="H751" s="6"/>
      <c r="I751" s="10">
        <v>0.0</v>
      </c>
      <c r="J751" s="10">
        <v>0.0</v>
      </c>
      <c r="K751" s="5" t="b">
        <v>0</v>
      </c>
      <c r="L751" s="5" t="b">
        <v>1</v>
      </c>
    </row>
    <row r="752">
      <c r="A752" s="14" t="str">
        <f t="shared" si="1"/>
        <v/>
      </c>
      <c r="B752" s="15" t="str">
        <f>IF($C752="","",IF(ROW()=7,Input!$C$3,C751))</f>
        <v/>
      </c>
      <c r="C752" s="6"/>
      <c r="D752" s="6"/>
      <c r="E752" s="10"/>
      <c r="G752" s="6"/>
      <c r="H752" s="6"/>
      <c r="I752" s="10">
        <v>0.0</v>
      </c>
      <c r="J752" s="10">
        <v>0.0</v>
      </c>
      <c r="K752" s="5" t="b">
        <v>0</v>
      </c>
      <c r="L752" s="5" t="b">
        <v>1</v>
      </c>
    </row>
    <row r="753">
      <c r="A753" s="14" t="str">
        <f t="shared" si="1"/>
        <v/>
      </c>
      <c r="B753" s="15" t="str">
        <f>IF($C753="","",IF(ROW()=7,Input!$C$3,C752))</f>
        <v/>
      </c>
      <c r="C753" s="6"/>
      <c r="D753" s="6"/>
      <c r="E753" s="10"/>
      <c r="G753" s="6"/>
      <c r="H753" s="6"/>
      <c r="I753" s="10">
        <v>0.0</v>
      </c>
      <c r="J753" s="10">
        <v>0.0</v>
      </c>
      <c r="K753" s="5" t="b">
        <v>0</v>
      </c>
      <c r="L753" s="5" t="b">
        <v>1</v>
      </c>
    </row>
    <row r="754">
      <c r="A754" s="14" t="str">
        <f t="shared" si="1"/>
        <v/>
      </c>
      <c r="B754" s="15" t="str">
        <f>IF($C754="","",IF(ROW()=7,Input!$C$3,C753))</f>
        <v/>
      </c>
      <c r="C754" s="6"/>
      <c r="D754" s="6"/>
      <c r="E754" s="10"/>
      <c r="G754" s="6"/>
      <c r="H754" s="6"/>
      <c r="I754" s="10">
        <v>0.0</v>
      </c>
      <c r="J754" s="10">
        <v>0.0</v>
      </c>
      <c r="K754" s="5" t="b">
        <v>0</v>
      </c>
      <c r="L754" s="5" t="b">
        <v>1</v>
      </c>
    </row>
    <row r="755">
      <c r="A755" s="14" t="str">
        <f t="shared" si="1"/>
        <v/>
      </c>
      <c r="B755" s="15" t="str">
        <f>IF($C755="","",IF(ROW()=7,Input!$C$3,C754))</f>
        <v/>
      </c>
      <c r="C755" s="6"/>
      <c r="D755" s="6"/>
      <c r="E755" s="10"/>
      <c r="G755" s="6"/>
      <c r="H755" s="6"/>
      <c r="I755" s="10">
        <v>0.0</v>
      </c>
      <c r="J755" s="10">
        <v>0.0</v>
      </c>
      <c r="K755" s="5" t="b">
        <v>0</v>
      </c>
      <c r="L755" s="5" t="b">
        <v>1</v>
      </c>
    </row>
    <row r="756">
      <c r="A756" s="14" t="str">
        <f t="shared" si="1"/>
        <v/>
      </c>
      <c r="B756" s="15" t="str">
        <f>IF($C756="","",IF(ROW()=7,Input!$C$3,C755))</f>
        <v/>
      </c>
      <c r="C756" s="6"/>
      <c r="D756" s="6"/>
      <c r="E756" s="10"/>
      <c r="G756" s="6"/>
      <c r="H756" s="6"/>
      <c r="I756" s="10">
        <v>0.0</v>
      </c>
      <c r="J756" s="10">
        <v>0.0</v>
      </c>
      <c r="K756" s="5" t="b">
        <v>0</v>
      </c>
      <c r="L756" s="5" t="b">
        <v>1</v>
      </c>
    </row>
    <row r="757">
      <c r="A757" s="14" t="str">
        <f t="shared" si="1"/>
        <v/>
      </c>
      <c r="B757" s="15" t="str">
        <f>IF($C757="","",IF(ROW()=7,Input!$C$3,C756))</f>
        <v/>
      </c>
      <c r="C757" s="6"/>
      <c r="D757" s="6"/>
      <c r="E757" s="10"/>
      <c r="G757" s="6"/>
      <c r="H757" s="6"/>
      <c r="I757" s="10">
        <v>0.0</v>
      </c>
      <c r="J757" s="10">
        <v>0.0</v>
      </c>
      <c r="K757" s="5" t="b">
        <v>0</v>
      </c>
      <c r="L757" s="5" t="b">
        <v>1</v>
      </c>
    </row>
    <row r="758">
      <c r="A758" s="14" t="str">
        <f t="shared" si="1"/>
        <v/>
      </c>
      <c r="B758" s="15" t="str">
        <f>IF($C758="","",IF(ROW()=7,Input!$C$3,C757))</f>
        <v/>
      </c>
      <c r="C758" s="6"/>
      <c r="D758" s="6"/>
      <c r="E758" s="10"/>
      <c r="G758" s="6"/>
      <c r="H758" s="6"/>
      <c r="I758" s="10">
        <v>0.0</v>
      </c>
      <c r="J758" s="10">
        <v>0.0</v>
      </c>
      <c r="K758" s="5" t="b">
        <v>0</v>
      </c>
      <c r="L758" s="5" t="b">
        <v>1</v>
      </c>
    </row>
    <row r="759">
      <c r="A759" s="14" t="str">
        <f t="shared" si="1"/>
        <v/>
      </c>
      <c r="B759" s="15" t="str">
        <f>IF($C759="","",IF(ROW()=7,Input!$C$3,C758))</f>
        <v/>
      </c>
      <c r="C759" s="6"/>
      <c r="D759" s="6"/>
      <c r="E759" s="10"/>
      <c r="G759" s="6"/>
      <c r="H759" s="6"/>
      <c r="I759" s="10">
        <v>0.0</v>
      </c>
      <c r="J759" s="10">
        <v>0.0</v>
      </c>
      <c r="K759" s="5" t="b">
        <v>0</v>
      </c>
      <c r="L759" s="5" t="b">
        <v>1</v>
      </c>
    </row>
    <row r="760">
      <c r="A760" s="14" t="str">
        <f t="shared" si="1"/>
        <v/>
      </c>
      <c r="B760" s="15" t="str">
        <f>IF($C760="","",IF(ROW()=7,Input!$C$3,C759))</f>
        <v/>
      </c>
      <c r="C760" s="6"/>
      <c r="D760" s="6"/>
      <c r="E760" s="10"/>
      <c r="G760" s="6"/>
      <c r="H760" s="6"/>
      <c r="I760" s="10">
        <v>0.0</v>
      </c>
      <c r="J760" s="10">
        <v>0.0</v>
      </c>
      <c r="K760" s="5" t="b">
        <v>0</v>
      </c>
      <c r="L760" s="5" t="b">
        <v>1</v>
      </c>
    </row>
    <row r="761">
      <c r="A761" s="14" t="str">
        <f t="shared" si="1"/>
        <v/>
      </c>
      <c r="B761" s="15" t="str">
        <f>IF($C761="","",IF(ROW()=7,Input!$C$3,C760))</f>
        <v/>
      </c>
      <c r="C761" s="6"/>
      <c r="D761" s="6"/>
      <c r="E761" s="10"/>
      <c r="G761" s="6"/>
      <c r="H761" s="6"/>
      <c r="I761" s="10">
        <v>0.0</v>
      </c>
      <c r="J761" s="10">
        <v>0.0</v>
      </c>
      <c r="K761" s="5" t="b">
        <v>0</v>
      </c>
      <c r="L761" s="5" t="b">
        <v>1</v>
      </c>
    </row>
    <row r="762">
      <c r="A762" s="14" t="str">
        <f t="shared" si="1"/>
        <v/>
      </c>
      <c r="B762" s="15" t="str">
        <f>IF($C762="","",IF(ROW()=7,Input!$C$3,C761))</f>
        <v/>
      </c>
      <c r="C762" s="6"/>
      <c r="D762" s="6"/>
      <c r="E762" s="10"/>
      <c r="G762" s="6"/>
      <c r="H762" s="6"/>
      <c r="I762" s="10">
        <v>0.0</v>
      </c>
      <c r="J762" s="10">
        <v>0.0</v>
      </c>
      <c r="K762" s="5" t="b">
        <v>0</v>
      </c>
      <c r="L762" s="5" t="b">
        <v>1</v>
      </c>
    </row>
    <row r="763">
      <c r="A763" s="14" t="str">
        <f t="shared" si="1"/>
        <v/>
      </c>
      <c r="B763" s="15" t="str">
        <f>IF($C763="","",IF(ROW()=7,Input!$C$3,C762))</f>
        <v/>
      </c>
      <c r="C763" s="6"/>
      <c r="D763" s="6"/>
      <c r="E763" s="10"/>
      <c r="G763" s="6"/>
      <c r="H763" s="6"/>
      <c r="I763" s="10">
        <v>0.0</v>
      </c>
      <c r="J763" s="10">
        <v>0.0</v>
      </c>
      <c r="K763" s="5" t="b">
        <v>0</v>
      </c>
      <c r="L763" s="5" t="b">
        <v>1</v>
      </c>
    </row>
    <row r="764">
      <c r="A764" s="14" t="str">
        <f t="shared" si="1"/>
        <v/>
      </c>
      <c r="B764" s="15" t="str">
        <f>IF($C764="","",IF(ROW()=7,Input!$C$3,C763))</f>
        <v/>
      </c>
      <c r="C764" s="6"/>
      <c r="D764" s="6"/>
      <c r="E764" s="10"/>
      <c r="G764" s="6"/>
      <c r="H764" s="6"/>
      <c r="I764" s="10">
        <v>0.0</v>
      </c>
      <c r="J764" s="10">
        <v>0.0</v>
      </c>
      <c r="K764" s="5" t="b">
        <v>0</v>
      </c>
      <c r="L764" s="5" t="b">
        <v>1</v>
      </c>
    </row>
    <row r="765">
      <c r="A765" s="14" t="str">
        <f t="shared" si="1"/>
        <v/>
      </c>
      <c r="B765" s="15" t="str">
        <f>IF($C765="","",IF(ROW()=7,Input!$C$3,C764))</f>
        <v/>
      </c>
      <c r="C765" s="6"/>
      <c r="D765" s="6"/>
      <c r="E765" s="10"/>
      <c r="G765" s="6"/>
      <c r="H765" s="6"/>
      <c r="I765" s="10">
        <v>0.0</v>
      </c>
      <c r="J765" s="10">
        <v>0.0</v>
      </c>
      <c r="K765" s="5" t="b">
        <v>0</v>
      </c>
      <c r="L765" s="5" t="b">
        <v>1</v>
      </c>
    </row>
    <row r="766">
      <c r="A766" s="14" t="str">
        <f t="shared" si="1"/>
        <v/>
      </c>
      <c r="B766" s="15" t="str">
        <f>IF($C766="","",IF(ROW()=7,Input!$C$3,C765))</f>
        <v/>
      </c>
      <c r="C766" s="6"/>
      <c r="D766" s="6"/>
      <c r="E766" s="10"/>
      <c r="G766" s="6"/>
      <c r="H766" s="6"/>
      <c r="I766" s="10">
        <v>0.0</v>
      </c>
      <c r="J766" s="10">
        <v>0.0</v>
      </c>
      <c r="K766" s="5" t="b">
        <v>0</v>
      </c>
      <c r="L766" s="5" t="b">
        <v>1</v>
      </c>
    </row>
    <row r="767">
      <c r="A767" s="14" t="str">
        <f t="shared" si="1"/>
        <v/>
      </c>
      <c r="B767" s="15" t="str">
        <f>IF($C767="","",IF(ROW()=7,Input!$C$3,C766))</f>
        <v/>
      </c>
      <c r="C767" s="6"/>
      <c r="D767" s="6"/>
      <c r="E767" s="10"/>
      <c r="G767" s="6"/>
      <c r="H767" s="6"/>
      <c r="I767" s="10">
        <v>0.0</v>
      </c>
      <c r="J767" s="10">
        <v>0.0</v>
      </c>
      <c r="K767" s="5" t="b">
        <v>0</v>
      </c>
      <c r="L767" s="5" t="b">
        <v>1</v>
      </c>
    </row>
    <row r="768">
      <c r="A768" s="14" t="str">
        <f t="shared" si="1"/>
        <v/>
      </c>
      <c r="B768" s="15" t="str">
        <f>IF($C768="","",IF(ROW()=7,Input!$C$3,C767))</f>
        <v/>
      </c>
      <c r="C768" s="6"/>
      <c r="D768" s="6"/>
      <c r="E768" s="10"/>
      <c r="G768" s="6"/>
      <c r="H768" s="6"/>
      <c r="I768" s="10">
        <v>0.0</v>
      </c>
      <c r="J768" s="10">
        <v>0.0</v>
      </c>
      <c r="K768" s="5" t="b">
        <v>0</v>
      </c>
      <c r="L768" s="5" t="b">
        <v>1</v>
      </c>
    </row>
    <row r="769">
      <c r="A769" s="14" t="str">
        <f t="shared" si="1"/>
        <v/>
      </c>
      <c r="B769" s="15" t="str">
        <f>IF($C769="","",IF(ROW()=7,Input!$C$3,C768))</f>
        <v/>
      </c>
      <c r="C769" s="6"/>
      <c r="D769" s="6"/>
      <c r="E769" s="10"/>
      <c r="G769" s="6"/>
      <c r="H769" s="6"/>
      <c r="I769" s="10">
        <v>0.0</v>
      </c>
      <c r="J769" s="10">
        <v>0.0</v>
      </c>
      <c r="K769" s="5" t="b">
        <v>0</v>
      </c>
      <c r="L769" s="5" t="b">
        <v>1</v>
      </c>
    </row>
    <row r="770">
      <c r="A770" s="14" t="str">
        <f t="shared" si="1"/>
        <v/>
      </c>
      <c r="B770" s="15" t="str">
        <f>IF($C770="","",IF(ROW()=7,Input!$C$3,C769))</f>
        <v/>
      </c>
      <c r="C770" s="6"/>
      <c r="D770" s="6"/>
      <c r="E770" s="10"/>
      <c r="G770" s="6"/>
      <c r="H770" s="6"/>
      <c r="I770" s="10">
        <v>0.0</v>
      </c>
      <c r="J770" s="10">
        <v>0.0</v>
      </c>
      <c r="K770" s="5" t="b">
        <v>0</v>
      </c>
      <c r="L770" s="5" t="b">
        <v>1</v>
      </c>
    </row>
    <row r="771">
      <c r="A771" s="14" t="str">
        <f t="shared" si="1"/>
        <v/>
      </c>
      <c r="B771" s="15" t="str">
        <f>IF($C771="","",IF(ROW()=7,Input!$C$3,C770))</f>
        <v/>
      </c>
      <c r="C771" s="6"/>
      <c r="D771" s="6"/>
      <c r="E771" s="10"/>
      <c r="G771" s="6"/>
      <c r="H771" s="6"/>
      <c r="I771" s="10">
        <v>0.0</v>
      </c>
      <c r="J771" s="10">
        <v>0.0</v>
      </c>
      <c r="K771" s="5" t="b">
        <v>0</v>
      </c>
      <c r="L771" s="5" t="b">
        <v>1</v>
      </c>
    </row>
    <row r="772">
      <c r="A772" s="14" t="str">
        <f t="shared" si="1"/>
        <v/>
      </c>
      <c r="B772" s="15" t="str">
        <f>IF($C772="","",IF(ROW()=7,Input!$C$3,C771))</f>
        <v/>
      </c>
      <c r="C772" s="6"/>
      <c r="D772" s="6"/>
      <c r="E772" s="10"/>
      <c r="G772" s="6"/>
      <c r="H772" s="6"/>
      <c r="I772" s="10">
        <v>0.0</v>
      </c>
      <c r="J772" s="10">
        <v>0.0</v>
      </c>
      <c r="K772" s="5" t="b">
        <v>0</v>
      </c>
      <c r="L772" s="5" t="b">
        <v>1</v>
      </c>
    </row>
    <row r="773">
      <c r="A773" s="14" t="str">
        <f t="shared" si="1"/>
        <v/>
      </c>
      <c r="B773" s="15" t="str">
        <f>IF($C773="","",IF(ROW()=7,Input!$C$3,C772))</f>
        <v/>
      </c>
      <c r="C773" s="6"/>
      <c r="D773" s="6"/>
      <c r="E773" s="10"/>
      <c r="G773" s="6"/>
      <c r="H773" s="6"/>
      <c r="I773" s="10">
        <v>0.0</v>
      </c>
      <c r="J773" s="10">
        <v>0.0</v>
      </c>
      <c r="K773" s="5" t="b">
        <v>0</v>
      </c>
      <c r="L773" s="5" t="b">
        <v>1</v>
      </c>
    </row>
    <row r="774">
      <c r="A774" s="14" t="str">
        <f t="shared" si="1"/>
        <v/>
      </c>
      <c r="B774" s="15" t="str">
        <f>IF($C774="","",IF(ROW()=7,Input!$C$3,C773))</f>
        <v/>
      </c>
      <c r="C774" s="6"/>
      <c r="D774" s="6"/>
      <c r="E774" s="10"/>
      <c r="G774" s="6"/>
      <c r="H774" s="6"/>
      <c r="I774" s="10">
        <v>0.0</v>
      </c>
      <c r="J774" s="10">
        <v>0.0</v>
      </c>
      <c r="K774" s="5" t="b">
        <v>0</v>
      </c>
      <c r="L774" s="5" t="b">
        <v>1</v>
      </c>
    </row>
    <row r="775">
      <c r="A775" s="14" t="str">
        <f t="shared" si="1"/>
        <v/>
      </c>
      <c r="B775" s="15" t="str">
        <f>IF($C775="","",IF(ROW()=7,Input!$C$3,C774))</f>
        <v/>
      </c>
      <c r="C775" s="6"/>
      <c r="D775" s="6"/>
      <c r="E775" s="10"/>
      <c r="G775" s="6"/>
      <c r="H775" s="6"/>
      <c r="I775" s="10">
        <v>0.0</v>
      </c>
      <c r="J775" s="10">
        <v>0.0</v>
      </c>
      <c r="K775" s="5" t="b">
        <v>0</v>
      </c>
      <c r="L775" s="5" t="b">
        <v>1</v>
      </c>
    </row>
    <row r="776">
      <c r="A776" s="14" t="str">
        <f t="shared" si="1"/>
        <v/>
      </c>
      <c r="B776" s="15" t="str">
        <f>IF($C776="","",IF(ROW()=7,Input!$C$3,C775))</f>
        <v/>
      </c>
      <c r="C776" s="6"/>
      <c r="D776" s="6"/>
      <c r="E776" s="10"/>
      <c r="G776" s="6"/>
      <c r="H776" s="6"/>
      <c r="I776" s="10">
        <v>0.0</v>
      </c>
      <c r="J776" s="10">
        <v>0.0</v>
      </c>
      <c r="K776" s="5" t="b">
        <v>0</v>
      </c>
      <c r="L776" s="5" t="b">
        <v>1</v>
      </c>
    </row>
    <row r="777">
      <c r="A777" s="14" t="str">
        <f t="shared" si="1"/>
        <v/>
      </c>
      <c r="B777" s="15" t="str">
        <f>IF($C777="","",IF(ROW()=7,Input!$C$3,C776))</f>
        <v/>
      </c>
      <c r="C777" s="6"/>
      <c r="D777" s="6"/>
      <c r="E777" s="10"/>
      <c r="G777" s="6"/>
      <c r="H777" s="6"/>
      <c r="I777" s="10">
        <v>0.0</v>
      </c>
      <c r="J777" s="10">
        <v>0.0</v>
      </c>
      <c r="K777" s="5" t="b">
        <v>0</v>
      </c>
      <c r="L777" s="5" t="b">
        <v>1</v>
      </c>
    </row>
    <row r="778">
      <c r="A778" s="14" t="str">
        <f t="shared" si="1"/>
        <v/>
      </c>
      <c r="B778" s="15" t="str">
        <f>IF($C778="","",IF(ROW()=7,Input!$C$3,C777))</f>
        <v/>
      </c>
      <c r="C778" s="6"/>
      <c r="D778" s="6"/>
      <c r="E778" s="10"/>
      <c r="G778" s="6"/>
      <c r="H778" s="6"/>
      <c r="I778" s="10">
        <v>0.0</v>
      </c>
      <c r="J778" s="10">
        <v>0.0</v>
      </c>
      <c r="K778" s="5" t="b">
        <v>0</v>
      </c>
      <c r="L778" s="5" t="b">
        <v>1</v>
      </c>
    </row>
    <row r="779">
      <c r="A779" s="14" t="str">
        <f t="shared" si="1"/>
        <v/>
      </c>
      <c r="B779" s="15" t="str">
        <f>IF($C779="","",IF(ROW()=7,Input!$C$3,C778))</f>
        <v/>
      </c>
      <c r="C779" s="6"/>
      <c r="D779" s="6"/>
      <c r="E779" s="10"/>
      <c r="G779" s="6"/>
      <c r="H779" s="6"/>
      <c r="I779" s="10">
        <v>0.0</v>
      </c>
      <c r="J779" s="10">
        <v>0.0</v>
      </c>
      <c r="K779" s="5" t="b">
        <v>0</v>
      </c>
      <c r="L779" s="5" t="b">
        <v>1</v>
      </c>
    </row>
    <row r="780">
      <c r="A780" s="14" t="str">
        <f t="shared" si="1"/>
        <v/>
      </c>
      <c r="B780" s="15" t="str">
        <f>IF($C780="","",IF(ROW()=7,Input!$C$3,C779))</f>
        <v/>
      </c>
      <c r="C780" s="6"/>
      <c r="D780" s="6"/>
      <c r="E780" s="10"/>
      <c r="G780" s="6"/>
      <c r="H780" s="6"/>
      <c r="I780" s="10">
        <v>0.0</v>
      </c>
      <c r="J780" s="10">
        <v>0.0</v>
      </c>
      <c r="K780" s="5" t="b">
        <v>0</v>
      </c>
      <c r="L780" s="5" t="b">
        <v>1</v>
      </c>
    </row>
    <row r="781">
      <c r="A781" s="14" t="str">
        <f t="shared" si="1"/>
        <v/>
      </c>
      <c r="B781" s="15" t="str">
        <f>IF($C781="","",IF(ROW()=7,Input!$C$3,C780))</f>
        <v/>
      </c>
      <c r="C781" s="6"/>
      <c r="D781" s="6"/>
      <c r="E781" s="10"/>
      <c r="G781" s="6"/>
      <c r="H781" s="6"/>
      <c r="I781" s="10">
        <v>0.0</v>
      </c>
      <c r="J781" s="10">
        <v>0.0</v>
      </c>
      <c r="K781" s="5" t="b">
        <v>0</v>
      </c>
      <c r="L781" s="5" t="b">
        <v>1</v>
      </c>
    </row>
    <row r="782">
      <c r="A782" s="14" t="str">
        <f t="shared" si="1"/>
        <v/>
      </c>
      <c r="B782" s="15" t="str">
        <f>IF($C782="","",IF(ROW()=7,Input!$C$3,C781))</f>
        <v/>
      </c>
      <c r="C782" s="6"/>
      <c r="D782" s="6"/>
      <c r="E782" s="10"/>
      <c r="G782" s="6"/>
      <c r="H782" s="6"/>
      <c r="I782" s="10">
        <v>0.0</v>
      </c>
      <c r="J782" s="10">
        <v>0.0</v>
      </c>
      <c r="K782" s="5" t="b">
        <v>0</v>
      </c>
      <c r="L782" s="5" t="b">
        <v>1</v>
      </c>
    </row>
    <row r="783">
      <c r="A783" s="14" t="str">
        <f t="shared" si="1"/>
        <v/>
      </c>
      <c r="B783" s="15" t="str">
        <f>IF($C783="","",IF(ROW()=7,Input!$C$3,C782))</f>
        <v/>
      </c>
      <c r="C783" s="6"/>
      <c r="D783" s="6"/>
      <c r="E783" s="10"/>
      <c r="G783" s="6"/>
      <c r="H783" s="6"/>
      <c r="I783" s="10">
        <v>0.0</v>
      </c>
      <c r="J783" s="10">
        <v>0.0</v>
      </c>
      <c r="K783" s="5" t="b">
        <v>0</v>
      </c>
      <c r="L783" s="5" t="b">
        <v>1</v>
      </c>
    </row>
    <row r="784">
      <c r="A784" s="14" t="str">
        <f t="shared" si="1"/>
        <v/>
      </c>
      <c r="B784" s="15" t="str">
        <f>IF($C784="","",IF(ROW()=7,Input!$C$3,C783))</f>
        <v/>
      </c>
      <c r="C784" s="6"/>
      <c r="D784" s="6"/>
      <c r="E784" s="10"/>
      <c r="G784" s="6"/>
      <c r="H784" s="6"/>
      <c r="I784" s="10">
        <v>0.0</v>
      </c>
      <c r="J784" s="10">
        <v>0.0</v>
      </c>
      <c r="K784" s="5" t="b">
        <v>0</v>
      </c>
      <c r="L784" s="5" t="b">
        <v>1</v>
      </c>
    </row>
    <row r="785">
      <c r="A785" s="14" t="str">
        <f t="shared" si="1"/>
        <v/>
      </c>
      <c r="B785" s="15" t="str">
        <f>IF($C785="","",IF(ROW()=7,Input!$C$3,C784))</f>
        <v/>
      </c>
      <c r="C785" s="6"/>
      <c r="D785" s="6"/>
      <c r="E785" s="10"/>
      <c r="G785" s="6"/>
      <c r="H785" s="6"/>
      <c r="I785" s="10">
        <v>0.0</v>
      </c>
      <c r="J785" s="10">
        <v>0.0</v>
      </c>
      <c r="K785" s="5" t="b">
        <v>0</v>
      </c>
      <c r="L785" s="5" t="b">
        <v>1</v>
      </c>
    </row>
    <row r="786">
      <c r="A786" s="14" t="str">
        <f t="shared" si="1"/>
        <v/>
      </c>
      <c r="B786" s="15" t="str">
        <f>IF($C786="","",IF(ROW()=7,Input!$C$3,C785))</f>
        <v/>
      </c>
      <c r="C786" s="6"/>
      <c r="D786" s="6"/>
      <c r="E786" s="10"/>
      <c r="G786" s="6"/>
      <c r="H786" s="6"/>
      <c r="I786" s="10">
        <v>0.0</v>
      </c>
      <c r="J786" s="10">
        <v>0.0</v>
      </c>
      <c r="K786" s="5" t="b">
        <v>0</v>
      </c>
      <c r="L786" s="5" t="b">
        <v>1</v>
      </c>
    </row>
    <row r="787">
      <c r="A787" s="14" t="str">
        <f t="shared" si="1"/>
        <v/>
      </c>
      <c r="B787" s="15" t="str">
        <f>IF($C787="","",IF(ROW()=7,Input!$C$3,C786))</f>
        <v/>
      </c>
      <c r="C787" s="6"/>
      <c r="D787" s="6"/>
      <c r="E787" s="10"/>
      <c r="G787" s="6"/>
      <c r="H787" s="6"/>
      <c r="I787" s="10">
        <v>0.0</v>
      </c>
      <c r="J787" s="10">
        <v>0.0</v>
      </c>
      <c r="K787" s="5" t="b">
        <v>0</v>
      </c>
      <c r="L787" s="5" t="b">
        <v>1</v>
      </c>
    </row>
    <row r="788">
      <c r="A788" s="14" t="str">
        <f t="shared" si="1"/>
        <v/>
      </c>
      <c r="B788" s="15" t="str">
        <f>IF($C788="","",IF(ROW()=7,Input!$C$3,C787))</f>
        <v/>
      </c>
      <c r="C788" s="6"/>
      <c r="D788" s="6"/>
      <c r="E788" s="10"/>
      <c r="G788" s="6"/>
      <c r="H788" s="6"/>
      <c r="I788" s="10">
        <v>0.0</v>
      </c>
      <c r="J788" s="10">
        <v>0.0</v>
      </c>
      <c r="K788" s="5" t="b">
        <v>0</v>
      </c>
      <c r="L788" s="5" t="b">
        <v>1</v>
      </c>
    </row>
    <row r="789">
      <c r="A789" s="14" t="str">
        <f t="shared" si="1"/>
        <v/>
      </c>
      <c r="B789" s="15" t="str">
        <f>IF($C789="","",IF(ROW()=7,Input!$C$3,C788))</f>
        <v/>
      </c>
      <c r="C789" s="6"/>
      <c r="D789" s="6"/>
      <c r="E789" s="10"/>
      <c r="G789" s="6"/>
      <c r="H789" s="6"/>
      <c r="I789" s="10">
        <v>0.0</v>
      </c>
      <c r="J789" s="10">
        <v>0.0</v>
      </c>
      <c r="K789" s="5" t="b">
        <v>0</v>
      </c>
      <c r="L789" s="5" t="b">
        <v>1</v>
      </c>
    </row>
    <row r="790">
      <c r="A790" s="14" t="str">
        <f t="shared" si="1"/>
        <v/>
      </c>
      <c r="B790" s="15" t="str">
        <f>IF($C790="","",IF(ROW()=7,Input!$C$3,C789))</f>
        <v/>
      </c>
      <c r="C790" s="6"/>
      <c r="D790" s="6"/>
      <c r="E790" s="10"/>
      <c r="G790" s="6"/>
      <c r="H790" s="6"/>
      <c r="I790" s="10">
        <v>0.0</v>
      </c>
      <c r="J790" s="10">
        <v>0.0</v>
      </c>
      <c r="K790" s="5" t="b">
        <v>0</v>
      </c>
      <c r="L790" s="5" t="b">
        <v>1</v>
      </c>
    </row>
    <row r="791">
      <c r="A791" s="14" t="str">
        <f t="shared" si="1"/>
        <v/>
      </c>
      <c r="B791" s="15" t="str">
        <f>IF($C791="","",IF(ROW()=7,Input!$C$3,C790))</f>
        <v/>
      </c>
      <c r="C791" s="6"/>
      <c r="D791" s="6"/>
      <c r="E791" s="10"/>
      <c r="G791" s="6"/>
      <c r="H791" s="6"/>
      <c r="I791" s="10">
        <v>0.0</v>
      </c>
      <c r="J791" s="10">
        <v>0.0</v>
      </c>
      <c r="K791" s="5" t="b">
        <v>0</v>
      </c>
      <c r="L791" s="5" t="b">
        <v>1</v>
      </c>
    </row>
    <row r="792">
      <c r="A792" s="14" t="str">
        <f t="shared" si="1"/>
        <v/>
      </c>
      <c r="B792" s="15" t="str">
        <f>IF($C792="","",IF(ROW()=7,Input!$C$3,C791))</f>
        <v/>
      </c>
      <c r="C792" s="6"/>
      <c r="D792" s="6"/>
      <c r="E792" s="10"/>
      <c r="G792" s="6"/>
      <c r="H792" s="6"/>
      <c r="I792" s="10">
        <v>0.0</v>
      </c>
      <c r="J792" s="10">
        <v>0.0</v>
      </c>
      <c r="K792" s="5" t="b">
        <v>0</v>
      </c>
      <c r="L792" s="5" t="b">
        <v>1</v>
      </c>
    </row>
    <row r="793">
      <c r="A793" s="14" t="str">
        <f t="shared" si="1"/>
        <v/>
      </c>
      <c r="B793" s="15" t="str">
        <f>IF($C793="","",IF(ROW()=7,Input!$C$3,C792))</f>
        <v/>
      </c>
      <c r="C793" s="6"/>
      <c r="D793" s="6"/>
      <c r="E793" s="10"/>
      <c r="G793" s="6"/>
      <c r="H793" s="6"/>
      <c r="I793" s="10">
        <v>0.0</v>
      </c>
      <c r="J793" s="10">
        <v>0.0</v>
      </c>
      <c r="K793" s="5" t="b">
        <v>0</v>
      </c>
      <c r="L793" s="5" t="b">
        <v>1</v>
      </c>
    </row>
    <row r="794">
      <c r="A794" s="14" t="str">
        <f t="shared" si="1"/>
        <v/>
      </c>
      <c r="B794" s="15" t="str">
        <f>IF($C794="","",IF(ROW()=7,Input!$C$3,C793))</f>
        <v/>
      </c>
      <c r="C794" s="6"/>
      <c r="D794" s="6"/>
      <c r="E794" s="10"/>
      <c r="G794" s="6"/>
      <c r="H794" s="6"/>
      <c r="I794" s="10">
        <v>0.0</v>
      </c>
      <c r="J794" s="10">
        <v>0.0</v>
      </c>
      <c r="K794" s="5" t="b">
        <v>0</v>
      </c>
      <c r="L794" s="5" t="b">
        <v>1</v>
      </c>
    </row>
    <row r="795">
      <c r="A795" s="14" t="str">
        <f t="shared" si="1"/>
        <v/>
      </c>
      <c r="B795" s="15" t="str">
        <f>IF($C795="","",IF(ROW()=7,Input!$C$3,C794))</f>
        <v/>
      </c>
      <c r="C795" s="6"/>
      <c r="D795" s="6"/>
      <c r="E795" s="10"/>
      <c r="G795" s="6"/>
      <c r="H795" s="6"/>
      <c r="I795" s="10">
        <v>0.0</v>
      </c>
      <c r="J795" s="10">
        <v>0.0</v>
      </c>
      <c r="K795" s="5" t="b">
        <v>0</v>
      </c>
      <c r="L795" s="5" t="b">
        <v>1</v>
      </c>
    </row>
    <row r="796">
      <c r="A796" s="14" t="str">
        <f t="shared" si="1"/>
        <v/>
      </c>
      <c r="B796" s="15" t="str">
        <f>IF($C796="","",IF(ROW()=7,Input!$C$3,C795))</f>
        <v/>
      </c>
      <c r="C796" s="6"/>
      <c r="D796" s="6"/>
      <c r="E796" s="10"/>
      <c r="G796" s="6"/>
      <c r="H796" s="6"/>
      <c r="I796" s="10">
        <v>0.0</v>
      </c>
      <c r="J796" s="10">
        <v>0.0</v>
      </c>
      <c r="K796" s="5" t="b">
        <v>0</v>
      </c>
      <c r="L796" s="5" t="b">
        <v>1</v>
      </c>
    </row>
    <row r="797">
      <c r="A797" s="14" t="str">
        <f t="shared" si="1"/>
        <v/>
      </c>
      <c r="B797" s="15" t="str">
        <f>IF($C797="","",IF(ROW()=7,Input!$C$3,C796))</f>
        <v/>
      </c>
      <c r="C797" s="6"/>
      <c r="D797" s="6"/>
      <c r="E797" s="10"/>
      <c r="G797" s="6"/>
      <c r="H797" s="6"/>
      <c r="I797" s="10">
        <v>0.0</v>
      </c>
      <c r="J797" s="10">
        <v>0.0</v>
      </c>
      <c r="K797" s="5" t="b">
        <v>0</v>
      </c>
      <c r="L797" s="5" t="b">
        <v>1</v>
      </c>
    </row>
    <row r="798">
      <c r="A798" s="14" t="str">
        <f t="shared" si="1"/>
        <v/>
      </c>
      <c r="B798" s="15" t="str">
        <f>IF($C798="","",IF(ROW()=7,Input!$C$3,C797))</f>
        <v/>
      </c>
      <c r="C798" s="6"/>
      <c r="D798" s="6"/>
      <c r="E798" s="10"/>
      <c r="G798" s="6"/>
      <c r="H798" s="6"/>
      <c r="I798" s="10">
        <v>0.0</v>
      </c>
      <c r="J798" s="10">
        <v>0.0</v>
      </c>
      <c r="K798" s="5" t="b">
        <v>0</v>
      </c>
      <c r="L798" s="5" t="b">
        <v>1</v>
      </c>
    </row>
    <row r="799">
      <c r="A799" s="14" t="str">
        <f t="shared" si="1"/>
        <v/>
      </c>
      <c r="B799" s="15" t="str">
        <f>IF($C799="","",IF(ROW()=7,Input!$C$3,C798))</f>
        <v/>
      </c>
      <c r="C799" s="6"/>
      <c r="D799" s="6"/>
      <c r="E799" s="10"/>
      <c r="G799" s="6"/>
      <c r="H799" s="6"/>
      <c r="I799" s="10">
        <v>0.0</v>
      </c>
      <c r="J799" s="10">
        <v>0.0</v>
      </c>
      <c r="K799" s="5" t="b">
        <v>0</v>
      </c>
      <c r="L799" s="5" t="b">
        <v>1</v>
      </c>
    </row>
    <row r="800">
      <c r="A800" s="14" t="str">
        <f t="shared" si="1"/>
        <v/>
      </c>
      <c r="B800" s="15" t="str">
        <f>IF($C800="","",IF(ROW()=7,Input!$C$3,C799))</f>
        <v/>
      </c>
      <c r="C800" s="6"/>
      <c r="D800" s="6"/>
      <c r="E800" s="10"/>
      <c r="G800" s="6"/>
      <c r="H800" s="6"/>
      <c r="I800" s="10">
        <v>0.0</v>
      </c>
      <c r="J800" s="10">
        <v>0.0</v>
      </c>
      <c r="K800" s="5" t="b">
        <v>0</v>
      </c>
      <c r="L800" s="5" t="b">
        <v>1</v>
      </c>
    </row>
    <row r="801">
      <c r="A801" s="14" t="str">
        <f t="shared" si="1"/>
        <v/>
      </c>
      <c r="B801" s="15" t="str">
        <f>IF($C801="","",IF(ROW()=7,Input!$C$3,C800))</f>
        <v/>
      </c>
      <c r="C801" s="6"/>
      <c r="D801" s="6"/>
      <c r="E801" s="10"/>
      <c r="G801" s="6"/>
      <c r="H801" s="6"/>
      <c r="I801" s="10">
        <v>0.0</v>
      </c>
      <c r="J801" s="10">
        <v>0.0</v>
      </c>
      <c r="K801" s="5" t="b">
        <v>0</v>
      </c>
      <c r="L801" s="5" t="b">
        <v>1</v>
      </c>
    </row>
    <row r="802">
      <c r="A802" s="14" t="str">
        <f t="shared" si="1"/>
        <v/>
      </c>
      <c r="B802" s="15" t="str">
        <f>IF($C802="","",IF(ROW()=7,Input!$C$3,C801))</f>
        <v/>
      </c>
      <c r="C802" s="6"/>
      <c r="D802" s="6"/>
      <c r="E802" s="10"/>
      <c r="G802" s="6"/>
      <c r="H802" s="6"/>
      <c r="I802" s="10">
        <v>0.0</v>
      </c>
      <c r="J802" s="10">
        <v>0.0</v>
      </c>
      <c r="K802" s="5" t="b">
        <v>0</v>
      </c>
      <c r="L802" s="5" t="b">
        <v>1</v>
      </c>
    </row>
    <row r="803">
      <c r="A803" s="14" t="str">
        <f t="shared" si="1"/>
        <v/>
      </c>
      <c r="B803" s="15" t="str">
        <f>IF($C803="","",IF(ROW()=7,Input!$C$3,C802))</f>
        <v/>
      </c>
      <c r="C803" s="6"/>
      <c r="D803" s="6"/>
      <c r="E803" s="10"/>
      <c r="G803" s="6"/>
      <c r="H803" s="6"/>
      <c r="I803" s="10">
        <v>0.0</v>
      </c>
      <c r="J803" s="10">
        <v>0.0</v>
      </c>
      <c r="K803" s="5" t="b">
        <v>0</v>
      </c>
      <c r="L803" s="5" t="b">
        <v>1</v>
      </c>
    </row>
    <row r="804">
      <c r="A804" s="14" t="str">
        <f t="shared" si="1"/>
        <v/>
      </c>
      <c r="B804" s="15" t="str">
        <f>IF($C804="","",IF(ROW()=7,Input!$C$3,C803))</f>
        <v/>
      </c>
      <c r="C804" s="6"/>
      <c r="D804" s="6"/>
      <c r="E804" s="10"/>
      <c r="G804" s="6"/>
      <c r="H804" s="6"/>
      <c r="I804" s="10">
        <v>0.0</v>
      </c>
      <c r="J804" s="10">
        <v>0.0</v>
      </c>
      <c r="K804" s="5" t="b">
        <v>0</v>
      </c>
      <c r="L804" s="5" t="b">
        <v>1</v>
      </c>
    </row>
    <row r="805">
      <c r="A805" s="14" t="str">
        <f t="shared" si="1"/>
        <v/>
      </c>
      <c r="B805" s="15" t="str">
        <f>IF($C805="","",IF(ROW()=7,Input!$C$3,C804))</f>
        <v/>
      </c>
      <c r="C805" s="6"/>
      <c r="D805" s="6"/>
      <c r="E805" s="10"/>
      <c r="G805" s="6"/>
      <c r="H805" s="6"/>
      <c r="I805" s="10">
        <v>0.0</v>
      </c>
      <c r="J805" s="10">
        <v>0.0</v>
      </c>
      <c r="K805" s="5" t="b">
        <v>0</v>
      </c>
      <c r="L805" s="5" t="b">
        <v>1</v>
      </c>
    </row>
    <row r="806">
      <c r="A806" s="14" t="str">
        <f t="shared" si="1"/>
        <v/>
      </c>
      <c r="B806" s="15" t="str">
        <f>IF($C806="","",IF(ROW()=7,Input!$C$3,C805))</f>
        <v/>
      </c>
      <c r="C806" s="6"/>
      <c r="D806" s="6"/>
      <c r="E806" s="10"/>
      <c r="G806" s="6"/>
      <c r="H806" s="6"/>
      <c r="I806" s="10">
        <v>0.0</v>
      </c>
      <c r="J806" s="10">
        <v>0.0</v>
      </c>
      <c r="K806" s="5" t="b">
        <v>0</v>
      </c>
      <c r="L806" s="5" t="b">
        <v>1</v>
      </c>
    </row>
    <row r="807">
      <c r="A807" s="14" t="str">
        <f t="shared" si="1"/>
        <v/>
      </c>
      <c r="B807" s="15" t="str">
        <f>IF($C807="","",IF(ROW()=7,Input!$C$3,C806))</f>
        <v/>
      </c>
      <c r="C807" s="6"/>
      <c r="D807" s="6"/>
      <c r="E807" s="10"/>
      <c r="G807" s="6"/>
      <c r="H807" s="6"/>
      <c r="I807" s="10">
        <v>0.0</v>
      </c>
      <c r="J807" s="10">
        <v>0.0</v>
      </c>
      <c r="K807" s="5" t="b">
        <v>0</v>
      </c>
      <c r="L807" s="5" t="b">
        <v>1</v>
      </c>
    </row>
    <row r="808">
      <c r="A808" s="14" t="str">
        <f t="shared" si="1"/>
        <v/>
      </c>
      <c r="B808" s="15" t="str">
        <f>IF($C808="","",IF(ROW()=7,Input!$C$3,C807))</f>
        <v/>
      </c>
      <c r="C808" s="6"/>
      <c r="D808" s="6"/>
      <c r="E808" s="10"/>
      <c r="G808" s="6"/>
      <c r="H808" s="6"/>
      <c r="I808" s="10">
        <v>0.0</v>
      </c>
      <c r="J808" s="10">
        <v>0.0</v>
      </c>
      <c r="K808" s="5" t="b">
        <v>0</v>
      </c>
      <c r="L808" s="5" t="b">
        <v>1</v>
      </c>
    </row>
    <row r="809">
      <c r="A809" s="14" t="str">
        <f t="shared" si="1"/>
        <v/>
      </c>
      <c r="B809" s="15" t="str">
        <f>IF($C809="","",IF(ROW()=7,Input!$C$3,C808))</f>
        <v/>
      </c>
      <c r="C809" s="6"/>
      <c r="D809" s="6"/>
      <c r="E809" s="10"/>
      <c r="G809" s="6"/>
      <c r="H809" s="6"/>
      <c r="I809" s="10">
        <v>0.0</v>
      </c>
      <c r="J809" s="10">
        <v>0.0</v>
      </c>
      <c r="K809" s="5" t="b">
        <v>0</v>
      </c>
      <c r="L809" s="5" t="b">
        <v>1</v>
      </c>
    </row>
    <row r="810">
      <c r="A810" s="14" t="str">
        <f t="shared" si="1"/>
        <v/>
      </c>
      <c r="B810" s="15" t="str">
        <f>IF($C810="","",IF(ROW()=7,Input!$C$3,C809))</f>
        <v/>
      </c>
      <c r="C810" s="6"/>
      <c r="D810" s="6"/>
      <c r="E810" s="10"/>
      <c r="G810" s="6"/>
      <c r="H810" s="6"/>
      <c r="I810" s="10">
        <v>0.0</v>
      </c>
      <c r="J810" s="10">
        <v>0.0</v>
      </c>
      <c r="K810" s="5" t="b">
        <v>0</v>
      </c>
      <c r="L810" s="5" t="b">
        <v>1</v>
      </c>
    </row>
    <row r="811">
      <c r="A811" s="14" t="str">
        <f t="shared" si="1"/>
        <v/>
      </c>
      <c r="B811" s="15" t="str">
        <f>IF($C811="","",IF(ROW()=7,Input!$C$3,C810))</f>
        <v/>
      </c>
      <c r="C811" s="6"/>
      <c r="D811" s="6"/>
      <c r="E811" s="10"/>
      <c r="G811" s="6"/>
      <c r="H811" s="6"/>
      <c r="I811" s="10">
        <v>0.0</v>
      </c>
      <c r="J811" s="10">
        <v>0.0</v>
      </c>
      <c r="K811" s="5" t="b">
        <v>0</v>
      </c>
      <c r="L811" s="5" t="b">
        <v>1</v>
      </c>
    </row>
    <row r="812">
      <c r="A812" s="14" t="str">
        <f t="shared" si="1"/>
        <v/>
      </c>
      <c r="B812" s="15" t="str">
        <f>IF($C812="","",IF(ROW()=7,Input!$C$3,C811))</f>
        <v/>
      </c>
      <c r="C812" s="6"/>
      <c r="D812" s="6"/>
      <c r="E812" s="10"/>
      <c r="G812" s="6"/>
      <c r="H812" s="6"/>
      <c r="I812" s="10">
        <v>0.0</v>
      </c>
      <c r="J812" s="10">
        <v>0.0</v>
      </c>
      <c r="K812" s="5" t="b">
        <v>0</v>
      </c>
      <c r="L812" s="5" t="b">
        <v>1</v>
      </c>
    </row>
    <row r="813">
      <c r="A813" s="14" t="str">
        <f t="shared" si="1"/>
        <v/>
      </c>
      <c r="B813" s="15" t="str">
        <f>IF($C813="","",IF(ROW()=7,Input!$C$3,C812))</f>
        <v/>
      </c>
      <c r="C813" s="6"/>
      <c r="D813" s="6"/>
      <c r="E813" s="10"/>
      <c r="G813" s="6"/>
      <c r="H813" s="6"/>
      <c r="I813" s="10">
        <v>0.0</v>
      </c>
      <c r="J813" s="10">
        <v>0.0</v>
      </c>
      <c r="K813" s="5" t="b">
        <v>0</v>
      </c>
      <c r="L813" s="5" t="b">
        <v>1</v>
      </c>
    </row>
    <row r="814">
      <c r="A814" s="14" t="str">
        <f t="shared" si="1"/>
        <v/>
      </c>
      <c r="B814" s="15" t="str">
        <f>IF($C814="","",IF(ROW()=7,Input!$C$3,C813))</f>
        <v/>
      </c>
      <c r="C814" s="6"/>
      <c r="D814" s="6"/>
      <c r="E814" s="10"/>
      <c r="G814" s="6"/>
      <c r="H814" s="6"/>
      <c r="I814" s="10">
        <v>0.0</v>
      </c>
      <c r="J814" s="10">
        <v>0.0</v>
      </c>
      <c r="K814" s="5" t="b">
        <v>0</v>
      </c>
      <c r="L814" s="5" t="b">
        <v>1</v>
      </c>
    </row>
    <row r="815">
      <c r="A815" s="14" t="str">
        <f t="shared" si="1"/>
        <v/>
      </c>
      <c r="B815" s="15" t="str">
        <f>IF($C815="","",IF(ROW()=7,Input!$C$3,C814))</f>
        <v/>
      </c>
      <c r="C815" s="6"/>
      <c r="D815" s="6"/>
      <c r="E815" s="10"/>
      <c r="G815" s="6"/>
      <c r="H815" s="6"/>
      <c r="I815" s="10">
        <v>0.0</v>
      </c>
      <c r="J815" s="10">
        <v>0.0</v>
      </c>
      <c r="K815" s="5" t="b">
        <v>0</v>
      </c>
      <c r="L815" s="5" t="b">
        <v>1</v>
      </c>
    </row>
    <row r="816">
      <c r="A816" s="14" t="str">
        <f t="shared" si="1"/>
        <v/>
      </c>
      <c r="B816" s="15" t="str">
        <f>IF($C816="","",IF(ROW()=7,Input!$C$3,C815))</f>
        <v/>
      </c>
      <c r="C816" s="6"/>
      <c r="D816" s="6"/>
      <c r="E816" s="10"/>
      <c r="G816" s="6"/>
      <c r="H816" s="6"/>
      <c r="I816" s="10">
        <v>0.0</v>
      </c>
      <c r="J816" s="10">
        <v>0.0</v>
      </c>
      <c r="K816" s="5" t="b">
        <v>0</v>
      </c>
      <c r="L816" s="5" t="b">
        <v>1</v>
      </c>
    </row>
    <row r="817">
      <c r="A817" s="14" t="str">
        <f t="shared" si="1"/>
        <v/>
      </c>
      <c r="B817" s="15" t="str">
        <f>IF($C817="","",IF(ROW()=7,Input!$C$3,C816))</f>
        <v/>
      </c>
      <c r="C817" s="6"/>
      <c r="D817" s="6"/>
      <c r="E817" s="10"/>
      <c r="G817" s="6"/>
      <c r="H817" s="6"/>
      <c r="I817" s="10">
        <v>0.0</v>
      </c>
      <c r="J817" s="10">
        <v>0.0</v>
      </c>
      <c r="K817" s="5" t="b">
        <v>0</v>
      </c>
      <c r="L817" s="5" t="b">
        <v>1</v>
      </c>
    </row>
    <row r="818">
      <c r="A818" s="14" t="str">
        <f t="shared" si="1"/>
        <v/>
      </c>
      <c r="B818" s="15" t="str">
        <f>IF($C818="","",IF(ROW()=7,Input!$C$3,C817))</f>
        <v/>
      </c>
      <c r="C818" s="6"/>
      <c r="D818" s="6"/>
      <c r="E818" s="10"/>
      <c r="G818" s="6"/>
      <c r="H818" s="6"/>
      <c r="I818" s="10">
        <v>0.0</v>
      </c>
      <c r="J818" s="10">
        <v>0.0</v>
      </c>
      <c r="K818" s="5" t="b">
        <v>0</v>
      </c>
      <c r="L818" s="5" t="b">
        <v>1</v>
      </c>
    </row>
    <row r="819">
      <c r="A819" s="14" t="str">
        <f t="shared" si="1"/>
        <v/>
      </c>
      <c r="B819" s="15" t="str">
        <f>IF($C819="","",IF(ROW()=7,Input!$C$3,C818))</f>
        <v/>
      </c>
      <c r="C819" s="6"/>
      <c r="D819" s="6"/>
      <c r="E819" s="10"/>
      <c r="G819" s="6"/>
      <c r="H819" s="6"/>
      <c r="I819" s="10">
        <v>0.0</v>
      </c>
      <c r="J819" s="10">
        <v>0.0</v>
      </c>
      <c r="K819" s="5" t="b">
        <v>0</v>
      </c>
      <c r="L819" s="5" t="b">
        <v>1</v>
      </c>
    </row>
    <row r="820">
      <c r="A820" s="14" t="str">
        <f t="shared" si="1"/>
        <v/>
      </c>
      <c r="B820" s="15" t="str">
        <f>IF($C820="","",IF(ROW()=7,Input!$C$3,C819))</f>
        <v/>
      </c>
      <c r="C820" s="6"/>
      <c r="D820" s="6"/>
      <c r="E820" s="10"/>
      <c r="G820" s="6"/>
      <c r="H820" s="6"/>
      <c r="I820" s="10">
        <v>0.0</v>
      </c>
      <c r="J820" s="10">
        <v>0.0</v>
      </c>
      <c r="K820" s="5" t="b">
        <v>0</v>
      </c>
      <c r="L820" s="5" t="b">
        <v>1</v>
      </c>
    </row>
    <row r="821">
      <c r="A821" s="14" t="str">
        <f t="shared" si="1"/>
        <v/>
      </c>
      <c r="B821" s="15" t="str">
        <f>IF($C821="","",IF(ROW()=7,Input!$C$3,C820))</f>
        <v/>
      </c>
      <c r="C821" s="6"/>
      <c r="D821" s="6"/>
      <c r="E821" s="10"/>
      <c r="G821" s="6"/>
      <c r="H821" s="6"/>
      <c r="I821" s="10">
        <v>0.0</v>
      </c>
      <c r="J821" s="10">
        <v>0.0</v>
      </c>
      <c r="K821" s="5" t="b">
        <v>0</v>
      </c>
      <c r="L821" s="5" t="b">
        <v>1</v>
      </c>
    </row>
    <row r="822">
      <c r="A822" s="14" t="str">
        <f t="shared" si="1"/>
        <v/>
      </c>
      <c r="B822" s="15" t="str">
        <f>IF($C822="","",IF(ROW()=7,Input!$C$3,C821))</f>
        <v/>
      </c>
      <c r="C822" s="6"/>
      <c r="D822" s="6"/>
      <c r="E822" s="10"/>
      <c r="G822" s="6"/>
      <c r="H822" s="6"/>
      <c r="I822" s="10">
        <v>0.0</v>
      </c>
      <c r="J822" s="10">
        <v>0.0</v>
      </c>
      <c r="K822" s="5" t="b">
        <v>0</v>
      </c>
      <c r="L822" s="5" t="b">
        <v>1</v>
      </c>
    </row>
    <row r="823">
      <c r="A823" s="14" t="str">
        <f t="shared" si="1"/>
        <v/>
      </c>
      <c r="B823" s="15" t="str">
        <f>IF($C823="","",IF(ROW()=7,Input!$C$3,C822))</f>
        <v/>
      </c>
      <c r="C823" s="6"/>
      <c r="D823" s="6"/>
      <c r="E823" s="10"/>
      <c r="G823" s="6"/>
      <c r="H823" s="6"/>
      <c r="I823" s="10">
        <v>0.0</v>
      </c>
      <c r="J823" s="10">
        <v>0.0</v>
      </c>
      <c r="K823" s="5" t="b">
        <v>0</v>
      </c>
      <c r="L823" s="5" t="b">
        <v>1</v>
      </c>
    </row>
    <row r="824">
      <c r="A824" s="14" t="str">
        <f t="shared" si="1"/>
        <v/>
      </c>
      <c r="B824" s="15" t="str">
        <f>IF($C824="","",IF(ROW()=7,Input!$C$3,C823))</f>
        <v/>
      </c>
      <c r="C824" s="6"/>
      <c r="D824" s="6"/>
      <c r="E824" s="10"/>
      <c r="G824" s="6"/>
      <c r="H824" s="6"/>
      <c r="I824" s="10">
        <v>0.0</v>
      </c>
      <c r="J824" s="10">
        <v>0.0</v>
      </c>
      <c r="K824" s="5" t="b">
        <v>0</v>
      </c>
      <c r="L824" s="5" t="b">
        <v>1</v>
      </c>
    </row>
    <row r="825">
      <c r="A825" s="14" t="str">
        <f t="shared" si="1"/>
        <v/>
      </c>
      <c r="B825" s="15" t="str">
        <f>IF($C825="","",IF(ROW()=7,Input!$C$3,C824))</f>
        <v/>
      </c>
      <c r="C825" s="6"/>
      <c r="D825" s="6"/>
      <c r="E825" s="10"/>
      <c r="G825" s="6"/>
      <c r="H825" s="6"/>
      <c r="I825" s="10">
        <v>0.0</v>
      </c>
      <c r="J825" s="10">
        <v>0.0</v>
      </c>
      <c r="K825" s="5" t="b">
        <v>0</v>
      </c>
      <c r="L825" s="5" t="b">
        <v>1</v>
      </c>
    </row>
    <row r="826">
      <c r="A826" s="14" t="str">
        <f t="shared" si="1"/>
        <v/>
      </c>
      <c r="B826" s="15" t="str">
        <f>IF($C826="","",IF(ROW()=7,Input!$C$3,C825))</f>
        <v/>
      </c>
      <c r="C826" s="6"/>
      <c r="D826" s="6"/>
      <c r="E826" s="10"/>
      <c r="G826" s="6"/>
      <c r="H826" s="6"/>
      <c r="I826" s="10">
        <v>0.0</v>
      </c>
      <c r="J826" s="10">
        <v>0.0</v>
      </c>
      <c r="K826" s="5" t="b">
        <v>0</v>
      </c>
      <c r="L826" s="5" t="b">
        <v>1</v>
      </c>
    </row>
    <row r="827">
      <c r="A827" s="14" t="str">
        <f t="shared" si="1"/>
        <v/>
      </c>
      <c r="B827" s="15" t="str">
        <f>IF($C827="","",IF(ROW()=7,Input!$C$3,C826))</f>
        <v/>
      </c>
      <c r="C827" s="6"/>
      <c r="D827" s="6"/>
      <c r="E827" s="10"/>
      <c r="G827" s="6"/>
      <c r="H827" s="6"/>
      <c r="I827" s="10">
        <v>0.0</v>
      </c>
      <c r="J827" s="10">
        <v>0.0</v>
      </c>
      <c r="K827" s="5" t="b">
        <v>0</v>
      </c>
      <c r="L827" s="5" t="b">
        <v>1</v>
      </c>
    </row>
    <row r="828">
      <c r="A828" s="14" t="str">
        <f t="shared" si="1"/>
        <v/>
      </c>
      <c r="B828" s="15" t="str">
        <f>IF($C828="","",IF(ROW()=7,Input!$C$3,C827))</f>
        <v/>
      </c>
      <c r="C828" s="6"/>
      <c r="D828" s="6"/>
      <c r="E828" s="10"/>
      <c r="G828" s="6"/>
      <c r="H828" s="6"/>
      <c r="I828" s="10">
        <v>0.0</v>
      </c>
      <c r="J828" s="10">
        <v>0.0</v>
      </c>
      <c r="K828" s="5" t="b">
        <v>0</v>
      </c>
      <c r="L828" s="5" t="b">
        <v>1</v>
      </c>
    </row>
    <row r="829">
      <c r="A829" s="14" t="str">
        <f t="shared" si="1"/>
        <v/>
      </c>
      <c r="B829" s="15" t="str">
        <f>IF($C829="","",IF(ROW()=7,Input!$C$3,C828))</f>
        <v/>
      </c>
      <c r="C829" s="6"/>
      <c r="D829" s="6"/>
      <c r="E829" s="10"/>
      <c r="G829" s="6"/>
      <c r="H829" s="6"/>
      <c r="I829" s="10">
        <v>0.0</v>
      </c>
      <c r="J829" s="10">
        <v>0.0</v>
      </c>
      <c r="K829" s="5" t="b">
        <v>0</v>
      </c>
      <c r="L829" s="5" t="b">
        <v>1</v>
      </c>
    </row>
    <row r="830">
      <c r="A830" s="14" t="str">
        <f t="shared" si="1"/>
        <v/>
      </c>
      <c r="B830" s="15" t="str">
        <f>IF($C830="","",IF(ROW()=7,Input!$C$3,C829))</f>
        <v/>
      </c>
      <c r="C830" s="6"/>
      <c r="D830" s="6"/>
      <c r="E830" s="10"/>
      <c r="G830" s="6"/>
      <c r="H830" s="6"/>
      <c r="I830" s="10">
        <v>0.0</v>
      </c>
      <c r="J830" s="10">
        <v>0.0</v>
      </c>
      <c r="K830" s="5" t="b">
        <v>0</v>
      </c>
      <c r="L830" s="5" t="b">
        <v>1</v>
      </c>
    </row>
    <row r="831">
      <c r="A831" s="14" t="str">
        <f t="shared" si="1"/>
        <v/>
      </c>
      <c r="B831" s="15" t="str">
        <f>IF($C831="","",IF(ROW()=7,Input!$C$3,C830))</f>
        <v/>
      </c>
      <c r="C831" s="6"/>
      <c r="D831" s="6"/>
      <c r="E831" s="10"/>
      <c r="G831" s="6"/>
      <c r="H831" s="6"/>
      <c r="I831" s="10">
        <v>0.0</v>
      </c>
      <c r="J831" s="10">
        <v>0.0</v>
      </c>
      <c r="K831" s="5" t="b">
        <v>0</v>
      </c>
      <c r="L831" s="5" t="b">
        <v>1</v>
      </c>
    </row>
    <row r="832">
      <c r="A832" s="14" t="str">
        <f t="shared" si="1"/>
        <v/>
      </c>
      <c r="B832" s="15" t="str">
        <f>IF($C832="","",IF(ROW()=7,Input!$C$3,C831))</f>
        <v/>
      </c>
      <c r="C832" s="6"/>
      <c r="D832" s="6"/>
      <c r="E832" s="10"/>
      <c r="G832" s="6"/>
      <c r="H832" s="6"/>
      <c r="I832" s="10">
        <v>0.0</v>
      </c>
      <c r="J832" s="10">
        <v>0.0</v>
      </c>
      <c r="K832" s="5" t="b">
        <v>0</v>
      </c>
      <c r="L832" s="5" t="b">
        <v>1</v>
      </c>
    </row>
    <row r="833">
      <c r="A833" s="14" t="str">
        <f t="shared" si="1"/>
        <v/>
      </c>
      <c r="B833" s="15" t="str">
        <f>IF($C833="","",IF(ROW()=7,Input!$C$3,C832))</f>
        <v/>
      </c>
      <c r="C833" s="6"/>
      <c r="D833" s="6"/>
      <c r="E833" s="10"/>
      <c r="G833" s="6"/>
      <c r="H833" s="6"/>
      <c r="I833" s="10">
        <v>0.0</v>
      </c>
      <c r="J833" s="10">
        <v>0.0</v>
      </c>
      <c r="K833" s="5" t="b">
        <v>0</v>
      </c>
      <c r="L833" s="5" t="b">
        <v>1</v>
      </c>
    </row>
    <row r="834">
      <c r="A834" s="14" t="str">
        <f t="shared" si="1"/>
        <v/>
      </c>
      <c r="B834" s="15" t="str">
        <f>IF($C834="","",IF(ROW()=7,Input!$C$3,C833))</f>
        <v/>
      </c>
      <c r="C834" s="6"/>
      <c r="D834" s="6"/>
      <c r="E834" s="10"/>
      <c r="G834" s="6"/>
      <c r="H834" s="6"/>
      <c r="I834" s="10">
        <v>0.0</v>
      </c>
      <c r="J834" s="10">
        <v>0.0</v>
      </c>
      <c r="K834" s="5" t="b">
        <v>0</v>
      </c>
      <c r="L834" s="5" t="b">
        <v>1</v>
      </c>
    </row>
    <row r="835">
      <c r="A835" s="14" t="str">
        <f t="shared" si="1"/>
        <v/>
      </c>
      <c r="B835" s="15" t="str">
        <f>IF($C835="","",IF(ROW()=7,Input!$C$3,C834))</f>
        <v/>
      </c>
      <c r="C835" s="6"/>
      <c r="D835" s="6"/>
      <c r="E835" s="10"/>
      <c r="G835" s="6"/>
      <c r="H835" s="6"/>
      <c r="I835" s="10">
        <v>0.0</v>
      </c>
      <c r="J835" s="10">
        <v>0.0</v>
      </c>
      <c r="K835" s="5" t="b">
        <v>0</v>
      </c>
      <c r="L835" s="5" t="b">
        <v>1</v>
      </c>
    </row>
    <row r="836">
      <c r="A836" s="14" t="str">
        <f t="shared" si="1"/>
        <v/>
      </c>
      <c r="B836" s="15" t="str">
        <f>IF($C836="","",IF(ROW()=7,Input!$C$3,C835))</f>
        <v/>
      </c>
      <c r="C836" s="6"/>
      <c r="D836" s="6"/>
      <c r="E836" s="10"/>
      <c r="G836" s="6"/>
      <c r="H836" s="6"/>
      <c r="I836" s="10">
        <v>0.0</v>
      </c>
      <c r="J836" s="10">
        <v>0.0</v>
      </c>
      <c r="K836" s="5" t="b">
        <v>0</v>
      </c>
      <c r="L836" s="5" t="b">
        <v>1</v>
      </c>
    </row>
    <row r="837">
      <c r="A837" s="14" t="str">
        <f t="shared" si="1"/>
        <v/>
      </c>
      <c r="B837" s="15" t="str">
        <f>IF($C837="","",IF(ROW()=7,Input!$C$3,C836))</f>
        <v/>
      </c>
      <c r="C837" s="6"/>
      <c r="D837" s="6"/>
      <c r="E837" s="10"/>
      <c r="G837" s="6"/>
      <c r="H837" s="6"/>
      <c r="I837" s="10">
        <v>0.0</v>
      </c>
      <c r="J837" s="10">
        <v>0.0</v>
      </c>
      <c r="K837" s="5" t="b">
        <v>0</v>
      </c>
      <c r="L837" s="5" t="b">
        <v>1</v>
      </c>
    </row>
    <row r="838">
      <c r="A838" s="14" t="str">
        <f t="shared" si="1"/>
        <v/>
      </c>
      <c r="B838" s="15" t="str">
        <f>IF($C838="","",IF(ROW()=7,Input!$C$3,C837))</f>
        <v/>
      </c>
      <c r="C838" s="6"/>
      <c r="D838" s="6"/>
      <c r="E838" s="10"/>
      <c r="G838" s="6"/>
      <c r="H838" s="6"/>
      <c r="I838" s="10">
        <v>0.0</v>
      </c>
      <c r="J838" s="10">
        <v>0.0</v>
      </c>
      <c r="K838" s="5" t="b">
        <v>0</v>
      </c>
      <c r="L838" s="5" t="b">
        <v>1</v>
      </c>
    </row>
    <row r="839">
      <c r="A839" s="14" t="str">
        <f t="shared" si="1"/>
        <v/>
      </c>
      <c r="B839" s="15" t="str">
        <f>IF($C839="","",IF(ROW()=7,Input!$C$3,C838))</f>
        <v/>
      </c>
      <c r="C839" s="6"/>
      <c r="D839" s="6"/>
      <c r="E839" s="10"/>
      <c r="G839" s="6"/>
      <c r="H839" s="6"/>
      <c r="I839" s="10">
        <v>0.0</v>
      </c>
      <c r="J839" s="10">
        <v>0.0</v>
      </c>
      <c r="K839" s="5" t="b">
        <v>0</v>
      </c>
      <c r="L839" s="5" t="b">
        <v>1</v>
      </c>
    </row>
    <row r="840">
      <c r="A840" s="14" t="str">
        <f t="shared" si="1"/>
        <v/>
      </c>
      <c r="B840" s="15" t="str">
        <f>IF($C840="","",IF(ROW()=7,Input!$C$3,C839))</f>
        <v/>
      </c>
      <c r="C840" s="6"/>
      <c r="D840" s="6"/>
      <c r="E840" s="10"/>
      <c r="G840" s="6"/>
      <c r="H840" s="6"/>
      <c r="I840" s="10">
        <v>0.0</v>
      </c>
      <c r="J840" s="10">
        <v>0.0</v>
      </c>
      <c r="K840" s="5" t="b">
        <v>0</v>
      </c>
      <c r="L840" s="5" t="b">
        <v>1</v>
      </c>
    </row>
    <row r="841">
      <c r="A841" s="14" t="str">
        <f t="shared" si="1"/>
        <v/>
      </c>
      <c r="B841" s="15" t="str">
        <f>IF($C841="","",IF(ROW()=7,Input!$C$3,C840))</f>
        <v/>
      </c>
      <c r="C841" s="6"/>
      <c r="D841" s="6"/>
      <c r="E841" s="10"/>
      <c r="G841" s="6"/>
      <c r="H841" s="6"/>
      <c r="I841" s="10">
        <v>0.0</v>
      </c>
      <c r="J841" s="10">
        <v>0.0</v>
      </c>
      <c r="K841" s="5" t="b">
        <v>0</v>
      </c>
      <c r="L841" s="5" t="b">
        <v>1</v>
      </c>
    </row>
    <row r="842">
      <c r="A842" s="14" t="str">
        <f t="shared" si="1"/>
        <v/>
      </c>
      <c r="B842" s="15" t="str">
        <f>IF($C842="","",IF(ROW()=7,Input!$C$3,C841))</f>
        <v/>
      </c>
      <c r="C842" s="6"/>
      <c r="D842" s="6"/>
      <c r="E842" s="10"/>
      <c r="G842" s="6"/>
      <c r="H842" s="6"/>
      <c r="I842" s="10">
        <v>0.0</v>
      </c>
      <c r="J842" s="10">
        <v>0.0</v>
      </c>
      <c r="K842" s="5" t="b">
        <v>0</v>
      </c>
      <c r="L842" s="5" t="b">
        <v>1</v>
      </c>
    </row>
    <row r="843">
      <c r="A843" s="14" t="str">
        <f t="shared" si="1"/>
        <v/>
      </c>
      <c r="B843" s="15" t="str">
        <f>IF($C843="","",IF(ROW()=7,Input!$C$3,C842))</f>
        <v/>
      </c>
      <c r="C843" s="6"/>
      <c r="D843" s="6"/>
      <c r="E843" s="10"/>
      <c r="G843" s="6"/>
      <c r="H843" s="6"/>
      <c r="I843" s="10">
        <v>0.0</v>
      </c>
      <c r="J843" s="10">
        <v>0.0</v>
      </c>
      <c r="K843" s="5" t="b">
        <v>0</v>
      </c>
      <c r="L843" s="5" t="b">
        <v>1</v>
      </c>
    </row>
    <row r="844">
      <c r="A844" s="14" t="str">
        <f t="shared" si="1"/>
        <v/>
      </c>
      <c r="B844" s="15" t="str">
        <f>IF($C844="","",IF(ROW()=7,Input!$C$3,C843))</f>
        <v/>
      </c>
      <c r="C844" s="6"/>
      <c r="D844" s="6"/>
      <c r="E844" s="10"/>
      <c r="G844" s="6"/>
      <c r="H844" s="6"/>
      <c r="I844" s="10">
        <v>0.0</v>
      </c>
      <c r="J844" s="10">
        <v>0.0</v>
      </c>
      <c r="K844" s="5" t="b">
        <v>0</v>
      </c>
      <c r="L844" s="5" t="b">
        <v>1</v>
      </c>
    </row>
    <row r="845">
      <c r="A845" s="14" t="str">
        <f t="shared" si="1"/>
        <v/>
      </c>
      <c r="B845" s="15" t="str">
        <f>IF($C845="","",IF(ROW()=7,Input!$C$3,C844))</f>
        <v/>
      </c>
      <c r="C845" s="6"/>
      <c r="D845" s="6"/>
      <c r="E845" s="10"/>
      <c r="G845" s="6"/>
      <c r="H845" s="6"/>
      <c r="I845" s="10">
        <v>0.0</v>
      </c>
      <c r="J845" s="10">
        <v>0.0</v>
      </c>
      <c r="K845" s="5" t="b">
        <v>0</v>
      </c>
      <c r="L845" s="5" t="b">
        <v>1</v>
      </c>
    </row>
    <row r="846">
      <c r="A846" s="14" t="str">
        <f t="shared" si="1"/>
        <v/>
      </c>
      <c r="B846" s="15" t="str">
        <f>IF($C846="","",IF(ROW()=7,Input!$C$3,C845))</f>
        <v/>
      </c>
      <c r="C846" s="6"/>
      <c r="D846" s="6"/>
      <c r="E846" s="10"/>
      <c r="G846" s="6"/>
      <c r="H846" s="6"/>
      <c r="I846" s="10">
        <v>0.0</v>
      </c>
      <c r="J846" s="10">
        <v>0.0</v>
      </c>
      <c r="K846" s="5" t="b">
        <v>0</v>
      </c>
      <c r="L846" s="5" t="b">
        <v>1</v>
      </c>
    </row>
    <row r="847">
      <c r="A847" s="14" t="str">
        <f t="shared" si="1"/>
        <v/>
      </c>
      <c r="B847" s="15" t="str">
        <f>IF($C847="","",IF(ROW()=7,Input!$C$3,C846))</f>
        <v/>
      </c>
      <c r="C847" s="6"/>
      <c r="D847" s="6"/>
      <c r="E847" s="10"/>
      <c r="G847" s="6"/>
      <c r="H847" s="6"/>
      <c r="I847" s="10">
        <v>0.0</v>
      </c>
      <c r="J847" s="10">
        <v>0.0</v>
      </c>
      <c r="K847" s="5" t="b">
        <v>0</v>
      </c>
      <c r="L847" s="5" t="b">
        <v>1</v>
      </c>
    </row>
    <row r="848">
      <c r="A848" s="14" t="str">
        <f t="shared" si="1"/>
        <v/>
      </c>
      <c r="B848" s="15" t="str">
        <f>IF($C848="","",IF(ROW()=7,Input!$C$3,C847))</f>
        <v/>
      </c>
      <c r="C848" s="6"/>
      <c r="D848" s="6"/>
      <c r="E848" s="10"/>
      <c r="G848" s="6"/>
      <c r="H848" s="6"/>
      <c r="I848" s="10">
        <v>0.0</v>
      </c>
      <c r="J848" s="10">
        <v>0.0</v>
      </c>
      <c r="K848" s="5" t="b">
        <v>0</v>
      </c>
      <c r="L848" s="5" t="b">
        <v>1</v>
      </c>
    </row>
    <row r="849">
      <c r="A849" s="14" t="str">
        <f t="shared" si="1"/>
        <v/>
      </c>
      <c r="B849" s="15" t="str">
        <f>IF($C849="","",IF(ROW()=7,Input!$C$3,C848))</f>
        <v/>
      </c>
      <c r="C849" s="6"/>
      <c r="D849" s="6"/>
      <c r="E849" s="10"/>
      <c r="G849" s="6"/>
      <c r="H849" s="6"/>
      <c r="I849" s="10">
        <v>0.0</v>
      </c>
      <c r="J849" s="10">
        <v>0.0</v>
      </c>
      <c r="K849" s="5" t="b">
        <v>0</v>
      </c>
      <c r="L849" s="5" t="b">
        <v>1</v>
      </c>
    </row>
    <row r="850">
      <c r="A850" s="14" t="str">
        <f t="shared" si="1"/>
        <v/>
      </c>
      <c r="B850" s="15" t="str">
        <f>IF($C850="","",IF(ROW()=7,Input!$C$3,C849))</f>
        <v/>
      </c>
      <c r="C850" s="6"/>
      <c r="D850" s="6"/>
      <c r="E850" s="10"/>
      <c r="G850" s="6"/>
      <c r="H850" s="6"/>
      <c r="I850" s="10">
        <v>0.0</v>
      </c>
      <c r="J850" s="10">
        <v>0.0</v>
      </c>
      <c r="K850" s="5" t="b">
        <v>0</v>
      </c>
      <c r="L850" s="5" t="b">
        <v>1</v>
      </c>
    </row>
    <row r="851">
      <c r="A851" s="14" t="str">
        <f t="shared" si="1"/>
        <v/>
      </c>
      <c r="B851" s="15" t="str">
        <f>IF($C851="","",IF(ROW()=7,Input!$C$3,C850))</f>
        <v/>
      </c>
      <c r="C851" s="6"/>
      <c r="D851" s="6"/>
      <c r="E851" s="10"/>
      <c r="G851" s="6"/>
      <c r="H851" s="6"/>
      <c r="I851" s="10">
        <v>0.0</v>
      </c>
      <c r="J851" s="10">
        <v>0.0</v>
      </c>
      <c r="K851" s="5" t="b">
        <v>0</v>
      </c>
      <c r="L851" s="5" t="b">
        <v>1</v>
      </c>
    </row>
    <row r="852">
      <c r="A852" s="14" t="str">
        <f t="shared" si="1"/>
        <v/>
      </c>
      <c r="B852" s="15" t="str">
        <f>IF($C852="","",IF(ROW()=7,Input!$C$3,C851))</f>
        <v/>
      </c>
      <c r="C852" s="6"/>
      <c r="D852" s="6"/>
      <c r="E852" s="10"/>
      <c r="G852" s="6"/>
      <c r="H852" s="6"/>
      <c r="I852" s="10">
        <v>0.0</v>
      </c>
      <c r="J852" s="10">
        <v>0.0</v>
      </c>
      <c r="K852" s="5" t="b">
        <v>0</v>
      </c>
      <c r="L852" s="5" t="b">
        <v>1</v>
      </c>
    </row>
    <row r="853">
      <c r="A853" s="14" t="str">
        <f t="shared" si="1"/>
        <v/>
      </c>
      <c r="B853" s="15" t="str">
        <f>IF($C853="","",IF(ROW()=7,Input!$C$3,C852))</f>
        <v/>
      </c>
      <c r="C853" s="6"/>
      <c r="D853" s="6"/>
      <c r="E853" s="10"/>
      <c r="G853" s="6"/>
      <c r="H853" s="6"/>
      <c r="I853" s="10">
        <v>0.0</v>
      </c>
      <c r="J853" s="10">
        <v>0.0</v>
      </c>
      <c r="K853" s="5" t="b">
        <v>0</v>
      </c>
      <c r="L853" s="5" t="b">
        <v>1</v>
      </c>
    </row>
    <row r="854">
      <c r="A854" s="14" t="str">
        <f t="shared" si="1"/>
        <v/>
      </c>
      <c r="B854" s="15" t="str">
        <f>IF($C854="","",IF(ROW()=7,Input!$C$3,C853))</f>
        <v/>
      </c>
      <c r="C854" s="6"/>
      <c r="D854" s="6"/>
      <c r="E854" s="10"/>
      <c r="G854" s="6"/>
      <c r="H854" s="6"/>
      <c r="I854" s="10">
        <v>0.0</v>
      </c>
      <c r="J854" s="10">
        <v>0.0</v>
      </c>
      <c r="K854" s="5" t="b">
        <v>0</v>
      </c>
      <c r="L854" s="5" t="b">
        <v>1</v>
      </c>
    </row>
    <row r="855">
      <c r="A855" s="14" t="str">
        <f t="shared" si="1"/>
        <v/>
      </c>
      <c r="B855" s="15" t="str">
        <f>IF($C855="","",IF(ROW()=7,Input!$C$3,C854))</f>
        <v/>
      </c>
      <c r="C855" s="6"/>
      <c r="D855" s="6"/>
      <c r="E855" s="10"/>
      <c r="G855" s="6"/>
      <c r="H855" s="6"/>
      <c r="I855" s="10">
        <v>0.0</v>
      </c>
      <c r="J855" s="10">
        <v>0.0</v>
      </c>
      <c r="K855" s="5" t="b">
        <v>0</v>
      </c>
      <c r="L855" s="5" t="b">
        <v>1</v>
      </c>
    </row>
    <row r="856">
      <c r="A856" s="14" t="str">
        <f t="shared" si="1"/>
        <v/>
      </c>
      <c r="B856" s="15" t="str">
        <f>IF($C856="","",IF(ROW()=7,Input!$C$3,C855))</f>
        <v/>
      </c>
      <c r="C856" s="6"/>
      <c r="D856" s="6"/>
      <c r="E856" s="10"/>
      <c r="G856" s="6"/>
      <c r="H856" s="6"/>
      <c r="I856" s="10">
        <v>0.0</v>
      </c>
      <c r="J856" s="10">
        <v>0.0</v>
      </c>
      <c r="K856" s="5" t="b">
        <v>0</v>
      </c>
      <c r="L856" s="5" t="b">
        <v>1</v>
      </c>
    </row>
    <row r="857">
      <c r="A857" s="14" t="str">
        <f t="shared" si="1"/>
        <v/>
      </c>
      <c r="B857" s="15" t="str">
        <f>IF($C857="","",IF(ROW()=7,Input!$C$3,C856))</f>
        <v/>
      </c>
      <c r="C857" s="6"/>
      <c r="D857" s="6"/>
      <c r="E857" s="10"/>
      <c r="G857" s="6"/>
      <c r="H857" s="6"/>
      <c r="I857" s="10">
        <v>0.0</v>
      </c>
      <c r="J857" s="10">
        <v>0.0</v>
      </c>
      <c r="K857" s="5" t="b">
        <v>0</v>
      </c>
      <c r="L857" s="5" t="b">
        <v>1</v>
      </c>
    </row>
    <row r="858">
      <c r="A858" s="14" t="str">
        <f t="shared" si="1"/>
        <v/>
      </c>
      <c r="B858" s="15" t="str">
        <f>IF($C858="","",IF(ROW()=7,Input!$C$3,C857))</f>
        <v/>
      </c>
      <c r="C858" s="6"/>
      <c r="D858" s="6"/>
      <c r="E858" s="10"/>
      <c r="G858" s="6"/>
      <c r="H858" s="6"/>
      <c r="I858" s="10">
        <v>0.0</v>
      </c>
      <c r="J858" s="10">
        <v>0.0</v>
      </c>
      <c r="K858" s="5" t="b">
        <v>0</v>
      </c>
      <c r="L858" s="5" t="b">
        <v>1</v>
      </c>
    </row>
    <row r="859">
      <c r="A859" s="14" t="str">
        <f t="shared" si="1"/>
        <v/>
      </c>
      <c r="B859" s="15" t="str">
        <f>IF($C859="","",IF(ROW()=7,Input!$C$3,C858))</f>
        <v/>
      </c>
      <c r="C859" s="6"/>
      <c r="D859" s="6"/>
      <c r="E859" s="10"/>
      <c r="G859" s="6"/>
      <c r="H859" s="6"/>
      <c r="I859" s="10">
        <v>0.0</v>
      </c>
      <c r="J859" s="10">
        <v>0.0</v>
      </c>
      <c r="K859" s="5" t="b">
        <v>0</v>
      </c>
      <c r="L859" s="5" t="b">
        <v>1</v>
      </c>
    </row>
    <row r="860">
      <c r="A860" s="14" t="str">
        <f t="shared" si="1"/>
        <v/>
      </c>
      <c r="B860" s="15" t="str">
        <f>IF($C860="","",IF(ROW()=7,Input!$C$3,C859))</f>
        <v/>
      </c>
      <c r="C860" s="6"/>
      <c r="D860" s="6"/>
      <c r="E860" s="10"/>
      <c r="G860" s="6"/>
      <c r="H860" s="6"/>
      <c r="I860" s="10">
        <v>0.0</v>
      </c>
      <c r="J860" s="10">
        <v>0.0</v>
      </c>
      <c r="K860" s="5" t="b">
        <v>0</v>
      </c>
      <c r="L860" s="5" t="b">
        <v>1</v>
      </c>
    </row>
    <row r="861">
      <c r="A861" s="14" t="str">
        <f t="shared" si="1"/>
        <v/>
      </c>
      <c r="B861" s="15" t="str">
        <f>IF($C861="","",IF(ROW()=7,Input!$C$3,C860))</f>
        <v/>
      </c>
      <c r="C861" s="6"/>
      <c r="D861" s="6"/>
      <c r="E861" s="10"/>
      <c r="G861" s="6"/>
      <c r="H861" s="6"/>
      <c r="I861" s="10">
        <v>0.0</v>
      </c>
      <c r="J861" s="10">
        <v>0.0</v>
      </c>
      <c r="K861" s="5" t="b">
        <v>0</v>
      </c>
      <c r="L861" s="5" t="b">
        <v>1</v>
      </c>
    </row>
    <row r="862">
      <c r="A862" s="14" t="str">
        <f t="shared" si="1"/>
        <v/>
      </c>
      <c r="B862" s="15" t="str">
        <f>IF($C862="","",IF(ROW()=7,Input!$C$3,C861))</f>
        <v/>
      </c>
      <c r="C862" s="6"/>
      <c r="D862" s="6"/>
      <c r="E862" s="10"/>
      <c r="G862" s="6"/>
      <c r="H862" s="6"/>
      <c r="I862" s="10">
        <v>0.0</v>
      </c>
      <c r="J862" s="10">
        <v>0.0</v>
      </c>
      <c r="K862" s="5" t="b">
        <v>0</v>
      </c>
      <c r="L862" s="5" t="b">
        <v>1</v>
      </c>
    </row>
    <row r="863">
      <c r="A863" s="14" t="str">
        <f t="shared" si="1"/>
        <v/>
      </c>
      <c r="B863" s="15" t="str">
        <f>IF($C863="","",IF(ROW()=7,Input!$C$3,C862))</f>
        <v/>
      </c>
      <c r="C863" s="6"/>
      <c r="D863" s="6"/>
      <c r="E863" s="10"/>
      <c r="G863" s="6"/>
      <c r="H863" s="6"/>
      <c r="I863" s="10">
        <v>0.0</v>
      </c>
      <c r="J863" s="10">
        <v>0.0</v>
      </c>
      <c r="K863" s="5" t="b">
        <v>0</v>
      </c>
      <c r="L863" s="5" t="b">
        <v>1</v>
      </c>
    </row>
    <row r="864">
      <c r="A864" s="14" t="str">
        <f t="shared" si="1"/>
        <v/>
      </c>
      <c r="B864" s="15" t="str">
        <f>IF($C864="","",IF(ROW()=7,Input!$C$3,C863))</f>
        <v/>
      </c>
      <c r="C864" s="6"/>
      <c r="D864" s="6"/>
      <c r="E864" s="10"/>
      <c r="G864" s="6"/>
      <c r="H864" s="6"/>
      <c r="I864" s="10">
        <v>0.0</v>
      </c>
      <c r="J864" s="10">
        <v>0.0</v>
      </c>
      <c r="K864" s="5" t="b">
        <v>0</v>
      </c>
      <c r="L864" s="5" t="b">
        <v>1</v>
      </c>
    </row>
    <row r="865">
      <c r="A865" s="14" t="str">
        <f t="shared" si="1"/>
        <v/>
      </c>
      <c r="B865" s="15" t="str">
        <f>IF($C865="","",IF(ROW()=7,Input!$C$3,C864))</f>
        <v/>
      </c>
      <c r="C865" s="6"/>
      <c r="D865" s="6"/>
      <c r="E865" s="10"/>
      <c r="G865" s="6"/>
      <c r="H865" s="6"/>
      <c r="I865" s="10">
        <v>0.0</v>
      </c>
      <c r="J865" s="10">
        <v>0.0</v>
      </c>
      <c r="K865" s="5" t="b">
        <v>0</v>
      </c>
      <c r="L865" s="5" t="b">
        <v>1</v>
      </c>
    </row>
    <row r="866">
      <c r="A866" s="14" t="str">
        <f t="shared" si="1"/>
        <v/>
      </c>
      <c r="B866" s="15" t="str">
        <f>IF($C866="","",IF(ROW()=7,Input!$C$3,C865))</f>
        <v/>
      </c>
      <c r="C866" s="6"/>
      <c r="D866" s="6"/>
      <c r="E866" s="10"/>
      <c r="G866" s="6"/>
      <c r="H866" s="6"/>
      <c r="I866" s="10">
        <v>0.0</v>
      </c>
      <c r="J866" s="10">
        <v>0.0</v>
      </c>
      <c r="K866" s="5" t="b">
        <v>0</v>
      </c>
      <c r="L866" s="5" t="b">
        <v>1</v>
      </c>
    </row>
    <row r="867">
      <c r="A867" s="14" t="str">
        <f t="shared" si="1"/>
        <v/>
      </c>
      <c r="B867" s="15" t="str">
        <f>IF($C867="","",IF(ROW()=7,Input!$C$3,C866))</f>
        <v/>
      </c>
      <c r="C867" s="6"/>
      <c r="D867" s="6"/>
      <c r="E867" s="10"/>
      <c r="G867" s="6"/>
      <c r="H867" s="6"/>
      <c r="I867" s="10">
        <v>0.0</v>
      </c>
      <c r="J867" s="10">
        <v>0.0</v>
      </c>
      <c r="K867" s="5" t="b">
        <v>0</v>
      </c>
      <c r="L867" s="5" t="b">
        <v>1</v>
      </c>
    </row>
    <row r="868">
      <c r="A868" s="14" t="str">
        <f t="shared" si="1"/>
        <v/>
      </c>
      <c r="B868" s="15" t="str">
        <f>IF($C868="","",IF(ROW()=7,Input!$C$3,C867))</f>
        <v/>
      </c>
      <c r="C868" s="6"/>
      <c r="D868" s="6"/>
      <c r="E868" s="10"/>
      <c r="G868" s="6"/>
      <c r="H868" s="6"/>
      <c r="I868" s="10">
        <v>0.0</v>
      </c>
      <c r="J868" s="10">
        <v>0.0</v>
      </c>
      <c r="K868" s="5" t="b">
        <v>0</v>
      </c>
      <c r="L868" s="5" t="b">
        <v>1</v>
      </c>
    </row>
    <row r="869">
      <c r="A869" s="14" t="str">
        <f t="shared" si="1"/>
        <v/>
      </c>
      <c r="B869" s="15" t="str">
        <f>IF($C869="","",IF(ROW()=7,Input!$C$3,C868))</f>
        <v/>
      </c>
      <c r="C869" s="6"/>
      <c r="D869" s="6"/>
      <c r="E869" s="10"/>
      <c r="G869" s="6"/>
      <c r="H869" s="6"/>
      <c r="I869" s="10">
        <v>0.0</v>
      </c>
      <c r="J869" s="10">
        <v>0.0</v>
      </c>
      <c r="K869" s="5" t="b">
        <v>0</v>
      </c>
      <c r="L869" s="5" t="b">
        <v>1</v>
      </c>
    </row>
    <row r="870">
      <c r="A870" s="14" t="str">
        <f t="shared" si="1"/>
        <v/>
      </c>
      <c r="B870" s="15" t="str">
        <f>IF($C870="","",IF(ROW()=7,Input!$C$3,C869))</f>
        <v/>
      </c>
      <c r="C870" s="6"/>
      <c r="D870" s="6"/>
      <c r="E870" s="10"/>
      <c r="G870" s="6"/>
      <c r="H870" s="6"/>
      <c r="I870" s="10">
        <v>0.0</v>
      </c>
      <c r="J870" s="10">
        <v>0.0</v>
      </c>
      <c r="K870" s="5" t="b">
        <v>0</v>
      </c>
      <c r="L870" s="5" t="b">
        <v>1</v>
      </c>
    </row>
    <row r="871">
      <c r="A871" s="14" t="str">
        <f t="shared" si="1"/>
        <v/>
      </c>
      <c r="B871" s="15" t="str">
        <f>IF($C871="","",IF(ROW()=7,Input!$C$3,C870))</f>
        <v/>
      </c>
      <c r="C871" s="6"/>
      <c r="D871" s="6"/>
      <c r="E871" s="10"/>
      <c r="G871" s="6"/>
      <c r="H871" s="6"/>
      <c r="I871" s="10">
        <v>0.0</v>
      </c>
      <c r="J871" s="10">
        <v>0.0</v>
      </c>
      <c r="K871" s="5" t="b">
        <v>0</v>
      </c>
      <c r="L871" s="5" t="b">
        <v>1</v>
      </c>
    </row>
    <row r="872">
      <c r="A872" s="14" t="str">
        <f t="shared" si="1"/>
        <v/>
      </c>
      <c r="B872" s="15" t="str">
        <f>IF($C872="","",IF(ROW()=7,Input!$C$3,C871))</f>
        <v/>
      </c>
      <c r="C872" s="6"/>
      <c r="D872" s="6"/>
      <c r="E872" s="10"/>
      <c r="G872" s="6"/>
      <c r="H872" s="6"/>
      <c r="I872" s="10">
        <v>0.0</v>
      </c>
      <c r="J872" s="10">
        <v>0.0</v>
      </c>
      <c r="K872" s="5" t="b">
        <v>0</v>
      </c>
      <c r="L872" s="5" t="b">
        <v>1</v>
      </c>
    </row>
    <row r="873">
      <c r="A873" s="14" t="str">
        <f t="shared" si="1"/>
        <v/>
      </c>
      <c r="B873" s="15" t="str">
        <f>IF($C873="","",IF(ROW()=7,Input!$C$3,C872))</f>
        <v/>
      </c>
      <c r="C873" s="6"/>
      <c r="D873" s="6"/>
      <c r="E873" s="10"/>
      <c r="G873" s="6"/>
      <c r="H873" s="6"/>
      <c r="I873" s="10">
        <v>0.0</v>
      </c>
      <c r="J873" s="10">
        <v>0.0</v>
      </c>
      <c r="K873" s="5" t="b">
        <v>0</v>
      </c>
      <c r="L873" s="5" t="b">
        <v>1</v>
      </c>
    </row>
    <row r="874">
      <c r="A874" s="14" t="str">
        <f t="shared" si="1"/>
        <v/>
      </c>
      <c r="B874" s="15" t="str">
        <f>IF($C874="","",IF(ROW()=7,Input!$C$3,C873))</f>
        <v/>
      </c>
      <c r="C874" s="6"/>
      <c r="D874" s="6"/>
      <c r="E874" s="10"/>
      <c r="G874" s="6"/>
      <c r="H874" s="6"/>
      <c r="I874" s="10">
        <v>0.0</v>
      </c>
      <c r="J874" s="10">
        <v>0.0</v>
      </c>
      <c r="K874" s="5" t="b">
        <v>0</v>
      </c>
      <c r="L874" s="5" t="b">
        <v>1</v>
      </c>
    </row>
    <row r="875">
      <c r="A875" s="14" t="str">
        <f t="shared" si="1"/>
        <v/>
      </c>
      <c r="B875" s="15" t="str">
        <f>IF($C875="","",IF(ROW()=7,Input!$C$3,C874))</f>
        <v/>
      </c>
      <c r="C875" s="6"/>
      <c r="D875" s="6"/>
      <c r="E875" s="10"/>
      <c r="G875" s="6"/>
      <c r="H875" s="6"/>
      <c r="I875" s="10">
        <v>0.0</v>
      </c>
      <c r="J875" s="10">
        <v>0.0</v>
      </c>
      <c r="K875" s="5" t="b">
        <v>0</v>
      </c>
      <c r="L875" s="5" t="b">
        <v>1</v>
      </c>
    </row>
    <row r="876">
      <c r="A876" s="14" t="str">
        <f t="shared" si="1"/>
        <v/>
      </c>
      <c r="B876" s="15" t="str">
        <f>IF($C876="","",IF(ROW()=7,Input!$C$3,C875))</f>
        <v/>
      </c>
      <c r="C876" s="6"/>
      <c r="D876" s="6"/>
      <c r="E876" s="10"/>
      <c r="G876" s="6"/>
      <c r="H876" s="6"/>
      <c r="I876" s="10">
        <v>0.0</v>
      </c>
      <c r="J876" s="10">
        <v>0.0</v>
      </c>
      <c r="K876" s="5" t="b">
        <v>0</v>
      </c>
      <c r="L876" s="5" t="b">
        <v>1</v>
      </c>
    </row>
    <row r="877">
      <c r="A877" s="14" t="str">
        <f t="shared" si="1"/>
        <v/>
      </c>
      <c r="B877" s="15" t="str">
        <f>IF($C877="","",IF(ROW()=7,Input!$C$3,C876))</f>
        <v/>
      </c>
      <c r="C877" s="6"/>
      <c r="D877" s="6"/>
      <c r="E877" s="10"/>
      <c r="G877" s="6"/>
      <c r="H877" s="6"/>
      <c r="I877" s="10">
        <v>0.0</v>
      </c>
      <c r="J877" s="10">
        <v>0.0</v>
      </c>
      <c r="K877" s="5" t="b">
        <v>0</v>
      </c>
      <c r="L877" s="5" t="b">
        <v>1</v>
      </c>
    </row>
    <row r="878">
      <c r="A878" s="14" t="str">
        <f t="shared" si="1"/>
        <v/>
      </c>
      <c r="B878" s="15" t="str">
        <f>IF($C878="","",IF(ROW()=7,Input!$C$3,C877))</f>
        <v/>
      </c>
      <c r="C878" s="6"/>
      <c r="D878" s="6"/>
      <c r="E878" s="10"/>
      <c r="G878" s="6"/>
      <c r="H878" s="6"/>
      <c r="I878" s="10">
        <v>0.0</v>
      </c>
      <c r="J878" s="10">
        <v>0.0</v>
      </c>
      <c r="K878" s="5" t="b">
        <v>0</v>
      </c>
      <c r="L878" s="5" t="b">
        <v>1</v>
      </c>
    </row>
    <row r="879">
      <c r="A879" s="14" t="str">
        <f t="shared" si="1"/>
        <v/>
      </c>
      <c r="B879" s="15" t="str">
        <f>IF($C879="","",IF(ROW()=7,Input!$C$3,C878))</f>
        <v/>
      </c>
      <c r="C879" s="6"/>
      <c r="D879" s="6"/>
      <c r="E879" s="10"/>
      <c r="G879" s="6"/>
      <c r="H879" s="6"/>
      <c r="I879" s="10">
        <v>0.0</v>
      </c>
      <c r="J879" s="10">
        <v>0.0</v>
      </c>
      <c r="K879" s="5" t="b">
        <v>0</v>
      </c>
      <c r="L879" s="5" t="b">
        <v>1</v>
      </c>
    </row>
    <row r="880">
      <c r="A880" s="14" t="str">
        <f t="shared" si="1"/>
        <v/>
      </c>
      <c r="B880" s="15" t="str">
        <f>IF($C880="","",IF(ROW()=7,Input!$C$3,C879))</f>
        <v/>
      </c>
      <c r="C880" s="6"/>
      <c r="D880" s="6"/>
      <c r="E880" s="10"/>
      <c r="G880" s="6"/>
      <c r="H880" s="6"/>
      <c r="I880" s="10">
        <v>0.0</v>
      </c>
      <c r="J880" s="10">
        <v>0.0</v>
      </c>
      <c r="K880" s="5" t="b">
        <v>0</v>
      </c>
      <c r="L880" s="5" t="b">
        <v>1</v>
      </c>
    </row>
    <row r="881">
      <c r="A881" s="14" t="str">
        <f t="shared" si="1"/>
        <v/>
      </c>
      <c r="B881" s="15" t="str">
        <f>IF($C881="","",IF(ROW()=7,Input!$C$3,C880))</f>
        <v/>
      </c>
      <c r="C881" s="6"/>
      <c r="D881" s="6"/>
      <c r="E881" s="10"/>
      <c r="G881" s="6"/>
      <c r="H881" s="6"/>
      <c r="I881" s="10">
        <v>0.0</v>
      </c>
      <c r="J881" s="10">
        <v>0.0</v>
      </c>
      <c r="K881" s="5" t="b">
        <v>0</v>
      </c>
      <c r="L881" s="5" t="b">
        <v>1</v>
      </c>
    </row>
    <row r="882">
      <c r="A882" s="14" t="str">
        <f t="shared" si="1"/>
        <v/>
      </c>
      <c r="B882" s="15" t="str">
        <f>IF($C882="","",IF(ROW()=7,Input!$C$3,C881))</f>
        <v/>
      </c>
      <c r="C882" s="6"/>
      <c r="D882" s="6"/>
      <c r="E882" s="10"/>
      <c r="G882" s="6"/>
      <c r="H882" s="6"/>
      <c r="I882" s="10">
        <v>0.0</v>
      </c>
      <c r="J882" s="10">
        <v>0.0</v>
      </c>
      <c r="K882" s="5" t="b">
        <v>0</v>
      </c>
      <c r="L882" s="5" t="b">
        <v>1</v>
      </c>
    </row>
    <row r="883">
      <c r="A883" s="14" t="str">
        <f t="shared" si="1"/>
        <v/>
      </c>
      <c r="B883" s="15" t="str">
        <f>IF($C883="","",IF(ROW()=7,Input!$C$3,C882))</f>
        <v/>
      </c>
      <c r="C883" s="6"/>
      <c r="D883" s="6"/>
      <c r="E883" s="10"/>
      <c r="G883" s="6"/>
      <c r="H883" s="6"/>
      <c r="I883" s="10">
        <v>0.0</v>
      </c>
      <c r="J883" s="10">
        <v>0.0</v>
      </c>
      <c r="K883" s="5" t="b">
        <v>0</v>
      </c>
      <c r="L883" s="5" t="b">
        <v>1</v>
      </c>
    </row>
    <row r="884">
      <c r="A884" s="14" t="str">
        <f t="shared" si="1"/>
        <v/>
      </c>
      <c r="B884" s="15" t="str">
        <f>IF($C884="","",IF(ROW()=7,Input!$C$3,C883))</f>
        <v/>
      </c>
      <c r="C884" s="6"/>
      <c r="D884" s="6"/>
      <c r="E884" s="10"/>
      <c r="G884" s="6"/>
      <c r="H884" s="6"/>
      <c r="I884" s="10">
        <v>0.0</v>
      </c>
      <c r="J884" s="10">
        <v>0.0</v>
      </c>
      <c r="K884" s="5" t="b">
        <v>0</v>
      </c>
      <c r="L884" s="5" t="b">
        <v>1</v>
      </c>
    </row>
    <row r="885">
      <c r="A885" s="14" t="str">
        <f t="shared" si="1"/>
        <v/>
      </c>
      <c r="B885" s="15" t="str">
        <f>IF($C885="","",IF(ROW()=7,Input!$C$3,C884))</f>
        <v/>
      </c>
      <c r="C885" s="6"/>
      <c r="D885" s="6"/>
      <c r="E885" s="10"/>
      <c r="G885" s="6"/>
      <c r="H885" s="6"/>
      <c r="I885" s="10">
        <v>0.0</v>
      </c>
      <c r="J885" s="10">
        <v>0.0</v>
      </c>
      <c r="K885" s="5" t="b">
        <v>0</v>
      </c>
      <c r="L885" s="5" t="b">
        <v>1</v>
      </c>
    </row>
    <row r="886">
      <c r="A886" s="14" t="str">
        <f t="shared" si="1"/>
        <v/>
      </c>
      <c r="B886" s="15" t="str">
        <f>IF($C886="","",IF(ROW()=7,Input!$C$3,C885))</f>
        <v/>
      </c>
      <c r="C886" s="6"/>
      <c r="D886" s="6"/>
      <c r="E886" s="10"/>
      <c r="G886" s="6"/>
      <c r="H886" s="6"/>
      <c r="I886" s="10">
        <v>0.0</v>
      </c>
      <c r="J886" s="10">
        <v>0.0</v>
      </c>
      <c r="K886" s="5" t="b">
        <v>0</v>
      </c>
      <c r="L886" s="5" t="b">
        <v>1</v>
      </c>
    </row>
    <row r="887">
      <c r="A887" s="14" t="str">
        <f t="shared" si="1"/>
        <v/>
      </c>
      <c r="B887" s="15" t="str">
        <f>IF($C887="","",IF(ROW()=7,Input!$C$3,C886))</f>
        <v/>
      </c>
      <c r="C887" s="6"/>
      <c r="D887" s="6"/>
      <c r="E887" s="10"/>
      <c r="G887" s="6"/>
      <c r="H887" s="6"/>
      <c r="I887" s="10">
        <v>0.0</v>
      </c>
      <c r="J887" s="10">
        <v>0.0</v>
      </c>
      <c r="K887" s="5" t="b">
        <v>0</v>
      </c>
      <c r="L887" s="5" t="b">
        <v>1</v>
      </c>
    </row>
    <row r="888">
      <c r="A888" s="14" t="str">
        <f t="shared" si="1"/>
        <v/>
      </c>
      <c r="B888" s="15" t="str">
        <f>IF($C888="","",IF(ROW()=7,Input!$C$3,C887))</f>
        <v/>
      </c>
      <c r="C888" s="6"/>
      <c r="D888" s="6"/>
      <c r="E888" s="10"/>
      <c r="G888" s="6"/>
      <c r="H888" s="6"/>
      <c r="I888" s="10">
        <v>0.0</v>
      </c>
      <c r="J888" s="10">
        <v>0.0</v>
      </c>
      <c r="K888" s="5" t="b">
        <v>0</v>
      </c>
      <c r="L888" s="5" t="b">
        <v>1</v>
      </c>
    </row>
    <row r="889">
      <c r="A889" s="14" t="str">
        <f t="shared" si="1"/>
        <v/>
      </c>
      <c r="B889" s="15" t="str">
        <f>IF($C889="","",IF(ROW()=7,Input!$C$3,C888))</f>
        <v/>
      </c>
      <c r="C889" s="6"/>
      <c r="D889" s="6"/>
      <c r="E889" s="10"/>
      <c r="G889" s="6"/>
      <c r="H889" s="6"/>
      <c r="I889" s="10">
        <v>0.0</v>
      </c>
      <c r="J889" s="10">
        <v>0.0</v>
      </c>
      <c r="K889" s="5" t="b">
        <v>0</v>
      </c>
      <c r="L889" s="5" t="b">
        <v>1</v>
      </c>
    </row>
    <row r="890">
      <c r="A890" s="14" t="str">
        <f t="shared" si="1"/>
        <v/>
      </c>
      <c r="B890" s="15" t="str">
        <f>IF($C890="","",IF(ROW()=7,Input!$C$3,C889))</f>
        <v/>
      </c>
      <c r="C890" s="6"/>
      <c r="D890" s="6"/>
      <c r="E890" s="10"/>
      <c r="G890" s="6"/>
      <c r="H890" s="6"/>
      <c r="I890" s="10">
        <v>0.0</v>
      </c>
      <c r="J890" s="10">
        <v>0.0</v>
      </c>
      <c r="K890" s="5" t="b">
        <v>0</v>
      </c>
      <c r="L890" s="5" t="b">
        <v>1</v>
      </c>
    </row>
    <row r="891">
      <c r="A891" s="14" t="str">
        <f t="shared" si="1"/>
        <v/>
      </c>
      <c r="B891" s="15" t="str">
        <f>IF($C891="","",IF(ROW()=7,Input!$C$3,C890))</f>
        <v/>
      </c>
      <c r="C891" s="6"/>
      <c r="D891" s="6"/>
      <c r="E891" s="10"/>
      <c r="G891" s="6"/>
      <c r="H891" s="6"/>
      <c r="I891" s="10">
        <v>0.0</v>
      </c>
      <c r="J891" s="10">
        <v>0.0</v>
      </c>
      <c r="K891" s="5" t="b">
        <v>0</v>
      </c>
      <c r="L891" s="5" t="b">
        <v>1</v>
      </c>
    </row>
    <row r="892">
      <c r="A892" s="14" t="str">
        <f t="shared" si="1"/>
        <v/>
      </c>
      <c r="B892" s="15" t="str">
        <f>IF($C892="","",IF(ROW()=7,Input!$C$3,C891))</f>
        <v/>
      </c>
      <c r="C892" s="6"/>
      <c r="D892" s="6"/>
      <c r="E892" s="10"/>
      <c r="G892" s="6"/>
      <c r="H892" s="6"/>
      <c r="I892" s="10">
        <v>0.0</v>
      </c>
      <c r="J892" s="10">
        <v>0.0</v>
      </c>
      <c r="K892" s="5" t="b">
        <v>0</v>
      </c>
      <c r="L892" s="5" t="b">
        <v>1</v>
      </c>
    </row>
    <row r="893">
      <c r="A893" s="14" t="str">
        <f t="shared" si="1"/>
        <v/>
      </c>
      <c r="B893" s="15" t="str">
        <f>IF($C893="","",IF(ROW()=7,Input!$C$3,C892))</f>
        <v/>
      </c>
      <c r="C893" s="6"/>
      <c r="D893" s="6"/>
      <c r="E893" s="10"/>
      <c r="G893" s="6"/>
      <c r="H893" s="6"/>
      <c r="I893" s="10">
        <v>0.0</v>
      </c>
      <c r="J893" s="10">
        <v>0.0</v>
      </c>
      <c r="K893" s="5" t="b">
        <v>0</v>
      </c>
      <c r="L893" s="5" t="b">
        <v>1</v>
      </c>
    </row>
    <row r="894">
      <c r="A894" s="14" t="str">
        <f t="shared" si="1"/>
        <v/>
      </c>
      <c r="B894" s="15" t="str">
        <f>IF($C894="","",IF(ROW()=7,Input!$C$3,C893))</f>
        <v/>
      </c>
      <c r="C894" s="6"/>
      <c r="D894" s="6"/>
      <c r="E894" s="10"/>
      <c r="G894" s="6"/>
      <c r="H894" s="6"/>
      <c r="I894" s="10">
        <v>0.0</v>
      </c>
      <c r="J894" s="10">
        <v>0.0</v>
      </c>
      <c r="K894" s="5" t="b">
        <v>0</v>
      </c>
      <c r="L894" s="5" t="b">
        <v>1</v>
      </c>
    </row>
    <row r="895">
      <c r="A895" s="14" t="str">
        <f t="shared" si="1"/>
        <v/>
      </c>
      <c r="B895" s="15" t="str">
        <f>IF($C895="","",IF(ROW()=7,Input!$C$3,C894))</f>
        <v/>
      </c>
      <c r="C895" s="6"/>
      <c r="D895" s="6"/>
      <c r="E895" s="10"/>
      <c r="G895" s="6"/>
      <c r="H895" s="6"/>
      <c r="I895" s="10">
        <v>0.0</v>
      </c>
      <c r="J895" s="10">
        <v>0.0</v>
      </c>
      <c r="K895" s="5" t="b">
        <v>0</v>
      </c>
      <c r="L895" s="5" t="b">
        <v>1</v>
      </c>
    </row>
    <row r="896">
      <c r="A896" s="14" t="str">
        <f t="shared" si="1"/>
        <v/>
      </c>
      <c r="B896" s="15" t="str">
        <f>IF($C896="","",IF(ROW()=7,Input!$C$3,C895))</f>
        <v/>
      </c>
      <c r="C896" s="6"/>
      <c r="D896" s="6"/>
      <c r="E896" s="10"/>
      <c r="G896" s="6"/>
      <c r="H896" s="6"/>
      <c r="I896" s="10">
        <v>0.0</v>
      </c>
      <c r="J896" s="10">
        <v>0.0</v>
      </c>
      <c r="K896" s="5" t="b">
        <v>0</v>
      </c>
      <c r="L896" s="5" t="b">
        <v>1</v>
      </c>
    </row>
    <row r="897">
      <c r="A897" s="14" t="str">
        <f t="shared" si="1"/>
        <v/>
      </c>
      <c r="B897" s="15" t="str">
        <f>IF($C897="","",IF(ROW()=7,Input!$C$3,C896))</f>
        <v/>
      </c>
      <c r="C897" s="6"/>
      <c r="D897" s="6"/>
      <c r="E897" s="10"/>
      <c r="G897" s="6"/>
      <c r="H897" s="6"/>
      <c r="I897" s="10">
        <v>0.0</v>
      </c>
      <c r="J897" s="10">
        <v>0.0</v>
      </c>
      <c r="K897" s="5" t="b">
        <v>0</v>
      </c>
      <c r="L897" s="5" t="b">
        <v>1</v>
      </c>
    </row>
    <row r="898">
      <c r="A898" s="14" t="str">
        <f t="shared" si="1"/>
        <v/>
      </c>
      <c r="B898" s="15" t="str">
        <f>IF($C898="","",IF(ROW()=7,Input!$C$3,C897))</f>
        <v/>
      </c>
      <c r="C898" s="6"/>
      <c r="D898" s="6"/>
      <c r="E898" s="10"/>
      <c r="G898" s="6"/>
      <c r="H898" s="6"/>
      <c r="I898" s="10">
        <v>0.0</v>
      </c>
      <c r="J898" s="10">
        <v>0.0</v>
      </c>
      <c r="K898" s="5" t="b">
        <v>0</v>
      </c>
      <c r="L898" s="5" t="b">
        <v>1</v>
      </c>
    </row>
    <row r="899">
      <c r="A899" s="14" t="str">
        <f t="shared" si="1"/>
        <v/>
      </c>
      <c r="B899" s="15" t="str">
        <f>IF($C899="","",IF(ROW()=7,Input!$C$3,C898))</f>
        <v/>
      </c>
      <c r="C899" s="6"/>
      <c r="D899" s="6"/>
      <c r="E899" s="10"/>
      <c r="G899" s="6"/>
      <c r="H899" s="6"/>
      <c r="I899" s="10">
        <v>0.0</v>
      </c>
      <c r="J899" s="10">
        <v>0.0</v>
      </c>
      <c r="K899" s="5" t="b">
        <v>0</v>
      </c>
      <c r="L899" s="5" t="b">
        <v>1</v>
      </c>
    </row>
    <row r="900">
      <c r="A900" s="14" t="str">
        <f t="shared" si="1"/>
        <v/>
      </c>
      <c r="B900" s="15" t="str">
        <f>IF($C900="","",IF(ROW()=7,Input!$C$3,C899))</f>
        <v/>
      </c>
      <c r="C900" s="6"/>
      <c r="D900" s="6"/>
      <c r="E900" s="10"/>
      <c r="G900" s="6"/>
      <c r="H900" s="6"/>
      <c r="I900" s="10">
        <v>0.0</v>
      </c>
      <c r="J900" s="10">
        <v>0.0</v>
      </c>
      <c r="K900" s="5" t="b">
        <v>0</v>
      </c>
      <c r="L900" s="5" t="b">
        <v>1</v>
      </c>
    </row>
    <row r="901">
      <c r="A901" s="14" t="str">
        <f t="shared" si="1"/>
        <v/>
      </c>
      <c r="B901" s="15" t="str">
        <f>IF($C901="","",IF(ROW()=7,Input!$C$3,C900))</f>
        <v/>
      </c>
      <c r="C901" s="6"/>
      <c r="D901" s="6"/>
      <c r="E901" s="10"/>
      <c r="G901" s="6"/>
      <c r="H901" s="6"/>
      <c r="I901" s="10">
        <v>0.0</v>
      </c>
      <c r="J901" s="10">
        <v>0.0</v>
      </c>
      <c r="K901" s="5" t="b">
        <v>0</v>
      </c>
      <c r="L901" s="5" t="b">
        <v>1</v>
      </c>
    </row>
    <row r="902">
      <c r="A902" s="14" t="str">
        <f t="shared" si="1"/>
        <v/>
      </c>
      <c r="B902" s="15" t="str">
        <f>IF($C902="","",IF(ROW()=7,Input!$C$3,C901))</f>
        <v/>
      </c>
      <c r="C902" s="6"/>
      <c r="D902" s="6"/>
      <c r="E902" s="10"/>
      <c r="G902" s="6"/>
      <c r="H902" s="6"/>
      <c r="I902" s="10">
        <v>0.0</v>
      </c>
      <c r="J902" s="10">
        <v>0.0</v>
      </c>
      <c r="K902" s="5" t="b">
        <v>0</v>
      </c>
      <c r="L902" s="5" t="b">
        <v>1</v>
      </c>
    </row>
    <row r="903">
      <c r="A903" s="14" t="str">
        <f t="shared" si="1"/>
        <v/>
      </c>
      <c r="B903" s="15" t="str">
        <f>IF($C903="","",IF(ROW()=7,Input!$C$3,C902))</f>
        <v/>
      </c>
      <c r="C903" s="6"/>
      <c r="D903" s="6"/>
      <c r="E903" s="10"/>
      <c r="G903" s="6"/>
      <c r="H903" s="6"/>
      <c r="I903" s="10">
        <v>0.0</v>
      </c>
      <c r="J903" s="10">
        <v>0.0</v>
      </c>
      <c r="K903" s="5" t="b">
        <v>0</v>
      </c>
      <c r="L903" s="5" t="b">
        <v>1</v>
      </c>
    </row>
    <row r="904">
      <c r="A904" s="14" t="str">
        <f t="shared" si="1"/>
        <v/>
      </c>
      <c r="B904" s="15" t="str">
        <f>IF($C904="","",IF(ROW()=7,Input!$C$3,C903))</f>
        <v/>
      </c>
      <c r="C904" s="6"/>
      <c r="D904" s="6"/>
      <c r="E904" s="10"/>
      <c r="G904" s="6"/>
      <c r="H904" s="6"/>
      <c r="I904" s="10">
        <v>0.0</v>
      </c>
      <c r="J904" s="10">
        <v>0.0</v>
      </c>
      <c r="K904" s="5" t="b">
        <v>0</v>
      </c>
      <c r="L904" s="5" t="b">
        <v>1</v>
      </c>
    </row>
    <row r="905">
      <c r="A905" s="14" t="str">
        <f t="shared" si="1"/>
        <v/>
      </c>
      <c r="B905" s="15" t="str">
        <f>IF($C905="","",IF(ROW()=7,Input!$C$3,C904))</f>
        <v/>
      </c>
      <c r="C905" s="6"/>
      <c r="D905" s="6"/>
      <c r="E905" s="10"/>
      <c r="G905" s="6"/>
      <c r="H905" s="6"/>
      <c r="I905" s="10">
        <v>0.0</v>
      </c>
      <c r="J905" s="10">
        <v>0.0</v>
      </c>
      <c r="K905" s="5" t="b">
        <v>0</v>
      </c>
      <c r="L905" s="5" t="b">
        <v>1</v>
      </c>
    </row>
    <row r="906">
      <c r="A906" s="14" t="str">
        <f t="shared" si="1"/>
        <v/>
      </c>
      <c r="B906" s="15" t="str">
        <f>IF($C906="","",IF(ROW()=7,Input!$C$3,C905))</f>
        <v/>
      </c>
      <c r="C906" s="6"/>
      <c r="D906" s="6"/>
      <c r="E906" s="10"/>
      <c r="G906" s="6"/>
      <c r="H906" s="6"/>
      <c r="I906" s="10">
        <v>0.0</v>
      </c>
      <c r="J906" s="10">
        <v>0.0</v>
      </c>
      <c r="K906" s="5" t="b">
        <v>0</v>
      </c>
      <c r="L906" s="5" t="b">
        <v>1</v>
      </c>
    </row>
    <row r="907">
      <c r="A907" s="14" t="str">
        <f t="shared" si="1"/>
        <v/>
      </c>
      <c r="B907" s="15" t="str">
        <f>IF($C907="","",IF(ROW()=7,Input!$C$3,C906))</f>
        <v/>
      </c>
      <c r="C907" s="6"/>
      <c r="D907" s="6"/>
      <c r="E907" s="10"/>
      <c r="G907" s="6"/>
      <c r="H907" s="6"/>
      <c r="I907" s="10">
        <v>0.0</v>
      </c>
      <c r="J907" s="10">
        <v>0.0</v>
      </c>
      <c r="K907" s="5" t="b">
        <v>0</v>
      </c>
      <c r="L907" s="5" t="b">
        <v>1</v>
      </c>
    </row>
    <row r="908">
      <c r="A908" s="14" t="str">
        <f t="shared" si="1"/>
        <v/>
      </c>
      <c r="B908" s="15" t="str">
        <f>IF($C908="","",IF(ROW()=7,Input!$C$3,C907))</f>
        <v/>
      </c>
      <c r="C908" s="6"/>
      <c r="D908" s="6"/>
      <c r="E908" s="10"/>
      <c r="G908" s="6"/>
      <c r="H908" s="6"/>
      <c r="I908" s="10">
        <v>0.0</v>
      </c>
      <c r="J908" s="10">
        <v>0.0</v>
      </c>
      <c r="K908" s="5" t="b">
        <v>0</v>
      </c>
      <c r="L908" s="5" t="b">
        <v>1</v>
      </c>
    </row>
    <row r="909">
      <c r="A909" s="14" t="str">
        <f t="shared" si="1"/>
        <v/>
      </c>
      <c r="B909" s="15" t="str">
        <f>IF($C909="","",IF(ROW()=7,Input!$C$3,C908))</f>
        <v/>
      </c>
      <c r="C909" s="6"/>
      <c r="D909" s="6"/>
      <c r="E909" s="10"/>
      <c r="G909" s="6"/>
      <c r="H909" s="6"/>
      <c r="I909" s="10">
        <v>0.0</v>
      </c>
      <c r="J909" s="10">
        <v>0.0</v>
      </c>
      <c r="K909" s="5" t="b">
        <v>0</v>
      </c>
      <c r="L909" s="5" t="b">
        <v>1</v>
      </c>
    </row>
    <row r="910">
      <c r="A910" s="14" t="str">
        <f t="shared" si="1"/>
        <v/>
      </c>
      <c r="B910" s="15" t="str">
        <f>IF($C910="","",IF(ROW()=7,Input!$C$3,C909))</f>
        <v/>
      </c>
      <c r="C910" s="6"/>
      <c r="D910" s="6"/>
      <c r="E910" s="10"/>
      <c r="G910" s="6"/>
      <c r="H910" s="6"/>
      <c r="I910" s="10">
        <v>0.0</v>
      </c>
      <c r="J910" s="10">
        <v>0.0</v>
      </c>
      <c r="K910" s="5" t="b">
        <v>0</v>
      </c>
      <c r="L910" s="5" t="b">
        <v>1</v>
      </c>
    </row>
    <row r="911">
      <c r="A911" s="14" t="str">
        <f t="shared" si="1"/>
        <v/>
      </c>
      <c r="B911" s="15" t="str">
        <f>IF($C911="","",IF(ROW()=7,Input!$C$3,C910))</f>
        <v/>
      </c>
      <c r="C911" s="6"/>
      <c r="D911" s="6"/>
      <c r="E911" s="10"/>
      <c r="G911" s="6"/>
      <c r="H911" s="6"/>
      <c r="I911" s="10">
        <v>0.0</v>
      </c>
      <c r="J911" s="10">
        <v>0.0</v>
      </c>
      <c r="K911" s="5" t="b">
        <v>0</v>
      </c>
      <c r="L911" s="5" t="b">
        <v>1</v>
      </c>
    </row>
    <row r="912">
      <c r="A912" s="14" t="str">
        <f t="shared" si="1"/>
        <v/>
      </c>
      <c r="B912" s="15" t="str">
        <f>IF($C912="","",IF(ROW()=7,Input!$C$3,C911))</f>
        <v/>
      </c>
      <c r="C912" s="6"/>
      <c r="D912" s="6"/>
      <c r="E912" s="10"/>
      <c r="G912" s="6"/>
      <c r="H912" s="6"/>
      <c r="I912" s="10">
        <v>0.0</v>
      </c>
      <c r="J912" s="10">
        <v>0.0</v>
      </c>
      <c r="K912" s="5" t="b">
        <v>0</v>
      </c>
      <c r="L912" s="5" t="b">
        <v>1</v>
      </c>
    </row>
    <row r="913">
      <c r="A913" s="14" t="str">
        <f t="shared" si="1"/>
        <v/>
      </c>
      <c r="B913" s="15" t="str">
        <f>IF($C913="","",IF(ROW()=7,Input!$C$3,C912))</f>
        <v/>
      </c>
      <c r="C913" s="6"/>
      <c r="D913" s="6"/>
      <c r="E913" s="10"/>
      <c r="G913" s="6"/>
      <c r="H913" s="6"/>
      <c r="I913" s="10">
        <v>0.0</v>
      </c>
      <c r="J913" s="10">
        <v>0.0</v>
      </c>
      <c r="K913" s="5" t="b">
        <v>0</v>
      </c>
      <c r="L913" s="5" t="b">
        <v>1</v>
      </c>
    </row>
    <row r="914">
      <c r="A914" s="14" t="str">
        <f t="shared" si="1"/>
        <v/>
      </c>
      <c r="B914" s="15" t="str">
        <f>IF($C914="","",IF(ROW()=7,Input!$C$3,C913))</f>
        <v/>
      </c>
      <c r="C914" s="6"/>
      <c r="D914" s="6"/>
      <c r="E914" s="10"/>
      <c r="G914" s="6"/>
      <c r="H914" s="6"/>
      <c r="I914" s="10">
        <v>0.0</v>
      </c>
      <c r="J914" s="10">
        <v>0.0</v>
      </c>
      <c r="K914" s="5" t="b">
        <v>0</v>
      </c>
      <c r="L914" s="5" t="b">
        <v>1</v>
      </c>
    </row>
    <row r="915">
      <c r="A915" s="14" t="str">
        <f t="shared" si="1"/>
        <v/>
      </c>
      <c r="B915" s="15" t="str">
        <f>IF($C915="","",IF(ROW()=7,Input!$C$3,C914))</f>
        <v/>
      </c>
      <c r="C915" s="6"/>
      <c r="D915" s="6"/>
      <c r="E915" s="10"/>
      <c r="G915" s="6"/>
      <c r="H915" s="6"/>
      <c r="I915" s="10">
        <v>0.0</v>
      </c>
      <c r="J915" s="10">
        <v>0.0</v>
      </c>
      <c r="K915" s="5" t="b">
        <v>0</v>
      </c>
      <c r="L915" s="5" t="b">
        <v>1</v>
      </c>
    </row>
    <row r="916">
      <c r="A916" s="14" t="str">
        <f t="shared" si="1"/>
        <v/>
      </c>
      <c r="B916" s="15" t="str">
        <f>IF($C916="","",IF(ROW()=7,Input!$C$3,C915))</f>
        <v/>
      </c>
      <c r="C916" s="6"/>
      <c r="D916" s="6"/>
      <c r="E916" s="10"/>
      <c r="G916" s="6"/>
      <c r="H916" s="6"/>
      <c r="I916" s="10">
        <v>0.0</v>
      </c>
      <c r="J916" s="10">
        <v>0.0</v>
      </c>
      <c r="K916" s="5" t="b">
        <v>0</v>
      </c>
      <c r="L916" s="5" t="b">
        <v>1</v>
      </c>
    </row>
    <row r="917">
      <c r="A917" s="14" t="str">
        <f t="shared" si="1"/>
        <v/>
      </c>
      <c r="B917" s="15" t="str">
        <f>IF($C917="","",IF(ROW()=7,Input!$C$3,C916))</f>
        <v/>
      </c>
      <c r="C917" s="6"/>
      <c r="D917" s="6"/>
      <c r="E917" s="10"/>
      <c r="G917" s="6"/>
      <c r="H917" s="6"/>
      <c r="I917" s="10">
        <v>0.0</v>
      </c>
      <c r="J917" s="10">
        <v>0.0</v>
      </c>
      <c r="K917" s="5" t="b">
        <v>0</v>
      </c>
      <c r="L917" s="5" t="b">
        <v>1</v>
      </c>
    </row>
    <row r="918">
      <c r="A918" s="14" t="str">
        <f t="shared" si="1"/>
        <v/>
      </c>
      <c r="B918" s="15" t="str">
        <f>IF($C918="","",IF(ROW()=7,Input!$C$3,C917))</f>
        <v/>
      </c>
      <c r="C918" s="6"/>
      <c r="D918" s="6"/>
      <c r="E918" s="10"/>
      <c r="G918" s="6"/>
      <c r="H918" s="6"/>
      <c r="I918" s="10">
        <v>0.0</v>
      </c>
      <c r="J918" s="10">
        <v>0.0</v>
      </c>
      <c r="K918" s="5" t="b">
        <v>0</v>
      </c>
      <c r="L918" s="5" t="b">
        <v>1</v>
      </c>
    </row>
    <row r="919">
      <c r="A919" s="14" t="str">
        <f t="shared" si="1"/>
        <v/>
      </c>
      <c r="B919" s="15" t="str">
        <f>IF($C919="","",IF(ROW()=7,Input!$C$3,C918))</f>
        <v/>
      </c>
      <c r="C919" s="6"/>
      <c r="D919" s="6"/>
      <c r="E919" s="10"/>
      <c r="G919" s="6"/>
      <c r="H919" s="6"/>
      <c r="I919" s="10">
        <v>0.0</v>
      </c>
      <c r="J919" s="10">
        <v>0.0</v>
      </c>
      <c r="K919" s="5" t="b">
        <v>0</v>
      </c>
      <c r="L919" s="5" t="b">
        <v>1</v>
      </c>
    </row>
    <row r="920">
      <c r="A920" s="14" t="str">
        <f t="shared" si="1"/>
        <v/>
      </c>
      <c r="B920" s="15" t="str">
        <f>IF($C920="","",IF(ROW()=7,Input!$C$3,C919))</f>
        <v/>
      </c>
      <c r="C920" s="6"/>
      <c r="D920" s="6"/>
      <c r="E920" s="10"/>
      <c r="G920" s="6"/>
      <c r="H920" s="6"/>
      <c r="I920" s="10">
        <v>0.0</v>
      </c>
      <c r="J920" s="10">
        <v>0.0</v>
      </c>
      <c r="K920" s="5" t="b">
        <v>0</v>
      </c>
      <c r="L920" s="5" t="b">
        <v>1</v>
      </c>
    </row>
    <row r="921">
      <c r="A921" s="14" t="str">
        <f t="shared" si="1"/>
        <v/>
      </c>
      <c r="B921" s="15" t="str">
        <f>IF($C921="","",IF(ROW()=7,Input!$C$3,C920))</f>
        <v/>
      </c>
      <c r="C921" s="6"/>
      <c r="D921" s="6"/>
      <c r="E921" s="10"/>
      <c r="G921" s="6"/>
      <c r="H921" s="6"/>
      <c r="I921" s="10">
        <v>0.0</v>
      </c>
      <c r="J921" s="10">
        <v>0.0</v>
      </c>
      <c r="K921" s="5" t="b">
        <v>0</v>
      </c>
      <c r="L921" s="5" t="b">
        <v>1</v>
      </c>
    </row>
    <row r="922">
      <c r="A922" s="14" t="str">
        <f t="shared" si="1"/>
        <v/>
      </c>
      <c r="B922" s="15" t="str">
        <f>IF($C922="","",IF(ROW()=7,Input!$C$3,C921))</f>
        <v/>
      </c>
      <c r="C922" s="6"/>
      <c r="D922" s="6"/>
      <c r="E922" s="10"/>
      <c r="G922" s="6"/>
      <c r="H922" s="6"/>
      <c r="I922" s="10">
        <v>0.0</v>
      </c>
      <c r="J922" s="10">
        <v>0.0</v>
      </c>
      <c r="K922" s="5" t="b">
        <v>0</v>
      </c>
      <c r="L922" s="5" t="b">
        <v>1</v>
      </c>
    </row>
    <row r="923">
      <c r="A923" s="14" t="str">
        <f t="shared" si="1"/>
        <v/>
      </c>
      <c r="B923" s="15" t="str">
        <f>IF($C923="","",IF(ROW()=7,Input!$C$3,C922))</f>
        <v/>
      </c>
      <c r="C923" s="6"/>
      <c r="D923" s="6"/>
      <c r="E923" s="10"/>
      <c r="G923" s="6"/>
      <c r="H923" s="6"/>
      <c r="I923" s="10">
        <v>0.0</v>
      </c>
      <c r="J923" s="10">
        <v>0.0</v>
      </c>
      <c r="K923" s="5" t="b">
        <v>0</v>
      </c>
      <c r="L923" s="5" t="b">
        <v>1</v>
      </c>
    </row>
    <row r="924">
      <c r="A924" s="14" t="str">
        <f t="shared" si="1"/>
        <v/>
      </c>
      <c r="B924" s="15" t="str">
        <f>IF($C924="","",IF(ROW()=7,Input!$C$3,C923))</f>
        <v/>
      </c>
      <c r="C924" s="6"/>
      <c r="D924" s="6"/>
      <c r="E924" s="10"/>
      <c r="G924" s="6"/>
      <c r="H924" s="6"/>
      <c r="I924" s="10">
        <v>0.0</v>
      </c>
      <c r="J924" s="10">
        <v>0.0</v>
      </c>
      <c r="K924" s="5" t="b">
        <v>0</v>
      </c>
      <c r="L924" s="5" t="b">
        <v>1</v>
      </c>
    </row>
    <row r="925">
      <c r="A925" s="14" t="str">
        <f t="shared" si="1"/>
        <v/>
      </c>
      <c r="B925" s="15" t="str">
        <f>IF($C925="","",IF(ROW()=7,Input!$C$3,C924))</f>
        <v/>
      </c>
      <c r="C925" s="6"/>
      <c r="D925" s="6"/>
      <c r="E925" s="10"/>
      <c r="G925" s="6"/>
      <c r="H925" s="6"/>
      <c r="I925" s="10">
        <v>0.0</v>
      </c>
      <c r="J925" s="10">
        <v>0.0</v>
      </c>
      <c r="K925" s="5" t="b">
        <v>0</v>
      </c>
      <c r="L925" s="5" t="b">
        <v>1</v>
      </c>
    </row>
    <row r="926">
      <c r="A926" s="14" t="str">
        <f t="shared" si="1"/>
        <v/>
      </c>
      <c r="B926" s="15" t="str">
        <f>IF($C926="","",IF(ROW()=7,Input!$C$3,C925))</f>
        <v/>
      </c>
      <c r="C926" s="6"/>
      <c r="D926" s="6"/>
      <c r="E926" s="10"/>
      <c r="G926" s="6"/>
      <c r="H926" s="6"/>
      <c r="I926" s="10">
        <v>0.0</v>
      </c>
      <c r="J926" s="10">
        <v>0.0</v>
      </c>
      <c r="K926" s="5" t="b">
        <v>0</v>
      </c>
      <c r="L926" s="5" t="b">
        <v>1</v>
      </c>
    </row>
    <row r="927">
      <c r="A927" s="14" t="str">
        <f t="shared" si="1"/>
        <v/>
      </c>
      <c r="B927" s="15" t="str">
        <f>IF($C927="","",IF(ROW()=7,Input!$C$3,C926))</f>
        <v/>
      </c>
      <c r="C927" s="6"/>
      <c r="D927" s="6"/>
      <c r="E927" s="10"/>
      <c r="G927" s="6"/>
      <c r="H927" s="6"/>
      <c r="I927" s="10">
        <v>0.0</v>
      </c>
      <c r="J927" s="10">
        <v>0.0</v>
      </c>
      <c r="K927" s="5" t="b">
        <v>0</v>
      </c>
      <c r="L927" s="5" t="b">
        <v>1</v>
      </c>
    </row>
    <row r="928">
      <c r="A928" s="14" t="str">
        <f t="shared" si="1"/>
        <v/>
      </c>
      <c r="B928" s="15" t="str">
        <f>IF($C928="","",IF(ROW()=7,Input!$C$3,C927))</f>
        <v/>
      </c>
      <c r="C928" s="6"/>
      <c r="D928" s="6"/>
      <c r="E928" s="10"/>
      <c r="G928" s="6"/>
      <c r="H928" s="6"/>
      <c r="I928" s="10">
        <v>0.0</v>
      </c>
      <c r="J928" s="10">
        <v>0.0</v>
      </c>
      <c r="K928" s="5" t="b">
        <v>0</v>
      </c>
      <c r="L928" s="5" t="b">
        <v>1</v>
      </c>
    </row>
    <row r="929">
      <c r="A929" s="14" t="str">
        <f t="shared" si="1"/>
        <v/>
      </c>
      <c r="B929" s="15" t="str">
        <f>IF($C929="","",IF(ROW()=7,Input!$C$3,C928))</f>
        <v/>
      </c>
      <c r="C929" s="6"/>
      <c r="D929" s="6"/>
      <c r="E929" s="10"/>
      <c r="G929" s="6"/>
      <c r="H929" s="6"/>
      <c r="I929" s="10">
        <v>0.0</v>
      </c>
      <c r="J929" s="10">
        <v>0.0</v>
      </c>
      <c r="K929" s="5" t="b">
        <v>0</v>
      </c>
      <c r="L929" s="5" t="b">
        <v>1</v>
      </c>
    </row>
    <row r="930">
      <c r="A930" s="14" t="str">
        <f t="shared" si="1"/>
        <v/>
      </c>
      <c r="B930" s="15" t="str">
        <f>IF($C930="","",IF(ROW()=7,Input!$C$3,C929))</f>
        <v/>
      </c>
      <c r="C930" s="6"/>
      <c r="D930" s="6"/>
      <c r="E930" s="10"/>
      <c r="G930" s="6"/>
      <c r="H930" s="6"/>
      <c r="I930" s="10">
        <v>0.0</v>
      </c>
      <c r="J930" s="10">
        <v>0.0</v>
      </c>
      <c r="K930" s="5" t="b">
        <v>0</v>
      </c>
      <c r="L930" s="5" t="b">
        <v>1</v>
      </c>
    </row>
    <row r="931">
      <c r="A931" s="14" t="str">
        <f t="shared" si="1"/>
        <v/>
      </c>
      <c r="B931" s="15" t="str">
        <f>IF($C931="","",IF(ROW()=7,Input!$C$3,C930))</f>
        <v/>
      </c>
      <c r="C931" s="6"/>
      <c r="D931" s="6"/>
      <c r="E931" s="10"/>
      <c r="G931" s="6"/>
      <c r="H931" s="6"/>
      <c r="I931" s="10">
        <v>0.0</v>
      </c>
      <c r="J931" s="10">
        <v>0.0</v>
      </c>
      <c r="K931" s="5" t="b">
        <v>0</v>
      </c>
      <c r="L931" s="5" t="b">
        <v>1</v>
      </c>
    </row>
    <row r="932">
      <c r="A932" s="14" t="str">
        <f t="shared" si="1"/>
        <v/>
      </c>
      <c r="B932" s="15" t="str">
        <f>IF($C932="","",IF(ROW()=7,Input!$C$3,C931))</f>
        <v/>
      </c>
      <c r="C932" s="6"/>
      <c r="D932" s="6"/>
      <c r="E932" s="10"/>
      <c r="G932" s="6"/>
      <c r="H932" s="6"/>
      <c r="I932" s="10">
        <v>0.0</v>
      </c>
      <c r="J932" s="10">
        <v>0.0</v>
      </c>
      <c r="K932" s="5" t="b">
        <v>0</v>
      </c>
      <c r="L932" s="5" t="b">
        <v>1</v>
      </c>
    </row>
    <row r="933">
      <c r="A933" s="14" t="str">
        <f t="shared" si="1"/>
        <v/>
      </c>
      <c r="B933" s="15" t="str">
        <f>IF($C933="","",IF(ROW()=7,Input!$C$3,C932))</f>
        <v/>
      </c>
      <c r="C933" s="6"/>
      <c r="D933" s="6"/>
      <c r="E933" s="10"/>
      <c r="G933" s="6"/>
      <c r="H933" s="6"/>
      <c r="I933" s="10">
        <v>0.0</v>
      </c>
      <c r="J933" s="10">
        <v>0.0</v>
      </c>
      <c r="K933" s="5" t="b">
        <v>0</v>
      </c>
      <c r="L933" s="5" t="b">
        <v>1</v>
      </c>
    </row>
    <row r="934">
      <c r="A934" s="14" t="str">
        <f t="shared" si="1"/>
        <v/>
      </c>
      <c r="B934" s="15" t="str">
        <f>IF($C934="","",IF(ROW()=7,Input!$C$3,C933))</f>
        <v/>
      </c>
      <c r="C934" s="6"/>
      <c r="D934" s="6"/>
      <c r="E934" s="10"/>
      <c r="G934" s="6"/>
      <c r="H934" s="6"/>
      <c r="I934" s="10">
        <v>0.0</v>
      </c>
      <c r="J934" s="10">
        <v>0.0</v>
      </c>
      <c r="K934" s="5" t="b">
        <v>0</v>
      </c>
      <c r="L934" s="5" t="b">
        <v>1</v>
      </c>
    </row>
    <row r="935">
      <c r="A935" s="14" t="str">
        <f t="shared" si="1"/>
        <v/>
      </c>
      <c r="B935" s="15" t="str">
        <f>IF($C935="","",IF(ROW()=7,Input!$C$3,C934))</f>
        <v/>
      </c>
      <c r="C935" s="6"/>
      <c r="D935" s="6"/>
      <c r="E935" s="10"/>
      <c r="G935" s="6"/>
      <c r="H935" s="6"/>
      <c r="I935" s="10">
        <v>0.0</v>
      </c>
      <c r="J935" s="10">
        <v>0.0</v>
      </c>
      <c r="K935" s="5" t="b">
        <v>0</v>
      </c>
      <c r="L935" s="5" t="b">
        <v>1</v>
      </c>
    </row>
    <row r="936">
      <c r="A936" s="14" t="str">
        <f t="shared" si="1"/>
        <v/>
      </c>
      <c r="B936" s="15" t="str">
        <f>IF($C936="","",IF(ROW()=7,Input!$C$3,C935))</f>
        <v/>
      </c>
      <c r="C936" s="6"/>
      <c r="D936" s="6"/>
      <c r="E936" s="10"/>
      <c r="G936" s="6"/>
      <c r="H936" s="6"/>
      <c r="I936" s="10">
        <v>0.0</v>
      </c>
      <c r="J936" s="10">
        <v>0.0</v>
      </c>
      <c r="K936" s="5" t="b">
        <v>0</v>
      </c>
      <c r="L936" s="5" t="b">
        <v>1</v>
      </c>
    </row>
    <row r="937">
      <c r="A937" s="14" t="str">
        <f t="shared" si="1"/>
        <v/>
      </c>
      <c r="B937" s="15" t="str">
        <f>IF($C937="","",IF(ROW()=7,Input!$C$3,C936))</f>
        <v/>
      </c>
      <c r="C937" s="6"/>
      <c r="D937" s="6"/>
      <c r="E937" s="10"/>
      <c r="G937" s="6"/>
      <c r="H937" s="6"/>
      <c r="I937" s="10">
        <v>0.0</v>
      </c>
      <c r="J937" s="10">
        <v>0.0</v>
      </c>
      <c r="K937" s="5" t="b">
        <v>0</v>
      </c>
      <c r="L937" s="5" t="b">
        <v>1</v>
      </c>
    </row>
    <row r="938">
      <c r="A938" s="14" t="str">
        <f t="shared" si="1"/>
        <v/>
      </c>
      <c r="B938" s="15" t="str">
        <f>IF($C938="","",IF(ROW()=7,Input!$C$3,C937))</f>
        <v/>
      </c>
      <c r="C938" s="6"/>
      <c r="D938" s="6"/>
      <c r="E938" s="10"/>
      <c r="G938" s="6"/>
      <c r="H938" s="6"/>
      <c r="I938" s="10">
        <v>0.0</v>
      </c>
      <c r="J938" s="10">
        <v>0.0</v>
      </c>
      <c r="K938" s="5" t="b">
        <v>0</v>
      </c>
      <c r="L938" s="5" t="b">
        <v>1</v>
      </c>
    </row>
    <row r="939">
      <c r="A939" s="14" t="str">
        <f t="shared" si="1"/>
        <v/>
      </c>
      <c r="B939" s="15" t="str">
        <f>IF($C939="","",IF(ROW()=7,Input!$C$3,C938))</f>
        <v/>
      </c>
      <c r="C939" s="6"/>
      <c r="D939" s="6"/>
      <c r="E939" s="10"/>
      <c r="G939" s="6"/>
      <c r="H939" s="6"/>
      <c r="I939" s="10">
        <v>0.0</v>
      </c>
      <c r="J939" s="10">
        <v>0.0</v>
      </c>
      <c r="K939" s="5" t="b">
        <v>0</v>
      </c>
      <c r="L939" s="5" t="b">
        <v>1</v>
      </c>
    </row>
    <row r="940">
      <c r="A940" s="14" t="str">
        <f t="shared" si="1"/>
        <v/>
      </c>
      <c r="B940" s="15" t="str">
        <f>IF($C940="","",IF(ROW()=7,Input!$C$3,C939))</f>
        <v/>
      </c>
      <c r="C940" s="6"/>
      <c r="D940" s="6"/>
      <c r="E940" s="10"/>
      <c r="G940" s="6"/>
      <c r="H940" s="6"/>
      <c r="I940" s="10">
        <v>0.0</v>
      </c>
      <c r="J940" s="10">
        <v>0.0</v>
      </c>
      <c r="K940" s="5" t="b">
        <v>0</v>
      </c>
      <c r="L940" s="5" t="b">
        <v>1</v>
      </c>
    </row>
    <row r="941">
      <c r="A941" s="14" t="str">
        <f t="shared" si="1"/>
        <v/>
      </c>
      <c r="B941" s="15" t="str">
        <f>IF($C941="","",IF(ROW()=7,Input!$C$3,C940))</f>
        <v/>
      </c>
      <c r="C941" s="6"/>
      <c r="D941" s="6"/>
      <c r="E941" s="10"/>
      <c r="G941" s="6"/>
      <c r="H941" s="6"/>
      <c r="I941" s="10">
        <v>0.0</v>
      </c>
      <c r="J941" s="10">
        <v>0.0</v>
      </c>
      <c r="K941" s="5" t="b">
        <v>0</v>
      </c>
      <c r="L941" s="5" t="b">
        <v>1</v>
      </c>
    </row>
    <row r="942">
      <c r="A942" s="14" t="str">
        <f t="shared" si="1"/>
        <v/>
      </c>
      <c r="B942" s="15" t="str">
        <f>IF($C942="","",IF(ROW()=7,Input!$C$3,C941))</f>
        <v/>
      </c>
      <c r="C942" s="6"/>
      <c r="D942" s="6"/>
      <c r="E942" s="10"/>
      <c r="G942" s="6"/>
      <c r="H942" s="6"/>
      <c r="I942" s="10">
        <v>0.0</v>
      </c>
      <c r="J942" s="10">
        <v>0.0</v>
      </c>
      <c r="K942" s="5" t="b">
        <v>0</v>
      </c>
      <c r="L942" s="5" t="b">
        <v>1</v>
      </c>
    </row>
    <row r="943">
      <c r="A943" s="14" t="str">
        <f t="shared" si="1"/>
        <v/>
      </c>
      <c r="B943" s="15" t="str">
        <f>IF($C943="","",IF(ROW()=7,Input!$C$3,C942))</f>
        <v/>
      </c>
      <c r="C943" s="6"/>
      <c r="D943" s="6"/>
      <c r="E943" s="10"/>
      <c r="G943" s="6"/>
      <c r="H943" s="6"/>
      <c r="I943" s="10">
        <v>0.0</v>
      </c>
      <c r="J943" s="10">
        <v>0.0</v>
      </c>
      <c r="K943" s="5" t="b">
        <v>0</v>
      </c>
      <c r="L943" s="5" t="b">
        <v>1</v>
      </c>
    </row>
    <row r="944">
      <c r="A944" s="14" t="str">
        <f t="shared" si="1"/>
        <v/>
      </c>
      <c r="B944" s="15" t="str">
        <f>IF($C944="","",IF(ROW()=7,Input!$C$3,C943))</f>
        <v/>
      </c>
      <c r="C944" s="6"/>
      <c r="D944" s="6"/>
      <c r="E944" s="10"/>
      <c r="G944" s="6"/>
      <c r="H944" s="6"/>
      <c r="I944" s="10">
        <v>0.0</v>
      </c>
      <c r="J944" s="10">
        <v>0.0</v>
      </c>
      <c r="K944" s="5" t="b">
        <v>0</v>
      </c>
      <c r="L944" s="5" t="b">
        <v>1</v>
      </c>
    </row>
    <row r="945">
      <c r="A945" s="14" t="str">
        <f t="shared" si="1"/>
        <v/>
      </c>
      <c r="B945" s="15" t="str">
        <f>IF($C945="","",IF(ROW()=7,Input!$C$3,C944))</f>
        <v/>
      </c>
      <c r="C945" s="6"/>
      <c r="D945" s="6"/>
      <c r="E945" s="10"/>
      <c r="G945" s="6"/>
      <c r="H945" s="6"/>
      <c r="I945" s="10">
        <v>0.0</v>
      </c>
      <c r="J945" s="10">
        <v>0.0</v>
      </c>
      <c r="K945" s="5" t="b">
        <v>0</v>
      </c>
      <c r="L945" s="5" t="b">
        <v>1</v>
      </c>
    </row>
    <row r="946">
      <c r="A946" s="14" t="str">
        <f t="shared" si="1"/>
        <v/>
      </c>
      <c r="B946" s="15" t="str">
        <f>IF($C946="","",IF(ROW()=7,Input!$C$3,C945))</f>
        <v/>
      </c>
      <c r="C946" s="6"/>
      <c r="D946" s="6"/>
      <c r="E946" s="10"/>
      <c r="G946" s="6"/>
      <c r="H946" s="6"/>
      <c r="I946" s="10">
        <v>0.0</v>
      </c>
      <c r="J946" s="10">
        <v>0.0</v>
      </c>
      <c r="K946" s="5" t="b">
        <v>0</v>
      </c>
      <c r="L946" s="5" t="b">
        <v>1</v>
      </c>
    </row>
    <row r="947">
      <c r="A947" s="14" t="str">
        <f t="shared" si="1"/>
        <v/>
      </c>
      <c r="B947" s="15" t="str">
        <f>IF($C947="","",IF(ROW()=7,Input!$C$3,C946))</f>
        <v/>
      </c>
      <c r="C947" s="6"/>
      <c r="D947" s="6"/>
      <c r="E947" s="10"/>
      <c r="G947" s="6"/>
      <c r="H947" s="6"/>
      <c r="I947" s="10">
        <v>0.0</v>
      </c>
      <c r="J947" s="10">
        <v>0.0</v>
      </c>
      <c r="K947" s="5" t="b">
        <v>0</v>
      </c>
      <c r="L947" s="5" t="b">
        <v>1</v>
      </c>
    </row>
    <row r="948">
      <c r="A948" s="14" t="str">
        <f t="shared" si="1"/>
        <v/>
      </c>
      <c r="B948" s="15" t="str">
        <f>IF($C948="","",IF(ROW()=7,Input!$C$3,C947))</f>
        <v/>
      </c>
      <c r="C948" s="6"/>
      <c r="D948" s="6"/>
      <c r="E948" s="10"/>
      <c r="G948" s="6"/>
      <c r="H948" s="6"/>
      <c r="I948" s="10">
        <v>0.0</v>
      </c>
      <c r="J948" s="10">
        <v>0.0</v>
      </c>
      <c r="K948" s="5" t="b">
        <v>0</v>
      </c>
      <c r="L948" s="5" t="b">
        <v>1</v>
      </c>
    </row>
    <row r="949">
      <c r="A949" s="14" t="str">
        <f t="shared" si="1"/>
        <v/>
      </c>
      <c r="B949" s="15" t="str">
        <f>IF($C949="","",IF(ROW()=7,Input!$C$3,C948))</f>
        <v/>
      </c>
      <c r="C949" s="6"/>
      <c r="D949" s="6"/>
      <c r="E949" s="10"/>
      <c r="G949" s="6"/>
      <c r="H949" s="6"/>
      <c r="I949" s="10">
        <v>0.0</v>
      </c>
      <c r="J949" s="10">
        <v>0.0</v>
      </c>
      <c r="K949" s="5" t="b">
        <v>0</v>
      </c>
      <c r="L949" s="5" t="b">
        <v>1</v>
      </c>
    </row>
    <row r="950">
      <c r="A950" s="14" t="str">
        <f t="shared" si="1"/>
        <v/>
      </c>
      <c r="B950" s="15" t="str">
        <f>IF($C950="","",IF(ROW()=7,Input!$C$3,C949))</f>
        <v/>
      </c>
      <c r="C950" s="6"/>
      <c r="D950" s="6"/>
      <c r="E950" s="10"/>
      <c r="G950" s="6"/>
      <c r="H950" s="6"/>
      <c r="I950" s="10">
        <v>0.0</v>
      </c>
      <c r="J950" s="10">
        <v>0.0</v>
      </c>
      <c r="K950" s="5" t="b">
        <v>0</v>
      </c>
      <c r="L950" s="5" t="b">
        <v>1</v>
      </c>
    </row>
    <row r="951">
      <c r="A951" s="14" t="str">
        <f t="shared" si="1"/>
        <v/>
      </c>
      <c r="B951" s="15" t="str">
        <f>IF($C951="","",IF(ROW()=7,Input!$C$3,C950))</f>
        <v/>
      </c>
      <c r="C951" s="6"/>
      <c r="D951" s="6"/>
      <c r="E951" s="10"/>
      <c r="G951" s="6"/>
      <c r="H951" s="6"/>
      <c r="I951" s="10">
        <v>0.0</v>
      </c>
      <c r="J951" s="10">
        <v>0.0</v>
      </c>
      <c r="K951" s="5" t="b">
        <v>0</v>
      </c>
      <c r="L951" s="5" t="b">
        <v>1</v>
      </c>
    </row>
    <row r="952">
      <c r="A952" s="14" t="str">
        <f t="shared" si="1"/>
        <v/>
      </c>
      <c r="B952" s="15" t="str">
        <f>IF($C952="","",IF(ROW()=7,Input!$C$3,C951))</f>
        <v/>
      </c>
      <c r="C952" s="6"/>
      <c r="D952" s="6"/>
      <c r="E952" s="10"/>
      <c r="G952" s="6"/>
      <c r="H952" s="6"/>
      <c r="I952" s="10">
        <v>0.0</v>
      </c>
      <c r="J952" s="10">
        <v>0.0</v>
      </c>
      <c r="K952" s="5" t="b">
        <v>0</v>
      </c>
      <c r="L952" s="5" t="b">
        <v>1</v>
      </c>
    </row>
    <row r="953">
      <c r="A953" s="14" t="str">
        <f t="shared" si="1"/>
        <v/>
      </c>
      <c r="B953" s="15" t="str">
        <f>IF($C953="","",IF(ROW()=7,Input!$C$3,C952))</f>
        <v/>
      </c>
      <c r="C953" s="6"/>
      <c r="D953" s="6"/>
      <c r="E953" s="10"/>
      <c r="G953" s="6"/>
      <c r="H953" s="6"/>
      <c r="I953" s="10">
        <v>0.0</v>
      </c>
      <c r="J953" s="10">
        <v>0.0</v>
      </c>
      <c r="K953" s="5" t="b">
        <v>0</v>
      </c>
      <c r="L953" s="5" t="b">
        <v>1</v>
      </c>
    </row>
    <row r="954">
      <c r="A954" s="14" t="str">
        <f t="shared" si="1"/>
        <v/>
      </c>
      <c r="B954" s="15" t="str">
        <f>IF($C954="","",IF(ROW()=7,Input!$C$3,C953))</f>
        <v/>
      </c>
      <c r="C954" s="6"/>
      <c r="D954" s="6"/>
      <c r="E954" s="10"/>
      <c r="G954" s="6"/>
      <c r="H954" s="6"/>
      <c r="I954" s="10">
        <v>0.0</v>
      </c>
      <c r="J954" s="10">
        <v>0.0</v>
      </c>
      <c r="K954" s="5" t="b">
        <v>0</v>
      </c>
      <c r="L954" s="5" t="b">
        <v>1</v>
      </c>
    </row>
    <row r="955">
      <c r="A955" s="14" t="str">
        <f t="shared" si="1"/>
        <v/>
      </c>
      <c r="B955" s="15" t="str">
        <f>IF($C955="","",IF(ROW()=7,Input!$C$3,C954))</f>
        <v/>
      </c>
      <c r="C955" s="6"/>
      <c r="D955" s="6"/>
      <c r="E955" s="10"/>
      <c r="G955" s="6"/>
      <c r="H955" s="6"/>
      <c r="I955" s="10">
        <v>0.0</v>
      </c>
      <c r="J955" s="10">
        <v>0.0</v>
      </c>
      <c r="K955" s="5" t="b">
        <v>0</v>
      </c>
      <c r="L955" s="5" t="b">
        <v>1</v>
      </c>
    </row>
    <row r="956">
      <c r="A956" s="14" t="str">
        <f t="shared" si="1"/>
        <v/>
      </c>
      <c r="B956" s="15" t="str">
        <f>IF($C956="","",IF(ROW()=7,Input!$C$3,C955))</f>
        <v/>
      </c>
      <c r="C956" s="6"/>
      <c r="D956" s="6"/>
      <c r="E956" s="10"/>
      <c r="G956" s="6"/>
      <c r="H956" s="6"/>
      <c r="I956" s="10">
        <v>0.0</v>
      </c>
      <c r="J956" s="10">
        <v>0.0</v>
      </c>
      <c r="K956" s="5" t="b">
        <v>0</v>
      </c>
      <c r="L956" s="5" t="b">
        <v>1</v>
      </c>
    </row>
    <row r="957">
      <c r="A957" s="14" t="str">
        <f t="shared" si="1"/>
        <v/>
      </c>
      <c r="B957" s="15" t="str">
        <f>IF($C957="","",IF(ROW()=7,Input!$C$3,C956))</f>
        <v/>
      </c>
      <c r="C957" s="6"/>
      <c r="D957" s="6"/>
      <c r="E957" s="10"/>
      <c r="G957" s="6"/>
      <c r="H957" s="6"/>
      <c r="I957" s="10">
        <v>0.0</v>
      </c>
      <c r="J957" s="10">
        <v>0.0</v>
      </c>
      <c r="K957" s="5" t="b">
        <v>0</v>
      </c>
      <c r="L957" s="5" t="b">
        <v>1</v>
      </c>
    </row>
    <row r="958">
      <c r="A958" s="14" t="str">
        <f t="shared" si="1"/>
        <v/>
      </c>
      <c r="B958" s="15" t="str">
        <f>IF($C958="","",IF(ROW()=7,Input!$C$3,C957))</f>
        <v/>
      </c>
      <c r="C958" s="6"/>
      <c r="D958" s="6"/>
      <c r="E958" s="10"/>
      <c r="G958" s="6"/>
      <c r="H958" s="6"/>
      <c r="I958" s="10">
        <v>0.0</v>
      </c>
      <c r="J958" s="10">
        <v>0.0</v>
      </c>
      <c r="K958" s="5" t="b">
        <v>0</v>
      </c>
      <c r="L958" s="5" t="b">
        <v>1</v>
      </c>
    </row>
    <row r="959">
      <c r="A959" s="14" t="str">
        <f t="shared" si="1"/>
        <v/>
      </c>
      <c r="B959" s="15" t="str">
        <f>IF($C959="","",IF(ROW()=7,Input!$C$3,C958))</f>
        <v/>
      </c>
      <c r="C959" s="6"/>
      <c r="D959" s="6"/>
      <c r="E959" s="10"/>
      <c r="G959" s="6"/>
      <c r="H959" s="6"/>
      <c r="I959" s="10">
        <v>0.0</v>
      </c>
      <c r="J959" s="10">
        <v>0.0</v>
      </c>
      <c r="K959" s="5" t="b">
        <v>0</v>
      </c>
      <c r="L959" s="5" t="b">
        <v>1</v>
      </c>
    </row>
    <row r="960">
      <c r="A960" s="14" t="str">
        <f t="shared" si="1"/>
        <v/>
      </c>
      <c r="B960" s="15" t="str">
        <f>IF($C960="","",IF(ROW()=7,Input!$C$3,C959))</f>
        <v/>
      </c>
      <c r="C960" s="6"/>
      <c r="D960" s="6"/>
      <c r="E960" s="10"/>
      <c r="G960" s="6"/>
      <c r="H960" s="6"/>
      <c r="I960" s="10">
        <v>0.0</v>
      </c>
      <c r="J960" s="10">
        <v>0.0</v>
      </c>
      <c r="K960" s="5" t="b">
        <v>0</v>
      </c>
      <c r="L960" s="5" t="b">
        <v>1</v>
      </c>
    </row>
    <row r="961">
      <c r="A961" s="14" t="str">
        <f t="shared" si="1"/>
        <v/>
      </c>
      <c r="B961" s="15" t="str">
        <f>IF($C961="","",IF(ROW()=7,Input!$C$3,C960))</f>
        <v/>
      </c>
      <c r="C961" s="6"/>
      <c r="D961" s="6"/>
      <c r="E961" s="10"/>
      <c r="G961" s="6"/>
      <c r="H961" s="6"/>
      <c r="I961" s="10">
        <v>0.0</v>
      </c>
      <c r="J961" s="10">
        <v>0.0</v>
      </c>
      <c r="K961" s="5" t="b">
        <v>0</v>
      </c>
      <c r="L961" s="5" t="b">
        <v>1</v>
      </c>
    </row>
    <row r="962">
      <c r="A962" s="14" t="str">
        <f t="shared" si="1"/>
        <v/>
      </c>
      <c r="B962" s="15" t="str">
        <f>IF($C962="","",IF(ROW()=7,Input!$C$3,C961))</f>
        <v/>
      </c>
      <c r="C962" s="6"/>
      <c r="D962" s="6"/>
      <c r="E962" s="10"/>
      <c r="G962" s="6"/>
      <c r="H962" s="6"/>
      <c r="I962" s="10">
        <v>0.0</v>
      </c>
      <c r="J962" s="10">
        <v>0.0</v>
      </c>
      <c r="K962" s="5" t="b">
        <v>0</v>
      </c>
      <c r="L962" s="5" t="b">
        <v>1</v>
      </c>
    </row>
    <row r="963">
      <c r="A963" s="14" t="str">
        <f t="shared" si="1"/>
        <v/>
      </c>
      <c r="B963" s="15" t="str">
        <f>IF($C963="","",IF(ROW()=7,Input!$C$3,C962))</f>
        <v/>
      </c>
      <c r="C963" s="6"/>
      <c r="D963" s="6"/>
      <c r="E963" s="10"/>
      <c r="G963" s="6"/>
      <c r="H963" s="6"/>
      <c r="I963" s="10">
        <v>0.0</v>
      </c>
      <c r="J963" s="10">
        <v>0.0</v>
      </c>
      <c r="K963" s="5" t="b">
        <v>0</v>
      </c>
      <c r="L963" s="5" t="b">
        <v>1</v>
      </c>
    </row>
    <row r="964">
      <c r="A964" s="14" t="str">
        <f t="shared" si="1"/>
        <v/>
      </c>
      <c r="B964" s="15" t="str">
        <f>IF($C964="","",IF(ROW()=7,Input!$C$3,C963))</f>
        <v/>
      </c>
      <c r="C964" s="6"/>
      <c r="D964" s="6"/>
      <c r="E964" s="10"/>
      <c r="G964" s="6"/>
      <c r="H964" s="6"/>
      <c r="I964" s="10">
        <v>0.0</v>
      </c>
      <c r="J964" s="10">
        <v>0.0</v>
      </c>
      <c r="K964" s="5" t="b">
        <v>0</v>
      </c>
      <c r="L964" s="5" t="b">
        <v>1</v>
      </c>
    </row>
    <row r="965">
      <c r="A965" s="14" t="str">
        <f t="shared" si="1"/>
        <v/>
      </c>
      <c r="B965" s="15" t="str">
        <f>IF($C965="","",IF(ROW()=7,Input!$C$3,C964))</f>
        <v/>
      </c>
      <c r="C965" s="6"/>
      <c r="D965" s="6"/>
      <c r="E965" s="10"/>
      <c r="G965" s="6"/>
      <c r="H965" s="6"/>
      <c r="I965" s="10">
        <v>0.0</v>
      </c>
      <c r="J965" s="10">
        <v>0.0</v>
      </c>
      <c r="K965" s="5" t="b">
        <v>0</v>
      </c>
      <c r="L965" s="5" t="b">
        <v>1</v>
      </c>
    </row>
    <row r="966">
      <c r="A966" s="14" t="str">
        <f t="shared" si="1"/>
        <v/>
      </c>
      <c r="B966" s="15" t="str">
        <f>IF($C966="","",IF(ROW()=7,Input!$C$3,C965))</f>
        <v/>
      </c>
      <c r="C966" s="6"/>
      <c r="D966" s="6"/>
      <c r="E966" s="10"/>
      <c r="G966" s="6"/>
      <c r="H966" s="6"/>
      <c r="I966" s="10">
        <v>0.0</v>
      </c>
      <c r="J966" s="10">
        <v>0.0</v>
      </c>
      <c r="K966" s="5" t="b">
        <v>0</v>
      </c>
      <c r="L966" s="5" t="b">
        <v>1</v>
      </c>
    </row>
    <row r="967">
      <c r="A967" s="14" t="str">
        <f t="shared" si="1"/>
        <v/>
      </c>
      <c r="B967" s="15" t="str">
        <f>IF($C967="","",IF(ROW()=7,Input!$C$3,C966))</f>
        <v/>
      </c>
      <c r="C967" s="6"/>
      <c r="D967" s="6"/>
      <c r="E967" s="10"/>
      <c r="G967" s="6"/>
      <c r="H967" s="6"/>
      <c r="I967" s="10">
        <v>0.0</v>
      </c>
      <c r="J967" s="10">
        <v>0.0</v>
      </c>
      <c r="K967" s="5" t="b">
        <v>0</v>
      </c>
      <c r="L967" s="5" t="b">
        <v>1</v>
      </c>
    </row>
    <row r="968">
      <c r="A968" s="14" t="str">
        <f t="shared" si="1"/>
        <v/>
      </c>
      <c r="B968" s="15" t="str">
        <f>IF($C968="","",IF(ROW()=7,Input!$C$3,C967))</f>
        <v/>
      </c>
      <c r="C968" s="6"/>
      <c r="D968" s="6"/>
      <c r="E968" s="10"/>
      <c r="G968" s="6"/>
      <c r="H968" s="6"/>
      <c r="I968" s="10">
        <v>0.0</v>
      </c>
      <c r="J968" s="10">
        <v>0.0</v>
      </c>
      <c r="K968" s="5" t="b">
        <v>0</v>
      </c>
      <c r="L968" s="5" t="b">
        <v>1</v>
      </c>
    </row>
    <row r="969">
      <c r="A969" s="14" t="str">
        <f t="shared" si="1"/>
        <v/>
      </c>
      <c r="B969" s="15" t="str">
        <f>IF($C969="","",IF(ROW()=7,Input!$C$3,C968))</f>
        <v/>
      </c>
      <c r="C969" s="6"/>
      <c r="D969" s="6"/>
      <c r="E969" s="10"/>
      <c r="G969" s="6"/>
      <c r="H969" s="6"/>
      <c r="I969" s="10">
        <v>0.0</v>
      </c>
      <c r="J969" s="10">
        <v>0.0</v>
      </c>
      <c r="K969" s="5" t="b">
        <v>0</v>
      </c>
      <c r="L969" s="5" t="b">
        <v>1</v>
      </c>
    </row>
    <row r="970">
      <c r="A970" s="14" t="str">
        <f t="shared" si="1"/>
        <v/>
      </c>
      <c r="B970" s="15" t="str">
        <f>IF($C970="","",IF(ROW()=7,Input!$C$3,C969))</f>
        <v/>
      </c>
      <c r="C970" s="6"/>
      <c r="D970" s="6"/>
      <c r="E970" s="10"/>
      <c r="G970" s="6"/>
      <c r="H970" s="6"/>
      <c r="I970" s="10">
        <v>0.0</v>
      </c>
      <c r="J970" s="10">
        <v>0.0</v>
      </c>
      <c r="K970" s="5" t="b">
        <v>0</v>
      </c>
      <c r="L970" s="5" t="b">
        <v>1</v>
      </c>
    </row>
    <row r="971">
      <c r="A971" s="14" t="str">
        <f t="shared" si="1"/>
        <v/>
      </c>
      <c r="B971" s="15" t="str">
        <f>IF($C971="","",IF(ROW()=7,Input!$C$3,C970))</f>
        <v/>
      </c>
      <c r="C971" s="6"/>
      <c r="D971" s="6"/>
      <c r="E971" s="10"/>
      <c r="G971" s="6"/>
      <c r="H971" s="6"/>
      <c r="I971" s="10">
        <v>0.0</v>
      </c>
      <c r="J971" s="10">
        <v>0.0</v>
      </c>
      <c r="K971" s="5" t="b">
        <v>0</v>
      </c>
      <c r="L971" s="5" t="b">
        <v>1</v>
      </c>
    </row>
    <row r="972">
      <c r="A972" s="14" t="str">
        <f t="shared" si="1"/>
        <v/>
      </c>
      <c r="B972" s="15" t="str">
        <f>IF($C972="","",IF(ROW()=7,Input!$C$3,C971))</f>
        <v/>
      </c>
      <c r="C972" s="6"/>
      <c r="D972" s="6"/>
      <c r="E972" s="10"/>
      <c r="G972" s="6"/>
      <c r="H972" s="6"/>
      <c r="I972" s="10">
        <v>0.0</v>
      </c>
      <c r="J972" s="10">
        <v>0.0</v>
      </c>
      <c r="K972" s="5" t="b">
        <v>0</v>
      </c>
      <c r="L972" s="5" t="b">
        <v>1</v>
      </c>
    </row>
    <row r="973">
      <c r="A973" s="14" t="str">
        <f t="shared" si="1"/>
        <v/>
      </c>
      <c r="B973" s="15" t="str">
        <f>IF($C973="","",IF(ROW()=7,Input!$C$3,C972))</f>
        <v/>
      </c>
      <c r="C973" s="6"/>
      <c r="D973" s="6"/>
      <c r="E973" s="10"/>
      <c r="G973" s="6"/>
      <c r="H973" s="6"/>
      <c r="I973" s="10">
        <v>0.0</v>
      </c>
      <c r="J973" s="10">
        <v>0.0</v>
      </c>
      <c r="K973" s="5" t="b">
        <v>0</v>
      </c>
      <c r="L973" s="5" t="b">
        <v>1</v>
      </c>
    </row>
    <row r="974">
      <c r="A974" s="14" t="str">
        <f t="shared" si="1"/>
        <v/>
      </c>
      <c r="B974" s="15" t="str">
        <f>IF($C974="","",IF(ROW()=7,Input!$C$3,C973))</f>
        <v/>
      </c>
      <c r="C974" s="6"/>
      <c r="D974" s="6"/>
      <c r="E974" s="10"/>
      <c r="G974" s="6"/>
      <c r="H974" s="6"/>
      <c r="I974" s="10">
        <v>0.0</v>
      </c>
      <c r="J974" s="10">
        <v>0.0</v>
      </c>
      <c r="K974" s="5" t="b">
        <v>0</v>
      </c>
      <c r="L974" s="5" t="b">
        <v>1</v>
      </c>
    </row>
    <row r="975">
      <c r="A975" s="14" t="str">
        <f t="shared" si="1"/>
        <v/>
      </c>
      <c r="B975" s="15" t="str">
        <f>IF($C975="","",IF(ROW()=7,Input!$C$3,C974))</f>
        <v/>
      </c>
      <c r="C975" s="6"/>
      <c r="D975" s="6"/>
      <c r="E975" s="10"/>
      <c r="G975" s="6"/>
      <c r="H975" s="6"/>
      <c r="I975" s="10">
        <v>0.0</v>
      </c>
      <c r="J975" s="10">
        <v>0.0</v>
      </c>
      <c r="K975" s="5" t="b">
        <v>0</v>
      </c>
      <c r="L975" s="5" t="b">
        <v>1</v>
      </c>
    </row>
    <row r="976">
      <c r="A976" s="14" t="str">
        <f t="shared" si="1"/>
        <v/>
      </c>
      <c r="B976" s="15" t="str">
        <f>IF($C976="","",IF(ROW()=7,Input!$C$3,C975))</f>
        <v/>
      </c>
      <c r="C976" s="6"/>
      <c r="D976" s="6"/>
      <c r="E976" s="10"/>
      <c r="G976" s="6"/>
      <c r="H976" s="6"/>
      <c r="I976" s="10">
        <v>0.0</v>
      </c>
      <c r="J976" s="10">
        <v>0.0</v>
      </c>
      <c r="K976" s="5" t="b">
        <v>0</v>
      </c>
      <c r="L976" s="5" t="b">
        <v>1</v>
      </c>
    </row>
    <row r="977">
      <c r="A977" s="14" t="str">
        <f t="shared" si="1"/>
        <v/>
      </c>
      <c r="B977" s="15" t="str">
        <f>IF($C977="","",IF(ROW()=7,Input!$C$3,C976))</f>
        <v/>
      </c>
      <c r="C977" s="6"/>
      <c r="D977" s="6"/>
      <c r="E977" s="10"/>
      <c r="G977" s="6"/>
      <c r="H977" s="6"/>
      <c r="I977" s="10">
        <v>0.0</v>
      </c>
      <c r="J977" s="10">
        <v>0.0</v>
      </c>
      <c r="K977" s="5" t="b">
        <v>0</v>
      </c>
      <c r="L977" s="5" t="b">
        <v>1</v>
      </c>
    </row>
    <row r="978">
      <c r="A978" s="14" t="str">
        <f t="shared" si="1"/>
        <v/>
      </c>
      <c r="B978" s="15" t="str">
        <f>IF($C978="","",IF(ROW()=7,Input!$C$3,C977))</f>
        <v/>
      </c>
      <c r="C978" s="6"/>
      <c r="D978" s="6"/>
      <c r="E978" s="10"/>
      <c r="G978" s="6"/>
      <c r="H978" s="6"/>
      <c r="I978" s="10">
        <v>0.0</v>
      </c>
      <c r="J978" s="10">
        <v>0.0</v>
      </c>
      <c r="K978" s="5" t="b">
        <v>0</v>
      </c>
      <c r="L978" s="5" t="b">
        <v>1</v>
      </c>
    </row>
    <row r="979">
      <c r="A979" s="14" t="str">
        <f t="shared" si="1"/>
        <v/>
      </c>
      <c r="B979" s="15" t="str">
        <f>IF($C979="","",IF(ROW()=7,Input!$C$3,C978))</f>
        <v/>
      </c>
      <c r="C979" s="6"/>
      <c r="D979" s="6"/>
      <c r="E979" s="10"/>
      <c r="G979" s="6"/>
      <c r="H979" s="6"/>
      <c r="I979" s="10">
        <v>0.0</v>
      </c>
      <c r="J979" s="10">
        <v>0.0</v>
      </c>
      <c r="K979" s="5" t="b">
        <v>0</v>
      </c>
      <c r="L979" s="5" t="b">
        <v>1</v>
      </c>
    </row>
    <row r="980">
      <c r="A980" s="14" t="str">
        <f t="shared" si="1"/>
        <v/>
      </c>
      <c r="B980" s="15" t="str">
        <f>IF($C980="","",IF(ROW()=7,Input!$C$3,C979))</f>
        <v/>
      </c>
      <c r="C980" s="6"/>
      <c r="D980" s="6"/>
      <c r="E980" s="10"/>
      <c r="G980" s="6"/>
      <c r="H980" s="6"/>
      <c r="I980" s="10">
        <v>0.0</v>
      </c>
      <c r="J980" s="10">
        <v>0.0</v>
      </c>
      <c r="K980" s="5" t="b">
        <v>0</v>
      </c>
      <c r="L980" s="5" t="b">
        <v>1</v>
      </c>
    </row>
    <row r="981">
      <c r="A981" s="14" t="str">
        <f t="shared" si="1"/>
        <v/>
      </c>
      <c r="B981" s="15" t="str">
        <f>IF($C981="","",IF(ROW()=7,Input!$C$3,C980))</f>
        <v/>
      </c>
      <c r="C981" s="6"/>
      <c r="D981" s="6"/>
      <c r="E981" s="10"/>
      <c r="G981" s="6"/>
      <c r="H981" s="6"/>
      <c r="I981" s="10">
        <v>0.0</v>
      </c>
      <c r="J981" s="10">
        <v>0.0</v>
      </c>
      <c r="K981" s="5" t="b">
        <v>0</v>
      </c>
      <c r="L981" s="5" t="b">
        <v>1</v>
      </c>
    </row>
    <row r="982">
      <c r="A982" s="14" t="str">
        <f t="shared" si="1"/>
        <v/>
      </c>
      <c r="B982" s="15" t="str">
        <f>IF($C982="","",IF(ROW()=7,Input!$C$3,C981))</f>
        <v/>
      </c>
      <c r="C982" s="6"/>
      <c r="D982" s="6"/>
      <c r="E982" s="10"/>
      <c r="G982" s="6"/>
      <c r="H982" s="6"/>
      <c r="I982" s="10">
        <v>0.0</v>
      </c>
      <c r="J982" s="10">
        <v>0.0</v>
      </c>
      <c r="K982" s="5" t="b">
        <v>0</v>
      </c>
      <c r="L982" s="5" t="b">
        <v>1</v>
      </c>
    </row>
    <row r="983">
      <c r="A983" s="14" t="str">
        <f t="shared" si="1"/>
        <v/>
      </c>
      <c r="B983" s="15" t="str">
        <f>IF($C983="","",IF(ROW()=7,Input!$C$3,C982))</f>
        <v/>
      </c>
      <c r="C983" s="6"/>
      <c r="D983" s="6"/>
      <c r="E983" s="10"/>
      <c r="G983" s="6"/>
      <c r="H983" s="6"/>
      <c r="I983" s="10">
        <v>0.0</v>
      </c>
      <c r="J983" s="10">
        <v>0.0</v>
      </c>
      <c r="K983" s="5" t="b">
        <v>0</v>
      </c>
      <c r="L983" s="5" t="b">
        <v>1</v>
      </c>
    </row>
    <row r="984">
      <c r="A984" s="14" t="str">
        <f t="shared" si="1"/>
        <v/>
      </c>
      <c r="B984" s="15" t="str">
        <f>IF($C984="","",IF(ROW()=7,Input!$C$3,C983))</f>
        <v/>
      </c>
      <c r="C984" s="6"/>
      <c r="D984" s="6"/>
      <c r="E984" s="10"/>
      <c r="G984" s="6"/>
      <c r="H984" s="6"/>
      <c r="I984" s="10">
        <v>0.0</v>
      </c>
      <c r="J984" s="10">
        <v>0.0</v>
      </c>
      <c r="K984" s="5" t="b">
        <v>0</v>
      </c>
      <c r="L984" s="5" t="b">
        <v>1</v>
      </c>
    </row>
    <row r="985">
      <c r="A985" s="14" t="str">
        <f t="shared" si="1"/>
        <v/>
      </c>
      <c r="B985" s="15" t="str">
        <f>IF($C985="","",IF(ROW()=7,Input!$C$3,C984))</f>
        <v/>
      </c>
      <c r="C985" s="6"/>
      <c r="D985" s="6"/>
      <c r="E985" s="10"/>
      <c r="G985" s="6"/>
      <c r="H985" s="6"/>
      <c r="I985" s="10">
        <v>0.0</v>
      </c>
      <c r="J985" s="10">
        <v>0.0</v>
      </c>
      <c r="K985" s="5" t="b">
        <v>0</v>
      </c>
      <c r="L985" s="5" t="b">
        <v>1</v>
      </c>
    </row>
    <row r="986">
      <c r="A986" s="14" t="str">
        <f t="shared" si="1"/>
        <v/>
      </c>
      <c r="B986" s="15" t="str">
        <f>IF($C986="","",IF(ROW()=7,Input!$C$3,C985))</f>
        <v/>
      </c>
      <c r="C986" s="6"/>
      <c r="D986" s="6"/>
      <c r="E986" s="10"/>
      <c r="G986" s="6"/>
      <c r="H986" s="6"/>
      <c r="I986" s="10">
        <v>0.0</v>
      </c>
      <c r="J986" s="10">
        <v>0.0</v>
      </c>
      <c r="K986" s="5" t="b">
        <v>0</v>
      </c>
      <c r="L986" s="5" t="b">
        <v>1</v>
      </c>
    </row>
    <row r="987">
      <c r="A987" s="14" t="str">
        <f t="shared" si="1"/>
        <v/>
      </c>
      <c r="B987" s="15" t="str">
        <f>IF($C987="","",IF(ROW()=7,Input!$C$3,C986))</f>
        <v/>
      </c>
      <c r="C987" s="6"/>
      <c r="D987" s="6"/>
      <c r="E987" s="10"/>
      <c r="G987" s="6"/>
      <c r="H987" s="6"/>
      <c r="I987" s="10">
        <v>0.0</v>
      </c>
      <c r="J987" s="10">
        <v>0.0</v>
      </c>
      <c r="K987" s="5" t="b">
        <v>0</v>
      </c>
      <c r="L987" s="5" t="b">
        <v>1</v>
      </c>
    </row>
    <row r="988">
      <c r="A988" s="14" t="str">
        <f t="shared" si="1"/>
        <v/>
      </c>
      <c r="B988" s="15" t="str">
        <f>IF($C988="","",IF(ROW()=7,Input!$C$3,C987))</f>
        <v/>
      </c>
      <c r="C988" s="6"/>
      <c r="D988" s="6"/>
      <c r="E988" s="10"/>
      <c r="G988" s="6"/>
      <c r="H988" s="6"/>
      <c r="I988" s="10">
        <v>0.0</v>
      </c>
      <c r="J988" s="10">
        <v>0.0</v>
      </c>
      <c r="K988" s="5" t="b">
        <v>0</v>
      </c>
      <c r="L988" s="5" t="b">
        <v>1</v>
      </c>
    </row>
    <row r="989">
      <c r="A989" s="14" t="str">
        <f t="shared" si="1"/>
        <v/>
      </c>
      <c r="B989" s="15" t="str">
        <f>IF($C989="","",IF(ROW()=7,Input!$C$3,C988))</f>
        <v/>
      </c>
      <c r="C989" s="6"/>
      <c r="D989" s="6"/>
      <c r="E989" s="10"/>
      <c r="G989" s="6"/>
      <c r="H989" s="6"/>
      <c r="I989" s="10">
        <v>0.0</v>
      </c>
      <c r="J989" s="10">
        <v>0.0</v>
      </c>
      <c r="K989" s="5" t="b">
        <v>0</v>
      </c>
      <c r="L989" s="5" t="b">
        <v>1</v>
      </c>
    </row>
    <row r="990">
      <c r="A990" s="14" t="str">
        <f t="shared" si="1"/>
        <v/>
      </c>
      <c r="B990" s="15" t="str">
        <f>IF($C990="","",IF(ROW()=7,Input!$C$3,C989))</f>
        <v/>
      </c>
      <c r="C990" s="6"/>
      <c r="D990" s="6"/>
      <c r="E990" s="10"/>
      <c r="G990" s="6"/>
      <c r="H990" s="6"/>
      <c r="I990" s="10">
        <v>0.0</v>
      </c>
      <c r="J990" s="10">
        <v>0.0</v>
      </c>
      <c r="K990" s="5" t="b">
        <v>0</v>
      </c>
      <c r="L990" s="5" t="b">
        <v>1</v>
      </c>
    </row>
    <row r="991">
      <c r="A991" s="14" t="str">
        <f t="shared" si="1"/>
        <v/>
      </c>
      <c r="B991" s="15" t="str">
        <f>IF($C991="","",IF(ROW()=7,Input!$C$3,C990))</f>
        <v/>
      </c>
      <c r="C991" s="6"/>
      <c r="D991" s="6"/>
      <c r="E991" s="10"/>
      <c r="G991" s="6"/>
      <c r="H991" s="6"/>
      <c r="I991" s="10">
        <v>0.0</v>
      </c>
      <c r="J991" s="10">
        <v>0.0</v>
      </c>
      <c r="K991" s="5" t="b">
        <v>0</v>
      </c>
      <c r="L991" s="5" t="b">
        <v>1</v>
      </c>
    </row>
    <row r="992">
      <c r="A992" s="14" t="str">
        <f t="shared" si="1"/>
        <v/>
      </c>
      <c r="B992" s="15" t="str">
        <f>IF($C992="","",IF(ROW()=7,Input!$C$3,C991))</f>
        <v/>
      </c>
      <c r="C992" s="6"/>
      <c r="D992" s="6"/>
      <c r="E992" s="10"/>
      <c r="G992" s="6"/>
      <c r="H992" s="6"/>
      <c r="I992" s="10">
        <v>0.0</v>
      </c>
      <c r="J992" s="10">
        <v>0.0</v>
      </c>
      <c r="K992" s="5" t="b">
        <v>0</v>
      </c>
      <c r="L992" s="5" t="b">
        <v>1</v>
      </c>
    </row>
    <row r="993">
      <c r="A993" s="14" t="str">
        <f t="shared" si="1"/>
        <v/>
      </c>
      <c r="B993" s="15" t="str">
        <f>IF($C993="","",IF(ROW()=7,Input!$C$3,C992))</f>
        <v/>
      </c>
      <c r="C993" s="6"/>
      <c r="D993" s="6"/>
      <c r="E993" s="10"/>
      <c r="G993" s="6"/>
      <c r="H993" s="6"/>
      <c r="I993" s="10">
        <v>0.0</v>
      </c>
      <c r="J993" s="10">
        <v>0.0</v>
      </c>
      <c r="K993" s="5" t="b">
        <v>0</v>
      </c>
      <c r="L993" s="5" t="b">
        <v>1</v>
      </c>
    </row>
    <row r="994">
      <c r="A994" s="14" t="str">
        <f t="shared" si="1"/>
        <v/>
      </c>
      <c r="B994" s="15" t="str">
        <f>IF($C994="","",IF(ROW()=7,Input!$C$3,C993))</f>
        <v/>
      </c>
      <c r="C994" s="6"/>
      <c r="D994" s="6"/>
      <c r="E994" s="10"/>
      <c r="G994" s="6"/>
      <c r="H994" s="6"/>
      <c r="I994" s="10">
        <v>0.0</v>
      </c>
      <c r="J994" s="10">
        <v>0.0</v>
      </c>
      <c r="K994" s="5" t="b">
        <v>0</v>
      </c>
      <c r="L994" s="5" t="b">
        <v>1</v>
      </c>
    </row>
    <row r="995">
      <c r="A995" s="14" t="str">
        <f t="shared" si="1"/>
        <v/>
      </c>
      <c r="B995" s="15" t="str">
        <f>IF($C995="","",IF(ROW()=7,Input!$C$3,C994))</f>
        <v/>
      </c>
      <c r="C995" s="6"/>
      <c r="D995" s="6"/>
      <c r="E995" s="10"/>
      <c r="G995" s="6"/>
      <c r="H995" s="6"/>
      <c r="I995" s="10">
        <v>0.0</v>
      </c>
      <c r="J995" s="10">
        <v>0.0</v>
      </c>
      <c r="K995" s="5" t="b">
        <v>0</v>
      </c>
      <c r="L995" s="5" t="b">
        <v>1</v>
      </c>
    </row>
    <row r="996">
      <c r="A996" s="14" t="str">
        <f t="shared" si="1"/>
        <v/>
      </c>
      <c r="B996" s="15" t="str">
        <f>IF($C996="","",IF(ROW()=7,Input!$C$3,C995))</f>
        <v/>
      </c>
      <c r="C996" s="6"/>
      <c r="D996" s="6"/>
      <c r="E996" s="10"/>
      <c r="G996" s="6"/>
      <c r="H996" s="6"/>
      <c r="I996" s="10">
        <v>0.0</v>
      </c>
      <c r="J996" s="10">
        <v>0.0</v>
      </c>
      <c r="K996" s="5" t="b">
        <v>0</v>
      </c>
      <c r="L996" s="5" t="b">
        <v>1</v>
      </c>
    </row>
    <row r="997">
      <c r="A997" s="14" t="str">
        <f t="shared" si="1"/>
        <v/>
      </c>
      <c r="B997" s="15" t="str">
        <f>IF($C997="","",IF(ROW()=7,Input!$C$3,C996))</f>
        <v/>
      </c>
      <c r="C997" s="6"/>
      <c r="D997" s="6"/>
      <c r="E997" s="10"/>
      <c r="G997" s="6"/>
      <c r="H997" s="6"/>
      <c r="I997" s="10">
        <v>0.0</v>
      </c>
      <c r="J997" s="10">
        <v>0.0</v>
      </c>
      <c r="K997" s="5" t="b">
        <v>0</v>
      </c>
      <c r="L997" s="5" t="b">
        <v>1</v>
      </c>
    </row>
    <row r="998">
      <c r="A998" s="14" t="str">
        <f t="shared" si="1"/>
        <v/>
      </c>
      <c r="B998" s="15" t="str">
        <f>IF($C998="","",IF(ROW()=7,Input!$C$3,C997))</f>
        <v/>
      </c>
      <c r="C998" s="6"/>
      <c r="D998" s="6"/>
      <c r="E998" s="10"/>
      <c r="G998" s="6"/>
      <c r="H998" s="6"/>
      <c r="I998" s="10">
        <v>0.0</v>
      </c>
      <c r="J998" s="10">
        <v>0.0</v>
      </c>
      <c r="K998" s="5" t="b">
        <v>0</v>
      </c>
      <c r="L998" s="5" t="b">
        <v>1</v>
      </c>
    </row>
    <row r="999">
      <c r="A999" s="14" t="str">
        <f t="shared" si="1"/>
        <v/>
      </c>
      <c r="B999" s="15" t="str">
        <f>IF($C999="","",IF(ROW()=7,Input!$C$3,C998))</f>
        <v/>
      </c>
      <c r="C999" s="6"/>
      <c r="D999" s="6"/>
      <c r="E999" s="10"/>
      <c r="G999" s="6"/>
      <c r="H999" s="6"/>
      <c r="I999" s="10">
        <v>0.0</v>
      </c>
      <c r="J999" s="10">
        <v>0.0</v>
      </c>
      <c r="K999" s="5" t="b">
        <v>0</v>
      </c>
      <c r="L999" s="5" t="b">
        <v>1</v>
      </c>
    </row>
    <row r="1000">
      <c r="A1000" s="14" t="str">
        <f t="shared" si="1"/>
        <v/>
      </c>
      <c r="B1000" s="15" t="str">
        <f>IF($C1000="","",IF(ROW()=7,Input!$C$3,C999))</f>
        <v/>
      </c>
      <c r="C1000" s="6"/>
      <c r="D1000" s="6"/>
      <c r="E1000" s="10"/>
      <c r="G1000" s="6"/>
      <c r="H1000" s="6"/>
      <c r="I1000" s="10">
        <v>0.0</v>
      </c>
      <c r="J1000" s="10">
        <v>0.0</v>
      </c>
      <c r="K1000" s="5" t="b">
        <v>0</v>
      </c>
      <c r="L1000" s="5" t="b">
        <v>1</v>
      </c>
    </row>
    <row r="1001">
      <c r="A1001" s="14" t="str">
        <f t="shared" si="1"/>
        <v/>
      </c>
      <c r="B1001" s="15" t="str">
        <f>IF($C1001="","",IF(ROW()=7,Input!$C$3,C1000))</f>
        <v/>
      </c>
      <c r="C1001" s="6"/>
      <c r="D1001" s="6"/>
      <c r="E1001" s="10"/>
      <c r="G1001" s="6"/>
      <c r="H1001" s="6"/>
      <c r="I1001" s="10">
        <v>0.0</v>
      </c>
      <c r="J1001" s="10">
        <v>0.0</v>
      </c>
      <c r="K1001" s="5" t="b">
        <v>0</v>
      </c>
      <c r="L1001" s="5" t="b">
        <v>1</v>
      </c>
    </row>
    <row r="1002">
      <c r="A1002" s="14" t="str">
        <f t="shared" si="1"/>
        <v/>
      </c>
      <c r="B1002" s="15" t="str">
        <f>IF($C1002="","",IF(ROW()=7,Input!$C$3,C1001))</f>
        <v/>
      </c>
      <c r="C1002" s="6"/>
      <c r="D1002" s="6"/>
      <c r="E1002" s="10"/>
      <c r="G1002" s="6"/>
      <c r="H1002" s="6"/>
      <c r="I1002" s="10">
        <v>0.0</v>
      </c>
      <c r="J1002" s="10">
        <v>0.0</v>
      </c>
      <c r="K1002" s="5" t="b">
        <v>0</v>
      </c>
      <c r="L1002" s="5" t="b">
        <v>1</v>
      </c>
    </row>
    <row r="1003">
      <c r="A1003" s="14" t="str">
        <f t="shared" si="1"/>
        <v/>
      </c>
      <c r="B1003" s="15" t="str">
        <f>IF($C1003="","",IF(ROW()=7,Input!$C$3,C1002))</f>
        <v/>
      </c>
      <c r="C1003" s="6"/>
      <c r="D1003" s="6"/>
      <c r="E1003" s="10"/>
      <c r="G1003" s="6"/>
      <c r="H1003" s="6"/>
      <c r="I1003" s="10">
        <v>0.0</v>
      </c>
      <c r="J1003" s="10">
        <v>0.0</v>
      </c>
      <c r="K1003" s="5" t="b">
        <v>0</v>
      </c>
      <c r="L1003" s="5" t="b">
        <v>1</v>
      </c>
    </row>
    <row r="1004">
      <c r="A1004" s="14" t="str">
        <f t="shared" si="1"/>
        <v/>
      </c>
      <c r="B1004" s="15" t="str">
        <f>IF($C1004="","",IF(ROW()=7,Input!$C$3,C1003))</f>
        <v/>
      </c>
      <c r="C1004" s="6"/>
      <c r="D1004" s="6"/>
      <c r="E1004" s="10"/>
      <c r="G1004" s="6"/>
      <c r="H1004" s="6"/>
      <c r="I1004" s="10">
        <v>0.0</v>
      </c>
      <c r="J1004" s="10">
        <v>0.0</v>
      </c>
      <c r="K1004" s="5" t="b">
        <v>0</v>
      </c>
      <c r="L1004" s="5" t="b">
        <v>1</v>
      </c>
    </row>
    <row r="1005">
      <c r="A1005" s="14" t="str">
        <f t="shared" si="1"/>
        <v/>
      </c>
      <c r="B1005" s="15" t="str">
        <f>IF($C1005="","",IF(ROW()=7,Input!$C$3,C1004))</f>
        <v/>
      </c>
      <c r="C1005" s="6"/>
      <c r="D1005" s="6"/>
      <c r="E1005" s="10"/>
      <c r="G1005" s="6"/>
      <c r="H1005" s="6"/>
      <c r="I1005" s="10">
        <v>0.0</v>
      </c>
      <c r="J1005" s="10">
        <v>0.0</v>
      </c>
      <c r="K1005" s="5" t="b">
        <v>0</v>
      </c>
      <c r="L1005" s="5" t="b">
        <v>1</v>
      </c>
    </row>
    <row r="1006">
      <c r="A1006" s="14" t="str">
        <f t="shared" si="1"/>
        <v/>
      </c>
      <c r="B1006" s="15" t="str">
        <f>IF($C1006="","",IF(ROW()=7,Input!$C$3,C1005))</f>
        <v/>
      </c>
      <c r="C1006" s="6"/>
      <c r="D1006" s="6"/>
      <c r="E1006" s="10"/>
      <c r="G1006" s="6"/>
      <c r="H1006" s="6"/>
      <c r="I1006" s="10">
        <v>0.0</v>
      </c>
      <c r="J1006" s="10">
        <v>0.0</v>
      </c>
      <c r="K1006" s="5" t="b">
        <v>0</v>
      </c>
      <c r="L1006" s="5" t="b">
        <v>1</v>
      </c>
    </row>
    <row r="1007">
      <c r="A1007" s="14" t="str">
        <f t="shared" si="1"/>
        <v/>
      </c>
      <c r="B1007" s="15" t="str">
        <f>IF($C1007="","",IF(ROW()=7,Input!$C$3,C1006))</f>
        <v/>
      </c>
      <c r="C1007" s="6"/>
      <c r="D1007" s="6"/>
      <c r="E1007" s="10"/>
      <c r="G1007" s="6"/>
      <c r="H1007" s="6"/>
      <c r="I1007" s="10">
        <v>0.0</v>
      </c>
      <c r="J1007" s="10">
        <v>0.0</v>
      </c>
      <c r="K1007" s="5" t="b">
        <v>0</v>
      </c>
      <c r="L1007" s="5" t="b">
        <v>1</v>
      </c>
    </row>
    <row r="1008">
      <c r="A1008" s="14" t="str">
        <f t="shared" si="1"/>
        <v/>
      </c>
      <c r="B1008" s="15" t="str">
        <f>IF($C1008="","",IF(ROW()=7,Input!$C$3,C1007))</f>
        <v/>
      </c>
      <c r="C1008" s="6"/>
      <c r="D1008" s="6"/>
      <c r="E1008" s="10"/>
      <c r="G1008" s="6"/>
      <c r="H1008" s="6"/>
      <c r="I1008" s="10">
        <v>0.0</v>
      </c>
      <c r="J1008" s="10">
        <v>0.0</v>
      </c>
      <c r="K1008" s="5" t="b">
        <v>0</v>
      </c>
      <c r="L1008" s="5" t="b">
        <v>1</v>
      </c>
    </row>
  </sheetData>
  <dataValidations>
    <dataValidation type="list" allowBlank="1" showErrorMessage="1" sqref="E7:E1008">
      <formula1>"Initial Principal,Running Sum"</formula1>
    </dataValidation>
    <dataValidation type="list" allowBlank="1" showErrorMessage="1" sqref="H7:H1008">
      <formula1>"Annual,Semi-annual,Quarterly,Monthly,Daily"</formula1>
    </dataValidation>
    <dataValidation type="list" allowBlank="1" showErrorMessage="1" sqref="G7:G1008">
      <formula1>"Per annum,Per month,Per quarter,Per day"</formula1>
    </dataValidation>
    <dataValidation type="list" allowBlank="1" showErrorMessage="1" sqref="C4">
      <formula1>"Actual/365 Fixed,Anniversary/365,Actual/Actual"</formula1>
    </dataValidation>
    <dataValidation type="list" allowBlank="1" showErrorMessage="1" sqref="D7:D1008">
      <formula1>"Simple,Compound"</formula1>
    </dataValidation>
    <dataValidation type="custom" allowBlank="1" showDropDown="1" sqref="C3 C7:C1008">
      <formula1>OR(NOT(ISERROR(DATEVALUE(C3))), AND(ISNUMBER(C3), LEFT(CELL("format", C3))="D"))</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0.13"/>
    <col customWidth="1" min="4" max="4" width="8.38"/>
    <col customWidth="1" min="5" max="6" width="9.13"/>
    <col customWidth="1" min="7" max="7" width="12.88"/>
    <col customWidth="1" min="8" max="8" width="9.25"/>
    <col customWidth="1" min="9" max="9" width="13.88"/>
    <col customWidth="1" min="10" max="10" width="12.0"/>
    <col customWidth="1" min="11" max="11" width="16.63"/>
    <col customWidth="1" min="12" max="12" width="22.13"/>
    <col customWidth="1" min="13" max="13" width="20.25"/>
    <col customWidth="1" min="14" max="14" width="15.63"/>
    <col customWidth="1" min="15" max="15" width="12.88"/>
    <col customWidth="1" min="16" max="16" width="13.88"/>
    <col customWidth="1" min="17" max="17" width="18.38"/>
    <col customWidth="1" min="19" max="19" width="20.25"/>
  </cols>
  <sheetData>
    <row r="1">
      <c r="A1" s="17" t="s">
        <v>42</v>
      </c>
      <c r="B1" s="7" t="s">
        <v>43</v>
      </c>
      <c r="C1" s="7" t="s">
        <v>44</v>
      </c>
      <c r="D1" s="7" t="s">
        <v>45</v>
      </c>
      <c r="E1" s="7" t="s">
        <v>46</v>
      </c>
      <c r="F1" s="7" t="s">
        <v>47</v>
      </c>
      <c r="G1" s="7" t="s">
        <v>48</v>
      </c>
      <c r="H1" s="7" t="s">
        <v>49</v>
      </c>
      <c r="I1" s="7" t="s">
        <v>50</v>
      </c>
      <c r="J1" s="7" t="s">
        <v>51</v>
      </c>
      <c r="K1" s="7" t="s">
        <v>31</v>
      </c>
      <c r="L1" s="7" t="s">
        <v>52</v>
      </c>
      <c r="M1" s="7" t="s">
        <v>53</v>
      </c>
      <c r="N1" s="7" t="s">
        <v>54</v>
      </c>
      <c r="O1" s="7" t="s">
        <v>55</v>
      </c>
      <c r="P1" s="7" t="s">
        <v>56</v>
      </c>
      <c r="Q1" s="7" t="s">
        <v>57</v>
      </c>
      <c r="R1" s="7" t="s">
        <v>58</v>
      </c>
      <c r="S1" s="7" t="s">
        <v>59</v>
      </c>
      <c r="T1" s="7" t="s">
        <v>60</v>
      </c>
      <c r="U1" s="7" t="s">
        <v>61</v>
      </c>
      <c r="V1" s="17"/>
      <c r="W1" s="17"/>
      <c r="X1" s="17"/>
      <c r="Y1" s="17"/>
      <c r="Z1" s="17"/>
      <c r="AA1" s="17"/>
      <c r="AB1" s="17"/>
      <c r="AC1" s="17"/>
      <c r="AD1" s="17"/>
    </row>
    <row r="2">
      <c r="A2" s="18">
        <f t="array" ref="A2:A1003">IF(Input!A7:A1503="",,Input!A7:A1503)</f>
        <v>1</v>
      </c>
      <c r="B2" s="19">
        <f t="array" ref="B2:B1003">IF(Input!B7:B1503="",,Input!B7:B1503)</f>
        <v>42237</v>
      </c>
      <c r="C2" s="19">
        <f t="array" ref="C2:C1003">IF(Input!C7:C1503="",,Input!C7:C1503)</f>
        <v>44428</v>
      </c>
      <c r="D2" s="20">
        <f t="array" ref="D2:D1503">IF(B2:B1503="",,
 (C2:C1503 - B2:B1503)
 + IF(Input!K7:K1503,1,0)
 + IF(Input!L7:L1503,1,0)
 - 1
)</f>
        <v>2192</v>
      </c>
      <c r="E2" s="18" t="str">
        <f t="array" ref="E2:E1003">IF(Input!D7:D1503="",,Input!D7:D1503)</f>
        <v>Simple</v>
      </c>
      <c r="F2" s="18" t="str">
        <f t="array" ref="F2:F1003">IF(Input!G7:G1503="",,Input!G7:G1503)</f>
        <v>Per annum</v>
      </c>
      <c r="G2" s="21">
        <f t="array" ref="G2:G1003">IF(Input!F7:F1503="",,Input!F7:F1503)</f>
        <v>0.05</v>
      </c>
      <c r="H2" s="18" t="str">
        <f t="array" ref="H2:H1003">IF(Input!H7:H1503="",,Input!H7:H1503)</f>
        <v>Annual</v>
      </c>
      <c r="I2" s="18">
        <f t="array" ref="I2:I1003">IF(Input!I7:I1503="",,Input!I7:I1503)</f>
        <v>0</v>
      </c>
      <c r="J2" s="18">
        <f t="array" ref="J2:J1003">IF(Input!J7:J1503="",,Input!J7:J1503)</f>
        <v>0</v>
      </c>
      <c r="K2" s="18" t="str">
        <f t="array" ref="K2:K1003">IF(Input!E7:E1503="",,Input!E7:E1503)</f>
        <v>Initial Principal</v>
      </c>
      <c r="L2" s="22">
        <f t="array" ref="L2:L1503">IF(E2:E1503="",
 ,
 SWITCH(F2:F1503,
   "Per annum",  G2:G1503,
   "Per month",  G2:G1503*12,
   "Per quarter",G2:G1503*4,
   "Per day",    G2:G1503*365,
   G2:G1503
 )
)</f>
        <v>0.05</v>
      </c>
      <c r="M2" s="22">
        <f t="shared" ref="M2:M1000" si="1">IF(
  E2="",
  ,
  IF(
    E2="Simple",
    L2 * R2,
    LET(
      t, R2,
      m, SWITCH(H2,"Monthly",12,"Quarterly",4,"Semi-annual",2,"Annual",1,1),
      (1 + L2/m)^(m*t) - 1
    )
  )
)</f>
        <v>0.3002739726</v>
      </c>
      <c r="N2" s="23">
        <f>IF(A2="",,IF(ROW()=2, Input!$C$2 + I2, P1 + I2))</f>
        <v>10765000</v>
      </c>
      <c r="O2" s="23">
        <f>IF(A2="",,
 IF(K2="Initial principal",
   Input!$C$2 * M2,
   N2 * M2
 )
)</f>
        <v>3232449.315</v>
      </c>
      <c r="P2" s="23">
        <f t="shared" ref="P2:P1000" si="2">IF(A2="",,N2 + O2 + J2)</f>
        <v>13997449.32</v>
      </c>
      <c r="Q2" s="23">
        <f t="shared" ref="Q2:Q1000" si="3">IF(A2="",,IF(ROW()=2,O2,Q1+O2))</f>
        <v>3232449.315</v>
      </c>
      <c r="R2" s="18">
        <f t="array" ref="R2">IF(
  B2="",
  ,
  SWITCH(
    Input!$C$4,
    "Actual/365 Fixed",
      YEARFRAC(
        B2 + IF(INDEX(Input!$K$7:$K1503,ROW()-1),0,1),
        C2 + IF(INDEX(Input!$L$7:$L1503,ROW()-1),1,0),
        3
      ),
    "Anniversary/365",
      DATEDIF(
        B2 + IF(INDEX(Input!$K$7:$K1503,ROW()-1),0,1),
        C2 + IF(INDEX(Input!$L$7:$L1503,ROW()-1),1,0),
        "Y"
      )
      +
      (
        (C2 + IF(INDEX(Input!$L$7:$L1503,ROW()-1),1,0))
        -
        EDATE(
          B2 + IF(INDEX(Input!$K$7:$K1503,ROW()-1),0,1),
          12*DATEDIF(
            B2 + IF(INDEX(Input!$K$7:$K1503,ROW()-1),0,1),
            C2 + IF(INDEX(Input!$L$7:$L1503,ROW()-1),1,0),
            "Y"
          )
        )
      ) / 365,
    "Actual/Actual",
      YEARFRAC(
        B2 + IF(INDEX(Input!$K$7:$K1503,ROW()-1),0,1),
        C2 + IF(INDEX(Input!$L$7:$L1503,ROW()-1),1,0),
        1
      ),
      YEARFRAC(
        B2 + IF(INDEX(Input!$K$7:$K1503,ROW()-1),0,1),
        C2 + IF(INDEX(Input!$L$7:$L1503,ROW()-1),1,0),
        3
      )
  )
)</f>
        <v>6.005479452</v>
      </c>
      <c r="S2" s="22">
        <f t="shared" ref="S2:S1000" si="4">IF(
  E2="",
  ,
  IF(
    E2="Simple",
    L2,
    (1 + L2 / SWITCH(H2,"Monthly",12,"Quarterly",4,"Semi-annual",2,"Annual",1,1)) ^
      SWITCH(H2,"Monthly",12,"Quarterly",4,"Semi-annual",2,"Annual",1,1)
      - 1
  )
)</f>
        <v>0.05</v>
      </c>
      <c r="T2" s="6">
        <f t="array" ref="T2">IF(
  B2="",
  ,
  DATEDIF(
    B2 + IF(INDEX(Input!$K$7:$K1503,ROW()-1),0,1),
    C2 + IF(INDEX(Input!$L$7:$L1503,ROW()-1),1,0),
    "Y"
  )
)</f>
        <v>6</v>
      </c>
      <c r="U2" s="6">
        <f t="array" ref="U2">IF(
  B2="",
  ,
  (C2 + IF(INDEX(Input!$L$7:$L1503,ROW()-1),1,0))
  - EDATE(
      B2 + IF(INDEX(Input!$K$7:$K1503,ROW()-1),0,1),
      12*T2
    )
)</f>
        <v>0</v>
      </c>
      <c r="V2" s="6">
        <f t="shared" ref="V2:V1503" si="5">IF(
  D2="",
  ,
  R2*365*366 - 365*D2
)</f>
        <v>2192</v>
      </c>
      <c r="W2" s="24">
        <f t="shared" ref="W2:W1503" si="6">IF(
  D2="",
  ,
  D2 - V2
)</f>
        <v>0</v>
      </c>
    </row>
    <row r="3">
      <c r="A3" s="18">
        <v>2.0</v>
      </c>
      <c r="B3" s="19">
        <v>44428.0</v>
      </c>
      <c r="C3" s="19">
        <v>45922.0</v>
      </c>
      <c r="D3" s="20">
        <v>1494.0</v>
      </c>
      <c r="E3" s="18" t="s">
        <v>39</v>
      </c>
      <c r="F3" s="18" t="s">
        <v>40</v>
      </c>
      <c r="G3" s="22">
        <v>0.24</v>
      </c>
      <c r="H3" s="18" t="s">
        <v>41</v>
      </c>
      <c r="I3" s="18">
        <v>0.0</v>
      </c>
      <c r="J3" s="18">
        <v>0.0</v>
      </c>
      <c r="K3" s="18" t="s">
        <v>23</v>
      </c>
      <c r="L3" s="22">
        <v>0.24</v>
      </c>
      <c r="M3" s="22">
        <f t="shared" si="1"/>
        <v>0.9823561644</v>
      </c>
      <c r="N3" s="23">
        <f>IF(A3="",,IF(ROW()=2, Input!$C$2 + I3, P2 + I3))</f>
        <v>13997449.32</v>
      </c>
      <c r="O3" s="23">
        <f>IF(A3="",,
 IF(K3="Initial principal",
   Input!$C$2 * M3,
   N3 * M3
 )
)</f>
        <v>10575064.11</v>
      </c>
      <c r="P3" s="23">
        <f t="shared" si="2"/>
        <v>24572513.42</v>
      </c>
      <c r="Q3" s="23">
        <f t="shared" si="3"/>
        <v>13807513.42</v>
      </c>
      <c r="R3" s="18">
        <f t="array" ref="R3">IF(
  B3="",
  ,
  SWITCH(
    Input!$C$4,
    "Actual/365 Fixed",
      YEARFRAC(
        B3 + IF(INDEX(Input!$K$7:$K1503,ROW()-1),0,1),
        C3 + IF(INDEX(Input!$L$7:$L1503,ROW()-1),1,0),
        3
      ),
    "Anniversary/365",
      DATEDIF(
        B3 + IF(INDEX(Input!$K$7:$K1503,ROW()-1),0,1),
        C3 + IF(INDEX(Input!$L$7:$L1503,ROW()-1),1,0),
        "Y"
      )
      +
      (
        (C3 + IF(INDEX(Input!$L$7:$L1503,ROW()-1),1,0))
        -
        EDATE(
          B3 + IF(INDEX(Input!$K$7:$K1503,ROW()-1),0,1),
          12*DATEDIF(
            B3 + IF(INDEX(Input!$K$7:$K1503,ROW()-1),0,1),
            C3 + IF(INDEX(Input!$L$7:$L1503,ROW()-1),1,0),
            "Y"
          )
        )
      ) / 365,
    "Actual/Actual",
      YEARFRAC(
        B3 + IF(INDEX(Input!$K$7:$K1503,ROW()-1),0,1),
        C3 + IF(INDEX(Input!$L$7:$L1503,ROW()-1),1,0),
        1
      ),
      YEARFRAC(
        B3 + IF(INDEX(Input!$K$7:$K1503,ROW()-1),0,1),
        C3 + IF(INDEX(Input!$L$7:$L1503,ROW()-1),1,0),
        3
      )
  )
)</f>
        <v>4.093150685</v>
      </c>
      <c r="S3" s="22">
        <f t="shared" si="4"/>
        <v>0.24</v>
      </c>
      <c r="T3" s="6">
        <f t="array" ref="T3">IF(
  B3="",
  ,
  DATEDIF(
    B3 + IF(INDEX(Input!$K$7:$K1503,ROW()-1),0,1),
    C3 + IF(INDEX(Input!$L$7:$L1503,ROW()-1),1,0),
    "Y"
  )
)</f>
        <v>4</v>
      </c>
      <c r="U3" s="6">
        <f t="array" ref="U3">IF(
  B3="",
  ,
  (C3 + IF(INDEX(Input!$L$7:$L1503,ROW()-1),1,0))
  - EDATE(
      B3 + IF(INDEX(Input!$K$7:$K1503,ROW()-1),0,1),
      12*T3
    )
)</f>
        <v>33</v>
      </c>
      <c r="V3" s="6">
        <f t="shared" si="5"/>
        <v>1494</v>
      </c>
      <c r="W3" s="24">
        <f t="shared" si="6"/>
        <v>0</v>
      </c>
    </row>
    <row r="4">
      <c r="A4" s="18"/>
      <c r="B4" s="18"/>
      <c r="C4" s="18"/>
      <c r="D4" s="18"/>
      <c r="E4" s="18"/>
      <c r="F4" s="18"/>
      <c r="G4" s="22"/>
      <c r="H4" s="18"/>
      <c r="I4" s="18">
        <v>0.0</v>
      </c>
      <c r="J4" s="18">
        <v>0.0</v>
      </c>
      <c r="K4" s="18"/>
      <c r="L4" s="18"/>
      <c r="M4" s="22" t="str">
        <f t="shared" si="1"/>
        <v/>
      </c>
      <c r="N4" s="18" t="str">
        <f>IF(A4="",,IF(ROW()=2, Input!$C$2 + I4, P3 + I4))</f>
        <v/>
      </c>
      <c r="O4" s="23" t="str">
        <f>IF(A4="",,
 IF(K4="Initial principal",
   Input!$C$2 * M4,
   N4 * M4
 )
)</f>
        <v/>
      </c>
      <c r="P4" s="18" t="str">
        <f t="shared" si="2"/>
        <v/>
      </c>
      <c r="Q4" s="18" t="str">
        <f t="shared" si="3"/>
        <v/>
      </c>
      <c r="R4" s="18" t="str">
        <f t="array" ref="R4">IF(
  B4="",
  ,
  SWITCH(
    Input!$C$4,
    "Actual/365 Fixed",
      YEARFRAC(
        B4 + IF(INDEX(Input!$K$7:$K1503,ROW()-1),0,1),
        C4 + IF(INDEX(Input!$L$7:$L1503,ROW()-1),1,0),
        3
      ),
    "Anniversary/365",
      DATEDIF(
        B4 + IF(INDEX(Input!$K$7:$K1503,ROW()-1),0,1),
        C4 + IF(INDEX(Input!$L$7:$L1503,ROW()-1),1,0),
        "Y"
      )
      +
      (
        (C4 + IF(INDEX(Input!$L$7:$L1503,ROW()-1),1,0))
        -
        EDATE(
          B4 + IF(INDEX(Input!$K$7:$K1503,ROW()-1),0,1),
          12*DATEDIF(
            B4 + IF(INDEX(Input!$K$7:$K1503,ROW()-1),0,1),
            C4 + IF(INDEX(Input!$L$7:$L1503,ROW()-1),1,0),
            "Y"
          )
        )
      ) / 365,
    "Actual/Actual",
      YEARFRAC(
        B4 + IF(INDEX(Input!$K$7:$K1503,ROW()-1),0,1),
        C4 + IF(INDEX(Input!$L$7:$L1503,ROW()-1),1,0),
        1
      ),
      YEARFRAC(
        B4 + IF(INDEX(Input!$K$7:$K1503,ROW()-1),0,1),
        C4 + IF(INDEX(Input!$L$7:$L1503,ROW()-1),1,0),
        3
      )
  )
)</f>
        <v/>
      </c>
      <c r="S4" s="22" t="str">
        <f t="shared" si="4"/>
        <v/>
      </c>
      <c r="T4" s="6" t="str">
        <f t="array" ref="T4">IF(
  B4="",
  ,
  DATEDIF(
    B4 + IF(INDEX(Input!$K$7:$K1503,ROW()-1),0,1),
    C4 + IF(INDEX(Input!$L$7:$L1503,ROW()-1),1,0),
    "Y"
  )
)</f>
        <v/>
      </c>
      <c r="U4" s="6" t="str">
        <f t="array" ref="U4">IF(
  B4="",
  ,
  (C4 + IF(INDEX(Input!$L$7:$L1503,ROW()-1),1,0))
  - EDATE(
      B4 + IF(INDEX(Input!$K$7:$K1503,ROW()-1),0,1),
      12*S4
    )
)</f>
        <v/>
      </c>
      <c r="V4" s="6" t="str">
        <f t="shared" si="5"/>
        <v/>
      </c>
      <c r="W4" s="6" t="str">
        <f t="shared" si="6"/>
        <v/>
      </c>
    </row>
    <row r="5">
      <c r="A5" s="18"/>
      <c r="B5" s="18"/>
      <c r="C5" s="18"/>
      <c r="D5" s="18"/>
      <c r="E5" s="18"/>
      <c r="F5" s="18"/>
      <c r="G5" s="22"/>
      <c r="H5" s="18"/>
      <c r="I5" s="18">
        <v>0.0</v>
      </c>
      <c r="J5" s="18">
        <v>0.0</v>
      </c>
      <c r="K5" s="18"/>
      <c r="L5" s="18"/>
      <c r="M5" s="22" t="str">
        <f t="shared" si="1"/>
        <v/>
      </c>
      <c r="N5" s="18" t="str">
        <f>IF(A5="",,IF(ROW()=2, Input!$C$2 + I5, P4 + I5))</f>
        <v/>
      </c>
      <c r="O5" s="23" t="str">
        <f>IF(A5="",,
 IF(K5="Initial principal",
   Input!$C$2 * M5,
   N5 * M5
 )
)</f>
        <v/>
      </c>
      <c r="P5" s="18" t="str">
        <f t="shared" si="2"/>
        <v/>
      </c>
      <c r="Q5" s="18" t="str">
        <f t="shared" si="3"/>
        <v/>
      </c>
      <c r="R5" s="18" t="str">
        <f t="array" ref="R5">IF(
  B5="",
  ,
  SWITCH(
    Input!$C$4,
    "Actual/365 Fixed",
      YEARFRAC(
        B5 + IF(INDEX(Input!$K$7:$K1503,ROW()-1),0,1),
        C5 + IF(INDEX(Input!$L$7:$L1503,ROW()-1),1,0),
        3
      ),
    "Anniversary/365",
      DATEDIF(
        B5 + IF(INDEX(Input!$K$7:$K1503,ROW()-1),0,1),
        C5 + IF(INDEX(Input!$L$7:$L1503,ROW()-1),1,0),
        "Y"
      )
      +
      (
        (C5 + IF(INDEX(Input!$L$7:$L1503,ROW()-1),1,0))
        -
        EDATE(
          B5 + IF(INDEX(Input!$K$7:$K1503,ROW()-1),0,1),
          12*DATEDIF(
            B5 + IF(INDEX(Input!$K$7:$K1503,ROW()-1),0,1),
            C5 + IF(INDEX(Input!$L$7:$L1503,ROW()-1),1,0),
            "Y"
          )
        )
      ) / 365,
    "Actual/Actual",
      YEARFRAC(
        B5 + IF(INDEX(Input!$K$7:$K1503,ROW()-1),0,1),
        C5 + IF(INDEX(Input!$L$7:$L1503,ROW()-1),1,0),
        1
      ),
      YEARFRAC(
        B5 + IF(INDEX(Input!$K$7:$K1503,ROW()-1),0,1),
        C5 + IF(INDEX(Input!$L$7:$L1503,ROW()-1),1,0),
        3
      )
  )
)</f>
        <v/>
      </c>
      <c r="S5" s="22" t="str">
        <f t="shared" si="4"/>
        <v/>
      </c>
      <c r="T5" s="6" t="str">
        <f t="array" ref="T5">IF(
  B5="",
  ,
  DATEDIF(
    B5 + IF(INDEX(Input!$K$7:$K1503,ROW()-1),0,1),
    C5 + IF(INDEX(Input!$L$7:$L1503,ROW()-1),1,0),
    "Y"
  )
)</f>
        <v/>
      </c>
      <c r="U5" s="6" t="str">
        <f t="array" ref="U5">IF(
  B5="",
  ,
  (C5 + IF(INDEX(Input!$L$7:$L1503,ROW()-1),1,0))
  - EDATE(
      B5 + IF(INDEX(Input!$K$7:$K1503,ROW()-1),0,1),
      12*S5
    )
)</f>
        <v/>
      </c>
      <c r="V5" s="6" t="str">
        <f t="shared" si="5"/>
        <v/>
      </c>
      <c r="W5" s="6" t="str">
        <f t="shared" si="6"/>
        <v/>
      </c>
    </row>
    <row r="6">
      <c r="A6" s="18"/>
      <c r="B6" s="18"/>
      <c r="C6" s="18"/>
      <c r="D6" s="18"/>
      <c r="E6" s="18"/>
      <c r="F6" s="18"/>
      <c r="G6" s="22"/>
      <c r="H6" s="18"/>
      <c r="I6" s="18">
        <v>0.0</v>
      </c>
      <c r="J6" s="18">
        <v>0.0</v>
      </c>
      <c r="K6" s="18"/>
      <c r="L6" s="18"/>
      <c r="M6" s="22" t="str">
        <f t="shared" si="1"/>
        <v/>
      </c>
      <c r="N6" s="18" t="str">
        <f>IF(A6="",,IF(ROW()=2, Input!$C$2 + I6, P5 + I6))</f>
        <v/>
      </c>
      <c r="O6" s="23" t="str">
        <f>IF(A6="",,
 IF(K6="Initial principal",
   Input!$C$2 * M6,
   N6 * M6
 )
)</f>
        <v/>
      </c>
      <c r="P6" s="18" t="str">
        <f t="shared" si="2"/>
        <v/>
      </c>
      <c r="Q6" s="18" t="str">
        <f t="shared" si="3"/>
        <v/>
      </c>
      <c r="R6" s="18" t="str">
        <f t="array" ref="R6">IF(
  B6="",
  ,
  SWITCH(
    Input!$C$4,
    "Actual/365 Fixed",
      YEARFRAC(
        B6 + IF(INDEX(Input!$K$7:$K1503,ROW()-1),0,1),
        C6 + IF(INDEX(Input!$L$7:$L1503,ROW()-1),1,0),
        3
      ),
    "Anniversary/365",
      DATEDIF(
        B6 + IF(INDEX(Input!$K$7:$K1503,ROW()-1),0,1),
        C6 + IF(INDEX(Input!$L$7:$L1503,ROW()-1),1,0),
        "Y"
      )
      +
      (
        (C6 + IF(INDEX(Input!$L$7:$L1503,ROW()-1),1,0))
        -
        EDATE(
          B6 + IF(INDEX(Input!$K$7:$K1503,ROW()-1),0,1),
          12*DATEDIF(
            B6 + IF(INDEX(Input!$K$7:$K1503,ROW()-1),0,1),
            C6 + IF(INDEX(Input!$L$7:$L1503,ROW()-1),1,0),
            "Y"
          )
        )
      ) / 365,
    "Actual/Actual",
      YEARFRAC(
        B6 + IF(INDEX(Input!$K$7:$K1503,ROW()-1),0,1),
        C6 + IF(INDEX(Input!$L$7:$L1503,ROW()-1),1,0),
        1
      ),
      YEARFRAC(
        B6 + IF(INDEX(Input!$K$7:$K1503,ROW()-1),0,1),
        C6 + IF(INDEX(Input!$L$7:$L1503,ROW()-1),1,0),
        3
      )
  )
)</f>
        <v/>
      </c>
      <c r="S6" s="22" t="str">
        <f t="shared" si="4"/>
        <v/>
      </c>
      <c r="T6" s="6" t="str">
        <f t="array" ref="T6">IF(
  B6="",
  ,
  DATEDIF(
    B6 + IF(INDEX(Input!$K$7:$K1503,ROW()-1),0,1),
    C6 + IF(INDEX(Input!$L$7:$L1503,ROW()-1),1,0),
    "Y"
  )
)</f>
        <v/>
      </c>
      <c r="U6" s="6" t="str">
        <f t="array" ref="U6">IF(
  B6="",
  ,
  (C6 + IF(INDEX(Input!$L$7:$L1503,ROW()-1),1,0))
  - EDATE(
      B6 + IF(INDEX(Input!$K$7:$K1503,ROW()-1),0,1),
      12*S6
    )
)</f>
        <v/>
      </c>
      <c r="V6" s="6" t="str">
        <f t="shared" si="5"/>
        <v/>
      </c>
      <c r="W6" s="6" t="str">
        <f t="shared" si="6"/>
        <v/>
      </c>
    </row>
    <row r="7">
      <c r="A7" s="18"/>
      <c r="B7" s="18"/>
      <c r="C7" s="18"/>
      <c r="D7" s="18"/>
      <c r="E7" s="18"/>
      <c r="F7" s="18"/>
      <c r="G7" s="22"/>
      <c r="H7" s="18"/>
      <c r="I7" s="18">
        <v>0.0</v>
      </c>
      <c r="J7" s="18">
        <v>0.0</v>
      </c>
      <c r="K7" s="18"/>
      <c r="L7" s="18"/>
      <c r="M7" s="22" t="str">
        <f t="shared" si="1"/>
        <v/>
      </c>
      <c r="N7" s="18" t="str">
        <f>IF(A7="",,IF(ROW()=2, Input!$C$2 + I7, P6 + I7))</f>
        <v/>
      </c>
      <c r="O7" s="23" t="str">
        <f>IF(A7="",,
 IF(K7="Initial principal",
   Input!$C$2 * M7,
   N7 * M7
 )
)</f>
        <v/>
      </c>
      <c r="P7" s="18" t="str">
        <f t="shared" si="2"/>
        <v/>
      </c>
      <c r="Q7" s="18" t="str">
        <f t="shared" si="3"/>
        <v/>
      </c>
      <c r="R7" s="18" t="str">
        <f t="array" ref="R7">IF(
  B7="",
  ,
  SWITCH(
    Input!$C$4,
    "Actual/365 Fixed",
      YEARFRAC(
        B7 + IF(INDEX(Input!$K$7:$K1503,ROW()-1),0,1),
        C7 + IF(INDEX(Input!$L$7:$L1503,ROW()-1),1,0),
        3
      ),
    "Anniversary/365",
      DATEDIF(
        B7 + IF(INDEX(Input!$K$7:$K1503,ROW()-1),0,1),
        C7 + IF(INDEX(Input!$L$7:$L1503,ROW()-1),1,0),
        "Y"
      )
      +
      (
        (C7 + IF(INDEX(Input!$L$7:$L1503,ROW()-1),1,0))
        -
        EDATE(
          B7 + IF(INDEX(Input!$K$7:$K1503,ROW()-1),0,1),
          12*DATEDIF(
            B7 + IF(INDEX(Input!$K$7:$K1503,ROW()-1),0,1),
            C7 + IF(INDEX(Input!$L$7:$L1503,ROW()-1),1,0),
            "Y"
          )
        )
      ) / 365,
    "Actual/Actual",
      YEARFRAC(
        B7 + IF(INDEX(Input!$K$7:$K1503,ROW()-1),0,1),
        C7 + IF(INDEX(Input!$L$7:$L1503,ROW()-1),1,0),
        1
      ),
      YEARFRAC(
        B7 + IF(INDEX(Input!$K$7:$K1503,ROW()-1),0,1),
        C7 + IF(INDEX(Input!$L$7:$L1503,ROW()-1),1,0),
        3
      )
  )
)</f>
        <v/>
      </c>
      <c r="S7" s="22" t="str">
        <f t="shared" si="4"/>
        <v/>
      </c>
      <c r="T7" s="6" t="str">
        <f t="array" ref="T7">IF(
  B7="",
  ,
  DATEDIF(
    B7 + IF(INDEX(Input!$K$7:$K1503,ROW()-1),0,1),
    C7 + IF(INDEX(Input!$L$7:$L1503,ROW()-1),1,0),
    "Y"
  )
)</f>
        <v/>
      </c>
      <c r="U7" s="6" t="str">
        <f t="array" ref="U7">IF(
  B7="",
  ,
  (C7 + IF(INDEX(Input!$L$7:$L1503,ROW()-1),1,0))
  - EDATE(
      B7 + IF(INDEX(Input!$K$7:$K1503,ROW()-1),0,1),
      12*S7
    )
)</f>
        <v/>
      </c>
      <c r="V7" s="6" t="str">
        <f t="shared" si="5"/>
        <v/>
      </c>
      <c r="W7" s="6" t="str">
        <f t="shared" si="6"/>
        <v/>
      </c>
    </row>
    <row r="8">
      <c r="A8" s="18"/>
      <c r="B8" s="18"/>
      <c r="C8" s="18"/>
      <c r="D8" s="18"/>
      <c r="E8" s="18"/>
      <c r="F8" s="18"/>
      <c r="G8" s="22"/>
      <c r="H8" s="18"/>
      <c r="I8" s="18">
        <v>0.0</v>
      </c>
      <c r="J8" s="18">
        <v>0.0</v>
      </c>
      <c r="K8" s="18"/>
      <c r="L8" s="18"/>
      <c r="M8" s="22" t="str">
        <f t="shared" si="1"/>
        <v/>
      </c>
      <c r="N8" s="18" t="str">
        <f>IF(A8="",,IF(ROW()=2, Input!$C$2 + I8, P7 + I8))</f>
        <v/>
      </c>
      <c r="O8" s="23" t="str">
        <f>IF(A8="",,
 IF(K8="Initial principal",
   Input!$C$2 * M8,
   N8 * M8
 )
)</f>
        <v/>
      </c>
      <c r="P8" s="18" t="str">
        <f t="shared" si="2"/>
        <v/>
      </c>
      <c r="Q8" s="18" t="str">
        <f t="shared" si="3"/>
        <v/>
      </c>
      <c r="R8" s="18" t="str">
        <f t="array" ref="R8">IF(
  B8="",
  ,
  SWITCH(
    Input!$C$4,
    "Actual/365 Fixed",
      YEARFRAC(
        B8 + IF(INDEX(Input!$K$7:$K1503,ROW()-1),0,1),
        C8 + IF(INDEX(Input!$L$7:$L1503,ROW()-1),1,0),
        3
      ),
    "Anniversary/365",
      DATEDIF(
        B8 + IF(INDEX(Input!$K$7:$K1503,ROW()-1),0,1),
        C8 + IF(INDEX(Input!$L$7:$L1503,ROW()-1),1,0),
        "Y"
      )
      +
      (
        (C8 + IF(INDEX(Input!$L$7:$L1503,ROW()-1),1,0))
        -
        EDATE(
          B8 + IF(INDEX(Input!$K$7:$K1503,ROW()-1),0,1),
          12*DATEDIF(
            B8 + IF(INDEX(Input!$K$7:$K1503,ROW()-1),0,1),
            C8 + IF(INDEX(Input!$L$7:$L1503,ROW()-1),1,0),
            "Y"
          )
        )
      ) / 365,
    "Actual/Actual",
      YEARFRAC(
        B8 + IF(INDEX(Input!$K$7:$K1503,ROW()-1),0,1),
        C8 + IF(INDEX(Input!$L$7:$L1503,ROW()-1),1,0),
        1
      ),
      YEARFRAC(
        B8 + IF(INDEX(Input!$K$7:$K1503,ROW()-1),0,1),
        C8 + IF(INDEX(Input!$L$7:$L1503,ROW()-1),1,0),
        3
      )
  )
)</f>
        <v/>
      </c>
      <c r="S8" s="22" t="str">
        <f t="shared" si="4"/>
        <v/>
      </c>
      <c r="T8" s="6" t="str">
        <f t="array" ref="T8">IF(
  B8="",
  ,
  DATEDIF(
    B8 + IF(INDEX(Input!$K$7:$K1503,ROW()-1),0,1),
    C8 + IF(INDEX(Input!$L$7:$L1503,ROW()-1),1,0),
    "Y"
  )
)</f>
        <v/>
      </c>
      <c r="U8" s="6" t="str">
        <f t="array" ref="U8">IF(
  B8="",
  ,
  (C8 + IF(INDEX(Input!$L$7:$L1503,ROW()-1),1,0))
  - EDATE(
      B8 + IF(INDEX(Input!$K$7:$K1503,ROW()-1),0,1),
      12*S8
    )
)</f>
        <v/>
      </c>
      <c r="V8" s="6" t="str">
        <f t="shared" si="5"/>
        <v/>
      </c>
      <c r="W8" s="6" t="str">
        <f t="shared" si="6"/>
        <v/>
      </c>
    </row>
    <row r="9">
      <c r="A9" s="18"/>
      <c r="B9" s="18"/>
      <c r="C9" s="18"/>
      <c r="D9" s="18"/>
      <c r="E9" s="18"/>
      <c r="F9" s="18"/>
      <c r="G9" s="22"/>
      <c r="H9" s="18"/>
      <c r="I9" s="18">
        <v>0.0</v>
      </c>
      <c r="J9" s="18">
        <v>0.0</v>
      </c>
      <c r="K9" s="18"/>
      <c r="L9" s="18"/>
      <c r="M9" s="22" t="str">
        <f t="shared" si="1"/>
        <v/>
      </c>
      <c r="N9" s="18" t="str">
        <f>IF(A9="",,IF(ROW()=2, Input!$C$2 + I9, P8 + I9))</f>
        <v/>
      </c>
      <c r="O9" s="23" t="str">
        <f>IF(A9="",,
 IF(K9="Initial principal",
   Input!$C$2 * M9,
   N9 * M9
 )
)</f>
        <v/>
      </c>
      <c r="P9" s="18" t="str">
        <f t="shared" si="2"/>
        <v/>
      </c>
      <c r="Q9" s="18" t="str">
        <f t="shared" si="3"/>
        <v/>
      </c>
      <c r="R9" s="18" t="str">
        <f t="array" ref="R9">IF(
  B9="",
  ,
  SWITCH(
    Input!$C$4,
    "Actual/365 Fixed",
      YEARFRAC(
        B9 + IF(INDEX(Input!$K$7:$K1503,ROW()-1),0,1),
        C9 + IF(INDEX(Input!$L$7:$L1503,ROW()-1),1,0),
        3
      ),
    "Anniversary/365",
      DATEDIF(
        B9 + IF(INDEX(Input!$K$7:$K1503,ROW()-1),0,1),
        C9 + IF(INDEX(Input!$L$7:$L1503,ROW()-1),1,0),
        "Y"
      )
      +
      (
        (C9 + IF(INDEX(Input!$L$7:$L1503,ROW()-1),1,0))
        -
        EDATE(
          B9 + IF(INDEX(Input!$K$7:$K1503,ROW()-1),0,1),
          12*DATEDIF(
            B9 + IF(INDEX(Input!$K$7:$K1503,ROW()-1),0,1),
            C9 + IF(INDEX(Input!$L$7:$L1503,ROW()-1),1,0),
            "Y"
          )
        )
      ) / 365,
    "Actual/Actual",
      YEARFRAC(
        B9 + IF(INDEX(Input!$K$7:$K1503,ROW()-1),0,1),
        C9 + IF(INDEX(Input!$L$7:$L1503,ROW()-1),1,0),
        1
      ),
      YEARFRAC(
        B9 + IF(INDEX(Input!$K$7:$K1503,ROW()-1),0,1),
        C9 + IF(INDEX(Input!$L$7:$L1503,ROW()-1),1,0),
        3
      )
  )
)</f>
        <v/>
      </c>
      <c r="S9" s="22" t="str">
        <f t="shared" si="4"/>
        <v/>
      </c>
      <c r="T9" s="6" t="str">
        <f t="array" ref="T9">IF(
  B9="",
  ,
  DATEDIF(
    B9 + IF(INDEX(Input!$K$7:$K1503,ROW()-1),0,1),
    C9 + IF(INDEX(Input!$L$7:$L1503,ROW()-1),1,0),
    "Y"
  )
)</f>
        <v/>
      </c>
      <c r="U9" s="6" t="str">
        <f t="array" ref="U9">IF(
  B9="",
  ,
  (C9 + IF(INDEX(Input!$L$7:$L1503,ROW()-1),1,0))
  - EDATE(
      B9 + IF(INDEX(Input!$K$7:$K1503,ROW()-1),0,1),
      12*S9
    )
)</f>
        <v/>
      </c>
      <c r="V9" s="6" t="str">
        <f t="shared" si="5"/>
        <v/>
      </c>
      <c r="W9" s="6" t="str">
        <f t="shared" si="6"/>
        <v/>
      </c>
    </row>
    <row r="10">
      <c r="A10" s="18"/>
      <c r="B10" s="18"/>
      <c r="C10" s="18"/>
      <c r="D10" s="18"/>
      <c r="E10" s="18"/>
      <c r="F10" s="18"/>
      <c r="G10" s="22"/>
      <c r="H10" s="18"/>
      <c r="I10" s="18">
        <v>0.0</v>
      </c>
      <c r="J10" s="18">
        <v>0.0</v>
      </c>
      <c r="K10" s="18"/>
      <c r="L10" s="18"/>
      <c r="M10" s="22" t="str">
        <f t="shared" si="1"/>
        <v/>
      </c>
      <c r="N10" s="18" t="str">
        <f>IF(A10="",,IF(ROW()=2, Input!$C$2 + I10, P9 + I10))</f>
        <v/>
      </c>
      <c r="O10" s="23" t="str">
        <f>IF(A10="",,
 IF(K10="Initial principal",
   Input!$C$2 * M10,
   N10 * M10
 )
)</f>
        <v/>
      </c>
      <c r="P10" s="18" t="str">
        <f t="shared" si="2"/>
        <v/>
      </c>
      <c r="Q10" s="18" t="str">
        <f t="shared" si="3"/>
        <v/>
      </c>
      <c r="R10" s="18" t="str">
        <f t="array" ref="R10">IF(
  B10="",
  ,
  SWITCH(
    Input!$C$4,
    "Actual/365 Fixed",
      YEARFRAC(
        B10 + IF(INDEX(Input!$K$7:$K1503,ROW()-1),0,1),
        C10 + IF(INDEX(Input!$L$7:$L1503,ROW()-1),1,0),
        3
      ),
    "Anniversary/365",
      DATEDIF(
        B10 + IF(INDEX(Input!$K$7:$K1503,ROW()-1),0,1),
        C10 + IF(INDEX(Input!$L$7:$L1503,ROW()-1),1,0),
        "Y"
      )
      +
      (
        (C10 + IF(INDEX(Input!$L$7:$L1503,ROW()-1),1,0))
        -
        EDATE(
          B10 + IF(INDEX(Input!$K$7:$K1503,ROW()-1),0,1),
          12*DATEDIF(
            B10 + IF(INDEX(Input!$K$7:$K1503,ROW()-1),0,1),
            C10 + IF(INDEX(Input!$L$7:$L1503,ROW()-1),1,0),
            "Y"
          )
        )
      ) / 365,
    "Actual/Actual",
      YEARFRAC(
        B10 + IF(INDEX(Input!$K$7:$K1503,ROW()-1),0,1),
        C10 + IF(INDEX(Input!$L$7:$L1503,ROW()-1),1,0),
        1
      ),
      YEARFRAC(
        B10 + IF(INDEX(Input!$K$7:$K1503,ROW()-1),0,1),
        C10 + IF(INDEX(Input!$L$7:$L1503,ROW()-1),1,0),
        3
      )
  )
)</f>
        <v/>
      </c>
      <c r="S10" s="22" t="str">
        <f t="shared" si="4"/>
        <v/>
      </c>
      <c r="T10" s="6" t="str">
        <f t="array" ref="T10">IF(
  B10="",
  ,
  DATEDIF(
    B10 + IF(INDEX(Input!$K$7:$K1503,ROW()-1),0,1),
    C10 + IF(INDEX(Input!$L$7:$L1503,ROW()-1),1,0),
    "Y"
  )
)</f>
        <v/>
      </c>
      <c r="U10" s="6" t="str">
        <f t="array" ref="U10">IF(
  B10="",
  ,
  (C10 + IF(INDEX(Input!$L$7:$L1503,ROW()-1),1,0))
  - EDATE(
      B10 + IF(INDEX(Input!$K$7:$K1503,ROW()-1),0,1),
      12*S10
    )
)</f>
        <v/>
      </c>
      <c r="V10" s="6" t="str">
        <f t="shared" si="5"/>
        <v/>
      </c>
      <c r="W10" s="6" t="str">
        <f t="shared" si="6"/>
        <v/>
      </c>
    </row>
    <row r="11">
      <c r="A11" s="18"/>
      <c r="B11" s="18"/>
      <c r="C11" s="18"/>
      <c r="D11" s="18"/>
      <c r="E11" s="18"/>
      <c r="F11" s="18"/>
      <c r="G11" s="22"/>
      <c r="H11" s="18"/>
      <c r="I11" s="18">
        <v>0.0</v>
      </c>
      <c r="J11" s="18">
        <v>0.0</v>
      </c>
      <c r="K11" s="18"/>
      <c r="L11" s="18"/>
      <c r="M11" s="22" t="str">
        <f t="shared" si="1"/>
        <v/>
      </c>
      <c r="N11" s="18" t="str">
        <f>IF(A11="",,IF(ROW()=2, Input!$C$2 + I11, P10 + I11))</f>
        <v/>
      </c>
      <c r="O11" s="23" t="str">
        <f>IF(A11="",,
 IF(K11="Initial principal",
   Input!$C$2 * M11,
   N11 * M11
 )
)</f>
        <v/>
      </c>
      <c r="P11" s="18" t="str">
        <f t="shared" si="2"/>
        <v/>
      </c>
      <c r="Q11" s="18" t="str">
        <f t="shared" si="3"/>
        <v/>
      </c>
      <c r="R11" s="18" t="str">
        <f t="array" ref="R11">IF(
  B11="",
  ,
  SWITCH(
    Input!$C$4,
    "Actual/365 Fixed",
      YEARFRAC(
        B11 + IF(INDEX(Input!$K$7:$K1503,ROW()-1),0,1),
        C11 + IF(INDEX(Input!$L$7:$L1503,ROW()-1),1,0),
        3
      ),
    "Anniversary/365",
      DATEDIF(
        B11 + IF(INDEX(Input!$K$7:$K1503,ROW()-1),0,1),
        C11 + IF(INDEX(Input!$L$7:$L1503,ROW()-1),1,0),
        "Y"
      )
      +
      (
        (C11 + IF(INDEX(Input!$L$7:$L1503,ROW()-1),1,0))
        -
        EDATE(
          B11 + IF(INDEX(Input!$K$7:$K1503,ROW()-1),0,1),
          12*DATEDIF(
            B11 + IF(INDEX(Input!$K$7:$K1503,ROW()-1),0,1),
            C11 + IF(INDEX(Input!$L$7:$L1503,ROW()-1),1,0),
            "Y"
          )
        )
      ) / 365,
    "Actual/Actual",
      YEARFRAC(
        B11 + IF(INDEX(Input!$K$7:$K1503,ROW()-1),0,1),
        C11 + IF(INDEX(Input!$L$7:$L1503,ROW()-1),1,0),
        1
      ),
      YEARFRAC(
        B11 + IF(INDEX(Input!$K$7:$K1503,ROW()-1),0,1),
        C11 + IF(INDEX(Input!$L$7:$L1503,ROW()-1),1,0),
        3
      )
  )
)</f>
        <v/>
      </c>
      <c r="S11" s="22" t="str">
        <f t="shared" si="4"/>
        <v/>
      </c>
      <c r="T11" s="6" t="str">
        <f t="array" ref="T11">IF(
  B11="",
  ,
  DATEDIF(
    B11 + IF(INDEX(Input!$K$7:$K1503,ROW()-1),0,1),
    C11 + IF(INDEX(Input!$L$7:$L1503,ROW()-1),1,0),
    "Y"
  )
)</f>
        <v/>
      </c>
      <c r="U11" s="6" t="str">
        <f t="array" ref="U11">IF(
  B11="",
  ,
  (C11 + IF(INDEX(Input!$L$7:$L1503,ROW()-1),1,0))
  - EDATE(
      B11 + IF(INDEX(Input!$K$7:$K1503,ROW()-1),0,1),
      12*S11
    )
)</f>
        <v/>
      </c>
      <c r="V11" s="6" t="str">
        <f t="shared" si="5"/>
        <v/>
      </c>
      <c r="W11" s="6" t="str">
        <f t="shared" si="6"/>
        <v/>
      </c>
    </row>
    <row r="12">
      <c r="A12" s="18"/>
      <c r="B12" s="18"/>
      <c r="C12" s="18"/>
      <c r="D12" s="18"/>
      <c r="E12" s="18"/>
      <c r="F12" s="18"/>
      <c r="G12" s="22"/>
      <c r="H12" s="18"/>
      <c r="I12" s="18">
        <v>0.0</v>
      </c>
      <c r="J12" s="18">
        <v>0.0</v>
      </c>
      <c r="K12" s="18"/>
      <c r="L12" s="18"/>
      <c r="M12" s="22" t="str">
        <f t="shared" si="1"/>
        <v/>
      </c>
      <c r="N12" s="18" t="str">
        <f>IF(A12="",,IF(ROW()=2, Input!$C$2 + I12, P11 + I12))</f>
        <v/>
      </c>
      <c r="O12" s="23" t="str">
        <f>IF(A12="",,
 IF(K12="Initial principal",
   Input!$C$2 * M12,
   N12 * M12
 )
)</f>
        <v/>
      </c>
      <c r="P12" s="18" t="str">
        <f t="shared" si="2"/>
        <v/>
      </c>
      <c r="Q12" s="18" t="str">
        <f t="shared" si="3"/>
        <v/>
      </c>
      <c r="R12" s="18" t="str">
        <f t="array" ref="R12">IF(
  B12="",
  ,
  SWITCH(
    Input!$C$4,
    "Actual/365 Fixed",
      YEARFRAC(
        B12 + IF(INDEX(Input!$K$7:$K1503,ROW()-1),0,1),
        C12 + IF(INDEX(Input!$L$7:$L1503,ROW()-1),1,0),
        3
      ),
    "Anniversary/365",
      DATEDIF(
        B12 + IF(INDEX(Input!$K$7:$K1503,ROW()-1),0,1),
        C12 + IF(INDEX(Input!$L$7:$L1503,ROW()-1),1,0),
        "Y"
      )
      +
      (
        (C12 + IF(INDEX(Input!$L$7:$L1503,ROW()-1),1,0))
        -
        EDATE(
          B12 + IF(INDEX(Input!$K$7:$K1503,ROW()-1),0,1),
          12*DATEDIF(
            B12 + IF(INDEX(Input!$K$7:$K1503,ROW()-1),0,1),
            C12 + IF(INDEX(Input!$L$7:$L1503,ROW()-1),1,0),
            "Y"
          )
        )
      ) / 365,
    "Actual/Actual",
      YEARFRAC(
        B12 + IF(INDEX(Input!$K$7:$K1503,ROW()-1),0,1),
        C12 + IF(INDEX(Input!$L$7:$L1503,ROW()-1),1,0),
        1
      ),
      YEARFRAC(
        B12 + IF(INDEX(Input!$K$7:$K1503,ROW()-1),0,1),
        C12 + IF(INDEX(Input!$L$7:$L1503,ROW()-1),1,0),
        3
      )
  )
)</f>
        <v/>
      </c>
      <c r="S12" s="22" t="str">
        <f t="shared" si="4"/>
        <v/>
      </c>
      <c r="T12" s="6" t="str">
        <f t="array" ref="T12">IF(
  B12="",
  ,
  DATEDIF(
    B12 + IF(INDEX(Input!$K$7:$K1503,ROW()-1),0,1),
    C12 + IF(INDEX(Input!$L$7:$L1503,ROW()-1),1,0),
    "Y"
  )
)</f>
        <v/>
      </c>
      <c r="U12" s="6" t="str">
        <f t="array" ref="U12">IF(
  B12="",
  ,
  (C12 + IF(INDEX(Input!$L$7:$L1503,ROW()-1),1,0))
  - EDATE(
      B12 + IF(INDEX(Input!$K$7:$K1503,ROW()-1),0,1),
      12*S12
    )
)</f>
        <v/>
      </c>
      <c r="V12" s="6" t="str">
        <f t="shared" si="5"/>
        <v/>
      </c>
      <c r="W12" s="6" t="str">
        <f t="shared" si="6"/>
        <v/>
      </c>
    </row>
    <row r="13">
      <c r="A13" s="18"/>
      <c r="B13" s="18"/>
      <c r="C13" s="18"/>
      <c r="D13" s="18"/>
      <c r="E13" s="18"/>
      <c r="F13" s="18"/>
      <c r="G13" s="22"/>
      <c r="H13" s="18"/>
      <c r="I13" s="18">
        <v>0.0</v>
      </c>
      <c r="J13" s="18">
        <v>0.0</v>
      </c>
      <c r="K13" s="18"/>
      <c r="L13" s="18"/>
      <c r="M13" s="22" t="str">
        <f t="shared" si="1"/>
        <v/>
      </c>
      <c r="N13" s="18" t="str">
        <f>IF(A13="",,IF(ROW()=2, Input!$C$2 + I13, P12 + I13))</f>
        <v/>
      </c>
      <c r="O13" s="23" t="str">
        <f>IF(A13="",,
 IF(K13="Initial principal",
   Input!$C$2 * M13,
   N13 * M13
 )
)</f>
        <v/>
      </c>
      <c r="P13" s="18" t="str">
        <f t="shared" si="2"/>
        <v/>
      </c>
      <c r="Q13" s="18" t="str">
        <f t="shared" si="3"/>
        <v/>
      </c>
      <c r="R13" s="18" t="str">
        <f t="array" ref="R13">IF(
  B13="",
  ,
  SWITCH(
    Input!$C$4,
    "Actual/365 Fixed",
      YEARFRAC(
        B13 + IF(INDEX(Input!$K$7:$K1503,ROW()-1),0,1),
        C13 + IF(INDEX(Input!$L$7:$L1503,ROW()-1),1,0),
        3
      ),
    "Anniversary/365",
      DATEDIF(
        B13 + IF(INDEX(Input!$K$7:$K1503,ROW()-1),0,1),
        C13 + IF(INDEX(Input!$L$7:$L1503,ROW()-1),1,0),
        "Y"
      )
      +
      (
        (C13 + IF(INDEX(Input!$L$7:$L1503,ROW()-1),1,0))
        -
        EDATE(
          B13 + IF(INDEX(Input!$K$7:$K1503,ROW()-1),0,1),
          12*DATEDIF(
            B13 + IF(INDEX(Input!$K$7:$K1503,ROW()-1),0,1),
            C13 + IF(INDEX(Input!$L$7:$L1503,ROW()-1),1,0),
            "Y"
          )
        )
      ) / 365,
    "Actual/Actual",
      YEARFRAC(
        B13 + IF(INDEX(Input!$K$7:$K1503,ROW()-1),0,1),
        C13 + IF(INDEX(Input!$L$7:$L1503,ROW()-1),1,0),
        1
      ),
      YEARFRAC(
        B13 + IF(INDEX(Input!$K$7:$K1503,ROW()-1),0,1),
        C13 + IF(INDEX(Input!$L$7:$L1503,ROW()-1),1,0),
        3
      )
  )
)</f>
        <v/>
      </c>
      <c r="S13" s="22" t="str">
        <f t="shared" si="4"/>
        <v/>
      </c>
      <c r="T13" s="6" t="str">
        <f t="array" ref="T13">IF(
  B13="",
  ,
  DATEDIF(
    B13 + IF(INDEX(Input!$K$7:$K1503,ROW()-1),0,1),
    C13 + IF(INDEX(Input!$L$7:$L1503,ROW()-1),1,0),
    "Y"
  )
)</f>
        <v/>
      </c>
      <c r="U13" s="6" t="str">
        <f t="array" ref="U13">IF(
  B13="",
  ,
  (C13 + IF(INDEX(Input!$L$7:$L1503,ROW()-1),1,0))
  - EDATE(
      B13 + IF(INDEX(Input!$K$7:$K1503,ROW()-1),0,1),
      12*S13
    )
)</f>
        <v/>
      </c>
      <c r="V13" s="6" t="str">
        <f t="shared" si="5"/>
        <v/>
      </c>
      <c r="W13" s="6" t="str">
        <f t="shared" si="6"/>
        <v/>
      </c>
    </row>
    <row r="14">
      <c r="A14" s="18"/>
      <c r="B14" s="18"/>
      <c r="C14" s="18"/>
      <c r="D14" s="18"/>
      <c r="E14" s="18"/>
      <c r="F14" s="18"/>
      <c r="G14" s="22"/>
      <c r="H14" s="18"/>
      <c r="I14" s="18">
        <v>0.0</v>
      </c>
      <c r="J14" s="18">
        <v>0.0</v>
      </c>
      <c r="K14" s="18"/>
      <c r="L14" s="18"/>
      <c r="M14" s="22" t="str">
        <f t="shared" si="1"/>
        <v/>
      </c>
      <c r="N14" s="18" t="str">
        <f>IF(A14="",,IF(ROW()=2, Input!$C$2 + I14, P13 + I14))</f>
        <v/>
      </c>
      <c r="O14" s="23" t="str">
        <f>IF(A14="",,
 IF(K14="Initial principal",
   Input!$C$2 * M14,
   N14 * M14
 )
)</f>
        <v/>
      </c>
      <c r="P14" s="18" t="str">
        <f t="shared" si="2"/>
        <v/>
      </c>
      <c r="Q14" s="18" t="str">
        <f t="shared" si="3"/>
        <v/>
      </c>
      <c r="R14" s="18" t="str">
        <f t="array" ref="R14">IF(
  B14="",
  ,
  SWITCH(
    Input!$C$4,
    "Actual/365 Fixed",
      YEARFRAC(
        B14 + IF(INDEX(Input!$K$7:$K1503,ROW()-1),0,1),
        C14 + IF(INDEX(Input!$L$7:$L1503,ROW()-1),1,0),
        3
      ),
    "Anniversary/365",
      DATEDIF(
        B14 + IF(INDEX(Input!$K$7:$K1503,ROW()-1),0,1),
        C14 + IF(INDEX(Input!$L$7:$L1503,ROW()-1),1,0),
        "Y"
      )
      +
      (
        (C14 + IF(INDEX(Input!$L$7:$L1503,ROW()-1),1,0))
        -
        EDATE(
          B14 + IF(INDEX(Input!$K$7:$K1503,ROW()-1),0,1),
          12*DATEDIF(
            B14 + IF(INDEX(Input!$K$7:$K1503,ROW()-1),0,1),
            C14 + IF(INDEX(Input!$L$7:$L1503,ROW()-1),1,0),
            "Y"
          )
        )
      ) / 365,
    "Actual/Actual",
      YEARFRAC(
        B14 + IF(INDEX(Input!$K$7:$K1503,ROW()-1),0,1),
        C14 + IF(INDEX(Input!$L$7:$L1503,ROW()-1),1,0),
        1
      ),
      YEARFRAC(
        B14 + IF(INDEX(Input!$K$7:$K1503,ROW()-1),0,1),
        C14 + IF(INDEX(Input!$L$7:$L1503,ROW()-1),1,0),
        3
      )
  )
)</f>
        <v/>
      </c>
      <c r="S14" s="22" t="str">
        <f t="shared" si="4"/>
        <v/>
      </c>
      <c r="T14" s="6" t="str">
        <f t="array" ref="T14">IF(
  B14="",
  ,
  DATEDIF(
    B14 + IF(INDEX(Input!$K$7:$K1503,ROW()-1),0,1),
    C14 + IF(INDEX(Input!$L$7:$L1503,ROW()-1),1,0),
    "Y"
  )
)</f>
        <v/>
      </c>
      <c r="U14" s="6" t="str">
        <f t="array" ref="U14">IF(
  B14="",
  ,
  (C14 + IF(INDEX(Input!$L$7:$L1503,ROW()-1),1,0))
  - EDATE(
      B14 + IF(INDEX(Input!$K$7:$K1503,ROW()-1),0,1),
      12*S14
    )
)</f>
        <v/>
      </c>
      <c r="V14" s="6" t="str">
        <f t="shared" si="5"/>
        <v/>
      </c>
      <c r="W14" s="6" t="str">
        <f t="shared" si="6"/>
        <v/>
      </c>
    </row>
    <row r="15">
      <c r="A15" s="18"/>
      <c r="B15" s="18"/>
      <c r="C15" s="18"/>
      <c r="D15" s="18"/>
      <c r="E15" s="18"/>
      <c r="F15" s="18"/>
      <c r="G15" s="22"/>
      <c r="H15" s="18"/>
      <c r="I15" s="18">
        <v>0.0</v>
      </c>
      <c r="J15" s="18">
        <v>0.0</v>
      </c>
      <c r="K15" s="18"/>
      <c r="L15" s="18"/>
      <c r="M15" s="22" t="str">
        <f t="shared" si="1"/>
        <v/>
      </c>
      <c r="N15" s="18" t="str">
        <f>IF(A15="",,IF(ROW()=2, Input!$C$2 + I15, P14 + I15))</f>
        <v/>
      </c>
      <c r="O15" s="23" t="str">
        <f>IF(A15="",,
 IF(K15="Initial principal",
   Input!$C$2 * M15,
   N15 * M15
 )
)</f>
        <v/>
      </c>
      <c r="P15" s="18" t="str">
        <f t="shared" si="2"/>
        <v/>
      </c>
      <c r="Q15" s="18" t="str">
        <f t="shared" si="3"/>
        <v/>
      </c>
      <c r="R15" s="18" t="str">
        <f t="array" ref="R15">IF(
  B15="",
  ,
  SWITCH(
    Input!$C$4,
    "Actual/365 Fixed",
      YEARFRAC(
        B15 + IF(INDEX(Input!$K$7:$K1503,ROW()-1),0,1),
        C15 + IF(INDEX(Input!$L$7:$L1503,ROW()-1),1,0),
        3
      ),
    "Anniversary/365",
      DATEDIF(
        B15 + IF(INDEX(Input!$K$7:$K1503,ROW()-1),0,1),
        C15 + IF(INDEX(Input!$L$7:$L1503,ROW()-1),1,0),
        "Y"
      )
      +
      (
        (C15 + IF(INDEX(Input!$L$7:$L1503,ROW()-1),1,0))
        -
        EDATE(
          B15 + IF(INDEX(Input!$K$7:$K1503,ROW()-1),0,1),
          12*DATEDIF(
            B15 + IF(INDEX(Input!$K$7:$K1503,ROW()-1),0,1),
            C15 + IF(INDEX(Input!$L$7:$L1503,ROW()-1),1,0),
            "Y"
          )
        )
      ) / 365,
    "Actual/Actual",
      YEARFRAC(
        B15 + IF(INDEX(Input!$K$7:$K1503,ROW()-1),0,1),
        C15 + IF(INDEX(Input!$L$7:$L1503,ROW()-1),1,0),
        1
      ),
      YEARFRAC(
        B15 + IF(INDEX(Input!$K$7:$K1503,ROW()-1),0,1),
        C15 + IF(INDEX(Input!$L$7:$L1503,ROW()-1),1,0),
        3
      )
  )
)</f>
        <v/>
      </c>
      <c r="S15" s="22" t="str">
        <f t="shared" si="4"/>
        <v/>
      </c>
      <c r="T15" s="6" t="str">
        <f t="array" ref="T15">IF(
  B15="",
  ,
  DATEDIF(
    B15 + IF(INDEX(Input!$K$7:$K1503,ROW()-1),0,1),
    C15 + IF(INDEX(Input!$L$7:$L1503,ROW()-1),1,0),
    "Y"
  )
)</f>
        <v/>
      </c>
      <c r="U15" s="6" t="str">
        <f t="array" ref="U15">IF(
  B15="",
  ,
  (C15 + IF(INDEX(Input!$L$7:$L1503,ROW()-1),1,0))
  - EDATE(
      B15 + IF(INDEX(Input!$K$7:$K1503,ROW()-1),0,1),
      12*S15
    )
)</f>
        <v/>
      </c>
      <c r="V15" s="6" t="str">
        <f t="shared" si="5"/>
        <v/>
      </c>
      <c r="W15" s="6" t="str">
        <f t="shared" si="6"/>
        <v/>
      </c>
    </row>
    <row r="16">
      <c r="A16" s="18"/>
      <c r="B16" s="18"/>
      <c r="C16" s="18"/>
      <c r="D16" s="18"/>
      <c r="E16" s="18"/>
      <c r="F16" s="18"/>
      <c r="G16" s="22"/>
      <c r="H16" s="18"/>
      <c r="I16" s="18">
        <v>0.0</v>
      </c>
      <c r="J16" s="18">
        <v>0.0</v>
      </c>
      <c r="K16" s="18"/>
      <c r="L16" s="18"/>
      <c r="M16" s="22" t="str">
        <f t="shared" si="1"/>
        <v/>
      </c>
      <c r="N16" s="18" t="str">
        <f>IF(A16="",,IF(ROW()=2, Input!$C$2 + I16, P15 + I16))</f>
        <v/>
      </c>
      <c r="O16" s="23" t="str">
        <f>IF(A16="",,
 IF(K16="Initial principal",
   Input!$C$2 * M16,
   N16 * M16
 )
)</f>
        <v/>
      </c>
      <c r="P16" s="18" t="str">
        <f t="shared" si="2"/>
        <v/>
      </c>
      <c r="Q16" s="18" t="str">
        <f t="shared" si="3"/>
        <v/>
      </c>
      <c r="R16" s="18" t="str">
        <f t="array" ref="R16">IF(
  B16="",
  ,
  SWITCH(
    Input!$C$4,
    "Actual/365 Fixed",
      YEARFRAC(
        B16 + IF(INDEX(Input!$K$7:$K1503,ROW()-1),0,1),
        C16 + IF(INDEX(Input!$L$7:$L1503,ROW()-1),1,0),
        3
      ),
    "Anniversary/365",
      DATEDIF(
        B16 + IF(INDEX(Input!$K$7:$K1503,ROW()-1),0,1),
        C16 + IF(INDEX(Input!$L$7:$L1503,ROW()-1),1,0),
        "Y"
      )
      +
      (
        (C16 + IF(INDEX(Input!$L$7:$L1503,ROW()-1),1,0))
        -
        EDATE(
          B16 + IF(INDEX(Input!$K$7:$K1503,ROW()-1),0,1),
          12*DATEDIF(
            B16 + IF(INDEX(Input!$K$7:$K1503,ROW()-1),0,1),
            C16 + IF(INDEX(Input!$L$7:$L1503,ROW()-1),1,0),
            "Y"
          )
        )
      ) / 365,
    "Actual/Actual",
      YEARFRAC(
        B16 + IF(INDEX(Input!$K$7:$K1503,ROW()-1),0,1),
        C16 + IF(INDEX(Input!$L$7:$L1503,ROW()-1),1,0),
        1
      ),
      YEARFRAC(
        B16 + IF(INDEX(Input!$K$7:$K1503,ROW()-1),0,1),
        C16 + IF(INDEX(Input!$L$7:$L1503,ROW()-1),1,0),
        3
      )
  )
)</f>
        <v/>
      </c>
      <c r="S16" s="22" t="str">
        <f t="shared" si="4"/>
        <v/>
      </c>
      <c r="T16" s="6" t="str">
        <f t="array" ref="T16">IF(
  B16="",
  ,
  DATEDIF(
    B16 + IF(INDEX(Input!$K$7:$K1503,ROW()-1),0,1),
    C16 + IF(INDEX(Input!$L$7:$L1503,ROW()-1),1,0),
    "Y"
  )
)</f>
        <v/>
      </c>
      <c r="U16" s="6" t="str">
        <f t="array" ref="U16">IF(
  B16="",
  ,
  (C16 + IF(INDEX(Input!$L$7:$L1503,ROW()-1),1,0))
  - EDATE(
      B16 + IF(INDEX(Input!$K$7:$K1503,ROW()-1),0,1),
      12*S16
    )
)</f>
        <v/>
      </c>
      <c r="V16" s="6" t="str">
        <f t="shared" si="5"/>
        <v/>
      </c>
      <c r="W16" s="6" t="str">
        <f t="shared" si="6"/>
        <v/>
      </c>
    </row>
    <row r="17">
      <c r="A17" s="18"/>
      <c r="B17" s="18"/>
      <c r="C17" s="18"/>
      <c r="D17" s="18"/>
      <c r="E17" s="18"/>
      <c r="F17" s="18"/>
      <c r="G17" s="22"/>
      <c r="H17" s="18"/>
      <c r="I17" s="18">
        <v>0.0</v>
      </c>
      <c r="J17" s="18">
        <v>0.0</v>
      </c>
      <c r="K17" s="18"/>
      <c r="L17" s="18"/>
      <c r="M17" s="22" t="str">
        <f t="shared" si="1"/>
        <v/>
      </c>
      <c r="N17" s="18" t="str">
        <f>IF(A17="",,IF(ROW()=2, Input!$C$2 + I17, P16 + I17))</f>
        <v/>
      </c>
      <c r="O17" s="23" t="str">
        <f>IF(A17="",,
 IF(K17="Initial principal",
   Input!$C$2 * M17,
   N17 * M17
 )
)</f>
        <v/>
      </c>
      <c r="P17" s="18" t="str">
        <f t="shared" si="2"/>
        <v/>
      </c>
      <c r="Q17" s="18" t="str">
        <f t="shared" si="3"/>
        <v/>
      </c>
      <c r="R17" s="18" t="str">
        <f t="array" ref="R17">IF(
  B17="",
  ,
  SWITCH(
    Input!$C$4,
    "Actual/365 Fixed",
      YEARFRAC(
        B17 + IF(INDEX(Input!$K$7:$K1503,ROW()-1),0,1),
        C17 + IF(INDEX(Input!$L$7:$L1503,ROW()-1),1,0),
        3
      ),
    "Anniversary/365",
      DATEDIF(
        B17 + IF(INDEX(Input!$K$7:$K1503,ROW()-1),0,1),
        C17 + IF(INDEX(Input!$L$7:$L1503,ROW()-1),1,0),
        "Y"
      )
      +
      (
        (C17 + IF(INDEX(Input!$L$7:$L1503,ROW()-1),1,0))
        -
        EDATE(
          B17 + IF(INDEX(Input!$K$7:$K1503,ROW()-1),0,1),
          12*DATEDIF(
            B17 + IF(INDEX(Input!$K$7:$K1503,ROW()-1),0,1),
            C17 + IF(INDEX(Input!$L$7:$L1503,ROW()-1),1,0),
            "Y"
          )
        )
      ) / 365,
    "Actual/Actual",
      YEARFRAC(
        B17 + IF(INDEX(Input!$K$7:$K1503,ROW()-1),0,1),
        C17 + IF(INDEX(Input!$L$7:$L1503,ROW()-1),1,0),
        1
      ),
      YEARFRAC(
        B17 + IF(INDEX(Input!$K$7:$K1503,ROW()-1),0,1),
        C17 + IF(INDEX(Input!$L$7:$L1503,ROW()-1),1,0),
        3
      )
  )
)</f>
        <v/>
      </c>
      <c r="S17" s="22" t="str">
        <f t="shared" si="4"/>
        <v/>
      </c>
      <c r="T17" s="6" t="str">
        <f t="array" ref="T17">IF(
  B17="",
  ,
  DATEDIF(
    B17 + IF(INDEX(Input!$K$7:$K1503,ROW()-1),0,1),
    C17 + IF(INDEX(Input!$L$7:$L1503,ROW()-1),1,0),
    "Y"
  )
)</f>
        <v/>
      </c>
      <c r="U17" s="6" t="str">
        <f t="array" ref="U17">IF(
  B17="",
  ,
  (C17 + IF(INDEX(Input!$L$7:$L1503,ROW()-1),1,0))
  - EDATE(
      B17 + IF(INDEX(Input!$K$7:$K1503,ROW()-1),0,1),
      12*S17
    )
)</f>
        <v/>
      </c>
      <c r="V17" s="6" t="str">
        <f t="shared" si="5"/>
        <v/>
      </c>
      <c r="W17" s="6" t="str">
        <f t="shared" si="6"/>
        <v/>
      </c>
    </row>
    <row r="18">
      <c r="A18" s="18"/>
      <c r="B18" s="18"/>
      <c r="C18" s="18"/>
      <c r="D18" s="18"/>
      <c r="E18" s="18"/>
      <c r="F18" s="18"/>
      <c r="G18" s="22"/>
      <c r="H18" s="18"/>
      <c r="I18" s="18">
        <v>0.0</v>
      </c>
      <c r="J18" s="18">
        <v>0.0</v>
      </c>
      <c r="K18" s="18"/>
      <c r="L18" s="18"/>
      <c r="M18" s="22" t="str">
        <f t="shared" si="1"/>
        <v/>
      </c>
      <c r="N18" s="18" t="str">
        <f>IF(A18="",,IF(ROW()=2, Input!$C$2 + I18, P17 + I18))</f>
        <v/>
      </c>
      <c r="O18" s="23" t="str">
        <f>IF(A18="",,
 IF(K18="Initial principal",
   Input!$C$2 * M18,
   N18 * M18
 )
)</f>
        <v/>
      </c>
      <c r="P18" s="18" t="str">
        <f t="shared" si="2"/>
        <v/>
      </c>
      <c r="Q18" s="18" t="str">
        <f t="shared" si="3"/>
        <v/>
      </c>
      <c r="R18" s="18" t="str">
        <f t="array" ref="R18">IF(
  B18="",
  ,
  SWITCH(
    Input!$C$4,
    "Actual/365 Fixed",
      YEARFRAC(
        B18 + IF(INDEX(Input!$K$7:$K1503,ROW()-1),0,1),
        C18 + IF(INDEX(Input!$L$7:$L1503,ROW()-1),1,0),
        3
      ),
    "Anniversary/365",
      DATEDIF(
        B18 + IF(INDEX(Input!$K$7:$K1503,ROW()-1),0,1),
        C18 + IF(INDEX(Input!$L$7:$L1503,ROW()-1),1,0),
        "Y"
      )
      +
      (
        (C18 + IF(INDEX(Input!$L$7:$L1503,ROW()-1),1,0))
        -
        EDATE(
          B18 + IF(INDEX(Input!$K$7:$K1503,ROW()-1),0,1),
          12*DATEDIF(
            B18 + IF(INDEX(Input!$K$7:$K1503,ROW()-1),0,1),
            C18 + IF(INDEX(Input!$L$7:$L1503,ROW()-1),1,0),
            "Y"
          )
        )
      ) / 365,
    "Actual/Actual",
      YEARFRAC(
        B18 + IF(INDEX(Input!$K$7:$K1503,ROW()-1),0,1),
        C18 + IF(INDEX(Input!$L$7:$L1503,ROW()-1),1,0),
        1
      ),
      YEARFRAC(
        B18 + IF(INDEX(Input!$K$7:$K1503,ROW()-1),0,1),
        C18 + IF(INDEX(Input!$L$7:$L1503,ROW()-1),1,0),
        3
      )
  )
)</f>
        <v/>
      </c>
      <c r="S18" s="22" t="str">
        <f t="shared" si="4"/>
        <v/>
      </c>
      <c r="T18" s="6" t="str">
        <f t="array" ref="T18">IF(
  B18="",
  ,
  DATEDIF(
    B18 + IF(INDEX(Input!$K$7:$K1503,ROW()-1),0,1),
    C18 + IF(INDEX(Input!$L$7:$L1503,ROW()-1),1,0),
    "Y"
  )
)</f>
        <v/>
      </c>
      <c r="U18" s="6" t="str">
        <f t="array" ref="U18">IF(
  B18="",
  ,
  (C18 + IF(INDEX(Input!$L$7:$L1503,ROW()-1),1,0))
  - EDATE(
      B18 + IF(INDEX(Input!$K$7:$K1503,ROW()-1),0,1),
      12*S18
    )
)</f>
        <v/>
      </c>
      <c r="V18" s="6" t="str">
        <f t="shared" si="5"/>
        <v/>
      </c>
      <c r="W18" s="6" t="str">
        <f t="shared" si="6"/>
        <v/>
      </c>
    </row>
    <row r="19">
      <c r="A19" s="18"/>
      <c r="B19" s="18"/>
      <c r="C19" s="18"/>
      <c r="D19" s="18"/>
      <c r="E19" s="18"/>
      <c r="F19" s="18"/>
      <c r="G19" s="22"/>
      <c r="H19" s="18"/>
      <c r="I19" s="18">
        <v>0.0</v>
      </c>
      <c r="J19" s="18">
        <v>0.0</v>
      </c>
      <c r="K19" s="18"/>
      <c r="L19" s="18"/>
      <c r="M19" s="22" t="str">
        <f t="shared" si="1"/>
        <v/>
      </c>
      <c r="N19" s="18" t="str">
        <f>IF(A19="",,IF(ROW()=2, Input!$C$2 + I19, P18 + I19))</f>
        <v/>
      </c>
      <c r="O19" s="23" t="str">
        <f>IF(A19="",,
 IF(K19="Initial principal",
   Input!$C$2 * M19,
   N19 * M19
 )
)</f>
        <v/>
      </c>
      <c r="P19" s="18" t="str">
        <f t="shared" si="2"/>
        <v/>
      </c>
      <c r="Q19" s="18" t="str">
        <f t="shared" si="3"/>
        <v/>
      </c>
      <c r="R19" s="18" t="str">
        <f t="array" ref="R19">IF(
  B19="",
  ,
  SWITCH(
    Input!$C$4,
    "Actual/365 Fixed",
      YEARFRAC(
        B19 + IF(INDEX(Input!$K$7:$K1503,ROW()-1),0,1),
        C19 + IF(INDEX(Input!$L$7:$L1503,ROW()-1),1,0),
        3
      ),
    "Anniversary/365",
      DATEDIF(
        B19 + IF(INDEX(Input!$K$7:$K1503,ROW()-1),0,1),
        C19 + IF(INDEX(Input!$L$7:$L1503,ROW()-1),1,0),
        "Y"
      )
      +
      (
        (C19 + IF(INDEX(Input!$L$7:$L1503,ROW()-1),1,0))
        -
        EDATE(
          B19 + IF(INDEX(Input!$K$7:$K1503,ROW()-1),0,1),
          12*DATEDIF(
            B19 + IF(INDEX(Input!$K$7:$K1503,ROW()-1),0,1),
            C19 + IF(INDEX(Input!$L$7:$L1503,ROW()-1),1,0),
            "Y"
          )
        )
      ) / 365,
    "Actual/Actual",
      YEARFRAC(
        B19 + IF(INDEX(Input!$K$7:$K1503,ROW()-1),0,1),
        C19 + IF(INDEX(Input!$L$7:$L1503,ROW()-1),1,0),
        1
      ),
      YEARFRAC(
        B19 + IF(INDEX(Input!$K$7:$K1503,ROW()-1),0,1),
        C19 + IF(INDEX(Input!$L$7:$L1503,ROW()-1),1,0),
        3
      )
  )
)</f>
        <v/>
      </c>
      <c r="S19" s="22" t="str">
        <f t="shared" si="4"/>
        <v/>
      </c>
      <c r="T19" s="6" t="str">
        <f t="array" ref="T19">IF(
  B19="",
  ,
  DATEDIF(
    B19 + IF(INDEX(Input!$K$7:$K1503,ROW()-1),0,1),
    C19 + IF(INDEX(Input!$L$7:$L1503,ROW()-1),1,0),
    "Y"
  )
)</f>
        <v/>
      </c>
      <c r="U19" s="6" t="str">
        <f t="array" ref="U19">IF(
  B19="",
  ,
  (C19 + IF(INDEX(Input!$L$7:$L1503,ROW()-1),1,0))
  - EDATE(
      B19 + IF(INDEX(Input!$K$7:$K1503,ROW()-1),0,1),
      12*S19
    )
)</f>
        <v/>
      </c>
      <c r="V19" s="6" t="str">
        <f t="shared" si="5"/>
        <v/>
      </c>
      <c r="W19" s="6" t="str">
        <f t="shared" si="6"/>
        <v/>
      </c>
    </row>
    <row r="20">
      <c r="A20" s="18"/>
      <c r="B20" s="18"/>
      <c r="C20" s="18"/>
      <c r="D20" s="18"/>
      <c r="E20" s="18"/>
      <c r="F20" s="18"/>
      <c r="G20" s="22"/>
      <c r="H20" s="18"/>
      <c r="I20" s="18">
        <v>0.0</v>
      </c>
      <c r="J20" s="18">
        <v>0.0</v>
      </c>
      <c r="K20" s="18"/>
      <c r="L20" s="18"/>
      <c r="M20" s="22" t="str">
        <f t="shared" si="1"/>
        <v/>
      </c>
      <c r="N20" s="18" t="str">
        <f>IF(A20="",,IF(ROW()=2, Input!$C$2 + I20, P19 + I20))</f>
        <v/>
      </c>
      <c r="O20" s="23" t="str">
        <f>IF(A20="",,
 IF(K20="Initial principal",
   Input!$C$2 * M20,
   N20 * M20
 )
)</f>
        <v/>
      </c>
      <c r="P20" s="18" t="str">
        <f t="shared" si="2"/>
        <v/>
      </c>
      <c r="Q20" s="18" t="str">
        <f t="shared" si="3"/>
        <v/>
      </c>
      <c r="R20" s="18" t="str">
        <f t="array" ref="R20">IF(
  B20="",
  ,
  SWITCH(
    Input!$C$4,
    "Actual/365 Fixed",
      YEARFRAC(
        B20 + IF(INDEX(Input!$K$7:$K1503,ROW()-1),0,1),
        C20 + IF(INDEX(Input!$L$7:$L1503,ROW()-1),1,0),
        3
      ),
    "Anniversary/365",
      DATEDIF(
        B20 + IF(INDEX(Input!$K$7:$K1503,ROW()-1),0,1),
        C20 + IF(INDEX(Input!$L$7:$L1503,ROW()-1),1,0),
        "Y"
      )
      +
      (
        (C20 + IF(INDEX(Input!$L$7:$L1503,ROW()-1),1,0))
        -
        EDATE(
          B20 + IF(INDEX(Input!$K$7:$K1503,ROW()-1),0,1),
          12*DATEDIF(
            B20 + IF(INDEX(Input!$K$7:$K1503,ROW()-1),0,1),
            C20 + IF(INDEX(Input!$L$7:$L1503,ROW()-1),1,0),
            "Y"
          )
        )
      ) / 365,
    "Actual/Actual",
      YEARFRAC(
        B20 + IF(INDEX(Input!$K$7:$K1503,ROW()-1),0,1),
        C20 + IF(INDEX(Input!$L$7:$L1503,ROW()-1),1,0),
        1
      ),
      YEARFRAC(
        B20 + IF(INDEX(Input!$K$7:$K1503,ROW()-1),0,1),
        C20 + IF(INDEX(Input!$L$7:$L1503,ROW()-1),1,0),
        3
      )
  )
)</f>
        <v/>
      </c>
      <c r="S20" s="22" t="str">
        <f t="shared" si="4"/>
        <v/>
      </c>
      <c r="T20" s="6" t="str">
        <f t="array" ref="T20">IF(
  B20="",
  ,
  DATEDIF(
    B20 + IF(INDEX(Input!$K$7:$K1503,ROW()-1),0,1),
    C20 + IF(INDEX(Input!$L$7:$L1503,ROW()-1),1,0),
    "Y"
  )
)</f>
        <v/>
      </c>
      <c r="U20" s="6" t="str">
        <f t="array" ref="U20">IF(
  B20="",
  ,
  (C20 + IF(INDEX(Input!$L$7:$L1503,ROW()-1),1,0))
  - EDATE(
      B20 + IF(INDEX(Input!$K$7:$K1503,ROW()-1),0,1),
      12*S20
    )
)</f>
        <v/>
      </c>
      <c r="V20" s="6" t="str">
        <f t="shared" si="5"/>
        <v/>
      </c>
      <c r="W20" s="6" t="str">
        <f t="shared" si="6"/>
        <v/>
      </c>
    </row>
    <row r="21">
      <c r="A21" s="18"/>
      <c r="B21" s="18"/>
      <c r="C21" s="18"/>
      <c r="D21" s="18"/>
      <c r="E21" s="18"/>
      <c r="F21" s="18"/>
      <c r="G21" s="22"/>
      <c r="H21" s="18"/>
      <c r="I21" s="18">
        <v>0.0</v>
      </c>
      <c r="J21" s="18">
        <v>0.0</v>
      </c>
      <c r="K21" s="18"/>
      <c r="L21" s="18"/>
      <c r="M21" s="22" t="str">
        <f t="shared" si="1"/>
        <v/>
      </c>
      <c r="N21" s="18" t="str">
        <f>IF(A21="",,IF(ROW()=2, Input!$C$2 + I21, P20 + I21))</f>
        <v/>
      </c>
      <c r="O21" s="23" t="str">
        <f>IF(A21="",,
 IF(K21="Initial principal",
   Input!$C$2 * M21,
   N21 * M21
 )
)</f>
        <v/>
      </c>
      <c r="P21" s="18" t="str">
        <f t="shared" si="2"/>
        <v/>
      </c>
      <c r="Q21" s="18" t="str">
        <f t="shared" si="3"/>
        <v/>
      </c>
      <c r="R21" s="18" t="str">
        <f t="array" ref="R21">IF(
  B21="",
  ,
  SWITCH(
    Input!$C$4,
    "Actual/365 Fixed",
      YEARFRAC(
        B21 + IF(INDEX(Input!$K$7:$K1503,ROW()-1),0,1),
        C21 + IF(INDEX(Input!$L$7:$L1503,ROW()-1),1,0),
        3
      ),
    "Anniversary/365",
      DATEDIF(
        B21 + IF(INDEX(Input!$K$7:$K1503,ROW()-1),0,1),
        C21 + IF(INDEX(Input!$L$7:$L1503,ROW()-1),1,0),
        "Y"
      )
      +
      (
        (C21 + IF(INDEX(Input!$L$7:$L1503,ROW()-1),1,0))
        -
        EDATE(
          B21 + IF(INDEX(Input!$K$7:$K1503,ROW()-1),0,1),
          12*DATEDIF(
            B21 + IF(INDEX(Input!$K$7:$K1503,ROW()-1),0,1),
            C21 + IF(INDEX(Input!$L$7:$L1503,ROW()-1),1,0),
            "Y"
          )
        )
      ) / 365,
    "Actual/Actual",
      YEARFRAC(
        B21 + IF(INDEX(Input!$K$7:$K1503,ROW()-1),0,1),
        C21 + IF(INDEX(Input!$L$7:$L1503,ROW()-1),1,0),
        1
      ),
      YEARFRAC(
        B21 + IF(INDEX(Input!$K$7:$K1503,ROW()-1),0,1),
        C21 + IF(INDEX(Input!$L$7:$L1503,ROW()-1),1,0),
        3
      )
  )
)</f>
        <v/>
      </c>
      <c r="S21" s="22" t="str">
        <f t="shared" si="4"/>
        <v/>
      </c>
      <c r="T21" s="6" t="str">
        <f t="array" ref="T21">IF(
  B21="",
  ,
  DATEDIF(
    B21 + IF(INDEX(Input!$K$7:$K1503,ROW()-1),0,1),
    C21 + IF(INDEX(Input!$L$7:$L1503,ROW()-1),1,0),
    "Y"
  )
)</f>
        <v/>
      </c>
      <c r="U21" s="6" t="str">
        <f t="array" ref="U21">IF(
  B21="",
  ,
  (C21 + IF(INDEX(Input!$L$7:$L1503,ROW()-1),1,0))
  - EDATE(
      B21 + IF(INDEX(Input!$K$7:$K1503,ROW()-1),0,1),
      12*S21
    )
)</f>
        <v/>
      </c>
      <c r="V21" s="6" t="str">
        <f t="shared" si="5"/>
        <v/>
      </c>
      <c r="W21" s="6" t="str">
        <f t="shared" si="6"/>
        <v/>
      </c>
    </row>
    <row r="22">
      <c r="A22" s="18"/>
      <c r="B22" s="18"/>
      <c r="C22" s="18"/>
      <c r="D22" s="18"/>
      <c r="E22" s="18"/>
      <c r="F22" s="18"/>
      <c r="G22" s="22"/>
      <c r="H22" s="18"/>
      <c r="I22" s="18">
        <v>0.0</v>
      </c>
      <c r="J22" s="18">
        <v>0.0</v>
      </c>
      <c r="K22" s="18"/>
      <c r="L22" s="18"/>
      <c r="M22" s="22" t="str">
        <f t="shared" si="1"/>
        <v/>
      </c>
      <c r="N22" s="18" t="str">
        <f>IF(A22="",,IF(ROW()=2, Input!$C$2 + I22, P21 + I22))</f>
        <v/>
      </c>
      <c r="O22" s="23" t="str">
        <f>IF(A22="",,
 IF(K22="Initial principal",
   Input!$C$2 * M22,
   N22 * M22
 )
)</f>
        <v/>
      </c>
      <c r="P22" s="18" t="str">
        <f t="shared" si="2"/>
        <v/>
      </c>
      <c r="Q22" s="18" t="str">
        <f t="shared" si="3"/>
        <v/>
      </c>
      <c r="R22" s="18" t="str">
        <f t="array" ref="R22">IF(
  B22="",
  ,
  SWITCH(
    Input!$C$4,
    "Actual/365 Fixed",
      YEARFRAC(
        B22 + IF(INDEX(Input!$K$7:$K1503,ROW()-1),0,1),
        C22 + IF(INDEX(Input!$L$7:$L1503,ROW()-1),1,0),
        3
      ),
    "Anniversary/365",
      DATEDIF(
        B22 + IF(INDEX(Input!$K$7:$K1503,ROW()-1),0,1),
        C22 + IF(INDEX(Input!$L$7:$L1503,ROW()-1),1,0),
        "Y"
      )
      +
      (
        (C22 + IF(INDEX(Input!$L$7:$L1503,ROW()-1),1,0))
        -
        EDATE(
          B22 + IF(INDEX(Input!$K$7:$K1503,ROW()-1),0,1),
          12*DATEDIF(
            B22 + IF(INDEX(Input!$K$7:$K1503,ROW()-1),0,1),
            C22 + IF(INDEX(Input!$L$7:$L1503,ROW()-1),1,0),
            "Y"
          )
        )
      ) / 365,
    "Actual/Actual",
      YEARFRAC(
        B22 + IF(INDEX(Input!$K$7:$K1503,ROW()-1),0,1),
        C22 + IF(INDEX(Input!$L$7:$L1503,ROW()-1),1,0),
        1
      ),
      YEARFRAC(
        B22 + IF(INDEX(Input!$K$7:$K1503,ROW()-1),0,1),
        C22 + IF(INDEX(Input!$L$7:$L1503,ROW()-1),1,0),
        3
      )
  )
)</f>
        <v/>
      </c>
      <c r="S22" s="22" t="str">
        <f t="shared" si="4"/>
        <v/>
      </c>
      <c r="T22" s="6" t="str">
        <f t="array" ref="T22">IF(
  B22="",
  ,
  DATEDIF(
    B22 + IF(INDEX(Input!$K$7:$K1503,ROW()-1),0,1),
    C22 + IF(INDEX(Input!$L$7:$L1503,ROW()-1),1,0),
    "Y"
  )
)</f>
        <v/>
      </c>
      <c r="U22" s="6" t="str">
        <f t="array" ref="U22">IF(
  B22="",
  ,
  (C22 + IF(INDEX(Input!$L$7:$L1503,ROW()-1),1,0))
  - EDATE(
      B22 + IF(INDEX(Input!$K$7:$K1503,ROW()-1),0,1),
      12*S22
    )
)</f>
        <v/>
      </c>
      <c r="V22" s="6" t="str">
        <f t="shared" si="5"/>
        <v/>
      </c>
      <c r="W22" s="6" t="str">
        <f t="shared" si="6"/>
        <v/>
      </c>
    </row>
    <row r="23">
      <c r="A23" s="18"/>
      <c r="B23" s="18"/>
      <c r="C23" s="18"/>
      <c r="D23" s="18"/>
      <c r="E23" s="18"/>
      <c r="F23" s="18"/>
      <c r="G23" s="22"/>
      <c r="H23" s="18"/>
      <c r="I23" s="18">
        <v>0.0</v>
      </c>
      <c r="J23" s="18">
        <v>0.0</v>
      </c>
      <c r="K23" s="18"/>
      <c r="L23" s="18"/>
      <c r="M23" s="22" t="str">
        <f t="shared" si="1"/>
        <v/>
      </c>
      <c r="N23" s="18" t="str">
        <f>IF(A23="",,IF(ROW()=2, Input!$C$2 + I23, P22 + I23))</f>
        <v/>
      </c>
      <c r="O23" s="23" t="str">
        <f>IF(A23="",,
 IF(K23="Initial principal",
   Input!$C$2 * M23,
   N23 * M23
 )
)</f>
        <v/>
      </c>
      <c r="P23" s="18" t="str">
        <f t="shared" si="2"/>
        <v/>
      </c>
      <c r="Q23" s="18" t="str">
        <f t="shared" si="3"/>
        <v/>
      </c>
      <c r="R23" s="18" t="str">
        <f t="array" ref="R23">IF(
  B23="",
  ,
  SWITCH(
    Input!$C$4,
    "Actual/365 Fixed",
      YEARFRAC(
        B23 + IF(INDEX(Input!$K$7:$K1503,ROW()-1),0,1),
        C23 + IF(INDEX(Input!$L$7:$L1503,ROW()-1),1,0),
        3
      ),
    "Anniversary/365",
      DATEDIF(
        B23 + IF(INDEX(Input!$K$7:$K1503,ROW()-1),0,1),
        C23 + IF(INDEX(Input!$L$7:$L1503,ROW()-1),1,0),
        "Y"
      )
      +
      (
        (C23 + IF(INDEX(Input!$L$7:$L1503,ROW()-1),1,0))
        -
        EDATE(
          B23 + IF(INDEX(Input!$K$7:$K1503,ROW()-1),0,1),
          12*DATEDIF(
            B23 + IF(INDEX(Input!$K$7:$K1503,ROW()-1),0,1),
            C23 + IF(INDEX(Input!$L$7:$L1503,ROW()-1),1,0),
            "Y"
          )
        )
      ) / 365,
    "Actual/Actual",
      YEARFRAC(
        B23 + IF(INDEX(Input!$K$7:$K1503,ROW()-1),0,1),
        C23 + IF(INDEX(Input!$L$7:$L1503,ROW()-1),1,0),
        1
      ),
      YEARFRAC(
        B23 + IF(INDEX(Input!$K$7:$K1503,ROW()-1),0,1),
        C23 + IF(INDEX(Input!$L$7:$L1503,ROW()-1),1,0),
        3
      )
  )
)</f>
        <v/>
      </c>
      <c r="S23" s="22" t="str">
        <f t="shared" si="4"/>
        <v/>
      </c>
      <c r="T23" s="6" t="str">
        <f t="array" ref="T23">IF(
  B23="",
  ,
  DATEDIF(
    B23 + IF(INDEX(Input!$K$7:$K1503,ROW()-1),0,1),
    C23 + IF(INDEX(Input!$L$7:$L1503,ROW()-1),1,0),
    "Y"
  )
)</f>
        <v/>
      </c>
      <c r="U23" s="6" t="str">
        <f t="array" ref="U23">IF(
  B23="",
  ,
  (C23 + IF(INDEX(Input!$L$7:$L1503,ROW()-1),1,0))
  - EDATE(
      B23 + IF(INDEX(Input!$K$7:$K1503,ROW()-1),0,1),
      12*S23
    )
)</f>
        <v/>
      </c>
      <c r="V23" s="6" t="str">
        <f t="shared" si="5"/>
        <v/>
      </c>
      <c r="W23" s="6" t="str">
        <f t="shared" si="6"/>
        <v/>
      </c>
    </row>
    <row r="24">
      <c r="A24" s="18"/>
      <c r="B24" s="18"/>
      <c r="C24" s="18"/>
      <c r="D24" s="18"/>
      <c r="E24" s="18"/>
      <c r="F24" s="18"/>
      <c r="G24" s="22"/>
      <c r="H24" s="18"/>
      <c r="I24" s="18">
        <v>0.0</v>
      </c>
      <c r="J24" s="18">
        <v>0.0</v>
      </c>
      <c r="K24" s="18"/>
      <c r="L24" s="18"/>
      <c r="M24" s="22" t="str">
        <f t="shared" si="1"/>
        <v/>
      </c>
      <c r="N24" s="18" t="str">
        <f>IF(A24="",,IF(ROW()=2, Input!$C$2 + I24, P23 + I24))</f>
        <v/>
      </c>
      <c r="O24" s="23" t="str">
        <f>IF(A24="",,
 IF(K24="Initial principal",
   Input!$C$2 * M24,
   N24 * M24
 )
)</f>
        <v/>
      </c>
      <c r="P24" s="18" t="str">
        <f t="shared" si="2"/>
        <v/>
      </c>
      <c r="Q24" s="18" t="str">
        <f t="shared" si="3"/>
        <v/>
      </c>
      <c r="R24" s="18" t="str">
        <f t="array" ref="R24">IF(
  B24="",
  ,
  SWITCH(
    Input!$C$4,
    "Actual/365 Fixed",
      YEARFRAC(
        B24 + IF(INDEX(Input!$K$7:$K1503,ROW()-1),0,1),
        C24 + IF(INDEX(Input!$L$7:$L1503,ROW()-1),1,0),
        3
      ),
    "Anniversary/365",
      DATEDIF(
        B24 + IF(INDEX(Input!$K$7:$K1503,ROW()-1),0,1),
        C24 + IF(INDEX(Input!$L$7:$L1503,ROW()-1),1,0),
        "Y"
      )
      +
      (
        (C24 + IF(INDEX(Input!$L$7:$L1503,ROW()-1),1,0))
        -
        EDATE(
          B24 + IF(INDEX(Input!$K$7:$K1503,ROW()-1),0,1),
          12*DATEDIF(
            B24 + IF(INDEX(Input!$K$7:$K1503,ROW()-1),0,1),
            C24 + IF(INDEX(Input!$L$7:$L1503,ROW()-1),1,0),
            "Y"
          )
        )
      ) / 365,
    "Actual/Actual",
      YEARFRAC(
        B24 + IF(INDEX(Input!$K$7:$K1503,ROW()-1),0,1),
        C24 + IF(INDEX(Input!$L$7:$L1503,ROW()-1),1,0),
        1
      ),
      YEARFRAC(
        B24 + IF(INDEX(Input!$K$7:$K1503,ROW()-1),0,1),
        C24 + IF(INDEX(Input!$L$7:$L1503,ROW()-1),1,0),
        3
      )
  )
)</f>
        <v/>
      </c>
      <c r="S24" s="22" t="str">
        <f t="shared" si="4"/>
        <v/>
      </c>
      <c r="T24" s="6" t="str">
        <f t="array" ref="T24">IF(
  B24="",
  ,
  DATEDIF(
    B24 + IF(INDEX(Input!$K$7:$K1503,ROW()-1),0,1),
    C24 + IF(INDEX(Input!$L$7:$L1503,ROW()-1),1,0),
    "Y"
  )
)</f>
        <v/>
      </c>
      <c r="U24" s="6" t="str">
        <f t="array" ref="U24">IF(
  B24="",
  ,
  (C24 + IF(INDEX(Input!$L$7:$L1503,ROW()-1),1,0))
  - EDATE(
      B24 + IF(INDEX(Input!$K$7:$K1503,ROW()-1),0,1),
      12*S24
    )
)</f>
        <v/>
      </c>
      <c r="V24" s="6" t="str">
        <f t="shared" si="5"/>
        <v/>
      </c>
      <c r="W24" s="6" t="str">
        <f t="shared" si="6"/>
        <v/>
      </c>
    </row>
    <row r="25">
      <c r="A25" s="18"/>
      <c r="B25" s="18"/>
      <c r="C25" s="18"/>
      <c r="D25" s="18"/>
      <c r="E25" s="18"/>
      <c r="F25" s="18"/>
      <c r="G25" s="22"/>
      <c r="H25" s="18"/>
      <c r="I25" s="18">
        <v>0.0</v>
      </c>
      <c r="J25" s="18">
        <v>0.0</v>
      </c>
      <c r="K25" s="18"/>
      <c r="L25" s="18"/>
      <c r="M25" s="22" t="str">
        <f t="shared" si="1"/>
        <v/>
      </c>
      <c r="N25" s="18" t="str">
        <f>IF(A25="",,IF(ROW()=2, Input!$C$2 + I25, P24 + I25))</f>
        <v/>
      </c>
      <c r="O25" s="23" t="str">
        <f>IF(A25="",,
 IF(K25="Initial principal",
   Input!$C$2 * M25,
   N25 * M25
 )
)</f>
        <v/>
      </c>
      <c r="P25" s="18" t="str">
        <f t="shared" si="2"/>
        <v/>
      </c>
      <c r="Q25" s="18" t="str">
        <f t="shared" si="3"/>
        <v/>
      </c>
      <c r="R25" s="18" t="str">
        <f t="array" ref="R25">IF(
  B25="",
  ,
  SWITCH(
    Input!$C$4,
    "Actual/365 Fixed",
      YEARFRAC(
        B25 + IF(INDEX(Input!$K$7:$K1503,ROW()-1),0,1),
        C25 + IF(INDEX(Input!$L$7:$L1503,ROW()-1),1,0),
        3
      ),
    "Anniversary/365",
      DATEDIF(
        B25 + IF(INDEX(Input!$K$7:$K1503,ROW()-1),0,1),
        C25 + IF(INDEX(Input!$L$7:$L1503,ROW()-1),1,0),
        "Y"
      )
      +
      (
        (C25 + IF(INDEX(Input!$L$7:$L1503,ROW()-1),1,0))
        -
        EDATE(
          B25 + IF(INDEX(Input!$K$7:$K1503,ROW()-1),0,1),
          12*DATEDIF(
            B25 + IF(INDEX(Input!$K$7:$K1503,ROW()-1),0,1),
            C25 + IF(INDEX(Input!$L$7:$L1503,ROW()-1),1,0),
            "Y"
          )
        )
      ) / 365,
    "Actual/Actual",
      YEARFRAC(
        B25 + IF(INDEX(Input!$K$7:$K1503,ROW()-1),0,1),
        C25 + IF(INDEX(Input!$L$7:$L1503,ROW()-1),1,0),
        1
      ),
      YEARFRAC(
        B25 + IF(INDEX(Input!$K$7:$K1503,ROW()-1),0,1),
        C25 + IF(INDEX(Input!$L$7:$L1503,ROW()-1),1,0),
        3
      )
  )
)</f>
        <v/>
      </c>
      <c r="S25" s="22" t="str">
        <f t="shared" si="4"/>
        <v/>
      </c>
      <c r="T25" s="6" t="str">
        <f t="array" ref="T25">IF(
  B25="",
  ,
  DATEDIF(
    B25 + IF(INDEX(Input!$K$7:$K1503,ROW()-1),0,1),
    C25 + IF(INDEX(Input!$L$7:$L1503,ROW()-1),1,0),
    "Y"
  )
)</f>
        <v/>
      </c>
      <c r="U25" s="6" t="str">
        <f t="array" ref="U25">IF(
  B25="",
  ,
  (C25 + IF(INDEX(Input!$L$7:$L1503,ROW()-1),1,0))
  - EDATE(
      B25 + IF(INDEX(Input!$K$7:$K1503,ROW()-1),0,1),
      12*S25
    )
)</f>
        <v/>
      </c>
      <c r="V25" s="6" t="str">
        <f t="shared" si="5"/>
        <v/>
      </c>
      <c r="W25" s="6" t="str">
        <f t="shared" si="6"/>
        <v/>
      </c>
    </row>
    <row r="26">
      <c r="A26" s="18"/>
      <c r="B26" s="18"/>
      <c r="C26" s="18"/>
      <c r="D26" s="18"/>
      <c r="E26" s="18"/>
      <c r="F26" s="18"/>
      <c r="G26" s="22"/>
      <c r="H26" s="18"/>
      <c r="I26" s="18">
        <v>0.0</v>
      </c>
      <c r="J26" s="18">
        <v>0.0</v>
      </c>
      <c r="K26" s="18"/>
      <c r="L26" s="18"/>
      <c r="M26" s="22" t="str">
        <f t="shared" si="1"/>
        <v/>
      </c>
      <c r="N26" s="18" t="str">
        <f>IF(A26="",,IF(ROW()=2, Input!$C$2 + I26, P25 + I26))</f>
        <v/>
      </c>
      <c r="O26" s="23" t="str">
        <f>IF(A26="",,
 IF(K26="Initial principal",
   Input!$C$2 * M26,
   N26 * M26
 )
)</f>
        <v/>
      </c>
      <c r="P26" s="18" t="str">
        <f t="shared" si="2"/>
        <v/>
      </c>
      <c r="Q26" s="18" t="str">
        <f t="shared" si="3"/>
        <v/>
      </c>
      <c r="R26" s="18" t="str">
        <f t="array" ref="R26">IF(
  B26="",
  ,
  SWITCH(
    Input!$C$4,
    "Actual/365 Fixed",
      YEARFRAC(
        B26 + IF(INDEX(Input!$K$7:$K1503,ROW()-1),0,1),
        C26 + IF(INDEX(Input!$L$7:$L1503,ROW()-1),1,0),
        3
      ),
    "Anniversary/365",
      DATEDIF(
        B26 + IF(INDEX(Input!$K$7:$K1503,ROW()-1),0,1),
        C26 + IF(INDEX(Input!$L$7:$L1503,ROW()-1),1,0),
        "Y"
      )
      +
      (
        (C26 + IF(INDEX(Input!$L$7:$L1503,ROW()-1),1,0))
        -
        EDATE(
          B26 + IF(INDEX(Input!$K$7:$K1503,ROW()-1),0,1),
          12*DATEDIF(
            B26 + IF(INDEX(Input!$K$7:$K1503,ROW()-1),0,1),
            C26 + IF(INDEX(Input!$L$7:$L1503,ROW()-1),1,0),
            "Y"
          )
        )
      ) / 365,
    "Actual/Actual",
      YEARFRAC(
        B26 + IF(INDEX(Input!$K$7:$K1503,ROW()-1),0,1),
        C26 + IF(INDEX(Input!$L$7:$L1503,ROW()-1),1,0),
        1
      ),
      YEARFRAC(
        B26 + IF(INDEX(Input!$K$7:$K1503,ROW()-1),0,1),
        C26 + IF(INDEX(Input!$L$7:$L1503,ROW()-1),1,0),
        3
      )
  )
)</f>
        <v/>
      </c>
      <c r="S26" s="22" t="str">
        <f t="shared" si="4"/>
        <v/>
      </c>
      <c r="T26" s="6" t="str">
        <f t="array" ref="T26">IF(
  B26="",
  ,
  DATEDIF(
    B26 + IF(INDEX(Input!$K$7:$K1503,ROW()-1),0,1),
    C26 + IF(INDEX(Input!$L$7:$L1503,ROW()-1),1,0),
    "Y"
  )
)</f>
        <v/>
      </c>
      <c r="U26" s="6" t="str">
        <f t="array" ref="U26">IF(
  B26="",
  ,
  (C26 + IF(INDEX(Input!$L$7:$L1503,ROW()-1),1,0))
  - EDATE(
      B26 + IF(INDEX(Input!$K$7:$K1503,ROW()-1),0,1),
      12*S26
    )
)</f>
        <v/>
      </c>
      <c r="V26" s="6" t="str">
        <f t="shared" si="5"/>
        <v/>
      </c>
      <c r="W26" s="6" t="str">
        <f t="shared" si="6"/>
        <v/>
      </c>
    </row>
    <row r="27">
      <c r="A27" s="18"/>
      <c r="B27" s="18"/>
      <c r="C27" s="18"/>
      <c r="D27" s="18"/>
      <c r="E27" s="18"/>
      <c r="F27" s="18"/>
      <c r="G27" s="22"/>
      <c r="H27" s="18"/>
      <c r="I27" s="18">
        <v>0.0</v>
      </c>
      <c r="J27" s="18">
        <v>0.0</v>
      </c>
      <c r="K27" s="18"/>
      <c r="L27" s="18"/>
      <c r="M27" s="22" t="str">
        <f t="shared" si="1"/>
        <v/>
      </c>
      <c r="N27" s="18" t="str">
        <f>IF(A27="",,IF(ROW()=2, Input!$C$2 + I27, P26 + I27))</f>
        <v/>
      </c>
      <c r="O27" s="23" t="str">
        <f>IF(A27="",,
 IF(K27="Initial principal",
   Input!$C$2 * M27,
   N27 * M27
 )
)</f>
        <v/>
      </c>
      <c r="P27" s="18" t="str">
        <f t="shared" si="2"/>
        <v/>
      </c>
      <c r="Q27" s="18" t="str">
        <f t="shared" si="3"/>
        <v/>
      </c>
      <c r="R27" s="18" t="str">
        <f t="array" ref="R27">IF(
  B27="",
  ,
  SWITCH(
    Input!$C$4,
    "Actual/365 Fixed",
      YEARFRAC(
        B27 + IF(INDEX(Input!$K$7:$K1503,ROW()-1),0,1),
        C27 + IF(INDEX(Input!$L$7:$L1503,ROW()-1),1,0),
        3
      ),
    "Anniversary/365",
      DATEDIF(
        B27 + IF(INDEX(Input!$K$7:$K1503,ROW()-1),0,1),
        C27 + IF(INDEX(Input!$L$7:$L1503,ROW()-1),1,0),
        "Y"
      )
      +
      (
        (C27 + IF(INDEX(Input!$L$7:$L1503,ROW()-1),1,0))
        -
        EDATE(
          B27 + IF(INDEX(Input!$K$7:$K1503,ROW()-1),0,1),
          12*DATEDIF(
            B27 + IF(INDEX(Input!$K$7:$K1503,ROW()-1),0,1),
            C27 + IF(INDEX(Input!$L$7:$L1503,ROW()-1),1,0),
            "Y"
          )
        )
      ) / 365,
    "Actual/Actual",
      YEARFRAC(
        B27 + IF(INDEX(Input!$K$7:$K1503,ROW()-1),0,1),
        C27 + IF(INDEX(Input!$L$7:$L1503,ROW()-1),1,0),
        1
      ),
      YEARFRAC(
        B27 + IF(INDEX(Input!$K$7:$K1503,ROW()-1),0,1),
        C27 + IF(INDEX(Input!$L$7:$L1503,ROW()-1),1,0),
        3
      )
  )
)</f>
        <v/>
      </c>
      <c r="S27" s="22" t="str">
        <f t="shared" si="4"/>
        <v/>
      </c>
      <c r="T27" s="6" t="str">
        <f t="array" ref="T27">IF(
  B27="",
  ,
  DATEDIF(
    B27 + IF(INDEX(Input!$K$7:$K1503,ROW()-1),0,1),
    C27 + IF(INDEX(Input!$L$7:$L1503,ROW()-1),1,0),
    "Y"
  )
)</f>
        <v/>
      </c>
      <c r="U27" s="6" t="str">
        <f t="array" ref="U27">IF(
  B27="",
  ,
  (C27 + IF(INDEX(Input!$L$7:$L1503,ROW()-1),1,0))
  - EDATE(
      B27 + IF(INDEX(Input!$K$7:$K1503,ROW()-1),0,1),
      12*S27
    )
)</f>
        <v/>
      </c>
      <c r="V27" s="6" t="str">
        <f t="shared" si="5"/>
        <v/>
      </c>
      <c r="W27" s="6" t="str">
        <f t="shared" si="6"/>
        <v/>
      </c>
    </row>
    <row r="28">
      <c r="A28" s="18"/>
      <c r="B28" s="18"/>
      <c r="C28" s="18"/>
      <c r="D28" s="18"/>
      <c r="E28" s="18"/>
      <c r="F28" s="18"/>
      <c r="G28" s="22"/>
      <c r="H28" s="18"/>
      <c r="I28" s="18">
        <v>0.0</v>
      </c>
      <c r="J28" s="18">
        <v>0.0</v>
      </c>
      <c r="K28" s="18"/>
      <c r="L28" s="18"/>
      <c r="M28" s="22" t="str">
        <f t="shared" si="1"/>
        <v/>
      </c>
      <c r="N28" s="18" t="str">
        <f>IF(A28="",,IF(ROW()=2, Input!$C$2 + I28, P27 + I28))</f>
        <v/>
      </c>
      <c r="O28" s="23" t="str">
        <f>IF(A28="",,
 IF(K28="Initial principal",
   Input!$C$2 * M28,
   N28 * M28
 )
)</f>
        <v/>
      </c>
      <c r="P28" s="18" t="str">
        <f t="shared" si="2"/>
        <v/>
      </c>
      <c r="Q28" s="18" t="str">
        <f t="shared" si="3"/>
        <v/>
      </c>
      <c r="R28" s="18" t="str">
        <f t="array" ref="R28">IF(
  B28="",
  ,
  SWITCH(
    Input!$C$4,
    "Actual/365 Fixed",
      YEARFRAC(
        B28 + IF(INDEX(Input!$K$7:$K1503,ROW()-1),0,1),
        C28 + IF(INDEX(Input!$L$7:$L1503,ROW()-1),1,0),
        3
      ),
    "Anniversary/365",
      DATEDIF(
        B28 + IF(INDEX(Input!$K$7:$K1503,ROW()-1),0,1),
        C28 + IF(INDEX(Input!$L$7:$L1503,ROW()-1),1,0),
        "Y"
      )
      +
      (
        (C28 + IF(INDEX(Input!$L$7:$L1503,ROW()-1),1,0))
        -
        EDATE(
          B28 + IF(INDEX(Input!$K$7:$K1503,ROW()-1),0,1),
          12*DATEDIF(
            B28 + IF(INDEX(Input!$K$7:$K1503,ROW()-1),0,1),
            C28 + IF(INDEX(Input!$L$7:$L1503,ROW()-1),1,0),
            "Y"
          )
        )
      ) / 365,
    "Actual/Actual",
      YEARFRAC(
        B28 + IF(INDEX(Input!$K$7:$K1503,ROW()-1),0,1),
        C28 + IF(INDEX(Input!$L$7:$L1503,ROW()-1),1,0),
        1
      ),
      YEARFRAC(
        B28 + IF(INDEX(Input!$K$7:$K1503,ROW()-1),0,1),
        C28 + IF(INDEX(Input!$L$7:$L1503,ROW()-1),1,0),
        3
      )
  )
)</f>
        <v/>
      </c>
      <c r="S28" s="22" t="str">
        <f t="shared" si="4"/>
        <v/>
      </c>
      <c r="T28" s="6" t="str">
        <f t="array" ref="T28">IF(
  B28="",
  ,
  DATEDIF(
    B28 + IF(INDEX(Input!$K$7:$K1503,ROW()-1),0,1),
    C28 + IF(INDEX(Input!$L$7:$L1503,ROW()-1),1,0),
    "Y"
  )
)</f>
        <v/>
      </c>
      <c r="U28" s="6" t="str">
        <f t="array" ref="U28">IF(
  B28="",
  ,
  (C28 + IF(INDEX(Input!$L$7:$L1503,ROW()-1),1,0))
  - EDATE(
      B28 + IF(INDEX(Input!$K$7:$K1503,ROW()-1),0,1),
      12*S28
    )
)</f>
        <v/>
      </c>
      <c r="V28" s="6" t="str">
        <f t="shared" si="5"/>
        <v/>
      </c>
      <c r="W28" s="6" t="str">
        <f t="shared" si="6"/>
        <v/>
      </c>
    </row>
    <row r="29">
      <c r="A29" s="18"/>
      <c r="B29" s="18"/>
      <c r="C29" s="18"/>
      <c r="D29" s="18"/>
      <c r="E29" s="18"/>
      <c r="F29" s="18"/>
      <c r="G29" s="22"/>
      <c r="H29" s="18"/>
      <c r="I29" s="18">
        <v>0.0</v>
      </c>
      <c r="J29" s="18">
        <v>0.0</v>
      </c>
      <c r="K29" s="18"/>
      <c r="L29" s="18"/>
      <c r="M29" s="22" t="str">
        <f t="shared" si="1"/>
        <v/>
      </c>
      <c r="N29" s="18" t="str">
        <f>IF(A29="",,IF(ROW()=2, Input!$C$2 + I29, P28 + I29))</f>
        <v/>
      </c>
      <c r="O29" s="23" t="str">
        <f>IF(A29="",,
 IF(K29="Initial principal",
   Input!$C$2 * M29,
   N29 * M29
 )
)</f>
        <v/>
      </c>
      <c r="P29" s="18" t="str">
        <f t="shared" si="2"/>
        <v/>
      </c>
      <c r="Q29" s="18" t="str">
        <f t="shared" si="3"/>
        <v/>
      </c>
      <c r="R29" s="18" t="str">
        <f t="array" ref="R29">IF(
  B29="",
  ,
  SWITCH(
    Input!$C$4,
    "Actual/365 Fixed",
      YEARFRAC(
        B29 + IF(INDEX(Input!$K$7:$K1503,ROW()-1),0,1),
        C29 + IF(INDEX(Input!$L$7:$L1503,ROW()-1),1,0),
        3
      ),
    "Anniversary/365",
      DATEDIF(
        B29 + IF(INDEX(Input!$K$7:$K1503,ROW()-1),0,1),
        C29 + IF(INDEX(Input!$L$7:$L1503,ROW()-1),1,0),
        "Y"
      )
      +
      (
        (C29 + IF(INDEX(Input!$L$7:$L1503,ROW()-1),1,0))
        -
        EDATE(
          B29 + IF(INDEX(Input!$K$7:$K1503,ROW()-1),0,1),
          12*DATEDIF(
            B29 + IF(INDEX(Input!$K$7:$K1503,ROW()-1),0,1),
            C29 + IF(INDEX(Input!$L$7:$L1503,ROW()-1),1,0),
            "Y"
          )
        )
      ) / 365,
    "Actual/Actual",
      YEARFRAC(
        B29 + IF(INDEX(Input!$K$7:$K1503,ROW()-1),0,1),
        C29 + IF(INDEX(Input!$L$7:$L1503,ROW()-1),1,0),
        1
      ),
      YEARFRAC(
        B29 + IF(INDEX(Input!$K$7:$K1503,ROW()-1),0,1),
        C29 + IF(INDEX(Input!$L$7:$L1503,ROW()-1),1,0),
        3
      )
  )
)</f>
        <v/>
      </c>
      <c r="S29" s="22" t="str">
        <f t="shared" si="4"/>
        <v/>
      </c>
      <c r="T29" s="6" t="str">
        <f t="array" ref="T29">IF(
  B29="",
  ,
  DATEDIF(
    B29 + IF(INDEX(Input!$K$7:$K1503,ROW()-1),0,1),
    C29 + IF(INDEX(Input!$L$7:$L1503,ROW()-1),1,0),
    "Y"
  )
)</f>
        <v/>
      </c>
      <c r="U29" s="6" t="str">
        <f t="array" ref="U29">IF(
  B29="",
  ,
  (C29 + IF(INDEX(Input!$L$7:$L1503,ROW()-1),1,0))
  - EDATE(
      B29 + IF(INDEX(Input!$K$7:$K1503,ROW()-1),0,1),
      12*S29
    )
)</f>
        <v/>
      </c>
      <c r="V29" s="6" t="str">
        <f t="shared" si="5"/>
        <v/>
      </c>
      <c r="W29" s="6" t="str">
        <f t="shared" si="6"/>
        <v/>
      </c>
    </row>
    <row r="30">
      <c r="A30" s="18"/>
      <c r="B30" s="18"/>
      <c r="C30" s="18"/>
      <c r="D30" s="18"/>
      <c r="E30" s="18"/>
      <c r="F30" s="18"/>
      <c r="G30" s="22"/>
      <c r="H30" s="18"/>
      <c r="I30" s="18">
        <v>0.0</v>
      </c>
      <c r="J30" s="18">
        <v>0.0</v>
      </c>
      <c r="K30" s="18"/>
      <c r="L30" s="18"/>
      <c r="M30" s="22" t="str">
        <f t="shared" si="1"/>
        <v/>
      </c>
      <c r="N30" s="18" t="str">
        <f>IF(A30="",,IF(ROW()=2, Input!$C$2 + I30, P29 + I30))</f>
        <v/>
      </c>
      <c r="O30" s="23" t="str">
        <f>IF(A30="",,
 IF(K30="Initial principal",
   Input!$C$2 * M30,
   N30 * M30
 )
)</f>
        <v/>
      </c>
      <c r="P30" s="18" t="str">
        <f t="shared" si="2"/>
        <v/>
      </c>
      <c r="Q30" s="18" t="str">
        <f t="shared" si="3"/>
        <v/>
      </c>
      <c r="R30" s="18" t="str">
        <f t="array" ref="R30">IF(
  B30="",
  ,
  SWITCH(
    Input!$C$4,
    "Actual/365 Fixed",
      YEARFRAC(
        B30 + IF(INDEX(Input!$K$7:$K1503,ROW()-1),0,1),
        C30 + IF(INDEX(Input!$L$7:$L1503,ROW()-1),1,0),
        3
      ),
    "Anniversary/365",
      DATEDIF(
        B30 + IF(INDEX(Input!$K$7:$K1503,ROW()-1),0,1),
        C30 + IF(INDEX(Input!$L$7:$L1503,ROW()-1),1,0),
        "Y"
      )
      +
      (
        (C30 + IF(INDEX(Input!$L$7:$L1503,ROW()-1),1,0))
        -
        EDATE(
          B30 + IF(INDEX(Input!$K$7:$K1503,ROW()-1),0,1),
          12*DATEDIF(
            B30 + IF(INDEX(Input!$K$7:$K1503,ROW()-1),0,1),
            C30 + IF(INDEX(Input!$L$7:$L1503,ROW()-1),1,0),
            "Y"
          )
        )
      ) / 365,
    "Actual/Actual",
      YEARFRAC(
        B30 + IF(INDEX(Input!$K$7:$K1503,ROW()-1),0,1),
        C30 + IF(INDEX(Input!$L$7:$L1503,ROW()-1),1,0),
        1
      ),
      YEARFRAC(
        B30 + IF(INDEX(Input!$K$7:$K1503,ROW()-1),0,1),
        C30 + IF(INDEX(Input!$L$7:$L1503,ROW()-1),1,0),
        3
      )
  )
)</f>
        <v/>
      </c>
      <c r="S30" s="22" t="str">
        <f t="shared" si="4"/>
        <v/>
      </c>
      <c r="T30" s="6" t="str">
        <f t="array" ref="T30">IF(
  B30="",
  ,
  DATEDIF(
    B30 + IF(INDEX(Input!$K$7:$K1503,ROW()-1),0,1),
    C30 + IF(INDEX(Input!$L$7:$L1503,ROW()-1),1,0),
    "Y"
  )
)</f>
        <v/>
      </c>
      <c r="U30" s="6" t="str">
        <f t="array" ref="U30">IF(
  B30="",
  ,
  (C30 + IF(INDEX(Input!$L$7:$L1503,ROW()-1),1,0))
  - EDATE(
      B30 + IF(INDEX(Input!$K$7:$K1503,ROW()-1),0,1),
      12*S30
    )
)</f>
        <v/>
      </c>
      <c r="V30" s="6" t="str">
        <f t="shared" si="5"/>
        <v/>
      </c>
      <c r="W30" s="6" t="str">
        <f t="shared" si="6"/>
        <v/>
      </c>
    </row>
    <row r="31">
      <c r="A31" s="18"/>
      <c r="B31" s="18"/>
      <c r="C31" s="18"/>
      <c r="D31" s="18"/>
      <c r="E31" s="18"/>
      <c r="F31" s="18"/>
      <c r="G31" s="22"/>
      <c r="H31" s="18"/>
      <c r="I31" s="18">
        <v>0.0</v>
      </c>
      <c r="J31" s="18">
        <v>0.0</v>
      </c>
      <c r="K31" s="18"/>
      <c r="L31" s="18"/>
      <c r="M31" s="22" t="str">
        <f t="shared" si="1"/>
        <v/>
      </c>
      <c r="N31" s="18" t="str">
        <f>IF(A31="",,IF(ROW()=2, Input!$C$2 + I31, P30 + I31))</f>
        <v/>
      </c>
      <c r="O31" s="23" t="str">
        <f>IF(A31="",,
 IF(K31="Initial principal",
   Input!$C$2 * M31,
   N31 * M31
 )
)</f>
        <v/>
      </c>
      <c r="P31" s="18" t="str">
        <f t="shared" si="2"/>
        <v/>
      </c>
      <c r="Q31" s="18" t="str">
        <f t="shared" si="3"/>
        <v/>
      </c>
      <c r="R31" s="18" t="str">
        <f t="array" ref="R31">IF(
  B31="",
  ,
  SWITCH(
    Input!$C$4,
    "Actual/365 Fixed",
      YEARFRAC(
        B31 + IF(INDEX(Input!$K$7:$K1503,ROW()-1),0,1),
        C31 + IF(INDEX(Input!$L$7:$L1503,ROW()-1),1,0),
        3
      ),
    "Anniversary/365",
      DATEDIF(
        B31 + IF(INDEX(Input!$K$7:$K1503,ROW()-1),0,1),
        C31 + IF(INDEX(Input!$L$7:$L1503,ROW()-1),1,0),
        "Y"
      )
      +
      (
        (C31 + IF(INDEX(Input!$L$7:$L1503,ROW()-1),1,0))
        -
        EDATE(
          B31 + IF(INDEX(Input!$K$7:$K1503,ROW()-1),0,1),
          12*DATEDIF(
            B31 + IF(INDEX(Input!$K$7:$K1503,ROW()-1),0,1),
            C31 + IF(INDEX(Input!$L$7:$L1503,ROW()-1),1,0),
            "Y"
          )
        )
      ) / 365,
    "Actual/Actual",
      YEARFRAC(
        B31 + IF(INDEX(Input!$K$7:$K1503,ROW()-1),0,1),
        C31 + IF(INDEX(Input!$L$7:$L1503,ROW()-1),1,0),
        1
      ),
      YEARFRAC(
        B31 + IF(INDEX(Input!$K$7:$K1503,ROW()-1),0,1),
        C31 + IF(INDEX(Input!$L$7:$L1503,ROW()-1),1,0),
        3
      )
  )
)</f>
        <v/>
      </c>
      <c r="S31" s="22" t="str">
        <f t="shared" si="4"/>
        <v/>
      </c>
      <c r="T31" s="6" t="str">
        <f t="array" ref="T31">IF(
  B31="",
  ,
  DATEDIF(
    B31 + IF(INDEX(Input!$K$7:$K1503,ROW()-1),0,1),
    C31 + IF(INDEX(Input!$L$7:$L1503,ROW()-1),1,0),
    "Y"
  )
)</f>
        <v/>
      </c>
      <c r="U31" s="6" t="str">
        <f t="array" ref="U31">IF(
  B31="",
  ,
  (C31 + IF(INDEX(Input!$L$7:$L1503,ROW()-1),1,0))
  - EDATE(
      B31 + IF(INDEX(Input!$K$7:$K1503,ROW()-1),0,1),
      12*S31
    )
)</f>
        <v/>
      </c>
      <c r="V31" s="6" t="str">
        <f t="shared" si="5"/>
        <v/>
      </c>
      <c r="W31" s="6" t="str">
        <f t="shared" si="6"/>
        <v/>
      </c>
    </row>
    <row r="32">
      <c r="A32" s="18"/>
      <c r="B32" s="18"/>
      <c r="C32" s="18"/>
      <c r="D32" s="18"/>
      <c r="E32" s="18"/>
      <c r="F32" s="18"/>
      <c r="G32" s="22"/>
      <c r="H32" s="18"/>
      <c r="I32" s="18">
        <v>0.0</v>
      </c>
      <c r="J32" s="18">
        <v>0.0</v>
      </c>
      <c r="K32" s="18"/>
      <c r="L32" s="18"/>
      <c r="M32" s="22" t="str">
        <f t="shared" si="1"/>
        <v/>
      </c>
      <c r="N32" s="18" t="str">
        <f>IF(A32="",,IF(ROW()=2, Input!$C$2 + I32, P31 + I32))</f>
        <v/>
      </c>
      <c r="O32" s="23" t="str">
        <f>IF(A32="",,
 IF(K32="Initial principal",
   Input!$C$2 * M32,
   N32 * M32
 )
)</f>
        <v/>
      </c>
      <c r="P32" s="18" t="str">
        <f t="shared" si="2"/>
        <v/>
      </c>
      <c r="Q32" s="18" t="str">
        <f t="shared" si="3"/>
        <v/>
      </c>
      <c r="R32" s="18" t="str">
        <f t="array" ref="R32">IF(
  B32="",
  ,
  SWITCH(
    Input!$C$4,
    "Actual/365 Fixed",
      YEARFRAC(
        B32 + IF(INDEX(Input!$K$7:$K1503,ROW()-1),0,1),
        C32 + IF(INDEX(Input!$L$7:$L1503,ROW()-1),1,0),
        3
      ),
    "Anniversary/365",
      DATEDIF(
        B32 + IF(INDEX(Input!$K$7:$K1503,ROW()-1),0,1),
        C32 + IF(INDEX(Input!$L$7:$L1503,ROW()-1),1,0),
        "Y"
      )
      +
      (
        (C32 + IF(INDEX(Input!$L$7:$L1503,ROW()-1),1,0))
        -
        EDATE(
          B32 + IF(INDEX(Input!$K$7:$K1503,ROW()-1),0,1),
          12*DATEDIF(
            B32 + IF(INDEX(Input!$K$7:$K1503,ROW()-1),0,1),
            C32 + IF(INDEX(Input!$L$7:$L1503,ROW()-1),1,0),
            "Y"
          )
        )
      ) / 365,
    "Actual/Actual",
      YEARFRAC(
        B32 + IF(INDEX(Input!$K$7:$K1503,ROW()-1),0,1),
        C32 + IF(INDEX(Input!$L$7:$L1503,ROW()-1),1,0),
        1
      ),
      YEARFRAC(
        B32 + IF(INDEX(Input!$K$7:$K1503,ROW()-1),0,1),
        C32 + IF(INDEX(Input!$L$7:$L1503,ROW()-1),1,0),
        3
      )
  )
)</f>
        <v/>
      </c>
      <c r="S32" s="22" t="str">
        <f t="shared" si="4"/>
        <v/>
      </c>
      <c r="T32" s="6" t="str">
        <f t="array" ref="T32">IF(
  B32="",
  ,
  DATEDIF(
    B32 + IF(INDEX(Input!$K$7:$K1503,ROW()-1),0,1),
    C32 + IF(INDEX(Input!$L$7:$L1503,ROW()-1),1,0),
    "Y"
  )
)</f>
        <v/>
      </c>
      <c r="U32" s="6" t="str">
        <f t="array" ref="U32">IF(
  B32="",
  ,
  (C32 + IF(INDEX(Input!$L$7:$L1503,ROW()-1),1,0))
  - EDATE(
      B32 + IF(INDEX(Input!$K$7:$K1503,ROW()-1),0,1),
      12*S32
    )
)</f>
        <v/>
      </c>
      <c r="V32" s="6" t="str">
        <f t="shared" si="5"/>
        <v/>
      </c>
      <c r="W32" s="6" t="str">
        <f t="shared" si="6"/>
        <v/>
      </c>
    </row>
    <row r="33">
      <c r="A33" s="18"/>
      <c r="B33" s="18"/>
      <c r="C33" s="18"/>
      <c r="D33" s="18"/>
      <c r="E33" s="18"/>
      <c r="F33" s="18"/>
      <c r="G33" s="22"/>
      <c r="H33" s="18"/>
      <c r="I33" s="18">
        <v>0.0</v>
      </c>
      <c r="J33" s="18">
        <v>0.0</v>
      </c>
      <c r="K33" s="18"/>
      <c r="L33" s="18"/>
      <c r="M33" s="22" t="str">
        <f t="shared" si="1"/>
        <v/>
      </c>
      <c r="N33" s="18" t="str">
        <f>IF(A33="",,IF(ROW()=2, Input!$C$2 + I33, P32 + I33))</f>
        <v/>
      </c>
      <c r="O33" s="23" t="str">
        <f>IF(A33="",,
 IF(K33="Initial principal",
   Input!$C$2 * M33,
   N33 * M33
 )
)</f>
        <v/>
      </c>
      <c r="P33" s="18" t="str">
        <f t="shared" si="2"/>
        <v/>
      </c>
      <c r="Q33" s="18" t="str">
        <f t="shared" si="3"/>
        <v/>
      </c>
      <c r="R33" s="18" t="str">
        <f t="array" ref="R33">IF(
  B33="",
  ,
  SWITCH(
    Input!$C$4,
    "Actual/365 Fixed",
      YEARFRAC(
        B33 + IF(INDEX(Input!$K$7:$K1503,ROW()-1),0,1),
        C33 + IF(INDEX(Input!$L$7:$L1503,ROW()-1),1,0),
        3
      ),
    "Anniversary/365",
      DATEDIF(
        B33 + IF(INDEX(Input!$K$7:$K1503,ROW()-1),0,1),
        C33 + IF(INDEX(Input!$L$7:$L1503,ROW()-1),1,0),
        "Y"
      )
      +
      (
        (C33 + IF(INDEX(Input!$L$7:$L1503,ROW()-1),1,0))
        -
        EDATE(
          B33 + IF(INDEX(Input!$K$7:$K1503,ROW()-1),0,1),
          12*DATEDIF(
            B33 + IF(INDEX(Input!$K$7:$K1503,ROW()-1),0,1),
            C33 + IF(INDEX(Input!$L$7:$L1503,ROW()-1),1,0),
            "Y"
          )
        )
      ) / 365,
    "Actual/Actual",
      YEARFRAC(
        B33 + IF(INDEX(Input!$K$7:$K1503,ROW()-1),0,1),
        C33 + IF(INDEX(Input!$L$7:$L1503,ROW()-1),1,0),
        1
      ),
      YEARFRAC(
        B33 + IF(INDEX(Input!$K$7:$K1503,ROW()-1),0,1),
        C33 + IF(INDEX(Input!$L$7:$L1503,ROW()-1),1,0),
        3
      )
  )
)</f>
        <v/>
      </c>
      <c r="S33" s="22" t="str">
        <f t="shared" si="4"/>
        <v/>
      </c>
      <c r="T33" s="6" t="str">
        <f t="array" ref="T33">IF(
  B33="",
  ,
  DATEDIF(
    B33 + IF(INDEX(Input!$K$7:$K1503,ROW()-1),0,1),
    C33 + IF(INDEX(Input!$L$7:$L1503,ROW()-1),1,0),
    "Y"
  )
)</f>
        <v/>
      </c>
      <c r="U33" s="6" t="str">
        <f t="array" ref="U33">IF(
  B33="",
  ,
  (C33 + IF(INDEX(Input!$L$7:$L1503,ROW()-1),1,0))
  - EDATE(
      B33 + IF(INDEX(Input!$K$7:$K1503,ROW()-1),0,1),
      12*S33
    )
)</f>
        <v/>
      </c>
      <c r="V33" s="6" t="str">
        <f t="shared" si="5"/>
        <v/>
      </c>
      <c r="W33" s="6" t="str">
        <f t="shared" si="6"/>
        <v/>
      </c>
    </row>
    <row r="34">
      <c r="A34" s="18"/>
      <c r="B34" s="18"/>
      <c r="C34" s="18"/>
      <c r="D34" s="18"/>
      <c r="E34" s="18"/>
      <c r="F34" s="18"/>
      <c r="G34" s="22"/>
      <c r="H34" s="18"/>
      <c r="I34" s="18">
        <v>0.0</v>
      </c>
      <c r="J34" s="18">
        <v>0.0</v>
      </c>
      <c r="K34" s="18"/>
      <c r="L34" s="18"/>
      <c r="M34" s="22" t="str">
        <f t="shared" si="1"/>
        <v/>
      </c>
      <c r="N34" s="18" t="str">
        <f>IF(A34="",,IF(ROW()=2, Input!$C$2 + I34, P33 + I34))</f>
        <v/>
      </c>
      <c r="O34" s="23" t="str">
        <f>IF(A34="",,
 IF(K34="Initial principal",
   Input!$C$2 * M34,
   N34 * M34
 )
)</f>
        <v/>
      </c>
      <c r="P34" s="18" t="str">
        <f t="shared" si="2"/>
        <v/>
      </c>
      <c r="Q34" s="18" t="str">
        <f t="shared" si="3"/>
        <v/>
      </c>
      <c r="R34" s="18" t="str">
        <f t="array" ref="R34">IF(
  B34="",
  ,
  SWITCH(
    Input!$C$4,
    "Actual/365 Fixed",
      YEARFRAC(
        B34 + IF(INDEX(Input!$K$7:$K1503,ROW()-1),0,1),
        C34 + IF(INDEX(Input!$L$7:$L1503,ROW()-1),1,0),
        3
      ),
    "Anniversary/365",
      DATEDIF(
        B34 + IF(INDEX(Input!$K$7:$K1503,ROW()-1),0,1),
        C34 + IF(INDEX(Input!$L$7:$L1503,ROW()-1),1,0),
        "Y"
      )
      +
      (
        (C34 + IF(INDEX(Input!$L$7:$L1503,ROW()-1),1,0))
        -
        EDATE(
          B34 + IF(INDEX(Input!$K$7:$K1503,ROW()-1),0,1),
          12*DATEDIF(
            B34 + IF(INDEX(Input!$K$7:$K1503,ROW()-1),0,1),
            C34 + IF(INDEX(Input!$L$7:$L1503,ROW()-1),1,0),
            "Y"
          )
        )
      ) / 365,
    "Actual/Actual",
      YEARFRAC(
        B34 + IF(INDEX(Input!$K$7:$K1503,ROW()-1),0,1),
        C34 + IF(INDEX(Input!$L$7:$L1503,ROW()-1),1,0),
        1
      ),
      YEARFRAC(
        B34 + IF(INDEX(Input!$K$7:$K1503,ROW()-1),0,1),
        C34 + IF(INDEX(Input!$L$7:$L1503,ROW()-1),1,0),
        3
      )
  )
)</f>
        <v/>
      </c>
      <c r="S34" s="22" t="str">
        <f t="shared" si="4"/>
        <v/>
      </c>
      <c r="T34" s="6" t="str">
        <f t="array" ref="T34">IF(
  B34="",
  ,
  DATEDIF(
    B34 + IF(INDEX(Input!$K$7:$K1503,ROW()-1),0,1),
    C34 + IF(INDEX(Input!$L$7:$L1503,ROW()-1),1,0),
    "Y"
  )
)</f>
        <v/>
      </c>
      <c r="U34" s="6" t="str">
        <f t="array" ref="U34">IF(
  B34="",
  ,
  (C34 + IF(INDEX(Input!$L$7:$L1503,ROW()-1),1,0))
  - EDATE(
      B34 + IF(INDEX(Input!$K$7:$K1503,ROW()-1),0,1),
      12*S34
    )
)</f>
        <v/>
      </c>
      <c r="V34" s="6" t="str">
        <f t="shared" si="5"/>
        <v/>
      </c>
      <c r="W34" s="6" t="str">
        <f t="shared" si="6"/>
        <v/>
      </c>
    </row>
    <row r="35">
      <c r="A35" s="18"/>
      <c r="B35" s="18"/>
      <c r="C35" s="18"/>
      <c r="D35" s="18"/>
      <c r="E35" s="18"/>
      <c r="F35" s="18"/>
      <c r="G35" s="22"/>
      <c r="H35" s="18"/>
      <c r="I35" s="18">
        <v>0.0</v>
      </c>
      <c r="J35" s="18">
        <v>0.0</v>
      </c>
      <c r="K35" s="18"/>
      <c r="L35" s="18"/>
      <c r="M35" s="22" t="str">
        <f t="shared" si="1"/>
        <v/>
      </c>
      <c r="N35" s="18" t="str">
        <f>IF(A35="",,IF(ROW()=2, Input!$C$2 + I35, P34 + I35))</f>
        <v/>
      </c>
      <c r="O35" s="23" t="str">
        <f>IF(A35="",,
 IF(K35="Initial principal",
   Input!$C$2 * M35,
   N35 * M35
 )
)</f>
        <v/>
      </c>
      <c r="P35" s="18" t="str">
        <f t="shared" si="2"/>
        <v/>
      </c>
      <c r="Q35" s="18" t="str">
        <f t="shared" si="3"/>
        <v/>
      </c>
      <c r="R35" s="18" t="str">
        <f t="array" ref="R35">IF(
  B35="",
  ,
  SWITCH(
    Input!$C$4,
    "Actual/365 Fixed",
      YEARFRAC(
        B35 + IF(INDEX(Input!$K$7:$K1503,ROW()-1),0,1),
        C35 + IF(INDEX(Input!$L$7:$L1503,ROW()-1),1,0),
        3
      ),
    "Anniversary/365",
      DATEDIF(
        B35 + IF(INDEX(Input!$K$7:$K1503,ROW()-1),0,1),
        C35 + IF(INDEX(Input!$L$7:$L1503,ROW()-1),1,0),
        "Y"
      )
      +
      (
        (C35 + IF(INDEX(Input!$L$7:$L1503,ROW()-1),1,0))
        -
        EDATE(
          B35 + IF(INDEX(Input!$K$7:$K1503,ROW()-1),0,1),
          12*DATEDIF(
            B35 + IF(INDEX(Input!$K$7:$K1503,ROW()-1),0,1),
            C35 + IF(INDEX(Input!$L$7:$L1503,ROW()-1),1,0),
            "Y"
          )
        )
      ) / 365,
    "Actual/Actual",
      YEARFRAC(
        B35 + IF(INDEX(Input!$K$7:$K1503,ROW()-1),0,1),
        C35 + IF(INDEX(Input!$L$7:$L1503,ROW()-1),1,0),
        1
      ),
      YEARFRAC(
        B35 + IF(INDEX(Input!$K$7:$K1503,ROW()-1),0,1),
        C35 + IF(INDEX(Input!$L$7:$L1503,ROW()-1),1,0),
        3
      )
  )
)</f>
        <v/>
      </c>
      <c r="S35" s="22" t="str">
        <f t="shared" si="4"/>
        <v/>
      </c>
      <c r="T35" s="6" t="str">
        <f t="array" ref="T35">IF(
  B35="",
  ,
  DATEDIF(
    B35 + IF(INDEX(Input!$K$7:$K1503,ROW()-1),0,1),
    C35 + IF(INDEX(Input!$L$7:$L1503,ROW()-1),1,0),
    "Y"
  )
)</f>
        <v/>
      </c>
      <c r="U35" s="6" t="str">
        <f t="array" ref="U35">IF(
  B35="",
  ,
  (C35 + IF(INDEX(Input!$L$7:$L1503,ROW()-1),1,0))
  - EDATE(
      B35 + IF(INDEX(Input!$K$7:$K1503,ROW()-1),0,1),
      12*S35
    )
)</f>
        <v/>
      </c>
      <c r="V35" s="6" t="str">
        <f t="shared" si="5"/>
        <v/>
      </c>
      <c r="W35" s="6" t="str">
        <f t="shared" si="6"/>
        <v/>
      </c>
    </row>
    <row r="36">
      <c r="A36" s="18"/>
      <c r="B36" s="18"/>
      <c r="C36" s="18"/>
      <c r="D36" s="18"/>
      <c r="E36" s="18"/>
      <c r="F36" s="18"/>
      <c r="G36" s="22"/>
      <c r="H36" s="18"/>
      <c r="I36" s="18">
        <v>0.0</v>
      </c>
      <c r="J36" s="18">
        <v>0.0</v>
      </c>
      <c r="K36" s="18"/>
      <c r="L36" s="18"/>
      <c r="M36" s="22" t="str">
        <f t="shared" si="1"/>
        <v/>
      </c>
      <c r="N36" s="18" t="str">
        <f>IF(A36="",,IF(ROW()=2, Input!$C$2 + I36, P35 + I36))</f>
        <v/>
      </c>
      <c r="O36" s="23" t="str">
        <f>IF(A36="",,
 IF(K36="Initial principal",
   Input!$C$2 * M36,
   N36 * M36
 )
)</f>
        <v/>
      </c>
      <c r="P36" s="18" t="str">
        <f t="shared" si="2"/>
        <v/>
      </c>
      <c r="Q36" s="18" t="str">
        <f t="shared" si="3"/>
        <v/>
      </c>
      <c r="R36" s="18" t="str">
        <f t="array" ref="R36">IF(
  B36="",
  ,
  SWITCH(
    Input!$C$4,
    "Actual/365 Fixed",
      YEARFRAC(
        B36 + IF(INDEX(Input!$K$7:$K1503,ROW()-1),0,1),
        C36 + IF(INDEX(Input!$L$7:$L1503,ROW()-1),1,0),
        3
      ),
    "Anniversary/365",
      DATEDIF(
        B36 + IF(INDEX(Input!$K$7:$K1503,ROW()-1),0,1),
        C36 + IF(INDEX(Input!$L$7:$L1503,ROW()-1),1,0),
        "Y"
      )
      +
      (
        (C36 + IF(INDEX(Input!$L$7:$L1503,ROW()-1),1,0))
        -
        EDATE(
          B36 + IF(INDEX(Input!$K$7:$K1503,ROW()-1),0,1),
          12*DATEDIF(
            B36 + IF(INDEX(Input!$K$7:$K1503,ROW()-1),0,1),
            C36 + IF(INDEX(Input!$L$7:$L1503,ROW()-1),1,0),
            "Y"
          )
        )
      ) / 365,
    "Actual/Actual",
      YEARFRAC(
        B36 + IF(INDEX(Input!$K$7:$K1503,ROW()-1),0,1),
        C36 + IF(INDEX(Input!$L$7:$L1503,ROW()-1),1,0),
        1
      ),
      YEARFRAC(
        B36 + IF(INDEX(Input!$K$7:$K1503,ROW()-1),0,1),
        C36 + IF(INDEX(Input!$L$7:$L1503,ROW()-1),1,0),
        3
      )
  )
)</f>
        <v/>
      </c>
      <c r="S36" s="22" t="str">
        <f t="shared" si="4"/>
        <v/>
      </c>
      <c r="T36" s="6" t="str">
        <f t="array" ref="T36">IF(
  B36="",
  ,
  DATEDIF(
    B36 + IF(INDEX(Input!$K$7:$K1503,ROW()-1),0,1),
    C36 + IF(INDEX(Input!$L$7:$L1503,ROW()-1),1,0),
    "Y"
  )
)</f>
        <v/>
      </c>
      <c r="U36" s="6" t="str">
        <f t="array" ref="U36">IF(
  B36="",
  ,
  (C36 + IF(INDEX(Input!$L$7:$L1503,ROW()-1),1,0))
  - EDATE(
      B36 + IF(INDEX(Input!$K$7:$K1503,ROW()-1),0,1),
      12*S36
    )
)</f>
        <v/>
      </c>
      <c r="V36" s="6" t="str">
        <f t="shared" si="5"/>
        <v/>
      </c>
      <c r="W36" s="6" t="str">
        <f t="shared" si="6"/>
        <v/>
      </c>
    </row>
    <row r="37">
      <c r="A37" s="18"/>
      <c r="B37" s="18"/>
      <c r="C37" s="18"/>
      <c r="D37" s="18"/>
      <c r="E37" s="18"/>
      <c r="F37" s="18"/>
      <c r="G37" s="22"/>
      <c r="H37" s="18"/>
      <c r="I37" s="18">
        <v>0.0</v>
      </c>
      <c r="J37" s="18">
        <v>0.0</v>
      </c>
      <c r="K37" s="18"/>
      <c r="L37" s="18"/>
      <c r="M37" s="22" t="str">
        <f t="shared" si="1"/>
        <v/>
      </c>
      <c r="N37" s="18" t="str">
        <f>IF(A37="",,IF(ROW()=2, Input!$C$2 + I37, P36 + I37))</f>
        <v/>
      </c>
      <c r="O37" s="23" t="str">
        <f>IF(A37="",,
 IF(K37="Initial principal",
   Input!$C$2 * M37,
   N37 * M37
 )
)</f>
        <v/>
      </c>
      <c r="P37" s="18" t="str">
        <f t="shared" si="2"/>
        <v/>
      </c>
      <c r="Q37" s="18" t="str">
        <f t="shared" si="3"/>
        <v/>
      </c>
      <c r="R37" s="18" t="str">
        <f t="array" ref="R37">IF(
  B37="",
  ,
  SWITCH(
    Input!$C$4,
    "Actual/365 Fixed",
      YEARFRAC(
        B37 + IF(INDEX(Input!$K$7:$K1503,ROW()-1),0,1),
        C37 + IF(INDEX(Input!$L$7:$L1503,ROW()-1),1,0),
        3
      ),
    "Anniversary/365",
      DATEDIF(
        B37 + IF(INDEX(Input!$K$7:$K1503,ROW()-1),0,1),
        C37 + IF(INDEX(Input!$L$7:$L1503,ROW()-1),1,0),
        "Y"
      )
      +
      (
        (C37 + IF(INDEX(Input!$L$7:$L1503,ROW()-1),1,0))
        -
        EDATE(
          B37 + IF(INDEX(Input!$K$7:$K1503,ROW()-1),0,1),
          12*DATEDIF(
            B37 + IF(INDEX(Input!$K$7:$K1503,ROW()-1),0,1),
            C37 + IF(INDEX(Input!$L$7:$L1503,ROW()-1),1,0),
            "Y"
          )
        )
      ) / 365,
    "Actual/Actual",
      YEARFRAC(
        B37 + IF(INDEX(Input!$K$7:$K1503,ROW()-1),0,1),
        C37 + IF(INDEX(Input!$L$7:$L1503,ROW()-1),1,0),
        1
      ),
      YEARFRAC(
        B37 + IF(INDEX(Input!$K$7:$K1503,ROW()-1),0,1),
        C37 + IF(INDEX(Input!$L$7:$L1503,ROW()-1),1,0),
        3
      )
  )
)</f>
        <v/>
      </c>
      <c r="S37" s="22" t="str">
        <f t="shared" si="4"/>
        <v/>
      </c>
      <c r="T37" s="6" t="str">
        <f t="array" ref="T37">IF(
  B37="",
  ,
  DATEDIF(
    B37 + IF(INDEX(Input!$K$7:$K1503,ROW()-1),0,1),
    C37 + IF(INDEX(Input!$L$7:$L1503,ROW()-1),1,0),
    "Y"
  )
)</f>
        <v/>
      </c>
      <c r="U37" s="6" t="str">
        <f t="array" ref="U37">IF(
  B37="",
  ,
  (C37 + IF(INDEX(Input!$L$7:$L1503,ROW()-1),1,0))
  - EDATE(
      B37 + IF(INDEX(Input!$K$7:$K1503,ROW()-1),0,1),
      12*S37
    )
)</f>
        <v/>
      </c>
      <c r="V37" s="6" t="str">
        <f t="shared" si="5"/>
        <v/>
      </c>
      <c r="W37" s="6" t="str">
        <f t="shared" si="6"/>
        <v/>
      </c>
    </row>
    <row r="38">
      <c r="A38" s="18"/>
      <c r="B38" s="18"/>
      <c r="C38" s="18"/>
      <c r="D38" s="18"/>
      <c r="E38" s="18"/>
      <c r="F38" s="18"/>
      <c r="G38" s="22"/>
      <c r="H38" s="18"/>
      <c r="I38" s="18">
        <v>0.0</v>
      </c>
      <c r="J38" s="18">
        <v>0.0</v>
      </c>
      <c r="K38" s="18"/>
      <c r="L38" s="18"/>
      <c r="M38" s="22" t="str">
        <f t="shared" si="1"/>
        <v/>
      </c>
      <c r="N38" s="18" t="str">
        <f>IF(A38="",,IF(ROW()=2, Input!$C$2 + I38, P37 + I38))</f>
        <v/>
      </c>
      <c r="O38" s="23" t="str">
        <f>IF(A38="",,
 IF(K38="Initial principal",
   Input!$C$2 * M38,
   N38 * M38
 )
)</f>
        <v/>
      </c>
      <c r="P38" s="18" t="str">
        <f t="shared" si="2"/>
        <v/>
      </c>
      <c r="Q38" s="18" t="str">
        <f t="shared" si="3"/>
        <v/>
      </c>
      <c r="R38" s="18" t="str">
        <f t="array" ref="R38">IF(
  B38="",
  ,
  SWITCH(
    Input!$C$4,
    "Actual/365 Fixed",
      YEARFRAC(
        B38 + IF(INDEX(Input!$K$7:$K1503,ROW()-1),0,1),
        C38 + IF(INDEX(Input!$L$7:$L1503,ROW()-1),1,0),
        3
      ),
    "Anniversary/365",
      DATEDIF(
        B38 + IF(INDEX(Input!$K$7:$K1503,ROW()-1),0,1),
        C38 + IF(INDEX(Input!$L$7:$L1503,ROW()-1),1,0),
        "Y"
      )
      +
      (
        (C38 + IF(INDEX(Input!$L$7:$L1503,ROW()-1),1,0))
        -
        EDATE(
          B38 + IF(INDEX(Input!$K$7:$K1503,ROW()-1),0,1),
          12*DATEDIF(
            B38 + IF(INDEX(Input!$K$7:$K1503,ROW()-1),0,1),
            C38 + IF(INDEX(Input!$L$7:$L1503,ROW()-1),1,0),
            "Y"
          )
        )
      ) / 365,
    "Actual/Actual",
      YEARFRAC(
        B38 + IF(INDEX(Input!$K$7:$K1503,ROW()-1),0,1),
        C38 + IF(INDEX(Input!$L$7:$L1503,ROW()-1),1,0),
        1
      ),
      YEARFRAC(
        B38 + IF(INDEX(Input!$K$7:$K1503,ROW()-1),0,1),
        C38 + IF(INDEX(Input!$L$7:$L1503,ROW()-1),1,0),
        3
      )
  )
)</f>
        <v/>
      </c>
      <c r="S38" s="22" t="str">
        <f t="shared" si="4"/>
        <v/>
      </c>
      <c r="T38" s="6" t="str">
        <f t="array" ref="T38">IF(
  B38="",
  ,
  DATEDIF(
    B38 + IF(INDEX(Input!$K$7:$K1503,ROW()-1),0,1),
    C38 + IF(INDEX(Input!$L$7:$L1503,ROW()-1),1,0),
    "Y"
  )
)</f>
        <v/>
      </c>
      <c r="U38" s="6" t="str">
        <f t="array" ref="U38">IF(
  B38="",
  ,
  (C38 + IF(INDEX(Input!$L$7:$L1503,ROW()-1),1,0))
  - EDATE(
      B38 + IF(INDEX(Input!$K$7:$K1503,ROW()-1),0,1),
      12*S38
    )
)</f>
        <v/>
      </c>
      <c r="V38" s="6" t="str">
        <f t="shared" si="5"/>
        <v/>
      </c>
      <c r="W38" s="6" t="str">
        <f t="shared" si="6"/>
        <v/>
      </c>
    </row>
    <row r="39">
      <c r="A39" s="18"/>
      <c r="B39" s="18"/>
      <c r="C39" s="18"/>
      <c r="D39" s="18"/>
      <c r="E39" s="18"/>
      <c r="F39" s="18"/>
      <c r="G39" s="22"/>
      <c r="H39" s="18"/>
      <c r="I39" s="18">
        <v>0.0</v>
      </c>
      <c r="J39" s="18">
        <v>0.0</v>
      </c>
      <c r="K39" s="18"/>
      <c r="L39" s="18"/>
      <c r="M39" s="22" t="str">
        <f t="shared" si="1"/>
        <v/>
      </c>
      <c r="N39" s="18" t="str">
        <f>IF(A39="",,IF(ROW()=2, Input!$C$2 + I39, P38 + I39))</f>
        <v/>
      </c>
      <c r="O39" s="23" t="str">
        <f>IF(A39="",,
 IF(K39="Initial principal",
   Input!$C$2 * M39,
   N39 * M39
 )
)</f>
        <v/>
      </c>
      <c r="P39" s="18" t="str">
        <f t="shared" si="2"/>
        <v/>
      </c>
      <c r="Q39" s="18" t="str">
        <f t="shared" si="3"/>
        <v/>
      </c>
      <c r="R39" s="18" t="str">
        <f t="array" ref="R39">IF(
  B39="",
  ,
  SWITCH(
    Input!$C$4,
    "Actual/365 Fixed",
      YEARFRAC(
        B39 + IF(INDEX(Input!$K$7:$K1503,ROW()-1),0,1),
        C39 + IF(INDEX(Input!$L$7:$L1503,ROW()-1),1,0),
        3
      ),
    "Anniversary/365",
      DATEDIF(
        B39 + IF(INDEX(Input!$K$7:$K1503,ROW()-1),0,1),
        C39 + IF(INDEX(Input!$L$7:$L1503,ROW()-1),1,0),
        "Y"
      )
      +
      (
        (C39 + IF(INDEX(Input!$L$7:$L1503,ROW()-1),1,0))
        -
        EDATE(
          B39 + IF(INDEX(Input!$K$7:$K1503,ROW()-1),0,1),
          12*DATEDIF(
            B39 + IF(INDEX(Input!$K$7:$K1503,ROW()-1),0,1),
            C39 + IF(INDEX(Input!$L$7:$L1503,ROW()-1),1,0),
            "Y"
          )
        )
      ) / 365,
    "Actual/Actual",
      YEARFRAC(
        B39 + IF(INDEX(Input!$K$7:$K1503,ROW()-1),0,1),
        C39 + IF(INDEX(Input!$L$7:$L1503,ROW()-1),1,0),
        1
      ),
      YEARFRAC(
        B39 + IF(INDEX(Input!$K$7:$K1503,ROW()-1),0,1),
        C39 + IF(INDEX(Input!$L$7:$L1503,ROW()-1),1,0),
        3
      )
  )
)</f>
        <v/>
      </c>
      <c r="S39" s="22" t="str">
        <f t="shared" si="4"/>
        <v/>
      </c>
      <c r="T39" s="6" t="str">
        <f t="array" ref="T39">IF(
  B39="",
  ,
  DATEDIF(
    B39 + IF(INDEX(Input!$K$7:$K1503,ROW()-1),0,1),
    C39 + IF(INDEX(Input!$L$7:$L1503,ROW()-1),1,0),
    "Y"
  )
)</f>
        <v/>
      </c>
      <c r="U39" s="6" t="str">
        <f t="array" ref="U39">IF(
  B39="",
  ,
  (C39 + IF(INDEX(Input!$L$7:$L1503,ROW()-1),1,0))
  - EDATE(
      B39 + IF(INDEX(Input!$K$7:$K1503,ROW()-1),0,1),
      12*S39
    )
)</f>
        <v/>
      </c>
      <c r="V39" s="6" t="str">
        <f t="shared" si="5"/>
        <v/>
      </c>
      <c r="W39" s="6" t="str">
        <f t="shared" si="6"/>
        <v/>
      </c>
    </row>
    <row r="40">
      <c r="A40" s="18"/>
      <c r="B40" s="18"/>
      <c r="C40" s="18"/>
      <c r="D40" s="18"/>
      <c r="E40" s="18"/>
      <c r="F40" s="18"/>
      <c r="G40" s="22"/>
      <c r="H40" s="18"/>
      <c r="I40" s="18">
        <v>0.0</v>
      </c>
      <c r="J40" s="18">
        <v>0.0</v>
      </c>
      <c r="K40" s="18"/>
      <c r="L40" s="18"/>
      <c r="M40" s="22" t="str">
        <f t="shared" si="1"/>
        <v/>
      </c>
      <c r="N40" s="18" t="str">
        <f>IF(A40="",,IF(ROW()=2, Input!$C$2 + I40, P39 + I40))</f>
        <v/>
      </c>
      <c r="O40" s="23" t="str">
        <f>IF(A40="",,
 IF(K40="Initial principal",
   Input!$C$2 * M40,
   N40 * M40
 )
)</f>
        <v/>
      </c>
      <c r="P40" s="18" t="str">
        <f t="shared" si="2"/>
        <v/>
      </c>
      <c r="Q40" s="18" t="str">
        <f t="shared" si="3"/>
        <v/>
      </c>
      <c r="R40" s="18" t="str">
        <f t="array" ref="R40">IF(
  B40="",
  ,
  SWITCH(
    Input!$C$4,
    "Actual/365 Fixed",
      YEARFRAC(
        B40 + IF(INDEX(Input!$K$7:$K1503,ROW()-1),0,1),
        C40 + IF(INDEX(Input!$L$7:$L1503,ROW()-1),1,0),
        3
      ),
    "Anniversary/365",
      DATEDIF(
        B40 + IF(INDEX(Input!$K$7:$K1503,ROW()-1),0,1),
        C40 + IF(INDEX(Input!$L$7:$L1503,ROW()-1),1,0),
        "Y"
      )
      +
      (
        (C40 + IF(INDEX(Input!$L$7:$L1503,ROW()-1),1,0))
        -
        EDATE(
          B40 + IF(INDEX(Input!$K$7:$K1503,ROW()-1),0,1),
          12*DATEDIF(
            B40 + IF(INDEX(Input!$K$7:$K1503,ROW()-1),0,1),
            C40 + IF(INDEX(Input!$L$7:$L1503,ROW()-1),1,0),
            "Y"
          )
        )
      ) / 365,
    "Actual/Actual",
      YEARFRAC(
        B40 + IF(INDEX(Input!$K$7:$K1503,ROW()-1),0,1),
        C40 + IF(INDEX(Input!$L$7:$L1503,ROW()-1),1,0),
        1
      ),
      YEARFRAC(
        B40 + IF(INDEX(Input!$K$7:$K1503,ROW()-1),0,1),
        C40 + IF(INDEX(Input!$L$7:$L1503,ROW()-1),1,0),
        3
      )
  )
)</f>
        <v/>
      </c>
      <c r="S40" s="22" t="str">
        <f t="shared" si="4"/>
        <v/>
      </c>
      <c r="T40" s="6" t="str">
        <f t="array" ref="T40">IF(
  B40="",
  ,
  DATEDIF(
    B40 + IF(INDEX(Input!$K$7:$K1503,ROW()-1),0,1),
    C40 + IF(INDEX(Input!$L$7:$L1503,ROW()-1),1,0),
    "Y"
  )
)</f>
        <v/>
      </c>
      <c r="U40" s="6" t="str">
        <f t="array" ref="U40">IF(
  B40="",
  ,
  (C40 + IF(INDEX(Input!$L$7:$L1503,ROW()-1),1,0))
  - EDATE(
      B40 + IF(INDEX(Input!$K$7:$K1503,ROW()-1),0,1),
      12*S40
    )
)</f>
        <v/>
      </c>
      <c r="V40" s="6" t="str">
        <f t="shared" si="5"/>
        <v/>
      </c>
      <c r="W40" s="6" t="str">
        <f t="shared" si="6"/>
        <v/>
      </c>
    </row>
    <row r="41">
      <c r="A41" s="18"/>
      <c r="B41" s="18"/>
      <c r="C41" s="18"/>
      <c r="D41" s="18"/>
      <c r="E41" s="18"/>
      <c r="F41" s="18"/>
      <c r="G41" s="22"/>
      <c r="H41" s="18"/>
      <c r="I41" s="18">
        <v>0.0</v>
      </c>
      <c r="J41" s="18">
        <v>0.0</v>
      </c>
      <c r="K41" s="18"/>
      <c r="L41" s="18"/>
      <c r="M41" s="22" t="str">
        <f t="shared" si="1"/>
        <v/>
      </c>
      <c r="N41" s="18" t="str">
        <f>IF(A41="",,IF(ROW()=2, Input!$C$2 + I41, P40 + I41))</f>
        <v/>
      </c>
      <c r="O41" s="23" t="str">
        <f>IF(A41="",,
 IF(K41="Initial principal",
   Input!$C$2 * M41,
   N41 * M41
 )
)</f>
        <v/>
      </c>
      <c r="P41" s="18" t="str">
        <f t="shared" si="2"/>
        <v/>
      </c>
      <c r="Q41" s="18" t="str">
        <f t="shared" si="3"/>
        <v/>
      </c>
      <c r="R41" s="18" t="str">
        <f t="array" ref="R41">IF(
  B41="",
  ,
  SWITCH(
    Input!$C$4,
    "Actual/365 Fixed",
      YEARFRAC(
        B41 + IF(INDEX(Input!$K$7:$K1503,ROW()-1),0,1),
        C41 + IF(INDEX(Input!$L$7:$L1503,ROW()-1),1,0),
        3
      ),
    "Anniversary/365",
      DATEDIF(
        B41 + IF(INDEX(Input!$K$7:$K1503,ROW()-1),0,1),
        C41 + IF(INDEX(Input!$L$7:$L1503,ROW()-1),1,0),
        "Y"
      )
      +
      (
        (C41 + IF(INDEX(Input!$L$7:$L1503,ROW()-1),1,0))
        -
        EDATE(
          B41 + IF(INDEX(Input!$K$7:$K1503,ROW()-1),0,1),
          12*DATEDIF(
            B41 + IF(INDEX(Input!$K$7:$K1503,ROW()-1),0,1),
            C41 + IF(INDEX(Input!$L$7:$L1503,ROW()-1),1,0),
            "Y"
          )
        )
      ) / 365,
    "Actual/Actual",
      YEARFRAC(
        B41 + IF(INDEX(Input!$K$7:$K1503,ROW()-1),0,1),
        C41 + IF(INDEX(Input!$L$7:$L1503,ROW()-1),1,0),
        1
      ),
      YEARFRAC(
        B41 + IF(INDEX(Input!$K$7:$K1503,ROW()-1),0,1),
        C41 + IF(INDEX(Input!$L$7:$L1503,ROW()-1),1,0),
        3
      )
  )
)</f>
        <v/>
      </c>
      <c r="S41" s="22" t="str">
        <f t="shared" si="4"/>
        <v/>
      </c>
      <c r="T41" s="6" t="str">
        <f t="array" ref="T41">IF(
  B41="",
  ,
  DATEDIF(
    B41 + IF(INDEX(Input!$K$7:$K1503,ROW()-1),0,1),
    C41 + IF(INDEX(Input!$L$7:$L1503,ROW()-1),1,0),
    "Y"
  )
)</f>
        <v/>
      </c>
      <c r="U41" s="6" t="str">
        <f t="array" ref="U41">IF(
  B41="",
  ,
  (C41 + IF(INDEX(Input!$L$7:$L1503,ROW()-1),1,0))
  - EDATE(
      B41 + IF(INDEX(Input!$K$7:$K1503,ROW()-1),0,1),
      12*S41
    )
)</f>
        <v/>
      </c>
      <c r="V41" s="6" t="str">
        <f t="shared" si="5"/>
        <v/>
      </c>
      <c r="W41" s="6" t="str">
        <f t="shared" si="6"/>
        <v/>
      </c>
    </row>
    <row r="42">
      <c r="A42" s="18"/>
      <c r="B42" s="18"/>
      <c r="C42" s="18"/>
      <c r="D42" s="18"/>
      <c r="E42" s="18"/>
      <c r="F42" s="18"/>
      <c r="G42" s="22"/>
      <c r="H42" s="18"/>
      <c r="I42" s="18">
        <v>0.0</v>
      </c>
      <c r="J42" s="18">
        <v>0.0</v>
      </c>
      <c r="K42" s="18"/>
      <c r="L42" s="18"/>
      <c r="M42" s="22" t="str">
        <f t="shared" si="1"/>
        <v/>
      </c>
      <c r="N42" s="18" t="str">
        <f>IF(A42="",,IF(ROW()=2, Input!$C$2 + I42, P41 + I42))</f>
        <v/>
      </c>
      <c r="O42" s="23" t="str">
        <f>IF(A42="",,
 IF(K42="Initial principal",
   Input!$C$2 * M42,
   N42 * M42
 )
)</f>
        <v/>
      </c>
      <c r="P42" s="18" t="str">
        <f t="shared" si="2"/>
        <v/>
      </c>
      <c r="Q42" s="18" t="str">
        <f t="shared" si="3"/>
        <v/>
      </c>
      <c r="R42" s="18" t="str">
        <f t="array" ref="R42">IF(
  B42="",
  ,
  SWITCH(
    Input!$C$4,
    "Actual/365 Fixed",
      YEARFRAC(
        B42 + IF(INDEX(Input!$K$7:$K1503,ROW()-1),0,1),
        C42 + IF(INDEX(Input!$L$7:$L1503,ROW()-1),1,0),
        3
      ),
    "Anniversary/365",
      DATEDIF(
        B42 + IF(INDEX(Input!$K$7:$K1503,ROW()-1),0,1),
        C42 + IF(INDEX(Input!$L$7:$L1503,ROW()-1),1,0),
        "Y"
      )
      +
      (
        (C42 + IF(INDEX(Input!$L$7:$L1503,ROW()-1),1,0))
        -
        EDATE(
          B42 + IF(INDEX(Input!$K$7:$K1503,ROW()-1),0,1),
          12*DATEDIF(
            B42 + IF(INDEX(Input!$K$7:$K1503,ROW()-1),0,1),
            C42 + IF(INDEX(Input!$L$7:$L1503,ROW()-1),1,0),
            "Y"
          )
        )
      ) / 365,
    "Actual/Actual",
      YEARFRAC(
        B42 + IF(INDEX(Input!$K$7:$K1503,ROW()-1),0,1),
        C42 + IF(INDEX(Input!$L$7:$L1503,ROW()-1),1,0),
        1
      ),
      YEARFRAC(
        B42 + IF(INDEX(Input!$K$7:$K1503,ROW()-1),0,1),
        C42 + IF(INDEX(Input!$L$7:$L1503,ROW()-1),1,0),
        3
      )
  )
)</f>
        <v/>
      </c>
      <c r="S42" s="22" t="str">
        <f t="shared" si="4"/>
        <v/>
      </c>
      <c r="T42" s="6" t="str">
        <f t="array" ref="T42">IF(
  B42="",
  ,
  DATEDIF(
    B42 + IF(INDEX(Input!$K$7:$K1503,ROW()-1),0,1),
    C42 + IF(INDEX(Input!$L$7:$L1503,ROW()-1),1,0),
    "Y"
  )
)</f>
        <v/>
      </c>
      <c r="U42" s="6" t="str">
        <f t="array" ref="U42">IF(
  B42="",
  ,
  (C42 + IF(INDEX(Input!$L$7:$L1503,ROW()-1),1,0))
  - EDATE(
      B42 + IF(INDEX(Input!$K$7:$K1503,ROW()-1),0,1),
      12*S42
    )
)</f>
        <v/>
      </c>
      <c r="V42" s="6" t="str">
        <f t="shared" si="5"/>
        <v/>
      </c>
      <c r="W42" s="6" t="str">
        <f t="shared" si="6"/>
        <v/>
      </c>
    </row>
    <row r="43">
      <c r="A43" s="18"/>
      <c r="B43" s="18"/>
      <c r="C43" s="18"/>
      <c r="D43" s="18"/>
      <c r="E43" s="18"/>
      <c r="F43" s="18"/>
      <c r="G43" s="22"/>
      <c r="H43" s="18"/>
      <c r="I43" s="18">
        <v>0.0</v>
      </c>
      <c r="J43" s="18">
        <v>0.0</v>
      </c>
      <c r="K43" s="18"/>
      <c r="L43" s="18"/>
      <c r="M43" s="22" t="str">
        <f t="shared" si="1"/>
        <v/>
      </c>
      <c r="N43" s="18" t="str">
        <f>IF(A43="",,IF(ROW()=2, Input!$C$2 + I43, P42 + I43))</f>
        <v/>
      </c>
      <c r="O43" s="23" t="str">
        <f>IF(A43="",,
 IF(K43="Initial principal",
   Input!$C$2 * M43,
   N43 * M43
 )
)</f>
        <v/>
      </c>
      <c r="P43" s="18" t="str">
        <f t="shared" si="2"/>
        <v/>
      </c>
      <c r="Q43" s="18" t="str">
        <f t="shared" si="3"/>
        <v/>
      </c>
      <c r="R43" s="18" t="str">
        <f t="array" ref="R43">IF(
  B43="",
  ,
  SWITCH(
    Input!$C$4,
    "Actual/365 Fixed",
      YEARFRAC(
        B43 + IF(INDEX(Input!$K$7:$K1503,ROW()-1),0,1),
        C43 + IF(INDEX(Input!$L$7:$L1503,ROW()-1),1,0),
        3
      ),
    "Anniversary/365",
      DATEDIF(
        B43 + IF(INDEX(Input!$K$7:$K1503,ROW()-1),0,1),
        C43 + IF(INDEX(Input!$L$7:$L1503,ROW()-1),1,0),
        "Y"
      )
      +
      (
        (C43 + IF(INDEX(Input!$L$7:$L1503,ROW()-1),1,0))
        -
        EDATE(
          B43 + IF(INDEX(Input!$K$7:$K1503,ROW()-1),0,1),
          12*DATEDIF(
            B43 + IF(INDEX(Input!$K$7:$K1503,ROW()-1),0,1),
            C43 + IF(INDEX(Input!$L$7:$L1503,ROW()-1),1,0),
            "Y"
          )
        )
      ) / 365,
    "Actual/Actual",
      YEARFRAC(
        B43 + IF(INDEX(Input!$K$7:$K1503,ROW()-1),0,1),
        C43 + IF(INDEX(Input!$L$7:$L1503,ROW()-1),1,0),
        1
      ),
      YEARFRAC(
        B43 + IF(INDEX(Input!$K$7:$K1503,ROW()-1),0,1),
        C43 + IF(INDEX(Input!$L$7:$L1503,ROW()-1),1,0),
        3
      )
  )
)</f>
        <v/>
      </c>
      <c r="S43" s="22" t="str">
        <f t="shared" si="4"/>
        <v/>
      </c>
      <c r="T43" s="6" t="str">
        <f t="array" ref="T43">IF(
  B43="",
  ,
  DATEDIF(
    B43 + IF(INDEX(Input!$K$7:$K1503,ROW()-1),0,1),
    C43 + IF(INDEX(Input!$L$7:$L1503,ROW()-1),1,0),
    "Y"
  )
)</f>
        <v/>
      </c>
      <c r="U43" s="6" t="str">
        <f t="array" ref="U43">IF(
  B43="",
  ,
  (C43 + IF(INDEX(Input!$L$7:$L1503,ROW()-1),1,0))
  - EDATE(
      B43 + IF(INDEX(Input!$K$7:$K1503,ROW()-1),0,1),
      12*S43
    )
)</f>
        <v/>
      </c>
      <c r="V43" s="6" t="str">
        <f t="shared" si="5"/>
        <v/>
      </c>
      <c r="W43" s="6" t="str">
        <f t="shared" si="6"/>
        <v/>
      </c>
    </row>
    <row r="44">
      <c r="A44" s="18"/>
      <c r="B44" s="18"/>
      <c r="C44" s="18"/>
      <c r="D44" s="18"/>
      <c r="E44" s="18"/>
      <c r="F44" s="18"/>
      <c r="G44" s="22"/>
      <c r="H44" s="18"/>
      <c r="I44" s="18">
        <v>0.0</v>
      </c>
      <c r="J44" s="18">
        <v>0.0</v>
      </c>
      <c r="K44" s="18"/>
      <c r="L44" s="18"/>
      <c r="M44" s="22" t="str">
        <f t="shared" si="1"/>
        <v/>
      </c>
      <c r="N44" s="18" t="str">
        <f>IF(A44="",,IF(ROW()=2, Input!$C$2 + I44, P43 + I44))</f>
        <v/>
      </c>
      <c r="O44" s="23" t="str">
        <f>IF(A44="",,
 IF(K44="Initial principal",
   Input!$C$2 * M44,
   N44 * M44
 )
)</f>
        <v/>
      </c>
      <c r="P44" s="18" t="str">
        <f t="shared" si="2"/>
        <v/>
      </c>
      <c r="Q44" s="18" t="str">
        <f t="shared" si="3"/>
        <v/>
      </c>
      <c r="R44" s="18" t="str">
        <f t="array" ref="R44">IF(
  B44="",
  ,
  SWITCH(
    Input!$C$4,
    "Actual/365 Fixed",
      YEARFRAC(
        B44 + IF(INDEX(Input!$K$7:$K1503,ROW()-1),0,1),
        C44 + IF(INDEX(Input!$L$7:$L1503,ROW()-1),1,0),
        3
      ),
    "Anniversary/365",
      DATEDIF(
        B44 + IF(INDEX(Input!$K$7:$K1503,ROW()-1),0,1),
        C44 + IF(INDEX(Input!$L$7:$L1503,ROW()-1),1,0),
        "Y"
      )
      +
      (
        (C44 + IF(INDEX(Input!$L$7:$L1503,ROW()-1),1,0))
        -
        EDATE(
          B44 + IF(INDEX(Input!$K$7:$K1503,ROW()-1),0,1),
          12*DATEDIF(
            B44 + IF(INDEX(Input!$K$7:$K1503,ROW()-1),0,1),
            C44 + IF(INDEX(Input!$L$7:$L1503,ROW()-1),1,0),
            "Y"
          )
        )
      ) / 365,
    "Actual/Actual",
      YEARFRAC(
        B44 + IF(INDEX(Input!$K$7:$K1503,ROW()-1),0,1),
        C44 + IF(INDEX(Input!$L$7:$L1503,ROW()-1),1,0),
        1
      ),
      YEARFRAC(
        B44 + IF(INDEX(Input!$K$7:$K1503,ROW()-1),0,1),
        C44 + IF(INDEX(Input!$L$7:$L1503,ROW()-1),1,0),
        3
      )
  )
)</f>
        <v/>
      </c>
      <c r="S44" s="22" t="str">
        <f t="shared" si="4"/>
        <v/>
      </c>
      <c r="T44" s="6" t="str">
        <f t="array" ref="T44">IF(
  B44="",
  ,
  DATEDIF(
    B44 + IF(INDEX(Input!$K$7:$K1503,ROW()-1),0,1),
    C44 + IF(INDEX(Input!$L$7:$L1503,ROW()-1),1,0),
    "Y"
  )
)</f>
        <v/>
      </c>
      <c r="U44" s="6" t="str">
        <f t="array" ref="U44">IF(
  B44="",
  ,
  (C44 + IF(INDEX(Input!$L$7:$L1503,ROW()-1),1,0))
  - EDATE(
      B44 + IF(INDEX(Input!$K$7:$K1503,ROW()-1),0,1),
      12*S44
    )
)</f>
        <v/>
      </c>
      <c r="V44" s="6" t="str">
        <f t="shared" si="5"/>
        <v/>
      </c>
      <c r="W44" s="6" t="str">
        <f t="shared" si="6"/>
        <v/>
      </c>
    </row>
    <row r="45">
      <c r="A45" s="18"/>
      <c r="B45" s="18"/>
      <c r="C45" s="18"/>
      <c r="D45" s="18"/>
      <c r="E45" s="18"/>
      <c r="F45" s="18"/>
      <c r="G45" s="22"/>
      <c r="H45" s="18"/>
      <c r="I45" s="18">
        <v>0.0</v>
      </c>
      <c r="J45" s="18">
        <v>0.0</v>
      </c>
      <c r="K45" s="18"/>
      <c r="L45" s="18"/>
      <c r="M45" s="22" t="str">
        <f t="shared" si="1"/>
        <v/>
      </c>
      <c r="N45" s="18" t="str">
        <f>IF(A45="",,IF(ROW()=2, Input!$C$2 + I45, P44 + I45))</f>
        <v/>
      </c>
      <c r="O45" s="23" t="str">
        <f>IF(A45="",,
 IF(K45="Initial principal",
   Input!$C$2 * M45,
   N45 * M45
 )
)</f>
        <v/>
      </c>
      <c r="P45" s="18" t="str">
        <f t="shared" si="2"/>
        <v/>
      </c>
      <c r="Q45" s="18" t="str">
        <f t="shared" si="3"/>
        <v/>
      </c>
      <c r="R45" s="18" t="str">
        <f t="array" ref="R45">IF(
  B45="",
  ,
  SWITCH(
    Input!$C$4,
    "Actual/365 Fixed",
      YEARFRAC(
        B45 + IF(INDEX(Input!$K$7:$K1503,ROW()-1),0,1),
        C45 + IF(INDEX(Input!$L$7:$L1503,ROW()-1),1,0),
        3
      ),
    "Anniversary/365",
      DATEDIF(
        B45 + IF(INDEX(Input!$K$7:$K1503,ROW()-1),0,1),
        C45 + IF(INDEX(Input!$L$7:$L1503,ROW()-1),1,0),
        "Y"
      )
      +
      (
        (C45 + IF(INDEX(Input!$L$7:$L1503,ROW()-1),1,0))
        -
        EDATE(
          B45 + IF(INDEX(Input!$K$7:$K1503,ROW()-1),0,1),
          12*DATEDIF(
            B45 + IF(INDEX(Input!$K$7:$K1503,ROW()-1),0,1),
            C45 + IF(INDEX(Input!$L$7:$L1503,ROW()-1),1,0),
            "Y"
          )
        )
      ) / 365,
    "Actual/Actual",
      YEARFRAC(
        B45 + IF(INDEX(Input!$K$7:$K1503,ROW()-1),0,1),
        C45 + IF(INDEX(Input!$L$7:$L1503,ROW()-1),1,0),
        1
      ),
      YEARFRAC(
        B45 + IF(INDEX(Input!$K$7:$K1503,ROW()-1),0,1),
        C45 + IF(INDEX(Input!$L$7:$L1503,ROW()-1),1,0),
        3
      )
  )
)</f>
        <v/>
      </c>
      <c r="S45" s="22" t="str">
        <f t="shared" si="4"/>
        <v/>
      </c>
      <c r="T45" s="6" t="str">
        <f t="array" ref="T45">IF(
  B45="",
  ,
  DATEDIF(
    B45 + IF(INDEX(Input!$K$7:$K1503,ROW()-1),0,1),
    C45 + IF(INDEX(Input!$L$7:$L1503,ROW()-1),1,0),
    "Y"
  )
)</f>
        <v/>
      </c>
      <c r="U45" s="6" t="str">
        <f t="array" ref="U45">IF(
  B45="",
  ,
  (C45 + IF(INDEX(Input!$L$7:$L1503,ROW()-1),1,0))
  - EDATE(
      B45 + IF(INDEX(Input!$K$7:$K1503,ROW()-1),0,1),
      12*S45
    )
)</f>
        <v/>
      </c>
      <c r="V45" s="6" t="str">
        <f t="shared" si="5"/>
        <v/>
      </c>
      <c r="W45" s="6" t="str">
        <f t="shared" si="6"/>
        <v/>
      </c>
    </row>
    <row r="46">
      <c r="A46" s="18"/>
      <c r="B46" s="18"/>
      <c r="C46" s="18"/>
      <c r="D46" s="18"/>
      <c r="E46" s="18"/>
      <c r="F46" s="18"/>
      <c r="G46" s="22"/>
      <c r="H46" s="18"/>
      <c r="I46" s="18">
        <v>0.0</v>
      </c>
      <c r="J46" s="18">
        <v>0.0</v>
      </c>
      <c r="K46" s="18"/>
      <c r="L46" s="18"/>
      <c r="M46" s="22" t="str">
        <f t="shared" si="1"/>
        <v/>
      </c>
      <c r="N46" s="18" t="str">
        <f>IF(A46="",,IF(ROW()=2, Input!$C$2 + I46, P45 + I46))</f>
        <v/>
      </c>
      <c r="O46" s="23" t="str">
        <f>IF(A46="",,
 IF(K46="Initial principal",
   Input!$C$2 * M46,
   N46 * M46
 )
)</f>
        <v/>
      </c>
      <c r="P46" s="18" t="str">
        <f t="shared" si="2"/>
        <v/>
      </c>
      <c r="Q46" s="18" t="str">
        <f t="shared" si="3"/>
        <v/>
      </c>
      <c r="R46" s="18" t="str">
        <f t="array" ref="R46">IF(
  B46="",
  ,
  SWITCH(
    Input!$C$4,
    "Actual/365 Fixed",
      YEARFRAC(
        B46 + IF(INDEX(Input!$K$7:$K1503,ROW()-1),0,1),
        C46 + IF(INDEX(Input!$L$7:$L1503,ROW()-1),1,0),
        3
      ),
    "Anniversary/365",
      DATEDIF(
        B46 + IF(INDEX(Input!$K$7:$K1503,ROW()-1),0,1),
        C46 + IF(INDEX(Input!$L$7:$L1503,ROW()-1),1,0),
        "Y"
      )
      +
      (
        (C46 + IF(INDEX(Input!$L$7:$L1503,ROW()-1),1,0))
        -
        EDATE(
          B46 + IF(INDEX(Input!$K$7:$K1503,ROW()-1),0,1),
          12*DATEDIF(
            B46 + IF(INDEX(Input!$K$7:$K1503,ROW()-1),0,1),
            C46 + IF(INDEX(Input!$L$7:$L1503,ROW()-1),1,0),
            "Y"
          )
        )
      ) / 365,
    "Actual/Actual",
      YEARFRAC(
        B46 + IF(INDEX(Input!$K$7:$K1503,ROW()-1),0,1),
        C46 + IF(INDEX(Input!$L$7:$L1503,ROW()-1),1,0),
        1
      ),
      YEARFRAC(
        B46 + IF(INDEX(Input!$K$7:$K1503,ROW()-1),0,1),
        C46 + IF(INDEX(Input!$L$7:$L1503,ROW()-1),1,0),
        3
      )
  )
)</f>
        <v/>
      </c>
      <c r="S46" s="22" t="str">
        <f t="shared" si="4"/>
        <v/>
      </c>
      <c r="T46" s="6" t="str">
        <f t="array" ref="T46">IF(
  B46="",
  ,
  DATEDIF(
    B46 + IF(INDEX(Input!$K$7:$K1503,ROW()-1),0,1),
    C46 + IF(INDEX(Input!$L$7:$L1503,ROW()-1),1,0),
    "Y"
  )
)</f>
        <v/>
      </c>
      <c r="U46" s="6" t="str">
        <f t="array" ref="U46">IF(
  B46="",
  ,
  (C46 + IF(INDEX(Input!$L$7:$L1503,ROW()-1),1,0))
  - EDATE(
      B46 + IF(INDEX(Input!$K$7:$K1503,ROW()-1),0,1),
      12*S46
    )
)</f>
        <v/>
      </c>
      <c r="V46" s="6" t="str">
        <f t="shared" si="5"/>
        <v/>
      </c>
      <c r="W46" s="6" t="str">
        <f t="shared" si="6"/>
        <v/>
      </c>
    </row>
    <row r="47">
      <c r="A47" s="18"/>
      <c r="B47" s="18"/>
      <c r="C47" s="18"/>
      <c r="D47" s="18"/>
      <c r="E47" s="18"/>
      <c r="F47" s="18"/>
      <c r="G47" s="22"/>
      <c r="H47" s="18"/>
      <c r="I47" s="18">
        <v>0.0</v>
      </c>
      <c r="J47" s="18">
        <v>0.0</v>
      </c>
      <c r="K47" s="18"/>
      <c r="L47" s="18"/>
      <c r="M47" s="22" t="str">
        <f t="shared" si="1"/>
        <v/>
      </c>
      <c r="N47" s="18" t="str">
        <f>IF(A47="",,IF(ROW()=2, Input!$C$2 + I47, P46 + I47))</f>
        <v/>
      </c>
      <c r="O47" s="23" t="str">
        <f>IF(A47="",,
 IF(K47="Initial principal",
   Input!$C$2 * M47,
   N47 * M47
 )
)</f>
        <v/>
      </c>
      <c r="P47" s="18" t="str">
        <f t="shared" si="2"/>
        <v/>
      </c>
      <c r="Q47" s="18" t="str">
        <f t="shared" si="3"/>
        <v/>
      </c>
      <c r="R47" s="18" t="str">
        <f t="array" ref="R47">IF(
  B47="",
  ,
  SWITCH(
    Input!$C$4,
    "Actual/365 Fixed",
      YEARFRAC(
        B47 + IF(INDEX(Input!$K$7:$K1503,ROW()-1),0,1),
        C47 + IF(INDEX(Input!$L$7:$L1503,ROW()-1),1,0),
        3
      ),
    "Anniversary/365",
      DATEDIF(
        B47 + IF(INDEX(Input!$K$7:$K1503,ROW()-1),0,1),
        C47 + IF(INDEX(Input!$L$7:$L1503,ROW()-1),1,0),
        "Y"
      )
      +
      (
        (C47 + IF(INDEX(Input!$L$7:$L1503,ROW()-1),1,0))
        -
        EDATE(
          B47 + IF(INDEX(Input!$K$7:$K1503,ROW()-1),0,1),
          12*DATEDIF(
            B47 + IF(INDEX(Input!$K$7:$K1503,ROW()-1),0,1),
            C47 + IF(INDEX(Input!$L$7:$L1503,ROW()-1),1,0),
            "Y"
          )
        )
      ) / 365,
    "Actual/Actual",
      YEARFRAC(
        B47 + IF(INDEX(Input!$K$7:$K1503,ROW()-1),0,1),
        C47 + IF(INDEX(Input!$L$7:$L1503,ROW()-1),1,0),
        1
      ),
      YEARFRAC(
        B47 + IF(INDEX(Input!$K$7:$K1503,ROW()-1),0,1),
        C47 + IF(INDEX(Input!$L$7:$L1503,ROW()-1),1,0),
        3
      )
  )
)</f>
        <v/>
      </c>
      <c r="S47" s="22" t="str">
        <f t="shared" si="4"/>
        <v/>
      </c>
      <c r="T47" s="6" t="str">
        <f t="array" ref="T47">IF(
  B47="",
  ,
  DATEDIF(
    B47 + IF(INDEX(Input!$K$7:$K1503,ROW()-1),0,1),
    C47 + IF(INDEX(Input!$L$7:$L1503,ROW()-1),1,0),
    "Y"
  )
)</f>
        <v/>
      </c>
      <c r="U47" s="6" t="str">
        <f t="array" ref="U47">IF(
  B47="",
  ,
  (C47 + IF(INDEX(Input!$L$7:$L1503,ROW()-1),1,0))
  - EDATE(
      B47 + IF(INDEX(Input!$K$7:$K1503,ROW()-1),0,1),
      12*S47
    )
)</f>
        <v/>
      </c>
      <c r="V47" s="6" t="str">
        <f t="shared" si="5"/>
        <v/>
      </c>
      <c r="W47" s="6" t="str">
        <f t="shared" si="6"/>
        <v/>
      </c>
    </row>
    <row r="48">
      <c r="A48" s="18"/>
      <c r="B48" s="18"/>
      <c r="C48" s="18"/>
      <c r="D48" s="18"/>
      <c r="E48" s="18"/>
      <c r="F48" s="18"/>
      <c r="G48" s="22"/>
      <c r="H48" s="18"/>
      <c r="I48" s="18">
        <v>0.0</v>
      </c>
      <c r="J48" s="18">
        <v>0.0</v>
      </c>
      <c r="K48" s="18"/>
      <c r="L48" s="18"/>
      <c r="M48" s="22" t="str">
        <f t="shared" si="1"/>
        <v/>
      </c>
      <c r="N48" s="18" t="str">
        <f>IF(A48="",,IF(ROW()=2, Input!$C$2 + I48, P47 + I48))</f>
        <v/>
      </c>
      <c r="O48" s="23" t="str">
        <f>IF(A48="",,
 IF(K48="Initial principal",
   Input!$C$2 * M48,
   N48 * M48
 )
)</f>
        <v/>
      </c>
      <c r="P48" s="18" t="str">
        <f t="shared" si="2"/>
        <v/>
      </c>
      <c r="Q48" s="18" t="str">
        <f t="shared" si="3"/>
        <v/>
      </c>
      <c r="R48" s="18" t="str">
        <f t="array" ref="R48">IF(
  B48="",
  ,
  SWITCH(
    Input!$C$4,
    "Actual/365 Fixed",
      YEARFRAC(
        B48 + IF(INDEX(Input!$K$7:$K1503,ROW()-1),0,1),
        C48 + IF(INDEX(Input!$L$7:$L1503,ROW()-1),1,0),
        3
      ),
    "Anniversary/365",
      DATEDIF(
        B48 + IF(INDEX(Input!$K$7:$K1503,ROW()-1),0,1),
        C48 + IF(INDEX(Input!$L$7:$L1503,ROW()-1),1,0),
        "Y"
      )
      +
      (
        (C48 + IF(INDEX(Input!$L$7:$L1503,ROW()-1),1,0))
        -
        EDATE(
          B48 + IF(INDEX(Input!$K$7:$K1503,ROW()-1),0,1),
          12*DATEDIF(
            B48 + IF(INDEX(Input!$K$7:$K1503,ROW()-1),0,1),
            C48 + IF(INDEX(Input!$L$7:$L1503,ROW()-1),1,0),
            "Y"
          )
        )
      ) / 365,
    "Actual/Actual",
      YEARFRAC(
        B48 + IF(INDEX(Input!$K$7:$K1503,ROW()-1),0,1),
        C48 + IF(INDEX(Input!$L$7:$L1503,ROW()-1),1,0),
        1
      ),
      YEARFRAC(
        B48 + IF(INDEX(Input!$K$7:$K1503,ROW()-1),0,1),
        C48 + IF(INDEX(Input!$L$7:$L1503,ROW()-1),1,0),
        3
      )
  )
)</f>
        <v/>
      </c>
      <c r="S48" s="22" t="str">
        <f t="shared" si="4"/>
        <v/>
      </c>
      <c r="T48" s="6" t="str">
        <f t="array" ref="T48">IF(
  B48="",
  ,
  DATEDIF(
    B48 + IF(INDEX(Input!$K$7:$K1503,ROW()-1),0,1),
    C48 + IF(INDEX(Input!$L$7:$L1503,ROW()-1),1,0),
    "Y"
  )
)</f>
        <v/>
      </c>
      <c r="U48" s="6" t="str">
        <f t="array" ref="U48">IF(
  B48="",
  ,
  (C48 + IF(INDEX(Input!$L$7:$L1503,ROW()-1),1,0))
  - EDATE(
      B48 + IF(INDEX(Input!$K$7:$K1503,ROW()-1),0,1),
      12*S48
    )
)</f>
        <v/>
      </c>
      <c r="V48" s="6" t="str">
        <f t="shared" si="5"/>
        <v/>
      </c>
      <c r="W48" s="6" t="str">
        <f t="shared" si="6"/>
        <v/>
      </c>
    </row>
    <row r="49">
      <c r="A49" s="18"/>
      <c r="B49" s="18"/>
      <c r="C49" s="18"/>
      <c r="D49" s="18"/>
      <c r="E49" s="18"/>
      <c r="F49" s="18"/>
      <c r="G49" s="22"/>
      <c r="H49" s="18"/>
      <c r="I49" s="18">
        <v>0.0</v>
      </c>
      <c r="J49" s="18">
        <v>0.0</v>
      </c>
      <c r="K49" s="18"/>
      <c r="L49" s="18"/>
      <c r="M49" s="22" t="str">
        <f t="shared" si="1"/>
        <v/>
      </c>
      <c r="N49" s="18" t="str">
        <f>IF(A49="",,IF(ROW()=2, Input!$C$2 + I49, P48 + I49))</f>
        <v/>
      </c>
      <c r="O49" s="23" t="str">
        <f>IF(A49="",,
 IF(K49="Initial principal",
   Input!$C$2 * M49,
   N49 * M49
 )
)</f>
        <v/>
      </c>
      <c r="P49" s="18" t="str">
        <f t="shared" si="2"/>
        <v/>
      </c>
      <c r="Q49" s="18" t="str">
        <f t="shared" si="3"/>
        <v/>
      </c>
      <c r="R49" s="18" t="str">
        <f t="array" ref="R49">IF(
  B49="",
  ,
  SWITCH(
    Input!$C$4,
    "Actual/365 Fixed",
      YEARFRAC(
        B49 + IF(INDEX(Input!$K$7:$K1503,ROW()-1),0,1),
        C49 + IF(INDEX(Input!$L$7:$L1503,ROW()-1),1,0),
        3
      ),
    "Anniversary/365",
      DATEDIF(
        B49 + IF(INDEX(Input!$K$7:$K1503,ROW()-1),0,1),
        C49 + IF(INDEX(Input!$L$7:$L1503,ROW()-1),1,0),
        "Y"
      )
      +
      (
        (C49 + IF(INDEX(Input!$L$7:$L1503,ROW()-1),1,0))
        -
        EDATE(
          B49 + IF(INDEX(Input!$K$7:$K1503,ROW()-1),0,1),
          12*DATEDIF(
            B49 + IF(INDEX(Input!$K$7:$K1503,ROW()-1),0,1),
            C49 + IF(INDEX(Input!$L$7:$L1503,ROW()-1),1,0),
            "Y"
          )
        )
      ) / 365,
    "Actual/Actual",
      YEARFRAC(
        B49 + IF(INDEX(Input!$K$7:$K1503,ROW()-1),0,1),
        C49 + IF(INDEX(Input!$L$7:$L1503,ROW()-1),1,0),
        1
      ),
      YEARFRAC(
        B49 + IF(INDEX(Input!$K$7:$K1503,ROW()-1),0,1),
        C49 + IF(INDEX(Input!$L$7:$L1503,ROW()-1),1,0),
        3
      )
  )
)</f>
        <v/>
      </c>
      <c r="S49" s="22" t="str">
        <f t="shared" si="4"/>
        <v/>
      </c>
      <c r="T49" s="6" t="str">
        <f t="array" ref="T49">IF(
  B49="",
  ,
  DATEDIF(
    B49 + IF(INDEX(Input!$K$7:$K1503,ROW()-1),0,1),
    C49 + IF(INDEX(Input!$L$7:$L1503,ROW()-1),1,0),
    "Y"
  )
)</f>
        <v/>
      </c>
      <c r="U49" s="6" t="str">
        <f t="array" ref="U49">IF(
  B49="",
  ,
  (C49 + IF(INDEX(Input!$L$7:$L1503,ROW()-1),1,0))
  - EDATE(
      B49 + IF(INDEX(Input!$K$7:$K1503,ROW()-1),0,1),
      12*S49
    )
)</f>
        <v/>
      </c>
      <c r="V49" s="6" t="str">
        <f t="shared" si="5"/>
        <v/>
      </c>
      <c r="W49" s="6" t="str">
        <f t="shared" si="6"/>
        <v/>
      </c>
    </row>
    <row r="50">
      <c r="A50" s="18"/>
      <c r="B50" s="18"/>
      <c r="C50" s="18"/>
      <c r="D50" s="18"/>
      <c r="E50" s="18"/>
      <c r="F50" s="18"/>
      <c r="G50" s="22"/>
      <c r="H50" s="18"/>
      <c r="I50" s="18">
        <v>0.0</v>
      </c>
      <c r="J50" s="18">
        <v>0.0</v>
      </c>
      <c r="K50" s="18"/>
      <c r="L50" s="18"/>
      <c r="M50" s="22" t="str">
        <f t="shared" si="1"/>
        <v/>
      </c>
      <c r="N50" s="18" t="str">
        <f>IF(A50="",,IF(ROW()=2, Input!$C$2 + I50, P49 + I50))</f>
        <v/>
      </c>
      <c r="O50" s="23" t="str">
        <f>IF(A50="",,
 IF(K50="Initial principal",
   Input!$C$2 * M50,
   N50 * M50
 )
)</f>
        <v/>
      </c>
      <c r="P50" s="18" t="str">
        <f t="shared" si="2"/>
        <v/>
      </c>
      <c r="Q50" s="18" t="str">
        <f t="shared" si="3"/>
        <v/>
      </c>
      <c r="R50" s="18" t="str">
        <f t="array" ref="R50">IF(
  B50="",
  ,
  SWITCH(
    Input!$C$4,
    "Actual/365 Fixed",
      YEARFRAC(
        B50 + IF(INDEX(Input!$K$7:$K1503,ROW()-1),0,1),
        C50 + IF(INDEX(Input!$L$7:$L1503,ROW()-1),1,0),
        3
      ),
    "Anniversary/365",
      DATEDIF(
        B50 + IF(INDEX(Input!$K$7:$K1503,ROW()-1),0,1),
        C50 + IF(INDEX(Input!$L$7:$L1503,ROW()-1),1,0),
        "Y"
      )
      +
      (
        (C50 + IF(INDEX(Input!$L$7:$L1503,ROW()-1),1,0))
        -
        EDATE(
          B50 + IF(INDEX(Input!$K$7:$K1503,ROW()-1),0,1),
          12*DATEDIF(
            B50 + IF(INDEX(Input!$K$7:$K1503,ROW()-1),0,1),
            C50 + IF(INDEX(Input!$L$7:$L1503,ROW()-1),1,0),
            "Y"
          )
        )
      ) / 365,
    "Actual/Actual",
      YEARFRAC(
        B50 + IF(INDEX(Input!$K$7:$K1503,ROW()-1),0,1),
        C50 + IF(INDEX(Input!$L$7:$L1503,ROW()-1),1,0),
        1
      ),
      YEARFRAC(
        B50 + IF(INDEX(Input!$K$7:$K1503,ROW()-1),0,1),
        C50 + IF(INDEX(Input!$L$7:$L1503,ROW()-1),1,0),
        3
      )
  )
)</f>
        <v/>
      </c>
      <c r="S50" s="22" t="str">
        <f t="shared" si="4"/>
        <v/>
      </c>
      <c r="T50" s="6" t="str">
        <f t="array" ref="T50">IF(
  B50="",
  ,
  DATEDIF(
    B50 + IF(INDEX(Input!$K$7:$K1503,ROW()-1),0,1),
    C50 + IF(INDEX(Input!$L$7:$L1503,ROW()-1),1,0),
    "Y"
  )
)</f>
        <v/>
      </c>
      <c r="U50" s="6" t="str">
        <f t="array" ref="U50">IF(
  B50="",
  ,
  (C50 + IF(INDEX(Input!$L$7:$L1503,ROW()-1),1,0))
  - EDATE(
      B50 + IF(INDEX(Input!$K$7:$K1503,ROW()-1),0,1),
      12*S50
    )
)</f>
        <v/>
      </c>
      <c r="V50" s="6" t="str">
        <f t="shared" si="5"/>
        <v/>
      </c>
      <c r="W50" s="6" t="str">
        <f t="shared" si="6"/>
        <v/>
      </c>
    </row>
    <row r="51">
      <c r="A51" s="18"/>
      <c r="B51" s="18"/>
      <c r="C51" s="18"/>
      <c r="D51" s="18"/>
      <c r="E51" s="18"/>
      <c r="F51" s="18"/>
      <c r="G51" s="22"/>
      <c r="H51" s="18"/>
      <c r="I51" s="18">
        <v>0.0</v>
      </c>
      <c r="J51" s="18">
        <v>0.0</v>
      </c>
      <c r="K51" s="18"/>
      <c r="L51" s="18"/>
      <c r="M51" s="22" t="str">
        <f t="shared" si="1"/>
        <v/>
      </c>
      <c r="N51" s="18" t="str">
        <f>IF(A51="",,IF(ROW()=2, Input!$C$2 + I51, P50 + I51))</f>
        <v/>
      </c>
      <c r="O51" s="23" t="str">
        <f>IF(A51="",,
 IF(K51="Initial principal",
   Input!$C$2 * M51,
   N51 * M51
 )
)</f>
        <v/>
      </c>
      <c r="P51" s="18" t="str">
        <f t="shared" si="2"/>
        <v/>
      </c>
      <c r="Q51" s="18" t="str">
        <f t="shared" si="3"/>
        <v/>
      </c>
      <c r="R51" s="18" t="str">
        <f t="array" ref="R51">IF(
  B51="",
  ,
  SWITCH(
    Input!$C$4,
    "Actual/365 Fixed",
      YEARFRAC(
        B51 + IF(INDEX(Input!$K$7:$K1503,ROW()-1),0,1),
        C51 + IF(INDEX(Input!$L$7:$L1503,ROW()-1),1,0),
        3
      ),
    "Anniversary/365",
      DATEDIF(
        B51 + IF(INDEX(Input!$K$7:$K1503,ROW()-1),0,1),
        C51 + IF(INDEX(Input!$L$7:$L1503,ROW()-1),1,0),
        "Y"
      )
      +
      (
        (C51 + IF(INDEX(Input!$L$7:$L1503,ROW()-1),1,0))
        -
        EDATE(
          B51 + IF(INDEX(Input!$K$7:$K1503,ROW()-1),0,1),
          12*DATEDIF(
            B51 + IF(INDEX(Input!$K$7:$K1503,ROW()-1),0,1),
            C51 + IF(INDEX(Input!$L$7:$L1503,ROW()-1),1,0),
            "Y"
          )
        )
      ) / 365,
    "Actual/Actual",
      YEARFRAC(
        B51 + IF(INDEX(Input!$K$7:$K1503,ROW()-1),0,1),
        C51 + IF(INDEX(Input!$L$7:$L1503,ROW()-1),1,0),
        1
      ),
      YEARFRAC(
        B51 + IF(INDEX(Input!$K$7:$K1503,ROW()-1),0,1),
        C51 + IF(INDEX(Input!$L$7:$L1503,ROW()-1),1,0),
        3
      )
  )
)</f>
        <v/>
      </c>
      <c r="S51" s="22" t="str">
        <f t="shared" si="4"/>
        <v/>
      </c>
      <c r="T51" s="6" t="str">
        <f t="array" ref="T51">IF(
  B51="",
  ,
  DATEDIF(
    B51 + IF(INDEX(Input!$K$7:$K1503,ROW()-1),0,1),
    C51 + IF(INDEX(Input!$L$7:$L1503,ROW()-1),1,0),
    "Y"
  )
)</f>
        <v/>
      </c>
      <c r="U51" s="6" t="str">
        <f t="array" ref="U51">IF(
  B51="",
  ,
  (C51 + IF(INDEX(Input!$L$7:$L1503,ROW()-1),1,0))
  - EDATE(
      B51 + IF(INDEX(Input!$K$7:$K1503,ROW()-1),0,1),
      12*S51
    )
)</f>
        <v/>
      </c>
      <c r="V51" s="6" t="str">
        <f t="shared" si="5"/>
        <v/>
      </c>
      <c r="W51" s="6" t="str">
        <f t="shared" si="6"/>
        <v/>
      </c>
    </row>
    <row r="52">
      <c r="A52" s="18"/>
      <c r="B52" s="18"/>
      <c r="C52" s="18"/>
      <c r="D52" s="18"/>
      <c r="E52" s="18"/>
      <c r="F52" s="18"/>
      <c r="G52" s="22"/>
      <c r="H52" s="18"/>
      <c r="I52" s="18">
        <v>0.0</v>
      </c>
      <c r="J52" s="18">
        <v>0.0</v>
      </c>
      <c r="K52" s="18"/>
      <c r="L52" s="18"/>
      <c r="M52" s="22" t="str">
        <f t="shared" si="1"/>
        <v/>
      </c>
      <c r="N52" s="18" t="str">
        <f>IF(A52="",,IF(ROW()=2, Input!$C$2 + I52, P51 + I52))</f>
        <v/>
      </c>
      <c r="O52" s="23" t="str">
        <f>IF(A52="",,
 IF(K52="Initial principal",
   Input!$C$2 * M52,
   N52 * M52
 )
)</f>
        <v/>
      </c>
      <c r="P52" s="18" t="str">
        <f t="shared" si="2"/>
        <v/>
      </c>
      <c r="Q52" s="18" t="str">
        <f t="shared" si="3"/>
        <v/>
      </c>
      <c r="R52" s="18" t="str">
        <f t="array" ref="R52">IF(
  B52="",
  ,
  SWITCH(
    Input!$C$4,
    "Actual/365 Fixed",
      YEARFRAC(
        B52 + IF(INDEX(Input!$K$7:$K1503,ROW()-1),0,1),
        C52 + IF(INDEX(Input!$L$7:$L1503,ROW()-1),1,0),
        3
      ),
    "Anniversary/365",
      DATEDIF(
        B52 + IF(INDEX(Input!$K$7:$K1503,ROW()-1),0,1),
        C52 + IF(INDEX(Input!$L$7:$L1503,ROW()-1),1,0),
        "Y"
      )
      +
      (
        (C52 + IF(INDEX(Input!$L$7:$L1503,ROW()-1),1,0))
        -
        EDATE(
          B52 + IF(INDEX(Input!$K$7:$K1503,ROW()-1),0,1),
          12*DATEDIF(
            B52 + IF(INDEX(Input!$K$7:$K1503,ROW()-1),0,1),
            C52 + IF(INDEX(Input!$L$7:$L1503,ROW()-1),1,0),
            "Y"
          )
        )
      ) / 365,
    "Actual/Actual",
      YEARFRAC(
        B52 + IF(INDEX(Input!$K$7:$K1503,ROW()-1),0,1),
        C52 + IF(INDEX(Input!$L$7:$L1503,ROW()-1),1,0),
        1
      ),
      YEARFRAC(
        B52 + IF(INDEX(Input!$K$7:$K1503,ROW()-1),0,1),
        C52 + IF(INDEX(Input!$L$7:$L1503,ROW()-1),1,0),
        3
      )
  )
)</f>
        <v/>
      </c>
      <c r="S52" s="22" t="str">
        <f t="shared" si="4"/>
        <v/>
      </c>
      <c r="T52" s="6" t="str">
        <f t="array" ref="T52">IF(
  B52="",
  ,
  DATEDIF(
    B52 + IF(INDEX(Input!$K$7:$K1503,ROW()-1),0,1),
    C52 + IF(INDEX(Input!$L$7:$L1503,ROW()-1),1,0),
    "Y"
  )
)</f>
        <v/>
      </c>
      <c r="U52" s="6" t="str">
        <f t="array" ref="U52">IF(
  B52="",
  ,
  (C52 + IF(INDEX(Input!$L$7:$L1503,ROW()-1),1,0))
  - EDATE(
      B52 + IF(INDEX(Input!$K$7:$K1503,ROW()-1),0,1),
      12*S52
    )
)</f>
        <v/>
      </c>
      <c r="V52" s="6" t="str">
        <f t="shared" si="5"/>
        <v/>
      </c>
      <c r="W52" s="6" t="str">
        <f t="shared" si="6"/>
        <v/>
      </c>
    </row>
    <row r="53">
      <c r="A53" s="18"/>
      <c r="B53" s="18"/>
      <c r="C53" s="18"/>
      <c r="D53" s="18"/>
      <c r="E53" s="18"/>
      <c r="F53" s="18"/>
      <c r="G53" s="22"/>
      <c r="H53" s="18"/>
      <c r="I53" s="18">
        <v>0.0</v>
      </c>
      <c r="J53" s="18">
        <v>0.0</v>
      </c>
      <c r="K53" s="18"/>
      <c r="L53" s="18"/>
      <c r="M53" s="22" t="str">
        <f t="shared" si="1"/>
        <v/>
      </c>
      <c r="N53" s="18" t="str">
        <f>IF(A53="",,IF(ROW()=2, Input!$C$2 + I53, P52 + I53))</f>
        <v/>
      </c>
      <c r="O53" s="23" t="str">
        <f>IF(A53="",,
 IF(K53="Initial principal",
   Input!$C$2 * M53,
   N53 * M53
 )
)</f>
        <v/>
      </c>
      <c r="P53" s="18" t="str">
        <f t="shared" si="2"/>
        <v/>
      </c>
      <c r="Q53" s="18" t="str">
        <f t="shared" si="3"/>
        <v/>
      </c>
      <c r="R53" s="18" t="str">
        <f t="array" ref="R53">IF(
  B53="",
  ,
  SWITCH(
    Input!$C$4,
    "Actual/365 Fixed",
      YEARFRAC(
        B53 + IF(INDEX(Input!$K$7:$K1503,ROW()-1),0,1),
        C53 + IF(INDEX(Input!$L$7:$L1503,ROW()-1),1,0),
        3
      ),
    "Anniversary/365",
      DATEDIF(
        B53 + IF(INDEX(Input!$K$7:$K1503,ROW()-1),0,1),
        C53 + IF(INDEX(Input!$L$7:$L1503,ROW()-1),1,0),
        "Y"
      )
      +
      (
        (C53 + IF(INDEX(Input!$L$7:$L1503,ROW()-1),1,0))
        -
        EDATE(
          B53 + IF(INDEX(Input!$K$7:$K1503,ROW()-1),0,1),
          12*DATEDIF(
            B53 + IF(INDEX(Input!$K$7:$K1503,ROW()-1),0,1),
            C53 + IF(INDEX(Input!$L$7:$L1503,ROW()-1),1,0),
            "Y"
          )
        )
      ) / 365,
    "Actual/Actual",
      YEARFRAC(
        B53 + IF(INDEX(Input!$K$7:$K1503,ROW()-1),0,1),
        C53 + IF(INDEX(Input!$L$7:$L1503,ROW()-1),1,0),
        1
      ),
      YEARFRAC(
        B53 + IF(INDEX(Input!$K$7:$K1503,ROW()-1),0,1),
        C53 + IF(INDEX(Input!$L$7:$L1503,ROW()-1),1,0),
        3
      )
  )
)</f>
        <v/>
      </c>
      <c r="S53" s="22" t="str">
        <f t="shared" si="4"/>
        <v/>
      </c>
      <c r="T53" s="6" t="str">
        <f t="array" ref="T53">IF(
  B53="",
  ,
  DATEDIF(
    B53 + IF(INDEX(Input!$K$7:$K1503,ROW()-1),0,1),
    C53 + IF(INDEX(Input!$L$7:$L1503,ROW()-1),1,0),
    "Y"
  )
)</f>
        <v/>
      </c>
      <c r="U53" s="6" t="str">
        <f t="array" ref="U53">IF(
  B53="",
  ,
  (C53 + IF(INDEX(Input!$L$7:$L1503,ROW()-1),1,0))
  - EDATE(
      B53 + IF(INDEX(Input!$K$7:$K1503,ROW()-1),0,1),
      12*S53
    )
)</f>
        <v/>
      </c>
      <c r="V53" s="6" t="str">
        <f t="shared" si="5"/>
        <v/>
      </c>
      <c r="W53" s="6" t="str">
        <f t="shared" si="6"/>
        <v/>
      </c>
    </row>
    <row r="54">
      <c r="A54" s="18"/>
      <c r="B54" s="18"/>
      <c r="C54" s="18"/>
      <c r="D54" s="18"/>
      <c r="E54" s="18"/>
      <c r="F54" s="18"/>
      <c r="G54" s="22"/>
      <c r="H54" s="18"/>
      <c r="I54" s="18">
        <v>0.0</v>
      </c>
      <c r="J54" s="18">
        <v>0.0</v>
      </c>
      <c r="K54" s="18"/>
      <c r="L54" s="18"/>
      <c r="M54" s="22" t="str">
        <f t="shared" si="1"/>
        <v/>
      </c>
      <c r="N54" s="18" t="str">
        <f>IF(A54="",,IF(ROW()=2, Input!$C$2 + I54, P53 + I54))</f>
        <v/>
      </c>
      <c r="O54" s="23" t="str">
        <f>IF(A54="",,
 IF(K54="Initial principal",
   Input!$C$2 * M54,
   N54 * M54
 )
)</f>
        <v/>
      </c>
      <c r="P54" s="18" t="str">
        <f t="shared" si="2"/>
        <v/>
      </c>
      <c r="Q54" s="18" t="str">
        <f t="shared" si="3"/>
        <v/>
      </c>
      <c r="R54" s="18" t="str">
        <f t="array" ref="R54">IF(
  B54="",
  ,
  SWITCH(
    Input!$C$4,
    "Actual/365 Fixed",
      YEARFRAC(
        B54 + IF(INDEX(Input!$K$7:$K1503,ROW()-1),0,1),
        C54 + IF(INDEX(Input!$L$7:$L1503,ROW()-1),1,0),
        3
      ),
    "Anniversary/365",
      DATEDIF(
        B54 + IF(INDEX(Input!$K$7:$K1503,ROW()-1),0,1),
        C54 + IF(INDEX(Input!$L$7:$L1503,ROW()-1),1,0),
        "Y"
      )
      +
      (
        (C54 + IF(INDEX(Input!$L$7:$L1503,ROW()-1),1,0))
        -
        EDATE(
          B54 + IF(INDEX(Input!$K$7:$K1503,ROW()-1),0,1),
          12*DATEDIF(
            B54 + IF(INDEX(Input!$K$7:$K1503,ROW()-1),0,1),
            C54 + IF(INDEX(Input!$L$7:$L1503,ROW()-1),1,0),
            "Y"
          )
        )
      ) / 365,
    "Actual/Actual",
      YEARFRAC(
        B54 + IF(INDEX(Input!$K$7:$K1503,ROW()-1),0,1),
        C54 + IF(INDEX(Input!$L$7:$L1503,ROW()-1),1,0),
        1
      ),
      YEARFRAC(
        B54 + IF(INDEX(Input!$K$7:$K1503,ROW()-1),0,1),
        C54 + IF(INDEX(Input!$L$7:$L1503,ROW()-1),1,0),
        3
      )
  )
)</f>
        <v/>
      </c>
      <c r="S54" s="22" t="str">
        <f t="shared" si="4"/>
        <v/>
      </c>
      <c r="T54" s="6" t="str">
        <f t="array" ref="T54">IF(
  B54="",
  ,
  DATEDIF(
    B54 + IF(INDEX(Input!$K$7:$K1503,ROW()-1),0,1),
    C54 + IF(INDEX(Input!$L$7:$L1503,ROW()-1),1,0),
    "Y"
  )
)</f>
        <v/>
      </c>
      <c r="U54" s="6" t="str">
        <f t="array" ref="U54">IF(
  B54="",
  ,
  (C54 + IF(INDEX(Input!$L$7:$L1503,ROW()-1),1,0))
  - EDATE(
      B54 + IF(INDEX(Input!$K$7:$K1503,ROW()-1),0,1),
      12*S54
    )
)</f>
        <v/>
      </c>
      <c r="V54" s="6" t="str">
        <f t="shared" si="5"/>
        <v/>
      </c>
      <c r="W54" s="6" t="str">
        <f t="shared" si="6"/>
        <v/>
      </c>
    </row>
    <row r="55">
      <c r="A55" s="18"/>
      <c r="B55" s="18"/>
      <c r="C55" s="18"/>
      <c r="D55" s="18"/>
      <c r="E55" s="18"/>
      <c r="F55" s="18"/>
      <c r="G55" s="22"/>
      <c r="H55" s="18"/>
      <c r="I55" s="18">
        <v>0.0</v>
      </c>
      <c r="J55" s="18">
        <v>0.0</v>
      </c>
      <c r="K55" s="18"/>
      <c r="L55" s="18"/>
      <c r="M55" s="22" t="str">
        <f t="shared" si="1"/>
        <v/>
      </c>
      <c r="N55" s="18" t="str">
        <f>IF(A55="",,IF(ROW()=2, Input!$C$2 + I55, P54 + I55))</f>
        <v/>
      </c>
      <c r="O55" s="23" t="str">
        <f>IF(A55="",,
 IF(K55="Initial principal",
   Input!$C$2 * M55,
   N55 * M55
 )
)</f>
        <v/>
      </c>
      <c r="P55" s="18" t="str">
        <f t="shared" si="2"/>
        <v/>
      </c>
      <c r="Q55" s="18" t="str">
        <f t="shared" si="3"/>
        <v/>
      </c>
      <c r="R55" s="18" t="str">
        <f t="array" ref="R55">IF(
  B55="",
  ,
  SWITCH(
    Input!$C$4,
    "Actual/365 Fixed",
      YEARFRAC(
        B55 + IF(INDEX(Input!$K$7:$K1503,ROW()-1),0,1),
        C55 + IF(INDEX(Input!$L$7:$L1503,ROW()-1),1,0),
        3
      ),
    "Anniversary/365",
      DATEDIF(
        B55 + IF(INDEX(Input!$K$7:$K1503,ROW()-1),0,1),
        C55 + IF(INDEX(Input!$L$7:$L1503,ROW()-1),1,0),
        "Y"
      )
      +
      (
        (C55 + IF(INDEX(Input!$L$7:$L1503,ROW()-1),1,0))
        -
        EDATE(
          B55 + IF(INDEX(Input!$K$7:$K1503,ROW()-1),0,1),
          12*DATEDIF(
            B55 + IF(INDEX(Input!$K$7:$K1503,ROW()-1),0,1),
            C55 + IF(INDEX(Input!$L$7:$L1503,ROW()-1),1,0),
            "Y"
          )
        )
      ) / 365,
    "Actual/Actual",
      YEARFRAC(
        B55 + IF(INDEX(Input!$K$7:$K1503,ROW()-1),0,1),
        C55 + IF(INDEX(Input!$L$7:$L1503,ROW()-1),1,0),
        1
      ),
      YEARFRAC(
        B55 + IF(INDEX(Input!$K$7:$K1503,ROW()-1),0,1),
        C55 + IF(INDEX(Input!$L$7:$L1503,ROW()-1),1,0),
        3
      )
  )
)</f>
        <v/>
      </c>
      <c r="S55" s="22" t="str">
        <f t="shared" si="4"/>
        <v/>
      </c>
      <c r="T55" s="6" t="str">
        <f t="array" ref="T55">IF(
  B55="",
  ,
  DATEDIF(
    B55 + IF(INDEX(Input!$K$7:$K1503,ROW()-1),0,1),
    C55 + IF(INDEX(Input!$L$7:$L1503,ROW()-1),1,0),
    "Y"
  )
)</f>
        <v/>
      </c>
      <c r="U55" s="6" t="str">
        <f t="array" ref="U55">IF(
  B55="",
  ,
  (C55 + IF(INDEX(Input!$L$7:$L1503,ROW()-1),1,0))
  - EDATE(
      B55 + IF(INDEX(Input!$K$7:$K1503,ROW()-1),0,1),
      12*S55
    )
)</f>
        <v/>
      </c>
      <c r="V55" s="6" t="str">
        <f t="shared" si="5"/>
        <v/>
      </c>
      <c r="W55" s="6" t="str">
        <f t="shared" si="6"/>
        <v/>
      </c>
    </row>
    <row r="56">
      <c r="A56" s="18"/>
      <c r="B56" s="18"/>
      <c r="C56" s="18"/>
      <c r="D56" s="18"/>
      <c r="E56" s="18"/>
      <c r="F56" s="18"/>
      <c r="G56" s="22"/>
      <c r="H56" s="18"/>
      <c r="I56" s="18">
        <v>0.0</v>
      </c>
      <c r="J56" s="18">
        <v>0.0</v>
      </c>
      <c r="K56" s="18"/>
      <c r="L56" s="18"/>
      <c r="M56" s="22" t="str">
        <f t="shared" si="1"/>
        <v/>
      </c>
      <c r="N56" s="18" t="str">
        <f>IF(A56="",,IF(ROW()=2, Input!$C$2 + I56, P55 + I56))</f>
        <v/>
      </c>
      <c r="O56" s="23" t="str">
        <f>IF(A56="",,
 IF(K56="Initial principal",
   Input!$C$2 * M56,
   N56 * M56
 )
)</f>
        <v/>
      </c>
      <c r="P56" s="18" t="str">
        <f t="shared" si="2"/>
        <v/>
      </c>
      <c r="Q56" s="18" t="str">
        <f t="shared" si="3"/>
        <v/>
      </c>
      <c r="R56" s="18" t="str">
        <f t="array" ref="R56">IF(
  B56="",
  ,
  SWITCH(
    Input!$C$4,
    "Actual/365 Fixed",
      YEARFRAC(
        B56 + IF(INDEX(Input!$K$7:$K1503,ROW()-1),0,1),
        C56 + IF(INDEX(Input!$L$7:$L1503,ROW()-1),1,0),
        3
      ),
    "Anniversary/365",
      DATEDIF(
        B56 + IF(INDEX(Input!$K$7:$K1503,ROW()-1),0,1),
        C56 + IF(INDEX(Input!$L$7:$L1503,ROW()-1),1,0),
        "Y"
      )
      +
      (
        (C56 + IF(INDEX(Input!$L$7:$L1503,ROW()-1),1,0))
        -
        EDATE(
          B56 + IF(INDEX(Input!$K$7:$K1503,ROW()-1),0,1),
          12*DATEDIF(
            B56 + IF(INDEX(Input!$K$7:$K1503,ROW()-1),0,1),
            C56 + IF(INDEX(Input!$L$7:$L1503,ROW()-1),1,0),
            "Y"
          )
        )
      ) / 365,
    "Actual/Actual",
      YEARFRAC(
        B56 + IF(INDEX(Input!$K$7:$K1503,ROW()-1),0,1),
        C56 + IF(INDEX(Input!$L$7:$L1503,ROW()-1),1,0),
        1
      ),
      YEARFRAC(
        B56 + IF(INDEX(Input!$K$7:$K1503,ROW()-1),0,1),
        C56 + IF(INDEX(Input!$L$7:$L1503,ROW()-1),1,0),
        3
      )
  )
)</f>
        <v/>
      </c>
      <c r="S56" s="22" t="str">
        <f t="shared" si="4"/>
        <v/>
      </c>
      <c r="T56" s="6" t="str">
        <f t="array" ref="T56">IF(
  B56="",
  ,
  DATEDIF(
    B56 + IF(INDEX(Input!$K$7:$K1503,ROW()-1),0,1),
    C56 + IF(INDEX(Input!$L$7:$L1503,ROW()-1),1,0),
    "Y"
  )
)</f>
        <v/>
      </c>
      <c r="U56" s="6" t="str">
        <f t="array" ref="U56">IF(
  B56="",
  ,
  (C56 + IF(INDEX(Input!$L$7:$L1503,ROW()-1),1,0))
  - EDATE(
      B56 + IF(INDEX(Input!$K$7:$K1503,ROW()-1),0,1),
      12*S56
    )
)</f>
        <v/>
      </c>
      <c r="V56" s="6" t="str">
        <f t="shared" si="5"/>
        <v/>
      </c>
      <c r="W56" s="6" t="str">
        <f t="shared" si="6"/>
        <v/>
      </c>
    </row>
    <row r="57">
      <c r="A57" s="18"/>
      <c r="B57" s="18"/>
      <c r="C57" s="18"/>
      <c r="D57" s="18"/>
      <c r="E57" s="18"/>
      <c r="F57" s="18"/>
      <c r="G57" s="22"/>
      <c r="H57" s="18"/>
      <c r="I57" s="18">
        <v>0.0</v>
      </c>
      <c r="J57" s="18">
        <v>0.0</v>
      </c>
      <c r="K57" s="18"/>
      <c r="L57" s="18"/>
      <c r="M57" s="22" t="str">
        <f t="shared" si="1"/>
        <v/>
      </c>
      <c r="N57" s="18" t="str">
        <f>IF(A57="",,IF(ROW()=2, Input!$C$2 + I57, P56 + I57))</f>
        <v/>
      </c>
      <c r="O57" s="23" t="str">
        <f>IF(A57="",,
 IF(K57="Initial principal",
   Input!$C$2 * M57,
   N57 * M57
 )
)</f>
        <v/>
      </c>
      <c r="P57" s="18" t="str">
        <f t="shared" si="2"/>
        <v/>
      </c>
      <c r="Q57" s="18" t="str">
        <f t="shared" si="3"/>
        <v/>
      </c>
      <c r="R57" s="18" t="str">
        <f t="array" ref="R57">IF(
  B57="",
  ,
  SWITCH(
    Input!$C$4,
    "Actual/365 Fixed",
      YEARFRAC(
        B57 + IF(INDEX(Input!$K$7:$K1503,ROW()-1),0,1),
        C57 + IF(INDEX(Input!$L$7:$L1503,ROW()-1),1,0),
        3
      ),
    "Anniversary/365",
      DATEDIF(
        B57 + IF(INDEX(Input!$K$7:$K1503,ROW()-1),0,1),
        C57 + IF(INDEX(Input!$L$7:$L1503,ROW()-1),1,0),
        "Y"
      )
      +
      (
        (C57 + IF(INDEX(Input!$L$7:$L1503,ROW()-1),1,0))
        -
        EDATE(
          B57 + IF(INDEX(Input!$K$7:$K1503,ROW()-1),0,1),
          12*DATEDIF(
            B57 + IF(INDEX(Input!$K$7:$K1503,ROW()-1),0,1),
            C57 + IF(INDEX(Input!$L$7:$L1503,ROW()-1),1,0),
            "Y"
          )
        )
      ) / 365,
    "Actual/Actual",
      YEARFRAC(
        B57 + IF(INDEX(Input!$K$7:$K1503,ROW()-1),0,1),
        C57 + IF(INDEX(Input!$L$7:$L1503,ROW()-1),1,0),
        1
      ),
      YEARFRAC(
        B57 + IF(INDEX(Input!$K$7:$K1503,ROW()-1),0,1),
        C57 + IF(INDEX(Input!$L$7:$L1503,ROW()-1),1,0),
        3
      )
  )
)</f>
        <v/>
      </c>
      <c r="S57" s="22" t="str">
        <f t="shared" si="4"/>
        <v/>
      </c>
      <c r="T57" s="6" t="str">
        <f t="array" ref="T57">IF(
  B57="",
  ,
  DATEDIF(
    B57 + IF(INDEX(Input!$K$7:$K1503,ROW()-1),0,1),
    C57 + IF(INDEX(Input!$L$7:$L1503,ROW()-1),1,0),
    "Y"
  )
)</f>
        <v/>
      </c>
      <c r="U57" s="6" t="str">
        <f t="array" ref="U57">IF(
  B57="",
  ,
  (C57 + IF(INDEX(Input!$L$7:$L1503,ROW()-1),1,0))
  - EDATE(
      B57 + IF(INDEX(Input!$K$7:$K1503,ROW()-1),0,1),
      12*S57
    )
)</f>
        <v/>
      </c>
      <c r="V57" s="6" t="str">
        <f t="shared" si="5"/>
        <v/>
      </c>
      <c r="W57" s="6" t="str">
        <f t="shared" si="6"/>
        <v/>
      </c>
    </row>
    <row r="58">
      <c r="A58" s="18"/>
      <c r="B58" s="18"/>
      <c r="C58" s="18"/>
      <c r="D58" s="18"/>
      <c r="E58" s="18"/>
      <c r="F58" s="18"/>
      <c r="G58" s="22"/>
      <c r="H58" s="18"/>
      <c r="I58" s="18">
        <v>0.0</v>
      </c>
      <c r="J58" s="18">
        <v>0.0</v>
      </c>
      <c r="K58" s="18"/>
      <c r="L58" s="18"/>
      <c r="M58" s="22" t="str">
        <f t="shared" si="1"/>
        <v/>
      </c>
      <c r="N58" s="18" t="str">
        <f>IF(A58="",,IF(ROW()=2, Input!$C$2 + I58, P57 + I58))</f>
        <v/>
      </c>
      <c r="O58" s="23" t="str">
        <f>IF(A58="",,
 IF(K58="Initial principal",
   Input!$C$2 * M58,
   N58 * M58
 )
)</f>
        <v/>
      </c>
      <c r="P58" s="18" t="str">
        <f t="shared" si="2"/>
        <v/>
      </c>
      <c r="Q58" s="18" t="str">
        <f t="shared" si="3"/>
        <v/>
      </c>
      <c r="R58" s="18" t="str">
        <f t="array" ref="R58">IF(
  B58="",
  ,
  SWITCH(
    Input!$C$4,
    "Actual/365 Fixed",
      YEARFRAC(
        B58 + IF(INDEX(Input!$K$7:$K1503,ROW()-1),0,1),
        C58 + IF(INDEX(Input!$L$7:$L1503,ROW()-1),1,0),
        3
      ),
    "Anniversary/365",
      DATEDIF(
        B58 + IF(INDEX(Input!$K$7:$K1503,ROW()-1),0,1),
        C58 + IF(INDEX(Input!$L$7:$L1503,ROW()-1),1,0),
        "Y"
      )
      +
      (
        (C58 + IF(INDEX(Input!$L$7:$L1503,ROW()-1),1,0))
        -
        EDATE(
          B58 + IF(INDEX(Input!$K$7:$K1503,ROW()-1),0,1),
          12*DATEDIF(
            B58 + IF(INDEX(Input!$K$7:$K1503,ROW()-1),0,1),
            C58 + IF(INDEX(Input!$L$7:$L1503,ROW()-1),1,0),
            "Y"
          )
        )
      ) / 365,
    "Actual/Actual",
      YEARFRAC(
        B58 + IF(INDEX(Input!$K$7:$K1503,ROW()-1),0,1),
        C58 + IF(INDEX(Input!$L$7:$L1503,ROW()-1),1,0),
        1
      ),
      YEARFRAC(
        B58 + IF(INDEX(Input!$K$7:$K1503,ROW()-1),0,1),
        C58 + IF(INDEX(Input!$L$7:$L1503,ROW()-1),1,0),
        3
      )
  )
)</f>
        <v/>
      </c>
      <c r="S58" s="22" t="str">
        <f t="shared" si="4"/>
        <v/>
      </c>
      <c r="T58" s="6" t="str">
        <f t="array" ref="T58">IF(
  B58="",
  ,
  DATEDIF(
    B58 + IF(INDEX(Input!$K$7:$K1503,ROW()-1),0,1),
    C58 + IF(INDEX(Input!$L$7:$L1503,ROW()-1),1,0),
    "Y"
  )
)</f>
        <v/>
      </c>
      <c r="U58" s="6" t="str">
        <f t="array" ref="U58">IF(
  B58="",
  ,
  (C58 + IF(INDEX(Input!$L$7:$L1503,ROW()-1),1,0))
  - EDATE(
      B58 + IF(INDEX(Input!$K$7:$K1503,ROW()-1),0,1),
      12*S58
    )
)</f>
        <v/>
      </c>
      <c r="V58" s="6" t="str">
        <f t="shared" si="5"/>
        <v/>
      </c>
      <c r="W58" s="6" t="str">
        <f t="shared" si="6"/>
        <v/>
      </c>
    </row>
    <row r="59">
      <c r="A59" s="18"/>
      <c r="B59" s="18"/>
      <c r="C59" s="18"/>
      <c r="D59" s="18"/>
      <c r="E59" s="18"/>
      <c r="F59" s="18"/>
      <c r="G59" s="22"/>
      <c r="H59" s="18"/>
      <c r="I59" s="18">
        <v>0.0</v>
      </c>
      <c r="J59" s="18">
        <v>0.0</v>
      </c>
      <c r="K59" s="18"/>
      <c r="L59" s="18"/>
      <c r="M59" s="22" t="str">
        <f t="shared" si="1"/>
        <v/>
      </c>
      <c r="N59" s="18" t="str">
        <f>IF(A59="",,IF(ROW()=2, Input!$C$2 + I59, P58 + I59))</f>
        <v/>
      </c>
      <c r="O59" s="23" t="str">
        <f>IF(A59="",,
 IF(K59="Initial principal",
   Input!$C$2 * M59,
   N59 * M59
 )
)</f>
        <v/>
      </c>
      <c r="P59" s="18" t="str">
        <f t="shared" si="2"/>
        <v/>
      </c>
      <c r="Q59" s="18" t="str">
        <f t="shared" si="3"/>
        <v/>
      </c>
      <c r="R59" s="18" t="str">
        <f t="array" ref="R59">IF(
  B59="",
  ,
  SWITCH(
    Input!$C$4,
    "Actual/365 Fixed",
      YEARFRAC(
        B59 + IF(INDEX(Input!$K$7:$K1503,ROW()-1),0,1),
        C59 + IF(INDEX(Input!$L$7:$L1503,ROW()-1),1,0),
        3
      ),
    "Anniversary/365",
      DATEDIF(
        B59 + IF(INDEX(Input!$K$7:$K1503,ROW()-1),0,1),
        C59 + IF(INDEX(Input!$L$7:$L1503,ROW()-1),1,0),
        "Y"
      )
      +
      (
        (C59 + IF(INDEX(Input!$L$7:$L1503,ROW()-1),1,0))
        -
        EDATE(
          B59 + IF(INDEX(Input!$K$7:$K1503,ROW()-1),0,1),
          12*DATEDIF(
            B59 + IF(INDEX(Input!$K$7:$K1503,ROW()-1),0,1),
            C59 + IF(INDEX(Input!$L$7:$L1503,ROW()-1),1,0),
            "Y"
          )
        )
      ) / 365,
    "Actual/Actual",
      YEARFRAC(
        B59 + IF(INDEX(Input!$K$7:$K1503,ROW()-1),0,1),
        C59 + IF(INDEX(Input!$L$7:$L1503,ROW()-1),1,0),
        1
      ),
      YEARFRAC(
        B59 + IF(INDEX(Input!$K$7:$K1503,ROW()-1),0,1),
        C59 + IF(INDEX(Input!$L$7:$L1503,ROW()-1),1,0),
        3
      )
  )
)</f>
        <v/>
      </c>
      <c r="S59" s="22" t="str">
        <f t="shared" si="4"/>
        <v/>
      </c>
      <c r="T59" s="6" t="str">
        <f t="array" ref="T59">IF(
  B59="",
  ,
  DATEDIF(
    B59 + IF(INDEX(Input!$K$7:$K1503,ROW()-1),0,1),
    C59 + IF(INDEX(Input!$L$7:$L1503,ROW()-1),1,0),
    "Y"
  )
)</f>
        <v/>
      </c>
      <c r="U59" s="6" t="str">
        <f t="array" ref="U59">IF(
  B59="",
  ,
  (C59 + IF(INDEX(Input!$L$7:$L1503,ROW()-1),1,0))
  - EDATE(
      B59 + IF(INDEX(Input!$K$7:$K1503,ROW()-1),0,1),
      12*S59
    )
)</f>
        <v/>
      </c>
      <c r="V59" s="6" t="str">
        <f t="shared" si="5"/>
        <v/>
      </c>
      <c r="W59" s="6" t="str">
        <f t="shared" si="6"/>
        <v/>
      </c>
    </row>
    <row r="60">
      <c r="A60" s="18"/>
      <c r="B60" s="18"/>
      <c r="C60" s="18"/>
      <c r="D60" s="18"/>
      <c r="E60" s="18"/>
      <c r="F60" s="18"/>
      <c r="G60" s="22"/>
      <c r="H60" s="18"/>
      <c r="I60" s="18">
        <v>0.0</v>
      </c>
      <c r="J60" s="18">
        <v>0.0</v>
      </c>
      <c r="K60" s="18"/>
      <c r="L60" s="18"/>
      <c r="M60" s="22" t="str">
        <f t="shared" si="1"/>
        <v/>
      </c>
      <c r="N60" s="18" t="str">
        <f>IF(A60="",,IF(ROW()=2, Input!$C$2 + I60, P59 + I60))</f>
        <v/>
      </c>
      <c r="O60" s="23" t="str">
        <f>IF(A60="",,
 IF(K60="Initial principal",
   Input!$C$2 * M60,
   N60 * M60
 )
)</f>
        <v/>
      </c>
      <c r="P60" s="18" t="str">
        <f t="shared" si="2"/>
        <v/>
      </c>
      <c r="Q60" s="18" t="str">
        <f t="shared" si="3"/>
        <v/>
      </c>
      <c r="R60" s="18" t="str">
        <f t="array" ref="R60">IF(
  B60="",
  ,
  SWITCH(
    Input!$C$4,
    "Actual/365 Fixed",
      YEARFRAC(
        B60 + IF(INDEX(Input!$K$7:$K1503,ROW()-1),0,1),
        C60 + IF(INDEX(Input!$L$7:$L1503,ROW()-1),1,0),
        3
      ),
    "Anniversary/365",
      DATEDIF(
        B60 + IF(INDEX(Input!$K$7:$K1503,ROW()-1),0,1),
        C60 + IF(INDEX(Input!$L$7:$L1503,ROW()-1),1,0),
        "Y"
      )
      +
      (
        (C60 + IF(INDEX(Input!$L$7:$L1503,ROW()-1),1,0))
        -
        EDATE(
          B60 + IF(INDEX(Input!$K$7:$K1503,ROW()-1),0,1),
          12*DATEDIF(
            B60 + IF(INDEX(Input!$K$7:$K1503,ROW()-1),0,1),
            C60 + IF(INDEX(Input!$L$7:$L1503,ROW()-1),1,0),
            "Y"
          )
        )
      ) / 365,
    "Actual/Actual",
      YEARFRAC(
        B60 + IF(INDEX(Input!$K$7:$K1503,ROW()-1),0,1),
        C60 + IF(INDEX(Input!$L$7:$L1503,ROW()-1),1,0),
        1
      ),
      YEARFRAC(
        B60 + IF(INDEX(Input!$K$7:$K1503,ROW()-1),0,1),
        C60 + IF(INDEX(Input!$L$7:$L1503,ROW()-1),1,0),
        3
      )
  )
)</f>
        <v/>
      </c>
      <c r="S60" s="22" t="str">
        <f t="shared" si="4"/>
        <v/>
      </c>
      <c r="T60" s="6" t="str">
        <f t="array" ref="T60">IF(
  B60="",
  ,
  DATEDIF(
    B60 + IF(INDEX(Input!$K$7:$K1503,ROW()-1),0,1),
    C60 + IF(INDEX(Input!$L$7:$L1503,ROW()-1),1,0),
    "Y"
  )
)</f>
        <v/>
      </c>
      <c r="U60" s="6" t="str">
        <f t="array" ref="U60">IF(
  B60="",
  ,
  (C60 + IF(INDEX(Input!$L$7:$L1503,ROW()-1),1,0))
  - EDATE(
      B60 + IF(INDEX(Input!$K$7:$K1503,ROW()-1),0,1),
      12*S60
    )
)</f>
        <v/>
      </c>
      <c r="V60" s="6" t="str">
        <f t="shared" si="5"/>
        <v/>
      </c>
      <c r="W60" s="6" t="str">
        <f t="shared" si="6"/>
        <v/>
      </c>
    </row>
    <row r="61">
      <c r="A61" s="18"/>
      <c r="B61" s="18"/>
      <c r="C61" s="18"/>
      <c r="D61" s="18"/>
      <c r="E61" s="18"/>
      <c r="F61" s="18"/>
      <c r="G61" s="22"/>
      <c r="H61" s="18"/>
      <c r="I61" s="18">
        <v>0.0</v>
      </c>
      <c r="J61" s="18">
        <v>0.0</v>
      </c>
      <c r="K61" s="18"/>
      <c r="L61" s="18"/>
      <c r="M61" s="22" t="str">
        <f t="shared" si="1"/>
        <v/>
      </c>
      <c r="N61" s="18" t="str">
        <f>IF(A61="",,IF(ROW()=2, Input!$C$2 + I61, P60 + I61))</f>
        <v/>
      </c>
      <c r="O61" s="23" t="str">
        <f>IF(A61="",,
 IF(K61="Initial principal",
   Input!$C$2 * M61,
   N61 * M61
 )
)</f>
        <v/>
      </c>
      <c r="P61" s="18" t="str">
        <f t="shared" si="2"/>
        <v/>
      </c>
      <c r="Q61" s="18" t="str">
        <f t="shared" si="3"/>
        <v/>
      </c>
      <c r="R61" s="18" t="str">
        <f t="array" ref="R61">IF(
  B61="",
  ,
  SWITCH(
    Input!$C$4,
    "Actual/365 Fixed",
      YEARFRAC(
        B61 + IF(INDEX(Input!$K$7:$K1503,ROW()-1),0,1),
        C61 + IF(INDEX(Input!$L$7:$L1503,ROW()-1),1,0),
        3
      ),
    "Anniversary/365",
      DATEDIF(
        B61 + IF(INDEX(Input!$K$7:$K1503,ROW()-1),0,1),
        C61 + IF(INDEX(Input!$L$7:$L1503,ROW()-1),1,0),
        "Y"
      )
      +
      (
        (C61 + IF(INDEX(Input!$L$7:$L1503,ROW()-1),1,0))
        -
        EDATE(
          B61 + IF(INDEX(Input!$K$7:$K1503,ROW()-1),0,1),
          12*DATEDIF(
            B61 + IF(INDEX(Input!$K$7:$K1503,ROW()-1),0,1),
            C61 + IF(INDEX(Input!$L$7:$L1503,ROW()-1),1,0),
            "Y"
          )
        )
      ) / 365,
    "Actual/Actual",
      YEARFRAC(
        B61 + IF(INDEX(Input!$K$7:$K1503,ROW()-1),0,1),
        C61 + IF(INDEX(Input!$L$7:$L1503,ROW()-1),1,0),
        1
      ),
      YEARFRAC(
        B61 + IF(INDEX(Input!$K$7:$K1503,ROW()-1),0,1),
        C61 + IF(INDEX(Input!$L$7:$L1503,ROW()-1),1,0),
        3
      )
  )
)</f>
        <v/>
      </c>
      <c r="S61" s="22" t="str">
        <f t="shared" si="4"/>
        <v/>
      </c>
      <c r="T61" s="6" t="str">
        <f t="array" ref="T61">IF(
  B61="",
  ,
  DATEDIF(
    B61 + IF(INDEX(Input!$K$7:$K1503,ROW()-1),0,1),
    C61 + IF(INDEX(Input!$L$7:$L1503,ROW()-1),1,0),
    "Y"
  )
)</f>
        <v/>
      </c>
      <c r="U61" s="6" t="str">
        <f t="array" ref="U61">IF(
  B61="",
  ,
  (C61 + IF(INDEX(Input!$L$7:$L1503,ROW()-1),1,0))
  - EDATE(
      B61 + IF(INDEX(Input!$K$7:$K1503,ROW()-1),0,1),
      12*S61
    )
)</f>
        <v/>
      </c>
      <c r="V61" s="6" t="str">
        <f t="shared" si="5"/>
        <v/>
      </c>
      <c r="W61" s="6" t="str">
        <f t="shared" si="6"/>
        <v/>
      </c>
    </row>
    <row r="62">
      <c r="A62" s="18"/>
      <c r="B62" s="18"/>
      <c r="C62" s="18"/>
      <c r="D62" s="18"/>
      <c r="E62" s="18"/>
      <c r="F62" s="18"/>
      <c r="G62" s="22"/>
      <c r="H62" s="18"/>
      <c r="I62" s="18">
        <v>0.0</v>
      </c>
      <c r="J62" s="18">
        <v>0.0</v>
      </c>
      <c r="K62" s="18"/>
      <c r="L62" s="18"/>
      <c r="M62" s="22" t="str">
        <f t="shared" si="1"/>
        <v/>
      </c>
      <c r="N62" s="18" t="str">
        <f>IF(A62="",,IF(ROW()=2, Input!$C$2 + I62, P61 + I62))</f>
        <v/>
      </c>
      <c r="O62" s="23" t="str">
        <f>IF(A62="",,
 IF(K62="Initial principal",
   Input!$C$2 * M62,
   N62 * M62
 )
)</f>
        <v/>
      </c>
      <c r="P62" s="18" t="str">
        <f t="shared" si="2"/>
        <v/>
      </c>
      <c r="Q62" s="18" t="str">
        <f t="shared" si="3"/>
        <v/>
      </c>
      <c r="R62" s="18" t="str">
        <f t="array" ref="R62">IF(
  B62="",
  ,
  SWITCH(
    Input!$C$4,
    "Actual/365 Fixed",
      YEARFRAC(
        B62 + IF(INDEX(Input!$K$7:$K1503,ROW()-1),0,1),
        C62 + IF(INDEX(Input!$L$7:$L1503,ROW()-1),1,0),
        3
      ),
    "Anniversary/365",
      DATEDIF(
        B62 + IF(INDEX(Input!$K$7:$K1503,ROW()-1),0,1),
        C62 + IF(INDEX(Input!$L$7:$L1503,ROW()-1),1,0),
        "Y"
      )
      +
      (
        (C62 + IF(INDEX(Input!$L$7:$L1503,ROW()-1),1,0))
        -
        EDATE(
          B62 + IF(INDEX(Input!$K$7:$K1503,ROW()-1),0,1),
          12*DATEDIF(
            B62 + IF(INDEX(Input!$K$7:$K1503,ROW()-1),0,1),
            C62 + IF(INDEX(Input!$L$7:$L1503,ROW()-1),1,0),
            "Y"
          )
        )
      ) / 365,
    "Actual/Actual",
      YEARFRAC(
        B62 + IF(INDEX(Input!$K$7:$K1503,ROW()-1),0,1),
        C62 + IF(INDEX(Input!$L$7:$L1503,ROW()-1),1,0),
        1
      ),
      YEARFRAC(
        B62 + IF(INDEX(Input!$K$7:$K1503,ROW()-1),0,1),
        C62 + IF(INDEX(Input!$L$7:$L1503,ROW()-1),1,0),
        3
      )
  )
)</f>
        <v/>
      </c>
      <c r="S62" s="22" t="str">
        <f t="shared" si="4"/>
        <v/>
      </c>
      <c r="T62" s="6" t="str">
        <f t="array" ref="T62">IF(
  B62="",
  ,
  DATEDIF(
    B62 + IF(INDEX(Input!$K$7:$K1503,ROW()-1),0,1),
    C62 + IF(INDEX(Input!$L$7:$L1503,ROW()-1),1,0),
    "Y"
  )
)</f>
        <v/>
      </c>
      <c r="U62" s="6" t="str">
        <f t="array" ref="U62">IF(
  B62="",
  ,
  (C62 + IF(INDEX(Input!$L$7:$L1503,ROW()-1),1,0))
  - EDATE(
      B62 + IF(INDEX(Input!$K$7:$K1503,ROW()-1),0,1),
      12*S62
    )
)</f>
        <v/>
      </c>
      <c r="V62" s="6" t="str">
        <f t="shared" si="5"/>
        <v/>
      </c>
      <c r="W62" s="6" t="str">
        <f t="shared" si="6"/>
        <v/>
      </c>
    </row>
    <row r="63">
      <c r="A63" s="18"/>
      <c r="B63" s="18"/>
      <c r="C63" s="18"/>
      <c r="D63" s="18"/>
      <c r="E63" s="18"/>
      <c r="F63" s="18"/>
      <c r="G63" s="22"/>
      <c r="H63" s="18"/>
      <c r="I63" s="18">
        <v>0.0</v>
      </c>
      <c r="J63" s="18">
        <v>0.0</v>
      </c>
      <c r="K63" s="18"/>
      <c r="L63" s="18"/>
      <c r="M63" s="22" t="str">
        <f t="shared" si="1"/>
        <v/>
      </c>
      <c r="N63" s="18" t="str">
        <f>IF(A63="",,IF(ROW()=2, Input!$C$2 + I63, P62 + I63))</f>
        <v/>
      </c>
      <c r="O63" s="23" t="str">
        <f>IF(A63="",,
 IF(K63="Initial principal",
   Input!$C$2 * M63,
   N63 * M63
 )
)</f>
        <v/>
      </c>
      <c r="P63" s="18" t="str">
        <f t="shared" si="2"/>
        <v/>
      </c>
      <c r="Q63" s="18" t="str">
        <f t="shared" si="3"/>
        <v/>
      </c>
      <c r="R63" s="18" t="str">
        <f t="array" ref="R63">IF(
  B63="",
  ,
  SWITCH(
    Input!$C$4,
    "Actual/365 Fixed",
      YEARFRAC(
        B63 + IF(INDEX(Input!$K$7:$K1503,ROW()-1),0,1),
        C63 + IF(INDEX(Input!$L$7:$L1503,ROW()-1),1,0),
        3
      ),
    "Anniversary/365",
      DATEDIF(
        B63 + IF(INDEX(Input!$K$7:$K1503,ROW()-1),0,1),
        C63 + IF(INDEX(Input!$L$7:$L1503,ROW()-1),1,0),
        "Y"
      )
      +
      (
        (C63 + IF(INDEX(Input!$L$7:$L1503,ROW()-1),1,0))
        -
        EDATE(
          B63 + IF(INDEX(Input!$K$7:$K1503,ROW()-1),0,1),
          12*DATEDIF(
            B63 + IF(INDEX(Input!$K$7:$K1503,ROW()-1),0,1),
            C63 + IF(INDEX(Input!$L$7:$L1503,ROW()-1),1,0),
            "Y"
          )
        )
      ) / 365,
    "Actual/Actual",
      YEARFRAC(
        B63 + IF(INDEX(Input!$K$7:$K1503,ROW()-1),0,1),
        C63 + IF(INDEX(Input!$L$7:$L1503,ROW()-1),1,0),
        1
      ),
      YEARFRAC(
        B63 + IF(INDEX(Input!$K$7:$K1503,ROW()-1),0,1),
        C63 + IF(INDEX(Input!$L$7:$L1503,ROW()-1),1,0),
        3
      )
  )
)</f>
        <v/>
      </c>
      <c r="S63" s="22" t="str">
        <f t="shared" si="4"/>
        <v/>
      </c>
      <c r="T63" s="6" t="str">
        <f t="array" ref="T63">IF(
  B63="",
  ,
  DATEDIF(
    B63 + IF(INDEX(Input!$K$7:$K1503,ROW()-1),0,1),
    C63 + IF(INDEX(Input!$L$7:$L1503,ROW()-1),1,0),
    "Y"
  )
)</f>
        <v/>
      </c>
      <c r="U63" s="6" t="str">
        <f t="array" ref="U63">IF(
  B63="",
  ,
  (C63 + IF(INDEX(Input!$L$7:$L1503,ROW()-1),1,0))
  - EDATE(
      B63 + IF(INDEX(Input!$K$7:$K1503,ROW()-1),0,1),
      12*S63
    )
)</f>
        <v/>
      </c>
      <c r="V63" s="6" t="str">
        <f t="shared" si="5"/>
        <v/>
      </c>
      <c r="W63" s="6" t="str">
        <f t="shared" si="6"/>
        <v/>
      </c>
    </row>
    <row r="64">
      <c r="A64" s="18"/>
      <c r="B64" s="18"/>
      <c r="C64" s="18"/>
      <c r="D64" s="18"/>
      <c r="E64" s="18"/>
      <c r="F64" s="18"/>
      <c r="G64" s="22"/>
      <c r="H64" s="18"/>
      <c r="I64" s="18">
        <v>0.0</v>
      </c>
      <c r="J64" s="18">
        <v>0.0</v>
      </c>
      <c r="K64" s="18"/>
      <c r="L64" s="18"/>
      <c r="M64" s="22" t="str">
        <f t="shared" si="1"/>
        <v/>
      </c>
      <c r="N64" s="18" t="str">
        <f>IF(A64="",,IF(ROW()=2, Input!$C$2 + I64, P63 + I64))</f>
        <v/>
      </c>
      <c r="O64" s="23" t="str">
        <f>IF(A64="",,
 IF(K64="Initial principal",
   Input!$C$2 * M64,
   N64 * M64
 )
)</f>
        <v/>
      </c>
      <c r="P64" s="18" t="str">
        <f t="shared" si="2"/>
        <v/>
      </c>
      <c r="Q64" s="18" t="str">
        <f t="shared" si="3"/>
        <v/>
      </c>
      <c r="R64" s="18" t="str">
        <f t="array" ref="R64">IF(
  B64="",
  ,
  SWITCH(
    Input!$C$4,
    "Actual/365 Fixed",
      YEARFRAC(
        B64 + IF(INDEX(Input!$K$7:$K1503,ROW()-1),0,1),
        C64 + IF(INDEX(Input!$L$7:$L1503,ROW()-1),1,0),
        3
      ),
    "Anniversary/365",
      DATEDIF(
        B64 + IF(INDEX(Input!$K$7:$K1503,ROW()-1),0,1),
        C64 + IF(INDEX(Input!$L$7:$L1503,ROW()-1),1,0),
        "Y"
      )
      +
      (
        (C64 + IF(INDEX(Input!$L$7:$L1503,ROW()-1),1,0))
        -
        EDATE(
          B64 + IF(INDEX(Input!$K$7:$K1503,ROW()-1),0,1),
          12*DATEDIF(
            B64 + IF(INDEX(Input!$K$7:$K1503,ROW()-1),0,1),
            C64 + IF(INDEX(Input!$L$7:$L1503,ROW()-1),1,0),
            "Y"
          )
        )
      ) / 365,
    "Actual/Actual",
      YEARFRAC(
        B64 + IF(INDEX(Input!$K$7:$K1503,ROW()-1),0,1),
        C64 + IF(INDEX(Input!$L$7:$L1503,ROW()-1),1,0),
        1
      ),
      YEARFRAC(
        B64 + IF(INDEX(Input!$K$7:$K1503,ROW()-1),0,1),
        C64 + IF(INDEX(Input!$L$7:$L1503,ROW()-1),1,0),
        3
      )
  )
)</f>
        <v/>
      </c>
      <c r="S64" s="22" t="str">
        <f t="shared" si="4"/>
        <v/>
      </c>
      <c r="T64" s="6" t="str">
        <f t="array" ref="T64">IF(
  B64="",
  ,
  DATEDIF(
    B64 + IF(INDEX(Input!$K$7:$K1503,ROW()-1),0,1),
    C64 + IF(INDEX(Input!$L$7:$L1503,ROW()-1),1,0),
    "Y"
  )
)</f>
        <v/>
      </c>
      <c r="U64" s="6" t="str">
        <f t="array" ref="U64">IF(
  B64="",
  ,
  (C64 + IF(INDEX(Input!$L$7:$L1503,ROW()-1),1,0))
  - EDATE(
      B64 + IF(INDEX(Input!$K$7:$K1503,ROW()-1),0,1),
      12*S64
    )
)</f>
        <v/>
      </c>
      <c r="V64" s="6" t="str">
        <f t="shared" si="5"/>
        <v/>
      </c>
      <c r="W64" s="6" t="str">
        <f t="shared" si="6"/>
        <v/>
      </c>
    </row>
    <row r="65">
      <c r="A65" s="18"/>
      <c r="B65" s="18"/>
      <c r="C65" s="18"/>
      <c r="D65" s="18"/>
      <c r="E65" s="18"/>
      <c r="F65" s="18"/>
      <c r="G65" s="22"/>
      <c r="H65" s="18"/>
      <c r="I65" s="18">
        <v>0.0</v>
      </c>
      <c r="J65" s="18">
        <v>0.0</v>
      </c>
      <c r="K65" s="18"/>
      <c r="L65" s="18"/>
      <c r="M65" s="22" t="str">
        <f t="shared" si="1"/>
        <v/>
      </c>
      <c r="N65" s="18" t="str">
        <f>IF(A65="",,IF(ROW()=2, Input!$C$2 + I65, P64 + I65))</f>
        <v/>
      </c>
      <c r="O65" s="23" t="str">
        <f>IF(A65="",,
 IF(K65="Initial principal",
   Input!$C$2 * M65,
   N65 * M65
 )
)</f>
        <v/>
      </c>
      <c r="P65" s="18" t="str">
        <f t="shared" si="2"/>
        <v/>
      </c>
      <c r="Q65" s="18" t="str">
        <f t="shared" si="3"/>
        <v/>
      </c>
      <c r="R65" s="18" t="str">
        <f t="array" ref="R65">IF(
  B65="",
  ,
  SWITCH(
    Input!$C$4,
    "Actual/365 Fixed",
      YEARFRAC(
        B65 + IF(INDEX(Input!$K$7:$K1503,ROW()-1),0,1),
        C65 + IF(INDEX(Input!$L$7:$L1503,ROW()-1),1,0),
        3
      ),
    "Anniversary/365",
      DATEDIF(
        B65 + IF(INDEX(Input!$K$7:$K1503,ROW()-1),0,1),
        C65 + IF(INDEX(Input!$L$7:$L1503,ROW()-1),1,0),
        "Y"
      )
      +
      (
        (C65 + IF(INDEX(Input!$L$7:$L1503,ROW()-1),1,0))
        -
        EDATE(
          B65 + IF(INDEX(Input!$K$7:$K1503,ROW()-1),0,1),
          12*DATEDIF(
            B65 + IF(INDEX(Input!$K$7:$K1503,ROW()-1),0,1),
            C65 + IF(INDEX(Input!$L$7:$L1503,ROW()-1),1,0),
            "Y"
          )
        )
      ) / 365,
    "Actual/Actual",
      YEARFRAC(
        B65 + IF(INDEX(Input!$K$7:$K1503,ROW()-1),0,1),
        C65 + IF(INDEX(Input!$L$7:$L1503,ROW()-1),1,0),
        1
      ),
      YEARFRAC(
        B65 + IF(INDEX(Input!$K$7:$K1503,ROW()-1),0,1),
        C65 + IF(INDEX(Input!$L$7:$L1503,ROW()-1),1,0),
        3
      )
  )
)</f>
        <v/>
      </c>
      <c r="S65" s="22" t="str">
        <f t="shared" si="4"/>
        <v/>
      </c>
      <c r="T65" s="6" t="str">
        <f t="array" ref="T65">IF(
  B65="",
  ,
  DATEDIF(
    B65 + IF(INDEX(Input!$K$7:$K1503,ROW()-1),0,1),
    C65 + IF(INDEX(Input!$L$7:$L1503,ROW()-1),1,0),
    "Y"
  )
)</f>
        <v/>
      </c>
      <c r="U65" s="6" t="str">
        <f t="array" ref="U65">IF(
  B65="",
  ,
  (C65 + IF(INDEX(Input!$L$7:$L1503,ROW()-1),1,0))
  - EDATE(
      B65 + IF(INDEX(Input!$K$7:$K1503,ROW()-1),0,1),
      12*S65
    )
)</f>
        <v/>
      </c>
      <c r="V65" s="6" t="str">
        <f t="shared" si="5"/>
        <v/>
      </c>
      <c r="W65" s="6" t="str">
        <f t="shared" si="6"/>
        <v/>
      </c>
    </row>
    <row r="66">
      <c r="A66" s="18"/>
      <c r="B66" s="18"/>
      <c r="C66" s="18"/>
      <c r="D66" s="18"/>
      <c r="E66" s="18"/>
      <c r="F66" s="18"/>
      <c r="G66" s="22"/>
      <c r="H66" s="18"/>
      <c r="I66" s="18">
        <v>0.0</v>
      </c>
      <c r="J66" s="18">
        <v>0.0</v>
      </c>
      <c r="K66" s="18"/>
      <c r="L66" s="18"/>
      <c r="M66" s="22" t="str">
        <f t="shared" si="1"/>
        <v/>
      </c>
      <c r="N66" s="18" t="str">
        <f>IF(A66="",,IF(ROW()=2, Input!$C$2 + I66, P65 + I66))</f>
        <v/>
      </c>
      <c r="O66" s="23" t="str">
        <f>IF(A66="",,
 IF(K66="Initial principal",
   Input!$C$2 * M66,
   N66 * M66
 )
)</f>
        <v/>
      </c>
      <c r="P66" s="18" t="str">
        <f t="shared" si="2"/>
        <v/>
      </c>
      <c r="Q66" s="18" t="str">
        <f t="shared" si="3"/>
        <v/>
      </c>
      <c r="R66" s="18" t="str">
        <f t="array" ref="R66">IF(
  B66="",
  ,
  SWITCH(
    Input!$C$4,
    "Actual/365 Fixed",
      YEARFRAC(
        B66 + IF(INDEX(Input!$K$7:$K1503,ROW()-1),0,1),
        C66 + IF(INDEX(Input!$L$7:$L1503,ROW()-1),1,0),
        3
      ),
    "Anniversary/365",
      DATEDIF(
        B66 + IF(INDEX(Input!$K$7:$K1503,ROW()-1),0,1),
        C66 + IF(INDEX(Input!$L$7:$L1503,ROW()-1),1,0),
        "Y"
      )
      +
      (
        (C66 + IF(INDEX(Input!$L$7:$L1503,ROW()-1),1,0))
        -
        EDATE(
          B66 + IF(INDEX(Input!$K$7:$K1503,ROW()-1),0,1),
          12*DATEDIF(
            B66 + IF(INDEX(Input!$K$7:$K1503,ROW()-1),0,1),
            C66 + IF(INDEX(Input!$L$7:$L1503,ROW()-1),1,0),
            "Y"
          )
        )
      ) / 365,
    "Actual/Actual",
      YEARFRAC(
        B66 + IF(INDEX(Input!$K$7:$K1503,ROW()-1),0,1),
        C66 + IF(INDEX(Input!$L$7:$L1503,ROW()-1),1,0),
        1
      ),
      YEARFRAC(
        B66 + IF(INDEX(Input!$K$7:$K1503,ROW()-1),0,1),
        C66 + IF(INDEX(Input!$L$7:$L1503,ROW()-1),1,0),
        3
      )
  )
)</f>
        <v/>
      </c>
      <c r="S66" s="22" t="str">
        <f t="shared" si="4"/>
        <v/>
      </c>
      <c r="T66" s="6" t="str">
        <f t="array" ref="T66">IF(
  B66="",
  ,
  DATEDIF(
    B66 + IF(INDEX(Input!$K$7:$K1503,ROW()-1),0,1),
    C66 + IF(INDEX(Input!$L$7:$L1503,ROW()-1),1,0),
    "Y"
  )
)</f>
        <v/>
      </c>
      <c r="U66" s="6" t="str">
        <f t="array" ref="U66">IF(
  B66="",
  ,
  (C66 + IF(INDEX(Input!$L$7:$L1503,ROW()-1),1,0))
  - EDATE(
      B66 + IF(INDEX(Input!$K$7:$K1503,ROW()-1),0,1),
      12*S66
    )
)</f>
        <v/>
      </c>
      <c r="V66" s="6" t="str">
        <f t="shared" si="5"/>
        <v/>
      </c>
      <c r="W66" s="6" t="str">
        <f t="shared" si="6"/>
        <v/>
      </c>
    </row>
    <row r="67">
      <c r="A67" s="18"/>
      <c r="B67" s="18"/>
      <c r="C67" s="18"/>
      <c r="D67" s="18"/>
      <c r="E67" s="18"/>
      <c r="F67" s="18"/>
      <c r="G67" s="22"/>
      <c r="H67" s="18"/>
      <c r="I67" s="18">
        <v>0.0</v>
      </c>
      <c r="J67" s="18">
        <v>0.0</v>
      </c>
      <c r="K67" s="18"/>
      <c r="L67" s="18"/>
      <c r="M67" s="22" t="str">
        <f t="shared" si="1"/>
        <v/>
      </c>
      <c r="N67" s="18" t="str">
        <f>IF(A67="",,IF(ROW()=2, Input!$C$2 + I67, P66 + I67))</f>
        <v/>
      </c>
      <c r="O67" s="23" t="str">
        <f>IF(A67="",,
 IF(K67="Initial principal",
   Input!$C$2 * M67,
   N67 * M67
 )
)</f>
        <v/>
      </c>
      <c r="P67" s="18" t="str">
        <f t="shared" si="2"/>
        <v/>
      </c>
      <c r="Q67" s="18" t="str">
        <f t="shared" si="3"/>
        <v/>
      </c>
      <c r="R67" s="18" t="str">
        <f t="array" ref="R67">IF(
  B67="",
  ,
  SWITCH(
    Input!$C$4,
    "Actual/365 Fixed",
      YEARFRAC(
        B67 + IF(INDEX(Input!$K$7:$K1503,ROW()-1),0,1),
        C67 + IF(INDEX(Input!$L$7:$L1503,ROW()-1),1,0),
        3
      ),
    "Anniversary/365",
      DATEDIF(
        B67 + IF(INDEX(Input!$K$7:$K1503,ROW()-1),0,1),
        C67 + IF(INDEX(Input!$L$7:$L1503,ROW()-1),1,0),
        "Y"
      )
      +
      (
        (C67 + IF(INDEX(Input!$L$7:$L1503,ROW()-1),1,0))
        -
        EDATE(
          B67 + IF(INDEX(Input!$K$7:$K1503,ROW()-1),0,1),
          12*DATEDIF(
            B67 + IF(INDEX(Input!$K$7:$K1503,ROW()-1),0,1),
            C67 + IF(INDEX(Input!$L$7:$L1503,ROW()-1),1,0),
            "Y"
          )
        )
      ) / 365,
    "Actual/Actual",
      YEARFRAC(
        B67 + IF(INDEX(Input!$K$7:$K1503,ROW()-1),0,1),
        C67 + IF(INDEX(Input!$L$7:$L1503,ROW()-1),1,0),
        1
      ),
      YEARFRAC(
        B67 + IF(INDEX(Input!$K$7:$K1503,ROW()-1),0,1),
        C67 + IF(INDEX(Input!$L$7:$L1503,ROW()-1),1,0),
        3
      )
  )
)</f>
        <v/>
      </c>
      <c r="S67" s="22" t="str">
        <f t="shared" si="4"/>
        <v/>
      </c>
      <c r="T67" s="6" t="str">
        <f t="array" ref="T67">IF(
  B67="",
  ,
  DATEDIF(
    B67 + IF(INDEX(Input!$K$7:$K1503,ROW()-1),0,1),
    C67 + IF(INDEX(Input!$L$7:$L1503,ROW()-1),1,0),
    "Y"
  )
)</f>
        <v/>
      </c>
      <c r="U67" s="6" t="str">
        <f t="array" ref="U67">IF(
  B67="",
  ,
  (C67 + IF(INDEX(Input!$L$7:$L1503,ROW()-1),1,0))
  - EDATE(
      B67 + IF(INDEX(Input!$K$7:$K1503,ROW()-1),0,1),
      12*S67
    )
)</f>
        <v/>
      </c>
      <c r="V67" s="6" t="str">
        <f t="shared" si="5"/>
        <v/>
      </c>
      <c r="W67" s="6" t="str">
        <f t="shared" si="6"/>
        <v/>
      </c>
    </row>
    <row r="68">
      <c r="A68" s="18"/>
      <c r="B68" s="18"/>
      <c r="C68" s="18"/>
      <c r="D68" s="18"/>
      <c r="E68" s="18"/>
      <c r="F68" s="18"/>
      <c r="G68" s="22"/>
      <c r="H68" s="18"/>
      <c r="I68" s="18">
        <v>0.0</v>
      </c>
      <c r="J68" s="18">
        <v>0.0</v>
      </c>
      <c r="K68" s="18"/>
      <c r="L68" s="18"/>
      <c r="M68" s="22" t="str">
        <f t="shared" si="1"/>
        <v/>
      </c>
      <c r="N68" s="18" t="str">
        <f>IF(A68="",,IF(ROW()=2, Input!$C$2 + I68, P67 + I68))</f>
        <v/>
      </c>
      <c r="O68" s="23" t="str">
        <f>IF(A68="",,
 IF(K68="Initial principal",
   Input!$C$2 * M68,
   N68 * M68
 )
)</f>
        <v/>
      </c>
      <c r="P68" s="18" t="str">
        <f t="shared" si="2"/>
        <v/>
      </c>
      <c r="Q68" s="18" t="str">
        <f t="shared" si="3"/>
        <v/>
      </c>
      <c r="R68" s="18" t="str">
        <f t="array" ref="R68">IF(
  B68="",
  ,
  SWITCH(
    Input!$C$4,
    "Actual/365 Fixed",
      YEARFRAC(
        B68 + IF(INDEX(Input!$K$7:$K1503,ROW()-1),0,1),
        C68 + IF(INDEX(Input!$L$7:$L1503,ROW()-1),1,0),
        3
      ),
    "Anniversary/365",
      DATEDIF(
        B68 + IF(INDEX(Input!$K$7:$K1503,ROW()-1),0,1),
        C68 + IF(INDEX(Input!$L$7:$L1503,ROW()-1),1,0),
        "Y"
      )
      +
      (
        (C68 + IF(INDEX(Input!$L$7:$L1503,ROW()-1),1,0))
        -
        EDATE(
          B68 + IF(INDEX(Input!$K$7:$K1503,ROW()-1),0,1),
          12*DATEDIF(
            B68 + IF(INDEX(Input!$K$7:$K1503,ROW()-1),0,1),
            C68 + IF(INDEX(Input!$L$7:$L1503,ROW()-1),1,0),
            "Y"
          )
        )
      ) / 365,
    "Actual/Actual",
      YEARFRAC(
        B68 + IF(INDEX(Input!$K$7:$K1503,ROW()-1),0,1),
        C68 + IF(INDEX(Input!$L$7:$L1503,ROW()-1),1,0),
        1
      ),
      YEARFRAC(
        B68 + IF(INDEX(Input!$K$7:$K1503,ROW()-1),0,1),
        C68 + IF(INDEX(Input!$L$7:$L1503,ROW()-1),1,0),
        3
      )
  )
)</f>
        <v/>
      </c>
      <c r="S68" s="22" t="str">
        <f t="shared" si="4"/>
        <v/>
      </c>
      <c r="T68" s="6" t="str">
        <f t="array" ref="T68">IF(
  B68="",
  ,
  DATEDIF(
    B68 + IF(INDEX(Input!$K$7:$K1503,ROW()-1),0,1),
    C68 + IF(INDEX(Input!$L$7:$L1503,ROW()-1),1,0),
    "Y"
  )
)</f>
        <v/>
      </c>
      <c r="U68" s="6" t="str">
        <f t="array" ref="U68">IF(
  B68="",
  ,
  (C68 + IF(INDEX(Input!$L$7:$L1503,ROW()-1),1,0))
  - EDATE(
      B68 + IF(INDEX(Input!$K$7:$K1503,ROW()-1),0,1),
      12*S68
    )
)</f>
        <v/>
      </c>
      <c r="V68" s="6" t="str">
        <f t="shared" si="5"/>
        <v/>
      </c>
      <c r="W68" s="6" t="str">
        <f t="shared" si="6"/>
        <v/>
      </c>
    </row>
    <row r="69">
      <c r="A69" s="18"/>
      <c r="B69" s="18"/>
      <c r="C69" s="18"/>
      <c r="D69" s="18"/>
      <c r="E69" s="18"/>
      <c r="F69" s="18"/>
      <c r="G69" s="22"/>
      <c r="H69" s="18"/>
      <c r="I69" s="18">
        <v>0.0</v>
      </c>
      <c r="J69" s="18">
        <v>0.0</v>
      </c>
      <c r="K69" s="18"/>
      <c r="L69" s="18"/>
      <c r="M69" s="22" t="str">
        <f t="shared" si="1"/>
        <v/>
      </c>
      <c r="N69" s="18" t="str">
        <f>IF(A69="",,IF(ROW()=2, Input!$C$2 + I69, P68 + I69))</f>
        <v/>
      </c>
      <c r="O69" s="23" t="str">
        <f>IF(A69="",,
 IF(K69="Initial principal",
   Input!$C$2 * M69,
   N69 * M69
 )
)</f>
        <v/>
      </c>
      <c r="P69" s="18" t="str">
        <f t="shared" si="2"/>
        <v/>
      </c>
      <c r="Q69" s="18" t="str">
        <f t="shared" si="3"/>
        <v/>
      </c>
      <c r="R69" s="18" t="str">
        <f t="array" ref="R69">IF(
  B69="",
  ,
  SWITCH(
    Input!$C$4,
    "Actual/365 Fixed",
      YEARFRAC(
        B69 + IF(INDEX(Input!$K$7:$K1503,ROW()-1),0,1),
        C69 + IF(INDEX(Input!$L$7:$L1503,ROW()-1),1,0),
        3
      ),
    "Anniversary/365",
      DATEDIF(
        B69 + IF(INDEX(Input!$K$7:$K1503,ROW()-1),0,1),
        C69 + IF(INDEX(Input!$L$7:$L1503,ROW()-1),1,0),
        "Y"
      )
      +
      (
        (C69 + IF(INDEX(Input!$L$7:$L1503,ROW()-1),1,0))
        -
        EDATE(
          B69 + IF(INDEX(Input!$K$7:$K1503,ROW()-1),0,1),
          12*DATEDIF(
            B69 + IF(INDEX(Input!$K$7:$K1503,ROW()-1),0,1),
            C69 + IF(INDEX(Input!$L$7:$L1503,ROW()-1),1,0),
            "Y"
          )
        )
      ) / 365,
    "Actual/Actual",
      YEARFRAC(
        B69 + IF(INDEX(Input!$K$7:$K1503,ROW()-1),0,1),
        C69 + IF(INDEX(Input!$L$7:$L1503,ROW()-1),1,0),
        1
      ),
      YEARFRAC(
        B69 + IF(INDEX(Input!$K$7:$K1503,ROW()-1),0,1),
        C69 + IF(INDEX(Input!$L$7:$L1503,ROW()-1),1,0),
        3
      )
  )
)</f>
        <v/>
      </c>
      <c r="S69" s="22" t="str">
        <f t="shared" si="4"/>
        <v/>
      </c>
      <c r="T69" s="6" t="str">
        <f t="array" ref="T69">IF(
  B69="",
  ,
  DATEDIF(
    B69 + IF(INDEX(Input!$K$7:$K1503,ROW()-1),0,1),
    C69 + IF(INDEX(Input!$L$7:$L1503,ROW()-1),1,0),
    "Y"
  )
)</f>
        <v/>
      </c>
      <c r="U69" s="6" t="str">
        <f t="array" ref="U69">IF(
  B69="",
  ,
  (C69 + IF(INDEX(Input!$L$7:$L1503,ROW()-1),1,0))
  - EDATE(
      B69 + IF(INDEX(Input!$K$7:$K1503,ROW()-1),0,1),
      12*S69
    )
)</f>
        <v/>
      </c>
      <c r="V69" s="6" t="str">
        <f t="shared" si="5"/>
        <v/>
      </c>
      <c r="W69" s="6" t="str">
        <f t="shared" si="6"/>
        <v/>
      </c>
    </row>
    <row r="70">
      <c r="A70" s="18"/>
      <c r="B70" s="18"/>
      <c r="C70" s="18"/>
      <c r="D70" s="18"/>
      <c r="E70" s="18"/>
      <c r="F70" s="18"/>
      <c r="G70" s="22"/>
      <c r="H70" s="18"/>
      <c r="I70" s="18">
        <v>0.0</v>
      </c>
      <c r="J70" s="18">
        <v>0.0</v>
      </c>
      <c r="K70" s="18"/>
      <c r="L70" s="18"/>
      <c r="M70" s="22" t="str">
        <f t="shared" si="1"/>
        <v/>
      </c>
      <c r="N70" s="18" t="str">
        <f>IF(A70="",,IF(ROW()=2, Input!$C$2 + I70, P69 + I70))</f>
        <v/>
      </c>
      <c r="O70" s="23" t="str">
        <f>IF(A70="",,
 IF(K70="Initial principal",
   Input!$C$2 * M70,
   N70 * M70
 )
)</f>
        <v/>
      </c>
      <c r="P70" s="18" t="str">
        <f t="shared" si="2"/>
        <v/>
      </c>
      <c r="Q70" s="18" t="str">
        <f t="shared" si="3"/>
        <v/>
      </c>
      <c r="R70" s="18" t="str">
        <f t="array" ref="R70">IF(
  B70="",
  ,
  SWITCH(
    Input!$C$4,
    "Actual/365 Fixed",
      YEARFRAC(
        B70 + IF(INDEX(Input!$K$7:$K1503,ROW()-1),0,1),
        C70 + IF(INDEX(Input!$L$7:$L1503,ROW()-1),1,0),
        3
      ),
    "Anniversary/365",
      DATEDIF(
        B70 + IF(INDEX(Input!$K$7:$K1503,ROW()-1),0,1),
        C70 + IF(INDEX(Input!$L$7:$L1503,ROW()-1),1,0),
        "Y"
      )
      +
      (
        (C70 + IF(INDEX(Input!$L$7:$L1503,ROW()-1),1,0))
        -
        EDATE(
          B70 + IF(INDEX(Input!$K$7:$K1503,ROW()-1),0,1),
          12*DATEDIF(
            B70 + IF(INDEX(Input!$K$7:$K1503,ROW()-1),0,1),
            C70 + IF(INDEX(Input!$L$7:$L1503,ROW()-1),1,0),
            "Y"
          )
        )
      ) / 365,
    "Actual/Actual",
      YEARFRAC(
        B70 + IF(INDEX(Input!$K$7:$K1503,ROW()-1),0,1),
        C70 + IF(INDEX(Input!$L$7:$L1503,ROW()-1),1,0),
        1
      ),
      YEARFRAC(
        B70 + IF(INDEX(Input!$K$7:$K1503,ROW()-1),0,1),
        C70 + IF(INDEX(Input!$L$7:$L1503,ROW()-1),1,0),
        3
      )
  )
)</f>
        <v/>
      </c>
      <c r="S70" s="22" t="str">
        <f t="shared" si="4"/>
        <v/>
      </c>
      <c r="T70" s="6" t="str">
        <f t="array" ref="T70">IF(
  B70="",
  ,
  DATEDIF(
    B70 + IF(INDEX(Input!$K$7:$K1503,ROW()-1),0,1),
    C70 + IF(INDEX(Input!$L$7:$L1503,ROW()-1),1,0),
    "Y"
  )
)</f>
        <v/>
      </c>
      <c r="U70" s="6" t="str">
        <f t="array" ref="U70">IF(
  B70="",
  ,
  (C70 + IF(INDEX(Input!$L$7:$L1503,ROW()-1),1,0))
  - EDATE(
      B70 + IF(INDEX(Input!$K$7:$K1503,ROW()-1),0,1),
      12*S70
    )
)</f>
        <v/>
      </c>
      <c r="V70" s="6" t="str">
        <f t="shared" si="5"/>
        <v/>
      </c>
      <c r="W70" s="6" t="str">
        <f t="shared" si="6"/>
        <v/>
      </c>
    </row>
    <row r="71">
      <c r="A71" s="18"/>
      <c r="B71" s="18"/>
      <c r="C71" s="18"/>
      <c r="D71" s="18"/>
      <c r="E71" s="18"/>
      <c r="F71" s="18"/>
      <c r="G71" s="22"/>
      <c r="H71" s="18"/>
      <c r="I71" s="18">
        <v>0.0</v>
      </c>
      <c r="J71" s="18">
        <v>0.0</v>
      </c>
      <c r="K71" s="18"/>
      <c r="L71" s="18"/>
      <c r="M71" s="22" t="str">
        <f t="shared" si="1"/>
        <v/>
      </c>
      <c r="N71" s="18" t="str">
        <f>IF(A71="",,IF(ROW()=2, Input!$C$2 + I71, P70 + I71))</f>
        <v/>
      </c>
      <c r="O71" s="23" t="str">
        <f>IF(A71="",,
 IF(K71="Initial principal",
   Input!$C$2 * M71,
   N71 * M71
 )
)</f>
        <v/>
      </c>
      <c r="P71" s="18" t="str">
        <f t="shared" si="2"/>
        <v/>
      </c>
      <c r="Q71" s="18" t="str">
        <f t="shared" si="3"/>
        <v/>
      </c>
      <c r="R71" s="18" t="str">
        <f t="array" ref="R71">IF(
  B71="",
  ,
  SWITCH(
    Input!$C$4,
    "Actual/365 Fixed",
      YEARFRAC(
        B71 + IF(INDEX(Input!$K$7:$K1503,ROW()-1),0,1),
        C71 + IF(INDEX(Input!$L$7:$L1503,ROW()-1),1,0),
        3
      ),
    "Anniversary/365",
      DATEDIF(
        B71 + IF(INDEX(Input!$K$7:$K1503,ROW()-1),0,1),
        C71 + IF(INDEX(Input!$L$7:$L1503,ROW()-1),1,0),
        "Y"
      )
      +
      (
        (C71 + IF(INDEX(Input!$L$7:$L1503,ROW()-1),1,0))
        -
        EDATE(
          B71 + IF(INDEX(Input!$K$7:$K1503,ROW()-1),0,1),
          12*DATEDIF(
            B71 + IF(INDEX(Input!$K$7:$K1503,ROW()-1),0,1),
            C71 + IF(INDEX(Input!$L$7:$L1503,ROW()-1),1,0),
            "Y"
          )
        )
      ) / 365,
    "Actual/Actual",
      YEARFRAC(
        B71 + IF(INDEX(Input!$K$7:$K1503,ROW()-1),0,1),
        C71 + IF(INDEX(Input!$L$7:$L1503,ROW()-1),1,0),
        1
      ),
      YEARFRAC(
        B71 + IF(INDEX(Input!$K$7:$K1503,ROW()-1),0,1),
        C71 + IF(INDEX(Input!$L$7:$L1503,ROW()-1),1,0),
        3
      )
  )
)</f>
        <v/>
      </c>
      <c r="S71" s="22" t="str">
        <f t="shared" si="4"/>
        <v/>
      </c>
      <c r="T71" s="6" t="str">
        <f t="array" ref="T71">IF(
  B71="",
  ,
  DATEDIF(
    B71 + IF(INDEX(Input!$K$7:$K1503,ROW()-1),0,1),
    C71 + IF(INDEX(Input!$L$7:$L1503,ROW()-1),1,0),
    "Y"
  )
)</f>
        <v/>
      </c>
      <c r="U71" s="6" t="str">
        <f t="array" ref="U71">IF(
  B71="",
  ,
  (C71 + IF(INDEX(Input!$L$7:$L1503,ROW()-1),1,0))
  - EDATE(
      B71 + IF(INDEX(Input!$K$7:$K1503,ROW()-1),0,1),
      12*S71
    )
)</f>
        <v/>
      </c>
      <c r="V71" s="6" t="str">
        <f t="shared" si="5"/>
        <v/>
      </c>
      <c r="W71" s="6" t="str">
        <f t="shared" si="6"/>
        <v/>
      </c>
    </row>
    <row r="72">
      <c r="A72" s="18"/>
      <c r="B72" s="18"/>
      <c r="C72" s="18"/>
      <c r="D72" s="18"/>
      <c r="E72" s="18"/>
      <c r="F72" s="18"/>
      <c r="G72" s="22"/>
      <c r="H72" s="18"/>
      <c r="I72" s="18">
        <v>0.0</v>
      </c>
      <c r="J72" s="18">
        <v>0.0</v>
      </c>
      <c r="K72" s="18"/>
      <c r="L72" s="18"/>
      <c r="M72" s="22" t="str">
        <f t="shared" si="1"/>
        <v/>
      </c>
      <c r="N72" s="18" t="str">
        <f>IF(A72="",,IF(ROW()=2, Input!$C$2 + I72, P71 + I72))</f>
        <v/>
      </c>
      <c r="O72" s="23" t="str">
        <f>IF(A72="",,
 IF(K72="Initial principal",
   Input!$C$2 * M72,
   N72 * M72
 )
)</f>
        <v/>
      </c>
      <c r="P72" s="18" t="str">
        <f t="shared" si="2"/>
        <v/>
      </c>
      <c r="Q72" s="18" t="str">
        <f t="shared" si="3"/>
        <v/>
      </c>
      <c r="R72" s="18" t="str">
        <f t="array" ref="R72">IF(
  B72="",
  ,
  SWITCH(
    Input!$C$4,
    "Actual/365 Fixed",
      YEARFRAC(
        B72 + IF(INDEX(Input!$K$7:$K1503,ROW()-1),0,1),
        C72 + IF(INDEX(Input!$L$7:$L1503,ROW()-1),1,0),
        3
      ),
    "Anniversary/365",
      DATEDIF(
        B72 + IF(INDEX(Input!$K$7:$K1503,ROW()-1),0,1),
        C72 + IF(INDEX(Input!$L$7:$L1503,ROW()-1),1,0),
        "Y"
      )
      +
      (
        (C72 + IF(INDEX(Input!$L$7:$L1503,ROW()-1),1,0))
        -
        EDATE(
          B72 + IF(INDEX(Input!$K$7:$K1503,ROW()-1),0,1),
          12*DATEDIF(
            B72 + IF(INDEX(Input!$K$7:$K1503,ROW()-1),0,1),
            C72 + IF(INDEX(Input!$L$7:$L1503,ROW()-1),1,0),
            "Y"
          )
        )
      ) / 365,
    "Actual/Actual",
      YEARFRAC(
        B72 + IF(INDEX(Input!$K$7:$K1503,ROW()-1),0,1),
        C72 + IF(INDEX(Input!$L$7:$L1503,ROW()-1),1,0),
        1
      ),
      YEARFRAC(
        B72 + IF(INDEX(Input!$K$7:$K1503,ROW()-1),0,1),
        C72 + IF(INDEX(Input!$L$7:$L1503,ROW()-1),1,0),
        3
      )
  )
)</f>
        <v/>
      </c>
      <c r="S72" s="22" t="str">
        <f t="shared" si="4"/>
        <v/>
      </c>
      <c r="T72" s="6" t="str">
        <f t="array" ref="T72">IF(
  B72="",
  ,
  DATEDIF(
    B72 + IF(INDEX(Input!$K$7:$K1503,ROW()-1),0,1),
    C72 + IF(INDEX(Input!$L$7:$L1503,ROW()-1),1,0),
    "Y"
  )
)</f>
        <v/>
      </c>
      <c r="U72" s="6" t="str">
        <f t="array" ref="U72">IF(
  B72="",
  ,
  (C72 + IF(INDEX(Input!$L$7:$L1503,ROW()-1),1,0))
  - EDATE(
      B72 + IF(INDEX(Input!$K$7:$K1503,ROW()-1),0,1),
      12*S72
    )
)</f>
        <v/>
      </c>
      <c r="V72" s="6" t="str">
        <f t="shared" si="5"/>
        <v/>
      </c>
      <c r="W72" s="6" t="str">
        <f t="shared" si="6"/>
        <v/>
      </c>
    </row>
    <row r="73">
      <c r="A73" s="18"/>
      <c r="B73" s="18"/>
      <c r="C73" s="18"/>
      <c r="D73" s="18"/>
      <c r="E73" s="18"/>
      <c r="F73" s="18"/>
      <c r="G73" s="22"/>
      <c r="H73" s="18"/>
      <c r="I73" s="18">
        <v>0.0</v>
      </c>
      <c r="J73" s="18">
        <v>0.0</v>
      </c>
      <c r="K73" s="18"/>
      <c r="L73" s="18"/>
      <c r="M73" s="22" t="str">
        <f t="shared" si="1"/>
        <v/>
      </c>
      <c r="N73" s="18" t="str">
        <f>IF(A73="",,IF(ROW()=2, Input!$C$2 + I73, P72 + I73))</f>
        <v/>
      </c>
      <c r="O73" s="23" t="str">
        <f>IF(A73="",,
 IF(K73="Initial principal",
   Input!$C$2 * M73,
   N73 * M73
 )
)</f>
        <v/>
      </c>
      <c r="P73" s="18" t="str">
        <f t="shared" si="2"/>
        <v/>
      </c>
      <c r="Q73" s="18" t="str">
        <f t="shared" si="3"/>
        <v/>
      </c>
      <c r="R73" s="18" t="str">
        <f t="array" ref="R73">IF(
  B73="",
  ,
  SWITCH(
    Input!$C$4,
    "Actual/365 Fixed",
      YEARFRAC(
        B73 + IF(INDEX(Input!$K$7:$K1503,ROW()-1),0,1),
        C73 + IF(INDEX(Input!$L$7:$L1503,ROW()-1),1,0),
        3
      ),
    "Anniversary/365",
      DATEDIF(
        B73 + IF(INDEX(Input!$K$7:$K1503,ROW()-1),0,1),
        C73 + IF(INDEX(Input!$L$7:$L1503,ROW()-1),1,0),
        "Y"
      )
      +
      (
        (C73 + IF(INDEX(Input!$L$7:$L1503,ROW()-1),1,0))
        -
        EDATE(
          B73 + IF(INDEX(Input!$K$7:$K1503,ROW()-1),0,1),
          12*DATEDIF(
            B73 + IF(INDEX(Input!$K$7:$K1503,ROW()-1),0,1),
            C73 + IF(INDEX(Input!$L$7:$L1503,ROW()-1),1,0),
            "Y"
          )
        )
      ) / 365,
    "Actual/Actual",
      YEARFRAC(
        B73 + IF(INDEX(Input!$K$7:$K1503,ROW()-1),0,1),
        C73 + IF(INDEX(Input!$L$7:$L1503,ROW()-1),1,0),
        1
      ),
      YEARFRAC(
        B73 + IF(INDEX(Input!$K$7:$K1503,ROW()-1),0,1),
        C73 + IF(INDEX(Input!$L$7:$L1503,ROW()-1),1,0),
        3
      )
  )
)</f>
        <v/>
      </c>
      <c r="S73" s="22" t="str">
        <f t="shared" si="4"/>
        <v/>
      </c>
      <c r="T73" s="6" t="str">
        <f t="array" ref="T73">IF(
  B73="",
  ,
  DATEDIF(
    B73 + IF(INDEX(Input!$K$7:$K1503,ROW()-1),0,1),
    C73 + IF(INDEX(Input!$L$7:$L1503,ROW()-1),1,0),
    "Y"
  )
)</f>
        <v/>
      </c>
      <c r="U73" s="6" t="str">
        <f t="array" ref="U73">IF(
  B73="",
  ,
  (C73 + IF(INDEX(Input!$L$7:$L1503,ROW()-1),1,0))
  - EDATE(
      B73 + IF(INDEX(Input!$K$7:$K1503,ROW()-1),0,1),
      12*S73
    )
)</f>
        <v/>
      </c>
      <c r="V73" s="6" t="str">
        <f t="shared" si="5"/>
        <v/>
      </c>
      <c r="W73" s="6" t="str">
        <f t="shared" si="6"/>
        <v/>
      </c>
    </row>
    <row r="74">
      <c r="A74" s="18"/>
      <c r="B74" s="18"/>
      <c r="C74" s="18"/>
      <c r="D74" s="18"/>
      <c r="E74" s="18"/>
      <c r="F74" s="18"/>
      <c r="G74" s="22"/>
      <c r="H74" s="18"/>
      <c r="I74" s="18">
        <v>0.0</v>
      </c>
      <c r="J74" s="18">
        <v>0.0</v>
      </c>
      <c r="K74" s="18"/>
      <c r="L74" s="18"/>
      <c r="M74" s="22" t="str">
        <f t="shared" si="1"/>
        <v/>
      </c>
      <c r="N74" s="18" t="str">
        <f>IF(A74="",,IF(ROW()=2, Input!$C$2 + I74, P73 + I74))</f>
        <v/>
      </c>
      <c r="O74" s="23" t="str">
        <f>IF(A74="",,
 IF(K74="Initial principal",
   Input!$C$2 * M74,
   N74 * M74
 )
)</f>
        <v/>
      </c>
      <c r="P74" s="18" t="str">
        <f t="shared" si="2"/>
        <v/>
      </c>
      <c r="Q74" s="18" t="str">
        <f t="shared" si="3"/>
        <v/>
      </c>
      <c r="R74" s="18" t="str">
        <f t="array" ref="R74">IF(
  B74="",
  ,
  SWITCH(
    Input!$C$4,
    "Actual/365 Fixed",
      YEARFRAC(
        B74 + IF(INDEX(Input!$K$7:$K1503,ROW()-1),0,1),
        C74 + IF(INDEX(Input!$L$7:$L1503,ROW()-1),1,0),
        3
      ),
    "Anniversary/365",
      DATEDIF(
        B74 + IF(INDEX(Input!$K$7:$K1503,ROW()-1),0,1),
        C74 + IF(INDEX(Input!$L$7:$L1503,ROW()-1),1,0),
        "Y"
      )
      +
      (
        (C74 + IF(INDEX(Input!$L$7:$L1503,ROW()-1),1,0))
        -
        EDATE(
          B74 + IF(INDEX(Input!$K$7:$K1503,ROW()-1),0,1),
          12*DATEDIF(
            B74 + IF(INDEX(Input!$K$7:$K1503,ROW()-1),0,1),
            C74 + IF(INDEX(Input!$L$7:$L1503,ROW()-1),1,0),
            "Y"
          )
        )
      ) / 365,
    "Actual/Actual",
      YEARFRAC(
        B74 + IF(INDEX(Input!$K$7:$K1503,ROW()-1),0,1),
        C74 + IF(INDEX(Input!$L$7:$L1503,ROW()-1),1,0),
        1
      ),
      YEARFRAC(
        B74 + IF(INDEX(Input!$K$7:$K1503,ROW()-1),0,1),
        C74 + IF(INDEX(Input!$L$7:$L1503,ROW()-1),1,0),
        3
      )
  )
)</f>
        <v/>
      </c>
      <c r="S74" s="22" t="str">
        <f t="shared" si="4"/>
        <v/>
      </c>
      <c r="T74" s="6" t="str">
        <f t="array" ref="T74">IF(
  B74="",
  ,
  DATEDIF(
    B74 + IF(INDEX(Input!$K$7:$K1503,ROW()-1),0,1),
    C74 + IF(INDEX(Input!$L$7:$L1503,ROW()-1),1,0),
    "Y"
  )
)</f>
        <v/>
      </c>
      <c r="U74" s="6" t="str">
        <f t="array" ref="U74">IF(
  B74="",
  ,
  (C74 + IF(INDEX(Input!$L$7:$L1503,ROW()-1),1,0))
  - EDATE(
      B74 + IF(INDEX(Input!$K$7:$K1503,ROW()-1),0,1),
      12*S74
    )
)</f>
        <v/>
      </c>
      <c r="V74" s="6" t="str">
        <f t="shared" si="5"/>
        <v/>
      </c>
      <c r="W74" s="6" t="str">
        <f t="shared" si="6"/>
        <v/>
      </c>
    </row>
    <row r="75">
      <c r="A75" s="18"/>
      <c r="B75" s="18"/>
      <c r="C75" s="18"/>
      <c r="D75" s="18"/>
      <c r="E75" s="18"/>
      <c r="F75" s="18"/>
      <c r="G75" s="22"/>
      <c r="H75" s="18"/>
      <c r="I75" s="18">
        <v>0.0</v>
      </c>
      <c r="J75" s="18">
        <v>0.0</v>
      </c>
      <c r="K75" s="18"/>
      <c r="L75" s="18"/>
      <c r="M75" s="22" t="str">
        <f t="shared" si="1"/>
        <v/>
      </c>
      <c r="N75" s="18" t="str">
        <f>IF(A75="",,IF(ROW()=2, Input!$C$2 + I75, P74 + I75))</f>
        <v/>
      </c>
      <c r="O75" s="23" t="str">
        <f>IF(A75="",,
 IF(K75="Initial principal",
   Input!$C$2 * M75,
   N75 * M75
 )
)</f>
        <v/>
      </c>
      <c r="P75" s="18" t="str">
        <f t="shared" si="2"/>
        <v/>
      </c>
      <c r="Q75" s="18" t="str">
        <f t="shared" si="3"/>
        <v/>
      </c>
      <c r="R75" s="18" t="str">
        <f t="array" ref="R75">IF(
  B75="",
  ,
  SWITCH(
    Input!$C$4,
    "Actual/365 Fixed",
      YEARFRAC(
        B75 + IF(INDEX(Input!$K$7:$K1503,ROW()-1),0,1),
        C75 + IF(INDEX(Input!$L$7:$L1503,ROW()-1),1,0),
        3
      ),
    "Anniversary/365",
      DATEDIF(
        B75 + IF(INDEX(Input!$K$7:$K1503,ROW()-1),0,1),
        C75 + IF(INDEX(Input!$L$7:$L1503,ROW()-1),1,0),
        "Y"
      )
      +
      (
        (C75 + IF(INDEX(Input!$L$7:$L1503,ROW()-1),1,0))
        -
        EDATE(
          B75 + IF(INDEX(Input!$K$7:$K1503,ROW()-1),0,1),
          12*DATEDIF(
            B75 + IF(INDEX(Input!$K$7:$K1503,ROW()-1),0,1),
            C75 + IF(INDEX(Input!$L$7:$L1503,ROW()-1),1,0),
            "Y"
          )
        )
      ) / 365,
    "Actual/Actual",
      YEARFRAC(
        B75 + IF(INDEX(Input!$K$7:$K1503,ROW()-1),0,1),
        C75 + IF(INDEX(Input!$L$7:$L1503,ROW()-1),1,0),
        1
      ),
      YEARFRAC(
        B75 + IF(INDEX(Input!$K$7:$K1503,ROW()-1),0,1),
        C75 + IF(INDEX(Input!$L$7:$L1503,ROW()-1),1,0),
        3
      )
  )
)</f>
        <v/>
      </c>
      <c r="S75" s="22" t="str">
        <f t="shared" si="4"/>
        <v/>
      </c>
      <c r="T75" s="6" t="str">
        <f t="array" ref="T75">IF(
  B75="",
  ,
  DATEDIF(
    B75 + IF(INDEX(Input!$K$7:$K1503,ROW()-1),0,1),
    C75 + IF(INDEX(Input!$L$7:$L1503,ROW()-1),1,0),
    "Y"
  )
)</f>
        <v/>
      </c>
      <c r="U75" s="6" t="str">
        <f t="array" ref="U75">IF(
  B75="",
  ,
  (C75 + IF(INDEX(Input!$L$7:$L1503,ROW()-1),1,0))
  - EDATE(
      B75 + IF(INDEX(Input!$K$7:$K1503,ROW()-1),0,1),
      12*S75
    )
)</f>
        <v/>
      </c>
      <c r="V75" s="6" t="str">
        <f t="shared" si="5"/>
        <v/>
      </c>
      <c r="W75" s="6" t="str">
        <f t="shared" si="6"/>
        <v/>
      </c>
    </row>
    <row r="76">
      <c r="A76" s="18"/>
      <c r="B76" s="18"/>
      <c r="C76" s="18"/>
      <c r="D76" s="18"/>
      <c r="E76" s="18"/>
      <c r="F76" s="18"/>
      <c r="G76" s="22"/>
      <c r="H76" s="18"/>
      <c r="I76" s="18">
        <v>0.0</v>
      </c>
      <c r="J76" s="18">
        <v>0.0</v>
      </c>
      <c r="K76" s="18"/>
      <c r="L76" s="18"/>
      <c r="M76" s="22" t="str">
        <f t="shared" si="1"/>
        <v/>
      </c>
      <c r="N76" s="18" t="str">
        <f>IF(A76="",,IF(ROW()=2, Input!$C$2 + I76, P75 + I76))</f>
        <v/>
      </c>
      <c r="O76" s="23" t="str">
        <f>IF(A76="",,
 IF(K76="Initial principal",
   Input!$C$2 * M76,
   N76 * M76
 )
)</f>
        <v/>
      </c>
      <c r="P76" s="18" t="str">
        <f t="shared" si="2"/>
        <v/>
      </c>
      <c r="Q76" s="18" t="str">
        <f t="shared" si="3"/>
        <v/>
      </c>
      <c r="R76" s="18" t="str">
        <f t="array" ref="R76">IF(
  B76="",
  ,
  SWITCH(
    Input!$C$4,
    "Actual/365 Fixed",
      YEARFRAC(
        B76 + IF(INDEX(Input!$K$7:$K1503,ROW()-1),0,1),
        C76 + IF(INDEX(Input!$L$7:$L1503,ROW()-1),1,0),
        3
      ),
    "Anniversary/365",
      DATEDIF(
        B76 + IF(INDEX(Input!$K$7:$K1503,ROW()-1),0,1),
        C76 + IF(INDEX(Input!$L$7:$L1503,ROW()-1),1,0),
        "Y"
      )
      +
      (
        (C76 + IF(INDEX(Input!$L$7:$L1503,ROW()-1),1,0))
        -
        EDATE(
          B76 + IF(INDEX(Input!$K$7:$K1503,ROW()-1),0,1),
          12*DATEDIF(
            B76 + IF(INDEX(Input!$K$7:$K1503,ROW()-1),0,1),
            C76 + IF(INDEX(Input!$L$7:$L1503,ROW()-1),1,0),
            "Y"
          )
        )
      ) / 365,
    "Actual/Actual",
      YEARFRAC(
        B76 + IF(INDEX(Input!$K$7:$K1503,ROW()-1),0,1),
        C76 + IF(INDEX(Input!$L$7:$L1503,ROW()-1),1,0),
        1
      ),
      YEARFRAC(
        B76 + IF(INDEX(Input!$K$7:$K1503,ROW()-1),0,1),
        C76 + IF(INDEX(Input!$L$7:$L1503,ROW()-1),1,0),
        3
      )
  )
)</f>
        <v/>
      </c>
      <c r="S76" s="22" t="str">
        <f t="shared" si="4"/>
        <v/>
      </c>
      <c r="T76" s="6" t="str">
        <f t="array" ref="T76">IF(
  B76="",
  ,
  DATEDIF(
    B76 + IF(INDEX(Input!$K$7:$K1503,ROW()-1),0,1),
    C76 + IF(INDEX(Input!$L$7:$L1503,ROW()-1),1,0),
    "Y"
  )
)</f>
        <v/>
      </c>
      <c r="U76" s="6" t="str">
        <f t="array" ref="U76">IF(
  B76="",
  ,
  (C76 + IF(INDEX(Input!$L$7:$L1503,ROW()-1),1,0))
  - EDATE(
      B76 + IF(INDEX(Input!$K$7:$K1503,ROW()-1),0,1),
      12*S76
    )
)</f>
        <v/>
      </c>
      <c r="V76" s="6" t="str">
        <f t="shared" si="5"/>
        <v/>
      </c>
      <c r="W76" s="6" t="str">
        <f t="shared" si="6"/>
        <v/>
      </c>
    </row>
    <row r="77">
      <c r="A77" s="18"/>
      <c r="B77" s="18"/>
      <c r="C77" s="18"/>
      <c r="D77" s="18"/>
      <c r="E77" s="18"/>
      <c r="F77" s="18"/>
      <c r="G77" s="22"/>
      <c r="H77" s="18"/>
      <c r="I77" s="18">
        <v>0.0</v>
      </c>
      <c r="J77" s="18">
        <v>0.0</v>
      </c>
      <c r="K77" s="18"/>
      <c r="L77" s="18"/>
      <c r="M77" s="22" t="str">
        <f t="shared" si="1"/>
        <v/>
      </c>
      <c r="N77" s="18" t="str">
        <f>IF(A77="",,IF(ROW()=2, Input!$C$2 + I77, P76 + I77))</f>
        <v/>
      </c>
      <c r="O77" s="23" t="str">
        <f>IF(A77="",,
 IF(K77="Initial principal",
   Input!$C$2 * M77,
   N77 * M77
 )
)</f>
        <v/>
      </c>
      <c r="P77" s="18" t="str">
        <f t="shared" si="2"/>
        <v/>
      </c>
      <c r="Q77" s="18" t="str">
        <f t="shared" si="3"/>
        <v/>
      </c>
      <c r="R77" s="18" t="str">
        <f t="array" ref="R77">IF(
  B77="",
  ,
  SWITCH(
    Input!$C$4,
    "Actual/365 Fixed",
      YEARFRAC(
        B77 + IF(INDEX(Input!$K$7:$K1503,ROW()-1),0,1),
        C77 + IF(INDEX(Input!$L$7:$L1503,ROW()-1),1,0),
        3
      ),
    "Anniversary/365",
      DATEDIF(
        B77 + IF(INDEX(Input!$K$7:$K1503,ROW()-1),0,1),
        C77 + IF(INDEX(Input!$L$7:$L1503,ROW()-1),1,0),
        "Y"
      )
      +
      (
        (C77 + IF(INDEX(Input!$L$7:$L1503,ROW()-1),1,0))
        -
        EDATE(
          B77 + IF(INDEX(Input!$K$7:$K1503,ROW()-1),0,1),
          12*DATEDIF(
            B77 + IF(INDEX(Input!$K$7:$K1503,ROW()-1),0,1),
            C77 + IF(INDEX(Input!$L$7:$L1503,ROW()-1),1,0),
            "Y"
          )
        )
      ) / 365,
    "Actual/Actual",
      YEARFRAC(
        B77 + IF(INDEX(Input!$K$7:$K1503,ROW()-1),0,1),
        C77 + IF(INDEX(Input!$L$7:$L1503,ROW()-1),1,0),
        1
      ),
      YEARFRAC(
        B77 + IF(INDEX(Input!$K$7:$K1503,ROW()-1),0,1),
        C77 + IF(INDEX(Input!$L$7:$L1503,ROW()-1),1,0),
        3
      )
  )
)</f>
        <v/>
      </c>
      <c r="S77" s="22" t="str">
        <f t="shared" si="4"/>
        <v/>
      </c>
      <c r="T77" s="6" t="str">
        <f t="array" ref="T77">IF(
  B77="",
  ,
  DATEDIF(
    B77 + IF(INDEX(Input!$K$7:$K1503,ROW()-1),0,1),
    C77 + IF(INDEX(Input!$L$7:$L1503,ROW()-1),1,0),
    "Y"
  )
)</f>
        <v/>
      </c>
      <c r="U77" s="6" t="str">
        <f t="array" ref="U77">IF(
  B77="",
  ,
  (C77 + IF(INDEX(Input!$L$7:$L1503,ROW()-1),1,0))
  - EDATE(
      B77 + IF(INDEX(Input!$K$7:$K1503,ROW()-1),0,1),
      12*S77
    )
)</f>
        <v/>
      </c>
      <c r="V77" s="6" t="str">
        <f t="shared" si="5"/>
        <v/>
      </c>
      <c r="W77" s="6" t="str">
        <f t="shared" si="6"/>
        <v/>
      </c>
    </row>
    <row r="78">
      <c r="A78" s="18"/>
      <c r="B78" s="18"/>
      <c r="C78" s="18"/>
      <c r="D78" s="18"/>
      <c r="E78" s="18"/>
      <c r="F78" s="18"/>
      <c r="G78" s="22"/>
      <c r="H78" s="18"/>
      <c r="I78" s="18">
        <v>0.0</v>
      </c>
      <c r="J78" s="18">
        <v>0.0</v>
      </c>
      <c r="K78" s="18"/>
      <c r="L78" s="18"/>
      <c r="M78" s="22" t="str">
        <f t="shared" si="1"/>
        <v/>
      </c>
      <c r="N78" s="18" t="str">
        <f>IF(A78="",,IF(ROW()=2, Input!$C$2 + I78, P77 + I78))</f>
        <v/>
      </c>
      <c r="O78" s="23" t="str">
        <f>IF(A78="",,
 IF(K78="Initial principal",
   Input!$C$2 * M78,
   N78 * M78
 )
)</f>
        <v/>
      </c>
      <c r="P78" s="18" t="str">
        <f t="shared" si="2"/>
        <v/>
      </c>
      <c r="Q78" s="18" t="str">
        <f t="shared" si="3"/>
        <v/>
      </c>
      <c r="R78" s="18" t="str">
        <f t="array" ref="R78">IF(
  B78="",
  ,
  SWITCH(
    Input!$C$4,
    "Actual/365 Fixed",
      YEARFRAC(
        B78 + IF(INDEX(Input!$K$7:$K1503,ROW()-1),0,1),
        C78 + IF(INDEX(Input!$L$7:$L1503,ROW()-1),1,0),
        3
      ),
    "Anniversary/365",
      DATEDIF(
        B78 + IF(INDEX(Input!$K$7:$K1503,ROW()-1),0,1),
        C78 + IF(INDEX(Input!$L$7:$L1503,ROW()-1),1,0),
        "Y"
      )
      +
      (
        (C78 + IF(INDEX(Input!$L$7:$L1503,ROW()-1),1,0))
        -
        EDATE(
          B78 + IF(INDEX(Input!$K$7:$K1503,ROW()-1),0,1),
          12*DATEDIF(
            B78 + IF(INDEX(Input!$K$7:$K1503,ROW()-1),0,1),
            C78 + IF(INDEX(Input!$L$7:$L1503,ROW()-1),1,0),
            "Y"
          )
        )
      ) / 365,
    "Actual/Actual",
      YEARFRAC(
        B78 + IF(INDEX(Input!$K$7:$K1503,ROW()-1),0,1),
        C78 + IF(INDEX(Input!$L$7:$L1503,ROW()-1),1,0),
        1
      ),
      YEARFRAC(
        B78 + IF(INDEX(Input!$K$7:$K1503,ROW()-1),0,1),
        C78 + IF(INDEX(Input!$L$7:$L1503,ROW()-1),1,0),
        3
      )
  )
)</f>
        <v/>
      </c>
      <c r="S78" s="22" t="str">
        <f t="shared" si="4"/>
        <v/>
      </c>
      <c r="T78" s="6" t="str">
        <f t="array" ref="T78">IF(
  B78="",
  ,
  DATEDIF(
    B78 + IF(INDEX(Input!$K$7:$K1503,ROW()-1),0,1),
    C78 + IF(INDEX(Input!$L$7:$L1503,ROW()-1),1,0),
    "Y"
  )
)</f>
        <v/>
      </c>
      <c r="U78" s="6" t="str">
        <f t="array" ref="U78">IF(
  B78="",
  ,
  (C78 + IF(INDEX(Input!$L$7:$L1503,ROW()-1),1,0))
  - EDATE(
      B78 + IF(INDEX(Input!$K$7:$K1503,ROW()-1),0,1),
      12*S78
    )
)</f>
        <v/>
      </c>
      <c r="V78" s="6" t="str">
        <f t="shared" si="5"/>
        <v/>
      </c>
      <c r="W78" s="6" t="str">
        <f t="shared" si="6"/>
        <v/>
      </c>
    </row>
    <row r="79">
      <c r="A79" s="18"/>
      <c r="B79" s="18"/>
      <c r="C79" s="18"/>
      <c r="D79" s="18"/>
      <c r="E79" s="18"/>
      <c r="F79" s="18"/>
      <c r="G79" s="22"/>
      <c r="H79" s="18"/>
      <c r="I79" s="18">
        <v>0.0</v>
      </c>
      <c r="J79" s="18">
        <v>0.0</v>
      </c>
      <c r="K79" s="18"/>
      <c r="L79" s="18"/>
      <c r="M79" s="22" t="str">
        <f t="shared" si="1"/>
        <v/>
      </c>
      <c r="N79" s="18" t="str">
        <f>IF(A79="",,IF(ROW()=2, Input!$C$2 + I79, P78 + I79))</f>
        <v/>
      </c>
      <c r="O79" s="23" t="str">
        <f>IF(A79="",,
 IF(K79="Initial principal",
   Input!$C$2 * M79,
   N79 * M79
 )
)</f>
        <v/>
      </c>
      <c r="P79" s="18" t="str">
        <f t="shared" si="2"/>
        <v/>
      </c>
      <c r="Q79" s="18" t="str">
        <f t="shared" si="3"/>
        <v/>
      </c>
      <c r="R79" s="18" t="str">
        <f t="array" ref="R79">IF(
  B79="",
  ,
  SWITCH(
    Input!$C$4,
    "Actual/365 Fixed",
      YEARFRAC(
        B79 + IF(INDEX(Input!$K$7:$K1503,ROW()-1),0,1),
        C79 + IF(INDEX(Input!$L$7:$L1503,ROW()-1),1,0),
        3
      ),
    "Anniversary/365",
      DATEDIF(
        B79 + IF(INDEX(Input!$K$7:$K1503,ROW()-1),0,1),
        C79 + IF(INDEX(Input!$L$7:$L1503,ROW()-1),1,0),
        "Y"
      )
      +
      (
        (C79 + IF(INDEX(Input!$L$7:$L1503,ROW()-1),1,0))
        -
        EDATE(
          B79 + IF(INDEX(Input!$K$7:$K1503,ROW()-1),0,1),
          12*DATEDIF(
            B79 + IF(INDEX(Input!$K$7:$K1503,ROW()-1),0,1),
            C79 + IF(INDEX(Input!$L$7:$L1503,ROW()-1),1,0),
            "Y"
          )
        )
      ) / 365,
    "Actual/Actual",
      YEARFRAC(
        B79 + IF(INDEX(Input!$K$7:$K1503,ROW()-1),0,1),
        C79 + IF(INDEX(Input!$L$7:$L1503,ROW()-1),1,0),
        1
      ),
      YEARFRAC(
        B79 + IF(INDEX(Input!$K$7:$K1503,ROW()-1),0,1),
        C79 + IF(INDEX(Input!$L$7:$L1503,ROW()-1),1,0),
        3
      )
  )
)</f>
        <v/>
      </c>
      <c r="S79" s="22" t="str">
        <f t="shared" si="4"/>
        <v/>
      </c>
      <c r="T79" s="6" t="str">
        <f t="array" ref="T79">IF(
  B79="",
  ,
  DATEDIF(
    B79 + IF(INDEX(Input!$K$7:$K1503,ROW()-1),0,1),
    C79 + IF(INDEX(Input!$L$7:$L1503,ROW()-1),1,0),
    "Y"
  )
)</f>
        <v/>
      </c>
      <c r="U79" s="6" t="str">
        <f t="array" ref="U79">IF(
  B79="",
  ,
  (C79 + IF(INDEX(Input!$L$7:$L1503,ROW()-1),1,0))
  - EDATE(
      B79 + IF(INDEX(Input!$K$7:$K1503,ROW()-1),0,1),
      12*S79
    )
)</f>
        <v/>
      </c>
      <c r="V79" s="6" t="str">
        <f t="shared" si="5"/>
        <v/>
      </c>
      <c r="W79" s="6" t="str">
        <f t="shared" si="6"/>
        <v/>
      </c>
    </row>
    <row r="80">
      <c r="A80" s="18"/>
      <c r="B80" s="18"/>
      <c r="C80" s="18"/>
      <c r="D80" s="18"/>
      <c r="E80" s="18"/>
      <c r="F80" s="18"/>
      <c r="G80" s="22"/>
      <c r="H80" s="18"/>
      <c r="I80" s="18">
        <v>0.0</v>
      </c>
      <c r="J80" s="18">
        <v>0.0</v>
      </c>
      <c r="K80" s="18"/>
      <c r="L80" s="18"/>
      <c r="M80" s="22" t="str">
        <f t="shared" si="1"/>
        <v/>
      </c>
      <c r="N80" s="18" t="str">
        <f>IF(A80="",,IF(ROW()=2, Input!$C$2 + I80, P79 + I80))</f>
        <v/>
      </c>
      <c r="O80" s="23" t="str">
        <f>IF(A80="",,
 IF(K80="Initial principal",
   Input!$C$2 * M80,
   N80 * M80
 )
)</f>
        <v/>
      </c>
      <c r="P80" s="18" t="str">
        <f t="shared" si="2"/>
        <v/>
      </c>
      <c r="Q80" s="18" t="str">
        <f t="shared" si="3"/>
        <v/>
      </c>
      <c r="R80" s="18" t="str">
        <f t="array" ref="R80">IF(
  B80="",
  ,
  SWITCH(
    Input!$C$4,
    "Actual/365 Fixed",
      YEARFRAC(
        B80 + IF(INDEX(Input!$K$7:$K1503,ROW()-1),0,1),
        C80 + IF(INDEX(Input!$L$7:$L1503,ROW()-1),1,0),
        3
      ),
    "Anniversary/365",
      DATEDIF(
        B80 + IF(INDEX(Input!$K$7:$K1503,ROW()-1),0,1),
        C80 + IF(INDEX(Input!$L$7:$L1503,ROW()-1),1,0),
        "Y"
      )
      +
      (
        (C80 + IF(INDEX(Input!$L$7:$L1503,ROW()-1),1,0))
        -
        EDATE(
          B80 + IF(INDEX(Input!$K$7:$K1503,ROW()-1),0,1),
          12*DATEDIF(
            B80 + IF(INDEX(Input!$K$7:$K1503,ROW()-1),0,1),
            C80 + IF(INDEX(Input!$L$7:$L1503,ROW()-1),1,0),
            "Y"
          )
        )
      ) / 365,
    "Actual/Actual",
      YEARFRAC(
        B80 + IF(INDEX(Input!$K$7:$K1503,ROW()-1),0,1),
        C80 + IF(INDEX(Input!$L$7:$L1503,ROW()-1),1,0),
        1
      ),
      YEARFRAC(
        B80 + IF(INDEX(Input!$K$7:$K1503,ROW()-1),0,1),
        C80 + IF(INDEX(Input!$L$7:$L1503,ROW()-1),1,0),
        3
      )
  )
)</f>
        <v/>
      </c>
      <c r="S80" s="22" t="str">
        <f t="shared" si="4"/>
        <v/>
      </c>
      <c r="T80" s="6" t="str">
        <f t="array" ref="T80">IF(
  B80="",
  ,
  DATEDIF(
    B80 + IF(INDEX(Input!$K$7:$K1503,ROW()-1),0,1),
    C80 + IF(INDEX(Input!$L$7:$L1503,ROW()-1),1,0),
    "Y"
  )
)</f>
        <v/>
      </c>
      <c r="U80" s="6" t="str">
        <f t="array" ref="U80">IF(
  B80="",
  ,
  (C80 + IF(INDEX(Input!$L$7:$L1503,ROW()-1),1,0))
  - EDATE(
      B80 + IF(INDEX(Input!$K$7:$K1503,ROW()-1),0,1),
      12*S80
    )
)</f>
        <v/>
      </c>
      <c r="V80" s="6" t="str">
        <f t="shared" si="5"/>
        <v/>
      </c>
      <c r="W80" s="6" t="str">
        <f t="shared" si="6"/>
        <v/>
      </c>
    </row>
    <row r="81">
      <c r="A81" s="18"/>
      <c r="B81" s="18"/>
      <c r="C81" s="18"/>
      <c r="D81" s="18"/>
      <c r="E81" s="18"/>
      <c r="F81" s="18"/>
      <c r="G81" s="22"/>
      <c r="H81" s="18"/>
      <c r="I81" s="18">
        <v>0.0</v>
      </c>
      <c r="J81" s="18">
        <v>0.0</v>
      </c>
      <c r="K81" s="18"/>
      <c r="L81" s="18"/>
      <c r="M81" s="22" t="str">
        <f t="shared" si="1"/>
        <v/>
      </c>
      <c r="N81" s="18" t="str">
        <f>IF(A81="",,IF(ROW()=2, Input!$C$2 + I81, P80 + I81))</f>
        <v/>
      </c>
      <c r="O81" s="23" t="str">
        <f>IF(A81="",,
 IF(K81="Initial principal",
   Input!$C$2 * M81,
   N81 * M81
 )
)</f>
        <v/>
      </c>
      <c r="P81" s="18" t="str">
        <f t="shared" si="2"/>
        <v/>
      </c>
      <c r="Q81" s="18" t="str">
        <f t="shared" si="3"/>
        <v/>
      </c>
      <c r="R81" s="18" t="str">
        <f t="array" ref="R81">IF(
  B81="",
  ,
  SWITCH(
    Input!$C$4,
    "Actual/365 Fixed",
      YEARFRAC(
        B81 + IF(INDEX(Input!$K$7:$K1503,ROW()-1),0,1),
        C81 + IF(INDEX(Input!$L$7:$L1503,ROW()-1),1,0),
        3
      ),
    "Anniversary/365",
      DATEDIF(
        B81 + IF(INDEX(Input!$K$7:$K1503,ROW()-1),0,1),
        C81 + IF(INDEX(Input!$L$7:$L1503,ROW()-1),1,0),
        "Y"
      )
      +
      (
        (C81 + IF(INDEX(Input!$L$7:$L1503,ROW()-1),1,0))
        -
        EDATE(
          B81 + IF(INDEX(Input!$K$7:$K1503,ROW()-1),0,1),
          12*DATEDIF(
            B81 + IF(INDEX(Input!$K$7:$K1503,ROW()-1),0,1),
            C81 + IF(INDEX(Input!$L$7:$L1503,ROW()-1),1,0),
            "Y"
          )
        )
      ) / 365,
    "Actual/Actual",
      YEARFRAC(
        B81 + IF(INDEX(Input!$K$7:$K1503,ROW()-1),0,1),
        C81 + IF(INDEX(Input!$L$7:$L1503,ROW()-1),1,0),
        1
      ),
      YEARFRAC(
        B81 + IF(INDEX(Input!$K$7:$K1503,ROW()-1),0,1),
        C81 + IF(INDEX(Input!$L$7:$L1503,ROW()-1),1,0),
        3
      )
  )
)</f>
        <v/>
      </c>
      <c r="S81" s="22" t="str">
        <f t="shared" si="4"/>
        <v/>
      </c>
      <c r="T81" s="6" t="str">
        <f t="array" ref="T81">IF(
  B81="",
  ,
  DATEDIF(
    B81 + IF(INDEX(Input!$K$7:$K1503,ROW()-1),0,1),
    C81 + IF(INDEX(Input!$L$7:$L1503,ROW()-1),1,0),
    "Y"
  )
)</f>
        <v/>
      </c>
      <c r="U81" s="6" t="str">
        <f t="array" ref="U81">IF(
  B81="",
  ,
  (C81 + IF(INDEX(Input!$L$7:$L1503,ROW()-1),1,0))
  - EDATE(
      B81 + IF(INDEX(Input!$K$7:$K1503,ROW()-1),0,1),
      12*S81
    )
)</f>
        <v/>
      </c>
      <c r="V81" s="6" t="str">
        <f t="shared" si="5"/>
        <v/>
      </c>
      <c r="W81" s="6" t="str">
        <f t="shared" si="6"/>
        <v/>
      </c>
    </row>
    <row r="82">
      <c r="A82" s="18"/>
      <c r="B82" s="18"/>
      <c r="C82" s="18"/>
      <c r="D82" s="18"/>
      <c r="E82" s="18"/>
      <c r="F82" s="18"/>
      <c r="G82" s="22"/>
      <c r="H82" s="18"/>
      <c r="I82" s="18">
        <v>0.0</v>
      </c>
      <c r="J82" s="18">
        <v>0.0</v>
      </c>
      <c r="K82" s="18"/>
      <c r="L82" s="18"/>
      <c r="M82" s="22" t="str">
        <f t="shared" si="1"/>
        <v/>
      </c>
      <c r="N82" s="18" t="str">
        <f>IF(A82="",,IF(ROW()=2, Input!$C$2 + I82, P81 + I82))</f>
        <v/>
      </c>
      <c r="O82" s="23" t="str">
        <f>IF(A82="",,
 IF(K82="Initial principal",
   Input!$C$2 * M82,
   N82 * M82
 )
)</f>
        <v/>
      </c>
      <c r="P82" s="18" t="str">
        <f t="shared" si="2"/>
        <v/>
      </c>
      <c r="Q82" s="18" t="str">
        <f t="shared" si="3"/>
        <v/>
      </c>
      <c r="R82" s="18" t="str">
        <f t="array" ref="R82">IF(
  B82="",
  ,
  SWITCH(
    Input!$C$4,
    "Actual/365 Fixed",
      YEARFRAC(
        B82 + IF(INDEX(Input!$K$7:$K1503,ROW()-1),0,1),
        C82 + IF(INDEX(Input!$L$7:$L1503,ROW()-1),1,0),
        3
      ),
    "Anniversary/365",
      DATEDIF(
        B82 + IF(INDEX(Input!$K$7:$K1503,ROW()-1),0,1),
        C82 + IF(INDEX(Input!$L$7:$L1503,ROW()-1),1,0),
        "Y"
      )
      +
      (
        (C82 + IF(INDEX(Input!$L$7:$L1503,ROW()-1),1,0))
        -
        EDATE(
          B82 + IF(INDEX(Input!$K$7:$K1503,ROW()-1),0,1),
          12*DATEDIF(
            B82 + IF(INDEX(Input!$K$7:$K1503,ROW()-1),0,1),
            C82 + IF(INDEX(Input!$L$7:$L1503,ROW()-1),1,0),
            "Y"
          )
        )
      ) / 365,
    "Actual/Actual",
      YEARFRAC(
        B82 + IF(INDEX(Input!$K$7:$K1503,ROW()-1),0,1),
        C82 + IF(INDEX(Input!$L$7:$L1503,ROW()-1),1,0),
        1
      ),
      YEARFRAC(
        B82 + IF(INDEX(Input!$K$7:$K1503,ROW()-1),0,1),
        C82 + IF(INDEX(Input!$L$7:$L1503,ROW()-1),1,0),
        3
      )
  )
)</f>
        <v/>
      </c>
      <c r="S82" s="22" t="str">
        <f t="shared" si="4"/>
        <v/>
      </c>
      <c r="T82" s="6" t="str">
        <f t="array" ref="T82">IF(
  B82="",
  ,
  DATEDIF(
    B82 + IF(INDEX(Input!$K$7:$K1503,ROW()-1),0,1),
    C82 + IF(INDEX(Input!$L$7:$L1503,ROW()-1),1,0),
    "Y"
  )
)</f>
        <v/>
      </c>
      <c r="U82" s="6" t="str">
        <f t="array" ref="U82">IF(
  B82="",
  ,
  (C82 + IF(INDEX(Input!$L$7:$L1503,ROW()-1),1,0))
  - EDATE(
      B82 + IF(INDEX(Input!$K$7:$K1503,ROW()-1),0,1),
      12*S82
    )
)</f>
        <v/>
      </c>
      <c r="V82" s="6" t="str">
        <f t="shared" si="5"/>
        <v/>
      </c>
      <c r="W82" s="6" t="str">
        <f t="shared" si="6"/>
        <v/>
      </c>
    </row>
    <row r="83">
      <c r="A83" s="18"/>
      <c r="B83" s="18"/>
      <c r="C83" s="18"/>
      <c r="D83" s="18"/>
      <c r="E83" s="18"/>
      <c r="F83" s="18"/>
      <c r="G83" s="22"/>
      <c r="H83" s="18"/>
      <c r="I83" s="18">
        <v>0.0</v>
      </c>
      <c r="J83" s="18">
        <v>0.0</v>
      </c>
      <c r="K83" s="18"/>
      <c r="L83" s="18"/>
      <c r="M83" s="22" t="str">
        <f t="shared" si="1"/>
        <v/>
      </c>
      <c r="N83" s="18" t="str">
        <f>IF(A83="",,IF(ROW()=2, Input!$C$2 + I83, P82 + I83))</f>
        <v/>
      </c>
      <c r="O83" s="23" t="str">
        <f>IF(A83="",,
 IF(K83="Initial principal",
   Input!$C$2 * M83,
   N83 * M83
 )
)</f>
        <v/>
      </c>
      <c r="P83" s="18" t="str">
        <f t="shared" si="2"/>
        <v/>
      </c>
      <c r="Q83" s="18" t="str">
        <f t="shared" si="3"/>
        <v/>
      </c>
      <c r="R83" s="18" t="str">
        <f t="array" ref="R83">IF(
  B83="",
  ,
  SWITCH(
    Input!$C$4,
    "Actual/365 Fixed",
      YEARFRAC(
        B83 + IF(INDEX(Input!$K$7:$K1503,ROW()-1),0,1),
        C83 + IF(INDEX(Input!$L$7:$L1503,ROW()-1),1,0),
        3
      ),
    "Anniversary/365",
      DATEDIF(
        B83 + IF(INDEX(Input!$K$7:$K1503,ROW()-1),0,1),
        C83 + IF(INDEX(Input!$L$7:$L1503,ROW()-1),1,0),
        "Y"
      )
      +
      (
        (C83 + IF(INDEX(Input!$L$7:$L1503,ROW()-1),1,0))
        -
        EDATE(
          B83 + IF(INDEX(Input!$K$7:$K1503,ROW()-1),0,1),
          12*DATEDIF(
            B83 + IF(INDEX(Input!$K$7:$K1503,ROW()-1),0,1),
            C83 + IF(INDEX(Input!$L$7:$L1503,ROW()-1),1,0),
            "Y"
          )
        )
      ) / 365,
    "Actual/Actual",
      YEARFRAC(
        B83 + IF(INDEX(Input!$K$7:$K1503,ROW()-1),0,1),
        C83 + IF(INDEX(Input!$L$7:$L1503,ROW()-1),1,0),
        1
      ),
      YEARFRAC(
        B83 + IF(INDEX(Input!$K$7:$K1503,ROW()-1),0,1),
        C83 + IF(INDEX(Input!$L$7:$L1503,ROW()-1),1,0),
        3
      )
  )
)</f>
        <v/>
      </c>
      <c r="S83" s="22" t="str">
        <f t="shared" si="4"/>
        <v/>
      </c>
      <c r="T83" s="6" t="str">
        <f t="array" ref="T83">IF(
  B83="",
  ,
  DATEDIF(
    B83 + IF(INDEX(Input!$K$7:$K1503,ROW()-1),0,1),
    C83 + IF(INDEX(Input!$L$7:$L1503,ROW()-1),1,0),
    "Y"
  )
)</f>
        <v/>
      </c>
      <c r="U83" s="6" t="str">
        <f t="array" ref="U83">IF(
  B83="",
  ,
  (C83 + IF(INDEX(Input!$L$7:$L1503,ROW()-1),1,0))
  - EDATE(
      B83 + IF(INDEX(Input!$K$7:$K1503,ROW()-1),0,1),
      12*S83
    )
)</f>
        <v/>
      </c>
      <c r="V83" s="6" t="str">
        <f t="shared" si="5"/>
        <v/>
      </c>
      <c r="W83" s="6" t="str">
        <f t="shared" si="6"/>
        <v/>
      </c>
    </row>
    <row r="84">
      <c r="A84" s="18"/>
      <c r="B84" s="18"/>
      <c r="C84" s="18"/>
      <c r="D84" s="18"/>
      <c r="E84" s="18"/>
      <c r="F84" s="18"/>
      <c r="G84" s="22"/>
      <c r="H84" s="18"/>
      <c r="I84" s="18">
        <v>0.0</v>
      </c>
      <c r="J84" s="18">
        <v>0.0</v>
      </c>
      <c r="K84" s="18"/>
      <c r="L84" s="18"/>
      <c r="M84" s="22" t="str">
        <f t="shared" si="1"/>
        <v/>
      </c>
      <c r="N84" s="18" t="str">
        <f>IF(A84="",,IF(ROW()=2, Input!$C$2 + I84, P83 + I84))</f>
        <v/>
      </c>
      <c r="O84" s="23" t="str">
        <f>IF(A84="",,
 IF(K84="Initial principal",
   Input!$C$2 * M84,
   N84 * M84
 )
)</f>
        <v/>
      </c>
      <c r="P84" s="18" t="str">
        <f t="shared" si="2"/>
        <v/>
      </c>
      <c r="Q84" s="18" t="str">
        <f t="shared" si="3"/>
        <v/>
      </c>
      <c r="R84" s="18" t="str">
        <f t="array" ref="R84">IF(
  B84="",
  ,
  SWITCH(
    Input!$C$4,
    "Actual/365 Fixed",
      YEARFRAC(
        B84 + IF(INDEX(Input!$K$7:$K1503,ROW()-1),0,1),
        C84 + IF(INDEX(Input!$L$7:$L1503,ROW()-1),1,0),
        3
      ),
    "Anniversary/365",
      DATEDIF(
        B84 + IF(INDEX(Input!$K$7:$K1503,ROW()-1),0,1),
        C84 + IF(INDEX(Input!$L$7:$L1503,ROW()-1),1,0),
        "Y"
      )
      +
      (
        (C84 + IF(INDEX(Input!$L$7:$L1503,ROW()-1),1,0))
        -
        EDATE(
          B84 + IF(INDEX(Input!$K$7:$K1503,ROW()-1),0,1),
          12*DATEDIF(
            B84 + IF(INDEX(Input!$K$7:$K1503,ROW()-1),0,1),
            C84 + IF(INDEX(Input!$L$7:$L1503,ROW()-1),1,0),
            "Y"
          )
        )
      ) / 365,
    "Actual/Actual",
      YEARFRAC(
        B84 + IF(INDEX(Input!$K$7:$K1503,ROW()-1),0,1),
        C84 + IF(INDEX(Input!$L$7:$L1503,ROW()-1),1,0),
        1
      ),
      YEARFRAC(
        B84 + IF(INDEX(Input!$K$7:$K1503,ROW()-1),0,1),
        C84 + IF(INDEX(Input!$L$7:$L1503,ROW()-1),1,0),
        3
      )
  )
)</f>
        <v/>
      </c>
      <c r="S84" s="22" t="str">
        <f t="shared" si="4"/>
        <v/>
      </c>
      <c r="T84" s="6" t="str">
        <f t="array" ref="T84">IF(
  B84="",
  ,
  DATEDIF(
    B84 + IF(INDEX(Input!$K$7:$K1503,ROW()-1),0,1),
    C84 + IF(INDEX(Input!$L$7:$L1503,ROW()-1),1,0),
    "Y"
  )
)</f>
        <v/>
      </c>
      <c r="U84" s="6" t="str">
        <f t="array" ref="U84">IF(
  B84="",
  ,
  (C84 + IF(INDEX(Input!$L$7:$L1503,ROW()-1),1,0))
  - EDATE(
      B84 + IF(INDEX(Input!$K$7:$K1503,ROW()-1),0,1),
      12*S84
    )
)</f>
        <v/>
      </c>
      <c r="V84" s="6" t="str">
        <f t="shared" si="5"/>
        <v/>
      </c>
      <c r="W84" s="6" t="str">
        <f t="shared" si="6"/>
        <v/>
      </c>
    </row>
    <row r="85">
      <c r="A85" s="18"/>
      <c r="B85" s="18"/>
      <c r="C85" s="18"/>
      <c r="D85" s="18"/>
      <c r="E85" s="18"/>
      <c r="F85" s="18"/>
      <c r="G85" s="22"/>
      <c r="H85" s="18"/>
      <c r="I85" s="18">
        <v>0.0</v>
      </c>
      <c r="J85" s="18">
        <v>0.0</v>
      </c>
      <c r="K85" s="18"/>
      <c r="L85" s="18"/>
      <c r="M85" s="22" t="str">
        <f t="shared" si="1"/>
        <v/>
      </c>
      <c r="N85" s="18" t="str">
        <f>IF(A85="",,IF(ROW()=2, Input!$C$2 + I85, P84 + I85))</f>
        <v/>
      </c>
      <c r="O85" s="23" t="str">
        <f>IF(A85="",,
 IF(K85="Initial principal",
   Input!$C$2 * M85,
   N85 * M85
 )
)</f>
        <v/>
      </c>
      <c r="P85" s="18" t="str">
        <f t="shared" si="2"/>
        <v/>
      </c>
      <c r="Q85" s="18" t="str">
        <f t="shared" si="3"/>
        <v/>
      </c>
      <c r="R85" s="18" t="str">
        <f t="array" ref="R85">IF(
  B85="",
  ,
  SWITCH(
    Input!$C$4,
    "Actual/365 Fixed",
      YEARFRAC(
        B85 + IF(INDEX(Input!$K$7:$K1503,ROW()-1),0,1),
        C85 + IF(INDEX(Input!$L$7:$L1503,ROW()-1),1,0),
        3
      ),
    "Anniversary/365",
      DATEDIF(
        B85 + IF(INDEX(Input!$K$7:$K1503,ROW()-1),0,1),
        C85 + IF(INDEX(Input!$L$7:$L1503,ROW()-1),1,0),
        "Y"
      )
      +
      (
        (C85 + IF(INDEX(Input!$L$7:$L1503,ROW()-1),1,0))
        -
        EDATE(
          B85 + IF(INDEX(Input!$K$7:$K1503,ROW()-1),0,1),
          12*DATEDIF(
            B85 + IF(INDEX(Input!$K$7:$K1503,ROW()-1),0,1),
            C85 + IF(INDEX(Input!$L$7:$L1503,ROW()-1),1,0),
            "Y"
          )
        )
      ) / 365,
    "Actual/Actual",
      YEARFRAC(
        B85 + IF(INDEX(Input!$K$7:$K1503,ROW()-1),0,1),
        C85 + IF(INDEX(Input!$L$7:$L1503,ROW()-1),1,0),
        1
      ),
      YEARFRAC(
        B85 + IF(INDEX(Input!$K$7:$K1503,ROW()-1),0,1),
        C85 + IF(INDEX(Input!$L$7:$L1503,ROW()-1),1,0),
        3
      )
  )
)</f>
        <v/>
      </c>
      <c r="S85" s="22" t="str">
        <f t="shared" si="4"/>
        <v/>
      </c>
      <c r="T85" s="6" t="str">
        <f t="array" ref="T85">IF(
  B85="",
  ,
  DATEDIF(
    B85 + IF(INDEX(Input!$K$7:$K1503,ROW()-1),0,1),
    C85 + IF(INDEX(Input!$L$7:$L1503,ROW()-1),1,0),
    "Y"
  )
)</f>
        <v/>
      </c>
      <c r="U85" s="6" t="str">
        <f t="array" ref="U85">IF(
  B85="",
  ,
  (C85 + IF(INDEX(Input!$L$7:$L1503,ROW()-1),1,0))
  - EDATE(
      B85 + IF(INDEX(Input!$K$7:$K1503,ROW()-1),0,1),
      12*S85
    )
)</f>
        <v/>
      </c>
      <c r="V85" s="6" t="str">
        <f t="shared" si="5"/>
        <v/>
      </c>
      <c r="W85" s="6" t="str">
        <f t="shared" si="6"/>
        <v/>
      </c>
    </row>
    <row r="86">
      <c r="A86" s="18"/>
      <c r="B86" s="18"/>
      <c r="C86" s="18"/>
      <c r="D86" s="18"/>
      <c r="E86" s="18"/>
      <c r="F86" s="18"/>
      <c r="G86" s="22"/>
      <c r="H86" s="18"/>
      <c r="I86" s="18">
        <v>0.0</v>
      </c>
      <c r="J86" s="18">
        <v>0.0</v>
      </c>
      <c r="K86" s="18"/>
      <c r="L86" s="18"/>
      <c r="M86" s="22" t="str">
        <f t="shared" si="1"/>
        <v/>
      </c>
      <c r="N86" s="18" t="str">
        <f>IF(A86="",,IF(ROW()=2, Input!$C$2 + I86, P85 + I86))</f>
        <v/>
      </c>
      <c r="O86" s="23" t="str">
        <f>IF(A86="",,
 IF(K86="Initial principal",
   Input!$C$2 * M86,
   N86 * M86
 )
)</f>
        <v/>
      </c>
      <c r="P86" s="18" t="str">
        <f t="shared" si="2"/>
        <v/>
      </c>
      <c r="Q86" s="18" t="str">
        <f t="shared" si="3"/>
        <v/>
      </c>
      <c r="R86" s="18" t="str">
        <f t="array" ref="R86">IF(
  B86="",
  ,
  SWITCH(
    Input!$C$4,
    "Actual/365 Fixed",
      YEARFRAC(
        B86 + IF(INDEX(Input!$K$7:$K1503,ROW()-1),0,1),
        C86 + IF(INDEX(Input!$L$7:$L1503,ROW()-1),1,0),
        3
      ),
    "Anniversary/365",
      DATEDIF(
        B86 + IF(INDEX(Input!$K$7:$K1503,ROW()-1),0,1),
        C86 + IF(INDEX(Input!$L$7:$L1503,ROW()-1),1,0),
        "Y"
      )
      +
      (
        (C86 + IF(INDEX(Input!$L$7:$L1503,ROW()-1),1,0))
        -
        EDATE(
          B86 + IF(INDEX(Input!$K$7:$K1503,ROW()-1),0,1),
          12*DATEDIF(
            B86 + IF(INDEX(Input!$K$7:$K1503,ROW()-1),0,1),
            C86 + IF(INDEX(Input!$L$7:$L1503,ROW()-1),1,0),
            "Y"
          )
        )
      ) / 365,
    "Actual/Actual",
      YEARFRAC(
        B86 + IF(INDEX(Input!$K$7:$K1503,ROW()-1),0,1),
        C86 + IF(INDEX(Input!$L$7:$L1503,ROW()-1),1,0),
        1
      ),
      YEARFRAC(
        B86 + IF(INDEX(Input!$K$7:$K1503,ROW()-1),0,1),
        C86 + IF(INDEX(Input!$L$7:$L1503,ROW()-1),1,0),
        3
      )
  )
)</f>
        <v/>
      </c>
      <c r="S86" s="22" t="str">
        <f t="shared" si="4"/>
        <v/>
      </c>
      <c r="T86" s="6" t="str">
        <f t="array" ref="T86">IF(
  B86="",
  ,
  DATEDIF(
    B86 + IF(INDEX(Input!$K$7:$K1503,ROW()-1),0,1),
    C86 + IF(INDEX(Input!$L$7:$L1503,ROW()-1),1,0),
    "Y"
  )
)</f>
        <v/>
      </c>
      <c r="U86" s="6" t="str">
        <f t="array" ref="U86">IF(
  B86="",
  ,
  (C86 + IF(INDEX(Input!$L$7:$L1503,ROW()-1),1,0))
  - EDATE(
      B86 + IF(INDEX(Input!$K$7:$K1503,ROW()-1),0,1),
      12*S86
    )
)</f>
        <v/>
      </c>
      <c r="V86" s="6" t="str">
        <f t="shared" si="5"/>
        <v/>
      </c>
      <c r="W86" s="6" t="str">
        <f t="shared" si="6"/>
        <v/>
      </c>
    </row>
    <row r="87">
      <c r="A87" s="18"/>
      <c r="B87" s="18"/>
      <c r="C87" s="18"/>
      <c r="D87" s="18"/>
      <c r="E87" s="18"/>
      <c r="F87" s="18"/>
      <c r="G87" s="22"/>
      <c r="H87" s="18"/>
      <c r="I87" s="18">
        <v>0.0</v>
      </c>
      <c r="J87" s="18">
        <v>0.0</v>
      </c>
      <c r="K87" s="18"/>
      <c r="L87" s="18"/>
      <c r="M87" s="22" t="str">
        <f t="shared" si="1"/>
        <v/>
      </c>
      <c r="N87" s="18" t="str">
        <f>IF(A87="",,IF(ROW()=2, Input!$C$2 + I87, P86 + I87))</f>
        <v/>
      </c>
      <c r="O87" s="23" t="str">
        <f>IF(A87="",,
 IF(K87="Initial principal",
   Input!$C$2 * M87,
   N87 * M87
 )
)</f>
        <v/>
      </c>
      <c r="P87" s="18" t="str">
        <f t="shared" si="2"/>
        <v/>
      </c>
      <c r="Q87" s="18" t="str">
        <f t="shared" si="3"/>
        <v/>
      </c>
      <c r="R87" s="18" t="str">
        <f t="array" ref="R87">IF(
  B87="",
  ,
  SWITCH(
    Input!$C$4,
    "Actual/365 Fixed",
      YEARFRAC(
        B87 + IF(INDEX(Input!$K$7:$K1503,ROW()-1),0,1),
        C87 + IF(INDEX(Input!$L$7:$L1503,ROW()-1),1,0),
        3
      ),
    "Anniversary/365",
      DATEDIF(
        B87 + IF(INDEX(Input!$K$7:$K1503,ROW()-1),0,1),
        C87 + IF(INDEX(Input!$L$7:$L1503,ROW()-1),1,0),
        "Y"
      )
      +
      (
        (C87 + IF(INDEX(Input!$L$7:$L1503,ROW()-1),1,0))
        -
        EDATE(
          B87 + IF(INDEX(Input!$K$7:$K1503,ROW()-1),0,1),
          12*DATEDIF(
            B87 + IF(INDEX(Input!$K$7:$K1503,ROW()-1),0,1),
            C87 + IF(INDEX(Input!$L$7:$L1503,ROW()-1),1,0),
            "Y"
          )
        )
      ) / 365,
    "Actual/Actual",
      YEARFRAC(
        B87 + IF(INDEX(Input!$K$7:$K1503,ROW()-1),0,1),
        C87 + IF(INDEX(Input!$L$7:$L1503,ROW()-1),1,0),
        1
      ),
      YEARFRAC(
        B87 + IF(INDEX(Input!$K$7:$K1503,ROW()-1),0,1),
        C87 + IF(INDEX(Input!$L$7:$L1503,ROW()-1),1,0),
        3
      )
  )
)</f>
        <v/>
      </c>
      <c r="S87" s="22" t="str">
        <f t="shared" si="4"/>
        <v/>
      </c>
      <c r="T87" s="6" t="str">
        <f t="array" ref="T87">IF(
  B87="",
  ,
  DATEDIF(
    B87 + IF(INDEX(Input!$K$7:$K1503,ROW()-1),0,1),
    C87 + IF(INDEX(Input!$L$7:$L1503,ROW()-1),1,0),
    "Y"
  )
)</f>
        <v/>
      </c>
      <c r="U87" s="6" t="str">
        <f t="array" ref="U87">IF(
  B87="",
  ,
  (C87 + IF(INDEX(Input!$L$7:$L1503,ROW()-1),1,0))
  - EDATE(
      B87 + IF(INDEX(Input!$K$7:$K1503,ROW()-1),0,1),
      12*S87
    )
)</f>
        <v/>
      </c>
      <c r="V87" s="6" t="str">
        <f t="shared" si="5"/>
        <v/>
      </c>
      <c r="W87" s="6" t="str">
        <f t="shared" si="6"/>
        <v/>
      </c>
    </row>
    <row r="88">
      <c r="A88" s="18"/>
      <c r="B88" s="18"/>
      <c r="C88" s="18"/>
      <c r="D88" s="18"/>
      <c r="E88" s="18"/>
      <c r="F88" s="18"/>
      <c r="G88" s="22"/>
      <c r="H88" s="18"/>
      <c r="I88" s="18">
        <v>0.0</v>
      </c>
      <c r="J88" s="18">
        <v>0.0</v>
      </c>
      <c r="K88" s="18"/>
      <c r="L88" s="18"/>
      <c r="M88" s="22" t="str">
        <f t="shared" si="1"/>
        <v/>
      </c>
      <c r="N88" s="18" t="str">
        <f>IF(A88="",,IF(ROW()=2, Input!$C$2 + I88, P87 + I88))</f>
        <v/>
      </c>
      <c r="O88" s="23" t="str">
        <f>IF(A88="",,
 IF(K88="Initial principal",
   Input!$C$2 * M88,
   N88 * M88
 )
)</f>
        <v/>
      </c>
      <c r="P88" s="18" t="str">
        <f t="shared" si="2"/>
        <v/>
      </c>
      <c r="Q88" s="18" t="str">
        <f t="shared" si="3"/>
        <v/>
      </c>
      <c r="R88" s="18" t="str">
        <f t="array" ref="R88">IF(
  B88="",
  ,
  SWITCH(
    Input!$C$4,
    "Actual/365 Fixed",
      YEARFRAC(
        B88 + IF(INDEX(Input!$K$7:$K1503,ROW()-1),0,1),
        C88 + IF(INDEX(Input!$L$7:$L1503,ROW()-1),1,0),
        3
      ),
    "Anniversary/365",
      DATEDIF(
        B88 + IF(INDEX(Input!$K$7:$K1503,ROW()-1),0,1),
        C88 + IF(INDEX(Input!$L$7:$L1503,ROW()-1),1,0),
        "Y"
      )
      +
      (
        (C88 + IF(INDEX(Input!$L$7:$L1503,ROW()-1),1,0))
        -
        EDATE(
          B88 + IF(INDEX(Input!$K$7:$K1503,ROW()-1),0,1),
          12*DATEDIF(
            B88 + IF(INDEX(Input!$K$7:$K1503,ROW()-1),0,1),
            C88 + IF(INDEX(Input!$L$7:$L1503,ROW()-1),1,0),
            "Y"
          )
        )
      ) / 365,
    "Actual/Actual",
      YEARFRAC(
        B88 + IF(INDEX(Input!$K$7:$K1503,ROW()-1),0,1),
        C88 + IF(INDEX(Input!$L$7:$L1503,ROW()-1),1,0),
        1
      ),
      YEARFRAC(
        B88 + IF(INDEX(Input!$K$7:$K1503,ROW()-1),0,1),
        C88 + IF(INDEX(Input!$L$7:$L1503,ROW()-1),1,0),
        3
      )
  )
)</f>
        <v/>
      </c>
      <c r="S88" s="22" t="str">
        <f t="shared" si="4"/>
        <v/>
      </c>
      <c r="T88" s="6" t="str">
        <f t="array" ref="T88">IF(
  B88="",
  ,
  DATEDIF(
    B88 + IF(INDEX(Input!$K$7:$K1503,ROW()-1),0,1),
    C88 + IF(INDEX(Input!$L$7:$L1503,ROW()-1),1,0),
    "Y"
  )
)</f>
        <v/>
      </c>
      <c r="U88" s="6" t="str">
        <f t="array" ref="U88">IF(
  B88="",
  ,
  (C88 + IF(INDEX(Input!$L$7:$L1503,ROW()-1),1,0))
  - EDATE(
      B88 + IF(INDEX(Input!$K$7:$K1503,ROW()-1),0,1),
      12*S88
    )
)</f>
        <v/>
      </c>
      <c r="V88" s="6" t="str">
        <f t="shared" si="5"/>
        <v/>
      </c>
      <c r="W88" s="6" t="str">
        <f t="shared" si="6"/>
        <v/>
      </c>
    </row>
    <row r="89">
      <c r="A89" s="18"/>
      <c r="B89" s="18"/>
      <c r="C89" s="18"/>
      <c r="D89" s="18"/>
      <c r="E89" s="18"/>
      <c r="F89" s="18"/>
      <c r="G89" s="22"/>
      <c r="H89" s="18"/>
      <c r="I89" s="18">
        <v>0.0</v>
      </c>
      <c r="J89" s="18">
        <v>0.0</v>
      </c>
      <c r="K89" s="18"/>
      <c r="L89" s="18"/>
      <c r="M89" s="22" t="str">
        <f t="shared" si="1"/>
        <v/>
      </c>
      <c r="N89" s="18" t="str">
        <f>IF(A89="",,IF(ROW()=2, Input!$C$2 + I89, P88 + I89))</f>
        <v/>
      </c>
      <c r="O89" s="23" t="str">
        <f>IF(A89="",,
 IF(K89="Initial principal",
   Input!$C$2 * M89,
   N89 * M89
 )
)</f>
        <v/>
      </c>
      <c r="P89" s="18" t="str">
        <f t="shared" si="2"/>
        <v/>
      </c>
      <c r="Q89" s="18" t="str">
        <f t="shared" si="3"/>
        <v/>
      </c>
      <c r="R89" s="18" t="str">
        <f t="array" ref="R89">IF(
  B89="",
  ,
  SWITCH(
    Input!$C$4,
    "Actual/365 Fixed",
      YEARFRAC(
        B89 + IF(INDEX(Input!$K$7:$K1503,ROW()-1),0,1),
        C89 + IF(INDEX(Input!$L$7:$L1503,ROW()-1),1,0),
        3
      ),
    "Anniversary/365",
      DATEDIF(
        B89 + IF(INDEX(Input!$K$7:$K1503,ROW()-1),0,1),
        C89 + IF(INDEX(Input!$L$7:$L1503,ROW()-1),1,0),
        "Y"
      )
      +
      (
        (C89 + IF(INDEX(Input!$L$7:$L1503,ROW()-1),1,0))
        -
        EDATE(
          B89 + IF(INDEX(Input!$K$7:$K1503,ROW()-1),0,1),
          12*DATEDIF(
            B89 + IF(INDEX(Input!$K$7:$K1503,ROW()-1),0,1),
            C89 + IF(INDEX(Input!$L$7:$L1503,ROW()-1),1,0),
            "Y"
          )
        )
      ) / 365,
    "Actual/Actual",
      YEARFRAC(
        B89 + IF(INDEX(Input!$K$7:$K1503,ROW()-1),0,1),
        C89 + IF(INDEX(Input!$L$7:$L1503,ROW()-1),1,0),
        1
      ),
      YEARFRAC(
        B89 + IF(INDEX(Input!$K$7:$K1503,ROW()-1),0,1),
        C89 + IF(INDEX(Input!$L$7:$L1503,ROW()-1),1,0),
        3
      )
  )
)</f>
        <v/>
      </c>
      <c r="S89" s="22" t="str">
        <f t="shared" si="4"/>
        <v/>
      </c>
      <c r="T89" s="6" t="str">
        <f t="array" ref="T89">IF(
  B89="",
  ,
  DATEDIF(
    B89 + IF(INDEX(Input!$K$7:$K1503,ROW()-1),0,1),
    C89 + IF(INDEX(Input!$L$7:$L1503,ROW()-1),1,0),
    "Y"
  )
)</f>
        <v/>
      </c>
      <c r="U89" s="6" t="str">
        <f t="array" ref="U89">IF(
  B89="",
  ,
  (C89 + IF(INDEX(Input!$L$7:$L1503,ROW()-1),1,0))
  - EDATE(
      B89 + IF(INDEX(Input!$K$7:$K1503,ROW()-1),0,1),
      12*S89
    )
)</f>
        <v/>
      </c>
      <c r="V89" s="6" t="str">
        <f t="shared" si="5"/>
        <v/>
      </c>
      <c r="W89" s="6" t="str">
        <f t="shared" si="6"/>
        <v/>
      </c>
    </row>
    <row r="90">
      <c r="A90" s="18"/>
      <c r="B90" s="18"/>
      <c r="C90" s="18"/>
      <c r="D90" s="18"/>
      <c r="E90" s="18"/>
      <c r="F90" s="18"/>
      <c r="G90" s="22"/>
      <c r="H90" s="18"/>
      <c r="I90" s="18">
        <v>0.0</v>
      </c>
      <c r="J90" s="18">
        <v>0.0</v>
      </c>
      <c r="K90" s="18"/>
      <c r="L90" s="18"/>
      <c r="M90" s="22" t="str">
        <f t="shared" si="1"/>
        <v/>
      </c>
      <c r="N90" s="18" t="str">
        <f>IF(A90="",,IF(ROW()=2, Input!$C$2 + I90, P89 + I90))</f>
        <v/>
      </c>
      <c r="O90" s="23" t="str">
        <f>IF(A90="",,
 IF(K90="Initial principal",
   Input!$C$2 * M90,
   N90 * M90
 )
)</f>
        <v/>
      </c>
      <c r="P90" s="18" t="str">
        <f t="shared" si="2"/>
        <v/>
      </c>
      <c r="Q90" s="18" t="str">
        <f t="shared" si="3"/>
        <v/>
      </c>
      <c r="R90" s="18" t="str">
        <f t="array" ref="R90">IF(
  B90="",
  ,
  SWITCH(
    Input!$C$4,
    "Actual/365 Fixed",
      YEARFRAC(
        B90 + IF(INDEX(Input!$K$7:$K1503,ROW()-1),0,1),
        C90 + IF(INDEX(Input!$L$7:$L1503,ROW()-1),1,0),
        3
      ),
    "Anniversary/365",
      DATEDIF(
        B90 + IF(INDEX(Input!$K$7:$K1503,ROW()-1),0,1),
        C90 + IF(INDEX(Input!$L$7:$L1503,ROW()-1),1,0),
        "Y"
      )
      +
      (
        (C90 + IF(INDEX(Input!$L$7:$L1503,ROW()-1),1,0))
        -
        EDATE(
          B90 + IF(INDEX(Input!$K$7:$K1503,ROW()-1),0,1),
          12*DATEDIF(
            B90 + IF(INDEX(Input!$K$7:$K1503,ROW()-1),0,1),
            C90 + IF(INDEX(Input!$L$7:$L1503,ROW()-1),1,0),
            "Y"
          )
        )
      ) / 365,
    "Actual/Actual",
      YEARFRAC(
        B90 + IF(INDEX(Input!$K$7:$K1503,ROW()-1),0,1),
        C90 + IF(INDEX(Input!$L$7:$L1503,ROW()-1),1,0),
        1
      ),
      YEARFRAC(
        B90 + IF(INDEX(Input!$K$7:$K1503,ROW()-1),0,1),
        C90 + IF(INDEX(Input!$L$7:$L1503,ROW()-1),1,0),
        3
      )
  )
)</f>
        <v/>
      </c>
      <c r="S90" s="22" t="str">
        <f t="shared" si="4"/>
        <v/>
      </c>
      <c r="T90" s="6" t="str">
        <f t="array" ref="T90">IF(
  B90="",
  ,
  DATEDIF(
    B90 + IF(INDEX(Input!$K$7:$K1503,ROW()-1),0,1),
    C90 + IF(INDEX(Input!$L$7:$L1503,ROW()-1),1,0),
    "Y"
  )
)</f>
        <v/>
      </c>
      <c r="U90" s="6" t="str">
        <f t="array" ref="U90">IF(
  B90="",
  ,
  (C90 + IF(INDEX(Input!$L$7:$L1503,ROW()-1),1,0))
  - EDATE(
      B90 + IF(INDEX(Input!$K$7:$K1503,ROW()-1),0,1),
      12*S90
    )
)</f>
        <v/>
      </c>
      <c r="V90" s="6" t="str">
        <f t="shared" si="5"/>
        <v/>
      </c>
      <c r="W90" s="6" t="str">
        <f t="shared" si="6"/>
        <v/>
      </c>
    </row>
    <row r="91">
      <c r="A91" s="18"/>
      <c r="B91" s="18"/>
      <c r="C91" s="18"/>
      <c r="D91" s="18"/>
      <c r="E91" s="18"/>
      <c r="F91" s="18"/>
      <c r="G91" s="22"/>
      <c r="H91" s="18"/>
      <c r="I91" s="18">
        <v>0.0</v>
      </c>
      <c r="J91" s="18">
        <v>0.0</v>
      </c>
      <c r="K91" s="18"/>
      <c r="L91" s="18"/>
      <c r="M91" s="22" t="str">
        <f t="shared" si="1"/>
        <v/>
      </c>
      <c r="N91" s="18" t="str">
        <f>IF(A91="",,IF(ROW()=2, Input!$C$2 + I91, P90 + I91))</f>
        <v/>
      </c>
      <c r="O91" s="23" t="str">
        <f>IF(A91="",,
 IF(K91="Initial principal",
   Input!$C$2 * M91,
   N91 * M91
 )
)</f>
        <v/>
      </c>
      <c r="P91" s="18" t="str">
        <f t="shared" si="2"/>
        <v/>
      </c>
      <c r="Q91" s="18" t="str">
        <f t="shared" si="3"/>
        <v/>
      </c>
      <c r="R91" s="18" t="str">
        <f t="array" ref="R91">IF(
  B91="",
  ,
  SWITCH(
    Input!$C$4,
    "Actual/365 Fixed",
      YEARFRAC(
        B91 + IF(INDEX(Input!$K$7:$K1503,ROW()-1),0,1),
        C91 + IF(INDEX(Input!$L$7:$L1503,ROW()-1),1,0),
        3
      ),
    "Anniversary/365",
      DATEDIF(
        B91 + IF(INDEX(Input!$K$7:$K1503,ROW()-1),0,1),
        C91 + IF(INDEX(Input!$L$7:$L1503,ROW()-1),1,0),
        "Y"
      )
      +
      (
        (C91 + IF(INDEX(Input!$L$7:$L1503,ROW()-1),1,0))
        -
        EDATE(
          B91 + IF(INDEX(Input!$K$7:$K1503,ROW()-1),0,1),
          12*DATEDIF(
            B91 + IF(INDEX(Input!$K$7:$K1503,ROW()-1),0,1),
            C91 + IF(INDEX(Input!$L$7:$L1503,ROW()-1),1,0),
            "Y"
          )
        )
      ) / 365,
    "Actual/Actual",
      YEARFRAC(
        B91 + IF(INDEX(Input!$K$7:$K1503,ROW()-1),0,1),
        C91 + IF(INDEX(Input!$L$7:$L1503,ROW()-1),1,0),
        1
      ),
      YEARFRAC(
        B91 + IF(INDEX(Input!$K$7:$K1503,ROW()-1),0,1),
        C91 + IF(INDEX(Input!$L$7:$L1503,ROW()-1),1,0),
        3
      )
  )
)</f>
        <v/>
      </c>
      <c r="S91" s="22" t="str">
        <f t="shared" si="4"/>
        <v/>
      </c>
      <c r="T91" s="6" t="str">
        <f t="array" ref="T91">IF(
  B91="",
  ,
  DATEDIF(
    B91 + IF(INDEX(Input!$K$7:$K1503,ROW()-1),0,1),
    C91 + IF(INDEX(Input!$L$7:$L1503,ROW()-1),1,0),
    "Y"
  )
)</f>
        <v/>
      </c>
      <c r="U91" s="6" t="str">
        <f t="array" ref="U91">IF(
  B91="",
  ,
  (C91 + IF(INDEX(Input!$L$7:$L1503,ROW()-1),1,0))
  - EDATE(
      B91 + IF(INDEX(Input!$K$7:$K1503,ROW()-1),0,1),
      12*S91
    )
)</f>
        <v/>
      </c>
      <c r="V91" s="6" t="str">
        <f t="shared" si="5"/>
        <v/>
      </c>
      <c r="W91" s="6" t="str">
        <f t="shared" si="6"/>
        <v/>
      </c>
    </row>
    <row r="92">
      <c r="A92" s="18"/>
      <c r="B92" s="18"/>
      <c r="C92" s="18"/>
      <c r="D92" s="18"/>
      <c r="E92" s="18"/>
      <c r="F92" s="18"/>
      <c r="G92" s="22"/>
      <c r="H92" s="18"/>
      <c r="I92" s="18">
        <v>0.0</v>
      </c>
      <c r="J92" s="18">
        <v>0.0</v>
      </c>
      <c r="K92" s="18"/>
      <c r="L92" s="18"/>
      <c r="M92" s="22" t="str">
        <f t="shared" si="1"/>
        <v/>
      </c>
      <c r="N92" s="18" t="str">
        <f>IF(A92="",,IF(ROW()=2, Input!$C$2 + I92, P91 + I92))</f>
        <v/>
      </c>
      <c r="O92" s="23" t="str">
        <f>IF(A92="",,
 IF(K92="Initial principal",
   Input!$C$2 * M92,
   N92 * M92
 )
)</f>
        <v/>
      </c>
      <c r="P92" s="18" t="str">
        <f t="shared" si="2"/>
        <v/>
      </c>
      <c r="Q92" s="18" t="str">
        <f t="shared" si="3"/>
        <v/>
      </c>
      <c r="R92" s="18" t="str">
        <f t="array" ref="R92">IF(
  B92="",
  ,
  SWITCH(
    Input!$C$4,
    "Actual/365 Fixed",
      YEARFRAC(
        B92 + IF(INDEX(Input!$K$7:$K1503,ROW()-1),0,1),
        C92 + IF(INDEX(Input!$L$7:$L1503,ROW()-1),1,0),
        3
      ),
    "Anniversary/365",
      DATEDIF(
        B92 + IF(INDEX(Input!$K$7:$K1503,ROW()-1),0,1),
        C92 + IF(INDEX(Input!$L$7:$L1503,ROW()-1),1,0),
        "Y"
      )
      +
      (
        (C92 + IF(INDEX(Input!$L$7:$L1503,ROW()-1),1,0))
        -
        EDATE(
          B92 + IF(INDEX(Input!$K$7:$K1503,ROW()-1),0,1),
          12*DATEDIF(
            B92 + IF(INDEX(Input!$K$7:$K1503,ROW()-1),0,1),
            C92 + IF(INDEX(Input!$L$7:$L1503,ROW()-1),1,0),
            "Y"
          )
        )
      ) / 365,
    "Actual/Actual",
      YEARFRAC(
        B92 + IF(INDEX(Input!$K$7:$K1503,ROW()-1),0,1),
        C92 + IF(INDEX(Input!$L$7:$L1503,ROW()-1),1,0),
        1
      ),
      YEARFRAC(
        B92 + IF(INDEX(Input!$K$7:$K1503,ROW()-1),0,1),
        C92 + IF(INDEX(Input!$L$7:$L1503,ROW()-1),1,0),
        3
      )
  )
)</f>
        <v/>
      </c>
      <c r="S92" s="22" t="str">
        <f t="shared" si="4"/>
        <v/>
      </c>
      <c r="T92" s="6" t="str">
        <f t="array" ref="T92">IF(
  B92="",
  ,
  DATEDIF(
    B92 + IF(INDEX(Input!$K$7:$K1503,ROW()-1),0,1),
    C92 + IF(INDEX(Input!$L$7:$L1503,ROW()-1),1,0),
    "Y"
  )
)</f>
        <v/>
      </c>
      <c r="U92" s="6" t="str">
        <f t="array" ref="U92">IF(
  B92="",
  ,
  (C92 + IF(INDEX(Input!$L$7:$L1503,ROW()-1),1,0))
  - EDATE(
      B92 + IF(INDEX(Input!$K$7:$K1503,ROW()-1),0,1),
      12*S92
    )
)</f>
        <v/>
      </c>
      <c r="V92" s="6" t="str">
        <f t="shared" si="5"/>
        <v/>
      </c>
      <c r="W92" s="6" t="str">
        <f t="shared" si="6"/>
        <v/>
      </c>
    </row>
    <row r="93">
      <c r="A93" s="18"/>
      <c r="B93" s="18"/>
      <c r="C93" s="18"/>
      <c r="D93" s="18"/>
      <c r="E93" s="18"/>
      <c r="F93" s="18"/>
      <c r="G93" s="22"/>
      <c r="H93" s="18"/>
      <c r="I93" s="18">
        <v>0.0</v>
      </c>
      <c r="J93" s="18">
        <v>0.0</v>
      </c>
      <c r="K93" s="18"/>
      <c r="L93" s="18"/>
      <c r="M93" s="22" t="str">
        <f t="shared" si="1"/>
        <v/>
      </c>
      <c r="N93" s="18" t="str">
        <f>IF(A93="",,IF(ROW()=2, Input!$C$2 + I93, P92 + I93))</f>
        <v/>
      </c>
      <c r="O93" s="23" t="str">
        <f>IF(A93="",,
 IF(K93="Initial principal",
   Input!$C$2 * M93,
   N93 * M93
 )
)</f>
        <v/>
      </c>
      <c r="P93" s="18" t="str">
        <f t="shared" si="2"/>
        <v/>
      </c>
      <c r="Q93" s="18" t="str">
        <f t="shared" si="3"/>
        <v/>
      </c>
      <c r="R93" s="18" t="str">
        <f t="array" ref="R93">IF(
  B93="",
  ,
  SWITCH(
    Input!$C$4,
    "Actual/365 Fixed",
      YEARFRAC(
        B93 + IF(INDEX(Input!$K$7:$K1503,ROW()-1),0,1),
        C93 + IF(INDEX(Input!$L$7:$L1503,ROW()-1),1,0),
        3
      ),
    "Anniversary/365",
      DATEDIF(
        B93 + IF(INDEX(Input!$K$7:$K1503,ROW()-1),0,1),
        C93 + IF(INDEX(Input!$L$7:$L1503,ROW()-1),1,0),
        "Y"
      )
      +
      (
        (C93 + IF(INDEX(Input!$L$7:$L1503,ROW()-1),1,0))
        -
        EDATE(
          B93 + IF(INDEX(Input!$K$7:$K1503,ROW()-1),0,1),
          12*DATEDIF(
            B93 + IF(INDEX(Input!$K$7:$K1503,ROW()-1),0,1),
            C93 + IF(INDEX(Input!$L$7:$L1503,ROW()-1),1,0),
            "Y"
          )
        )
      ) / 365,
    "Actual/Actual",
      YEARFRAC(
        B93 + IF(INDEX(Input!$K$7:$K1503,ROW()-1),0,1),
        C93 + IF(INDEX(Input!$L$7:$L1503,ROW()-1),1,0),
        1
      ),
      YEARFRAC(
        B93 + IF(INDEX(Input!$K$7:$K1503,ROW()-1),0,1),
        C93 + IF(INDEX(Input!$L$7:$L1503,ROW()-1),1,0),
        3
      )
  )
)</f>
        <v/>
      </c>
      <c r="S93" s="22" t="str">
        <f t="shared" si="4"/>
        <v/>
      </c>
      <c r="T93" s="6" t="str">
        <f t="array" ref="T93">IF(
  B93="",
  ,
  DATEDIF(
    B93 + IF(INDEX(Input!$K$7:$K1503,ROW()-1),0,1),
    C93 + IF(INDEX(Input!$L$7:$L1503,ROW()-1),1,0),
    "Y"
  )
)</f>
        <v/>
      </c>
      <c r="U93" s="6" t="str">
        <f t="array" ref="U93">IF(
  B93="",
  ,
  (C93 + IF(INDEX(Input!$L$7:$L1503,ROW()-1),1,0))
  - EDATE(
      B93 + IF(INDEX(Input!$K$7:$K1503,ROW()-1),0,1),
      12*S93
    )
)</f>
        <v/>
      </c>
      <c r="V93" s="6" t="str">
        <f t="shared" si="5"/>
        <v/>
      </c>
      <c r="W93" s="6" t="str">
        <f t="shared" si="6"/>
        <v/>
      </c>
    </row>
    <row r="94">
      <c r="A94" s="18"/>
      <c r="B94" s="18"/>
      <c r="C94" s="18"/>
      <c r="D94" s="18"/>
      <c r="E94" s="18"/>
      <c r="F94" s="18"/>
      <c r="G94" s="22"/>
      <c r="H94" s="18"/>
      <c r="I94" s="18">
        <v>0.0</v>
      </c>
      <c r="J94" s="18">
        <v>0.0</v>
      </c>
      <c r="K94" s="18"/>
      <c r="L94" s="18"/>
      <c r="M94" s="22" t="str">
        <f t="shared" si="1"/>
        <v/>
      </c>
      <c r="N94" s="18" t="str">
        <f>IF(A94="",,IF(ROW()=2, Input!$C$2 + I94, P93 + I94))</f>
        <v/>
      </c>
      <c r="O94" s="23" t="str">
        <f>IF(A94="",,
 IF(K94="Initial principal",
   Input!$C$2 * M94,
   N94 * M94
 )
)</f>
        <v/>
      </c>
      <c r="P94" s="18" t="str">
        <f t="shared" si="2"/>
        <v/>
      </c>
      <c r="Q94" s="18" t="str">
        <f t="shared" si="3"/>
        <v/>
      </c>
      <c r="R94" s="18" t="str">
        <f t="array" ref="R94">IF(
  B94="",
  ,
  SWITCH(
    Input!$C$4,
    "Actual/365 Fixed",
      YEARFRAC(
        B94 + IF(INDEX(Input!$K$7:$K1503,ROW()-1),0,1),
        C94 + IF(INDEX(Input!$L$7:$L1503,ROW()-1),1,0),
        3
      ),
    "Anniversary/365",
      DATEDIF(
        B94 + IF(INDEX(Input!$K$7:$K1503,ROW()-1),0,1),
        C94 + IF(INDEX(Input!$L$7:$L1503,ROW()-1),1,0),
        "Y"
      )
      +
      (
        (C94 + IF(INDEX(Input!$L$7:$L1503,ROW()-1),1,0))
        -
        EDATE(
          B94 + IF(INDEX(Input!$K$7:$K1503,ROW()-1),0,1),
          12*DATEDIF(
            B94 + IF(INDEX(Input!$K$7:$K1503,ROW()-1),0,1),
            C94 + IF(INDEX(Input!$L$7:$L1503,ROW()-1),1,0),
            "Y"
          )
        )
      ) / 365,
    "Actual/Actual",
      YEARFRAC(
        B94 + IF(INDEX(Input!$K$7:$K1503,ROW()-1),0,1),
        C94 + IF(INDEX(Input!$L$7:$L1503,ROW()-1),1,0),
        1
      ),
      YEARFRAC(
        B94 + IF(INDEX(Input!$K$7:$K1503,ROW()-1),0,1),
        C94 + IF(INDEX(Input!$L$7:$L1503,ROW()-1),1,0),
        3
      )
  )
)</f>
        <v/>
      </c>
      <c r="S94" s="22" t="str">
        <f t="shared" si="4"/>
        <v/>
      </c>
      <c r="T94" s="6" t="str">
        <f t="array" ref="T94">IF(
  B94="",
  ,
  DATEDIF(
    B94 + IF(INDEX(Input!$K$7:$K1503,ROW()-1),0,1),
    C94 + IF(INDEX(Input!$L$7:$L1503,ROW()-1),1,0),
    "Y"
  )
)</f>
        <v/>
      </c>
      <c r="U94" s="6" t="str">
        <f t="array" ref="U94">IF(
  B94="",
  ,
  (C94 + IF(INDEX(Input!$L$7:$L1503,ROW()-1),1,0))
  - EDATE(
      B94 + IF(INDEX(Input!$K$7:$K1503,ROW()-1),0,1),
      12*S94
    )
)</f>
        <v/>
      </c>
      <c r="V94" s="6" t="str">
        <f t="shared" si="5"/>
        <v/>
      </c>
      <c r="W94" s="6" t="str">
        <f t="shared" si="6"/>
        <v/>
      </c>
    </row>
    <row r="95">
      <c r="A95" s="18"/>
      <c r="B95" s="18"/>
      <c r="C95" s="18"/>
      <c r="D95" s="18"/>
      <c r="E95" s="18"/>
      <c r="F95" s="18"/>
      <c r="G95" s="22"/>
      <c r="H95" s="18"/>
      <c r="I95" s="18">
        <v>0.0</v>
      </c>
      <c r="J95" s="18">
        <v>0.0</v>
      </c>
      <c r="K95" s="18"/>
      <c r="L95" s="18"/>
      <c r="M95" s="22" t="str">
        <f t="shared" si="1"/>
        <v/>
      </c>
      <c r="N95" s="18" t="str">
        <f>IF(A95="",,IF(ROW()=2, Input!$C$2 + I95, P94 + I95))</f>
        <v/>
      </c>
      <c r="O95" s="23" t="str">
        <f>IF(A95="",,
 IF(K95="Initial principal",
   Input!$C$2 * M95,
   N95 * M95
 )
)</f>
        <v/>
      </c>
      <c r="P95" s="18" t="str">
        <f t="shared" si="2"/>
        <v/>
      </c>
      <c r="Q95" s="18" t="str">
        <f t="shared" si="3"/>
        <v/>
      </c>
      <c r="R95" s="18" t="str">
        <f t="array" ref="R95">IF(
  B95="",
  ,
  SWITCH(
    Input!$C$4,
    "Actual/365 Fixed",
      YEARFRAC(
        B95 + IF(INDEX(Input!$K$7:$K1503,ROW()-1),0,1),
        C95 + IF(INDEX(Input!$L$7:$L1503,ROW()-1),1,0),
        3
      ),
    "Anniversary/365",
      DATEDIF(
        B95 + IF(INDEX(Input!$K$7:$K1503,ROW()-1),0,1),
        C95 + IF(INDEX(Input!$L$7:$L1503,ROW()-1),1,0),
        "Y"
      )
      +
      (
        (C95 + IF(INDEX(Input!$L$7:$L1503,ROW()-1),1,0))
        -
        EDATE(
          B95 + IF(INDEX(Input!$K$7:$K1503,ROW()-1),0,1),
          12*DATEDIF(
            B95 + IF(INDEX(Input!$K$7:$K1503,ROW()-1),0,1),
            C95 + IF(INDEX(Input!$L$7:$L1503,ROW()-1),1,0),
            "Y"
          )
        )
      ) / 365,
    "Actual/Actual",
      YEARFRAC(
        B95 + IF(INDEX(Input!$K$7:$K1503,ROW()-1),0,1),
        C95 + IF(INDEX(Input!$L$7:$L1503,ROW()-1),1,0),
        1
      ),
      YEARFRAC(
        B95 + IF(INDEX(Input!$K$7:$K1503,ROW()-1),0,1),
        C95 + IF(INDEX(Input!$L$7:$L1503,ROW()-1),1,0),
        3
      )
  )
)</f>
        <v/>
      </c>
      <c r="S95" s="22" t="str">
        <f t="shared" si="4"/>
        <v/>
      </c>
      <c r="T95" s="6" t="str">
        <f t="array" ref="T95">IF(
  B95="",
  ,
  DATEDIF(
    B95 + IF(INDEX(Input!$K$7:$K1503,ROW()-1),0,1),
    C95 + IF(INDEX(Input!$L$7:$L1503,ROW()-1),1,0),
    "Y"
  )
)</f>
        <v/>
      </c>
      <c r="U95" s="6" t="str">
        <f t="array" ref="U95">IF(
  B95="",
  ,
  (C95 + IF(INDEX(Input!$L$7:$L1503,ROW()-1),1,0))
  - EDATE(
      B95 + IF(INDEX(Input!$K$7:$K1503,ROW()-1),0,1),
      12*S95
    )
)</f>
        <v/>
      </c>
      <c r="V95" s="6" t="str">
        <f t="shared" si="5"/>
        <v/>
      </c>
      <c r="W95" s="6" t="str">
        <f t="shared" si="6"/>
        <v/>
      </c>
    </row>
    <row r="96">
      <c r="A96" s="18"/>
      <c r="B96" s="18"/>
      <c r="C96" s="18"/>
      <c r="D96" s="18"/>
      <c r="E96" s="18"/>
      <c r="F96" s="18"/>
      <c r="G96" s="22"/>
      <c r="H96" s="18"/>
      <c r="I96" s="18">
        <v>0.0</v>
      </c>
      <c r="J96" s="18">
        <v>0.0</v>
      </c>
      <c r="K96" s="18"/>
      <c r="L96" s="18"/>
      <c r="M96" s="22" t="str">
        <f t="shared" si="1"/>
        <v/>
      </c>
      <c r="N96" s="18" t="str">
        <f>IF(A96="",,IF(ROW()=2, Input!$C$2 + I96, P95 + I96))</f>
        <v/>
      </c>
      <c r="O96" s="23" t="str">
        <f>IF(A96="",,
 IF(K96="Initial principal",
   Input!$C$2 * M96,
   N96 * M96
 )
)</f>
        <v/>
      </c>
      <c r="P96" s="18" t="str">
        <f t="shared" si="2"/>
        <v/>
      </c>
      <c r="Q96" s="18" t="str">
        <f t="shared" si="3"/>
        <v/>
      </c>
      <c r="R96" s="18" t="str">
        <f t="array" ref="R96">IF(
  B96="",
  ,
  SWITCH(
    Input!$C$4,
    "Actual/365 Fixed",
      YEARFRAC(
        B96 + IF(INDEX(Input!$K$7:$K1503,ROW()-1),0,1),
        C96 + IF(INDEX(Input!$L$7:$L1503,ROW()-1),1,0),
        3
      ),
    "Anniversary/365",
      DATEDIF(
        B96 + IF(INDEX(Input!$K$7:$K1503,ROW()-1),0,1),
        C96 + IF(INDEX(Input!$L$7:$L1503,ROW()-1),1,0),
        "Y"
      )
      +
      (
        (C96 + IF(INDEX(Input!$L$7:$L1503,ROW()-1),1,0))
        -
        EDATE(
          B96 + IF(INDEX(Input!$K$7:$K1503,ROW()-1),0,1),
          12*DATEDIF(
            B96 + IF(INDEX(Input!$K$7:$K1503,ROW()-1),0,1),
            C96 + IF(INDEX(Input!$L$7:$L1503,ROW()-1),1,0),
            "Y"
          )
        )
      ) / 365,
    "Actual/Actual",
      YEARFRAC(
        B96 + IF(INDEX(Input!$K$7:$K1503,ROW()-1),0,1),
        C96 + IF(INDEX(Input!$L$7:$L1503,ROW()-1),1,0),
        1
      ),
      YEARFRAC(
        B96 + IF(INDEX(Input!$K$7:$K1503,ROW()-1),0,1),
        C96 + IF(INDEX(Input!$L$7:$L1503,ROW()-1),1,0),
        3
      )
  )
)</f>
        <v/>
      </c>
      <c r="S96" s="22" t="str">
        <f t="shared" si="4"/>
        <v/>
      </c>
      <c r="T96" s="6" t="str">
        <f t="array" ref="T96">IF(
  B96="",
  ,
  DATEDIF(
    B96 + IF(INDEX(Input!$K$7:$K1503,ROW()-1),0,1),
    C96 + IF(INDEX(Input!$L$7:$L1503,ROW()-1),1,0),
    "Y"
  )
)</f>
        <v/>
      </c>
      <c r="U96" s="6" t="str">
        <f t="array" ref="U96">IF(
  B96="",
  ,
  (C96 + IF(INDEX(Input!$L$7:$L1503,ROW()-1),1,0))
  - EDATE(
      B96 + IF(INDEX(Input!$K$7:$K1503,ROW()-1),0,1),
      12*S96
    )
)</f>
        <v/>
      </c>
      <c r="V96" s="6" t="str">
        <f t="shared" si="5"/>
        <v/>
      </c>
      <c r="W96" s="6" t="str">
        <f t="shared" si="6"/>
        <v/>
      </c>
    </row>
    <row r="97">
      <c r="A97" s="18"/>
      <c r="B97" s="18"/>
      <c r="C97" s="18"/>
      <c r="D97" s="18"/>
      <c r="E97" s="18"/>
      <c r="F97" s="18"/>
      <c r="G97" s="22"/>
      <c r="H97" s="18"/>
      <c r="I97" s="18">
        <v>0.0</v>
      </c>
      <c r="J97" s="18">
        <v>0.0</v>
      </c>
      <c r="K97" s="18"/>
      <c r="L97" s="18"/>
      <c r="M97" s="22" t="str">
        <f t="shared" si="1"/>
        <v/>
      </c>
      <c r="N97" s="18" t="str">
        <f>IF(A97="",,IF(ROW()=2, Input!$C$2 + I97, P96 + I97))</f>
        <v/>
      </c>
      <c r="O97" s="23" t="str">
        <f>IF(A97="",,
 IF(K97="Initial principal",
   Input!$C$2 * M97,
   N97 * M97
 )
)</f>
        <v/>
      </c>
      <c r="P97" s="18" t="str">
        <f t="shared" si="2"/>
        <v/>
      </c>
      <c r="Q97" s="18" t="str">
        <f t="shared" si="3"/>
        <v/>
      </c>
      <c r="R97" s="18" t="str">
        <f t="array" ref="R97">IF(
  B97="",
  ,
  SWITCH(
    Input!$C$4,
    "Actual/365 Fixed",
      YEARFRAC(
        B97 + IF(INDEX(Input!$K$7:$K1503,ROW()-1),0,1),
        C97 + IF(INDEX(Input!$L$7:$L1503,ROW()-1),1,0),
        3
      ),
    "Anniversary/365",
      DATEDIF(
        B97 + IF(INDEX(Input!$K$7:$K1503,ROW()-1),0,1),
        C97 + IF(INDEX(Input!$L$7:$L1503,ROW()-1),1,0),
        "Y"
      )
      +
      (
        (C97 + IF(INDEX(Input!$L$7:$L1503,ROW()-1),1,0))
        -
        EDATE(
          B97 + IF(INDEX(Input!$K$7:$K1503,ROW()-1),0,1),
          12*DATEDIF(
            B97 + IF(INDEX(Input!$K$7:$K1503,ROW()-1),0,1),
            C97 + IF(INDEX(Input!$L$7:$L1503,ROW()-1),1,0),
            "Y"
          )
        )
      ) / 365,
    "Actual/Actual",
      YEARFRAC(
        B97 + IF(INDEX(Input!$K$7:$K1503,ROW()-1),0,1),
        C97 + IF(INDEX(Input!$L$7:$L1503,ROW()-1),1,0),
        1
      ),
      YEARFRAC(
        B97 + IF(INDEX(Input!$K$7:$K1503,ROW()-1),0,1),
        C97 + IF(INDEX(Input!$L$7:$L1503,ROW()-1),1,0),
        3
      )
  )
)</f>
        <v/>
      </c>
      <c r="S97" s="22" t="str">
        <f t="shared" si="4"/>
        <v/>
      </c>
      <c r="T97" s="6" t="str">
        <f t="array" ref="T97">IF(
  B97="",
  ,
  DATEDIF(
    B97 + IF(INDEX(Input!$K$7:$K1503,ROW()-1),0,1),
    C97 + IF(INDEX(Input!$L$7:$L1503,ROW()-1),1,0),
    "Y"
  )
)</f>
        <v/>
      </c>
      <c r="U97" s="6" t="str">
        <f t="array" ref="U97">IF(
  B97="",
  ,
  (C97 + IF(INDEX(Input!$L$7:$L1503,ROW()-1),1,0))
  - EDATE(
      B97 + IF(INDEX(Input!$K$7:$K1503,ROW()-1),0,1),
      12*S97
    )
)</f>
        <v/>
      </c>
      <c r="V97" s="6" t="str">
        <f t="shared" si="5"/>
        <v/>
      </c>
      <c r="W97" s="6" t="str">
        <f t="shared" si="6"/>
        <v/>
      </c>
    </row>
    <row r="98">
      <c r="A98" s="18"/>
      <c r="B98" s="18"/>
      <c r="C98" s="18"/>
      <c r="D98" s="18"/>
      <c r="E98" s="18"/>
      <c r="F98" s="18"/>
      <c r="G98" s="22"/>
      <c r="H98" s="18"/>
      <c r="I98" s="18">
        <v>0.0</v>
      </c>
      <c r="J98" s="18">
        <v>0.0</v>
      </c>
      <c r="K98" s="18"/>
      <c r="L98" s="18"/>
      <c r="M98" s="22" t="str">
        <f t="shared" si="1"/>
        <v/>
      </c>
      <c r="N98" s="18" t="str">
        <f>IF(A98="",,IF(ROW()=2, Input!$C$2 + I98, P97 + I98))</f>
        <v/>
      </c>
      <c r="O98" s="23" t="str">
        <f>IF(A98="",,
 IF(K98="Initial principal",
   Input!$C$2 * M98,
   N98 * M98
 )
)</f>
        <v/>
      </c>
      <c r="P98" s="18" t="str">
        <f t="shared" si="2"/>
        <v/>
      </c>
      <c r="Q98" s="18" t="str">
        <f t="shared" si="3"/>
        <v/>
      </c>
      <c r="R98" s="18" t="str">
        <f t="array" ref="R98">IF(
  B98="",
  ,
  SWITCH(
    Input!$C$4,
    "Actual/365 Fixed",
      YEARFRAC(
        B98 + IF(INDEX(Input!$K$7:$K1503,ROW()-1),0,1),
        C98 + IF(INDEX(Input!$L$7:$L1503,ROW()-1),1,0),
        3
      ),
    "Anniversary/365",
      DATEDIF(
        B98 + IF(INDEX(Input!$K$7:$K1503,ROW()-1),0,1),
        C98 + IF(INDEX(Input!$L$7:$L1503,ROW()-1),1,0),
        "Y"
      )
      +
      (
        (C98 + IF(INDEX(Input!$L$7:$L1503,ROW()-1),1,0))
        -
        EDATE(
          B98 + IF(INDEX(Input!$K$7:$K1503,ROW()-1),0,1),
          12*DATEDIF(
            B98 + IF(INDEX(Input!$K$7:$K1503,ROW()-1),0,1),
            C98 + IF(INDEX(Input!$L$7:$L1503,ROW()-1),1,0),
            "Y"
          )
        )
      ) / 365,
    "Actual/Actual",
      YEARFRAC(
        B98 + IF(INDEX(Input!$K$7:$K1503,ROW()-1),0,1),
        C98 + IF(INDEX(Input!$L$7:$L1503,ROW()-1),1,0),
        1
      ),
      YEARFRAC(
        B98 + IF(INDEX(Input!$K$7:$K1503,ROW()-1),0,1),
        C98 + IF(INDEX(Input!$L$7:$L1503,ROW()-1),1,0),
        3
      )
  )
)</f>
        <v/>
      </c>
      <c r="S98" s="22" t="str">
        <f t="shared" si="4"/>
        <v/>
      </c>
      <c r="T98" s="6" t="str">
        <f t="array" ref="T98">IF(
  B98="",
  ,
  DATEDIF(
    B98 + IF(INDEX(Input!$K$7:$K1503,ROW()-1),0,1),
    C98 + IF(INDEX(Input!$L$7:$L1503,ROW()-1),1,0),
    "Y"
  )
)</f>
        <v/>
      </c>
      <c r="U98" s="6" t="str">
        <f t="array" ref="U98">IF(
  B98="",
  ,
  (C98 + IF(INDEX(Input!$L$7:$L1503,ROW()-1),1,0))
  - EDATE(
      B98 + IF(INDEX(Input!$K$7:$K1503,ROW()-1),0,1),
      12*S98
    )
)</f>
        <v/>
      </c>
      <c r="V98" s="6" t="str">
        <f t="shared" si="5"/>
        <v/>
      </c>
      <c r="W98" s="6" t="str">
        <f t="shared" si="6"/>
        <v/>
      </c>
    </row>
    <row r="99">
      <c r="A99" s="18"/>
      <c r="B99" s="18"/>
      <c r="C99" s="18"/>
      <c r="D99" s="18"/>
      <c r="E99" s="18"/>
      <c r="F99" s="18"/>
      <c r="G99" s="22"/>
      <c r="H99" s="18"/>
      <c r="I99" s="18">
        <v>0.0</v>
      </c>
      <c r="J99" s="18">
        <v>0.0</v>
      </c>
      <c r="K99" s="18"/>
      <c r="L99" s="18"/>
      <c r="M99" s="22" t="str">
        <f t="shared" si="1"/>
        <v/>
      </c>
      <c r="N99" s="18" t="str">
        <f>IF(A99="",,IF(ROW()=2, Input!$C$2 + I99, P98 + I99))</f>
        <v/>
      </c>
      <c r="O99" s="23" t="str">
        <f>IF(A99="",,
 IF(K99="Initial principal",
   Input!$C$2 * M99,
   N99 * M99
 )
)</f>
        <v/>
      </c>
      <c r="P99" s="18" t="str">
        <f t="shared" si="2"/>
        <v/>
      </c>
      <c r="Q99" s="18" t="str">
        <f t="shared" si="3"/>
        <v/>
      </c>
      <c r="R99" s="18" t="str">
        <f t="array" ref="R99">IF(
  B99="",
  ,
  SWITCH(
    Input!$C$4,
    "Actual/365 Fixed",
      YEARFRAC(
        B99 + IF(INDEX(Input!$K$7:$K1503,ROW()-1),0,1),
        C99 + IF(INDEX(Input!$L$7:$L1503,ROW()-1),1,0),
        3
      ),
    "Anniversary/365",
      DATEDIF(
        B99 + IF(INDEX(Input!$K$7:$K1503,ROW()-1),0,1),
        C99 + IF(INDEX(Input!$L$7:$L1503,ROW()-1),1,0),
        "Y"
      )
      +
      (
        (C99 + IF(INDEX(Input!$L$7:$L1503,ROW()-1),1,0))
        -
        EDATE(
          B99 + IF(INDEX(Input!$K$7:$K1503,ROW()-1),0,1),
          12*DATEDIF(
            B99 + IF(INDEX(Input!$K$7:$K1503,ROW()-1),0,1),
            C99 + IF(INDEX(Input!$L$7:$L1503,ROW()-1),1,0),
            "Y"
          )
        )
      ) / 365,
    "Actual/Actual",
      YEARFRAC(
        B99 + IF(INDEX(Input!$K$7:$K1503,ROW()-1),0,1),
        C99 + IF(INDEX(Input!$L$7:$L1503,ROW()-1),1,0),
        1
      ),
      YEARFRAC(
        B99 + IF(INDEX(Input!$K$7:$K1503,ROW()-1),0,1),
        C99 + IF(INDEX(Input!$L$7:$L1503,ROW()-1),1,0),
        3
      )
  )
)</f>
        <v/>
      </c>
      <c r="S99" s="22" t="str">
        <f t="shared" si="4"/>
        <v/>
      </c>
      <c r="T99" s="6" t="str">
        <f t="array" ref="T99">IF(
  B99="",
  ,
  DATEDIF(
    B99 + IF(INDEX(Input!$K$7:$K1503,ROW()-1),0,1),
    C99 + IF(INDEX(Input!$L$7:$L1503,ROW()-1),1,0),
    "Y"
  )
)</f>
        <v/>
      </c>
      <c r="U99" s="6" t="str">
        <f t="array" ref="U99">IF(
  B99="",
  ,
  (C99 + IF(INDEX(Input!$L$7:$L1503,ROW()-1),1,0))
  - EDATE(
      B99 + IF(INDEX(Input!$K$7:$K1503,ROW()-1),0,1),
      12*S99
    )
)</f>
        <v/>
      </c>
      <c r="V99" s="6" t="str">
        <f t="shared" si="5"/>
        <v/>
      </c>
      <c r="W99" s="6" t="str">
        <f t="shared" si="6"/>
        <v/>
      </c>
    </row>
    <row r="100">
      <c r="A100" s="18"/>
      <c r="B100" s="18"/>
      <c r="C100" s="18"/>
      <c r="D100" s="18"/>
      <c r="E100" s="18"/>
      <c r="F100" s="18"/>
      <c r="G100" s="22"/>
      <c r="H100" s="18"/>
      <c r="I100" s="18">
        <v>0.0</v>
      </c>
      <c r="J100" s="18">
        <v>0.0</v>
      </c>
      <c r="K100" s="18"/>
      <c r="L100" s="18"/>
      <c r="M100" s="22" t="str">
        <f t="shared" si="1"/>
        <v/>
      </c>
      <c r="N100" s="18" t="str">
        <f>IF(A100="",,IF(ROW()=2, Input!$C$2 + I100, P99 + I100))</f>
        <v/>
      </c>
      <c r="O100" s="23" t="str">
        <f>IF(A100="",,
 IF(K100="Initial principal",
   Input!$C$2 * M100,
   N100 * M100
 )
)</f>
        <v/>
      </c>
      <c r="P100" s="18" t="str">
        <f t="shared" si="2"/>
        <v/>
      </c>
      <c r="Q100" s="18" t="str">
        <f t="shared" si="3"/>
        <v/>
      </c>
      <c r="R100" s="18" t="str">
        <f t="array" ref="R100">IF(
  B100="",
  ,
  SWITCH(
    Input!$C$4,
    "Actual/365 Fixed",
      YEARFRAC(
        B100 + IF(INDEX(Input!$K$7:$K1503,ROW()-1),0,1),
        C100 + IF(INDEX(Input!$L$7:$L1503,ROW()-1),1,0),
        3
      ),
    "Anniversary/365",
      DATEDIF(
        B100 + IF(INDEX(Input!$K$7:$K1503,ROW()-1),0,1),
        C100 + IF(INDEX(Input!$L$7:$L1503,ROW()-1),1,0),
        "Y"
      )
      +
      (
        (C100 + IF(INDEX(Input!$L$7:$L1503,ROW()-1),1,0))
        -
        EDATE(
          B100 + IF(INDEX(Input!$K$7:$K1503,ROW()-1),0,1),
          12*DATEDIF(
            B100 + IF(INDEX(Input!$K$7:$K1503,ROW()-1),0,1),
            C100 + IF(INDEX(Input!$L$7:$L1503,ROW()-1),1,0),
            "Y"
          )
        )
      ) / 365,
    "Actual/Actual",
      YEARFRAC(
        B100 + IF(INDEX(Input!$K$7:$K1503,ROW()-1),0,1),
        C100 + IF(INDEX(Input!$L$7:$L1503,ROW()-1),1,0),
        1
      ),
      YEARFRAC(
        B100 + IF(INDEX(Input!$K$7:$K1503,ROW()-1),0,1),
        C100 + IF(INDEX(Input!$L$7:$L1503,ROW()-1),1,0),
        3
      )
  )
)</f>
        <v/>
      </c>
      <c r="S100" s="22" t="str">
        <f t="shared" si="4"/>
        <v/>
      </c>
      <c r="T100" s="6" t="str">
        <f t="array" ref="T100">IF(
  B100="",
  ,
  DATEDIF(
    B100 + IF(INDEX(Input!$K$7:$K1503,ROW()-1),0,1),
    C100 + IF(INDEX(Input!$L$7:$L1503,ROW()-1),1,0),
    "Y"
  )
)</f>
        <v/>
      </c>
      <c r="U100" s="6" t="str">
        <f t="array" ref="U100">IF(
  B100="",
  ,
  (C100 + IF(INDEX(Input!$L$7:$L1503,ROW()-1),1,0))
  - EDATE(
      B100 + IF(INDEX(Input!$K$7:$K1503,ROW()-1),0,1),
      12*S100
    )
)</f>
        <v/>
      </c>
      <c r="V100" s="6" t="str">
        <f t="shared" si="5"/>
        <v/>
      </c>
      <c r="W100" s="6" t="str">
        <f t="shared" si="6"/>
        <v/>
      </c>
    </row>
    <row r="101">
      <c r="A101" s="18"/>
      <c r="B101" s="18"/>
      <c r="C101" s="18"/>
      <c r="D101" s="18"/>
      <c r="E101" s="18"/>
      <c r="F101" s="18"/>
      <c r="G101" s="22"/>
      <c r="H101" s="18"/>
      <c r="I101" s="18">
        <v>0.0</v>
      </c>
      <c r="J101" s="18">
        <v>0.0</v>
      </c>
      <c r="K101" s="18"/>
      <c r="L101" s="18"/>
      <c r="M101" s="22" t="str">
        <f t="shared" si="1"/>
        <v/>
      </c>
      <c r="N101" s="18" t="str">
        <f>IF(A101="",,IF(ROW()=2, Input!$C$2 + I101, P100 + I101))</f>
        <v/>
      </c>
      <c r="O101" s="23" t="str">
        <f>IF(A101="",,
 IF(K101="Initial principal",
   Input!$C$2 * M101,
   N101 * M101
 )
)</f>
        <v/>
      </c>
      <c r="P101" s="18" t="str">
        <f t="shared" si="2"/>
        <v/>
      </c>
      <c r="Q101" s="18" t="str">
        <f t="shared" si="3"/>
        <v/>
      </c>
      <c r="R101" s="18" t="str">
        <f t="array" ref="R101">IF(
  B101="",
  ,
  SWITCH(
    Input!$C$4,
    "Actual/365 Fixed",
      YEARFRAC(
        B101 + IF(INDEX(Input!$K$7:$K1503,ROW()-1),0,1),
        C101 + IF(INDEX(Input!$L$7:$L1503,ROW()-1),1,0),
        3
      ),
    "Anniversary/365",
      DATEDIF(
        B101 + IF(INDEX(Input!$K$7:$K1503,ROW()-1),0,1),
        C101 + IF(INDEX(Input!$L$7:$L1503,ROW()-1),1,0),
        "Y"
      )
      +
      (
        (C101 + IF(INDEX(Input!$L$7:$L1503,ROW()-1),1,0))
        -
        EDATE(
          B101 + IF(INDEX(Input!$K$7:$K1503,ROW()-1),0,1),
          12*DATEDIF(
            B101 + IF(INDEX(Input!$K$7:$K1503,ROW()-1),0,1),
            C101 + IF(INDEX(Input!$L$7:$L1503,ROW()-1),1,0),
            "Y"
          )
        )
      ) / 365,
    "Actual/Actual",
      YEARFRAC(
        B101 + IF(INDEX(Input!$K$7:$K1503,ROW()-1),0,1),
        C101 + IF(INDEX(Input!$L$7:$L1503,ROW()-1),1,0),
        1
      ),
      YEARFRAC(
        B101 + IF(INDEX(Input!$K$7:$K1503,ROW()-1),0,1),
        C101 + IF(INDEX(Input!$L$7:$L1503,ROW()-1),1,0),
        3
      )
  )
)</f>
        <v/>
      </c>
      <c r="S101" s="22" t="str">
        <f t="shared" si="4"/>
        <v/>
      </c>
      <c r="T101" s="6" t="str">
        <f t="array" ref="T101">IF(
  B101="",
  ,
  DATEDIF(
    B101 + IF(INDEX(Input!$K$7:$K1503,ROW()-1),0,1),
    C101 + IF(INDEX(Input!$L$7:$L1503,ROW()-1),1,0),
    "Y"
  )
)</f>
        <v/>
      </c>
      <c r="U101" s="6" t="str">
        <f t="array" ref="U101">IF(
  B101="",
  ,
  (C101 + IF(INDEX(Input!$L$7:$L1503,ROW()-1),1,0))
  - EDATE(
      B101 + IF(INDEX(Input!$K$7:$K1503,ROW()-1),0,1),
      12*S101
    )
)</f>
        <v/>
      </c>
      <c r="V101" s="6" t="str">
        <f t="shared" si="5"/>
        <v/>
      </c>
      <c r="W101" s="6" t="str">
        <f t="shared" si="6"/>
        <v/>
      </c>
    </row>
    <row r="102">
      <c r="A102" s="18"/>
      <c r="B102" s="18"/>
      <c r="C102" s="18"/>
      <c r="D102" s="18"/>
      <c r="E102" s="18"/>
      <c r="F102" s="18"/>
      <c r="G102" s="22"/>
      <c r="H102" s="18"/>
      <c r="I102" s="18">
        <v>0.0</v>
      </c>
      <c r="J102" s="18">
        <v>0.0</v>
      </c>
      <c r="K102" s="18"/>
      <c r="L102" s="18"/>
      <c r="M102" s="22" t="str">
        <f t="shared" si="1"/>
        <v/>
      </c>
      <c r="N102" s="18" t="str">
        <f>IF(A102="",,IF(ROW()=2, Input!$C$2 + I102, P101 + I102))</f>
        <v/>
      </c>
      <c r="O102" s="23" t="str">
        <f>IF(A102="",,
 IF(K102="Initial principal",
   Input!$C$2 * M102,
   N102 * M102
 )
)</f>
        <v/>
      </c>
      <c r="P102" s="18" t="str">
        <f t="shared" si="2"/>
        <v/>
      </c>
      <c r="Q102" s="18" t="str">
        <f t="shared" si="3"/>
        <v/>
      </c>
      <c r="R102" s="18" t="str">
        <f t="array" ref="R102">IF(
  B102="",
  ,
  SWITCH(
    Input!$C$4,
    "Actual/365 Fixed",
      YEARFRAC(
        B102 + IF(INDEX(Input!$K$7:$K1503,ROW()-1),0,1),
        C102 + IF(INDEX(Input!$L$7:$L1503,ROW()-1),1,0),
        3
      ),
    "Anniversary/365",
      DATEDIF(
        B102 + IF(INDEX(Input!$K$7:$K1503,ROW()-1),0,1),
        C102 + IF(INDEX(Input!$L$7:$L1503,ROW()-1),1,0),
        "Y"
      )
      +
      (
        (C102 + IF(INDEX(Input!$L$7:$L1503,ROW()-1),1,0))
        -
        EDATE(
          B102 + IF(INDEX(Input!$K$7:$K1503,ROW()-1),0,1),
          12*DATEDIF(
            B102 + IF(INDEX(Input!$K$7:$K1503,ROW()-1),0,1),
            C102 + IF(INDEX(Input!$L$7:$L1503,ROW()-1),1,0),
            "Y"
          )
        )
      ) / 365,
    "Actual/Actual",
      YEARFRAC(
        B102 + IF(INDEX(Input!$K$7:$K1503,ROW()-1),0,1),
        C102 + IF(INDEX(Input!$L$7:$L1503,ROW()-1),1,0),
        1
      ),
      YEARFRAC(
        B102 + IF(INDEX(Input!$K$7:$K1503,ROW()-1),0,1),
        C102 + IF(INDEX(Input!$L$7:$L1503,ROW()-1),1,0),
        3
      )
  )
)</f>
        <v/>
      </c>
      <c r="S102" s="22" t="str">
        <f t="shared" si="4"/>
        <v/>
      </c>
      <c r="T102" s="6" t="str">
        <f t="array" ref="T102">IF(
  B102="",
  ,
  DATEDIF(
    B102 + IF(INDEX(Input!$K$7:$K1503,ROW()-1),0,1),
    C102 + IF(INDEX(Input!$L$7:$L1503,ROW()-1),1,0),
    "Y"
  )
)</f>
        <v/>
      </c>
      <c r="U102" s="6" t="str">
        <f t="array" ref="U102">IF(
  B102="",
  ,
  (C102 + IF(INDEX(Input!$L$7:$L1503,ROW()-1),1,0))
  - EDATE(
      B102 + IF(INDEX(Input!$K$7:$K1503,ROW()-1),0,1),
      12*S102
    )
)</f>
        <v/>
      </c>
      <c r="V102" s="6" t="str">
        <f t="shared" si="5"/>
        <v/>
      </c>
      <c r="W102" s="6" t="str">
        <f t="shared" si="6"/>
        <v/>
      </c>
    </row>
    <row r="103">
      <c r="A103" s="18"/>
      <c r="B103" s="18"/>
      <c r="C103" s="18"/>
      <c r="D103" s="18"/>
      <c r="E103" s="18"/>
      <c r="F103" s="18"/>
      <c r="G103" s="22"/>
      <c r="H103" s="18"/>
      <c r="I103" s="18">
        <v>0.0</v>
      </c>
      <c r="J103" s="18">
        <v>0.0</v>
      </c>
      <c r="K103" s="18"/>
      <c r="L103" s="18"/>
      <c r="M103" s="22" t="str">
        <f t="shared" si="1"/>
        <v/>
      </c>
      <c r="N103" s="18" t="str">
        <f>IF(A103="",,IF(ROW()=2, Input!$C$2 + I103, P102 + I103))</f>
        <v/>
      </c>
      <c r="O103" s="23" t="str">
        <f>IF(A103="",,
 IF(K103="Initial principal",
   Input!$C$2 * M103,
   N103 * M103
 )
)</f>
        <v/>
      </c>
      <c r="P103" s="18" t="str">
        <f t="shared" si="2"/>
        <v/>
      </c>
      <c r="Q103" s="18" t="str">
        <f t="shared" si="3"/>
        <v/>
      </c>
      <c r="R103" s="18" t="str">
        <f t="array" ref="R103">IF(
  B103="",
  ,
  SWITCH(
    Input!$C$4,
    "Actual/365 Fixed",
      YEARFRAC(
        B103 + IF(INDEX(Input!$K$7:$K1503,ROW()-1),0,1),
        C103 + IF(INDEX(Input!$L$7:$L1503,ROW()-1),1,0),
        3
      ),
    "Anniversary/365",
      DATEDIF(
        B103 + IF(INDEX(Input!$K$7:$K1503,ROW()-1),0,1),
        C103 + IF(INDEX(Input!$L$7:$L1503,ROW()-1),1,0),
        "Y"
      )
      +
      (
        (C103 + IF(INDEX(Input!$L$7:$L1503,ROW()-1),1,0))
        -
        EDATE(
          B103 + IF(INDEX(Input!$K$7:$K1503,ROW()-1),0,1),
          12*DATEDIF(
            B103 + IF(INDEX(Input!$K$7:$K1503,ROW()-1),0,1),
            C103 + IF(INDEX(Input!$L$7:$L1503,ROW()-1),1,0),
            "Y"
          )
        )
      ) / 365,
    "Actual/Actual",
      YEARFRAC(
        B103 + IF(INDEX(Input!$K$7:$K1503,ROW()-1),0,1),
        C103 + IF(INDEX(Input!$L$7:$L1503,ROW()-1),1,0),
        1
      ),
      YEARFRAC(
        B103 + IF(INDEX(Input!$K$7:$K1503,ROW()-1),0,1),
        C103 + IF(INDEX(Input!$L$7:$L1503,ROW()-1),1,0),
        3
      )
  )
)</f>
        <v/>
      </c>
      <c r="S103" s="22" t="str">
        <f t="shared" si="4"/>
        <v/>
      </c>
      <c r="T103" s="6" t="str">
        <f t="array" ref="T103">IF(
  B103="",
  ,
  DATEDIF(
    B103 + IF(INDEX(Input!$K$7:$K1503,ROW()-1),0,1),
    C103 + IF(INDEX(Input!$L$7:$L1503,ROW()-1),1,0),
    "Y"
  )
)</f>
        <v/>
      </c>
      <c r="U103" s="6" t="str">
        <f t="array" ref="U103">IF(
  B103="",
  ,
  (C103 + IF(INDEX(Input!$L$7:$L1503,ROW()-1),1,0))
  - EDATE(
      B103 + IF(INDEX(Input!$K$7:$K1503,ROW()-1),0,1),
      12*S103
    )
)</f>
        <v/>
      </c>
      <c r="V103" s="6" t="str">
        <f t="shared" si="5"/>
        <v/>
      </c>
      <c r="W103" s="6" t="str">
        <f t="shared" si="6"/>
        <v/>
      </c>
    </row>
    <row r="104">
      <c r="A104" s="18"/>
      <c r="B104" s="18"/>
      <c r="C104" s="18"/>
      <c r="D104" s="18"/>
      <c r="E104" s="18"/>
      <c r="F104" s="18"/>
      <c r="G104" s="22"/>
      <c r="H104" s="18"/>
      <c r="I104" s="18">
        <v>0.0</v>
      </c>
      <c r="J104" s="18">
        <v>0.0</v>
      </c>
      <c r="K104" s="18"/>
      <c r="L104" s="18"/>
      <c r="M104" s="22" t="str">
        <f t="shared" si="1"/>
        <v/>
      </c>
      <c r="N104" s="18" t="str">
        <f>IF(A104="",,IF(ROW()=2, Input!$C$2 + I104, P103 + I104))</f>
        <v/>
      </c>
      <c r="O104" s="23" t="str">
        <f>IF(A104="",,
 IF(K104="Initial principal",
   Input!$C$2 * M104,
   N104 * M104
 )
)</f>
        <v/>
      </c>
      <c r="P104" s="18" t="str">
        <f t="shared" si="2"/>
        <v/>
      </c>
      <c r="Q104" s="18" t="str">
        <f t="shared" si="3"/>
        <v/>
      </c>
      <c r="R104" s="18" t="str">
        <f t="array" ref="R104">IF(
  B104="",
  ,
  SWITCH(
    Input!$C$4,
    "Actual/365 Fixed",
      YEARFRAC(
        B104 + IF(INDEX(Input!$K$7:$K1503,ROW()-1),0,1),
        C104 + IF(INDEX(Input!$L$7:$L1503,ROW()-1),1,0),
        3
      ),
    "Anniversary/365",
      DATEDIF(
        B104 + IF(INDEX(Input!$K$7:$K1503,ROW()-1),0,1),
        C104 + IF(INDEX(Input!$L$7:$L1503,ROW()-1),1,0),
        "Y"
      )
      +
      (
        (C104 + IF(INDEX(Input!$L$7:$L1503,ROW()-1),1,0))
        -
        EDATE(
          B104 + IF(INDEX(Input!$K$7:$K1503,ROW()-1),0,1),
          12*DATEDIF(
            B104 + IF(INDEX(Input!$K$7:$K1503,ROW()-1),0,1),
            C104 + IF(INDEX(Input!$L$7:$L1503,ROW()-1),1,0),
            "Y"
          )
        )
      ) / 365,
    "Actual/Actual",
      YEARFRAC(
        B104 + IF(INDEX(Input!$K$7:$K1503,ROW()-1),0,1),
        C104 + IF(INDEX(Input!$L$7:$L1503,ROW()-1),1,0),
        1
      ),
      YEARFRAC(
        B104 + IF(INDEX(Input!$K$7:$K1503,ROW()-1),0,1),
        C104 + IF(INDEX(Input!$L$7:$L1503,ROW()-1),1,0),
        3
      )
  )
)</f>
        <v/>
      </c>
      <c r="S104" s="22" t="str">
        <f t="shared" si="4"/>
        <v/>
      </c>
      <c r="T104" s="6" t="str">
        <f t="array" ref="T104">IF(
  B104="",
  ,
  DATEDIF(
    B104 + IF(INDEX(Input!$K$7:$K1503,ROW()-1),0,1),
    C104 + IF(INDEX(Input!$L$7:$L1503,ROW()-1),1,0),
    "Y"
  )
)</f>
        <v/>
      </c>
      <c r="U104" s="6" t="str">
        <f t="array" ref="U104">IF(
  B104="",
  ,
  (C104 + IF(INDEX(Input!$L$7:$L1503,ROW()-1),1,0))
  - EDATE(
      B104 + IF(INDEX(Input!$K$7:$K1503,ROW()-1),0,1),
      12*S104
    )
)</f>
        <v/>
      </c>
      <c r="V104" s="6" t="str">
        <f t="shared" si="5"/>
        <v/>
      </c>
      <c r="W104" s="6" t="str">
        <f t="shared" si="6"/>
        <v/>
      </c>
    </row>
    <row r="105">
      <c r="A105" s="18"/>
      <c r="B105" s="18"/>
      <c r="C105" s="18"/>
      <c r="D105" s="18"/>
      <c r="E105" s="18"/>
      <c r="F105" s="18"/>
      <c r="G105" s="22"/>
      <c r="H105" s="18"/>
      <c r="I105" s="18">
        <v>0.0</v>
      </c>
      <c r="J105" s="18">
        <v>0.0</v>
      </c>
      <c r="K105" s="18"/>
      <c r="L105" s="18"/>
      <c r="M105" s="22" t="str">
        <f t="shared" si="1"/>
        <v/>
      </c>
      <c r="N105" s="18" t="str">
        <f>IF(A105="",,IF(ROW()=2, Input!$C$2 + I105, P104 + I105))</f>
        <v/>
      </c>
      <c r="O105" s="23" t="str">
        <f>IF(A105="",,
 IF(K105="Initial principal",
   Input!$C$2 * M105,
   N105 * M105
 )
)</f>
        <v/>
      </c>
      <c r="P105" s="18" t="str">
        <f t="shared" si="2"/>
        <v/>
      </c>
      <c r="Q105" s="18" t="str">
        <f t="shared" si="3"/>
        <v/>
      </c>
      <c r="R105" s="18" t="str">
        <f t="array" ref="R105">IF(
  B105="",
  ,
  SWITCH(
    Input!$C$4,
    "Actual/365 Fixed",
      YEARFRAC(
        B105 + IF(INDEX(Input!$K$7:$K1503,ROW()-1),0,1),
        C105 + IF(INDEX(Input!$L$7:$L1503,ROW()-1),1,0),
        3
      ),
    "Anniversary/365",
      DATEDIF(
        B105 + IF(INDEX(Input!$K$7:$K1503,ROW()-1),0,1),
        C105 + IF(INDEX(Input!$L$7:$L1503,ROW()-1),1,0),
        "Y"
      )
      +
      (
        (C105 + IF(INDEX(Input!$L$7:$L1503,ROW()-1),1,0))
        -
        EDATE(
          B105 + IF(INDEX(Input!$K$7:$K1503,ROW()-1),0,1),
          12*DATEDIF(
            B105 + IF(INDEX(Input!$K$7:$K1503,ROW()-1),0,1),
            C105 + IF(INDEX(Input!$L$7:$L1503,ROW()-1),1,0),
            "Y"
          )
        )
      ) / 365,
    "Actual/Actual",
      YEARFRAC(
        B105 + IF(INDEX(Input!$K$7:$K1503,ROW()-1),0,1),
        C105 + IF(INDEX(Input!$L$7:$L1503,ROW()-1),1,0),
        1
      ),
      YEARFRAC(
        B105 + IF(INDEX(Input!$K$7:$K1503,ROW()-1),0,1),
        C105 + IF(INDEX(Input!$L$7:$L1503,ROW()-1),1,0),
        3
      )
  )
)</f>
        <v/>
      </c>
      <c r="S105" s="22" t="str">
        <f t="shared" si="4"/>
        <v/>
      </c>
      <c r="T105" s="6" t="str">
        <f t="array" ref="T105">IF(
  B105="",
  ,
  DATEDIF(
    B105 + IF(INDEX(Input!$K$7:$K1503,ROW()-1),0,1),
    C105 + IF(INDEX(Input!$L$7:$L1503,ROW()-1),1,0),
    "Y"
  )
)</f>
        <v/>
      </c>
      <c r="U105" s="6" t="str">
        <f t="array" ref="U105">IF(
  B105="",
  ,
  (C105 + IF(INDEX(Input!$L$7:$L1503,ROW()-1),1,0))
  - EDATE(
      B105 + IF(INDEX(Input!$K$7:$K1503,ROW()-1),0,1),
      12*S105
    )
)</f>
        <v/>
      </c>
      <c r="V105" s="6" t="str">
        <f t="shared" si="5"/>
        <v/>
      </c>
      <c r="W105" s="6" t="str">
        <f t="shared" si="6"/>
        <v/>
      </c>
    </row>
    <row r="106">
      <c r="A106" s="18"/>
      <c r="B106" s="18"/>
      <c r="C106" s="18"/>
      <c r="D106" s="18"/>
      <c r="E106" s="18"/>
      <c r="F106" s="18"/>
      <c r="G106" s="22"/>
      <c r="H106" s="18"/>
      <c r="I106" s="18">
        <v>0.0</v>
      </c>
      <c r="J106" s="18">
        <v>0.0</v>
      </c>
      <c r="K106" s="18"/>
      <c r="L106" s="18"/>
      <c r="M106" s="22" t="str">
        <f t="shared" si="1"/>
        <v/>
      </c>
      <c r="N106" s="18" t="str">
        <f>IF(A106="",,IF(ROW()=2, Input!$C$2 + I106, P105 + I106))</f>
        <v/>
      </c>
      <c r="O106" s="23" t="str">
        <f>IF(A106="",,
 IF(K106="Initial principal",
   Input!$C$2 * M106,
   N106 * M106
 )
)</f>
        <v/>
      </c>
      <c r="P106" s="18" t="str">
        <f t="shared" si="2"/>
        <v/>
      </c>
      <c r="Q106" s="18" t="str">
        <f t="shared" si="3"/>
        <v/>
      </c>
      <c r="R106" s="18" t="str">
        <f t="array" ref="R106">IF(
  B106="",
  ,
  SWITCH(
    Input!$C$4,
    "Actual/365 Fixed",
      YEARFRAC(
        B106 + IF(INDEX(Input!$K$7:$K1503,ROW()-1),0,1),
        C106 + IF(INDEX(Input!$L$7:$L1503,ROW()-1),1,0),
        3
      ),
    "Anniversary/365",
      DATEDIF(
        B106 + IF(INDEX(Input!$K$7:$K1503,ROW()-1),0,1),
        C106 + IF(INDEX(Input!$L$7:$L1503,ROW()-1),1,0),
        "Y"
      )
      +
      (
        (C106 + IF(INDEX(Input!$L$7:$L1503,ROW()-1),1,0))
        -
        EDATE(
          B106 + IF(INDEX(Input!$K$7:$K1503,ROW()-1),0,1),
          12*DATEDIF(
            B106 + IF(INDEX(Input!$K$7:$K1503,ROW()-1),0,1),
            C106 + IF(INDEX(Input!$L$7:$L1503,ROW()-1),1,0),
            "Y"
          )
        )
      ) / 365,
    "Actual/Actual",
      YEARFRAC(
        B106 + IF(INDEX(Input!$K$7:$K1503,ROW()-1),0,1),
        C106 + IF(INDEX(Input!$L$7:$L1503,ROW()-1),1,0),
        1
      ),
      YEARFRAC(
        B106 + IF(INDEX(Input!$K$7:$K1503,ROW()-1),0,1),
        C106 + IF(INDEX(Input!$L$7:$L1503,ROW()-1),1,0),
        3
      )
  )
)</f>
        <v/>
      </c>
      <c r="S106" s="22" t="str">
        <f t="shared" si="4"/>
        <v/>
      </c>
      <c r="T106" s="6" t="str">
        <f t="array" ref="T106">IF(
  B106="",
  ,
  DATEDIF(
    B106 + IF(INDEX(Input!$K$7:$K1503,ROW()-1),0,1),
    C106 + IF(INDEX(Input!$L$7:$L1503,ROW()-1),1,0),
    "Y"
  )
)</f>
        <v/>
      </c>
      <c r="U106" s="6" t="str">
        <f t="array" ref="U106">IF(
  B106="",
  ,
  (C106 + IF(INDEX(Input!$L$7:$L1503,ROW()-1),1,0))
  - EDATE(
      B106 + IF(INDEX(Input!$K$7:$K1503,ROW()-1),0,1),
      12*S106
    )
)</f>
        <v/>
      </c>
      <c r="V106" s="6" t="str">
        <f t="shared" si="5"/>
        <v/>
      </c>
      <c r="W106" s="6" t="str">
        <f t="shared" si="6"/>
        <v/>
      </c>
    </row>
    <row r="107">
      <c r="A107" s="18"/>
      <c r="B107" s="18"/>
      <c r="C107" s="18"/>
      <c r="D107" s="18"/>
      <c r="E107" s="18"/>
      <c r="F107" s="18"/>
      <c r="G107" s="22"/>
      <c r="H107" s="18"/>
      <c r="I107" s="18">
        <v>0.0</v>
      </c>
      <c r="J107" s="18">
        <v>0.0</v>
      </c>
      <c r="K107" s="18"/>
      <c r="L107" s="18"/>
      <c r="M107" s="22" t="str">
        <f t="shared" si="1"/>
        <v/>
      </c>
      <c r="N107" s="18" t="str">
        <f>IF(A107="",,IF(ROW()=2, Input!$C$2 + I107, P106 + I107))</f>
        <v/>
      </c>
      <c r="O107" s="23" t="str">
        <f>IF(A107="",,
 IF(K107="Initial principal",
   Input!$C$2 * M107,
   N107 * M107
 )
)</f>
        <v/>
      </c>
      <c r="P107" s="18" t="str">
        <f t="shared" si="2"/>
        <v/>
      </c>
      <c r="Q107" s="18" t="str">
        <f t="shared" si="3"/>
        <v/>
      </c>
      <c r="R107" s="18" t="str">
        <f t="array" ref="R107">IF(
  B107="",
  ,
  SWITCH(
    Input!$C$4,
    "Actual/365 Fixed",
      YEARFRAC(
        B107 + IF(INDEX(Input!$K$7:$K1503,ROW()-1),0,1),
        C107 + IF(INDEX(Input!$L$7:$L1503,ROW()-1),1,0),
        3
      ),
    "Anniversary/365",
      DATEDIF(
        B107 + IF(INDEX(Input!$K$7:$K1503,ROW()-1),0,1),
        C107 + IF(INDEX(Input!$L$7:$L1503,ROW()-1),1,0),
        "Y"
      )
      +
      (
        (C107 + IF(INDEX(Input!$L$7:$L1503,ROW()-1),1,0))
        -
        EDATE(
          B107 + IF(INDEX(Input!$K$7:$K1503,ROW()-1),0,1),
          12*DATEDIF(
            B107 + IF(INDEX(Input!$K$7:$K1503,ROW()-1),0,1),
            C107 + IF(INDEX(Input!$L$7:$L1503,ROW()-1),1,0),
            "Y"
          )
        )
      ) / 365,
    "Actual/Actual",
      YEARFRAC(
        B107 + IF(INDEX(Input!$K$7:$K1503,ROW()-1),0,1),
        C107 + IF(INDEX(Input!$L$7:$L1503,ROW()-1),1,0),
        1
      ),
      YEARFRAC(
        B107 + IF(INDEX(Input!$K$7:$K1503,ROW()-1),0,1),
        C107 + IF(INDEX(Input!$L$7:$L1503,ROW()-1),1,0),
        3
      )
  )
)</f>
        <v/>
      </c>
      <c r="S107" s="22" t="str">
        <f t="shared" si="4"/>
        <v/>
      </c>
      <c r="T107" s="6" t="str">
        <f t="array" ref="T107">IF(
  B107="",
  ,
  DATEDIF(
    B107 + IF(INDEX(Input!$K$7:$K1503,ROW()-1),0,1),
    C107 + IF(INDEX(Input!$L$7:$L1503,ROW()-1),1,0),
    "Y"
  )
)</f>
        <v/>
      </c>
      <c r="U107" s="6" t="str">
        <f t="array" ref="U107">IF(
  B107="",
  ,
  (C107 + IF(INDEX(Input!$L$7:$L1503,ROW()-1),1,0))
  - EDATE(
      B107 + IF(INDEX(Input!$K$7:$K1503,ROW()-1),0,1),
      12*S107
    )
)</f>
        <v/>
      </c>
      <c r="V107" s="6" t="str">
        <f t="shared" si="5"/>
        <v/>
      </c>
      <c r="W107" s="6" t="str">
        <f t="shared" si="6"/>
        <v/>
      </c>
    </row>
    <row r="108">
      <c r="A108" s="18"/>
      <c r="B108" s="18"/>
      <c r="C108" s="18"/>
      <c r="D108" s="18"/>
      <c r="E108" s="18"/>
      <c r="F108" s="18"/>
      <c r="G108" s="22"/>
      <c r="H108" s="18"/>
      <c r="I108" s="18">
        <v>0.0</v>
      </c>
      <c r="J108" s="18">
        <v>0.0</v>
      </c>
      <c r="K108" s="18"/>
      <c r="L108" s="18"/>
      <c r="M108" s="22" t="str">
        <f t="shared" si="1"/>
        <v/>
      </c>
      <c r="N108" s="18" t="str">
        <f>IF(A108="",,IF(ROW()=2, Input!$C$2 + I108, P107 + I108))</f>
        <v/>
      </c>
      <c r="O108" s="23" t="str">
        <f>IF(A108="",,
 IF(K108="Initial principal",
   Input!$C$2 * M108,
   N108 * M108
 )
)</f>
        <v/>
      </c>
      <c r="P108" s="18" t="str">
        <f t="shared" si="2"/>
        <v/>
      </c>
      <c r="Q108" s="18" t="str">
        <f t="shared" si="3"/>
        <v/>
      </c>
      <c r="R108" s="18" t="str">
        <f t="array" ref="R108">IF(
  B108="",
  ,
  SWITCH(
    Input!$C$4,
    "Actual/365 Fixed",
      YEARFRAC(
        B108 + IF(INDEX(Input!$K$7:$K1503,ROW()-1),0,1),
        C108 + IF(INDEX(Input!$L$7:$L1503,ROW()-1),1,0),
        3
      ),
    "Anniversary/365",
      DATEDIF(
        B108 + IF(INDEX(Input!$K$7:$K1503,ROW()-1),0,1),
        C108 + IF(INDEX(Input!$L$7:$L1503,ROW()-1),1,0),
        "Y"
      )
      +
      (
        (C108 + IF(INDEX(Input!$L$7:$L1503,ROW()-1),1,0))
        -
        EDATE(
          B108 + IF(INDEX(Input!$K$7:$K1503,ROW()-1),0,1),
          12*DATEDIF(
            B108 + IF(INDEX(Input!$K$7:$K1503,ROW()-1),0,1),
            C108 + IF(INDEX(Input!$L$7:$L1503,ROW()-1),1,0),
            "Y"
          )
        )
      ) / 365,
    "Actual/Actual",
      YEARFRAC(
        B108 + IF(INDEX(Input!$K$7:$K1503,ROW()-1),0,1),
        C108 + IF(INDEX(Input!$L$7:$L1503,ROW()-1),1,0),
        1
      ),
      YEARFRAC(
        B108 + IF(INDEX(Input!$K$7:$K1503,ROW()-1),0,1),
        C108 + IF(INDEX(Input!$L$7:$L1503,ROW()-1),1,0),
        3
      )
  )
)</f>
        <v/>
      </c>
      <c r="S108" s="22" t="str">
        <f t="shared" si="4"/>
        <v/>
      </c>
      <c r="T108" s="6" t="str">
        <f t="array" ref="T108">IF(
  B108="",
  ,
  DATEDIF(
    B108 + IF(INDEX(Input!$K$7:$K1503,ROW()-1),0,1),
    C108 + IF(INDEX(Input!$L$7:$L1503,ROW()-1),1,0),
    "Y"
  )
)</f>
        <v/>
      </c>
      <c r="U108" s="6" t="str">
        <f t="array" ref="U108">IF(
  B108="",
  ,
  (C108 + IF(INDEX(Input!$L$7:$L1503,ROW()-1),1,0))
  - EDATE(
      B108 + IF(INDEX(Input!$K$7:$K1503,ROW()-1),0,1),
      12*S108
    )
)</f>
        <v/>
      </c>
      <c r="V108" s="6" t="str">
        <f t="shared" si="5"/>
        <v/>
      </c>
      <c r="W108" s="6" t="str">
        <f t="shared" si="6"/>
        <v/>
      </c>
    </row>
    <row r="109">
      <c r="A109" s="18"/>
      <c r="B109" s="18"/>
      <c r="C109" s="18"/>
      <c r="D109" s="18"/>
      <c r="E109" s="18"/>
      <c r="F109" s="18"/>
      <c r="G109" s="22"/>
      <c r="H109" s="18"/>
      <c r="I109" s="18">
        <v>0.0</v>
      </c>
      <c r="J109" s="18">
        <v>0.0</v>
      </c>
      <c r="K109" s="18"/>
      <c r="L109" s="18"/>
      <c r="M109" s="22" t="str">
        <f t="shared" si="1"/>
        <v/>
      </c>
      <c r="N109" s="18" t="str">
        <f>IF(A109="",,IF(ROW()=2, Input!$C$2 + I109, P108 + I109))</f>
        <v/>
      </c>
      <c r="O109" s="23" t="str">
        <f>IF(A109="",,
 IF(K109="Initial principal",
   Input!$C$2 * M109,
   N109 * M109
 )
)</f>
        <v/>
      </c>
      <c r="P109" s="18" t="str">
        <f t="shared" si="2"/>
        <v/>
      </c>
      <c r="Q109" s="18" t="str">
        <f t="shared" si="3"/>
        <v/>
      </c>
      <c r="R109" s="18" t="str">
        <f t="array" ref="R109">IF(
  B109="",
  ,
  SWITCH(
    Input!$C$4,
    "Actual/365 Fixed",
      YEARFRAC(
        B109 + IF(INDEX(Input!$K$7:$K1503,ROW()-1),0,1),
        C109 + IF(INDEX(Input!$L$7:$L1503,ROW()-1),1,0),
        3
      ),
    "Anniversary/365",
      DATEDIF(
        B109 + IF(INDEX(Input!$K$7:$K1503,ROW()-1),0,1),
        C109 + IF(INDEX(Input!$L$7:$L1503,ROW()-1),1,0),
        "Y"
      )
      +
      (
        (C109 + IF(INDEX(Input!$L$7:$L1503,ROW()-1),1,0))
        -
        EDATE(
          B109 + IF(INDEX(Input!$K$7:$K1503,ROW()-1),0,1),
          12*DATEDIF(
            B109 + IF(INDEX(Input!$K$7:$K1503,ROW()-1),0,1),
            C109 + IF(INDEX(Input!$L$7:$L1503,ROW()-1),1,0),
            "Y"
          )
        )
      ) / 365,
    "Actual/Actual",
      YEARFRAC(
        B109 + IF(INDEX(Input!$K$7:$K1503,ROW()-1),0,1),
        C109 + IF(INDEX(Input!$L$7:$L1503,ROW()-1),1,0),
        1
      ),
      YEARFRAC(
        B109 + IF(INDEX(Input!$K$7:$K1503,ROW()-1),0,1),
        C109 + IF(INDEX(Input!$L$7:$L1503,ROW()-1),1,0),
        3
      )
  )
)</f>
        <v/>
      </c>
      <c r="S109" s="22" t="str">
        <f t="shared" si="4"/>
        <v/>
      </c>
      <c r="T109" s="6" t="str">
        <f t="array" ref="T109">IF(
  B109="",
  ,
  DATEDIF(
    B109 + IF(INDEX(Input!$K$7:$K1503,ROW()-1),0,1),
    C109 + IF(INDEX(Input!$L$7:$L1503,ROW()-1),1,0),
    "Y"
  )
)</f>
        <v/>
      </c>
      <c r="U109" s="6" t="str">
        <f t="array" ref="U109">IF(
  B109="",
  ,
  (C109 + IF(INDEX(Input!$L$7:$L1503,ROW()-1),1,0))
  - EDATE(
      B109 + IF(INDEX(Input!$K$7:$K1503,ROW()-1),0,1),
      12*S109
    )
)</f>
        <v/>
      </c>
      <c r="V109" s="6" t="str">
        <f t="shared" si="5"/>
        <v/>
      </c>
      <c r="W109" s="6" t="str">
        <f t="shared" si="6"/>
        <v/>
      </c>
    </row>
    <row r="110">
      <c r="A110" s="18"/>
      <c r="B110" s="18"/>
      <c r="C110" s="18"/>
      <c r="D110" s="18"/>
      <c r="E110" s="18"/>
      <c r="F110" s="18"/>
      <c r="G110" s="22"/>
      <c r="H110" s="18"/>
      <c r="I110" s="18">
        <v>0.0</v>
      </c>
      <c r="J110" s="18">
        <v>0.0</v>
      </c>
      <c r="K110" s="18"/>
      <c r="L110" s="18"/>
      <c r="M110" s="22" t="str">
        <f t="shared" si="1"/>
        <v/>
      </c>
      <c r="N110" s="18" t="str">
        <f>IF(A110="",,IF(ROW()=2, Input!$C$2 + I110, P109 + I110))</f>
        <v/>
      </c>
      <c r="O110" s="23" t="str">
        <f>IF(A110="",,
 IF(K110="Initial principal",
   Input!$C$2 * M110,
   N110 * M110
 )
)</f>
        <v/>
      </c>
      <c r="P110" s="18" t="str">
        <f t="shared" si="2"/>
        <v/>
      </c>
      <c r="Q110" s="18" t="str">
        <f t="shared" si="3"/>
        <v/>
      </c>
      <c r="R110" s="18" t="str">
        <f t="array" ref="R110">IF(
  B110="",
  ,
  SWITCH(
    Input!$C$4,
    "Actual/365 Fixed",
      YEARFRAC(
        B110 + IF(INDEX(Input!$K$7:$K1503,ROW()-1),0,1),
        C110 + IF(INDEX(Input!$L$7:$L1503,ROW()-1),1,0),
        3
      ),
    "Anniversary/365",
      DATEDIF(
        B110 + IF(INDEX(Input!$K$7:$K1503,ROW()-1),0,1),
        C110 + IF(INDEX(Input!$L$7:$L1503,ROW()-1),1,0),
        "Y"
      )
      +
      (
        (C110 + IF(INDEX(Input!$L$7:$L1503,ROW()-1),1,0))
        -
        EDATE(
          B110 + IF(INDEX(Input!$K$7:$K1503,ROW()-1),0,1),
          12*DATEDIF(
            B110 + IF(INDEX(Input!$K$7:$K1503,ROW()-1),0,1),
            C110 + IF(INDEX(Input!$L$7:$L1503,ROW()-1),1,0),
            "Y"
          )
        )
      ) / 365,
    "Actual/Actual",
      YEARFRAC(
        B110 + IF(INDEX(Input!$K$7:$K1503,ROW()-1),0,1),
        C110 + IF(INDEX(Input!$L$7:$L1503,ROW()-1),1,0),
        1
      ),
      YEARFRAC(
        B110 + IF(INDEX(Input!$K$7:$K1503,ROW()-1),0,1),
        C110 + IF(INDEX(Input!$L$7:$L1503,ROW()-1),1,0),
        3
      )
  )
)</f>
        <v/>
      </c>
      <c r="S110" s="22" t="str">
        <f t="shared" si="4"/>
        <v/>
      </c>
      <c r="T110" s="6" t="str">
        <f t="array" ref="T110">IF(
  B110="",
  ,
  DATEDIF(
    B110 + IF(INDEX(Input!$K$7:$K1503,ROW()-1),0,1),
    C110 + IF(INDEX(Input!$L$7:$L1503,ROW()-1),1,0),
    "Y"
  )
)</f>
        <v/>
      </c>
      <c r="U110" s="6" t="str">
        <f t="array" ref="U110">IF(
  B110="",
  ,
  (C110 + IF(INDEX(Input!$L$7:$L1503,ROW()-1),1,0))
  - EDATE(
      B110 + IF(INDEX(Input!$K$7:$K1503,ROW()-1),0,1),
      12*S110
    )
)</f>
        <v/>
      </c>
      <c r="V110" s="6" t="str">
        <f t="shared" si="5"/>
        <v/>
      </c>
      <c r="W110" s="6" t="str">
        <f t="shared" si="6"/>
        <v/>
      </c>
    </row>
    <row r="111">
      <c r="A111" s="18"/>
      <c r="B111" s="18"/>
      <c r="C111" s="18"/>
      <c r="D111" s="18"/>
      <c r="E111" s="18"/>
      <c r="F111" s="18"/>
      <c r="G111" s="22"/>
      <c r="H111" s="18"/>
      <c r="I111" s="18">
        <v>0.0</v>
      </c>
      <c r="J111" s="18">
        <v>0.0</v>
      </c>
      <c r="K111" s="18"/>
      <c r="L111" s="18"/>
      <c r="M111" s="22" t="str">
        <f t="shared" si="1"/>
        <v/>
      </c>
      <c r="N111" s="18" t="str">
        <f>IF(A111="",,IF(ROW()=2, Input!$C$2 + I111, P110 + I111))</f>
        <v/>
      </c>
      <c r="O111" s="23" t="str">
        <f>IF(A111="",,
 IF(K111="Initial principal",
   Input!$C$2 * M111,
   N111 * M111
 )
)</f>
        <v/>
      </c>
      <c r="P111" s="18" t="str">
        <f t="shared" si="2"/>
        <v/>
      </c>
      <c r="Q111" s="18" t="str">
        <f t="shared" si="3"/>
        <v/>
      </c>
      <c r="R111" s="18" t="str">
        <f t="array" ref="R111">IF(
  B111="",
  ,
  SWITCH(
    Input!$C$4,
    "Actual/365 Fixed",
      YEARFRAC(
        B111 + IF(INDEX(Input!$K$7:$K1503,ROW()-1),0,1),
        C111 + IF(INDEX(Input!$L$7:$L1503,ROW()-1),1,0),
        3
      ),
    "Anniversary/365",
      DATEDIF(
        B111 + IF(INDEX(Input!$K$7:$K1503,ROW()-1),0,1),
        C111 + IF(INDEX(Input!$L$7:$L1503,ROW()-1),1,0),
        "Y"
      )
      +
      (
        (C111 + IF(INDEX(Input!$L$7:$L1503,ROW()-1),1,0))
        -
        EDATE(
          B111 + IF(INDEX(Input!$K$7:$K1503,ROW()-1),0,1),
          12*DATEDIF(
            B111 + IF(INDEX(Input!$K$7:$K1503,ROW()-1),0,1),
            C111 + IF(INDEX(Input!$L$7:$L1503,ROW()-1),1,0),
            "Y"
          )
        )
      ) / 365,
    "Actual/Actual",
      YEARFRAC(
        B111 + IF(INDEX(Input!$K$7:$K1503,ROW()-1),0,1),
        C111 + IF(INDEX(Input!$L$7:$L1503,ROW()-1),1,0),
        1
      ),
      YEARFRAC(
        B111 + IF(INDEX(Input!$K$7:$K1503,ROW()-1),0,1),
        C111 + IF(INDEX(Input!$L$7:$L1503,ROW()-1),1,0),
        3
      )
  )
)</f>
        <v/>
      </c>
      <c r="S111" s="22" t="str">
        <f t="shared" si="4"/>
        <v/>
      </c>
      <c r="T111" s="6" t="str">
        <f t="array" ref="T111">IF(
  B111="",
  ,
  DATEDIF(
    B111 + IF(INDEX(Input!$K$7:$K1503,ROW()-1),0,1),
    C111 + IF(INDEX(Input!$L$7:$L1503,ROW()-1),1,0),
    "Y"
  )
)</f>
        <v/>
      </c>
      <c r="U111" s="6" t="str">
        <f t="array" ref="U111">IF(
  B111="",
  ,
  (C111 + IF(INDEX(Input!$L$7:$L1503,ROW()-1),1,0))
  - EDATE(
      B111 + IF(INDEX(Input!$K$7:$K1503,ROW()-1),0,1),
      12*S111
    )
)</f>
        <v/>
      </c>
      <c r="V111" s="6" t="str">
        <f t="shared" si="5"/>
        <v/>
      </c>
      <c r="W111" s="6" t="str">
        <f t="shared" si="6"/>
        <v/>
      </c>
    </row>
    <row r="112">
      <c r="A112" s="18"/>
      <c r="B112" s="18"/>
      <c r="C112" s="18"/>
      <c r="D112" s="18"/>
      <c r="E112" s="18"/>
      <c r="F112" s="18"/>
      <c r="G112" s="22"/>
      <c r="H112" s="18"/>
      <c r="I112" s="18">
        <v>0.0</v>
      </c>
      <c r="J112" s="18">
        <v>0.0</v>
      </c>
      <c r="K112" s="18"/>
      <c r="L112" s="18"/>
      <c r="M112" s="22" t="str">
        <f t="shared" si="1"/>
        <v/>
      </c>
      <c r="N112" s="18" t="str">
        <f>IF(A112="",,IF(ROW()=2, Input!$C$2 + I112, P111 + I112))</f>
        <v/>
      </c>
      <c r="O112" s="23" t="str">
        <f>IF(A112="",,
 IF(K112="Initial principal",
   Input!$C$2 * M112,
   N112 * M112
 )
)</f>
        <v/>
      </c>
      <c r="P112" s="18" t="str">
        <f t="shared" si="2"/>
        <v/>
      </c>
      <c r="Q112" s="18" t="str">
        <f t="shared" si="3"/>
        <v/>
      </c>
      <c r="R112" s="18" t="str">
        <f t="array" ref="R112">IF(
  B112="",
  ,
  SWITCH(
    Input!$C$4,
    "Actual/365 Fixed",
      YEARFRAC(
        B112 + IF(INDEX(Input!$K$7:$K1503,ROW()-1),0,1),
        C112 + IF(INDEX(Input!$L$7:$L1503,ROW()-1),1,0),
        3
      ),
    "Anniversary/365",
      DATEDIF(
        B112 + IF(INDEX(Input!$K$7:$K1503,ROW()-1),0,1),
        C112 + IF(INDEX(Input!$L$7:$L1503,ROW()-1),1,0),
        "Y"
      )
      +
      (
        (C112 + IF(INDEX(Input!$L$7:$L1503,ROW()-1),1,0))
        -
        EDATE(
          B112 + IF(INDEX(Input!$K$7:$K1503,ROW()-1),0,1),
          12*DATEDIF(
            B112 + IF(INDEX(Input!$K$7:$K1503,ROW()-1),0,1),
            C112 + IF(INDEX(Input!$L$7:$L1503,ROW()-1),1,0),
            "Y"
          )
        )
      ) / 365,
    "Actual/Actual",
      YEARFRAC(
        B112 + IF(INDEX(Input!$K$7:$K1503,ROW()-1),0,1),
        C112 + IF(INDEX(Input!$L$7:$L1503,ROW()-1),1,0),
        1
      ),
      YEARFRAC(
        B112 + IF(INDEX(Input!$K$7:$K1503,ROW()-1),0,1),
        C112 + IF(INDEX(Input!$L$7:$L1503,ROW()-1),1,0),
        3
      )
  )
)</f>
        <v/>
      </c>
      <c r="S112" s="22" t="str">
        <f t="shared" si="4"/>
        <v/>
      </c>
      <c r="T112" s="6" t="str">
        <f t="array" ref="T112">IF(
  B112="",
  ,
  DATEDIF(
    B112 + IF(INDEX(Input!$K$7:$K1503,ROW()-1),0,1),
    C112 + IF(INDEX(Input!$L$7:$L1503,ROW()-1),1,0),
    "Y"
  )
)</f>
        <v/>
      </c>
      <c r="U112" s="6" t="str">
        <f t="array" ref="U112">IF(
  B112="",
  ,
  (C112 + IF(INDEX(Input!$L$7:$L1503,ROW()-1),1,0))
  - EDATE(
      B112 + IF(INDEX(Input!$K$7:$K1503,ROW()-1),0,1),
      12*S112
    )
)</f>
        <v/>
      </c>
      <c r="V112" s="6" t="str">
        <f t="shared" si="5"/>
        <v/>
      </c>
      <c r="W112" s="6" t="str">
        <f t="shared" si="6"/>
        <v/>
      </c>
    </row>
    <row r="113">
      <c r="A113" s="18"/>
      <c r="B113" s="18"/>
      <c r="C113" s="18"/>
      <c r="D113" s="18"/>
      <c r="E113" s="18"/>
      <c r="F113" s="18"/>
      <c r="G113" s="22"/>
      <c r="H113" s="18"/>
      <c r="I113" s="18">
        <v>0.0</v>
      </c>
      <c r="J113" s="18">
        <v>0.0</v>
      </c>
      <c r="K113" s="18"/>
      <c r="L113" s="18"/>
      <c r="M113" s="22" t="str">
        <f t="shared" si="1"/>
        <v/>
      </c>
      <c r="N113" s="18" t="str">
        <f>IF(A113="",,IF(ROW()=2, Input!$C$2 + I113, P112 + I113))</f>
        <v/>
      </c>
      <c r="O113" s="23" t="str">
        <f>IF(A113="",,
 IF(K113="Initial principal",
   Input!$C$2 * M113,
   N113 * M113
 )
)</f>
        <v/>
      </c>
      <c r="P113" s="18" t="str">
        <f t="shared" si="2"/>
        <v/>
      </c>
      <c r="Q113" s="18" t="str">
        <f t="shared" si="3"/>
        <v/>
      </c>
      <c r="R113" s="18" t="str">
        <f t="array" ref="R113">IF(
  B113="",
  ,
  SWITCH(
    Input!$C$4,
    "Actual/365 Fixed",
      YEARFRAC(
        B113 + IF(INDEX(Input!$K$7:$K1503,ROW()-1),0,1),
        C113 + IF(INDEX(Input!$L$7:$L1503,ROW()-1),1,0),
        3
      ),
    "Anniversary/365",
      DATEDIF(
        B113 + IF(INDEX(Input!$K$7:$K1503,ROW()-1),0,1),
        C113 + IF(INDEX(Input!$L$7:$L1503,ROW()-1),1,0),
        "Y"
      )
      +
      (
        (C113 + IF(INDEX(Input!$L$7:$L1503,ROW()-1),1,0))
        -
        EDATE(
          B113 + IF(INDEX(Input!$K$7:$K1503,ROW()-1),0,1),
          12*DATEDIF(
            B113 + IF(INDEX(Input!$K$7:$K1503,ROW()-1),0,1),
            C113 + IF(INDEX(Input!$L$7:$L1503,ROW()-1),1,0),
            "Y"
          )
        )
      ) / 365,
    "Actual/Actual",
      YEARFRAC(
        B113 + IF(INDEX(Input!$K$7:$K1503,ROW()-1),0,1),
        C113 + IF(INDEX(Input!$L$7:$L1503,ROW()-1),1,0),
        1
      ),
      YEARFRAC(
        B113 + IF(INDEX(Input!$K$7:$K1503,ROW()-1),0,1),
        C113 + IF(INDEX(Input!$L$7:$L1503,ROW()-1),1,0),
        3
      )
  )
)</f>
        <v/>
      </c>
      <c r="S113" s="22" t="str">
        <f t="shared" si="4"/>
        <v/>
      </c>
      <c r="T113" s="6" t="str">
        <f t="array" ref="T113">IF(
  B113="",
  ,
  DATEDIF(
    B113 + IF(INDEX(Input!$K$7:$K1503,ROW()-1),0,1),
    C113 + IF(INDEX(Input!$L$7:$L1503,ROW()-1),1,0),
    "Y"
  )
)</f>
        <v/>
      </c>
      <c r="U113" s="6" t="str">
        <f t="array" ref="U113">IF(
  B113="",
  ,
  (C113 + IF(INDEX(Input!$L$7:$L1503,ROW()-1),1,0))
  - EDATE(
      B113 + IF(INDEX(Input!$K$7:$K1503,ROW()-1),0,1),
      12*S113
    )
)</f>
        <v/>
      </c>
      <c r="V113" s="6" t="str">
        <f t="shared" si="5"/>
        <v/>
      </c>
      <c r="W113" s="6" t="str">
        <f t="shared" si="6"/>
        <v/>
      </c>
    </row>
    <row r="114">
      <c r="A114" s="18"/>
      <c r="B114" s="18"/>
      <c r="C114" s="18"/>
      <c r="D114" s="18"/>
      <c r="E114" s="18"/>
      <c r="F114" s="18"/>
      <c r="G114" s="22"/>
      <c r="H114" s="18"/>
      <c r="I114" s="18">
        <v>0.0</v>
      </c>
      <c r="J114" s="18">
        <v>0.0</v>
      </c>
      <c r="K114" s="18"/>
      <c r="L114" s="18"/>
      <c r="M114" s="22" t="str">
        <f t="shared" si="1"/>
        <v/>
      </c>
      <c r="N114" s="18" t="str">
        <f>IF(A114="",,IF(ROW()=2, Input!$C$2 + I114, P113 + I114))</f>
        <v/>
      </c>
      <c r="O114" s="23" t="str">
        <f>IF(A114="",,
 IF(K114="Initial principal",
   Input!$C$2 * M114,
   N114 * M114
 )
)</f>
        <v/>
      </c>
      <c r="P114" s="18" t="str">
        <f t="shared" si="2"/>
        <v/>
      </c>
      <c r="Q114" s="18" t="str">
        <f t="shared" si="3"/>
        <v/>
      </c>
      <c r="R114" s="18" t="str">
        <f t="array" ref="R114">IF(
  B114="",
  ,
  SWITCH(
    Input!$C$4,
    "Actual/365 Fixed",
      YEARFRAC(
        B114 + IF(INDEX(Input!$K$7:$K1503,ROW()-1),0,1),
        C114 + IF(INDEX(Input!$L$7:$L1503,ROW()-1),1,0),
        3
      ),
    "Anniversary/365",
      DATEDIF(
        B114 + IF(INDEX(Input!$K$7:$K1503,ROW()-1),0,1),
        C114 + IF(INDEX(Input!$L$7:$L1503,ROW()-1),1,0),
        "Y"
      )
      +
      (
        (C114 + IF(INDEX(Input!$L$7:$L1503,ROW()-1),1,0))
        -
        EDATE(
          B114 + IF(INDEX(Input!$K$7:$K1503,ROW()-1),0,1),
          12*DATEDIF(
            B114 + IF(INDEX(Input!$K$7:$K1503,ROW()-1),0,1),
            C114 + IF(INDEX(Input!$L$7:$L1503,ROW()-1),1,0),
            "Y"
          )
        )
      ) / 365,
    "Actual/Actual",
      YEARFRAC(
        B114 + IF(INDEX(Input!$K$7:$K1503,ROW()-1),0,1),
        C114 + IF(INDEX(Input!$L$7:$L1503,ROW()-1),1,0),
        1
      ),
      YEARFRAC(
        B114 + IF(INDEX(Input!$K$7:$K1503,ROW()-1),0,1),
        C114 + IF(INDEX(Input!$L$7:$L1503,ROW()-1),1,0),
        3
      )
  )
)</f>
        <v/>
      </c>
      <c r="S114" s="22" t="str">
        <f t="shared" si="4"/>
        <v/>
      </c>
      <c r="T114" s="6" t="str">
        <f t="array" ref="T114">IF(
  B114="",
  ,
  DATEDIF(
    B114 + IF(INDEX(Input!$K$7:$K1503,ROW()-1),0,1),
    C114 + IF(INDEX(Input!$L$7:$L1503,ROW()-1),1,0),
    "Y"
  )
)</f>
        <v/>
      </c>
      <c r="U114" s="6" t="str">
        <f t="array" ref="U114">IF(
  B114="",
  ,
  (C114 + IF(INDEX(Input!$L$7:$L1503,ROW()-1),1,0))
  - EDATE(
      B114 + IF(INDEX(Input!$K$7:$K1503,ROW()-1),0,1),
      12*S114
    )
)</f>
        <v/>
      </c>
      <c r="V114" s="6" t="str">
        <f t="shared" si="5"/>
        <v/>
      </c>
      <c r="W114" s="6" t="str">
        <f t="shared" si="6"/>
        <v/>
      </c>
    </row>
    <row r="115">
      <c r="A115" s="18"/>
      <c r="B115" s="18"/>
      <c r="C115" s="18"/>
      <c r="D115" s="18"/>
      <c r="E115" s="18"/>
      <c r="F115" s="18"/>
      <c r="G115" s="22"/>
      <c r="H115" s="18"/>
      <c r="I115" s="18">
        <v>0.0</v>
      </c>
      <c r="J115" s="18">
        <v>0.0</v>
      </c>
      <c r="K115" s="18"/>
      <c r="L115" s="18"/>
      <c r="M115" s="22" t="str">
        <f t="shared" si="1"/>
        <v/>
      </c>
      <c r="N115" s="18" t="str">
        <f>IF(A115="",,IF(ROW()=2, Input!$C$2 + I115, P114 + I115))</f>
        <v/>
      </c>
      <c r="O115" s="23" t="str">
        <f>IF(A115="",,
 IF(K115="Initial principal",
   Input!$C$2 * M115,
   N115 * M115
 )
)</f>
        <v/>
      </c>
      <c r="P115" s="18" t="str">
        <f t="shared" si="2"/>
        <v/>
      </c>
      <c r="Q115" s="18" t="str">
        <f t="shared" si="3"/>
        <v/>
      </c>
      <c r="R115" s="18" t="str">
        <f t="array" ref="R115">IF(
  B115="",
  ,
  SWITCH(
    Input!$C$4,
    "Actual/365 Fixed",
      YEARFRAC(
        B115 + IF(INDEX(Input!$K$7:$K1503,ROW()-1),0,1),
        C115 + IF(INDEX(Input!$L$7:$L1503,ROW()-1),1,0),
        3
      ),
    "Anniversary/365",
      DATEDIF(
        B115 + IF(INDEX(Input!$K$7:$K1503,ROW()-1),0,1),
        C115 + IF(INDEX(Input!$L$7:$L1503,ROW()-1),1,0),
        "Y"
      )
      +
      (
        (C115 + IF(INDEX(Input!$L$7:$L1503,ROW()-1),1,0))
        -
        EDATE(
          B115 + IF(INDEX(Input!$K$7:$K1503,ROW()-1),0,1),
          12*DATEDIF(
            B115 + IF(INDEX(Input!$K$7:$K1503,ROW()-1),0,1),
            C115 + IF(INDEX(Input!$L$7:$L1503,ROW()-1),1,0),
            "Y"
          )
        )
      ) / 365,
    "Actual/Actual",
      YEARFRAC(
        B115 + IF(INDEX(Input!$K$7:$K1503,ROW()-1),0,1),
        C115 + IF(INDEX(Input!$L$7:$L1503,ROW()-1),1,0),
        1
      ),
      YEARFRAC(
        B115 + IF(INDEX(Input!$K$7:$K1503,ROW()-1),0,1),
        C115 + IF(INDEX(Input!$L$7:$L1503,ROW()-1),1,0),
        3
      )
  )
)</f>
        <v/>
      </c>
      <c r="S115" s="22" t="str">
        <f t="shared" si="4"/>
        <v/>
      </c>
      <c r="T115" s="6" t="str">
        <f t="array" ref="T115">IF(
  B115="",
  ,
  DATEDIF(
    B115 + IF(INDEX(Input!$K$7:$K1503,ROW()-1),0,1),
    C115 + IF(INDEX(Input!$L$7:$L1503,ROW()-1),1,0),
    "Y"
  )
)</f>
        <v/>
      </c>
      <c r="U115" s="6" t="str">
        <f t="array" ref="U115">IF(
  B115="",
  ,
  (C115 + IF(INDEX(Input!$L$7:$L1503,ROW()-1),1,0))
  - EDATE(
      B115 + IF(INDEX(Input!$K$7:$K1503,ROW()-1),0,1),
      12*S115
    )
)</f>
        <v/>
      </c>
      <c r="V115" s="6" t="str">
        <f t="shared" si="5"/>
        <v/>
      </c>
      <c r="W115" s="6" t="str">
        <f t="shared" si="6"/>
        <v/>
      </c>
    </row>
    <row r="116">
      <c r="A116" s="18"/>
      <c r="B116" s="18"/>
      <c r="C116" s="18"/>
      <c r="D116" s="18"/>
      <c r="E116" s="18"/>
      <c r="F116" s="18"/>
      <c r="G116" s="22"/>
      <c r="H116" s="18"/>
      <c r="I116" s="18">
        <v>0.0</v>
      </c>
      <c r="J116" s="18">
        <v>0.0</v>
      </c>
      <c r="K116" s="18"/>
      <c r="L116" s="18"/>
      <c r="M116" s="22" t="str">
        <f t="shared" si="1"/>
        <v/>
      </c>
      <c r="N116" s="18" t="str">
        <f>IF(A116="",,IF(ROW()=2, Input!$C$2 + I116, P115 + I116))</f>
        <v/>
      </c>
      <c r="O116" s="23" t="str">
        <f>IF(A116="",,
 IF(K116="Initial principal",
   Input!$C$2 * M116,
   N116 * M116
 )
)</f>
        <v/>
      </c>
      <c r="P116" s="18" t="str">
        <f t="shared" si="2"/>
        <v/>
      </c>
      <c r="Q116" s="18" t="str">
        <f t="shared" si="3"/>
        <v/>
      </c>
      <c r="R116" s="18" t="str">
        <f t="array" ref="R116">IF(
  B116="",
  ,
  SWITCH(
    Input!$C$4,
    "Actual/365 Fixed",
      YEARFRAC(
        B116 + IF(INDEX(Input!$K$7:$K1503,ROW()-1),0,1),
        C116 + IF(INDEX(Input!$L$7:$L1503,ROW()-1),1,0),
        3
      ),
    "Anniversary/365",
      DATEDIF(
        B116 + IF(INDEX(Input!$K$7:$K1503,ROW()-1),0,1),
        C116 + IF(INDEX(Input!$L$7:$L1503,ROW()-1),1,0),
        "Y"
      )
      +
      (
        (C116 + IF(INDEX(Input!$L$7:$L1503,ROW()-1),1,0))
        -
        EDATE(
          B116 + IF(INDEX(Input!$K$7:$K1503,ROW()-1),0,1),
          12*DATEDIF(
            B116 + IF(INDEX(Input!$K$7:$K1503,ROW()-1),0,1),
            C116 + IF(INDEX(Input!$L$7:$L1503,ROW()-1),1,0),
            "Y"
          )
        )
      ) / 365,
    "Actual/Actual",
      YEARFRAC(
        B116 + IF(INDEX(Input!$K$7:$K1503,ROW()-1),0,1),
        C116 + IF(INDEX(Input!$L$7:$L1503,ROW()-1),1,0),
        1
      ),
      YEARFRAC(
        B116 + IF(INDEX(Input!$K$7:$K1503,ROW()-1),0,1),
        C116 + IF(INDEX(Input!$L$7:$L1503,ROW()-1),1,0),
        3
      )
  )
)</f>
        <v/>
      </c>
      <c r="S116" s="22" t="str">
        <f t="shared" si="4"/>
        <v/>
      </c>
      <c r="T116" s="6" t="str">
        <f t="array" ref="T116">IF(
  B116="",
  ,
  DATEDIF(
    B116 + IF(INDEX(Input!$K$7:$K1503,ROW()-1),0,1),
    C116 + IF(INDEX(Input!$L$7:$L1503,ROW()-1),1,0),
    "Y"
  )
)</f>
        <v/>
      </c>
      <c r="U116" s="6" t="str">
        <f t="array" ref="U116">IF(
  B116="",
  ,
  (C116 + IF(INDEX(Input!$L$7:$L1503,ROW()-1),1,0))
  - EDATE(
      B116 + IF(INDEX(Input!$K$7:$K1503,ROW()-1),0,1),
      12*S116
    )
)</f>
        <v/>
      </c>
      <c r="V116" s="6" t="str">
        <f t="shared" si="5"/>
        <v/>
      </c>
      <c r="W116" s="6" t="str">
        <f t="shared" si="6"/>
        <v/>
      </c>
    </row>
    <row r="117">
      <c r="A117" s="18"/>
      <c r="B117" s="18"/>
      <c r="C117" s="18"/>
      <c r="D117" s="18"/>
      <c r="E117" s="18"/>
      <c r="F117" s="18"/>
      <c r="G117" s="22"/>
      <c r="H117" s="18"/>
      <c r="I117" s="18">
        <v>0.0</v>
      </c>
      <c r="J117" s="18">
        <v>0.0</v>
      </c>
      <c r="K117" s="18"/>
      <c r="L117" s="18"/>
      <c r="M117" s="22" t="str">
        <f t="shared" si="1"/>
        <v/>
      </c>
      <c r="N117" s="18" t="str">
        <f>IF(A117="",,IF(ROW()=2, Input!$C$2 + I117, P116 + I117))</f>
        <v/>
      </c>
      <c r="O117" s="23" t="str">
        <f>IF(A117="",,
 IF(K117="Initial principal",
   Input!$C$2 * M117,
   N117 * M117
 )
)</f>
        <v/>
      </c>
      <c r="P117" s="18" t="str">
        <f t="shared" si="2"/>
        <v/>
      </c>
      <c r="Q117" s="18" t="str">
        <f t="shared" si="3"/>
        <v/>
      </c>
      <c r="R117" s="18" t="str">
        <f t="array" ref="R117">IF(
  B117="",
  ,
  SWITCH(
    Input!$C$4,
    "Actual/365 Fixed",
      YEARFRAC(
        B117 + IF(INDEX(Input!$K$7:$K1503,ROW()-1),0,1),
        C117 + IF(INDEX(Input!$L$7:$L1503,ROW()-1),1,0),
        3
      ),
    "Anniversary/365",
      DATEDIF(
        B117 + IF(INDEX(Input!$K$7:$K1503,ROW()-1),0,1),
        C117 + IF(INDEX(Input!$L$7:$L1503,ROW()-1),1,0),
        "Y"
      )
      +
      (
        (C117 + IF(INDEX(Input!$L$7:$L1503,ROW()-1),1,0))
        -
        EDATE(
          B117 + IF(INDEX(Input!$K$7:$K1503,ROW()-1),0,1),
          12*DATEDIF(
            B117 + IF(INDEX(Input!$K$7:$K1503,ROW()-1),0,1),
            C117 + IF(INDEX(Input!$L$7:$L1503,ROW()-1),1,0),
            "Y"
          )
        )
      ) / 365,
    "Actual/Actual",
      YEARFRAC(
        B117 + IF(INDEX(Input!$K$7:$K1503,ROW()-1),0,1),
        C117 + IF(INDEX(Input!$L$7:$L1503,ROW()-1),1,0),
        1
      ),
      YEARFRAC(
        B117 + IF(INDEX(Input!$K$7:$K1503,ROW()-1),0,1),
        C117 + IF(INDEX(Input!$L$7:$L1503,ROW()-1),1,0),
        3
      )
  )
)</f>
        <v/>
      </c>
      <c r="S117" s="22" t="str">
        <f t="shared" si="4"/>
        <v/>
      </c>
      <c r="T117" s="6" t="str">
        <f t="array" ref="T117">IF(
  B117="",
  ,
  DATEDIF(
    B117 + IF(INDEX(Input!$K$7:$K1503,ROW()-1),0,1),
    C117 + IF(INDEX(Input!$L$7:$L1503,ROW()-1),1,0),
    "Y"
  )
)</f>
        <v/>
      </c>
      <c r="U117" s="6" t="str">
        <f t="array" ref="U117">IF(
  B117="",
  ,
  (C117 + IF(INDEX(Input!$L$7:$L1503,ROW()-1),1,0))
  - EDATE(
      B117 + IF(INDEX(Input!$K$7:$K1503,ROW()-1),0,1),
      12*S117
    )
)</f>
        <v/>
      </c>
      <c r="V117" s="6" t="str">
        <f t="shared" si="5"/>
        <v/>
      </c>
      <c r="W117" s="6" t="str">
        <f t="shared" si="6"/>
        <v/>
      </c>
    </row>
    <row r="118">
      <c r="A118" s="18"/>
      <c r="B118" s="18"/>
      <c r="C118" s="18"/>
      <c r="D118" s="18"/>
      <c r="E118" s="18"/>
      <c r="F118" s="18"/>
      <c r="G118" s="22"/>
      <c r="H118" s="18"/>
      <c r="I118" s="18">
        <v>0.0</v>
      </c>
      <c r="J118" s="18">
        <v>0.0</v>
      </c>
      <c r="K118" s="18"/>
      <c r="L118" s="18"/>
      <c r="M118" s="22" t="str">
        <f t="shared" si="1"/>
        <v/>
      </c>
      <c r="N118" s="18" t="str">
        <f>IF(A118="",,IF(ROW()=2, Input!$C$2 + I118, P117 + I118))</f>
        <v/>
      </c>
      <c r="O118" s="23" t="str">
        <f>IF(A118="",,
 IF(K118="Initial principal",
   Input!$C$2 * M118,
   N118 * M118
 )
)</f>
        <v/>
      </c>
      <c r="P118" s="18" t="str">
        <f t="shared" si="2"/>
        <v/>
      </c>
      <c r="Q118" s="18" t="str">
        <f t="shared" si="3"/>
        <v/>
      </c>
      <c r="R118" s="18" t="str">
        <f t="array" ref="R118">IF(
  B118="",
  ,
  SWITCH(
    Input!$C$4,
    "Actual/365 Fixed",
      YEARFRAC(
        B118 + IF(INDEX(Input!$K$7:$K1503,ROW()-1),0,1),
        C118 + IF(INDEX(Input!$L$7:$L1503,ROW()-1),1,0),
        3
      ),
    "Anniversary/365",
      DATEDIF(
        B118 + IF(INDEX(Input!$K$7:$K1503,ROW()-1),0,1),
        C118 + IF(INDEX(Input!$L$7:$L1503,ROW()-1),1,0),
        "Y"
      )
      +
      (
        (C118 + IF(INDEX(Input!$L$7:$L1503,ROW()-1),1,0))
        -
        EDATE(
          B118 + IF(INDEX(Input!$K$7:$K1503,ROW()-1),0,1),
          12*DATEDIF(
            B118 + IF(INDEX(Input!$K$7:$K1503,ROW()-1),0,1),
            C118 + IF(INDEX(Input!$L$7:$L1503,ROW()-1),1,0),
            "Y"
          )
        )
      ) / 365,
    "Actual/Actual",
      YEARFRAC(
        B118 + IF(INDEX(Input!$K$7:$K1503,ROW()-1),0,1),
        C118 + IF(INDEX(Input!$L$7:$L1503,ROW()-1),1,0),
        1
      ),
      YEARFRAC(
        B118 + IF(INDEX(Input!$K$7:$K1503,ROW()-1),0,1),
        C118 + IF(INDEX(Input!$L$7:$L1503,ROW()-1),1,0),
        3
      )
  )
)</f>
        <v/>
      </c>
      <c r="S118" s="22" t="str">
        <f t="shared" si="4"/>
        <v/>
      </c>
      <c r="T118" s="6" t="str">
        <f t="array" ref="T118">IF(
  B118="",
  ,
  DATEDIF(
    B118 + IF(INDEX(Input!$K$7:$K1503,ROW()-1),0,1),
    C118 + IF(INDEX(Input!$L$7:$L1503,ROW()-1),1,0),
    "Y"
  )
)</f>
        <v/>
      </c>
      <c r="U118" s="6" t="str">
        <f t="array" ref="U118">IF(
  B118="",
  ,
  (C118 + IF(INDEX(Input!$L$7:$L1503,ROW()-1),1,0))
  - EDATE(
      B118 + IF(INDEX(Input!$K$7:$K1503,ROW()-1),0,1),
      12*S118
    )
)</f>
        <v/>
      </c>
      <c r="V118" s="6" t="str">
        <f t="shared" si="5"/>
        <v/>
      </c>
      <c r="W118" s="6" t="str">
        <f t="shared" si="6"/>
        <v/>
      </c>
    </row>
    <row r="119">
      <c r="A119" s="18"/>
      <c r="B119" s="18"/>
      <c r="C119" s="18"/>
      <c r="D119" s="18"/>
      <c r="E119" s="18"/>
      <c r="F119" s="18"/>
      <c r="G119" s="22"/>
      <c r="H119" s="18"/>
      <c r="I119" s="18">
        <v>0.0</v>
      </c>
      <c r="J119" s="18">
        <v>0.0</v>
      </c>
      <c r="K119" s="18"/>
      <c r="L119" s="18"/>
      <c r="M119" s="22" t="str">
        <f t="shared" si="1"/>
        <v/>
      </c>
      <c r="N119" s="18" t="str">
        <f>IF(A119="",,IF(ROW()=2, Input!$C$2 + I119, P118 + I119))</f>
        <v/>
      </c>
      <c r="O119" s="23" t="str">
        <f>IF(A119="",,
 IF(K119="Initial principal",
   Input!$C$2 * M119,
   N119 * M119
 )
)</f>
        <v/>
      </c>
      <c r="P119" s="18" t="str">
        <f t="shared" si="2"/>
        <v/>
      </c>
      <c r="Q119" s="18" t="str">
        <f t="shared" si="3"/>
        <v/>
      </c>
      <c r="R119" s="18" t="str">
        <f t="array" ref="R119">IF(
  B119="",
  ,
  SWITCH(
    Input!$C$4,
    "Actual/365 Fixed",
      YEARFRAC(
        B119 + IF(INDEX(Input!$K$7:$K1503,ROW()-1),0,1),
        C119 + IF(INDEX(Input!$L$7:$L1503,ROW()-1),1,0),
        3
      ),
    "Anniversary/365",
      DATEDIF(
        B119 + IF(INDEX(Input!$K$7:$K1503,ROW()-1),0,1),
        C119 + IF(INDEX(Input!$L$7:$L1503,ROW()-1),1,0),
        "Y"
      )
      +
      (
        (C119 + IF(INDEX(Input!$L$7:$L1503,ROW()-1),1,0))
        -
        EDATE(
          B119 + IF(INDEX(Input!$K$7:$K1503,ROW()-1),0,1),
          12*DATEDIF(
            B119 + IF(INDEX(Input!$K$7:$K1503,ROW()-1),0,1),
            C119 + IF(INDEX(Input!$L$7:$L1503,ROW()-1),1,0),
            "Y"
          )
        )
      ) / 365,
    "Actual/Actual",
      YEARFRAC(
        B119 + IF(INDEX(Input!$K$7:$K1503,ROW()-1),0,1),
        C119 + IF(INDEX(Input!$L$7:$L1503,ROW()-1),1,0),
        1
      ),
      YEARFRAC(
        B119 + IF(INDEX(Input!$K$7:$K1503,ROW()-1),0,1),
        C119 + IF(INDEX(Input!$L$7:$L1503,ROW()-1),1,0),
        3
      )
  )
)</f>
        <v/>
      </c>
      <c r="S119" s="22" t="str">
        <f t="shared" si="4"/>
        <v/>
      </c>
      <c r="T119" s="6" t="str">
        <f t="array" ref="T119">IF(
  B119="",
  ,
  DATEDIF(
    B119 + IF(INDEX(Input!$K$7:$K1503,ROW()-1),0,1),
    C119 + IF(INDEX(Input!$L$7:$L1503,ROW()-1),1,0),
    "Y"
  )
)</f>
        <v/>
      </c>
      <c r="U119" s="6" t="str">
        <f t="array" ref="U119">IF(
  B119="",
  ,
  (C119 + IF(INDEX(Input!$L$7:$L1503,ROW()-1),1,0))
  - EDATE(
      B119 + IF(INDEX(Input!$K$7:$K1503,ROW()-1),0,1),
      12*S119
    )
)</f>
        <v/>
      </c>
      <c r="V119" s="6" t="str">
        <f t="shared" si="5"/>
        <v/>
      </c>
      <c r="W119" s="6" t="str">
        <f t="shared" si="6"/>
        <v/>
      </c>
    </row>
    <row r="120">
      <c r="A120" s="18"/>
      <c r="B120" s="18"/>
      <c r="C120" s="18"/>
      <c r="D120" s="18"/>
      <c r="E120" s="18"/>
      <c r="F120" s="18"/>
      <c r="G120" s="22"/>
      <c r="H120" s="18"/>
      <c r="I120" s="18">
        <v>0.0</v>
      </c>
      <c r="J120" s="18">
        <v>0.0</v>
      </c>
      <c r="K120" s="18"/>
      <c r="L120" s="18"/>
      <c r="M120" s="22" t="str">
        <f t="shared" si="1"/>
        <v/>
      </c>
      <c r="N120" s="18" t="str">
        <f>IF(A120="",,IF(ROW()=2, Input!$C$2 + I120, P119 + I120))</f>
        <v/>
      </c>
      <c r="O120" s="23" t="str">
        <f>IF(A120="",,
 IF(K120="Initial principal",
   Input!$C$2 * M120,
   N120 * M120
 )
)</f>
        <v/>
      </c>
      <c r="P120" s="18" t="str">
        <f t="shared" si="2"/>
        <v/>
      </c>
      <c r="Q120" s="18" t="str">
        <f t="shared" si="3"/>
        <v/>
      </c>
      <c r="R120" s="18" t="str">
        <f t="array" ref="R120">IF(
  B120="",
  ,
  SWITCH(
    Input!$C$4,
    "Actual/365 Fixed",
      YEARFRAC(
        B120 + IF(INDEX(Input!$K$7:$K1503,ROW()-1),0,1),
        C120 + IF(INDEX(Input!$L$7:$L1503,ROW()-1),1,0),
        3
      ),
    "Anniversary/365",
      DATEDIF(
        B120 + IF(INDEX(Input!$K$7:$K1503,ROW()-1),0,1),
        C120 + IF(INDEX(Input!$L$7:$L1503,ROW()-1),1,0),
        "Y"
      )
      +
      (
        (C120 + IF(INDEX(Input!$L$7:$L1503,ROW()-1),1,0))
        -
        EDATE(
          B120 + IF(INDEX(Input!$K$7:$K1503,ROW()-1),0,1),
          12*DATEDIF(
            B120 + IF(INDEX(Input!$K$7:$K1503,ROW()-1),0,1),
            C120 + IF(INDEX(Input!$L$7:$L1503,ROW()-1),1,0),
            "Y"
          )
        )
      ) / 365,
    "Actual/Actual",
      YEARFRAC(
        B120 + IF(INDEX(Input!$K$7:$K1503,ROW()-1),0,1),
        C120 + IF(INDEX(Input!$L$7:$L1503,ROW()-1),1,0),
        1
      ),
      YEARFRAC(
        B120 + IF(INDEX(Input!$K$7:$K1503,ROW()-1),0,1),
        C120 + IF(INDEX(Input!$L$7:$L1503,ROW()-1),1,0),
        3
      )
  )
)</f>
        <v/>
      </c>
      <c r="S120" s="22" t="str">
        <f t="shared" si="4"/>
        <v/>
      </c>
      <c r="T120" s="6" t="str">
        <f t="array" ref="T120">IF(
  B120="",
  ,
  DATEDIF(
    B120 + IF(INDEX(Input!$K$7:$K1503,ROW()-1),0,1),
    C120 + IF(INDEX(Input!$L$7:$L1503,ROW()-1),1,0),
    "Y"
  )
)</f>
        <v/>
      </c>
      <c r="U120" s="6" t="str">
        <f t="array" ref="U120">IF(
  B120="",
  ,
  (C120 + IF(INDEX(Input!$L$7:$L1503,ROW()-1),1,0))
  - EDATE(
      B120 + IF(INDEX(Input!$K$7:$K1503,ROW()-1),0,1),
      12*S120
    )
)</f>
        <v/>
      </c>
      <c r="V120" s="6" t="str">
        <f t="shared" si="5"/>
        <v/>
      </c>
      <c r="W120" s="6" t="str">
        <f t="shared" si="6"/>
        <v/>
      </c>
    </row>
    <row r="121">
      <c r="A121" s="18"/>
      <c r="B121" s="18"/>
      <c r="C121" s="18"/>
      <c r="D121" s="18"/>
      <c r="E121" s="18"/>
      <c r="F121" s="18"/>
      <c r="G121" s="22"/>
      <c r="H121" s="18"/>
      <c r="I121" s="18">
        <v>0.0</v>
      </c>
      <c r="J121" s="18">
        <v>0.0</v>
      </c>
      <c r="K121" s="18"/>
      <c r="L121" s="18"/>
      <c r="M121" s="22" t="str">
        <f t="shared" si="1"/>
        <v/>
      </c>
      <c r="N121" s="18" t="str">
        <f>IF(A121="",,IF(ROW()=2, Input!$C$2 + I121, P120 + I121))</f>
        <v/>
      </c>
      <c r="O121" s="23" t="str">
        <f>IF(A121="",,
 IF(K121="Initial principal",
   Input!$C$2 * M121,
   N121 * M121
 )
)</f>
        <v/>
      </c>
      <c r="P121" s="18" t="str">
        <f t="shared" si="2"/>
        <v/>
      </c>
      <c r="Q121" s="18" t="str">
        <f t="shared" si="3"/>
        <v/>
      </c>
      <c r="R121" s="18" t="str">
        <f t="array" ref="R121">IF(
  B121="",
  ,
  SWITCH(
    Input!$C$4,
    "Actual/365 Fixed",
      YEARFRAC(
        B121 + IF(INDEX(Input!$K$7:$K1503,ROW()-1),0,1),
        C121 + IF(INDEX(Input!$L$7:$L1503,ROW()-1),1,0),
        3
      ),
    "Anniversary/365",
      DATEDIF(
        B121 + IF(INDEX(Input!$K$7:$K1503,ROW()-1),0,1),
        C121 + IF(INDEX(Input!$L$7:$L1503,ROW()-1),1,0),
        "Y"
      )
      +
      (
        (C121 + IF(INDEX(Input!$L$7:$L1503,ROW()-1),1,0))
        -
        EDATE(
          B121 + IF(INDEX(Input!$K$7:$K1503,ROW()-1),0,1),
          12*DATEDIF(
            B121 + IF(INDEX(Input!$K$7:$K1503,ROW()-1),0,1),
            C121 + IF(INDEX(Input!$L$7:$L1503,ROW()-1),1,0),
            "Y"
          )
        )
      ) / 365,
    "Actual/Actual",
      YEARFRAC(
        B121 + IF(INDEX(Input!$K$7:$K1503,ROW()-1),0,1),
        C121 + IF(INDEX(Input!$L$7:$L1503,ROW()-1),1,0),
        1
      ),
      YEARFRAC(
        B121 + IF(INDEX(Input!$K$7:$K1503,ROW()-1),0,1),
        C121 + IF(INDEX(Input!$L$7:$L1503,ROW()-1),1,0),
        3
      )
  )
)</f>
        <v/>
      </c>
      <c r="S121" s="22" t="str">
        <f t="shared" si="4"/>
        <v/>
      </c>
      <c r="T121" s="6" t="str">
        <f t="array" ref="T121">IF(
  B121="",
  ,
  DATEDIF(
    B121 + IF(INDEX(Input!$K$7:$K1503,ROW()-1),0,1),
    C121 + IF(INDEX(Input!$L$7:$L1503,ROW()-1),1,0),
    "Y"
  )
)</f>
        <v/>
      </c>
      <c r="U121" s="6" t="str">
        <f t="array" ref="U121">IF(
  B121="",
  ,
  (C121 + IF(INDEX(Input!$L$7:$L1503,ROW()-1),1,0))
  - EDATE(
      B121 + IF(INDEX(Input!$K$7:$K1503,ROW()-1),0,1),
      12*S121
    )
)</f>
        <v/>
      </c>
      <c r="V121" s="6" t="str">
        <f t="shared" si="5"/>
        <v/>
      </c>
      <c r="W121" s="6" t="str">
        <f t="shared" si="6"/>
        <v/>
      </c>
    </row>
    <row r="122">
      <c r="A122" s="18"/>
      <c r="B122" s="18"/>
      <c r="C122" s="18"/>
      <c r="D122" s="18"/>
      <c r="E122" s="18"/>
      <c r="F122" s="18"/>
      <c r="G122" s="22"/>
      <c r="H122" s="18"/>
      <c r="I122" s="18">
        <v>0.0</v>
      </c>
      <c r="J122" s="18">
        <v>0.0</v>
      </c>
      <c r="K122" s="18"/>
      <c r="L122" s="18"/>
      <c r="M122" s="22" t="str">
        <f t="shared" si="1"/>
        <v/>
      </c>
      <c r="N122" s="18" t="str">
        <f>IF(A122="",,IF(ROW()=2, Input!$C$2 + I122, P121 + I122))</f>
        <v/>
      </c>
      <c r="O122" s="23" t="str">
        <f>IF(A122="",,
 IF(K122="Initial principal",
   Input!$C$2 * M122,
   N122 * M122
 )
)</f>
        <v/>
      </c>
      <c r="P122" s="18" t="str">
        <f t="shared" si="2"/>
        <v/>
      </c>
      <c r="Q122" s="18" t="str">
        <f t="shared" si="3"/>
        <v/>
      </c>
      <c r="R122" s="18" t="str">
        <f t="array" ref="R122">IF(
  B122="",
  ,
  SWITCH(
    Input!$C$4,
    "Actual/365 Fixed",
      YEARFRAC(
        B122 + IF(INDEX(Input!$K$7:$K1503,ROW()-1),0,1),
        C122 + IF(INDEX(Input!$L$7:$L1503,ROW()-1),1,0),
        3
      ),
    "Anniversary/365",
      DATEDIF(
        B122 + IF(INDEX(Input!$K$7:$K1503,ROW()-1),0,1),
        C122 + IF(INDEX(Input!$L$7:$L1503,ROW()-1),1,0),
        "Y"
      )
      +
      (
        (C122 + IF(INDEX(Input!$L$7:$L1503,ROW()-1),1,0))
        -
        EDATE(
          B122 + IF(INDEX(Input!$K$7:$K1503,ROW()-1),0,1),
          12*DATEDIF(
            B122 + IF(INDEX(Input!$K$7:$K1503,ROW()-1),0,1),
            C122 + IF(INDEX(Input!$L$7:$L1503,ROW()-1),1,0),
            "Y"
          )
        )
      ) / 365,
    "Actual/Actual",
      YEARFRAC(
        B122 + IF(INDEX(Input!$K$7:$K1503,ROW()-1),0,1),
        C122 + IF(INDEX(Input!$L$7:$L1503,ROW()-1),1,0),
        1
      ),
      YEARFRAC(
        B122 + IF(INDEX(Input!$K$7:$K1503,ROW()-1),0,1),
        C122 + IF(INDEX(Input!$L$7:$L1503,ROW()-1),1,0),
        3
      )
  )
)</f>
        <v/>
      </c>
      <c r="S122" s="22" t="str">
        <f t="shared" si="4"/>
        <v/>
      </c>
      <c r="T122" s="6" t="str">
        <f t="array" ref="T122">IF(
  B122="",
  ,
  DATEDIF(
    B122 + IF(INDEX(Input!$K$7:$K1503,ROW()-1),0,1),
    C122 + IF(INDEX(Input!$L$7:$L1503,ROW()-1),1,0),
    "Y"
  )
)</f>
        <v/>
      </c>
      <c r="U122" s="6" t="str">
        <f t="array" ref="U122">IF(
  B122="",
  ,
  (C122 + IF(INDEX(Input!$L$7:$L1503,ROW()-1),1,0))
  - EDATE(
      B122 + IF(INDEX(Input!$K$7:$K1503,ROW()-1),0,1),
      12*S122
    )
)</f>
        <v/>
      </c>
      <c r="V122" s="6" t="str">
        <f t="shared" si="5"/>
        <v/>
      </c>
      <c r="W122" s="6" t="str">
        <f t="shared" si="6"/>
        <v/>
      </c>
    </row>
    <row r="123">
      <c r="A123" s="18"/>
      <c r="B123" s="18"/>
      <c r="C123" s="18"/>
      <c r="D123" s="18"/>
      <c r="E123" s="18"/>
      <c r="F123" s="18"/>
      <c r="G123" s="22"/>
      <c r="H123" s="18"/>
      <c r="I123" s="18">
        <v>0.0</v>
      </c>
      <c r="J123" s="18">
        <v>0.0</v>
      </c>
      <c r="K123" s="18"/>
      <c r="L123" s="18"/>
      <c r="M123" s="22" t="str">
        <f t="shared" si="1"/>
        <v/>
      </c>
      <c r="N123" s="18" t="str">
        <f>IF(A123="",,IF(ROW()=2, Input!$C$2 + I123, P122 + I123))</f>
        <v/>
      </c>
      <c r="O123" s="23" t="str">
        <f>IF(A123="",,
 IF(K123="Initial principal",
   Input!$C$2 * M123,
   N123 * M123
 )
)</f>
        <v/>
      </c>
      <c r="P123" s="18" t="str">
        <f t="shared" si="2"/>
        <v/>
      </c>
      <c r="Q123" s="18" t="str">
        <f t="shared" si="3"/>
        <v/>
      </c>
      <c r="R123" s="18" t="str">
        <f t="array" ref="R123">IF(
  B123="",
  ,
  SWITCH(
    Input!$C$4,
    "Actual/365 Fixed",
      YEARFRAC(
        B123 + IF(INDEX(Input!$K$7:$K1503,ROW()-1),0,1),
        C123 + IF(INDEX(Input!$L$7:$L1503,ROW()-1),1,0),
        3
      ),
    "Anniversary/365",
      DATEDIF(
        B123 + IF(INDEX(Input!$K$7:$K1503,ROW()-1),0,1),
        C123 + IF(INDEX(Input!$L$7:$L1503,ROW()-1),1,0),
        "Y"
      )
      +
      (
        (C123 + IF(INDEX(Input!$L$7:$L1503,ROW()-1),1,0))
        -
        EDATE(
          B123 + IF(INDEX(Input!$K$7:$K1503,ROW()-1),0,1),
          12*DATEDIF(
            B123 + IF(INDEX(Input!$K$7:$K1503,ROW()-1),0,1),
            C123 + IF(INDEX(Input!$L$7:$L1503,ROW()-1),1,0),
            "Y"
          )
        )
      ) / 365,
    "Actual/Actual",
      YEARFRAC(
        B123 + IF(INDEX(Input!$K$7:$K1503,ROW()-1),0,1),
        C123 + IF(INDEX(Input!$L$7:$L1503,ROW()-1),1,0),
        1
      ),
      YEARFRAC(
        B123 + IF(INDEX(Input!$K$7:$K1503,ROW()-1),0,1),
        C123 + IF(INDEX(Input!$L$7:$L1503,ROW()-1),1,0),
        3
      )
  )
)</f>
        <v/>
      </c>
      <c r="S123" s="22" t="str">
        <f t="shared" si="4"/>
        <v/>
      </c>
      <c r="T123" s="6" t="str">
        <f t="array" ref="T123">IF(
  B123="",
  ,
  DATEDIF(
    B123 + IF(INDEX(Input!$K$7:$K1503,ROW()-1),0,1),
    C123 + IF(INDEX(Input!$L$7:$L1503,ROW()-1),1,0),
    "Y"
  )
)</f>
        <v/>
      </c>
      <c r="U123" s="6" t="str">
        <f t="array" ref="U123">IF(
  B123="",
  ,
  (C123 + IF(INDEX(Input!$L$7:$L1503,ROW()-1),1,0))
  - EDATE(
      B123 + IF(INDEX(Input!$K$7:$K1503,ROW()-1),0,1),
      12*S123
    )
)</f>
        <v/>
      </c>
      <c r="V123" s="6" t="str">
        <f t="shared" si="5"/>
        <v/>
      </c>
      <c r="W123" s="6" t="str">
        <f t="shared" si="6"/>
        <v/>
      </c>
    </row>
    <row r="124">
      <c r="A124" s="18"/>
      <c r="B124" s="18"/>
      <c r="C124" s="18"/>
      <c r="D124" s="18"/>
      <c r="E124" s="18"/>
      <c r="F124" s="18"/>
      <c r="G124" s="22"/>
      <c r="H124" s="18"/>
      <c r="I124" s="18">
        <v>0.0</v>
      </c>
      <c r="J124" s="18">
        <v>0.0</v>
      </c>
      <c r="K124" s="18"/>
      <c r="L124" s="18"/>
      <c r="M124" s="22" t="str">
        <f t="shared" si="1"/>
        <v/>
      </c>
      <c r="N124" s="18" t="str">
        <f>IF(A124="",,IF(ROW()=2, Input!$C$2 + I124, P123 + I124))</f>
        <v/>
      </c>
      <c r="O124" s="23" t="str">
        <f>IF(A124="",,
 IF(K124="Initial principal",
   Input!$C$2 * M124,
   N124 * M124
 )
)</f>
        <v/>
      </c>
      <c r="P124" s="18" t="str">
        <f t="shared" si="2"/>
        <v/>
      </c>
      <c r="Q124" s="18" t="str">
        <f t="shared" si="3"/>
        <v/>
      </c>
      <c r="R124" s="18" t="str">
        <f t="array" ref="R124">IF(
  B124="",
  ,
  SWITCH(
    Input!$C$4,
    "Actual/365 Fixed",
      YEARFRAC(
        B124 + IF(INDEX(Input!$K$7:$K1503,ROW()-1),0,1),
        C124 + IF(INDEX(Input!$L$7:$L1503,ROW()-1),1,0),
        3
      ),
    "Anniversary/365",
      DATEDIF(
        B124 + IF(INDEX(Input!$K$7:$K1503,ROW()-1),0,1),
        C124 + IF(INDEX(Input!$L$7:$L1503,ROW()-1),1,0),
        "Y"
      )
      +
      (
        (C124 + IF(INDEX(Input!$L$7:$L1503,ROW()-1),1,0))
        -
        EDATE(
          B124 + IF(INDEX(Input!$K$7:$K1503,ROW()-1),0,1),
          12*DATEDIF(
            B124 + IF(INDEX(Input!$K$7:$K1503,ROW()-1),0,1),
            C124 + IF(INDEX(Input!$L$7:$L1503,ROW()-1),1,0),
            "Y"
          )
        )
      ) / 365,
    "Actual/Actual",
      YEARFRAC(
        B124 + IF(INDEX(Input!$K$7:$K1503,ROW()-1),0,1),
        C124 + IF(INDEX(Input!$L$7:$L1503,ROW()-1),1,0),
        1
      ),
      YEARFRAC(
        B124 + IF(INDEX(Input!$K$7:$K1503,ROW()-1),0,1),
        C124 + IF(INDEX(Input!$L$7:$L1503,ROW()-1),1,0),
        3
      )
  )
)</f>
        <v/>
      </c>
      <c r="S124" s="22" t="str">
        <f t="shared" si="4"/>
        <v/>
      </c>
      <c r="T124" s="6" t="str">
        <f t="array" ref="T124">IF(
  B124="",
  ,
  DATEDIF(
    B124 + IF(INDEX(Input!$K$7:$K1503,ROW()-1),0,1),
    C124 + IF(INDEX(Input!$L$7:$L1503,ROW()-1),1,0),
    "Y"
  )
)</f>
        <v/>
      </c>
      <c r="U124" s="6" t="str">
        <f t="array" ref="U124">IF(
  B124="",
  ,
  (C124 + IF(INDEX(Input!$L$7:$L1503,ROW()-1),1,0))
  - EDATE(
      B124 + IF(INDEX(Input!$K$7:$K1503,ROW()-1),0,1),
      12*S124
    )
)</f>
        <v/>
      </c>
      <c r="V124" s="6" t="str">
        <f t="shared" si="5"/>
        <v/>
      </c>
      <c r="W124" s="6" t="str">
        <f t="shared" si="6"/>
        <v/>
      </c>
    </row>
    <row r="125">
      <c r="A125" s="18"/>
      <c r="B125" s="18"/>
      <c r="C125" s="18"/>
      <c r="D125" s="18"/>
      <c r="E125" s="18"/>
      <c r="F125" s="18"/>
      <c r="G125" s="22"/>
      <c r="H125" s="18"/>
      <c r="I125" s="18">
        <v>0.0</v>
      </c>
      <c r="J125" s="18">
        <v>0.0</v>
      </c>
      <c r="K125" s="18"/>
      <c r="L125" s="18"/>
      <c r="M125" s="22" t="str">
        <f t="shared" si="1"/>
        <v/>
      </c>
      <c r="N125" s="18" t="str">
        <f>IF(A125="",,IF(ROW()=2, Input!$C$2 + I125, P124 + I125))</f>
        <v/>
      </c>
      <c r="O125" s="23" t="str">
        <f>IF(A125="",,
 IF(K125="Initial principal",
   Input!$C$2 * M125,
   N125 * M125
 )
)</f>
        <v/>
      </c>
      <c r="P125" s="18" t="str">
        <f t="shared" si="2"/>
        <v/>
      </c>
      <c r="Q125" s="18" t="str">
        <f t="shared" si="3"/>
        <v/>
      </c>
      <c r="R125" s="18" t="str">
        <f t="array" ref="R125">IF(
  B125="",
  ,
  SWITCH(
    Input!$C$4,
    "Actual/365 Fixed",
      YEARFRAC(
        B125 + IF(INDEX(Input!$K$7:$K1503,ROW()-1),0,1),
        C125 + IF(INDEX(Input!$L$7:$L1503,ROW()-1),1,0),
        3
      ),
    "Anniversary/365",
      DATEDIF(
        B125 + IF(INDEX(Input!$K$7:$K1503,ROW()-1),0,1),
        C125 + IF(INDEX(Input!$L$7:$L1503,ROW()-1),1,0),
        "Y"
      )
      +
      (
        (C125 + IF(INDEX(Input!$L$7:$L1503,ROW()-1),1,0))
        -
        EDATE(
          B125 + IF(INDEX(Input!$K$7:$K1503,ROW()-1),0,1),
          12*DATEDIF(
            B125 + IF(INDEX(Input!$K$7:$K1503,ROW()-1),0,1),
            C125 + IF(INDEX(Input!$L$7:$L1503,ROW()-1),1,0),
            "Y"
          )
        )
      ) / 365,
    "Actual/Actual",
      YEARFRAC(
        B125 + IF(INDEX(Input!$K$7:$K1503,ROW()-1),0,1),
        C125 + IF(INDEX(Input!$L$7:$L1503,ROW()-1),1,0),
        1
      ),
      YEARFRAC(
        B125 + IF(INDEX(Input!$K$7:$K1503,ROW()-1),0,1),
        C125 + IF(INDEX(Input!$L$7:$L1503,ROW()-1),1,0),
        3
      )
  )
)</f>
        <v/>
      </c>
      <c r="S125" s="22" t="str">
        <f t="shared" si="4"/>
        <v/>
      </c>
      <c r="T125" s="6" t="str">
        <f t="array" ref="T125">IF(
  B125="",
  ,
  DATEDIF(
    B125 + IF(INDEX(Input!$K$7:$K1503,ROW()-1),0,1),
    C125 + IF(INDEX(Input!$L$7:$L1503,ROW()-1),1,0),
    "Y"
  )
)</f>
        <v/>
      </c>
      <c r="U125" s="6" t="str">
        <f t="array" ref="U125">IF(
  B125="",
  ,
  (C125 + IF(INDEX(Input!$L$7:$L1503,ROW()-1),1,0))
  - EDATE(
      B125 + IF(INDEX(Input!$K$7:$K1503,ROW()-1),0,1),
      12*S125
    )
)</f>
        <v/>
      </c>
      <c r="V125" s="6" t="str">
        <f t="shared" si="5"/>
        <v/>
      </c>
      <c r="W125" s="6" t="str">
        <f t="shared" si="6"/>
        <v/>
      </c>
    </row>
    <row r="126">
      <c r="A126" s="18"/>
      <c r="B126" s="18"/>
      <c r="C126" s="18"/>
      <c r="D126" s="18"/>
      <c r="E126" s="18"/>
      <c r="F126" s="18"/>
      <c r="G126" s="22"/>
      <c r="H126" s="18"/>
      <c r="I126" s="18">
        <v>0.0</v>
      </c>
      <c r="J126" s="18">
        <v>0.0</v>
      </c>
      <c r="K126" s="18"/>
      <c r="L126" s="18"/>
      <c r="M126" s="22" t="str">
        <f t="shared" si="1"/>
        <v/>
      </c>
      <c r="N126" s="18" t="str">
        <f>IF(A126="",,IF(ROW()=2, Input!$C$2 + I126, P125 + I126))</f>
        <v/>
      </c>
      <c r="O126" s="23" t="str">
        <f>IF(A126="",,
 IF(K126="Initial principal",
   Input!$C$2 * M126,
   N126 * M126
 )
)</f>
        <v/>
      </c>
      <c r="P126" s="18" t="str">
        <f t="shared" si="2"/>
        <v/>
      </c>
      <c r="Q126" s="18" t="str">
        <f t="shared" si="3"/>
        <v/>
      </c>
      <c r="R126" s="18" t="str">
        <f t="array" ref="R126">IF(
  B126="",
  ,
  SWITCH(
    Input!$C$4,
    "Actual/365 Fixed",
      YEARFRAC(
        B126 + IF(INDEX(Input!$K$7:$K1503,ROW()-1),0,1),
        C126 + IF(INDEX(Input!$L$7:$L1503,ROW()-1),1,0),
        3
      ),
    "Anniversary/365",
      DATEDIF(
        B126 + IF(INDEX(Input!$K$7:$K1503,ROW()-1),0,1),
        C126 + IF(INDEX(Input!$L$7:$L1503,ROW()-1),1,0),
        "Y"
      )
      +
      (
        (C126 + IF(INDEX(Input!$L$7:$L1503,ROW()-1),1,0))
        -
        EDATE(
          B126 + IF(INDEX(Input!$K$7:$K1503,ROW()-1),0,1),
          12*DATEDIF(
            B126 + IF(INDEX(Input!$K$7:$K1503,ROW()-1),0,1),
            C126 + IF(INDEX(Input!$L$7:$L1503,ROW()-1),1,0),
            "Y"
          )
        )
      ) / 365,
    "Actual/Actual",
      YEARFRAC(
        B126 + IF(INDEX(Input!$K$7:$K1503,ROW()-1),0,1),
        C126 + IF(INDEX(Input!$L$7:$L1503,ROW()-1),1,0),
        1
      ),
      YEARFRAC(
        B126 + IF(INDEX(Input!$K$7:$K1503,ROW()-1),0,1),
        C126 + IF(INDEX(Input!$L$7:$L1503,ROW()-1),1,0),
        3
      )
  )
)</f>
        <v/>
      </c>
      <c r="S126" s="22" t="str">
        <f t="shared" si="4"/>
        <v/>
      </c>
      <c r="T126" s="6" t="str">
        <f t="array" ref="T126">IF(
  B126="",
  ,
  DATEDIF(
    B126 + IF(INDEX(Input!$K$7:$K1503,ROW()-1),0,1),
    C126 + IF(INDEX(Input!$L$7:$L1503,ROW()-1),1,0),
    "Y"
  )
)</f>
        <v/>
      </c>
      <c r="U126" s="6" t="str">
        <f t="array" ref="U126">IF(
  B126="",
  ,
  (C126 + IF(INDEX(Input!$L$7:$L1503,ROW()-1),1,0))
  - EDATE(
      B126 + IF(INDEX(Input!$K$7:$K1503,ROW()-1),0,1),
      12*S126
    )
)</f>
        <v/>
      </c>
      <c r="V126" s="6" t="str">
        <f t="shared" si="5"/>
        <v/>
      </c>
      <c r="W126" s="6" t="str">
        <f t="shared" si="6"/>
        <v/>
      </c>
    </row>
    <row r="127">
      <c r="A127" s="18"/>
      <c r="B127" s="18"/>
      <c r="C127" s="18"/>
      <c r="D127" s="18"/>
      <c r="E127" s="18"/>
      <c r="F127" s="18"/>
      <c r="G127" s="22"/>
      <c r="H127" s="18"/>
      <c r="I127" s="18">
        <v>0.0</v>
      </c>
      <c r="J127" s="18">
        <v>0.0</v>
      </c>
      <c r="K127" s="18"/>
      <c r="L127" s="18"/>
      <c r="M127" s="22" t="str">
        <f t="shared" si="1"/>
        <v/>
      </c>
      <c r="N127" s="18" t="str">
        <f>IF(A127="",,IF(ROW()=2, Input!$C$2 + I127, P126 + I127))</f>
        <v/>
      </c>
      <c r="O127" s="23" t="str">
        <f>IF(A127="",,
 IF(K127="Initial principal",
   Input!$C$2 * M127,
   N127 * M127
 )
)</f>
        <v/>
      </c>
      <c r="P127" s="18" t="str">
        <f t="shared" si="2"/>
        <v/>
      </c>
      <c r="Q127" s="18" t="str">
        <f t="shared" si="3"/>
        <v/>
      </c>
      <c r="R127" s="18" t="str">
        <f t="array" ref="R127">IF(
  B127="",
  ,
  SWITCH(
    Input!$C$4,
    "Actual/365 Fixed",
      YEARFRAC(
        B127 + IF(INDEX(Input!$K$7:$K1503,ROW()-1),0,1),
        C127 + IF(INDEX(Input!$L$7:$L1503,ROW()-1),1,0),
        3
      ),
    "Anniversary/365",
      DATEDIF(
        B127 + IF(INDEX(Input!$K$7:$K1503,ROW()-1),0,1),
        C127 + IF(INDEX(Input!$L$7:$L1503,ROW()-1),1,0),
        "Y"
      )
      +
      (
        (C127 + IF(INDEX(Input!$L$7:$L1503,ROW()-1),1,0))
        -
        EDATE(
          B127 + IF(INDEX(Input!$K$7:$K1503,ROW()-1),0,1),
          12*DATEDIF(
            B127 + IF(INDEX(Input!$K$7:$K1503,ROW()-1),0,1),
            C127 + IF(INDEX(Input!$L$7:$L1503,ROW()-1),1,0),
            "Y"
          )
        )
      ) / 365,
    "Actual/Actual",
      YEARFRAC(
        B127 + IF(INDEX(Input!$K$7:$K1503,ROW()-1),0,1),
        C127 + IF(INDEX(Input!$L$7:$L1503,ROW()-1),1,0),
        1
      ),
      YEARFRAC(
        B127 + IF(INDEX(Input!$K$7:$K1503,ROW()-1),0,1),
        C127 + IF(INDEX(Input!$L$7:$L1503,ROW()-1),1,0),
        3
      )
  )
)</f>
        <v/>
      </c>
      <c r="S127" s="22" t="str">
        <f t="shared" si="4"/>
        <v/>
      </c>
      <c r="T127" s="6" t="str">
        <f t="array" ref="T127">IF(
  B127="",
  ,
  DATEDIF(
    B127 + IF(INDEX(Input!$K$7:$K1503,ROW()-1),0,1),
    C127 + IF(INDEX(Input!$L$7:$L1503,ROW()-1),1,0),
    "Y"
  )
)</f>
        <v/>
      </c>
      <c r="U127" s="6" t="str">
        <f t="array" ref="U127">IF(
  B127="",
  ,
  (C127 + IF(INDEX(Input!$L$7:$L1503,ROW()-1),1,0))
  - EDATE(
      B127 + IF(INDEX(Input!$K$7:$K1503,ROW()-1),0,1),
      12*S127
    )
)</f>
        <v/>
      </c>
      <c r="V127" s="6" t="str">
        <f t="shared" si="5"/>
        <v/>
      </c>
      <c r="W127" s="6" t="str">
        <f t="shared" si="6"/>
        <v/>
      </c>
    </row>
    <row r="128">
      <c r="A128" s="18"/>
      <c r="B128" s="18"/>
      <c r="C128" s="18"/>
      <c r="D128" s="18"/>
      <c r="E128" s="18"/>
      <c r="F128" s="18"/>
      <c r="G128" s="22"/>
      <c r="H128" s="18"/>
      <c r="I128" s="18">
        <v>0.0</v>
      </c>
      <c r="J128" s="18">
        <v>0.0</v>
      </c>
      <c r="K128" s="18"/>
      <c r="L128" s="18"/>
      <c r="M128" s="22" t="str">
        <f t="shared" si="1"/>
        <v/>
      </c>
      <c r="N128" s="18" t="str">
        <f>IF(A128="",,IF(ROW()=2, Input!$C$2 + I128, P127 + I128))</f>
        <v/>
      </c>
      <c r="O128" s="23" t="str">
        <f>IF(A128="",,
 IF(K128="Initial principal",
   Input!$C$2 * M128,
   N128 * M128
 )
)</f>
        <v/>
      </c>
      <c r="P128" s="18" t="str">
        <f t="shared" si="2"/>
        <v/>
      </c>
      <c r="Q128" s="18" t="str">
        <f t="shared" si="3"/>
        <v/>
      </c>
      <c r="R128" s="18" t="str">
        <f t="array" ref="R128">IF(
  B128="",
  ,
  SWITCH(
    Input!$C$4,
    "Actual/365 Fixed",
      YEARFRAC(
        B128 + IF(INDEX(Input!$K$7:$K1503,ROW()-1),0,1),
        C128 + IF(INDEX(Input!$L$7:$L1503,ROW()-1),1,0),
        3
      ),
    "Anniversary/365",
      DATEDIF(
        B128 + IF(INDEX(Input!$K$7:$K1503,ROW()-1),0,1),
        C128 + IF(INDEX(Input!$L$7:$L1503,ROW()-1),1,0),
        "Y"
      )
      +
      (
        (C128 + IF(INDEX(Input!$L$7:$L1503,ROW()-1),1,0))
        -
        EDATE(
          B128 + IF(INDEX(Input!$K$7:$K1503,ROW()-1),0,1),
          12*DATEDIF(
            B128 + IF(INDEX(Input!$K$7:$K1503,ROW()-1),0,1),
            C128 + IF(INDEX(Input!$L$7:$L1503,ROW()-1),1,0),
            "Y"
          )
        )
      ) / 365,
    "Actual/Actual",
      YEARFRAC(
        B128 + IF(INDEX(Input!$K$7:$K1503,ROW()-1),0,1),
        C128 + IF(INDEX(Input!$L$7:$L1503,ROW()-1),1,0),
        1
      ),
      YEARFRAC(
        B128 + IF(INDEX(Input!$K$7:$K1503,ROW()-1),0,1),
        C128 + IF(INDEX(Input!$L$7:$L1503,ROW()-1),1,0),
        3
      )
  )
)</f>
        <v/>
      </c>
      <c r="S128" s="22" t="str">
        <f t="shared" si="4"/>
        <v/>
      </c>
      <c r="T128" s="6" t="str">
        <f t="array" ref="T128">IF(
  B128="",
  ,
  DATEDIF(
    B128 + IF(INDEX(Input!$K$7:$K1503,ROW()-1),0,1),
    C128 + IF(INDEX(Input!$L$7:$L1503,ROW()-1),1,0),
    "Y"
  )
)</f>
        <v/>
      </c>
      <c r="U128" s="6" t="str">
        <f t="array" ref="U128">IF(
  B128="",
  ,
  (C128 + IF(INDEX(Input!$L$7:$L1503,ROW()-1),1,0))
  - EDATE(
      B128 + IF(INDEX(Input!$K$7:$K1503,ROW()-1),0,1),
      12*S128
    )
)</f>
        <v/>
      </c>
      <c r="V128" s="6" t="str">
        <f t="shared" si="5"/>
        <v/>
      </c>
      <c r="W128" s="6" t="str">
        <f t="shared" si="6"/>
        <v/>
      </c>
    </row>
    <row r="129">
      <c r="A129" s="18"/>
      <c r="B129" s="18"/>
      <c r="C129" s="18"/>
      <c r="D129" s="18"/>
      <c r="E129" s="18"/>
      <c r="F129" s="18"/>
      <c r="G129" s="22"/>
      <c r="H129" s="18"/>
      <c r="I129" s="18">
        <v>0.0</v>
      </c>
      <c r="J129" s="18">
        <v>0.0</v>
      </c>
      <c r="K129" s="18"/>
      <c r="L129" s="18"/>
      <c r="M129" s="22" t="str">
        <f t="shared" si="1"/>
        <v/>
      </c>
      <c r="N129" s="18" t="str">
        <f>IF(A129="",,IF(ROW()=2, Input!$C$2 + I129, P128 + I129))</f>
        <v/>
      </c>
      <c r="O129" s="23" t="str">
        <f>IF(A129="",,
 IF(K129="Initial principal",
   Input!$C$2 * M129,
   N129 * M129
 )
)</f>
        <v/>
      </c>
      <c r="P129" s="18" t="str">
        <f t="shared" si="2"/>
        <v/>
      </c>
      <c r="Q129" s="18" t="str">
        <f t="shared" si="3"/>
        <v/>
      </c>
      <c r="R129" s="18" t="str">
        <f t="array" ref="R129">IF(
  B129="",
  ,
  SWITCH(
    Input!$C$4,
    "Actual/365 Fixed",
      YEARFRAC(
        B129 + IF(INDEX(Input!$K$7:$K1503,ROW()-1),0,1),
        C129 + IF(INDEX(Input!$L$7:$L1503,ROW()-1),1,0),
        3
      ),
    "Anniversary/365",
      DATEDIF(
        B129 + IF(INDEX(Input!$K$7:$K1503,ROW()-1),0,1),
        C129 + IF(INDEX(Input!$L$7:$L1503,ROW()-1),1,0),
        "Y"
      )
      +
      (
        (C129 + IF(INDEX(Input!$L$7:$L1503,ROW()-1),1,0))
        -
        EDATE(
          B129 + IF(INDEX(Input!$K$7:$K1503,ROW()-1),0,1),
          12*DATEDIF(
            B129 + IF(INDEX(Input!$K$7:$K1503,ROW()-1),0,1),
            C129 + IF(INDEX(Input!$L$7:$L1503,ROW()-1),1,0),
            "Y"
          )
        )
      ) / 365,
    "Actual/Actual",
      YEARFRAC(
        B129 + IF(INDEX(Input!$K$7:$K1503,ROW()-1),0,1),
        C129 + IF(INDEX(Input!$L$7:$L1503,ROW()-1),1,0),
        1
      ),
      YEARFRAC(
        B129 + IF(INDEX(Input!$K$7:$K1503,ROW()-1),0,1),
        C129 + IF(INDEX(Input!$L$7:$L1503,ROW()-1),1,0),
        3
      )
  )
)</f>
        <v/>
      </c>
      <c r="S129" s="22" t="str">
        <f t="shared" si="4"/>
        <v/>
      </c>
      <c r="T129" s="6" t="str">
        <f t="array" ref="T129">IF(
  B129="",
  ,
  DATEDIF(
    B129 + IF(INDEX(Input!$K$7:$K1503,ROW()-1),0,1),
    C129 + IF(INDEX(Input!$L$7:$L1503,ROW()-1),1,0),
    "Y"
  )
)</f>
        <v/>
      </c>
      <c r="U129" s="6" t="str">
        <f t="array" ref="U129">IF(
  B129="",
  ,
  (C129 + IF(INDEX(Input!$L$7:$L1503,ROW()-1),1,0))
  - EDATE(
      B129 + IF(INDEX(Input!$K$7:$K1503,ROW()-1),0,1),
      12*S129
    )
)</f>
        <v/>
      </c>
      <c r="V129" s="6" t="str">
        <f t="shared" si="5"/>
        <v/>
      </c>
      <c r="W129" s="6" t="str">
        <f t="shared" si="6"/>
        <v/>
      </c>
    </row>
    <row r="130">
      <c r="A130" s="18"/>
      <c r="B130" s="18"/>
      <c r="C130" s="18"/>
      <c r="D130" s="18"/>
      <c r="E130" s="18"/>
      <c r="F130" s="18"/>
      <c r="G130" s="22"/>
      <c r="H130" s="18"/>
      <c r="I130" s="18">
        <v>0.0</v>
      </c>
      <c r="J130" s="18">
        <v>0.0</v>
      </c>
      <c r="K130" s="18"/>
      <c r="L130" s="18"/>
      <c r="M130" s="22" t="str">
        <f t="shared" si="1"/>
        <v/>
      </c>
      <c r="N130" s="18" t="str">
        <f>IF(A130="",,IF(ROW()=2, Input!$C$2 + I130, P129 + I130))</f>
        <v/>
      </c>
      <c r="O130" s="23" t="str">
        <f>IF(A130="",,
 IF(K130="Initial principal",
   Input!$C$2 * M130,
   N130 * M130
 )
)</f>
        <v/>
      </c>
      <c r="P130" s="18" t="str">
        <f t="shared" si="2"/>
        <v/>
      </c>
      <c r="Q130" s="18" t="str">
        <f t="shared" si="3"/>
        <v/>
      </c>
      <c r="R130" s="18" t="str">
        <f t="array" ref="R130">IF(
  B130="",
  ,
  SWITCH(
    Input!$C$4,
    "Actual/365 Fixed",
      YEARFRAC(
        B130 + IF(INDEX(Input!$K$7:$K1503,ROW()-1),0,1),
        C130 + IF(INDEX(Input!$L$7:$L1503,ROW()-1),1,0),
        3
      ),
    "Anniversary/365",
      DATEDIF(
        B130 + IF(INDEX(Input!$K$7:$K1503,ROW()-1),0,1),
        C130 + IF(INDEX(Input!$L$7:$L1503,ROW()-1),1,0),
        "Y"
      )
      +
      (
        (C130 + IF(INDEX(Input!$L$7:$L1503,ROW()-1),1,0))
        -
        EDATE(
          B130 + IF(INDEX(Input!$K$7:$K1503,ROW()-1),0,1),
          12*DATEDIF(
            B130 + IF(INDEX(Input!$K$7:$K1503,ROW()-1),0,1),
            C130 + IF(INDEX(Input!$L$7:$L1503,ROW()-1),1,0),
            "Y"
          )
        )
      ) / 365,
    "Actual/Actual",
      YEARFRAC(
        B130 + IF(INDEX(Input!$K$7:$K1503,ROW()-1),0,1),
        C130 + IF(INDEX(Input!$L$7:$L1503,ROW()-1),1,0),
        1
      ),
      YEARFRAC(
        B130 + IF(INDEX(Input!$K$7:$K1503,ROW()-1),0,1),
        C130 + IF(INDEX(Input!$L$7:$L1503,ROW()-1),1,0),
        3
      )
  )
)</f>
        <v/>
      </c>
      <c r="S130" s="22" t="str">
        <f t="shared" si="4"/>
        <v/>
      </c>
      <c r="T130" s="6" t="str">
        <f t="array" ref="T130">IF(
  B130="",
  ,
  DATEDIF(
    B130 + IF(INDEX(Input!$K$7:$K1503,ROW()-1),0,1),
    C130 + IF(INDEX(Input!$L$7:$L1503,ROW()-1),1,0),
    "Y"
  )
)</f>
        <v/>
      </c>
      <c r="U130" s="6" t="str">
        <f t="array" ref="U130">IF(
  B130="",
  ,
  (C130 + IF(INDEX(Input!$L$7:$L1503,ROW()-1),1,0))
  - EDATE(
      B130 + IF(INDEX(Input!$K$7:$K1503,ROW()-1),0,1),
      12*S130
    )
)</f>
        <v/>
      </c>
      <c r="V130" s="6" t="str">
        <f t="shared" si="5"/>
        <v/>
      </c>
      <c r="W130" s="6" t="str">
        <f t="shared" si="6"/>
        <v/>
      </c>
    </row>
    <row r="131">
      <c r="A131" s="18"/>
      <c r="B131" s="18"/>
      <c r="C131" s="18"/>
      <c r="D131" s="18"/>
      <c r="E131" s="18"/>
      <c r="F131" s="18"/>
      <c r="G131" s="22"/>
      <c r="H131" s="18"/>
      <c r="I131" s="18">
        <v>0.0</v>
      </c>
      <c r="J131" s="18">
        <v>0.0</v>
      </c>
      <c r="K131" s="18"/>
      <c r="L131" s="18"/>
      <c r="M131" s="22" t="str">
        <f t="shared" si="1"/>
        <v/>
      </c>
      <c r="N131" s="18" t="str">
        <f>IF(A131="",,IF(ROW()=2, Input!$C$2 + I131, P130 + I131))</f>
        <v/>
      </c>
      <c r="O131" s="23" t="str">
        <f>IF(A131="",,
 IF(K131="Initial principal",
   Input!$C$2 * M131,
   N131 * M131
 )
)</f>
        <v/>
      </c>
      <c r="P131" s="18" t="str">
        <f t="shared" si="2"/>
        <v/>
      </c>
      <c r="Q131" s="18" t="str">
        <f t="shared" si="3"/>
        <v/>
      </c>
      <c r="R131" s="18" t="str">
        <f t="array" ref="R131">IF(
  B131="",
  ,
  SWITCH(
    Input!$C$4,
    "Actual/365 Fixed",
      YEARFRAC(
        B131 + IF(INDEX(Input!$K$7:$K1503,ROW()-1),0,1),
        C131 + IF(INDEX(Input!$L$7:$L1503,ROW()-1),1,0),
        3
      ),
    "Anniversary/365",
      DATEDIF(
        B131 + IF(INDEX(Input!$K$7:$K1503,ROW()-1),0,1),
        C131 + IF(INDEX(Input!$L$7:$L1503,ROW()-1),1,0),
        "Y"
      )
      +
      (
        (C131 + IF(INDEX(Input!$L$7:$L1503,ROW()-1),1,0))
        -
        EDATE(
          B131 + IF(INDEX(Input!$K$7:$K1503,ROW()-1),0,1),
          12*DATEDIF(
            B131 + IF(INDEX(Input!$K$7:$K1503,ROW()-1),0,1),
            C131 + IF(INDEX(Input!$L$7:$L1503,ROW()-1),1,0),
            "Y"
          )
        )
      ) / 365,
    "Actual/Actual",
      YEARFRAC(
        B131 + IF(INDEX(Input!$K$7:$K1503,ROW()-1),0,1),
        C131 + IF(INDEX(Input!$L$7:$L1503,ROW()-1),1,0),
        1
      ),
      YEARFRAC(
        B131 + IF(INDEX(Input!$K$7:$K1503,ROW()-1),0,1),
        C131 + IF(INDEX(Input!$L$7:$L1503,ROW()-1),1,0),
        3
      )
  )
)</f>
        <v/>
      </c>
      <c r="S131" s="22" t="str">
        <f t="shared" si="4"/>
        <v/>
      </c>
      <c r="T131" s="6" t="str">
        <f t="array" ref="T131">IF(
  B131="",
  ,
  DATEDIF(
    B131 + IF(INDEX(Input!$K$7:$K1503,ROW()-1),0,1),
    C131 + IF(INDEX(Input!$L$7:$L1503,ROW()-1),1,0),
    "Y"
  )
)</f>
        <v/>
      </c>
      <c r="U131" s="6" t="str">
        <f t="array" ref="U131">IF(
  B131="",
  ,
  (C131 + IF(INDEX(Input!$L$7:$L1503,ROW()-1),1,0))
  - EDATE(
      B131 + IF(INDEX(Input!$K$7:$K1503,ROW()-1),0,1),
      12*S131
    )
)</f>
        <v/>
      </c>
      <c r="V131" s="6" t="str">
        <f t="shared" si="5"/>
        <v/>
      </c>
      <c r="W131" s="6" t="str">
        <f t="shared" si="6"/>
        <v/>
      </c>
    </row>
    <row r="132">
      <c r="A132" s="18"/>
      <c r="B132" s="18"/>
      <c r="C132" s="18"/>
      <c r="D132" s="18"/>
      <c r="E132" s="18"/>
      <c r="F132" s="18"/>
      <c r="G132" s="22"/>
      <c r="H132" s="18"/>
      <c r="I132" s="18">
        <v>0.0</v>
      </c>
      <c r="J132" s="18">
        <v>0.0</v>
      </c>
      <c r="K132" s="18"/>
      <c r="L132" s="18"/>
      <c r="M132" s="22" t="str">
        <f t="shared" si="1"/>
        <v/>
      </c>
      <c r="N132" s="18" t="str">
        <f>IF(A132="",,IF(ROW()=2, Input!$C$2 + I132, P131 + I132))</f>
        <v/>
      </c>
      <c r="O132" s="23" t="str">
        <f>IF(A132="",,
 IF(K132="Initial principal",
   Input!$C$2 * M132,
   N132 * M132
 )
)</f>
        <v/>
      </c>
      <c r="P132" s="18" t="str">
        <f t="shared" si="2"/>
        <v/>
      </c>
      <c r="Q132" s="18" t="str">
        <f t="shared" si="3"/>
        <v/>
      </c>
      <c r="R132" s="18" t="str">
        <f t="array" ref="R132">IF(
  B132="",
  ,
  SWITCH(
    Input!$C$4,
    "Actual/365 Fixed",
      YEARFRAC(
        B132 + IF(INDEX(Input!$K$7:$K1503,ROW()-1),0,1),
        C132 + IF(INDEX(Input!$L$7:$L1503,ROW()-1),1,0),
        3
      ),
    "Anniversary/365",
      DATEDIF(
        B132 + IF(INDEX(Input!$K$7:$K1503,ROW()-1),0,1),
        C132 + IF(INDEX(Input!$L$7:$L1503,ROW()-1),1,0),
        "Y"
      )
      +
      (
        (C132 + IF(INDEX(Input!$L$7:$L1503,ROW()-1),1,0))
        -
        EDATE(
          B132 + IF(INDEX(Input!$K$7:$K1503,ROW()-1),0,1),
          12*DATEDIF(
            B132 + IF(INDEX(Input!$K$7:$K1503,ROW()-1),0,1),
            C132 + IF(INDEX(Input!$L$7:$L1503,ROW()-1),1,0),
            "Y"
          )
        )
      ) / 365,
    "Actual/Actual",
      YEARFRAC(
        B132 + IF(INDEX(Input!$K$7:$K1503,ROW()-1),0,1),
        C132 + IF(INDEX(Input!$L$7:$L1503,ROW()-1),1,0),
        1
      ),
      YEARFRAC(
        B132 + IF(INDEX(Input!$K$7:$K1503,ROW()-1),0,1),
        C132 + IF(INDEX(Input!$L$7:$L1503,ROW()-1),1,0),
        3
      )
  )
)</f>
        <v/>
      </c>
      <c r="S132" s="22" t="str">
        <f t="shared" si="4"/>
        <v/>
      </c>
      <c r="T132" s="6" t="str">
        <f t="array" ref="T132">IF(
  B132="",
  ,
  DATEDIF(
    B132 + IF(INDEX(Input!$K$7:$K1503,ROW()-1),0,1),
    C132 + IF(INDEX(Input!$L$7:$L1503,ROW()-1),1,0),
    "Y"
  )
)</f>
        <v/>
      </c>
      <c r="U132" s="6" t="str">
        <f t="array" ref="U132">IF(
  B132="",
  ,
  (C132 + IF(INDEX(Input!$L$7:$L1503,ROW()-1),1,0))
  - EDATE(
      B132 + IF(INDEX(Input!$K$7:$K1503,ROW()-1),0,1),
      12*S132
    )
)</f>
        <v/>
      </c>
      <c r="V132" s="6" t="str">
        <f t="shared" si="5"/>
        <v/>
      </c>
      <c r="W132" s="6" t="str">
        <f t="shared" si="6"/>
        <v/>
      </c>
    </row>
    <row r="133">
      <c r="A133" s="18"/>
      <c r="B133" s="18"/>
      <c r="C133" s="18"/>
      <c r="D133" s="18"/>
      <c r="E133" s="18"/>
      <c r="F133" s="18"/>
      <c r="G133" s="22"/>
      <c r="H133" s="18"/>
      <c r="I133" s="18">
        <v>0.0</v>
      </c>
      <c r="J133" s="18">
        <v>0.0</v>
      </c>
      <c r="K133" s="18"/>
      <c r="L133" s="18"/>
      <c r="M133" s="22" t="str">
        <f t="shared" si="1"/>
        <v/>
      </c>
      <c r="N133" s="18" t="str">
        <f>IF(A133="",,IF(ROW()=2, Input!$C$2 + I133, P132 + I133))</f>
        <v/>
      </c>
      <c r="O133" s="23" t="str">
        <f>IF(A133="",,
 IF(K133="Initial principal",
   Input!$C$2 * M133,
   N133 * M133
 )
)</f>
        <v/>
      </c>
      <c r="P133" s="18" t="str">
        <f t="shared" si="2"/>
        <v/>
      </c>
      <c r="Q133" s="18" t="str">
        <f t="shared" si="3"/>
        <v/>
      </c>
      <c r="R133" s="18" t="str">
        <f t="array" ref="R133">IF(
  B133="",
  ,
  SWITCH(
    Input!$C$4,
    "Actual/365 Fixed",
      YEARFRAC(
        B133 + IF(INDEX(Input!$K$7:$K1503,ROW()-1),0,1),
        C133 + IF(INDEX(Input!$L$7:$L1503,ROW()-1),1,0),
        3
      ),
    "Anniversary/365",
      DATEDIF(
        B133 + IF(INDEX(Input!$K$7:$K1503,ROW()-1),0,1),
        C133 + IF(INDEX(Input!$L$7:$L1503,ROW()-1),1,0),
        "Y"
      )
      +
      (
        (C133 + IF(INDEX(Input!$L$7:$L1503,ROW()-1),1,0))
        -
        EDATE(
          B133 + IF(INDEX(Input!$K$7:$K1503,ROW()-1),0,1),
          12*DATEDIF(
            B133 + IF(INDEX(Input!$K$7:$K1503,ROW()-1),0,1),
            C133 + IF(INDEX(Input!$L$7:$L1503,ROW()-1),1,0),
            "Y"
          )
        )
      ) / 365,
    "Actual/Actual",
      YEARFRAC(
        B133 + IF(INDEX(Input!$K$7:$K1503,ROW()-1),0,1),
        C133 + IF(INDEX(Input!$L$7:$L1503,ROW()-1),1,0),
        1
      ),
      YEARFRAC(
        B133 + IF(INDEX(Input!$K$7:$K1503,ROW()-1),0,1),
        C133 + IF(INDEX(Input!$L$7:$L1503,ROW()-1),1,0),
        3
      )
  )
)</f>
        <v/>
      </c>
      <c r="S133" s="22" t="str">
        <f t="shared" si="4"/>
        <v/>
      </c>
      <c r="T133" s="6" t="str">
        <f t="array" ref="T133">IF(
  B133="",
  ,
  DATEDIF(
    B133 + IF(INDEX(Input!$K$7:$K1503,ROW()-1),0,1),
    C133 + IF(INDEX(Input!$L$7:$L1503,ROW()-1),1,0),
    "Y"
  )
)</f>
        <v/>
      </c>
      <c r="U133" s="6" t="str">
        <f t="array" ref="U133">IF(
  B133="",
  ,
  (C133 + IF(INDEX(Input!$L$7:$L1503,ROW()-1),1,0))
  - EDATE(
      B133 + IF(INDEX(Input!$K$7:$K1503,ROW()-1),0,1),
      12*S133
    )
)</f>
        <v/>
      </c>
      <c r="V133" s="6" t="str">
        <f t="shared" si="5"/>
        <v/>
      </c>
      <c r="W133" s="6" t="str">
        <f t="shared" si="6"/>
        <v/>
      </c>
    </row>
    <row r="134">
      <c r="A134" s="18"/>
      <c r="B134" s="18"/>
      <c r="C134" s="18"/>
      <c r="D134" s="18"/>
      <c r="E134" s="18"/>
      <c r="F134" s="18"/>
      <c r="G134" s="22"/>
      <c r="H134" s="18"/>
      <c r="I134" s="18">
        <v>0.0</v>
      </c>
      <c r="J134" s="18">
        <v>0.0</v>
      </c>
      <c r="K134" s="18"/>
      <c r="L134" s="18"/>
      <c r="M134" s="22" t="str">
        <f t="shared" si="1"/>
        <v/>
      </c>
      <c r="N134" s="18" t="str">
        <f>IF(A134="",,IF(ROW()=2, Input!$C$2 + I134, P133 + I134))</f>
        <v/>
      </c>
      <c r="O134" s="23" t="str">
        <f>IF(A134="",,
 IF(K134="Initial principal",
   Input!$C$2 * M134,
   N134 * M134
 )
)</f>
        <v/>
      </c>
      <c r="P134" s="18" t="str">
        <f t="shared" si="2"/>
        <v/>
      </c>
      <c r="Q134" s="18" t="str">
        <f t="shared" si="3"/>
        <v/>
      </c>
      <c r="R134" s="18" t="str">
        <f t="array" ref="R134">IF(
  B134="",
  ,
  SWITCH(
    Input!$C$4,
    "Actual/365 Fixed",
      YEARFRAC(
        B134 + IF(INDEX(Input!$K$7:$K1503,ROW()-1),0,1),
        C134 + IF(INDEX(Input!$L$7:$L1503,ROW()-1),1,0),
        3
      ),
    "Anniversary/365",
      DATEDIF(
        B134 + IF(INDEX(Input!$K$7:$K1503,ROW()-1),0,1),
        C134 + IF(INDEX(Input!$L$7:$L1503,ROW()-1),1,0),
        "Y"
      )
      +
      (
        (C134 + IF(INDEX(Input!$L$7:$L1503,ROW()-1),1,0))
        -
        EDATE(
          B134 + IF(INDEX(Input!$K$7:$K1503,ROW()-1),0,1),
          12*DATEDIF(
            B134 + IF(INDEX(Input!$K$7:$K1503,ROW()-1),0,1),
            C134 + IF(INDEX(Input!$L$7:$L1503,ROW()-1),1,0),
            "Y"
          )
        )
      ) / 365,
    "Actual/Actual",
      YEARFRAC(
        B134 + IF(INDEX(Input!$K$7:$K1503,ROW()-1),0,1),
        C134 + IF(INDEX(Input!$L$7:$L1503,ROW()-1),1,0),
        1
      ),
      YEARFRAC(
        B134 + IF(INDEX(Input!$K$7:$K1503,ROW()-1),0,1),
        C134 + IF(INDEX(Input!$L$7:$L1503,ROW()-1),1,0),
        3
      )
  )
)</f>
        <v/>
      </c>
      <c r="S134" s="22" t="str">
        <f t="shared" si="4"/>
        <v/>
      </c>
      <c r="T134" s="6" t="str">
        <f t="array" ref="T134">IF(
  B134="",
  ,
  DATEDIF(
    B134 + IF(INDEX(Input!$K$7:$K1503,ROW()-1),0,1),
    C134 + IF(INDEX(Input!$L$7:$L1503,ROW()-1),1,0),
    "Y"
  )
)</f>
        <v/>
      </c>
      <c r="U134" s="6" t="str">
        <f t="array" ref="U134">IF(
  B134="",
  ,
  (C134 + IF(INDEX(Input!$L$7:$L1503,ROW()-1),1,0))
  - EDATE(
      B134 + IF(INDEX(Input!$K$7:$K1503,ROW()-1),0,1),
      12*S134
    )
)</f>
        <v/>
      </c>
      <c r="V134" s="6" t="str">
        <f t="shared" si="5"/>
        <v/>
      </c>
      <c r="W134" s="6" t="str">
        <f t="shared" si="6"/>
        <v/>
      </c>
    </row>
    <row r="135">
      <c r="A135" s="18"/>
      <c r="B135" s="18"/>
      <c r="C135" s="18"/>
      <c r="D135" s="18"/>
      <c r="E135" s="18"/>
      <c r="F135" s="18"/>
      <c r="G135" s="22"/>
      <c r="H135" s="18"/>
      <c r="I135" s="18">
        <v>0.0</v>
      </c>
      <c r="J135" s="18">
        <v>0.0</v>
      </c>
      <c r="K135" s="18"/>
      <c r="L135" s="18"/>
      <c r="M135" s="22" t="str">
        <f t="shared" si="1"/>
        <v/>
      </c>
      <c r="N135" s="18" t="str">
        <f>IF(A135="",,IF(ROW()=2, Input!$C$2 + I135, P134 + I135))</f>
        <v/>
      </c>
      <c r="O135" s="23" t="str">
        <f>IF(A135="",,
 IF(K135="Initial principal",
   Input!$C$2 * M135,
   N135 * M135
 )
)</f>
        <v/>
      </c>
      <c r="P135" s="18" t="str">
        <f t="shared" si="2"/>
        <v/>
      </c>
      <c r="Q135" s="18" t="str">
        <f t="shared" si="3"/>
        <v/>
      </c>
      <c r="R135" s="18" t="str">
        <f t="array" ref="R135">IF(
  B135="",
  ,
  SWITCH(
    Input!$C$4,
    "Actual/365 Fixed",
      YEARFRAC(
        B135 + IF(INDEX(Input!$K$7:$K1503,ROW()-1),0,1),
        C135 + IF(INDEX(Input!$L$7:$L1503,ROW()-1),1,0),
        3
      ),
    "Anniversary/365",
      DATEDIF(
        B135 + IF(INDEX(Input!$K$7:$K1503,ROW()-1),0,1),
        C135 + IF(INDEX(Input!$L$7:$L1503,ROW()-1),1,0),
        "Y"
      )
      +
      (
        (C135 + IF(INDEX(Input!$L$7:$L1503,ROW()-1),1,0))
        -
        EDATE(
          B135 + IF(INDEX(Input!$K$7:$K1503,ROW()-1),0,1),
          12*DATEDIF(
            B135 + IF(INDEX(Input!$K$7:$K1503,ROW()-1),0,1),
            C135 + IF(INDEX(Input!$L$7:$L1503,ROW()-1),1,0),
            "Y"
          )
        )
      ) / 365,
    "Actual/Actual",
      YEARFRAC(
        B135 + IF(INDEX(Input!$K$7:$K1503,ROW()-1),0,1),
        C135 + IF(INDEX(Input!$L$7:$L1503,ROW()-1),1,0),
        1
      ),
      YEARFRAC(
        B135 + IF(INDEX(Input!$K$7:$K1503,ROW()-1),0,1),
        C135 + IF(INDEX(Input!$L$7:$L1503,ROW()-1),1,0),
        3
      )
  )
)</f>
        <v/>
      </c>
      <c r="S135" s="22" t="str">
        <f t="shared" si="4"/>
        <v/>
      </c>
      <c r="T135" s="6" t="str">
        <f t="array" ref="T135">IF(
  B135="",
  ,
  DATEDIF(
    B135 + IF(INDEX(Input!$K$7:$K1503,ROW()-1),0,1),
    C135 + IF(INDEX(Input!$L$7:$L1503,ROW()-1),1,0),
    "Y"
  )
)</f>
        <v/>
      </c>
      <c r="U135" s="6" t="str">
        <f t="array" ref="U135">IF(
  B135="",
  ,
  (C135 + IF(INDEX(Input!$L$7:$L1503,ROW()-1),1,0))
  - EDATE(
      B135 + IF(INDEX(Input!$K$7:$K1503,ROW()-1),0,1),
      12*S135
    )
)</f>
        <v/>
      </c>
      <c r="V135" s="6" t="str">
        <f t="shared" si="5"/>
        <v/>
      </c>
      <c r="W135" s="6" t="str">
        <f t="shared" si="6"/>
        <v/>
      </c>
    </row>
    <row r="136">
      <c r="A136" s="18"/>
      <c r="B136" s="18"/>
      <c r="C136" s="18"/>
      <c r="D136" s="18"/>
      <c r="E136" s="18"/>
      <c r="F136" s="18"/>
      <c r="G136" s="22"/>
      <c r="H136" s="18"/>
      <c r="I136" s="18">
        <v>0.0</v>
      </c>
      <c r="J136" s="18">
        <v>0.0</v>
      </c>
      <c r="K136" s="18"/>
      <c r="L136" s="18"/>
      <c r="M136" s="22" t="str">
        <f t="shared" si="1"/>
        <v/>
      </c>
      <c r="N136" s="18" t="str">
        <f>IF(A136="",,IF(ROW()=2, Input!$C$2 + I136, P135 + I136))</f>
        <v/>
      </c>
      <c r="O136" s="23" t="str">
        <f>IF(A136="",,
 IF(K136="Initial principal",
   Input!$C$2 * M136,
   N136 * M136
 )
)</f>
        <v/>
      </c>
      <c r="P136" s="18" t="str">
        <f t="shared" si="2"/>
        <v/>
      </c>
      <c r="Q136" s="18" t="str">
        <f t="shared" si="3"/>
        <v/>
      </c>
      <c r="R136" s="18" t="str">
        <f t="array" ref="R136">IF(
  B136="",
  ,
  SWITCH(
    Input!$C$4,
    "Actual/365 Fixed",
      YEARFRAC(
        B136 + IF(INDEX(Input!$K$7:$K1503,ROW()-1),0,1),
        C136 + IF(INDEX(Input!$L$7:$L1503,ROW()-1),1,0),
        3
      ),
    "Anniversary/365",
      DATEDIF(
        B136 + IF(INDEX(Input!$K$7:$K1503,ROW()-1),0,1),
        C136 + IF(INDEX(Input!$L$7:$L1503,ROW()-1),1,0),
        "Y"
      )
      +
      (
        (C136 + IF(INDEX(Input!$L$7:$L1503,ROW()-1),1,0))
        -
        EDATE(
          B136 + IF(INDEX(Input!$K$7:$K1503,ROW()-1),0,1),
          12*DATEDIF(
            B136 + IF(INDEX(Input!$K$7:$K1503,ROW()-1),0,1),
            C136 + IF(INDEX(Input!$L$7:$L1503,ROW()-1),1,0),
            "Y"
          )
        )
      ) / 365,
    "Actual/Actual",
      YEARFRAC(
        B136 + IF(INDEX(Input!$K$7:$K1503,ROW()-1),0,1),
        C136 + IF(INDEX(Input!$L$7:$L1503,ROW()-1),1,0),
        1
      ),
      YEARFRAC(
        B136 + IF(INDEX(Input!$K$7:$K1503,ROW()-1),0,1),
        C136 + IF(INDEX(Input!$L$7:$L1503,ROW()-1),1,0),
        3
      )
  )
)</f>
        <v/>
      </c>
      <c r="S136" s="22" t="str">
        <f t="shared" si="4"/>
        <v/>
      </c>
      <c r="T136" s="6" t="str">
        <f t="array" ref="T136">IF(
  B136="",
  ,
  DATEDIF(
    B136 + IF(INDEX(Input!$K$7:$K1503,ROW()-1),0,1),
    C136 + IF(INDEX(Input!$L$7:$L1503,ROW()-1),1,0),
    "Y"
  )
)</f>
        <v/>
      </c>
      <c r="U136" s="6" t="str">
        <f t="array" ref="U136">IF(
  B136="",
  ,
  (C136 + IF(INDEX(Input!$L$7:$L1503,ROW()-1),1,0))
  - EDATE(
      B136 + IF(INDEX(Input!$K$7:$K1503,ROW()-1),0,1),
      12*S136
    )
)</f>
        <v/>
      </c>
      <c r="V136" s="6" t="str">
        <f t="shared" si="5"/>
        <v/>
      </c>
      <c r="W136" s="6" t="str">
        <f t="shared" si="6"/>
        <v/>
      </c>
    </row>
    <row r="137">
      <c r="A137" s="18"/>
      <c r="B137" s="18"/>
      <c r="C137" s="18"/>
      <c r="D137" s="18"/>
      <c r="E137" s="18"/>
      <c r="F137" s="18"/>
      <c r="G137" s="22"/>
      <c r="H137" s="18"/>
      <c r="I137" s="18">
        <v>0.0</v>
      </c>
      <c r="J137" s="18">
        <v>0.0</v>
      </c>
      <c r="K137" s="18"/>
      <c r="L137" s="18"/>
      <c r="M137" s="22" t="str">
        <f t="shared" si="1"/>
        <v/>
      </c>
      <c r="N137" s="18" t="str">
        <f>IF(A137="",,IF(ROW()=2, Input!$C$2 + I137, P136 + I137))</f>
        <v/>
      </c>
      <c r="O137" s="23" t="str">
        <f>IF(A137="",,
 IF(K137="Initial principal",
   Input!$C$2 * M137,
   N137 * M137
 )
)</f>
        <v/>
      </c>
      <c r="P137" s="18" t="str">
        <f t="shared" si="2"/>
        <v/>
      </c>
      <c r="Q137" s="18" t="str">
        <f t="shared" si="3"/>
        <v/>
      </c>
      <c r="R137" s="18" t="str">
        <f t="array" ref="R137">IF(
  B137="",
  ,
  SWITCH(
    Input!$C$4,
    "Actual/365 Fixed",
      YEARFRAC(
        B137 + IF(INDEX(Input!$K$7:$K1503,ROW()-1),0,1),
        C137 + IF(INDEX(Input!$L$7:$L1503,ROW()-1),1,0),
        3
      ),
    "Anniversary/365",
      DATEDIF(
        B137 + IF(INDEX(Input!$K$7:$K1503,ROW()-1),0,1),
        C137 + IF(INDEX(Input!$L$7:$L1503,ROW()-1),1,0),
        "Y"
      )
      +
      (
        (C137 + IF(INDEX(Input!$L$7:$L1503,ROW()-1),1,0))
        -
        EDATE(
          B137 + IF(INDEX(Input!$K$7:$K1503,ROW()-1),0,1),
          12*DATEDIF(
            B137 + IF(INDEX(Input!$K$7:$K1503,ROW()-1),0,1),
            C137 + IF(INDEX(Input!$L$7:$L1503,ROW()-1),1,0),
            "Y"
          )
        )
      ) / 365,
    "Actual/Actual",
      YEARFRAC(
        B137 + IF(INDEX(Input!$K$7:$K1503,ROW()-1),0,1),
        C137 + IF(INDEX(Input!$L$7:$L1503,ROW()-1),1,0),
        1
      ),
      YEARFRAC(
        B137 + IF(INDEX(Input!$K$7:$K1503,ROW()-1),0,1),
        C137 + IF(INDEX(Input!$L$7:$L1503,ROW()-1),1,0),
        3
      )
  )
)</f>
        <v/>
      </c>
      <c r="S137" s="22" t="str">
        <f t="shared" si="4"/>
        <v/>
      </c>
      <c r="T137" s="6" t="str">
        <f t="array" ref="T137">IF(
  B137="",
  ,
  DATEDIF(
    B137 + IF(INDEX(Input!$K$7:$K1503,ROW()-1),0,1),
    C137 + IF(INDEX(Input!$L$7:$L1503,ROW()-1),1,0),
    "Y"
  )
)</f>
        <v/>
      </c>
      <c r="U137" s="6" t="str">
        <f t="array" ref="U137">IF(
  B137="",
  ,
  (C137 + IF(INDEX(Input!$L$7:$L1503,ROW()-1),1,0))
  - EDATE(
      B137 + IF(INDEX(Input!$K$7:$K1503,ROW()-1),0,1),
      12*S137
    )
)</f>
        <v/>
      </c>
      <c r="V137" s="6" t="str">
        <f t="shared" si="5"/>
        <v/>
      </c>
      <c r="W137" s="6" t="str">
        <f t="shared" si="6"/>
        <v/>
      </c>
    </row>
    <row r="138">
      <c r="A138" s="18"/>
      <c r="B138" s="18"/>
      <c r="C138" s="18"/>
      <c r="D138" s="18"/>
      <c r="E138" s="18"/>
      <c r="F138" s="18"/>
      <c r="G138" s="22"/>
      <c r="H138" s="18"/>
      <c r="I138" s="18">
        <v>0.0</v>
      </c>
      <c r="J138" s="18">
        <v>0.0</v>
      </c>
      <c r="K138" s="18"/>
      <c r="L138" s="18"/>
      <c r="M138" s="22" t="str">
        <f t="shared" si="1"/>
        <v/>
      </c>
      <c r="N138" s="18" t="str">
        <f>IF(A138="",,IF(ROW()=2, Input!$C$2 + I138, P137 + I138))</f>
        <v/>
      </c>
      <c r="O138" s="23" t="str">
        <f>IF(A138="",,
 IF(K138="Initial principal",
   Input!$C$2 * M138,
   N138 * M138
 )
)</f>
        <v/>
      </c>
      <c r="P138" s="18" t="str">
        <f t="shared" si="2"/>
        <v/>
      </c>
      <c r="Q138" s="18" t="str">
        <f t="shared" si="3"/>
        <v/>
      </c>
      <c r="R138" s="18" t="str">
        <f t="array" ref="R138">IF(
  B138="",
  ,
  SWITCH(
    Input!$C$4,
    "Actual/365 Fixed",
      YEARFRAC(
        B138 + IF(INDEX(Input!$K$7:$K1503,ROW()-1),0,1),
        C138 + IF(INDEX(Input!$L$7:$L1503,ROW()-1),1,0),
        3
      ),
    "Anniversary/365",
      DATEDIF(
        B138 + IF(INDEX(Input!$K$7:$K1503,ROW()-1),0,1),
        C138 + IF(INDEX(Input!$L$7:$L1503,ROW()-1),1,0),
        "Y"
      )
      +
      (
        (C138 + IF(INDEX(Input!$L$7:$L1503,ROW()-1),1,0))
        -
        EDATE(
          B138 + IF(INDEX(Input!$K$7:$K1503,ROW()-1),0,1),
          12*DATEDIF(
            B138 + IF(INDEX(Input!$K$7:$K1503,ROW()-1),0,1),
            C138 + IF(INDEX(Input!$L$7:$L1503,ROW()-1),1,0),
            "Y"
          )
        )
      ) / 365,
    "Actual/Actual",
      YEARFRAC(
        B138 + IF(INDEX(Input!$K$7:$K1503,ROW()-1),0,1),
        C138 + IF(INDEX(Input!$L$7:$L1503,ROW()-1),1,0),
        1
      ),
      YEARFRAC(
        B138 + IF(INDEX(Input!$K$7:$K1503,ROW()-1),0,1),
        C138 + IF(INDEX(Input!$L$7:$L1503,ROW()-1),1,0),
        3
      )
  )
)</f>
        <v/>
      </c>
      <c r="S138" s="22" t="str">
        <f t="shared" si="4"/>
        <v/>
      </c>
      <c r="T138" s="6" t="str">
        <f t="array" ref="T138">IF(
  B138="",
  ,
  DATEDIF(
    B138 + IF(INDEX(Input!$K$7:$K1503,ROW()-1),0,1),
    C138 + IF(INDEX(Input!$L$7:$L1503,ROW()-1),1,0),
    "Y"
  )
)</f>
        <v/>
      </c>
      <c r="U138" s="6" t="str">
        <f t="array" ref="U138">IF(
  B138="",
  ,
  (C138 + IF(INDEX(Input!$L$7:$L1503,ROW()-1),1,0))
  - EDATE(
      B138 + IF(INDEX(Input!$K$7:$K1503,ROW()-1),0,1),
      12*S138
    )
)</f>
        <v/>
      </c>
      <c r="V138" s="6" t="str">
        <f t="shared" si="5"/>
        <v/>
      </c>
      <c r="W138" s="6" t="str">
        <f t="shared" si="6"/>
        <v/>
      </c>
    </row>
    <row r="139">
      <c r="A139" s="18"/>
      <c r="B139" s="18"/>
      <c r="C139" s="18"/>
      <c r="D139" s="18"/>
      <c r="E139" s="18"/>
      <c r="F139" s="18"/>
      <c r="G139" s="22"/>
      <c r="H139" s="18"/>
      <c r="I139" s="18">
        <v>0.0</v>
      </c>
      <c r="J139" s="18">
        <v>0.0</v>
      </c>
      <c r="K139" s="18"/>
      <c r="L139" s="18"/>
      <c r="M139" s="22" t="str">
        <f t="shared" si="1"/>
        <v/>
      </c>
      <c r="N139" s="18" t="str">
        <f>IF(A139="",,IF(ROW()=2, Input!$C$2 + I139, P138 + I139))</f>
        <v/>
      </c>
      <c r="O139" s="23" t="str">
        <f>IF(A139="",,
 IF(K139="Initial principal",
   Input!$C$2 * M139,
   N139 * M139
 )
)</f>
        <v/>
      </c>
      <c r="P139" s="18" t="str">
        <f t="shared" si="2"/>
        <v/>
      </c>
      <c r="Q139" s="18" t="str">
        <f t="shared" si="3"/>
        <v/>
      </c>
      <c r="R139" s="18" t="str">
        <f t="array" ref="R139">IF(
  B139="",
  ,
  SWITCH(
    Input!$C$4,
    "Actual/365 Fixed",
      YEARFRAC(
        B139 + IF(INDEX(Input!$K$7:$K1503,ROW()-1),0,1),
        C139 + IF(INDEX(Input!$L$7:$L1503,ROW()-1),1,0),
        3
      ),
    "Anniversary/365",
      DATEDIF(
        B139 + IF(INDEX(Input!$K$7:$K1503,ROW()-1),0,1),
        C139 + IF(INDEX(Input!$L$7:$L1503,ROW()-1),1,0),
        "Y"
      )
      +
      (
        (C139 + IF(INDEX(Input!$L$7:$L1503,ROW()-1),1,0))
        -
        EDATE(
          B139 + IF(INDEX(Input!$K$7:$K1503,ROW()-1),0,1),
          12*DATEDIF(
            B139 + IF(INDEX(Input!$K$7:$K1503,ROW()-1),0,1),
            C139 + IF(INDEX(Input!$L$7:$L1503,ROW()-1),1,0),
            "Y"
          )
        )
      ) / 365,
    "Actual/Actual",
      YEARFRAC(
        B139 + IF(INDEX(Input!$K$7:$K1503,ROW()-1),0,1),
        C139 + IF(INDEX(Input!$L$7:$L1503,ROW()-1),1,0),
        1
      ),
      YEARFRAC(
        B139 + IF(INDEX(Input!$K$7:$K1503,ROW()-1),0,1),
        C139 + IF(INDEX(Input!$L$7:$L1503,ROW()-1),1,0),
        3
      )
  )
)</f>
        <v/>
      </c>
      <c r="S139" s="22" t="str">
        <f t="shared" si="4"/>
        <v/>
      </c>
      <c r="T139" s="6" t="str">
        <f t="array" ref="T139">IF(
  B139="",
  ,
  DATEDIF(
    B139 + IF(INDEX(Input!$K$7:$K1503,ROW()-1),0,1),
    C139 + IF(INDEX(Input!$L$7:$L1503,ROW()-1),1,0),
    "Y"
  )
)</f>
        <v/>
      </c>
      <c r="U139" s="6" t="str">
        <f t="array" ref="U139">IF(
  B139="",
  ,
  (C139 + IF(INDEX(Input!$L$7:$L1503,ROW()-1),1,0))
  - EDATE(
      B139 + IF(INDEX(Input!$K$7:$K1503,ROW()-1),0,1),
      12*S139
    )
)</f>
        <v/>
      </c>
      <c r="V139" s="6" t="str">
        <f t="shared" si="5"/>
        <v/>
      </c>
      <c r="W139" s="6" t="str">
        <f t="shared" si="6"/>
        <v/>
      </c>
    </row>
    <row r="140">
      <c r="A140" s="18"/>
      <c r="B140" s="18"/>
      <c r="C140" s="18"/>
      <c r="D140" s="18"/>
      <c r="E140" s="18"/>
      <c r="F140" s="18"/>
      <c r="G140" s="22"/>
      <c r="H140" s="18"/>
      <c r="I140" s="18">
        <v>0.0</v>
      </c>
      <c r="J140" s="18">
        <v>0.0</v>
      </c>
      <c r="K140" s="18"/>
      <c r="L140" s="18"/>
      <c r="M140" s="22" t="str">
        <f t="shared" si="1"/>
        <v/>
      </c>
      <c r="N140" s="18" t="str">
        <f>IF(A140="",,IF(ROW()=2, Input!$C$2 + I140, P139 + I140))</f>
        <v/>
      </c>
      <c r="O140" s="23" t="str">
        <f>IF(A140="",,
 IF(K140="Initial principal",
   Input!$C$2 * M140,
   N140 * M140
 )
)</f>
        <v/>
      </c>
      <c r="P140" s="18" t="str">
        <f t="shared" si="2"/>
        <v/>
      </c>
      <c r="Q140" s="18" t="str">
        <f t="shared" si="3"/>
        <v/>
      </c>
      <c r="R140" s="18" t="str">
        <f t="array" ref="R140">IF(
  B140="",
  ,
  SWITCH(
    Input!$C$4,
    "Actual/365 Fixed",
      YEARFRAC(
        B140 + IF(INDEX(Input!$K$7:$K1503,ROW()-1),0,1),
        C140 + IF(INDEX(Input!$L$7:$L1503,ROW()-1),1,0),
        3
      ),
    "Anniversary/365",
      DATEDIF(
        B140 + IF(INDEX(Input!$K$7:$K1503,ROW()-1),0,1),
        C140 + IF(INDEX(Input!$L$7:$L1503,ROW()-1),1,0),
        "Y"
      )
      +
      (
        (C140 + IF(INDEX(Input!$L$7:$L1503,ROW()-1),1,0))
        -
        EDATE(
          B140 + IF(INDEX(Input!$K$7:$K1503,ROW()-1),0,1),
          12*DATEDIF(
            B140 + IF(INDEX(Input!$K$7:$K1503,ROW()-1),0,1),
            C140 + IF(INDEX(Input!$L$7:$L1503,ROW()-1),1,0),
            "Y"
          )
        )
      ) / 365,
    "Actual/Actual",
      YEARFRAC(
        B140 + IF(INDEX(Input!$K$7:$K1503,ROW()-1),0,1),
        C140 + IF(INDEX(Input!$L$7:$L1503,ROW()-1),1,0),
        1
      ),
      YEARFRAC(
        B140 + IF(INDEX(Input!$K$7:$K1503,ROW()-1),0,1),
        C140 + IF(INDEX(Input!$L$7:$L1503,ROW()-1),1,0),
        3
      )
  )
)</f>
        <v/>
      </c>
      <c r="S140" s="22" t="str">
        <f t="shared" si="4"/>
        <v/>
      </c>
      <c r="T140" s="6" t="str">
        <f t="array" ref="T140">IF(
  B140="",
  ,
  DATEDIF(
    B140 + IF(INDEX(Input!$K$7:$K1503,ROW()-1),0,1),
    C140 + IF(INDEX(Input!$L$7:$L1503,ROW()-1),1,0),
    "Y"
  )
)</f>
        <v/>
      </c>
      <c r="U140" s="6" t="str">
        <f t="array" ref="U140">IF(
  B140="",
  ,
  (C140 + IF(INDEX(Input!$L$7:$L1503,ROW()-1),1,0))
  - EDATE(
      B140 + IF(INDEX(Input!$K$7:$K1503,ROW()-1),0,1),
      12*S140
    )
)</f>
        <v/>
      </c>
      <c r="V140" s="6" t="str">
        <f t="shared" si="5"/>
        <v/>
      </c>
      <c r="W140" s="6" t="str">
        <f t="shared" si="6"/>
        <v/>
      </c>
    </row>
    <row r="141">
      <c r="A141" s="18"/>
      <c r="B141" s="18"/>
      <c r="C141" s="18"/>
      <c r="D141" s="18"/>
      <c r="E141" s="18"/>
      <c r="F141" s="18"/>
      <c r="G141" s="22"/>
      <c r="H141" s="18"/>
      <c r="I141" s="18">
        <v>0.0</v>
      </c>
      <c r="J141" s="18">
        <v>0.0</v>
      </c>
      <c r="K141" s="18"/>
      <c r="L141" s="18"/>
      <c r="M141" s="22" t="str">
        <f t="shared" si="1"/>
        <v/>
      </c>
      <c r="N141" s="18" t="str">
        <f>IF(A141="",,IF(ROW()=2, Input!$C$2 + I141, P140 + I141))</f>
        <v/>
      </c>
      <c r="O141" s="23" t="str">
        <f>IF(A141="",,
 IF(K141="Initial principal",
   Input!$C$2 * M141,
   N141 * M141
 )
)</f>
        <v/>
      </c>
      <c r="P141" s="18" t="str">
        <f t="shared" si="2"/>
        <v/>
      </c>
      <c r="Q141" s="18" t="str">
        <f t="shared" si="3"/>
        <v/>
      </c>
      <c r="R141" s="18" t="str">
        <f t="array" ref="R141">IF(
  B141="",
  ,
  SWITCH(
    Input!$C$4,
    "Actual/365 Fixed",
      YEARFRAC(
        B141 + IF(INDEX(Input!$K$7:$K1503,ROW()-1),0,1),
        C141 + IF(INDEX(Input!$L$7:$L1503,ROW()-1),1,0),
        3
      ),
    "Anniversary/365",
      DATEDIF(
        B141 + IF(INDEX(Input!$K$7:$K1503,ROW()-1),0,1),
        C141 + IF(INDEX(Input!$L$7:$L1503,ROW()-1),1,0),
        "Y"
      )
      +
      (
        (C141 + IF(INDEX(Input!$L$7:$L1503,ROW()-1),1,0))
        -
        EDATE(
          B141 + IF(INDEX(Input!$K$7:$K1503,ROW()-1),0,1),
          12*DATEDIF(
            B141 + IF(INDEX(Input!$K$7:$K1503,ROW()-1),0,1),
            C141 + IF(INDEX(Input!$L$7:$L1503,ROW()-1),1,0),
            "Y"
          )
        )
      ) / 365,
    "Actual/Actual",
      YEARFRAC(
        B141 + IF(INDEX(Input!$K$7:$K1503,ROW()-1),0,1),
        C141 + IF(INDEX(Input!$L$7:$L1503,ROW()-1),1,0),
        1
      ),
      YEARFRAC(
        B141 + IF(INDEX(Input!$K$7:$K1503,ROW()-1),0,1),
        C141 + IF(INDEX(Input!$L$7:$L1503,ROW()-1),1,0),
        3
      )
  )
)</f>
        <v/>
      </c>
      <c r="S141" s="22" t="str">
        <f t="shared" si="4"/>
        <v/>
      </c>
      <c r="T141" s="6" t="str">
        <f t="array" ref="T141">IF(
  B141="",
  ,
  DATEDIF(
    B141 + IF(INDEX(Input!$K$7:$K1503,ROW()-1),0,1),
    C141 + IF(INDEX(Input!$L$7:$L1503,ROW()-1),1,0),
    "Y"
  )
)</f>
        <v/>
      </c>
      <c r="U141" s="6" t="str">
        <f t="array" ref="U141">IF(
  B141="",
  ,
  (C141 + IF(INDEX(Input!$L$7:$L1503,ROW()-1),1,0))
  - EDATE(
      B141 + IF(INDEX(Input!$K$7:$K1503,ROW()-1),0,1),
      12*S141
    )
)</f>
        <v/>
      </c>
      <c r="V141" s="6" t="str">
        <f t="shared" si="5"/>
        <v/>
      </c>
      <c r="W141" s="6" t="str">
        <f t="shared" si="6"/>
        <v/>
      </c>
    </row>
    <row r="142">
      <c r="A142" s="18"/>
      <c r="B142" s="18"/>
      <c r="C142" s="18"/>
      <c r="D142" s="18"/>
      <c r="E142" s="18"/>
      <c r="F142" s="18"/>
      <c r="G142" s="22"/>
      <c r="H142" s="18"/>
      <c r="I142" s="18">
        <v>0.0</v>
      </c>
      <c r="J142" s="18">
        <v>0.0</v>
      </c>
      <c r="K142" s="18"/>
      <c r="L142" s="18"/>
      <c r="M142" s="22" t="str">
        <f t="shared" si="1"/>
        <v/>
      </c>
      <c r="N142" s="18" t="str">
        <f>IF(A142="",,IF(ROW()=2, Input!$C$2 + I142, P141 + I142))</f>
        <v/>
      </c>
      <c r="O142" s="23" t="str">
        <f>IF(A142="",,
 IF(K142="Initial principal",
   Input!$C$2 * M142,
   N142 * M142
 )
)</f>
        <v/>
      </c>
      <c r="P142" s="18" t="str">
        <f t="shared" si="2"/>
        <v/>
      </c>
      <c r="Q142" s="18" t="str">
        <f t="shared" si="3"/>
        <v/>
      </c>
      <c r="R142" s="18" t="str">
        <f t="array" ref="R142">IF(
  B142="",
  ,
  SWITCH(
    Input!$C$4,
    "Actual/365 Fixed",
      YEARFRAC(
        B142 + IF(INDEX(Input!$K$7:$K1503,ROW()-1),0,1),
        C142 + IF(INDEX(Input!$L$7:$L1503,ROW()-1),1,0),
        3
      ),
    "Anniversary/365",
      DATEDIF(
        B142 + IF(INDEX(Input!$K$7:$K1503,ROW()-1),0,1),
        C142 + IF(INDEX(Input!$L$7:$L1503,ROW()-1),1,0),
        "Y"
      )
      +
      (
        (C142 + IF(INDEX(Input!$L$7:$L1503,ROW()-1),1,0))
        -
        EDATE(
          B142 + IF(INDEX(Input!$K$7:$K1503,ROW()-1),0,1),
          12*DATEDIF(
            B142 + IF(INDEX(Input!$K$7:$K1503,ROW()-1),0,1),
            C142 + IF(INDEX(Input!$L$7:$L1503,ROW()-1),1,0),
            "Y"
          )
        )
      ) / 365,
    "Actual/Actual",
      YEARFRAC(
        B142 + IF(INDEX(Input!$K$7:$K1503,ROW()-1),0,1),
        C142 + IF(INDEX(Input!$L$7:$L1503,ROW()-1),1,0),
        1
      ),
      YEARFRAC(
        B142 + IF(INDEX(Input!$K$7:$K1503,ROW()-1),0,1),
        C142 + IF(INDEX(Input!$L$7:$L1503,ROW()-1),1,0),
        3
      )
  )
)</f>
        <v/>
      </c>
      <c r="S142" s="22" t="str">
        <f t="shared" si="4"/>
        <v/>
      </c>
      <c r="T142" s="6" t="str">
        <f t="array" ref="T142">IF(
  B142="",
  ,
  DATEDIF(
    B142 + IF(INDEX(Input!$K$7:$K1503,ROW()-1),0,1),
    C142 + IF(INDEX(Input!$L$7:$L1503,ROW()-1),1,0),
    "Y"
  )
)</f>
        <v/>
      </c>
      <c r="U142" s="6" t="str">
        <f t="array" ref="U142">IF(
  B142="",
  ,
  (C142 + IF(INDEX(Input!$L$7:$L1503,ROW()-1),1,0))
  - EDATE(
      B142 + IF(INDEX(Input!$K$7:$K1503,ROW()-1),0,1),
      12*S142
    )
)</f>
        <v/>
      </c>
      <c r="V142" s="6" t="str">
        <f t="shared" si="5"/>
        <v/>
      </c>
      <c r="W142" s="6" t="str">
        <f t="shared" si="6"/>
        <v/>
      </c>
    </row>
    <row r="143">
      <c r="A143" s="18"/>
      <c r="B143" s="18"/>
      <c r="C143" s="18"/>
      <c r="D143" s="18"/>
      <c r="E143" s="18"/>
      <c r="F143" s="18"/>
      <c r="G143" s="22"/>
      <c r="H143" s="18"/>
      <c r="I143" s="18">
        <v>0.0</v>
      </c>
      <c r="J143" s="18">
        <v>0.0</v>
      </c>
      <c r="K143" s="18"/>
      <c r="L143" s="18"/>
      <c r="M143" s="22" t="str">
        <f t="shared" si="1"/>
        <v/>
      </c>
      <c r="N143" s="18" t="str">
        <f>IF(A143="",,IF(ROW()=2, Input!$C$2 + I143, P142 + I143))</f>
        <v/>
      </c>
      <c r="O143" s="23" t="str">
        <f>IF(A143="",,
 IF(K143="Initial principal",
   Input!$C$2 * M143,
   N143 * M143
 )
)</f>
        <v/>
      </c>
      <c r="P143" s="18" t="str">
        <f t="shared" si="2"/>
        <v/>
      </c>
      <c r="Q143" s="18" t="str">
        <f t="shared" si="3"/>
        <v/>
      </c>
      <c r="R143" s="18" t="str">
        <f t="array" ref="R143">IF(
  B143="",
  ,
  SWITCH(
    Input!$C$4,
    "Actual/365 Fixed",
      YEARFRAC(
        B143 + IF(INDEX(Input!$K$7:$K1503,ROW()-1),0,1),
        C143 + IF(INDEX(Input!$L$7:$L1503,ROW()-1),1,0),
        3
      ),
    "Anniversary/365",
      DATEDIF(
        B143 + IF(INDEX(Input!$K$7:$K1503,ROW()-1),0,1),
        C143 + IF(INDEX(Input!$L$7:$L1503,ROW()-1),1,0),
        "Y"
      )
      +
      (
        (C143 + IF(INDEX(Input!$L$7:$L1503,ROW()-1),1,0))
        -
        EDATE(
          B143 + IF(INDEX(Input!$K$7:$K1503,ROW()-1),0,1),
          12*DATEDIF(
            B143 + IF(INDEX(Input!$K$7:$K1503,ROW()-1),0,1),
            C143 + IF(INDEX(Input!$L$7:$L1503,ROW()-1),1,0),
            "Y"
          )
        )
      ) / 365,
    "Actual/Actual",
      YEARFRAC(
        B143 + IF(INDEX(Input!$K$7:$K1503,ROW()-1),0,1),
        C143 + IF(INDEX(Input!$L$7:$L1503,ROW()-1),1,0),
        1
      ),
      YEARFRAC(
        B143 + IF(INDEX(Input!$K$7:$K1503,ROW()-1),0,1),
        C143 + IF(INDEX(Input!$L$7:$L1503,ROW()-1),1,0),
        3
      )
  )
)</f>
        <v/>
      </c>
      <c r="S143" s="22" t="str">
        <f t="shared" si="4"/>
        <v/>
      </c>
      <c r="T143" s="6" t="str">
        <f t="array" ref="T143">IF(
  B143="",
  ,
  DATEDIF(
    B143 + IF(INDEX(Input!$K$7:$K1503,ROW()-1),0,1),
    C143 + IF(INDEX(Input!$L$7:$L1503,ROW()-1),1,0),
    "Y"
  )
)</f>
        <v/>
      </c>
      <c r="U143" s="6" t="str">
        <f t="array" ref="U143">IF(
  B143="",
  ,
  (C143 + IF(INDEX(Input!$L$7:$L1503,ROW()-1),1,0))
  - EDATE(
      B143 + IF(INDEX(Input!$K$7:$K1503,ROW()-1),0,1),
      12*S143
    )
)</f>
        <v/>
      </c>
      <c r="V143" s="6" t="str">
        <f t="shared" si="5"/>
        <v/>
      </c>
      <c r="W143" s="6" t="str">
        <f t="shared" si="6"/>
        <v/>
      </c>
    </row>
    <row r="144">
      <c r="A144" s="18"/>
      <c r="B144" s="18"/>
      <c r="C144" s="18"/>
      <c r="D144" s="18"/>
      <c r="E144" s="18"/>
      <c r="F144" s="18"/>
      <c r="G144" s="22"/>
      <c r="H144" s="18"/>
      <c r="I144" s="18">
        <v>0.0</v>
      </c>
      <c r="J144" s="18">
        <v>0.0</v>
      </c>
      <c r="K144" s="18"/>
      <c r="L144" s="18"/>
      <c r="M144" s="22" t="str">
        <f t="shared" si="1"/>
        <v/>
      </c>
      <c r="N144" s="18" t="str">
        <f>IF(A144="",,IF(ROW()=2, Input!$C$2 + I144, P143 + I144))</f>
        <v/>
      </c>
      <c r="O144" s="23" t="str">
        <f>IF(A144="",,
 IF(K144="Initial principal",
   Input!$C$2 * M144,
   N144 * M144
 )
)</f>
        <v/>
      </c>
      <c r="P144" s="18" t="str">
        <f t="shared" si="2"/>
        <v/>
      </c>
      <c r="Q144" s="18" t="str">
        <f t="shared" si="3"/>
        <v/>
      </c>
      <c r="R144" s="18" t="str">
        <f t="array" ref="R144">IF(
  B144="",
  ,
  SWITCH(
    Input!$C$4,
    "Actual/365 Fixed",
      YEARFRAC(
        B144 + IF(INDEX(Input!$K$7:$K1503,ROW()-1),0,1),
        C144 + IF(INDEX(Input!$L$7:$L1503,ROW()-1),1,0),
        3
      ),
    "Anniversary/365",
      DATEDIF(
        B144 + IF(INDEX(Input!$K$7:$K1503,ROW()-1),0,1),
        C144 + IF(INDEX(Input!$L$7:$L1503,ROW()-1),1,0),
        "Y"
      )
      +
      (
        (C144 + IF(INDEX(Input!$L$7:$L1503,ROW()-1),1,0))
        -
        EDATE(
          B144 + IF(INDEX(Input!$K$7:$K1503,ROW()-1),0,1),
          12*DATEDIF(
            B144 + IF(INDEX(Input!$K$7:$K1503,ROW()-1),0,1),
            C144 + IF(INDEX(Input!$L$7:$L1503,ROW()-1),1,0),
            "Y"
          )
        )
      ) / 365,
    "Actual/Actual",
      YEARFRAC(
        B144 + IF(INDEX(Input!$K$7:$K1503,ROW()-1),0,1),
        C144 + IF(INDEX(Input!$L$7:$L1503,ROW()-1),1,0),
        1
      ),
      YEARFRAC(
        B144 + IF(INDEX(Input!$K$7:$K1503,ROW()-1),0,1),
        C144 + IF(INDEX(Input!$L$7:$L1503,ROW()-1),1,0),
        3
      )
  )
)</f>
        <v/>
      </c>
      <c r="S144" s="22" t="str">
        <f t="shared" si="4"/>
        <v/>
      </c>
      <c r="T144" s="6" t="str">
        <f t="array" ref="T144">IF(
  B144="",
  ,
  DATEDIF(
    B144 + IF(INDEX(Input!$K$7:$K1503,ROW()-1),0,1),
    C144 + IF(INDEX(Input!$L$7:$L1503,ROW()-1),1,0),
    "Y"
  )
)</f>
        <v/>
      </c>
      <c r="U144" s="6" t="str">
        <f t="array" ref="U144">IF(
  B144="",
  ,
  (C144 + IF(INDEX(Input!$L$7:$L1503,ROW()-1),1,0))
  - EDATE(
      B144 + IF(INDEX(Input!$K$7:$K1503,ROW()-1),0,1),
      12*S144
    )
)</f>
        <v/>
      </c>
      <c r="V144" s="6" t="str">
        <f t="shared" si="5"/>
        <v/>
      </c>
      <c r="W144" s="6" t="str">
        <f t="shared" si="6"/>
        <v/>
      </c>
    </row>
    <row r="145">
      <c r="A145" s="18"/>
      <c r="B145" s="18"/>
      <c r="C145" s="18"/>
      <c r="D145" s="18"/>
      <c r="E145" s="18"/>
      <c r="F145" s="18"/>
      <c r="G145" s="22"/>
      <c r="H145" s="18"/>
      <c r="I145" s="18">
        <v>0.0</v>
      </c>
      <c r="J145" s="18">
        <v>0.0</v>
      </c>
      <c r="K145" s="18"/>
      <c r="L145" s="18"/>
      <c r="M145" s="22" t="str">
        <f t="shared" si="1"/>
        <v/>
      </c>
      <c r="N145" s="18" t="str">
        <f>IF(A145="",,IF(ROW()=2, Input!$C$2 + I145, P144 + I145))</f>
        <v/>
      </c>
      <c r="O145" s="23" t="str">
        <f>IF(A145="",,
 IF(K145="Initial principal",
   Input!$C$2 * M145,
   N145 * M145
 )
)</f>
        <v/>
      </c>
      <c r="P145" s="18" t="str">
        <f t="shared" si="2"/>
        <v/>
      </c>
      <c r="Q145" s="18" t="str">
        <f t="shared" si="3"/>
        <v/>
      </c>
      <c r="R145" s="18" t="str">
        <f t="array" ref="R145">IF(
  B145="",
  ,
  SWITCH(
    Input!$C$4,
    "Actual/365 Fixed",
      YEARFRAC(
        B145 + IF(INDEX(Input!$K$7:$K1503,ROW()-1),0,1),
        C145 + IF(INDEX(Input!$L$7:$L1503,ROW()-1),1,0),
        3
      ),
    "Anniversary/365",
      DATEDIF(
        B145 + IF(INDEX(Input!$K$7:$K1503,ROW()-1),0,1),
        C145 + IF(INDEX(Input!$L$7:$L1503,ROW()-1),1,0),
        "Y"
      )
      +
      (
        (C145 + IF(INDEX(Input!$L$7:$L1503,ROW()-1),1,0))
        -
        EDATE(
          B145 + IF(INDEX(Input!$K$7:$K1503,ROW()-1),0,1),
          12*DATEDIF(
            B145 + IF(INDEX(Input!$K$7:$K1503,ROW()-1),0,1),
            C145 + IF(INDEX(Input!$L$7:$L1503,ROW()-1),1,0),
            "Y"
          )
        )
      ) / 365,
    "Actual/Actual",
      YEARFRAC(
        B145 + IF(INDEX(Input!$K$7:$K1503,ROW()-1),0,1),
        C145 + IF(INDEX(Input!$L$7:$L1503,ROW()-1),1,0),
        1
      ),
      YEARFRAC(
        B145 + IF(INDEX(Input!$K$7:$K1503,ROW()-1),0,1),
        C145 + IF(INDEX(Input!$L$7:$L1503,ROW()-1),1,0),
        3
      )
  )
)</f>
        <v/>
      </c>
      <c r="S145" s="22" t="str">
        <f t="shared" si="4"/>
        <v/>
      </c>
      <c r="T145" s="6" t="str">
        <f t="array" ref="T145">IF(
  B145="",
  ,
  DATEDIF(
    B145 + IF(INDEX(Input!$K$7:$K1503,ROW()-1),0,1),
    C145 + IF(INDEX(Input!$L$7:$L1503,ROW()-1),1,0),
    "Y"
  )
)</f>
        <v/>
      </c>
      <c r="U145" s="6" t="str">
        <f t="array" ref="U145">IF(
  B145="",
  ,
  (C145 + IF(INDEX(Input!$L$7:$L1503,ROW()-1),1,0))
  - EDATE(
      B145 + IF(INDEX(Input!$K$7:$K1503,ROW()-1),0,1),
      12*S145
    )
)</f>
        <v/>
      </c>
      <c r="V145" s="6" t="str">
        <f t="shared" si="5"/>
        <v/>
      </c>
      <c r="W145" s="6" t="str">
        <f t="shared" si="6"/>
        <v/>
      </c>
    </row>
    <row r="146">
      <c r="A146" s="18"/>
      <c r="B146" s="18"/>
      <c r="C146" s="18"/>
      <c r="D146" s="18"/>
      <c r="E146" s="18"/>
      <c r="F146" s="18"/>
      <c r="G146" s="22"/>
      <c r="H146" s="18"/>
      <c r="I146" s="18">
        <v>0.0</v>
      </c>
      <c r="J146" s="18">
        <v>0.0</v>
      </c>
      <c r="K146" s="18"/>
      <c r="L146" s="18"/>
      <c r="M146" s="22" t="str">
        <f t="shared" si="1"/>
        <v/>
      </c>
      <c r="N146" s="18" t="str">
        <f>IF(A146="",,IF(ROW()=2, Input!$C$2 + I146, P145 + I146))</f>
        <v/>
      </c>
      <c r="O146" s="23" t="str">
        <f>IF(A146="",,
 IF(K146="Initial principal",
   Input!$C$2 * M146,
   N146 * M146
 )
)</f>
        <v/>
      </c>
      <c r="P146" s="18" t="str">
        <f t="shared" si="2"/>
        <v/>
      </c>
      <c r="Q146" s="18" t="str">
        <f t="shared" si="3"/>
        <v/>
      </c>
      <c r="R146" s="18" t="str">
        <f t="array" ref="R146">IF(
  B146="",
  ,
  SWITCH(
    Input!$C$4,
    "Actual/365 Fixed",
      YEARFRAC(
        B146 + IF(INDEX(Input!$K$7:$K1503,ROW()-1),0,1),
        C146 + IF(INDEX(Input!$L$7:$L1503,ROW()-1),1,0),
        3
      ),
    "Anniversary/365",
      DATEDIF(
        B146 + IF(INDEX(Input!$K$7:$K1503,ROW()-1),0,1),
        C146 + IF(INDEX(Input!$L$7:$L1503,ROW()-1),1,0),
        "Y"
      )
      +
      (
        (C146 + IF(INDEX(Input!$L$7:$L1503,ROW()-1),1,0))
        -
        EDATE(
          B146 + IF(INDEX(Input!$K$7:$K1503,ROW()-1),0,1),
          12*DATEDIF(
            B146 + IF(INDEX(Input!$K$7:$K1503,ROW()-1),0,1),
            C146 + IF(INDEX(Input!$L$7:$L1503,ROW()-1),1,0),
            "Y"
          )
        )
      ) / 365,
    "Actual/Actual",
      YEARFRAC(
        B146 + IF(INDEX(Input!$K$7:$K1503,ROW()-1),0,1),
        C146 + IF(INDEX(Input!$L$7:$L1503,ROW()-1),1,0),
        1
      ),
      YEARFRAC(
        B146 + IF(INDEX(Input!$K$7:$K1503,ROW()-1),0,1),
        C146 + IF(INDEX(Input!$L$7:$L1503,ROW()-1),1,0),
        3
      )
  )
)</f>
        <v/>
      </c>
      <c r="S146" s="22" t="str">
        <f t="shared" si="4"/>
        <v/>
      </c>
      <c r="T146" s="6" t="str">
        <f t="array" ref="T146">IF(
  B146="",
  ,
  DATEDIF(
    B146 + IF(INDEX(Input!$K$7:$K1503,ROW()-1),0,1),
    C146 + IF(INDEX(Input!$L$7:$L1503,ROW()-1),1,0),
    "Y"
  )
)</f>
        <v/>
      </c>
      <c r="U146" s="6" t="str">
        <f t="array" ref="U146">IF(
  B146="",
  ,
  (C146 + IF(INDEX(Input!$L$7:$L1503,ROW()-1),1,0))
  - EDATE(
      B146 + IF(INDEX(Input!$K$7:$K1503,ROW()-1),0,1),
      12*S146
    )
)</f>
        <v/>
      </c>
      <c r="V146" s="6" t="str">
        <f t="shared" si="5"/>
        <v/>
      </c>
      <c r="W146" s="6" t="str">
        <f t="shared" si="6"/>
        <v/>
      </c>
    </row>
    <row r="147">
      <c r="A147" s="18"/>
      <c r="B147" s="18"/>
      <c r="C147" s="18"/>
      <c r="D147" s="18"/>
      <c r="E147" s="18"/>
      <c r="F147" s="18"/>
      <c r="G147" s="22"/>
      <c r="H147" s="18"/>
      <c r="I147" s="18">
        <v>0.0</v>
      </c>
      <c r="J147" s="18">
        <v>0.0</v>
      </c>
      <c r="K147" s="18"/>
      <c r="L147" s="18"/>
      <c r="M147" s="22" t="str">
        <f t="shared" si="1"/>
        <v/>
      </c>
      <c r="N147" s="18" t="str">
        <f>IF(A147="",,IF(ROW()=2, Input!$C$2 + I147, P146 + I147))</f>
        <v/>
      </c>
      <c r="O147" s="23" t="str">
        <f>IF(A147="",,
 IF(K147="Initial principal",
   Input!$C$2 * M147,
   N147 * M147
 )
)</f>
        <v/>
      </c>
      <c r="P147" s="18" t="str">
        <f t="shared" si="2"/>
        <v/>
      </c>
      <c r="Q147" s="18" t="str">
        <f t="shared" si="3"/>
        <v/>
      </c>
      <c r="R147" s="18" t="str">
        <f t="array" ref="R147">IF(
  B147="",
  ,
  SWITCH(
    Input!$C$4,
    "Actual/365 Fixed",
      YEARFRAC(
        B147 + IF(INDEX(Input!$K$7:$K1503,ROW()-1),0,1),
        C147 + IF(INDEX(Input!$L$7:$L1503,ROW()-1),1,0),
        3
      ),
    "Anniversary/365",
      DATEDIF(
        B147 + IF(INDEX(Input!$K$7:$K1503,ROW()-1),0,1),
        C147 + IF(INDEX(Input!$L$7:$L1503,ROW()-1),1,0),
        "Y"
      )
      +
      (
        (C147 + IF(INDEX(Input!$L$7:$L1503,ROW()-1),1,0))
        -
        EDATE(
          B147 + IF(INDEX(Input!$K$7:$K1503,ROW()-1),0,1),
          12*DATEDIF(
            B147 + IF(INDEX(Input!$K$7:$K1503,ROW()-1),0,1),
            C147 + IF(INDEX(Input!$L$7:$L1503,ROW()-1),1,0),
            "Y"
          )
        )
      ) / 365,
    "Actual/Actual",
      YEARFRAC(
        B147 + IF(INDEX(Input!$K$7:$K1503,ROW()-1),0,1),
        C147 + IF(INDEX(Input!$L$7:$L1503,ROW()-1),1,0),
        1
      ),
      YEARFRAC(
        B147 + IF(INDEX(Input!$K$7:$K1503,ROW()-1),0,1),
        C147 + IF(INDEX(Input!$L$7:$L1503,ROW()-1),1,0),
        3
      )
  )
)</f>
        <v/>
      </c>
      <c r="S147" s="22" t="str">
        <f t="shared" si="4"/>
        <v/>
      </c>
      <c r="T147" s="6" t="str">
        <f t="array" ref="T147">IF(
  B147="",
  ,
  DATEDIF(
    B147 + IF(INDEX(Input!$K$7:$K1503,ROW()-1),0,1),
    C147 + IF(INDEX(Input!$L$7:$L1503,ROW()-1),1,0),
    "Y"
  )
)</f>
        <v/>
      </c>
      <c r="U147" s="6" t="str">
        <f t="array" ref="U147">IF(
  B147="",
  ,
  (C147 + IF(INDEX(Input!$L$7:$L1503,ROW()-1),1,0))
  - EDATE(
      B147 + IF(INDEX(Input!$K$7:$K1503,ROW()-1),0,1),
      12*S147
    )
)</f>
        <v/>
      </c>
      <c r="V147" s="6" t="str">
        <f t="shared" si="5"/>
        <v/>
      </c>
      <c r="W147" s="6" t="str">
        <f t="shared" si="6"/>
        <v/>
      </c>
    </row>
    <row r="148">
      <c r="A148" s="18"/>
      <c r="B148" s="18"/>
      <c r="C148" s="18"/>
      <c r="D148" s="18"/>
      <c r="E148" s="18"/>
      <c r="F148" s="18"/>
      <c r="G148" s="22"/>
      <c r="H148" s="18"/>
      <c r="I148" s="18">
        <v>0.0</v>
      </c>
      <c r="J148" s="18">
        <v>0.0</v>
      </c>
      <c r="K148" s="18"/>
      <c r="L148" s="18"/>
      <c r="M148" s="22" t="str">
        <f t="shared" si="1"/>
        <v/>
      </c>
      <c r="N148" s="18" t="str">
        <f>IF(A148="",,IF(ROW()=2, Input!$C$2 + I148, P147 + I148))</f>
        <v/>
      </c>
      <c r="O148" s="23" t="str">
        <f>IF(A148="",,
 IF(K148="Initial principal",
   Input!$C$2 * M148,
   N148 * M148
 )
)</f>
        <v/>
      </c>
      <c r="P148" s="18" t="str">
        <f t="shared" si="2"/>
        <v/>
      </c>
      <c r="Q148" s="18" t="str">
        <f t="shared" si="3"/>
        <v/>
      </c>
      <c r="R148" s="18" t="str">
        <f t="array" ref="R148">IF(
  B148="",
  ,
  SWITCH(
    Input!$C$4,
    "Actual/365 Fixed",
      YEARFRAC(
        B148 + IF(INDEX(Input!$K$7:$K1503,ROW()-1),0,1),
        C148 + IF(INDEX(Input!$L$7:$L1503,ROW()-1),1,0),
        3
      ),
    "Anniversary/365",
      DATEDIF(
        B148 + IF(INDEX(Input!$K$7:$K1503,ROW()-1),0,1),
        C148 + IF(INDEX(Input!$L$7:$L1503,ROW()-1),1,0),
        "Y"
      )
      +
      (
        (C148 + IF(INDEX(Input!$L$7:$L1503,ROW()-1),1,0))
        -
        EDATE(
          B148 + IF(INDEX(Input!$K$7:$K1503,ROW()-1),0,1),
          12*DATEDIF(
            B148 + IF(INDEX(Input!$K$7:$K1503,ROW()-1),0,1),
            C148 + IF(INDEX(Input!$L$7:$L1503,ROW()-1),1,0),
            "Y"
          )
        )
      ) / 365,
    "Actual/Actual",
      YEARFRAC(
        B148 + IF(INDEX(Input!$K$7:$K1503,ROW()-1),0,1),
        C148 + IF(INDEX(Input!$L$7:$L1503,ROW()-1),1,0),
        1
      ),
      YEARFRAC(
        B148 + IF(INDEX(Input!$K$7:$K1503,ROW()-1),0,1),
        C148 + IF(INDEX(Input!$L$7:$L1503,ROW()-1),1,0),
        3
      )
  )
)</f>
        <v/>
      </c>
      <c r="S148" s="22" t="str">
        <f t="shared" si="4"/>
        <v/>
      </c>
      <c r="T148" s="6" t="str">
        <f t="array" ref="T148">IF(
  B148="",
  ,
  DATEDIF(
    B148 + IF(INDEX(Input!$K$7:$K1503,ROW()-1),0,1),
    C148 + IF(INDEX(Input!$L$7:$L1503,ROW()-1),1,0),
    "Y"
  )
)</f>
        <v/>
      </c>
      <c r="U148" s="6" t="str">
        <f t="array" ref="U148">IF(
  B148="",
  ,
  (C148 + IF(INDEX(Input!$L$7:$L1503,ROW()-1),1,0))
  - EDATE(
      B148 + IF(INDEX(Input!$K$7:$K1503,ROW()-1),0,1),
      12*S148
    )
)</f>
        <v/>
      </c>
      <c r="V148" s="6" t="str">
        <f t="shared" si="5"/>
        <v/>
      </c>
      <c r="W148" s="6" t="str">
        <f t="shared" si="6"/>
        <v/>
      </c>
    </row>
    <row r="149">
      <c r="A149" s="18"/>
      <c r="B149" s="18"/>
      <c r="C149" s="18"/>
      <c r="D149" s="18"/>
      <c r="E149" s="18"/>
      <c r="F149" s="18"/>
      <c r="G149" s="22"/>
      <c r="H149" s="18"/>
      <c r="I149" s="18">
        <v>0.0</v>
      </c>
      <c r="J149" s="18">
        <v>0.0</v>
      </c>
      <c r="K149" s="18"/>
      <c r="L149" s="18"/>
      <c r="M149" s="22" t="str">
        <f t="shared" si="1"/>
        <v/>
      </c>
      <c r="N149" s="18" t="str">
        <f>IF(A149="",,IF(ROW()=2, Input!$C$2 + I149, P148 + I149))</f>
        <v/>
      </c>
      <c r="O149" s="23" t="str">
        <f>IF(A149="",,
 IF(K149="Initial principal",
   Input!$C$2 * M149,
   N149 * M149
 )
)</f>
        <v/>
      </c>
      <c r="P149" s="18" t="str">
        <f t="shared" si="2"/>
        <v/>
      </c>
      <c r="Q149" s="18" t="str">
        <f t="shared" si="3"/>
        <v/>
      </c>
      <c r="R149" s="18" t="str">
        <f t="array" ref="R149">IF(
  B149="",
  ,
  SWITCH(
    Input!$C$4,
    "Actual/365 Fixed",
      YEARFRAC(
        B149 + IF(INDEX(Input!$K$7:$K1503,ROW()-1),0,1),
        C149 + IF(INDEX(Input!$L$7:$L1503,ROW()-1),1,0),
        3
      ),
    "Anniversary/365",
      DATEDIF(
        B149 + IF(INDEX(Input!$K$7:$K1503,ROW()-1),0,1),
        C149 + IF(INDEX(Input!$L$7:$L1503,ROW()-1),1,0),
        "Y"
      )
      +
      (
        (C149 + IF(INDEX(Input!$L$7:$L1503,ROW()-1),1,0))
        -
        EDATE(
          B149 + IF(INDEX(Input!$K$7:$K1503,ROW()-1),0,1),
          12*DATEDIF(
            B149 + IF(INDEX(Input!$K$7:$K1503,ROW()-1),0,1),
            C149 + IF(INDEX(Input!$L$7:$L1503,ROW()-1),1,0),
            "Y"
          )
        )
      ) / 365,
    "Actual/Actual",
      YEARFRAC(
        B149 + IF(INDEX(Input!$K$7:$K1503,ROW()-1),0,1),
        C149 + IF(INDEX(Input!$L$7:$L1503,ROW()-1),1,0),
        1
      ),
      YEARFRAC(
        B149 + IF(INDEX(Input!$K$7:$K1503,ROW()-1),0,1),
        C149 + IF(INDEX(Input!$L$7:$L1503,ROW()-1),1,0),
        3
      )
  )
)</f>
        <v/>
      </c>
      <c r="S149" s="22" t="str">
        <f t="shared" si="4"/>
        <v/>
      </c>
      <c r="T149" s="6" t="str">
        <f t="array" ref="T149">IF(
  B149="",
  ,
  DATEDIF(
    B149 + IF(INDEX(Input!$K$7:$K1503,ROW()-1),0,1),
    C149 + IF(INDEX(Input!$L$7:$L1503,ROW()-1),1,0),
    "Y"
  )
)</f>
        <v/>
      </c>
      <c r="U149" s="6" t="str">
        <f t="array" ref="U149">IF(
  B149="",
  ,
  (C149 + IF(INDEX(Input!$L$7:$L1503,ROW()-1),1,0))
  - EDATE(
      B149 + IF(INDEX(Input!$K$7:$K1503,ROW()-1),0,1),
      12*S149
    )
)</f>
        <v/>
      </c>
      <c r="V149" s="6" t="str">
        <f t="shared" si="5"/>
        <v/>
      </c>
      <c r="W149" s="6" t="str">
        <f t="shared" si="6"/>
        <v/>
      </c>
    </row>
    <row r="150">
      <c r="A150" s="18"/>
      <c r="B150" s="18"/>
      <c r="C150" s="18"/>
      <c r="D150" s="18"/>
      <c r="E150" s="18"/>
      <c r="F150" s="18"/>
      <c r="G150" s="22"/>
      <c r="H150" s="18"/>
      <c r="I150" s="18">
        <v>0.0</v>
      </c>
      <c r="J150" s="18">
        <v>0.0</v>
      </c>
      <c r="K150" s="18"/>
      <c r="L150" s="18"/>
      <c r="M150" s="22" t="str">
        <f t="shared" si="1"/>
        <v/>
      </c>
      <c r="N150" s="18" t="str">
        <f>IF(A150="",,IF(ROW()=2, Input!$C$2 + I150, P149 + I150))</f>
        <v/>
      </c>
      <c r="O150" s="23" t="str">
        <f>IF(A150="",,
 IF(K150="Initial principal",
   Input!$C$2 * M150,
   N150 * M150
 )
)</f>
        <v/>
      </c>
      <c r="P150" s="18" t="str">
        <f t="shared" si="2"/>
        <v/>
      </c>
      <c r="Q150" s="18" t="str">
        <f t="shared" si="3"/>
        <v/>
      </c>
      <c r="R150" s="18" t="str">
        <f t="array" ref="R150">IF(
  B150="",
  ,
  SWITCH(
    Input!$C$4,
    "Actual/365 Fixed",
      YEARFRAC(
        B150 + IF(INDEX(Input!$K$7:$K1503,ROW()-1),0,1),
        C150 + IF(INDEX(Input!$L$7:$L1503,ROW()-1),1,0),
        3
      ),
    "Anniversary/365",
      DATEDIF(
        B150 + IF(INDEX(Input!$K$7:$K1503,ROW()-1),0,1),
        C150 + IF(INDEX(Input!$L$7:$L1503,ROW()-1),1,0),
        "Y"
      )
      +
      (
        (C150 + IF(INDEX(Input!$L$7:$L1503,ROW()-1),1,0))
        -
        EDATE(
          B150 + IF(INDEX(Input!$K$7:$K1503,ROW()-1),0,1),
          12*DATEDIF(
            B150 + IF(INDEX(Input!$K$7:$K1503,ROW()-1),0,1),
            C150 + IF(INDEX(Input!$L$7:$L1503,ROW()-1),1,0),
            "Y"
          )
        )
      ) / 365,
    "Actual/Actual",
      YEARFRAC(
        B150 + IF(INDEX(Input!$K$7:$K1503,ROW()-1),0,1),
        C150 + IF(INDEX(Input!$L$7:$L1503,ROW()-1),1,0),
        1
      ),
      YEARFRAC(
        B150 + IF(INDEX(Input!$K$7:$K1503,ROW()-1),0,1),
        C150 + IF(INDEX(Input!$L$7:$L1503,ROW()-1),1,0),
        3
      )
  )
)</f>
        <v/>
      </c>
      <c r="S150" s="22" t="str">
        <f t="shared" si="4"/>
        <v/>
      </c>
      <c r="T150" s="6" t="str">
        <f t="array" ref="T150">IF(
  B150="",
  ,
  DATEDIF(
    B150 + IF(INDEX(Input!$K$7:$K1503,ROW()-1),0,1),
    C150 + IF(INDEX(Input!$L$7:$L1503,ROW()-1),1,0),
    "Y"
  )
)</f>
        <v/>
      </c>
      <c r="U150" s="6" t="str">
        <f t="array" ref="U150">IF(
  B150="",
  ,
  (C150 + IF(INDEX(Input!$L$7:$L1503,ROW()-1),1,0))
  - EDATE(
      B150 + IF(INDEX(Input!$K$7:$K1503,ROW()-1),0,1),
      12*S150
    )
)</f>
        <v/>
      </c>
      <c r="V150" s="6" t="str">
        <f t="shared" si="5"/>
        <v/>
      </c>
      <c r="W150" s="6" t="str">
        <f t="shared" si="6"/>
        <v/>
      </c>
    </row>
    <row r="151">
      <c r="A151" s="18"/>
      <c r="B151" s="18"/>
      <c r="C151" s="18"/>
      <c r="D151" s="18"/>
      <c r="E151" s="18"/>
      <c r="F151" s="18"/>
      <c r="G151" s="22"/>
      <c r="H151" s="18"/>
      <c r="I151" s="18">
        <v>0.0</v>
      </c>
      <c r="J151" s="18">
        <v>0.0</v>
      </c>
      <c r="K151" s="18"/>
      <c r="L151" s="18"/>
      <c r="M151" s="22" t="str">
        <f t="shared" si="1"/>
        <v/>
      </c>
      <c r="N151" s="18" t="str">
        <f>IF(A151="",,IF(ROW()=2, Input!$C$2 + I151, P150 + I151))</f>
        <v/>
      </c>
      <c r="O151" s="23" t="str">
        <f>IF(A151="",,
 IF(K151="Initial principal",
   Input!$C$2 * M151,
   N151 * M151
 )
)</f>
        <v/>
      </c>
      <c r="P151" s="18" t="str">
        <f t="shared" si="2"/>
        <v/>
      </c>
      <c r="Q151" s="18" t="str">
        <f t="shared" si="3"/>
        <v/>
      </c>
      <c r="R151" s="18" t="str">
        <f t="array" ref="R151">IF(
  B151="",
  ,
  SWITCH(
    Input!$C$4,
    "Actual/365 Fixed",
      YEARFRAC(
        B151 + IF(INDEX(Input!$K$7:$K1503,ROW()-1),0,1),
        C151 + IF(INDEX(Input!$L$7:$L1503,ROW()-1),1,0),
        3
      ),
    "Anniversary/365",
      DATEDIF(
        B151 + IF(INDEX(Input!$K$7:$K1503,ROW()-1),0,1),
        C151 + IF(INDEX(Input!$L$7:$L1503,ROW()-1),1,0),
        "Y"
      )
      +
      (
        (C151 + IF(INDEX(Input!$L$7:$L1503,ROW()-1),1,0))
        -
        EDATE(
          B151 + IF(INDEX(Input!$K$7:$K1503,ROW()-1),0,1),
          12*DATEDIF(
            B151 + IF(INDEX(Input!$K$7:$K1503,ROW()-1),0,1),
            C151 + IF(INDEX(Input!$L$7:$L1503,ROW()-1),1,0),
            "Y"
          )
        )
      ) / 365,
    "Actual/Actual",
      YEARFRAC(
        B151 + IF(INDEX(Input!$K$7:$K1503,ROW()-1),0,1),
        C151 + IF(INDEX(Input!$L$7:$L1503,ROW()-1),1,0),
        1
      ),
      YEARFRAC(
        B151 + IF(INDEX(Input!$K$7:$K1503,ROW()-1),0,1),
        C151 + IF(INDEX(Input!$L$7:$L1503,ROW()-1),1,0),
        3
      )
  )
)</f>
        <v/>
      </c>
      <c r="S151" s="22" t="str">
        <f t="shared" si="4"/>
        <v/>
      </c>
      <c r="T151" s="6" t="str">
        <f t="array" ref="T151">IF(
  B151="",
  ,
  DATEDIF(
    B151 + IF(INDEX(Input!$K$7:$K1503,ROW()-1),0,1),
    C151 + IF(INDEX(Input!$L$7:$L1503,ROW()-1),1,0),
    "Y"
  )
)</f>
        <v/>
      </c>
      <c r="U151" s="6" t="str">
        <f t="array" ref="U151">IF(
  B151="",
  ,
  (C151 + IF(INDEX(Input!$L$7:$L1503,ROW()-1),1,0))
  - EDATE(
      B151 + IF(INDEX(Input!$K$7:$K1503,ROW()-1),0,1),
      12*S151
    )
)</f>
        <v/>
      </c>
      <c r="V151" s="6" t="str">
        <f t="shared" si="5"/>
        <v/>
      </c>
      <c r="W151" s="6" t="str">
        <f t="shared" si="6"/>
        <v/>
      </c>
    </row>
    <row r="152">
      <c r="A152" s="18"/>
      <c r="B152" s="18"/>
      <c r="C152" s="18"/>
      <c r="D152" s="18"/>
      <c r="E152" s="18"/>
      <c r="F152" s="18"/>
      <c r="G152" s="22"/>
      <c r="H152" s="18"/>
      <c r="I152" s="18">
        <v>0.0</v>
      </c>
      <c r="J152" s="18">
        <v>0.0</v>
      </c>
      <c r="K152" s="18"/>
      <c r="L152" s="18"/>
      <c r="M152" s="22" t="str">
        <f t="shared" si="1"/>
        <v/>
      </c>
      <c r="N152" s="18" t="str">
        <f>IF(A152="",,IF(ROW()=2, Input!$C$2 + I152, P151 + I152))</f>
        <v/>
      </c>
      <c r="O152" s="23" t="str">
        <f>IF(A152="",,
 IF(K152="Initial principal",
   Input!$C$2 * M152,
   N152 * M152
 )
)</f>
        <v/>
      </c>
      <c r="P152" s="18" t="str">
        <f t="shared" si="2"/>
        <v/>
      </c>
      <c r="Q152" s="18" t="str">
        <f t="shared" si="3"/>
        <v/>
      </c>
      <c r="R152" s="18" t="str">
        <f t="array" ref="R152">IF(
  B152="",
  ,
  SWITCH(
    Input!$C$4,
    "Actual/365 Fixed",
      YEARFRAC(
        B152 + IF(INDEX(Input!$K$7:$K1503,ROW()-1),0,1),
        C152 + IF(INDEX(Input!$L$7:$L1503,ROW()-1),1,0),
        3
      ),
    "Anniversary/365",
      DATEDIF(
        B152 + IF(INDEX(Input!$K$7:$K1503,ROW()-1),0,1),
        C152 + IF(INDEX(Input!$L$7:$L1503,ROW()-1),1,0),
        "Y"
      )
      +
      (
        (C152 + IF(INDEX(Input!$L$7:$L1503,ROW()-1),1,0))
        -
        EDATE(
          B152 + IF(INDEX(Input!$K$7:$K1503,ROW()-1),0,1),
          12*DATEDIF(
            B152 + IF(INDEX(Input!$K$7:$K1503,ROW()-1),0,1),
            C152 + IF(INDEX(Input!$L$7:$L1503,ROW()-1),1,0),
            "Y"
          )
        )
      ) / 365,
    "Actual/Actual",
      YEARFRAC(
        B152 + IF(INDEX(Input!$K$7:$K1503,ROW()-1),0,1),
        C152 + IF(INDEX(Input!$L$7:$L1503,ROW()-1),1,0),
        1
      ),
      YEARFRAC(
        B152 + IF(INDEX(Input!$K$7:$K1503,ROW()-1),0,1),
        C152 + IF(INDEX(Input!$L$7:$L1503,ROW()-1),1,0),
        3
      )
  )
)</f>
        <v/>
      </c>
      <c r="S152" s="22" t="str">
        <f t="shared" si="4"/>
        <v/>
      </c>
      <c r="T152" s="6" t="str">
        <f t="array" ref="T152">IF(
  B152="",
  ,
  DATEDIF(
    B152 + IF(INDEX(Input!$K$7:$K1503,ROW()-1),0,1),
    C152 + IF(INDEX(Input!$L$7:$L1503,ROW()-1),1,0),
    "Y"
  )
)</f>
        <v/>
      </c>
      <c r="U152" s="6" t="str">
        <f t="array" ref="U152">IF(
  B152="",
  ,
  (C152 + IF(INDEX(Input!$L$7:$L1503,ROW()-1),1,0))
  - EDATE(
      B152 + IF(INDEX(Input!$K$7:$K1503,ROW()-1),0,1),
      12*S152
    )
)</f>
        <v/>
      </c>
      <c r="V152" s="6" t="str">
        <f t="shared" si="5"/>
        <v/>
      </c>
      <c r="W152" s="6" t="str">
        <f t="shared" si="6"/>
        <v/>
      </c>
    </row>
    <row r="153">
      <c r="A153" s="18"/>
      <c r="B153" s="18"/>
      <c r="C153" s="18"/>
      <c r="D153" s="18"/>
      <c r="E153" s="18"/>
      <c r="F153" s="18"/>
      <c r="G153" s="22"/>
      <c r="H153" s="18"/>
      <c r="I153" s="18">
        <v>0.0</v>
      </c>
      <c r="J153" s="18">
        <v>0.0</v>
      </c>
      <c r="K153" s="18"/>
      <c r="L153" s="18"/>
      <c r="M153" s="22" t="str">
        <f t="shared" si="1"/>
        <v/>
      </c>
      <c r="N153" s="18" t="str">
        <f>IF(A153="",,IF(ROW()=2, Input!$C$2 + I153, P152 + I153))</f>
        <v/>
      </c>
      <c r="O153" s="23" t="str">
        <f>IF(A153="",,
 IF(K153="Initial principal",
   Input!$C$2 * M153,
   N153 * M153
 )
)</f>
        <v/>
      </c>
      <c r="P153" s="18" t="str">
        <f t="shared" si="2"/>
        <v/>
      </c>
      <c r="Q153" s="18" t="str">
        <f t="shared" si="3"/>
        <v/>
      </c>
      <c r="R153" s="18" t="str">
        <f t="array" ref="R153">IF(
  B153="",
  ,
  SWITCH(
    Input!$C$4,
    "Actual/365 Fixed",
      YEARFRAC(
        B153 + IF(INDEX(Input!$K$7:$K1503,ROW()-1),0,1),
        C153 + IF(INDEX(Input!$L$7:$L1503,ROW()-1),1,0),
        3
      ),
    "Anniversary/365",
      DATEDIF(
        B153 + IF(INDEX(Input!$K$7:$K1503,ROW()-1),0,1),
        C153 + IF(INDEX(Input!$L$7:$L1503,ROW()-1),1,0),
        "Y"
      )
      +
      (
        (C153 + IF(INDEX(Input!$L$7:$L1503,ROW()-1),1,0))
        -
        EDATE(
          B153 + IF(INDEX(Input!$K$7:$K1503,ROW()-1),0,1),
          12*DATEDIF(
            B153 + IF(INDEX(Input!$K$7:$K1503,ROW()-1),0,1),
            C153 + IF(INDEX(Input!$L$7:$L1503,ROW()-1),1,0),
            "Y"
          )
        )
      ) / 365,
    "Actual/Actual",
      YEARFRAC(
        B153 + IF(INDEX(Input!$K$7:$K1503,ROW()-1),0,1),
        C153 + IF(INDEX(Input!$L$7:$L1503,ROW()-1),1,0),
        1
      ),
      YEARFRAC(
        B153 + IF(INDEX(Input!$K$7:$K1503,ROW()-1),0,1),
        C153 + IF(INDEX(Input!$L$7:$L1503,ROW()-1),1,0),
        3
      )
  )
)</f>
        <v/>
      </c>
      <c r="S153" s="22" t="str">
        <f t="shared" si="4"/>
        <v/>
      </c>
      <c r="T153" s="6" t="str">
        <f t="array" ref="T153">IF(
  B153="",
  ,
  DATEDIF(
    B153 + IF(INDEX(Input!$K$7:$K1503,ROW()-1),0,1),
    C153 + IF(INDEX(Input!$L$7:$L1503,ROW()-1),1,0),
    "Y"
  )
)</f>
        <v/>
      </c>
      <c r="U153" s="6" t="str">
        <f t="array" ref="U153">IF(
  B153="",
  ,
  (C153 + IF(INDEX(Input!$L$7:$L1503,ROW()-1),1,0))
  - EDATE(
      B153 + IF(INDEX(Input!$K$7:$K1503,ROW()-1),0,1),
      12*S153
    )
)</f>
        <v/>
      </c>
      <c r="V153" s="6" t="str">
        <f t="shared" si="5"/>
        <v/>
      </c>
      <c r="W153" s="6" t="str">
        <f t="shared" si="6"/>
        <v/>
      </c>
    </row>
    <row r="154">
      <c r="A154" s="18"/>
      <c r="B154" s="18"/>
      <c r="C154" s="18"/>
      <c r="D154" s="18"/>
      <c r="E154" s="18"/>
      <c r="F154" s="18"/>
      <c r="G154" s="22"/>
      <c r="H154" s="18"/>
      <c r="I154" s="18">
        <v>0.0</v>
      </c>
      <c r="J154" s="18">
        <v>0.0</v>
      </c>
      <c r="K154" s="18"/>
      <c r="L154" s="18"/>
      <c r="M154" s="22" t="str">
        <f t="shared" si="1"/>
        <v/>
      </c>
      <c r="N154" s="18" t="str">
        <f>IF(A154="",,IF(ROW()=2, Input!$C$2 + I154, P153 + I154))</f>
        <v/>
      </c>
      <c r="O154" s="23" t="str">
        <f>IF(A154="",,
 IF(K154="Initial principal",
   Input!$C$2 * M154,
   N154 * M154
 )
)</f>
        <v/>
      </c>
      <c r="P154" s="18" t="str">
        <f t="shared" si="2"/>
        <v/>
      </c>
      <c r="Q154" s="18" t="str">
        <f t="shared" si="3"/>
        <v/>
      </c>
      <c r="R154" s="18" t="str">
        <f t="array" ref="R154">IF(
  B154="",
  ,
  SWITCH(
    Input!$C$4,
    "Actual/365 Fixed",
      YEARFRAC(
        B154 + IF(INDEX(Input!$K$7:$K1503,ROW()-1),0,1),
        C154 + IF(INDEX(Input!$L$7:$L1503,ROW()-1),1,0),
        3
      ),
    "Anniversary/365",
      DATEDIF(
        B154 + IF(INDEX(Input!$K$7:$K1503,ROW()-1),0,1),
        C154 + IF(INDEX(Input!$L$7:$L1503,ROW()-1),1,0),
        "Y"
      )
      +
      (
        (C154 + IF(INDEX(Input!$L$7:$L1503,ROW()-1),1,0))
        -
        EDATE(
          B154 + IF(INDEX(Input!$K$7:$K1503,ROW()-1),0,1),
          12*DATEDIF(
            B154 + IF(INDEX(Input!$K$7:$K1503,ROW()-1),0,1),
            C154 + IF(INDEX(Input!$L$7:$L1503,ROW()-1),1,0),
            "Y"
          )
        )
      ) / 365,
    "Actual/Actual",
      YEARFRAC(
        B154 + IF(INDEX(Input!$K$7:$K1503,ROW()-1),0,1),
        C154 + IF(INDEX(Input!$L$7:$L1503,ROW()-1),1,0),
        1
      ),
      YEARFRAC(
        B154 + IF(INDEX(Input!$K$7:$K1503,ROW()-1),0,1),
        C154 + IF(INDEX(Input!$L$7:$L1503,ROW()-1),1,0),
        3
      )
  )
)</f>
        <v/>
      </c>
      <c r="S154" s="22" t="str">
        <f t="shared" si="4"/>
        <v/>
      </c>
      <c r="T154" s="6" t="str">
        <f t="array" ref="T154">IF(
  B154="",
  ,
  DATEDIF(
    B154 + IF(INDEX(Input!$K$7:$K1503,ROW()-1),0,1),
    C154 + IF(INDEX(Input!$L$7:$L1503,ROW()-1),1,0),
    "Y"
  )
)</f>
        <v/>
      </c>
      <c r="U154" s="6" t="str">
        <f t="array" ref="U154">IF(
  B154="",
  ,
  (C154 + IF(INDEX(Input!$L$7:$L1503,ROW()-1),1,0))
  - EDATE(
      B154 + IF(INDEX(Input!$K$7:$K1503,ROW()-1),0,1),
      12*S154
    )
)</f>
        <v/>
      </c>
      <c r="V154" s="6" t="str">
        <f t="shared" si="5"/>
        <v/>
      </c>
      <c r="W154" s="6" t="str">
        <f t="shared" si="6"/>
        <v/>
      </c>
    </row>
    <row r="155">
      <c r="A155" s="18"/>
      <c r="B155" s="18"/>
      <c r="C155" s="18"/>
      <c r="D155" s="18"/>
      <c r="E155" s="18"/>
      <c r="F155" s="18"/>
      <c r="G155" s="22"/>
      <c r="H155" s="18"/>
      <c r="I155" s="18">
        <v>0.0</v>
      </c>
      <c r="J155" s="18">
        <v>0.0</v>
      </c>
      <c r="K155" s="18"/>
      <c r="L155" s="18"/>
      <c r="M155" s="22" t="str">
        <f t="shared" si="1"/>
        <v/>
      </c>
      <c r="N155" s="18" t="str">
        <f>IF(A155="",,IF(ROW()=2, Input!$C$2 + I155, P154 + I155))</f>
        <v/>
      </c>
      <c r="O155" s="23" t="str">
        <f>IF(A155="",,
 IF(K155="Initial principal",
   Input!$C$2 * M155,
   N155 * M155
 )
)</f>
        <v/>
      </c>
      <c r="P155" s="18" t="str">
        <f t="shared" si="2"/>
        <v/>
      </c>
      <c r="Q155" s="18" t="str">
        <f t="shared" si="3"/>
        <v/>
      </c>
      <c r="R155" s="18" t="str">
        <f t="array" ref="R155">IF(
  B155="",
  ,
  SWITCH(
    Input!$C$4,
    "Actual/365 Fixed",
      YEARFRAC(
        B155 + IF(INDEX(Input!$K$7:$K1503,ROW()-1),0,1),
        C155 + IF(INDEX(Input!$L$7:$L1503,ROW()-1),1,0),
        3
      ),
    "Anniversary/365",
      DATEDIF(
        B155 + IF(INDEX(Input!$K$7:$K1503,ROW()-1),0,1),
        C155 + IF(INDEX(Input!$L$7:$L1503,ROW()-1),1,0),
        "Y"
      )
      +
      (
        (C155 + IF(INDEX(Input!$L$7:$L1503,ROW()-1),1,0))
        -
        EDATE(
          B155 + IF(INDEX(Input!$K$7:$K1503,ROW()-1),0,1),
          12*DATEDIF(
            B155 + IF(INDEX(Input!$K$7:$K1503,ROW()-1),0,1),
            C155 + IF(INDEX(Input!$L$7:$L1503,ROW()-1),1,0),
            "Y"
          )
        )
      ) / 365,
    "Actual/Actual",
      YEARFRAC(
        B155 + IF(INDEX(Input!$K$7:$K1503,ROW()-1),0,1),
        C155 + IF(INDEX(Input!$L$7:$L1503,ROW()-1),1,0),
        1
      ),
      YEARFRAC(
        B155 + IF(INDEX(Input!$K$7:$K1503,ROW()-1),0,1),
        C155 + IF(INDEX(Input!$L$7:$L1503,ROW()-1),1,0),
        3
      )
  )
)</f>
        <v/>
      </c>
      <c r="S155" s="22" t="str">
        <f t="shared" si="4"/>
        <v/>
      </c>
      <c r="T155" s="6" t="str">
        <f t="array" ref="T155">IF(
  B155="",
  ,
  DATEDIF(
    B155 + IF(INDEX(Input!$K$7:$K1503,ROW()-1),0,1),
    C155 + IF(INDEX(Input!$L$7:$L1503,ROW()-1),1,0),
    "Y"
  )
)</f>
        <v/>
      </c>
      <c r="U155" s="6" t="str">
        <f t="array" ref="U155">IF(
  B155="",
  ,
  (C155 + IF(INDEX(Input!$L$7:$L1503,ROW()-1),1,0))
  - EDATE(
      B155 + IF(INDEX(Input!$K$7:$K1503,ROW()-1),0,1),
      12*S155
    )
)</f>
        <v/>
      </c>
      <c r="V155" s="6" t="str">
        <f t="shared" si="5"/>
        <v/>
      </c>
      <c r="W155" s="6" t="str">
        <f t="shared" si="6"/>
        <v/>
      </c>
    </row>
    <row r="156">
      <c r="A156" s="18"/>
      <c r="B156" s="18"/>
      <c r="C156" s="18"/>
      <c r="D156" s="18"/>
      <c r="E156" s="18"/>
      <c r="F156" s="18"/>
      <c r="G156" s="22"/>
      <c r="H156" s="18"/>
      <c r="I156" s="18">
        <v>0.0</v>
      </c>
      <c r="J156" s="18">
        <v>0.0</v>
      </c>
      <c r="K156" s="18"/>
      <c r="L156" s="18"/>
      <c r="M156" s="22" t="str">
        <f t="shared" si="1"/>
        <v/>
      </c>
      <c r="N156" s="18" t="str">
        <f>IF(A156="",,IF(ROW()=2, Input!$C$2 + I156, P155 + I156))</f>
        <v/>
      </c>
      <c r="O156" s="23" t="str">
        <f>IF(A156="",,
 IF(K156="Initial principal",
   Input!$C$2 * M156,
   N156 * M156
 )
)</f>
        <v/>
      </c>
      <c r="P156" s="18" t="str">
        <f t="shared" si="2"/>
        <v/>
      </c>
      <c r="Q156" s="18" t="str">
        <f t="shared" si="3"/>
        <v/>
      </c>
      <c r="R156" s="18" t="str">
        <f t="array" ref="R156">IF(
  B156="",
  ,
  SWITCH(
    Input!$C$4,
    "Actual/365 Fixed",
      YEARFRAC(
        B156 + IF(INDEX(Input!$K$7:$K1503,ROW()-1),0,1),
        C156 + IF(INDEX(Input!$L$7:$L1503,ROW()-1),1,0),
        3
      ),
    "Anniversary/365",
      DATEDIF(
        B156 + IF(INDEX(Input!$K$7:$K1503,ROW()-1),0,1),
        C156 + IF(INDEX(Input!$L$7:$L1503,ROW()-1),1,0),
        "Y"
      )
      +
      (
        (C156 + IF(INDEX(Input!$L$7:$L1503,ROW()-1),1,0))
        -
        EDATE(
          B156 + IF(INDEX(Input!$K$7:$K1503,ROW()-1),0,1),
          12*DATEDIF(
            B156 + IF(INDEX(Input!$K$7:$K1503,ROW()-1),0,1),
            C156 + IF(INDEX(Input!$L$7:$L1503,ROW()-1),1,0),
            "Y"
          )
        )
      ) / 365,
    "Actual/Actual",
      YEARFRAC(
        B156 + IF(INDEX(Input!$K$7:$K1503,ROW()-1),0,1),
        C156 + IF(INDEX(Input!$L$7:$L1503,ROW()-1),1,0),
        1
      ),
      YEARFRAC(
        B156 + IF(INDEX(Input!$K$7:$K1503,ROW()-1),0,1),
        C156 + IF(INDEX(Input!$L$7:$L1503,ROW()-1),1,0),
        3
      )
  )
)</f>
        <v/>
      </c>
      <c r="S156" s="22" t="str">
        <f t="shared" si="4"/>
        <v/>
      </c>
      <c r="T156" s="6" t="str">
        <f t="array" ref="T156">IF(
  B156="",
  ,
  DATEDIF(
    B156 + IF(INDEX(Input!$K$7:$K1503,ROW()-1),0,1),
    C156 + IF(INDEX(Input!$L$7:$L1503,ROW()-1),1,0),
    "Y"
  )
)</f>
        <v/>
      </c>
      <c r="U156" s="6" t="str">
        <f t="array" ref="U156">IF(
  B156="",
  ,
  (C156 + IF(INDEX(Input!$L$7:$L1503,ROW()-1),1,0))
  - EDATE(
      B156 + IF(INDEX(Input!$K$7:$K1503,ROW()-1),0,1),
      12*S156
    )
)</f>
        <v/>
      </c>
      <c r="V156" s="6" t="str">
        <f t="shared" si="5"/>
        <v/>
      </c>
      <c r="W156" s="6" t="str">
        <f t="shared" si="6"/>
        <v/>
      </c>
    </row>
    <row r="157">
      <c r="A157" s="18"/>
      <c r="B157" s="18"/>
      <c r="C157" s="18"/>
      <c r="D157" s="18"/>
      <c r="E157" s="18"/>
      <c r="F157" s="18"/>
      <c r="G157" s="22"/>
      <c r="H157" s="18"/>
      <c r="I157" s="18">
        <v>0.0</v>
      </c>
      <c r="J157" s="18">
        <v>0.0</v>
      </c>
      <c r="K157" s="18"/>
      <c r="L157" s="18"/>
      <c r="M157" s="22" t="str">
        <f t="shared" si="1"/>
        <v/>
      </c>
      <c r="N157" s="18" t="str">
        <f>IF(A157="",,IF(ROW()=2, Input!$C$2 + I157, P156 + I157))</f>
        <v/>
      </c>
      <c r="O157" s="23" t="str">
        <f>IF(A157="",,
 IF(K157="Initial principal",
   Input!$C$2 * M157,
   N157 * M157
 )
)</f>
        <v/>
      </c>
      <c r="P157" s="18" t="str">
        <f t="shared" si="2"/>
        <v/>
      </c>
      <c r="Q157" s="18" t="str">
        <f t="shared" si="3"/>
        <v/>
      </c>
      <c r="R157" s="18" t="str">
        <f t="array" ref="R157">IF(
  B157="",
  ,
  SWITCH(
    Input!$C$4,
    "Actual/365 Fixed",
      YEARFRAC(
        B157 + IF(INDEX(Input!$K$7:$K1503,ROW()-1),0,1),
        C157 + IF(INDEX(Input!$L$7:$L1503,ROW()-1),1,0),
        3
      ),
    "Anniversary/365",
      DATEDIF(
        B157 + IF(INDEX(Input!$K$7:$K1503,ROW()-1),0,1),
        C157 + IF(INDEX(Input!$L$7:$L1503,ROW()-1),1,0),
        "Y"
      )
      +
      (
        (C157 + IF(INDEX(Input!$L$7:$L1503,ROW()-1),1,0))
        -
        EDATE(
          B157 + IF(INDEX(Input!$K$7:$K1503,ROW()-1),0,1),
          12*DATEDIF(
            B157 + IF(INDEX(Input!$K$7:$K1503,ROW()-1),0,1),
            C157 + IF(INDEX(Input!$L$7:$L1503,ROW()-1),1,0),
            "Y"
          )
        )
      ) / 365,
    "Actual/Actual",
      YEARFRAC(
        B157 + IF(INDEX(Input!$K$7:$K1503,ROW()-1),0,1),
        C157 + IF(INDEX(Input!$L$7:$L1503,ROW()-1),1,0),
        1
      ),
      YEARFRAC(
        B157 + IF(INDEX(Input!$K$7:$K1503,ROW()-1),0,1),
        C157 + IF(INDEX(Input!$L$7:$L1503,ROW()-1),1,0),
        3
      )
  )
)</f>
        <v/>
      </c>
      <c r="S157" s="22" t="str">
        <f t="shared" si="4"/>
        <v/>
      </c>
      <c r="T157" s="6" t="str">
        <f t="array" ref="T157">IF(
  B157="",
  ,
  DATEDIF(
    B157 + IF(INDEX(Input!$K$7:$K1503,ROW()-1),0,1),
    C157 + IF(INDEX(Input!$L$7:$L1503,ROW()-1),1,0),
    "Y"
  )
)</f>
        <v/>
      </c>
      <c r="U157" s="6" t="str">
        <f t="array" ref="U157">IF(
  B157="",
  ,
  (C157 + IF(INDEX(Input!$L$7:$L1503,ROW()-1),1,0))
  - EDATE(
      B157 + IF(INDEX(Input!$K$7:$K1503,ROW()-1),0,1),
      12*S157
    )
)</f>
        <v/>
      </c>
      <c r="V157" s="6" t="str">
        <f t="shared" si="5"/>
        <v/>
      </c>
      <c r="W157" s="6" t="str">
        <f t="shared" si="6"/>
        <v/>
      </c>
    </row>
    <row r="158">
      <c r="A158" s="18"/>
      <c r="B158" s="18"/>
      <c r="C158" s="18"/>
      <c r="D158" s="18"/>
      <c r="E158" s="18"/>
      <c r="F158" s="18"/>
      <c r="G158" s="22"/>
      <c r="H158" s="18"/>
      <c r="I158" s="18">
        <v>0.0</v>
      </c>
      <c r="J158" s="18">
        <v>0.0</v>
      </c>
      <c r="K158" s="18"/>
      <c r="L158" s="18"/>
      <c r="M158" s="22" t="str">
        <f t="shared" si="1"/>
        <v/>
      </c>
      <c r="N158" s="18" t="str">
        <f>IF(A158="",,IF(ROW()=2, Input!$C$2 + I158, P157 + I158))</f>
        <v/>
      </c>
      <c r="O158" s="23" t="str">
        <f>IF(A158="",,
 IF(K158="Initial principal",
   Input!$C$2 * M158,
   N158 * M158
 )
)</f>
        <v/>
      </c>
      <c r="P158" s="18" t="str">
        <f t="shared" si="2"/>
        <v/>
      </c>
      <c r="Q158" s="18" t="str">
        <f t="shared" si="3"/>
        <v/>
      </c>
      <c r="R158" s="18" t="str">
        <f t="array" ref="R158">IF(
  B158="",
  ,
  SWITCH(
    Input!$C$4,
    "Actual/365 Fixed",
      YEARFRAC(
        B158 + IF(INDEX(Input!$K$7:$K1503,ROW()-1),0,1),
        C158 + IF(INDEX(Input!$L$7:$L1503,ROW()-1),1,0),
        3
      ),
    "Anniversary/365",
      DATEDIF(
        B158 + IF(INDEX(Input!$K$7:$K1503,ROW()-1),0,1),
        C158 + IF(INDEX(Input!$L$7:$L1503,ROW()-1),1,0),
        "Y"
      )
      +
      (
        (C158 + IF(INDEX(Input!$L$7:$L1503,ROW()-1),1,0))
        -
        EDATE(
          B158 + IF(INDEX(Input!$K$7:$K1503,ROW()-1),0,1),
          12*DATEDIF(
            B158 + IF(INDEX(Input!$K$7:$K1503,ROW()-1),0,1),
            C158 + IF(INDEX(Input!$L$7:$L1503,ROW()-1),1,0),
            "Y"
          )
        )
      ) / 365,
    "Actual/Actual",
      YEARFRAC(
        B158 + IF(INDEX(Input!$K$7:$K1503,ROW()-1),0,1),
        C158 + IF(INDEX(Input!$L$7:$L1503,ROW()-1),1,0),
        1
      ),
      YEARFRAC(
        B158 + IF(INDEX(Input!$K$7:$K1503,ROW()-1),0,1),
        C158 + IF(INDEX(Input!$L$7:$L1503,ROW()-1),1,0),
        3
      )
  )
)</f>
        <v/>
      </c>
      <c r="S158" s="22" t="str">
        <f t="shared" si="4"/>
        <v/>
      </c>
      <c r="T158" s="6" t="str">
        <f t="array" ref="T158">IF(
  B158="",
  ,
  DATEDIF(
    B158 + IF(INDEX(Input!$K$7:$K1503,ROW()-1),0,1),
    C158 + IF(INDEX(Input!$L$7:$L1503,ROW()-1),1,0),
    "Y"
  )
)</f>
        <v/>
      </c>
      <c r="U158" s="6" t="str">
        <f t="array" ref="U158">IF(
  B158="",
  ,
  (C158 + IF(INDEX(Input!$L$7:$L1503,ROW()-1),1,0))
  - EDATE(
      B158 + IF(INDEX(Input!$K$7:$K1503,ROW()-1),0,1),
      12*S158
    )
)</f>
        <v/>
      </c>
      <c r="V158" s="6" t="str">
        <f t="shared" si="5"/>
        <v/>
      </c>
      <c r="W158" s="6" t="str">
        <f t="shared" si="6"/>
        <v/>
      </c>
    </row>
    <row r="159">
      <c r="A159" s="18"/>
      <c r="B159" s="18"/>
      <c r="C159" s="18"/>
      <c r="D159" s="18"/>
      <c r="E159" s="18"/>
      <c r="F159" s="18"/>
      <c r="G159" s="22"/>
      <c r="H159" s="18"/>
      <c r="I159" s="18">
        <v>0.0</v>
      </c>
      <c r="J159" s="18">
        <v>0.0</v>
      </c>
      <c r="K159" s="18"/>
      <c r="L159" s="18"/>
      <c r="M159" s="22" t="str">
        <f t="shared" si="1"/>
        <v/>
      </c>
      <c r="N159" s="18" t="str">
        <f>IF(A159="",,IF(ROW()=2, Input!$C$2 + I159, P158 + I159))</f>
        <v/>
      </c>
      <c r="O159" s="23" t="str">
        <f>IF(A159="",,
 IF(K159="Initial principal",
   Input!$C$2 * M159,
   N159 * M159
 )
)</f>
        <v/>
      </c>
      <c r="P159" s="18" t="str">
        <f t="shared" si="2"/>
        <v/>
      </c>
      <c r="Q159" s="18" t="str">
        <f t="shared" si="3"/>
        <v/>
      </c>
      <c r="R159" s="18" t="str">
        <f t="array" ref="R159">IF(
  B159="",
  ,
  SWITCH(
    Input!$C$4,
    "Actual/365 Fixed",
      YEARFRAC(
        B159 + IF(INDEX(Input!$K$7:$K1503,ROW()-1),0,1),
        C159 + IF(INDEX(Input!$L$7:$L1503,ROW()-1),1,0),
        3
      ),
    "Anniversary/365",
      DATEDIF(
        B159 + IF(INDEX(Input!$K$7:$K1503,ROW()-1),0,1),
        C159 + IF(INDEX(Input!$L$7:$L1503,ROW()-1),1,0),
        "Y"
      )
      +
      (
        (C159 + IF(INDEX(Input!$L$7:$L1503,ROW()-1),1,0))
        -
        EDATE(
          B159 + IF(INDEX(Input!$K$7:$K1503,ROW()-1),0,1),
          12*DATEDIF(
            B159 + IF(INDEX(Input!$K$7:$K1503,ROW()-1),0,1),
            C159 + IF(INDEX(Input!$L$7:$L1503,ROW()-1),1,0),
            "Y"
          )
        )
      ) / 365,
    "Actual/Actual",
      YEARFRAC(
        B159 + IF(INDEX(Input!$K$7:$K1503,ROW()-1),0,1),
        C159 + IF(INDEX(Input!$L$7:$L1503,ROW()-1),1,0),
        1
      ),
      YEARFRAC(
        B159 + IF(INDEX(Input!$K$7:$K1503,ROW()-1),0,1),
        C159 + IF(INDEX(Input!$L$7:$L1503,ROW()-1),1,0),
        3
      )
  )
)</f>
        <v/>
      </c>
      <c r="S159" s="22" t="str">
        <f t="shared" si="4"/>
        <v/>
      </c>
      <c r="T159" s="6" t="str">
        <f t="array" ref="T159">IF(
  B159="",
  ,
  DATEDIF(
    B159 + IF(INDEX(Input!$K$7:$K1503,ROW()-1),0,1),
    C159 + IF(INDEX(Input!$L$7:$L1503,ROW()-1),1,0),
    "Y"
  )
)</f>
        <v/>
      </c>
      <c r="U159" s="6" t="str">
        <f t="array" ref="U159">IF(
  B159="",
  ,
  (C159 + IF(INDEX(Input!$L$7:$L1503,ROW()-1),1,0))
  - EDATE(
      B159 + IF(INDEX(Input!$K$7:$K1503,ROW()-1),0,1),
      12*S159
    )
)</f>
        <v/>
      </c>
      <c r="V159" s="6" t="str">
        <f t="shared" si="5"/>
        <v/>
      </c>
      <c r="W159" s="6" t="str">
        <f t="shared" si="6"/>
        <v/>
      </c>
    </row>
    <row r="160">
      <c r="A160" s="18"/>
      <c r="B160" s="18"/>
      <c r="C160" s="18"/>
      <c r="D160" s="18"/>
      <c r="E160" s="18"/>
      <c r="F160" s="18"/>
      <c r="G160" s="22"/>
      <c r="H160" s="18"/>
      <c r="I160" s="18">
        <v>0.0</v>
      </c>
      <c r="J160" s="18">
        <v>0.0</v>
      </c>
      <c r="K160" s="18"/>
      <c r="L160" s="18"/>
      <c r="M160" s="22" t="str">
        <f t="shared" si="1"/>
        <v/>
      </c>
      <c r="N160" s="18" t="str">
        <f>IF(A160="",,IF(ROW()=2, Input!$C$2 + I160, P159 + I160))</f>
        <v/>
      </c>
      <c r="O160" s="23" t="str">
        <f>IF(A160="",,
 IF(K160="Initial principal",
   Input!$C$2 * M160,
   N160 * M160
 )
)</f>
        <v/>
      </c>
      <c r="P160" s="18" t="str">
        <f t="shared" si="2"/>
        <v/>
      </c>
      <c r="Q160" s="18" t="str">
        <f t="shared" si="3"/>
        <v/>
      </c>
      <c r="R160" s="18" t="str">
        <f t="array" ref="R160">IF(
  B160="",
  ,
  SWITCH(
    Input!$C$4,
    "Actual/365 Fixed",
      YEARFRAC(
        B160 + IF(INDEX(Input!$K$7:$K1503,ROW()-1),0,1),
        C160 + IF(INDEX(Input!$L$7:$L1503,ROW()-1),1,0),
        3
      ),
    "Anniversary/365",
      DATEDIF(
        B160 + IF(INDEX(Input!$K$7:$K1503,ROW()-1),0,1),
        C160 + IF(INDEX(Input!$L$7:$L1503,ROW()-1),1,0),
        "Y"
      )
      +
      (
        (C160 + IF(INDEX(Input!$L$7:$L1503,ROW()-1),1,0))
        -
        EDATE(
          B160 + IF(INDEX(Input!$K$7:$K1503,ROW()-1),0,1),
          12*DATEDIF(
            B160 + IF(INDEX(Input!$K$7:$K1503,ROW()-1),0,1),
            C160 + IF(INDEX(Input!$L$7:$L1503,ROW()-1),1,0),
            "Y"
          )
        )
      ) / 365,
    "Actual/Actual",
      YEARFRAC(
        B160 + IF(INDEX(Input!$K$7:$K1503,ROW()-1),0,1),
        C160 + IF(INDEX(Input!$L$7:$L1503,ROW()-1),1,0),
        1
      ),
      YEARFRAC(
        B160 + IF(INDEX(Input!$K$7:$K1503,ROW()-1),0,1),
        C160 + IF(INDEX(Input!$L$7:$L1503,ROW()-1),1,0),
        3
      )
  )
)</f>
        <v/>
      </c>
      <c r="S160" s="22" t="str">
        <f t="shared" si="4"/>
        <v/>
      </c>
      <c r="T160" s="6" t="str">
        <f t="array" ref="T160">IF(
  B160="",
  ,
  DATEDIF(
    B160 + IF(INDEX(Input!$K$7:$K1503,ROW()-1),0,1),
    C160 + IF(INDEX(Input!$L$7:$L1503,ROW()-1),1,0),
    "Y"
  )
)</f>
        <v/>
      </c>
      <c r="U160" s="6" t="str">
        <f t="array" ref="U160">IF(
  B160="",
  ,
  (C160 + IF(INDEX(Input!$L$7:$L1503,ROW()-1),1,0))
  - EDATE(
      B160 + IF(INDEX(Input!$K$7:$K1503,ROW()-1),0,1),
      12*S160
    )
)</f>
        <v/>
      </c>
      <c r="V160" s="6" t="str">
        <f t="shared" si="5"/>
        <v/>
      </c>
      <c r="W160" s="6" t="str">
        <f t="shared" si="6"/>
        <v/>
      </c>
    </row>
    <row r="161">
      <c r="A161" s="18"/>
      <c r="B161" s="18"/>
      <c r="C161" s="18"/>
      <c r="D161" s="18"/>
      <c r="E161" s="18"/>
      <c r="F161" s="18"/>
      <c r="G161" s="22"/>
      <c r="H161" s="18"/>
      <c r="I161" s="18">
        <v>0.0</v>
      </c>
      <c r="J161" s="18">
        <v>0.0</v>
      </c>
      <c r="K161" s="18"/>
      <c r="L161" s="18"/>
      <c r="M161" s="22" t="str">
        <f t="shared" si="1"/>
        <v/>
      </c>
      <c r="N161" s="18" t="str">
        <f>IF(A161="",,IF(ROW()=2, Input!$C$2 + I161, P160 + I161))</f>
        <v/>
      </c>
      <c r="O161" s="23" t="str">
        <f>IF(A161="",,
 IF(K161="Initial principal",
   Input!$C$2 * M161,
   N161 * M161
 )
)</f>
        <v/>
      </c>
      <c r="P161" s="18" t="str">
        <f t="shared" si="2"/>
        <v/>
      </c>
      <c r="Q161" s="18" t="str">
        <f t="shared" si="3"/>
        <v/>
      </c>
      <c r="R161" s="18" t="str">
        <f t="array" ref="R161">IF(
  B161="",
  ,
  SWITCH(
    Input!$C$4,
    "Actual/365 Fixed",
      YEARFRAC(
        B161 + IF(INDEX(Input!$K$7:$K1503,ROW()-1),0,1),
        C161 + IF(INDEX(Input!$L$7:$L1503,ROW()-1),1,0),
        3
      ),
    "Anniversary/365",
      DATEDIF(
        B161 + IF(INDEX(Input!$K$7:$K1503,ROW()-1),0,1),
        C161 + IF(INDEX(Input!$L$7:$L1503,ROW()-1),1,0),
        "Y"
      )
      +
      (
        (C161 + IF(INDEX(Input!$L$7:$L1503,ROW()-1),1,0))
        -
        EDATE(
          B161 + IF(INDEX(Input!$K$7:$K1503,ROW()-1),0,1),
          12*DATEDIF(
            B161 + IF(INDEX(Input!$K$7:$K1503,ROW()-1),0,1),
            C161 + IF(INDEX(Input!$L$7:$L1503,ROW()-1),1,0),
            "Y"
          )
        )
      ) / 365,
    "Actual/Actual",
      YEARFRAC(
        B161 + IF(INDEX(Input!$K$7:$K1503,ROW()-1),0,1),
        C161 + IF(INDEX(Input!$L$7:$L1503,ROW()-1),1,0),
        1
      ),
      YEARFRAC(
        B161 + IF(INDEX(Input!$K$7:$K1503,ROW()-1),0,1),
        C161 + IF(INDEX(Input!$L$7:$L1503,ROW()-1),1,0),
        3
      )
  )
)</f>
        <v/>
      </c>
      <c r="S161" s="22" t="str">
        <f t="shared" si="4"/>
        <v/>
      </c>
      <c r="T161" s="6" t="str">
        <f t="array" ref="T161">IF(
  B161="",
  ,
  DATEDIF(
    B161 + IF(INDEX(Input!$K$7:$K1503,ROW()-1),0,1),
    C161 + IF(INDEX(Input!$L$7:$L1503,ROW()-1),1,0),
    "Y"
  )
)</f>
        <v/>
      </c>
      <c r="U161" s="6" t="str">
        <f t="array" ref="U161">IF(
  B161="",
  ,
  (C161 + IF(INDEX(Input!$L$7:$L1503,ROW()-1),1,0))
  - EDATE(
      B161 + IF(INDEX(Input!$K$7:$K1503,ROW()-1),0,1),
      12*S161
    )
)</f>
        <v/>
      </c>
      <c r="V161" s="6" t="str">
        <f t="shared" si="5"/>
        <v/>
      </c>
      <c r="W161" s="6" t="str">
        <f t="shared" si="6"/>
        <v/>
      </c>
    </row>
    <row r="162">
      <c r="A162" s="18"/>
      <c r="B162" s="18"/>
      <c r="C162" s="18"/>
      <c r="D162" s="18"/>
      <c r="E162" s="18"/>
      <c r="F162" s="18"/>
      <c r="G162" s="22"/>
      <c r="H162" s="18"/>
      <c r="I162" s="18">
        <v>0.0</v>
      </c>
      <c r="J162" s="18">
        <v>0.0</v>
      </c>
      <c r="K162" s="18"/>
      <c r="L162" s="18"/>
      <c r="M162" s="22" t="str">
        <f t="shared" si="1"/>
        <v/>
      </c>
      <c r="N162" s="18" t="str">
        <f>IF(A162="",,IF(ROW()=2, Input!$C$2 + I162, P161 + I162))</f>
        <v/>
      </c>
      <c r="O162" s="23" t="str">
        <f>IF(A162="",,
 IF(K162="Initial principal",
   Input!$C$2 * M162,
   N162 * M162
 )
)</f>
        <v/>
      </c>
      <c r="P162" s="18" t="str">
        <f t="shared" si="2"/>
        <v/>
      </c>
      <c r="Q162" s="18" t="str">
        <f t="shared" si="3"/>
        <v/>
      </c>
      <c r="R162" s="18" t="str">
        <f t="array" ref="R162">IF(
  B162="",
  ,
  SWITCH(
    Input!$C$4,
    "Actual/365 Fixed",
      YEARFRAC(
        B162 + IF(INDEX(Input!$K$7:$K1503,ROW()-1),0,1),
        C162 + IF(INDEX(Input!$L$7:$L1503,ROW()-1),1,0),
        3
      ),
    "Anniversary/365",
      DATEDIF(
        B162 + IF(INDEX(Input!$K$7:$K1503,ROW()-1),0,1),
        C162 + IF(INDEX(Input!$L$7:$L1503,ROW()-1),1,0),
        "Y"
      )
      +
      (
        (C162 + IF(INDEX(Input!$L$7:$L1503,ROW()-1),1,0))
        -
        EDATE(
          B162 + IF(INDEX(Input!$K$7:$K1503,ROW()-1),0,1),
          12*DATEDIF(
            B162 + IF(INDEX(Input!$K$7:$K1503,ROW()-1),0,1),
            C162 + IF(INDEX(Input!$L$7:$L1503,ROW()-1),1,0),
            "Y"
          )
        )
      ) / 365,
    "Actual/Actual",
      YEARFRAC(
        B162 + IF(INDEX(Input!$K$7:$K1503,ROW()-1),0,1),
        C162 + IF(INDEX(Input!$L$7:$L1503,ROW()-1),1,0),
        1
      ),
      YEARFRAC(
        B162 + IF(INDEX(Input!$K$7:$K1503,ROW()-1),0,1),
        C162 + IF(INDEX(Input!$L$7:$L1503,ROW()-1),1,0),
        3
      )
  )
)</f>
        <v/>
      </c>
      <c r="S162" s="22" t="str">
        <f t="shared" si="4"/>
        <v/>
      </c>
      <c r="T162" s="6" t="str">
        <f t="array" ref="T162">IF(
  B162="",
  ,
  DATEDIF(
    B162 + IF(INDEX(Input!$K$7:$K1503,ROW()-1),0,1),
    C162 + IF(INDEX(Input!$L$7:$L1503,ROW()-1),1,0),
    "Y"
  )
)</f>
        <v/>
      </c>
      <c r="U162" s="6" t="str">
        <f t="array" ref="U162">IF(
  B162="",
  ,
  (C162 + IF(INDEX(Input!$L$7:$L1503,ROW()-1),1,0))
  - EDATE(
      B162 + IF(INDEX(Input!$K$7:$K1503,ROW()-1),0,1),
      12*S162
    )
)</f>
        <v/>
      </c>
      <c r="V162" s="6" t="str">
        <f t="shared" si="5"/>
        <v/>
      </c>
      <c r="W162" s="6" t="str">
        <f t="shared" si="6"/>
        <v/>
      </c>
    </row>
    <row r="163">
      <c r="A163" s="18"/>
      <c r="B163" s="18"/>
      <c r="C163" s="18"/>
      <c r="D163" s="18"/>
      <c r="E163" s="18"/>
      <c r="F163" s="18"/>
      <c r="G163" s="22"/>
      <c r="H163" s="18"/>
      <c r="I163" s="18">
        <v>0.0</v>
      </c>
      <c r="J163" s="18">
        <v>0.0</v>
      </c>
      <c r="K163" s="18"/>
      <c r="L163" s="18"/>
      <c r="M163" s="22" t="str">
        <f t="shared" si="1"/>
        <v/>
      </c>
      <c r="N163" s="18" t="str">
        <f>IF(A163="",,IF(ROW()=2, Input!$C$2 + I163, P162 + I163))</f>
        <v/>
      </c>
      <c r="O163" s="23" t="str">
        <f>IF(A163="",,
 IF(K163="Initial principal",
   Input!$C$2 * M163,
   N163 * M163
 )
)</f>
        <v/>
      </c>
      <c r="P163" s="18" t="str">
        <f t="shared" si="2"/>
        <v/>
      </c>
      <c r="Q163" s="18" t="str">
        <f t="shared" si="3"/>
        <v/>
      </c>
      <c r="R163" s="18" t="str">
        <f t="array" ref="R163">IF(
  B163="",
  ,
  SWITCH(
    Input!$C$4,
    "Actual/365 Fixed",
      YEARFRAC(
        B163 + IF(INDEX(Input!$K$7:$K1503,ROW()-1),0,1),
        C163 + IF(INDEX(Input!$L$7:$L1503,ROW()-1),1,0),
        3
      ),
    "Anniversary/365",
      DATEDIF(
        B163 + IF(INDEX(Input!$K$7:$K1503,ROW()-1),0,1),
        C163 + IF(INDEX(Input!$L$7:$L1503,ROW()-1),1,0),
        "Y"
      )
      +
      (
        (C163 + IF(INDEX(Input!$L$7:$L1503,ROW()-1),1,0))
        -
        EDATE(
          B163 + IF(INDEX(Input!$K$7:$K1503,ROW()-1),0,1),
          12*DATEDIF(
            B163 + IF(INDEX(Input!$K$7:$K1503,ROW()-1),0,1),
            C163 + IF(INDEX(Input!$L$7:$L1503,ROW()-1),1,0),
            "Y"
          )
        )
      ) / 365,
    "Actual/Actual",
      YEARFRAC(
        B163 + IF(INDEX(Input!$K$7:$K1503,ROW()-1),0,1),
        C163 + IF(INDEX(Input!$L$7:$L1503,ROW()-1),1,0),
        1
      ),
      YEARFRAC(
        B163 + IF(INDEX(Input!$K$7:$K1503,ROW()-1),0,1),
        C163 + IF(INDEX(Input!$L$7:$L1503,ROW()-1),1,0),
        3
      )
  )
)</f>
        <v/>
      </c>
      <c r="S163" s="22" t="str">
        <f t="shared" si="4"/>
        <v/>
      </c>
      <c r="T163" s="6" t="str">
        <f t="array" ref="T163">IF(
  B163="",
  ,
  DATEDIF(
    B163 + IF(INDEX(Input!$K$7:$K1503,ROW()-1),0,1),
    C163 + IF(INDEX(Input!$L$7:$L1503,ROW()-1),1,0),
    "Y"
  )
)</f>
        <v/>
      </c>
      <c r="U163" s="6" t="str">
        <f t="array" ref="U163">IF(
  B163="",
  ,
  (C163 + IF(INDEX(Input!$L$7:$L1503,ROW()-1),1,0))
  - EDATE(
      B163 + IF(INDEX(Input!$K$7:$K1503,ROW()-1),0,1),
      12*S163
    )
)</f>
        <v/>
      </c>
      <c r="V163" s="6" t="str">
        <f t="shared" si="5"/>
        <v/>
      </c>
      <c r="W163" s="6" t="str">
        <f t="shared" si="6"/>
        <v/>
      </c>
    </row>
    <row r="164">
      <c r="A164" s="18"/>
      <c r="B164" s="18"/>
      <c r="C164" s="18"/>
      <c r="D164" s="18"/>
      <c r="E164" s="18"/>
      <c r="F164" s="18"/>
      <c r="G164" s="22"/>
      <c r="H164" s="18"/>
      <c r="I164" s="18">
        <v>0.0</v>
      </c>
      <c r="J164" s="18">
        <v>0.0</v>
      </c>
      <c r="K164" s="18"/>
      <c r="L164" s="18"/>
      <c r="M164" s="22" t="str">
        <f t="shared" si="1"/>
        <v/>
      </c>
      <c r="N164" s="18" t="str">
        <f>IF(A164="",,IF(ROW()=2, Input!$C$2 + I164, P163 + I164))</f>
        <v/>
      </c>
      <c r="O164" s="23" t="str">
        <f>IF(A164="",,
 IF(K164="Initial principal",
   Input!$C$2 * M164,
   N164 * M164
 )
)</f>
        <v/>
      </c>
      <c r="P164" s="18" t="str">
        <f t="shared" si="2"/>
        <v/>
      </c>
      <c r="Q164" s="18" t="str">
        <f t="shared" si="3"/>
        <v/>
      </c>
      <c r="R164" s="18" t="str">
        <f t="array" ref="R164">IF(
  B164="",
  ,
  SWITCH(
    Input!$C$4,
    "Actual/365 Fixed",
      YEARFRAC(
        B164 + IF(INDEX(Input!$K$7:$K1503,ROW()-1),0,1),
        C164 + IF(INDEX(Input!$L$7:$L1503,ROW()-1),1,0),
        3
      ),
    "Anniversary/365",
      DATEDIF(
        B164 + IF(INDEX(Input!$K$7:$K1503,ROW()-1),0,1),
        C164 + IF(INDEX(Input!$L$7:$L1503,ROW()-1),1,0),
        "Y"
      )
      +
      (
        (C164 + IF(INDEX(Input!$L$7:$L1503,ROW()-1),1,0))
        -
        EDATE(
          B164 + IF(INDEX(Input!$K$7:$K1503,ROW()-1),0,1),
          12*DATEDIF(
            B164 + IF(INDEX(Input!$K$7:$K1503,ROW()-1),0,1),
            C164 + IF(INDEX(Input!$L$7:$L1503,ROW()-1),1,0),
            "Y"
          )
        )
      ) / 365,
    "Actual/Actual",
      YEARFRAC(
        B164 + IF(INDEX(Input!$K$7:$K1503,ROW()-1),0,1),
        C164 + IF(INDEX(Input!$L$7:$L1503,ROW()-1),1,0),
        1
      ),
      YEARFRAC(
        B164 + IF(INDEX(Input!$K$7:$K1503,ROW()-1),0,1),
        C164 + IF(INDEX(Input!$L$7:$L1503,ROW()-1),1,0),
        3
      )
  )
)</f>
        <v/>
      </c>
      <c r="S164" s="22" t="str">
        <f t="shared" si="4"/>
        <v/>
      </c>
      <c r="T164" s="6" t="str">
        <f t="array" ref="T164">IF(
  B164="",
  ,
  DATEDIF(
    B164 + IF(INDEX(Input!$K$7:$K1503,ROW()-1),0,1),
    C164 + IF(INDEX(Input!$L$7:$L1503,ROW()-1),1,0),
    "Y"
  )
)</f>
        <v/>
      </c>
      <c r="U164" s="6" t="str">
        <f t="array" ref="U164">IF(
  B164="",
  ,
  (C164 + IF(INDEX(Input!$L$7:$L1503,ROW()-1),1,0))
  - EDATE(
      B164 + IF(INDEX(Input!$K$7:$K1503,ROW()-1),0,1),
      12*S164
    )
)</f>
        <v/>
      </c>
      <c r="V164" s="6" t="str">
        <f t="shared" si="5"/>
        <v/>
      </c>
      <c r="W164" s="6" t="str">
        <f t="shared" si="6"/>
        <v/>
      </c>
    </row>
    <row r="165">
      <c r="A165" s="18"/>
      <c r="B165" s="18"/>
      <c r="C165" s="18"/>
      <c r="D165" s="18"/>
      <c r="E165" s="18"/>
      <c r="F165" s="18"/>
      <c r="G165" s="22"/>
      <c r="H165" s="18"/>
      <c r="I165" s="18">
        <v>0.0</v>
      </c>
      <c r="J165" s="18">
        <v>0.0</v>
      </c>
      <c r="K165" s="18"/>
      <c r="L165" s="18"/>
      <c r="M165" s="22" t="str">
        <f t="shared" si="1"/>
        <v/>
      </c>
      <c r="N165" s="18" t="str">
        <f>IF(A165="",,IF(ROW()=2, Input!$C$2 + I165, P164 + I165))</f>
        <v/>
      </c>
      <c r="O165" s="23" t="str">
        <f>IF(A165="",,
 IF(K165="Initial principal",
   Input!$C$2 * M165,
   N165 * M165
 )
)</f>
        <v/>
      </c>
      <c r="P165" s="18" t="str">
        <f t="shared" si="2"/>
        <v/>
      </c>
      <c r="Q165" s="18" t="str">
        <f t="shared" si="3"/>
        <v/>
      </c>
      <c r="R165" s="18" t="str">
        <f t="array" ref="R165">IF(
  B165="",
  ,
  SWITCH(
    Input!$C$4,
    "Actual/365 Fixed",
      YEARFRAC(
        B165 + IF(INDEX(Input!$K$7:$K1503,ROW()-1),0,1),
        C165 + IF(INDEX(Input!$L$7:$L1503,ROW()-1),1,0),
        3
      ),
    "Anniversary/365",
      DATEDIF(
        B165 + IF(INDEX(Input!$K$7:$K1503,ROW()-1),0,1),
        C165 + IF(INDEX(Input!$L$7:$L1503,ROW()-1),1,0),
        "Y"
      )
      +
      (
        (C165 + IF(INDEX(Input!$L$7:$L1503,ROW()-1),1,0))
        -
        EDATE(
          B165 + IF(INDEX(Input!$K$7:$K1503,ROW()-1),0,1),
          12*DATEDIF(
            B165 + IF(INDEX(Input!$K$7:$K1503,ROW()-1),0,1),
            C165 + IF(INDEX(Input!$L$7:$L1503,ROW()-1),1,0),
            "Y"
          )
        )
      ) / 365,
    "Actual/Actual",
      YEARFRAC(
        B165 + IF(INDEX(Input!$K$7:$K1503,ROW()-1),0,1),
        C165 + IF(INDEX(Input!$L$7:$L1503,ROW()-1),1,0),
        1
      ),
      YEARFRAC(
        B165 + IF(INDEX(Input!$K$7:$K1503,ROW()-1),0,1),
        C165 + IF(INDEX(Input!$L$7:$L1503,ROW()-1),1,0),
        3
      )
  )
)</f>
        <v/>
      </c>
      <c r="S165" s="22" t="str">
        <f t="shared" si="4"/>
        <v/>
      </c>
      <c r="T165" s="6" t="str">
        <f t="array" ref="T165">IF(
  B165="",
  ,
  DATEDIF(
    B165 + IF(INDEX(Input!$K$7:$K1503,ROW()-1),0,1),
    C165 + IF(INDEX(Input!$L$7:$L1503,ROW()-1),1,0),
    "Y"
  )
)</f>
        <v/>
      </c>
      <c r="U165" s="6" t="str">
        <f t="array" ref="U165">IF(
  B165="",
  ,
  (C165 + IF(INDEX(Input!$L$7:$L1503,ROW()-1),1,0))
  - EDATE(
      B165 + IF(INDEX(Input!$K$7:$K1503,ROW()-1),0,1),
      12*S165
    )
)</f>
        <v/>
      </c>
      <c r="V165" s="6" t="str">
        <f t="shared" si="5"/>
        <v/>
      </c>
      <c r="W165" s="6" t="str">
        <f t="shared" si="6"/>
        <v/>
      </c>
    </row>
    <row r="166">
      <c r="A166" s="18"/>
      <c r="B166" s="18"/>
      <c r="C166" s="18"/>
      <c r="D166" s="18"/>
      <c r="E166" s="18"/>
      <c r="F166" s="18"/>
      <c r="G166" s="22"/>
      <c r="H166" s="18"/>
      <c r="I166" s="18">
        <v>0.0</v>
      </c>
      <c r="J166" s="18">
        <v>0.0</v>
      </c>
      <c r="K166" s="18"/>
      <c r="L166" s="18"/>
      <c r="M166" s="22" t="str">
        <f t="shared" si="1"/>
        <v/>
      </c>
      <c r="N166" s="18" t="str">
        <f>IF(A166="",,IF(ROW()=2, Input!$C$2 + I166, P165 + I166))</f>
        <v/>
      </c>
      <c r="O166" s="23" t="str">
        <f>IF(A166="",,
 IF(K166="Initial principal",
   Input!$C$2 * M166,
   N166 * M166
 )
)</f>
        <v/>
      </c>
      <c r="P166" s="18" t="str">
        <f t="shared" si="2"/>
        <v/>
      </c>
      <c r="Q166" s="18" t="str">
        <f t="shared" si="3"/>
        <v/>
      </c>
      <c r="R166" s="18" t="str">
        <f t="array" ref="R166">IF(
  B166="",
  ,
  SWITCH(
    Input!$C$4,
    "Actual/365 Fixed",
      YEARFRAC(
        B166 + IF(INDEX(Input!$K$7:$K1503,ROW()-1),0,1),
        C166 + IF(INDEX(Input!$L$7:$L1503,ROW()-1),1,0),
        3
      ),
    "Anniversary/365",
      DATEDIF(
        B166 + IF(INDEX(Input!$K$7:$K1503,ROW()-1),0,1),
        C166 + IF(INDEX(Input!$L$7:$L1503,ROW()-1),1,0),
        "Y"
      )
      +
      (
        (C166 + IF(INDEX(Input!$L$7:$L1503,ROW()-1),1,0))
        -
        EDATE(
          B166 + IF(INDEX(Input!$K$7:$K1503,ROW()-1),0,1),
          12*DATEDIF(
            B166 + IF(INDEX(Input!$K$7:$K1503,ROW()-1),0,1),
            C166 + IF(INDEX(Input!$L$7:$L1503,ROW()-1),1,0),
            "Y"
          )
        )
      ) / 365,
    "Actual/Actual",
      YEARFRAC(
        B166 + IF(INDEX(Input!$K$7:$K1503,ROW()-1),0,1),
        C166 + IF(INDEX(Input!$L$7:$L1503,ROW()-1),1,0),
        1
      ),
      YEARFRAC(
        B166 + IF(INDEX(Input!$K$7:$K1503,ROW()-1),0,1),
        C166 + IF(INDEX(Input!$L$7:$L1503,ROW()-1),1,0),
        3
      )
  )
)</f>
        <v/>
      </c>
      <c r="S166" s="22" t="str">
        <f t="shared" si="4"/>
        <v/>
      </c>
      <c r="T166" s="6" t="str">
        <f t="array" ref="T166">IF(
  B166="",
  ,
  DATEDIF(
    B166 + IF(INDEX(Input!$K$7:$K1503,ROW()-1),0,1),
    C166 + IF(INDEX(Input!$L$7:$L1503,ROW()-1),1,0),
    "Y"
  )
)</f>
        <v/>
      </c>
      <c r="U166" s="6" t="str">
        <f t="array" ref="U166">IF(
  B166="",
  ,
  (C166 + IF(INDEX(Input!$L$7:$L1503,ROW()-1),1,0))
  - EDATE(
      B166 + IF(INDEX(Input!$K$7:$K1503,ROW()-1),0,1),
      12*S166
    )
)</f>
        <v/>
      </c>
      <c r="V166" s="6" t="str">
        <f t="shared" si="5"/>
        <v/>
      </c>
      <c r="W166" s="6" t="str">
        <f t="shared" si="6"/>
        <v/>
      </c>
    </row>
    <row r="167">
      <c r="A167" s="18"/>
      <c r="B167" s="18"/>
      <c r="C167" s="18"/>
      <c r="D167" s="18"/>
      <c r="E167" s="18"/>
      <c r="F167" s="18"/>
      <c r="G167" s="22"/>
      <c r="H167" s="18"/>
      <c r="I167" s="18">
        <v>0.0</v>
      </c>
      <c r="J167" s="18">
        <v>0.0</v>
      </c>
      <c r="K167" s="18"/>
      <c r="L167" s="18"/>
      <c r="M167" s="22" t="str">
        <f t="shared" si="1"/>
        <v/>
      </c>
      <c r="N167" s="18" t="str">
        <f>IF(A167="",,IF(ROW()=2, Input!$C$2 + I167, P166 + I167))</f>
        <v/>
      </c>
      <c r="O167" s="23" t="str">
        <f>IF(A167="",,
 IF(K167="Initial principal",
   Input!$C$2 * M167,
   N167 * M167
 )
)</f>
        <v/>
      </c>
      <c r="P167" s="18" t="str">
        <f t="shared" si="2"/>
        <v/>
      </c>
      <c r="Q167" s="18" t="str">
        <f t="shared" si="3"/>
        <v/>
      </c>
      <c r="R167" s="18" t="str">
        <f t="array" ref="R167">IF(
  B167="",
  ,
  SWITCH(
    Input!$C$4,
    "Actual/365 Fixed",
      YEARFRAC(
        B167 + IF(INDEX(Input!$K$7:$K1503,ROW()-1),0,1),
        C167 + IF(INDEX(Input!$L$7:$L1503,ROW()-1),1,0),
        3
      ),
    "Anniversary/365",
      DATEDIF(
        B167 + IF(INDEX(Input!$K$7:$K1503,ROW()-1),0,1),
        C167 + IF(INDEX(Input!$L$7:$L1503,ROW()-1),1,0),
        "Y"
      )
      +
      (
        (C167 + IF(INDEX(Input!$L$7:$L1503,ROW()-1),1,0))
        -
        EDATE(
          B167 + IF(INDEX(Input!$K$7:$K1503,ROW()-1),0,1),
          12*DATEDIF(
            B167 + IF(INDEX(Input!$K$7:$K1503,ROW()-1),0,1),
            C167 + IF(INDEX(Input!$L$7:$L1503,ROW()-1),1,0),
            "Y"
          )
        )
      ) / 365,
    "Actual/Actual",
      YEARFRAC(
        B167 + IF(INDEX(Input!$K$7:$K1503,ROW()-1),0,1),
        C167 + IF(INDEX(Input!$L$7:$L1503,ROW()-1),1,0),
        1
      ),
      YEARFRAC(
        B167 + IF(INDEX(Input!$K$7:$K1503,ROW()-1),0,1),
        C167 + IF(INDEX(Input!$L$7:$L1503,ROW()-1),1,0),
        3
      )
  )
)</f>
        <v/>
      </c>
      <c r="S167" s="22" t="str">
        <f t="shared" si="4"/>
        <v/>
      </c>
      <c r="T167" s="6" t="str">
        <f t="array" ref="T167">IF(
  B167="",
  ,
  DATEDIF(
    B167 + IF(INDEX(Input!$K$7:$K1503,ROW()-1),0,1),
    C167 + IF(INDEX(Input!$L$7:$L1503,ROW()-1),1,0),
    "Y"
  )
)</f>
        <v/>
      </c>
      <c r="U167" s="6" t="str">
        <f t="array" ref="U167">IF(
  B167="",
  ,
  (C167 + IF(INDEX(Input!$L$7:$L1503,ROW()-1),1,0))
  - EDATE(
      B167 + IF(INDEX(Input!$K$7:$K1503,ROW()-1),0,1),
      12*S167
    )
)</f>
        <v/>
      </c>
      <c r="V167" s="6" t="str">
        <f t="shared" si="5"/>
        <v/>
      </c>
      <c r="W167" s="6" t="str">
        <f t="shared" si="6"/>
        <v/>
      </c>
    </row>
    <row r="168">
      <c r="A168" s="18"/>
      <c r="B168" s="18"/>
      <c r="C168" s="18"/>
      <c r="D168" s="18"/>
      <c r="E168" s="18"/>
      <c r="F168" s="18"/>
      <c r="G168" s="22"/>
      <c r="H168" s="18"/>
      <c r="I168" s="18">
        <v>0.0</v>
      </c>
      <c r="J168" s="18">
        <v>0.0</v>
      </c>
      <c r="K168" s="18"/>
      <c r="L168" s="18"/>
      <c r="M168" s="22" t="str">
        <f t="shared" si="1"/>
        <v/>
      </c>
      <c r="N168" s="18" t="str">
        <f>IF(A168="",,IF(ROW()=2, Input!$C$2 + I168, P167 + I168))</f>
        <v/>
      </c>
      <c r="O168" s="23" t="str">
        <f>IF(A168="",,
 IF(K168="Initial principal",
   Input!$C$2 * M168,
   N168 * M168
 )
)</f>
        <v/>
      </c>
      <c r="P168" s="18" t="str">
        <f t="shared" si="2"/>
        <v/>
      </c>
      <c r="Q168" s="18" t="str">
        <f t="shared" si="3"/>
        <v/>
      </c>
      <c r="R168" s="18" t="str">
        <f t="array" ref="R168">IF(
  B168="",
  ,
  SWITCH(
    Input!$C$4,
    "Actual/365 Fixed",
      YEARFRAC(
        B168 + IF(INDEX(Input!$K$7:$K1503,ROW()-1),0,1),
        C168 + IF(INDEX(Input!$L$7:$L1503,ROW()-1),1,0),
        3
      ),
    "Anniversary/365",
      DATEDIF(
        B168 + IF(INDEX(Input!$K$7:$K1503,ROW()-1),0,1),
        C168 + IF(INDEX(Input!$L$7:$L1503,ROW()-1),1,0),
        "Y"
      )
      +
      (
        (C168 + IF(INDEX(Input!$L$7:$L1503,ROW()-1),1,0))
        -
        EDATE(
          B168 + IF(INDEX(Input!$K$7:$K1503,ROW()-1),0,1),
          12*DATEDIF(
            B168 + IF(INDEX(Input!$K$7:$K1503,ROW()-1),0,1),
            C168 + IF(INDEX(Input!$L$7:$L1503,ROW()-1),1,0),
            "Y"
          )
        )
      ) / 365,
    "Actual/Actual",
      YEARFRAC(
        B168 + IF(INDEX(Input!$K$7:$K1503,ROW()-1),0,1),
        C168 + IF(INDEX(Input!$L$7:$L1503,ROW()-1),1,0),
        1
      ),
      YEARFRAC(
        B168 + IF(INDEX(Input!$K$7:$K1503,ROW()-1),0,1),
        C168 + IF(INDEX(Input!$L$7:$L1503,ROW()-1),1,0),
        3
      )
  )
)</f>
        <v/>
      </c>
      <c r="S168" s="22" t="str">
        <f t="shared" si="4"/>
        <v/>
      </c>
      <c r="T168" s="6" t="str">
        <f t="array" ref="T168">IF(
  B168="",
  ,
  DATEDIF(
    B168 + IF(INDEX(Input!$K$7:$K1503,ROW()-1),0,1),
    C168 + IF(INDEX(Input!$L$7:$L1503,ROW()-1),1,0),
    "Y"
  )
)</f>
        <v/>
      </c>
      <c r="U168" s="6" t="str">
        <f t="array" ref="U168">IF(
  B168="",
  ,
  (C168 + IF(INDEX(Input!$L$7:$L1503,ROW()-1),1,0))
  - EDATE(
      B168 + IF(INDEX(Input!$K$7:$K1503,ROW()-1),0,1),
      12*S168
    )
)</f>
        <v/>
      </c>
      <c r="V168" s="6" t="str">
        <f t="shared" si="5"/>
        <v/>
      </c>
      <c r="W168" s="6" t="str">
        <f t="shared" si="6"/>
        <v/>
      </c>
    </row>
    <row r="169">
      <c r="A169" s="18"/>
      <c r="B169" s="18"/>
      <c r="C169" s="18"/>
      <c r="D169" s="18"/>
      <c r="E169" s="18"/>
      <c r="F169" s="18"/>
      <c r="G169" s="22"/>
      <c r="H169" s="18"/>
      <c r="I169" s="18">
        <v>0.0</v>
      </c>
      <c r="J169" s="18">
        <v>0.0</v>
      </c>
      <c r="K169" s="18"/>
      <c r="L169" s="18"/>
      <c r="M169" s="22" t="str">
        <f t="shared" si="1"/>
        <v/>
      </c>
      <c r="N169" s="18" t="str">
        <f>IF(A169="",,IF(ROW()=2, Input!$C$2 + I169, P168 + I169))</f>
        <v/>
      </c>
      <c r="O169" s="23" t="str">
        <f>IF(A169="",,
 IF(K169="Initial principal",
   Input!$C$2 * M169,
   N169 * M169
 )
)</f>
        <v/>
      </c>
      <c r="P169" s="18" t="str">
        <f t="shared" si="2"/>
        <v/>
      </c>
      <c r="Q169" s="18" t="str">
        <f t="shared" si="3"/>
        <v/>
      </c>
      <c r="R169" s="18" t="str">
        <f t="array" ref="R169">IF(
  B169="",
  ,
  SWITCH(
    Input!$C$4,
    "Actual/365 Fixed",
      YEARFRAC(
        B169 + IF(INDEX(Input!$K$7:$K1503,ROW()-1),0,1),
        C169 + IF(INDEX(Input!$L$7:$L1503,ROW()-1),1,0),
        3
      ),
    "Anniversary/365",
      DATEDIF(
        B169 + IF(INDEX(Input!$K$7:$K1503,ROW()-1),0,1),
        C169 + IF(INDEX(Input!$L$7:$L1503,ROW()-1),1,0),
        "Y"
      )
      +
      (
        (C169 + IF(INDEX(Input!$L$7:$L1503,ROW()-1),1,0))
        -
        EDATE(
          B169 + IF(INDEX(Input!$K$7:$K1503,ROW()-1),0,1),
          12*DATEDIF(
            B169 + IF(INDEX(Input!$K$7:$K1503,ROW()-1),0,1),
            C169 + IF(INDEX(Input!$L$7:$L1503,ROW()-1),1,0),
            "Y"
          )
        )
      ) / 365,
    "Actual/Actual",
      YEARFRAC(
        B169 + IF(INDEX(Input!$K$7:$K1503,ROW()-1),0,1),
        C169 + IF(INDEX(Input!$L$7:$L1503,ROW()-1),1,0),
        1
      ),
      YEARFRAC(
        B169 + IF(INDEX(Input!$K$7:$K1503,ROW()-1),0,1),
        C169 + IF(INDEX(Input!$L$7:$L1503,ROW()-1),1,0),
        3
      )
  )
)</f>
        <v/>
      </c>
      <c r="S169" s="22" t="str">
        <f t="shared" si="4"/>
        <v/>
      </c>
      <c r="T169" s="6" t="str">
        <f t="array" ref="T169">IF(
  B169="",
  ,
  DATEDIF(
    B169 + IF(INDEX(Input!$K$7:$K1503,ROW()-1),0,1),
    C169 + IF(INDEX(Input!$L$7:$L1503,ROW()-1),1,0),
    "Y"
  )
)</f>
        <v/>
      </c>
      <c r="U169" s="6" t="str">
        <f t="array" ref="U169">IF(
  B169="",
  ,
  (C169 + IF(INDEX(Input!$L$7:$L1503,ROW()-1),1,0))
  - EDATE(
      B169 + IF(INDEX(Input!$K$7:$K1503,ROW()-1),0,1),
      12*S169
    )
)</f>
        <v/>
      </c>
      <c r="V169" s="6" t="str">
        <f t="shared" si="5"/>
        <v/>
      </c>
      <c r="W169" s="6" t="str">
        <f t="shared" si="6"/>
        <v/>
      </c>
    </row>
    <row r="170">
      <c r="A170" s="18"/>
      <c r="B170" s="18"/>
      <c r="C170" s="18"/>
      <c r="D170" s="18"/>
      <c r="E170" s="18"/>
      <c r="F170" s="18"/>
      <c r="G170" s="22"/>
      <c r="H170" s="18"/>
      <c r="I170" s="18">
        <v>0.0</v>
      </c>
      <c r="J170" s="18">
        <v>0.0</v>
      </c>
      <c r="K170" s="18"/>
      <c r="L170" s="18"/>
      <c r="M170" s="22" t="str">
        <f t="shared" si="1"/>
        <v/>
      </c>
      <c r="N170" s="18" t="str">
        <f>IF(A170="",,IF(ROW()=2, Input!$C$2 + I170, P169 + I170))</f>
        <v/>
      </c>
      <c r="O170" s="23" t="str">
        <f>IF(A170="",,
 IF(K170="Initial principal",
   Input!$C$2 * M170,
   N170 * M170
 )
)</f>
        <v/>
      </c>
      <c r="P170" s="18" t="str">
        <f t="shared" si="2"/>
        <v/>
      </c>
      <c r="Q170" s="18" t="str">
        <f t="shared" si="3"/>
        <v/>
      </c>
      <c r="R170" s="18" t="str">
        <f t="array" ref="R170">IF(
  B170="",
  ,
  SWITCH(
    Input!$C$4,
    "Actual/365 Fixed",
      YEARFRAC(
        B170 + IF(INDEX(Input!$K$7:$K1503,ROW()-1),0,1),
        C170 + IF(INDEX(Input!$L$7:$L1503,ROW()-1),1,0),
        3
      ),
    "Anniversary/365",
      DATEDIF(
        B170 + IF(INDEX(Input!$K$7:$K1503,ROW()-1),0,1),
        C170 + IF(INDEX(Input!$L$7:$L1503,ROW()-1),1,0),
        "Y"
      )
      +
      (
        (C170 + IF(INDEX(Input!$L$7:$L1503,ROW()-1),1,0))
        -
        EDATE(
          B170 + IF(INDEX(Input!$K$7:$K1503,ROW()-1),0,1),
          12*DATEDIF(
            B170 + IF(INDEX(Input!$K$7:$K1503,ROW()-1),0,1),
            C170 + IF(INDEX(Input!$L$7:$L1503,ROW()-1),1,0),
            "Y"
          )
        )
      ) / 365,
    "Actual/Actual",
      YEARFRAC(
        B170 + IF(INDEX(Input!$K$7:$K1503,ROW()-1),0,1),
        C170 + IF(INDEX(Input!$L$7:$L1503,ROW()-1),1,0),
        1
      ),
      YEARFRAC(
        B170 + IF(INDEX(Input!$K$7:$K1503,ROW()-1),0,1),
        C170 + IF(INDEX(Input!$L$7:$L1503,ROW()-1),1,0),
        3
      )
  )
)</f>
        <v/>
      </c>
      <c r="S170" s="22" t="str">
        <f t="shared" si="4"/>
        <v/>
      </c>
      <c r="T170" s="6" t="str">
        <f t="array" ref="T170">IF(
  B170="",
  ,
  DATEDIF(
    B170 + IF(INDEX(Input!$K$7:$K1503,ROW()-1),0,1),
    C170 + IF(INDEX(Input!$L$7:$L1503,ROW()-1),1,0),
    "Y"
  )
)</f>
        <v/>
      </c>
      <c r="U170" s="6" t="str">
        <f t="array" ref="U170">IF(
  B170="",
  ,
  (C170 + IF(INDEX(Input!$L$7:$L1503,ROW()-1),1,0))
  - EDATE(
      B170 + IF(INDEX(Input!$K$7:$K1503,ROW()-1),0,1),
      12*S170
    )
)</f>
        <v/>
      </c>
      <c r="V170" s="6" t="str">
        <f t="shared" si="5"/>
        <v/>
      </c>
      <c r="W170" s="6" t="str">
        <f t="shared" si="6"/>
        <v/>
      </c>
    </row>
    <row r="171">
      <c r="A171" s="18"/>
      <c r="B171" s="18"/>
      <c r="C171" s="18"/>
      <c r="D171" s="18"/>
      <c r="E171" s="18"/>
      <c r="F171" s="18"/>
      <c r="G171" s="22"/>
      <c r="H171" s="18"/>
      <c r="I171" s="18">
        <v>0.0</v>
      </c>
      <c r="J171" s="18">
        <v>0.0</v>
      </c>
      <c r="K171" s="18"/>
      <c r="L171" s="18"/>
      <c r="M171" s="22" t="str">
        <f t="shared" si="1"/>
        <v/>
      </c>
      <c r="N171" s="18" t="str">
        <f>IF(A171="",,IF(ROW()=2, Input!$C$2 + I171, P170 + I171))</f>
        <v/>
      </c>
      <c r="O171" s="23" t="str">
        <f>IF(A171="",,
 IF(K171="Initial principal",
   Input!$C$2 * M171,
   N171 * M171
 )
)</f>
        <v/>
      </c>
      <c r="P171" s="18" t="str">
        <f t="shared" si="2"/>
        <v/>
      </c>
      <c r="Q171" s="18" t="str">
        <f t="shared" si="3"/>
        <v/>
      </c>
      <c r="R171" s="18" t="str">
        <f t="array" ref="R171">IF(
  B171="",
  ,
  SWITCH(
    Input!$C$4,
    "Actual/365 Fixed",
      YEARFRAC(
        B171 + IF(INDEX(Input!$K$7:$K1503,ROW()-1),0,1),
        C171 + IF(INDEX(Input!$L$7:$L1503,ROW()-1),1,0),
        3
      ),
    "Anniversary/365",
      DATEDIF(
        B171 + IF(INDEX(Input!$K$7:$K1503,ROW()-1),0,1),
        C171 + IF(INDEX(Input!$L$7:$L1503,ROW()-1),1,0),
        "Y"
      )
      +
      (
        (C171 + IF(INDEX(Input!$L$7:$L1503,ROW()-1),1,0))
        -
        EDATE(
          B171 + IF(INDEX(Input!$K$7:$K1503,ROW()-1),0,1),
          12*DATEDIF(
            B171 + IF(INDEX(Input!$K$7:$K1503,ROW()-1),0,1),
            C171 + IF(INDEX(Input!$L$7:$L1503,ROW()-1),1,0),
            "Y"
          )
        )
      ) / 365,
    "Actual/Actual",
      YEARFRAC(
        B171 + IF(INDEX(Input!$K$7:$K1503,ROW()-1),0,1),
        C171 + IF(INDEX(Input!$L$7:$L1503,ROW()-1),1,0),
        1
      ),
      YEARFRAC(
        B171 + IF(INDEX(Input!$K$7:$K1503,ROW()-1),0,1),
        C171 + IF(INDEX(Input!$L$7:$L1503,ROW()-1),1,0),
        3
      )
  )
)</f>
        <v/>
      </c>
      <c r="S171" s="22" t="str">
        <f t="shared" si="4"/>
        <v/>
      </c>
      <c r="T171" s="6" t="str">
        <f t="array" ref="T171">IF(
  B171="",
  ,
  DATEDIF(
    B171 + IF(INDEX(Input!$K$7:$K1503,ROW()-1),0,1),
    C171 + IF(INDEX(Input!$L$7:$L1503,ROW()-1),1,0),
    "Y"
  )
)</f>
        <v/>
      </c>
      <c r="U171" s="6" t="str">
        <f t="array" ref="U171">IF(
  B171="",
  ,
  (C171 + IF(INDEX(Input!$L$7:$L1503,ROW()-1),1,0))
  - EDATE(
      B171 + IF(INDEX(Input!$K$7:$K1503,ROW()-1),0,1),
      12*S171
    )
)</f>
        <v/>
      </c>
      <c r="V171" s="6" t="str">
        <f t="shared" si="5"/>
        <v/>
      </c>
      <c r="W171" s="6" t="str">
        <f t="shared" si="6"/>
        <v/>
      </c>
    </row>
    <row r="172">
      <c r="A172" s="18"/>
      <c r="B172" s="18"/>
      <c r="C172" s="18"/>
      <c r="D172" s="18"/>
      <c r="E172" s="18"/>
      <c r="F172" s="18"/>
      <c r="G172" s="22"/>
      <c r="H172" s="18"/>
      <c r="I172" s="18">
        <v>0.0</v>
      </c>
      <c r="J172" s="18">
        <v>0.0</v>
      </c>
      <c r="K172" s="18"/>
      <c r="L172" s="18"/>
      <c r="M172" s="22" t="str">
        <f t="shared" si="1"/>
        <v/>
      </c>
      <c r="N172" s="18" t="str">
        <f>IF(A172="",,IF(ROW()=2, Input!$C$2 + I172, P171 + I172))</f>
        <v/>
      </c>
      <c r="O172" s="23" t="str">
        <f>IF(A172="",,
 IF(K172="Initial principal",
   Input!$C$2 * M172,
   N172 * M172
 )
)</f>
        <v/>
      </c>
      <c r="P172" s="18" t="str">
        <f t="shared" si="2"/>
        <v/>
      </c>
      <c r="Q172" s="18" t="str">
        <f t="shared" si="3"/>
        <v/>
      </c>
      <c r="R172" s="18" t="str">
        <f t="array" ref="R172">IF(
  B172="",
  ,
  SWITCH(
    Input!$C$4,
    "Actual/365 Fixed",
      YEARFRAC(
        B172 + IF(INDEX(Input!$K$7:$K1503,ROW()-1),0,1),
        C172 + IF(INDEX(Input!$L$7:$L1503,ROW()-1),1,0),
        3
      ),
    "Anniversary/365",
      DATEDIF(
        B172 + IF(INDEX(Input!$K$7:$K1503,ROW()-1),0,1),
        C172 + IF(INDEX(Input!$L$7:$L1503,ROW()-1),1,0),
        "Y"
      )
      +
      (
        (C172 + IF(INDEX(Input!$L$7:$L1503,ROW()-1),1,0))
        -
        EDATE(
          B172 + IF(INDEX(Input!$K$7:$K1503,ROW()-1),0,1),
          12*DATEDIF(
            B172 + IF(INDEX(Input!$K$7:$K1503,ROW()-1),0,1),
            C172 + IF(INDEX(Input!$L$7:$L1503,ROW()-1),1,0),
            "Y"
          )
        )
      ) / 365,
    "Actual/Actual",
      YEARFRAC(
        B172 + IF(INDEX(Input!$K$7:$K1503,ROW()-1),0,1),
        C172 + IF(INDEX(Input!$L$7:$L1503,ROW()-1),1,0),
        1
      ),
      YEARFRAC(
        B172 + IF(INDEX(Input!$K$7:$K1503,ROW()-1),0,1),
        C172 + IF(INDEX(Input!$L$7:$L1503,ROW()-1),1,0),
        3
      )
  )
)</f>
        <v/>
      </c>
      <c r="S172" s="22" t="str">
        <f t="shared" si="4"/>
        <v/>
      </c>
      <c r="T172" s="6" t="str">
        <f t="array" ref="T172">IF(
  B172="",
  ,
  DATEDIF(
    B172 + IF(INDEX(Input!$K$7:$K1503,ROW()-1),0,1),
    C172 + IF(INDEX(Input!$L$7:$L1503,ROW()-1),1,0),
    "Y"
  )
)</f>
        <v/>
      </c>
      <c r="U172" s="6" t="str">
        <f t="array" ref="U172">IF(
  B172="",
  ,
  (C172 + IF(INDEX(Input!$L$7:$L1503,ROW()-1),1,0))
  - EDATE(
      B172 + IF(INDEX(Input!$K$7:$K1503,ROW()-1),0,1),
      12*S172
    )
)</f>
        <v/>
      </c>
      <c r="V172" s="6" t="str">
        <f t="shared" si="5"/>
        <v/>
      </c>
      <c r="W172" s="6" t="str">
        <f t="shared" si="6"/>
        <v/>
      </c>
    </row>
    <row r="173">
      <c r="A173" s="18"/>
      <c r="B173" s="18"/>
      <c r="C173" s="18"/>
      <c r="D173" s="18"/>
      <c r="E173" s="18"/>
      <c r="F173" s="18"/>
      <c r="G173" s="22"/>
      <c r="H173" s="18"/>
      <c r="I173" s="18">
        <v>0.0</v>
      </c>
      <c r="J173" s="18">
        <v>0.0</v>
      </c>
      <c r="K173" s="18"/>
      <c r="L173" s="18"/>
      <c r="M173" s="22" t="str">
        <f t="shared" si="1"/>
        <v/>
      </c>
      <c r="N173" s="18" t="str">
        <f>IF(A173="",,IF(ROW()=2, Input!$C$2 + I173, P172 + I173))</f>
        <v/>
      </c>
      <c r="O173" s="23" t="str">
        <f>IF(A173="",,
 IF(K173="Initial principal",
   Input!$C$2 * M173,
   N173 * M173
 )
)</f>
        <v/>
      </c>
      <c r="P173" s="18" t="str">
        <f t="shared" si="2"/>
        <v/>
      </c>
      <c r="Q173" s="18" t="str">
        <f t="shared" si="3"/>
        <v/>
      </c>
      <c r="R173" s="18" t="str">
        <f t="array" ref="R173">IF(
  B173="",
  ,
  SWITCH(
    Input!$C$4,
    "Actual/365 Fixed",
      YEARFRAC(
        B173 + IF(INDEX(Input!$K$7:$K1503,ROW()-1),0,1),
        C173 + IF(INDEX(Input!$L$7:$L1503,ROW()-1),1,0),
        3
      ),
    "Anniversary/365",
      DATEDIF(
        B173 + IF(INDEX(Input!$K$7:$K1503,ROW()-1),0,1),
        C173 + IF(INDEX(Input!$L$7:$L1503,ROW()-1),1,0),
        "Y"
      )
      +
      (
        (C173 + IF(INDEX(Input!$L$7:$L1503,ROW()-1),1,0))
        -
        EDATE(
          B173 + IF(INDEX(Input!$K$7:$K1503,ROW()-1),0,1),
          12*DATEDIF(
            B173 + IF(INDEX(Input!$K$7:$K1503,ROW()-1),0,1),
            C173 + IF(INDEX(Input!$L$7:$L1503,ROW()-1),1,0),
            "Y"
          )
        )
      ) / 365,
    "Actual/Actual",
      YEARFRAC(
        B173 + IF(INDEX(Input!$K$7:$K1503,ROW()-1),0,1),
        C173 + IF(INDEX(Input!$L$7:$L1503,ROW()-1),1,0),
        1
      ),
      YEARFRAC(
        B173 + IF(INDEX(Input!$K$7:$K1503,ROW()-1),0,1),
        C173 + IF(INDEX(Input!$L$7:$L1503,ROW()-1),1,0),
        3
      )
  )
)</f>
        <v/>
      </c>
      <c r="S173" s="22" t="str">
        <f t="shared" si="4"/>
        <v/>
      </c>
      <c r="T173" s="6" t="str">
        <f t="array" ref="T173">IF(
  B173="",
  ,
  DATEDIF(
    B173 + IF(INDEX(Input!$K$7:$K1503,ROW()-1),0,1),
    C173 + IF(INDEX(Input!$L$7:$L1503,ROW()-1),1,0),
    "Y"
  )
)</f>
        <v/>
      </c>
      <c r="U173" s="6" t="str">
        <f t="array" ref="U173">IF(
  B173="",
  ,
  (C173 + IF(INDEX(Input!$L$7:$L1503,ROW()-1),1,0))
  - EDATE(
      B173 + IF(INDEX(Input!$K$7:$K1503,ROW()-1),0,1),
      12*S173
    )
)</f>
        <v/>
      </c>
      <c r="V173" s="6" t="str">
        <f t="shared" si="5"/>
        <v/>
      </c>
      <c r="W173" s="6" t="str">
        <f t="shared" si="6"/>
        <v/>
      </c>
    </row>
    <row r="174">
      <c r="A174" s="18"/>
      <c r="B174" s="18"/>
      <c r="C174" s="18"/>
      <c r="D174" s="18"/>
      <c r="E174" s="18"/>
      <c r="F174" s="18"/>
      <c r="G174" s="22"/>
      <c r="H174" s="18"/>
      <c r="I174" s="18">
        <v>0.0</v>
      </c>
      <c r="J174" s="18">
        <v>0.0</v>
      </c>
      <c r="K174" s="18"/>
      <c r="L174" s="18"/>
      <c r="M174" s="22" t="str">
        <f t="shared" si="1"/>
        <v/>
      </c>
      <c r="N174" s="18" t="str">
        <f>IF(A174="",,IF(ROW()=2, Input!$C$2 + I174, P173 + I174))</f>
        <v/>
      </c>
      <c r="O174" s="23" t="str">
        <f>IF(A174="",,
 IF(K174="Initial principal",
   Input!$C$2 * M174,
   N174 * M174
 )
)</f>
        <v/>
      </c>
      <c r="P174" s="18" t="str">
        <f t="shared" si="2"/>
        <v/>
      </c>
      <c r="Q174" s="18" t="str">
        <f t="shared" si="3"/>
        <v/>
      </c>
      <c r="R174" s="18" t="str">
        <f t="array" ref="R174">IF(
  B174="",
  ,
  SWITCH(
    Input!$C$4,
    "Actual/365 Fixed",
      YEARFRAC(
        B174 + IF(INDEX(Input!$K$7:$K1503,ROW()-1),0,1),
        C174 + IF(INDEX(Input!$L$7:$L1503,ROW()-1),1,0),
        3
      ),
    "Anniversary/365",
      DATEDIF(
        B174 + IF(INDEX(Input!$K$7:$K1503,ROW()-1),0,1),
        C174 + IF(INDEX(Input!$L$7:$L1503,ROW()-1),1,0),
        "Y"
      )
      +
      (
        (C174 + IF(INDEX(Input!$L$7:$L1503,ROW()-1),1,0))
        -
        EDATE(
          B174 + IF(INDEX(Input!$K$7:$K1503,ROW()-1),0,1),
          12*DATEDIF(
            B174 + IF(INDEX(Input!$K$7:$K1503,ROW()-1),0,1),
            C174 + IF(INDEX(Input!$L$7:$L1503,ROW()-1),1,0),
            "Y"
          )
        )
      ) / 365,
    "Actual/Actual",
      YEARFRAC(
        B174 + IF(INDEX(Input!$K$7:$K1503,ROW()-1),0,1),
        C174 + IF(INDEX(Input!$L$7:$L1503,ROW()-1),1,0),
        1
      ),
      YEARFRAC(
        B174 + IF(INDEX(Input!$K$7:$K1503,ROW()-1),0,1),
        C174 + IF(INDEX(Input!$L$7:$L1503,ROW()-1),1,0),
        3
      )
  )
)</f>
        <v/>
      </c>
      <c r="S174" s="22" t="str">
        <f t="shared" si="4"/>
        <v/>
      </c>
      <c r="T174" s="6" t="str">
        <f t="array" ref="T174">IF(
  B174="",
  ,
  DATEDIF(
    B174 + IF(INDEX(Input!$K$7:$K1503,ROW()-1),0,1),
    C174 + IF(INDEX(Input!$L$7:$L1503,ROW()-1),1,0),
    "Y"
  )
)</f>
        <v/>
      </c>
      <c r="U174" s="6" t="str">
        <f t="array" ref="U174">IF(
  B174="",
  ,
  (C174 + IF(INDEX(Input!$L$7:$L1503,ROW()-1),1,0))
  - EDATE(
      B174 + IF(INDEX(Input!$K$7:$K1503,ROW()-1),0,1),
      12*S174
    )
)</f>
        <v/>
      </c>
      <c r="V174" s="6" t="str">
        <f t="shared" si="5"/>
        <v/>
      </c>
      <c r="W174" s="6" t="str">
        <f t="shared" si="6"/>
        <v/>
      </c>
    </row>
    <row r="175">
      <c r="A175" s="18"/>
      <c r="B175" s="18"/>
      <c r="C175" s="18"/>
      <c r="D175" s="18"/>
      <c r="E175" s="18"/>
      <c r="F175" s="18"/>
      <c r="G175" s="22"/>
      <c r="H175" s="18"/>
      <c r="I175" s="18">
        <v>0.0</v>
      </c>
      <c r="J175" s="18">
        <v>0.0</v>
      </c>
      <c r="K175" s="18"/>
      <c r="L175" s="18"/>
      <c r="M175" s="22" t="str">
        <f t="shared" si="1"/>
        <v/>
      </c>
      <c r="N175" s="18" t="str">
        <f>IF(A175="",,IF(ROW()=2, Input!$C$2 + I175, P174 + I175))</f>
        <v/>
      </c>
      <c r="O175" s="23" t="str">
        <f>IF(A175="",,
 IF(K175="Initial principal",
   Input!$C$2 * M175,
   N175 * M175
 )
)</f>
        <v/>
      </c>
      <c r="P175" s="18" t="str">
        <f t="shared" si="2"/>
        <v/>
      </c>
      <c r="Q175" s="18" t="str">
        <f t="shared" si="3"/>
        <v/>
      </c>
      <c r="R175" s="18" t="str">
        <f t="array" ref="R175">IF(
  B175="",
  ,
  SWITCH(
    Input!$C$4,
    "Actual/365 Fixed",
      YEARFRAC(
        B175 + IF(INDEX(Input!$K$7:$K1503,ROW()-1),0,1),
        C175 + IF(INDEX(Input!$L$7:$L1503,ROW()-1),1,0),
        3
      ),
    "Anniversary/365",
      DATEDIF(
        B175 + IF(INDEX(Input!$K$7:$K1503,ROW()-1),0,1),
        C175 + IF(INDEX(Input!$L$7:$L1503,ROW()-1),1,0),
        "Y"
      )
      +
      (
        (C175 + IF(INDEX(Input!$L$7:$L1503,ROW()-1),1,0))
        -
        EDATE(
          B175 + IF(INDEX(Input!$K$7:$K1503,ROW()-1),0,1),
          12*DATEDIF(
            B175 + IF(INDEX(Input!$K$7:$K1503,ROW()-1),0,1),
            C175 + IF(INDEX(Input!$L$7:$L1503,ROW()-1),1,0),
            "Y"
          )
        )
      ) / 365,
    "Actual/Actual",
      YEARFRAC(
        B175 + IF(INDEX(Input!$K$7:$K1503,ROW()-1),0,1),
        C175 + IF(INDEX(Input!$L$7:$L1503,ROW()-1),1,0),
        1
      ),
      YEARFRAC(
        B175 + IF(INDEX(Input!$K$7:$K1503,ROW()-1),0,1),
        C175 + IF(INDEX(Input!$L$7:$L1503,ROW()-1),1,0),
        3
      )
  )
)</f>
        <v/>
      </c>
      <c r="S175" s="22" t="str">
        <f t="shared" si="4"/>
        <v/>
      </c>
      <c r="T175" s="6" t="str">
        <f t="array" ref="T175">IF(
  B175="",
  ,
  DATEDIF(
    B175 + IF(INDEX(Input!$K$7:$K1503,ROW()-1),0,1),
    C175 + IF(INDEX(Input!$L$7:$L1503,ROW()-1),1,0),
    "Y"
  )
)</f>
        <v/>
      </c>
      <c r="U175" s="6" t="str">
        <f t="array" ref="U175">IF(
  B175="",
  ,
  (C175 + IF(INDEX(Input!$L$7:$L1503,ROW()-1),1,0))
  - EDATE(
      B175 + IF(INDEX(Input!$K$7:$K1503,ROW()-1),0,1),
      12*S175
    )
)</f>
        <v/>
      </c>
      <c r="V175" s="6" t="str">
        <f t="shared" si="5"/>
        <v/>
      </c>
      <c r="W175" s="6" t="str">
        <f t="shared" si="6"/>
        <v/>
      </c>
    </row>
    <row r="176">
      <c r="A176" s="18"/>
      <c r="B176" s="18"/>
      <c r="C176" s="18"/>
      <c r="D176" s="18"/>
      <c r="E176" s="18"/>
      <c r="F176" s="18"/>
      <c r="G176" s="22"/>
      <c r="H176" s="18"/>
      <c r="I176" s="18">
        <v>0.0</v>
      </c>
      <c r="J176" s="18">
        <v>0.0</v>
      </c>
      <c r="K176" s="18"/>
      <c r="L176" s="18"/>
      <c r="M176" s="22" t="str">
        <f t="shared" si="1"/>
        <v/>
      </c>
      <c r="N176" s="18" t="str">
        <f>IF(A176="",,IF(ROW()=2, Input!$C$2 + I176, P175 + I176))</f>
        <v/>
      </c>
      <c r="O176" s="23" t="str">
        <f>IF(A176="",,
 IF(K176="Initial principal",
   Input!$C$2 * M176,
   N176 * M176
 )
)</f>
        <v/>
      </c>
      <c r="P176" s="18" t="str">
        <f t="shared" si="2"/>
        <v/>
      </c>
      <c r="Q176" s="18" t="str">
        <f t="shared" si="3"/>
        <v/>
      </c>
      <c r="R176" s="18" t="str">
        <f t="array" ref="R176">IF(
  B176="",
  ,
  SWITCH(
    Input!$C$4,
    "Actual/365 Fixed",
      YEARFRAC(
        B176 + IF(INDEX(Input!$K$7:$K1503,ROW()-1),0,1),
        C176 + IF(INDEX(Input!$L$7:$L1503,ROW()-1),1,0),
        3
      ),
    "Anniversary/365",
      DATEDIF(
        B176 + IF(INDEX(Input!$K$7:$K1503,ROW()-1),0,1),
        C176 + IF(INDEX(Input!$L$7:$L1503,ROW()-1),1,0),
        "Y"
      )
      +
      (
        (C176 + IF(INDEX(Input!$L$7:$L1503,ROW()-1),1,0))
        -
        EDATE(
          B176 + IF(INDEX(Input!$K$7:$K1503,ROW()-1),0,1),
          12*DATEDIF(
            B176 + IF(INDEX(Input!$K$7:$K1503,ROW()-1),0,1),
            C176 + IF(INDEX(Input!$L$7:$L1503,ROW()-1),1,0),
            "Y"
          )
        )
      ) / 365,
    "Actual/Actual",
      YEARFRAC(
        B176 + IF(INDEX(Input!$K$7:$K1503,ROW()-1),0,1),
        C176 + IF(INDEX(Input!$L$7:$L1503,ROW()-1),1,0),
        1
      ),
      YEARFRAC(
        B176 + IF(INDEX(Input!$K$7:$K1503,ROW()-1),0,1),
        C176 + IF(INDEX(Input!$L$7:$L1503,ROW()-1),1,0),
        3
      )
  )
)</f>
        <v/>
      </c>
      <c r="S176" s="22" t="str">
        <f t="shared" si="4"/>
        <v/>
      </c>
      <c r="T176" s="6" t="str">
        <f t="array" ref="T176">IF(
  B176="",
  ,
  DATEDIF(
    B176 + IF(INDEX(Input!$K$7:$K1503,ROW()-1),0,1),
    C176 + IF(INDEX(Input!$L$7:$L1503,ROW()-1),1,0),
    "Y"
  )
)</f>
        <v/>
      </c>
      <c r="U176" s="6" t="str">
        <f t="array" ref="U176">IF(
  B176="",
  ,
  (C176 + IF(INDEX(Input!$L$7:$L1503,ROW()-1),1,0))
  - EDATE(
      B176 + IF(INDEX(Input!$K$7:$K1503,ROW()-1),0,1),
      12*S176
    )
)</f>
        <v/>
      </c>
      <c r="V176" s="6" t="str">
        <f t="shared" si="5"/>
        <v/>
      </c>
      <c r="W176" s="6" t="str">
        <f t="shared" si="6"/>
        <v/>
      </c>
    </row>
    <row r="177">
      <c r="A177" s="18"/>
      <c r="B177" s="18"/>
      <c r="C177" s="18"/>
      <c r="D177" s="18"/>
      <c r="E177" s="18"/>
      <c r="F177" s="18"/>
      <c r="G177" s="22"/>
      <c r="H177" s="18"/>
      <c r="I177" s="18">
        <v>0.0</v>
      </c>
      <c r="J177" s="18">
        <v>0.0</v>
      </c>
      <c r="K177" s="18"/>
      <c r="L177" s="18"/>
      <c r="M177" s="22" t="str">
        <f t="shared" si="1"/>
        <v/>
      </c>
      <c r="N177" s="18" t="str">
        <f>IF(A177="",,IF(ROW()=2, Input!$C$2 + I177, P176 + I177))</f>
        <v/>
      </c>
      <c r="O177" s="23" t="str">
        <f>IF(A177="",,
 IF(K177="Initial principal",
   Input!$C$2 * M177,
   N177 * M177
 )
)</f>
        <v/>
      </c>
      <c r="P177" s="18" t="str">
        <f t="shared" si="2"/>
        <v/>
      </c>
      <c r="Q177" s="18" t="str">
        <f t="shared" si="3"/>
        <v/>
      </c>
      <c r="R177" s="18" t="str">
        <f t="array" ref="R177">IF(
  B177="",
  ,
  SWITCH(
    Input!$C$4,
    "Actual/365 Fixed",
      YEARFRAC(
        B177 + IF(INDEX(Input!$K$7:$K1503,ROW()-1),0,1),
        C177 + IF(INDEX(Input!$L$7:$L1503,ROW()-1),1,0),
        3
      ),
    "Anniversary/365",
      DATEDIF(
        B177 + IF(INDEX(Input!$K$7:$K1503,ROW()-1),0,1),
        C177 + IF(INDEX(Input!$L$7:$L1503,ROW()-1),1,0),
        "Y"
      )
      +
      (
        (C177 + IF(INDEX(Input!$L$7:$L1503,ROW()-1),1,0))
        -
        EDATE(
          B177 + IF(INDEX(Input!$K$7:$K1503,ROW()-1),0,1),
          12*DATEDIF(
            B177 + IF(INDEX(Input!$K$7:$K1503,ROW()-1),0,1),
            C177 + IF(INDEX(Input!$L$7:$L1503,ROW()-1),1,0),
            "Y"
          )
        )
      ) / 365,
    "Actual/Actual",
      YEARFRAC(
        B177 + IF(INDEX(Input!$K$7:$K1503,ROW()-1),0,1),
        C177 + IF(INDEX(Input!$L$7:$L1503,ROW()-1),1,0),
        1
      ),
      YEARFRAC(
        B177 + IF(INDEX(Input!$K$7:$K1503,ROW()-1),0,1),
        C177 + IF(INDEX(Input!$L$7:$L1503,ROW()-1),1,0),
        3
      )
  )
)</f>
        <v/>
      </c>
      <c r="S177" s="22" t="str">
        <f t="shared" si="4"/>
        <v/>
      </c>
      <c r="T177" s="6" t="str">
        <f t="array" ref="T177">IF(
  B177="",
  ,
  DATEDIF(
    B177 + IF(INDEX(Input!$K$7:$K1503,ROW()-1),0,1),
    C177 + IF(INDEX(Input!$L$7:$L1503,ROW()-1),1,0),
    "Y"
  )
)</f>
        <v/>
      </c>
      <c r="U177" s="6" t="str">
        <f t="array" ref="U177">IF(
  B177="",
  ,
  (C177 + IF(INDEX(Input!$L$7:$L1503,ROW()-1),1,0))
  - EDATE(
      B177 + IF(INDEX(Input!$K$7:$K1503,ROW()-1),0,1),
      12*S177
    )
)</f>
        <v/>
      </c>
      <c r="V177" s="6" t="str">
        <f t="shared" si="5"/>
        <v/>
      </c>
      <c r="W177" s="6" t="str">
        <f t="shared" si="6"/>
        <v/>
      </c>
    </row>
    <row r="178">
      <c r="A178" s="18"/>
      <c r="B178" s="18"/>
      <c r="C178" s="18"/>
      <c r="D178" s="18"/>
      <c r="E178" s="18"/>
      <c r="F178" s="18"/>
      <c r="G178" s="22"/>
      <c r="H178" s="18"/>
      <c r="I178" s="18">
        <v>0.0</v>
      </c>
      <c r="J178" s="18">
        <v>0.0</v>
      </c>
      <c r="K178" s="18"/>
      <c r="L178" s="18"/>
      <c r="M178" s="22" t="str">
        <f t="shared" si="1"/>
        <v/>
      </c>
      <c r="N178" s="18" t="str">
        <f>IF(A178="",,IF(ROW()=2, Input!$C$2 + I178, P177 + I178))</f>
        <v/>
      </c>
      <c r="O178" s="23" t="str">
        <f>IF(A178="",,
 IF(K178="Initial principal",
   Input!$C$2 * M178,
   N178 * M178
 )
)</f>
        <v/>
      </c>
      <c r="P178" s="18" t="str">
        <f t="shared" si="2"/>
        <v/>
      </c>
      <c r="Q178" s="18" t="str">
        <f t="shared" si="3"/>
        <v/>
      </c>
      <c r="R178" s="18" t="str">
        <f t="array" ref="R178">IF(
  B178="",
  ,
  SWITCH(
    Input!$C$4,
    "Actual/365 Fixed",
      YEARFRAC(
        B178 + IF(INDEX(Input!$K$7:$K1503,ROW()-1),0,1),
        C178 + IF(INDEX(Input!$L$7:$L1503,ROW()-1),1,0),
        3
      ),
    "Anniversary/365",
      DATEDIF(
        B178 + IF(INDEX(Input!$K$7:$K1503,ROW()-1),0,1),
        C178 + IF(INDEX(Input!$L$7:$L1503,ROW()-1),1,0),
        "Y"
      )
      +
      (
        (C178 + IF(INDEX(Input!$L$7:$L1503,ROW()-1),1,0))
        -
        EDATE(
          B178 + IF(INDEX(Input!$K$7:$K1503,ROW()-1),0,1),
          12*DATEDIF(
            B178 + IF(INDEX(Input!$K$7:$K1503,ROW()-1),0,1),
            C178 + IF(INDEX(Input!$L$7:$L1503,ROW()-1),1,0),
            "Y"
          )
        )
      ) / 365,
    "Actual/Actual",
      YEARFRAC(
        B178 + IF(INDEX(Input!$K$7:$K1503,ROW()-1),0,1),
        C178 + IF(INDEX(Input!$L$7:$L1503,ROW()-1),1,0),
        1
      ),
      YEARFRAC(
        B178 + IF(INDEX(Input!$K$7:$K1503,ROW()-1),0,1),
        C178 + IF(INDEX(Input!$L$7:$L1503,ROW()-1),1,0),
        3
      )
  )
)</f>
        <v/>
      </c>
      <c r="S178" s="22" t="str">
        <f t="shared" si="4"/>
        <v/>
      </c>
      <c r="T178" s="6" t="str">
        <f t="array" ref="T178">IF(
  B178="",
  ,
  DATEDIF(
    B178 + IF(INDEX(Input!$K$7:$K1503,ROW()-1),0,1),
    C178 + IF(INDEX(Input!$L$7:$L1503,ROW()-1),1,0),
    "Y"
  )
)</f>
        <v/>
      </c>
      <c r="U178" s="6" t="str">
        <f t="array" ref="U178">IF(
  B178="",
  ,
  (C178 + IF(INDEX(Input!$L$7:$L1503,ROW()-1),1,0))
  - EDATE(
      B178 + IF(INDEX(Input!$K$7:$K1503,ROW()-1),0,1),
      12*S178
    )
)</f>
        <v/>
      </c>
      <c r="V178" s="6" t="str">
        <f t="shared" si="5"/>
        <v/>
      </c>
      <c r="W178" s="6" t="str">
        <f t="shared" si="6"/>
        <v/>
      </c>
    </row>
    <row r="179">
      <c r="A179" s="18"/>
      <c r="B179" s="18"/>
      <c r="C179" s="18"/>
      <c r="D179" s="18"/>
      <c r="E179" s="18"/>
      <c r="F179" s="18"/>
      <c r="G179" s="22"/>
      <c r="H179" s="18"/>
      <c r="I179" s="18">
        <v>0.0</v>
      </c>
      <c r="J179" s="18">
        <v>0.0</v>
      </c>
      <c r="K179" s="18"/>
      <c r="L179" s="18"/>
      <c r="M179" s="22" t="str">
        <f t="shared" si="1"/>
        <v/>
      </c>
      <c r="N179" s="18" t="str">
        <f>IF(A179="",,IF(ROW()=2, Input!$C$2 + I179, P178 + I179))</f>
        <v/>
      </c>
      <c r="O179" s="23" t="str">
        <f>IF(A179="",,
 IF(K179="Initial principal",
   Input!$C$2 * M179,
   N179 * M179
 )
)</f>
        <v/>
      </c>
      <c r="P179" s="18" t="str">
        <f t="shared" si="2"/>
        <v/>
      </c>
      <c r="Q179" s="18" t="str">
        <f t="shared" si="3"/>
        <v/>
      </c>
      <c r="R179" s="18" t="str">
        <f t="array" ref="R179">IF(
  B179="",
  ,
  SWITCH(
    Input!$C$4,
    "Actual/365 Fixed",
      YEARFRAC(
        B179 + IF(INDEX(Input!$K$7:$K1503,ROW()-1),0,1),
        C179 + IF(INDEX(Input!$L$7:$L1503,ROW()-1),1,0),
        3
      ),
    "Anniversary/365",
      DATEDIF(
        B179 + IF(INDEX(Input!$K$7:$K1503,ROW()-1),0,1),
        C179 + IF(INDEX(Input!$L$7:$L1503,ROW()-1),1,0),
        "Y"
      )
      +
      (
        (C179 + IF(INDEX(Input!$L$7:$L1503,ROW()-1),1,0))
        -
        EDATE(
          B179 + IF(INDEX(Input!$K$7:$K1503,ROW()-1),0,1),
          12*DATEDIF(
            B179 + IF(INDEX(Input!$K$7:$K1503,ROW()-1),0,1),
            C179 + IF(INDEX(Input!$L$7:$L1503,ROW()-1),1,0),
            "Y"
          )
        )
      ) / 365,
    "Actual/Actual",
      YEARFRAC(
        B179 + IF(INDEX(Input!$K$7:$K1503,ROW()-1),0,1),
        C179 + IF(INDEX(Input!$L$7:$L1503,ROW()-1),1,0),
        1
      ),
      YEARFRAC(
        B179 + IF(INDEX(Input!$K$7:$K1503,ROW()-1),0,1),
        C179 + IF(INDEX(Input!$L$7:$L1503,ROW()-1),1,0),
        3
      )
  )
)</f>
        <v/>
      </c>
      <c r="S179" s="22" t="str">
        <f t="shared" si="4"/>
        <v/>
      </c>
      <c r="T179" s="6" t="str">
        <f t="array" ref="T179">IF(
  B179="",
  ,
  DATEDIF(
    B179 + IF(INDEX(Input!$K$7:$K1503,ROW()-1),0,1),
    C179 + IF(INDEX(Input!$L$7:$L1503,ROW()-1),1,0),
    "Y"
  )
)</f>
        <v/>
      </c>
      <c r="U179" s="6" t="str">
        <f t="array" ref="U179">IF(
  B179="",
  ,
  (C179 + IF(INDEX(Input!$L$7:$L1503,ROW()-1),1,0))
  - EDATE(
      B179 + IF(INDEX(Input!$K$7:$K1503,ROW()-1),0,1),
      12*S179
    )
)</f>
        <v/>
      </c>
      <c r="V179" s="6" t="str">
        <f t="shared" si="5"/>
        <v/>
      </c>
      <c r="W179" s="6" t="str">
        <f t="shared" si="6"/>
        <v/>
      </c>
    </row>
    <row r="180">
      <c r="A180" s="18"/>
      <c r="B180" s="18"/>
      <c r="C180" s="18"/>
      <c r="D180" s="18"/>
      <c r="E180" s="18"/>
      <c r="F180" s="18"/>
      <c r="G180" s="22"/>
      <c r="H180" s="18"/>
      <c r="I180" s="18">
        <v>0.0</v>
      </c>
      <c r="J180" s="18">
        <v>0.0</v>
      </c>
      <c r="K180" s="18"/>
      <c r="L180" s="18"/>
      <c r="M180" s="22" t="str">
        <f t="shared" si="1"/>
        <v/>
      </c>
      <c r="N180" s="18" t="str">
        <f>IF(A180="",,IF(ROW()=2, Input!$C$2 + I180, P179 + I180))</f>
        <v/>
      </c>
      <c r="O180" s="23" t="str">
        <f>IF(A180="",,
 IF(K180="Initial principal",
   Input!$C$2 * M180,
   N180 * M180
 )
)</f>
        <v/>
      </c>
      <c r="P180" s="18" t="str">
        <f t="shared" si="2"/>
        <v/>
      </c>
      <c r="Q180" s="18" t="str">
        <f t="shared" si="3"/>
        <v/>
      </c>
      <c r="R180" s="18" t="str">
        <f t="array" ref="R180">IF(
  B180="",
  ,
  SWITCH(
    Input!$C$4,
    "Actual/365 Fixed",
      YEARFRAC(
        B180 + IF(INDEX(Input!$K$7:$K1503,ROW()-1),0,1),
        C180 + IF(INDEX(Input!$L$7:$L1503,ROW()-1),1,0),
        3
      ),
    "Anniversary/365",
      DATEDIF(
        B180 + IF(INDEX(Input!$K$7:$K1503,ROW()-1),0,1),
        C180 + IF(INDEX(Input!$L$7:$L1503,ROW()-1),1,0),
        "Y"
      )
      +
      (
        (C180 + IF(INDEX(Input!$L$7:$L1503,ROW()-1),1,0))
        -
        EDATE(
          B180 + IF(INDEX(Input!$K$7:$K1503,ROW()-1),0,1),
          12*DATEDIF(
            B180 + IF(INDEX(Input!$K$7:$K1503,ROW()-1),0,1),
            C180 + IF(INDEX(Input!$L$7:$L1503,ROW()-1),1,0),
            "Y"
          )
        )
      ) / 365,
    "Actual/Actual",
      YEARFRAC(
        B180 + IF(INDEX(Input!$K$7:$K1503,ROW()-1),0,1),
        C180 + IF(INDEX(Input!$L$7:$L1503,ROW()-1),1,0),
        1
      ),
      YEARFRAC(
        B180 + IF(INDEX(Input!$K$7:$K1503,ROW()-1),0,1),
        C180 + IF(INDEX(Input!$L$7:$L1503,ROW()-1),1,0),
        3
      )
  )
)</f>
        <v/>
      </c>
      <c r="S180" s="22" t="str">
        <f t="shared" si="4"/>
        <v/>
      </c>
      <c r="T180" s="6" t="str">
        <f t="array" ref="T180">IF(
  B180="",
  ,
  DATEDIF(
    B180 + IF(INDEX(Input!$K$7:$K1503,ROW()-1),0,1),
    C180 + IF(INDEX(Input!$L$7:$L1503,ROW()-1),1,0),
    "Y"
  )
)</f>
        <v/>
      </c>
      <c r="U180" s="6" t="str">
        <f t="array" ref="U180">IF(
  B180="",
  ,
  (C180 + IF(INDEX(Input!$L$7:$L1503,ROW()-1),1,0))
  - EDATE(
      B180 + IF(INDEX(Input!$K$7:$K1503,ROW()-1),0,1),
      12*S180
    )
)</f>
        <v/>
      </c>
      <c r="V180" s="6" t="str">
        <f t="shared" si="5"/>
        <v/>
      </c>
      <c r="W180" s="6" t="str">
        <f t="shared" si="6"/>
        <v/>
      </c>
    </row>
    <row r="181">
      <c r="A181" s="18"/>
      <c r="B181" s="18"/>
      <c r="C181" s="18"/>
      <c r="D181" s="18"/>
      <c r="E181" s="18"/>
      <c r="F181" s="18"/>
      <c r="G181" s="22"/>
      <c r="H181" s="18"/>
      <c r="I181" s="18">
        <v>0.0</v>
      </c>
      <c r="J181" s="18">
        <v>0.0</v>
      </c>
      <c r="K181" s="18"/>
      <c r="L181" s="18"/>
      <c r="M181" s="22" t="str">
        <f t="shared" si="1"/>
        <v/>
      </c>
      <c r="N181" s="18" t="str">
        <f>IF(A181="",,IF(ROW()=2, Input!$C$2 + I181, P180 + I181))</f>
        <v/>
      </c>
      <c r="O181" s="23" t="str">
        <f>IF(A181="",,
 IF(K181="Initial principal",
   Input!$C$2 * M181,
   N181 * M181
 )
)</f>
        <v/>
      </c>
      <c r="P181" s="18" t="str">
        <f t="shared" si="2"/>
        <v/>
      </c>
      <c r="Q181" s="18" t="str">
        <f t="shared" si="3"/>
        <v/>
      </c>
      <c r="R181" s="18" t="str">
        <f t="array" ref="R181">IF(
  B181="",
  ,
  SWITCH(
    Input!$C$4,
    "Actual/365 Fixed",
      YEARFRAC(
        B181 + IF(INDEX(Input!$K$7:$K1503,ROW()-1),0,1),
        C181 + IF(INDEX(Input!$L$7:$L1503,ROW()-1),1,0),
        3
      ),
    "Anniversary/365",
      DATEDIF(
        B181 + IF(INDEX(Input!$K$7:$K1503,ROW()-1),0,1),
        C181 + IF(INDEX(Input!$L$7:$L1503,ROW()-1),1,0),
        "Y"
      )
      +
      (
        (C181 + IF(INDEX(Input!$L$7:$L1503,ROW()-1),1,0))
        -
        EDATE(
          B181 + IF(INDEX(Input!$K$7:$K1503,ROW()-1),0,1),
          12*DATEDIF(
            B181 + IF(INDEX(Input!$K$7:$K1503,ROW()-1),0,1),
            C181 + IF(INDEX(Input!$L$7:$L1503,ROW()-1),1,0),
            "Y"
          )
        )
      ) / 365,
    "Actual/Actual",
      YEARFRAC(
        B181 + IF(INDEX(Input!$K$7:$K1503,ROW()-1),0,1),
        C181 + IF(INDEX(Input!$L$7:$L1503,ROW()-1),1,0),
        1
      ),
      YEARFRAC(
        B181 + IF(INDEX(Input!$K$7:$K1503,ROW()-1),0,1),
        C181 + IF(INDEX(Input!$L$7:$L1503,ROW()-1),1,0),
        3
      )
  )
)</f>
        <v/>
      </c>
      <c r="S181" s="22" t="str">
        <f t="shared" si="4"/>
        <v/>
      </c>
      <c r="T181" s="6" t="str">
        <f t="array" ref="T181">IF(
  B181="",
  ,
  DATEDIF(
    B181 + IF(INDEX(Input!$K$7:$K1503,ROW()-1),0,1),
    C181 + IF(INDEX(Input!$L$7:$L1503,ROW()-1),1,0),
    "Y"
  )
)</f>
        <v/>
      </c>
      <c r="U181" s="6" t="str">
        <f t="array" ref="U181">IF(
  B181="",
  ,
  (C181 + IF(INDEX(Input!$L$7:$L1503,ROW()-1),1,0))
  - EDATE(
      B181 + IF(INDEX(Input!$K$7:$K1503,ROW()-1),0,1),
      12*S181
    )
)</f>
        <v/>
      </c>
      <c r="V181" s="6" t="str">
        <f t="shared" si="5"/>
        <v/>
      </c>
      <c r="W181" s="6" t="str">
        <f t="shared" si="6"/>
        <v/>
      </c>
    </row>
    <row r="182">
      <c r="A182" s="18"/>
      <c r="B182" s="18"/>
      <c r="C182" s="18"/>
      <c r="D182" s="18"/>
      <c r="E182" s="18"/>
      <c r="F182" s="18"/>
      <c r="G182" s="22"/>
      <c r="H182" s="18"/>
      <c r="I182" s="18">
        <v>0.0</v>
      </c>
      <c r="J182" s="18">
        <v>0.0</v>
      </c>
      <c r="K182" s="18"/>
      <c r="L182" s="18"/>
      <c r="M182" s="22" t="str">
        <f t="shared" si="1"/>
        <v/>
      </c>
      <c r="N182" s="18" t="str">
        <f>IF(A182="",,IF(ROW()=2, Input!$C$2 + I182, P181 + I182))</f>
        <v/>
      </c>
      <c r="O182" s="23" t="str">
        <f>IF(A182="",,
 IF(K182="Initial principal",
   Input!$C$2 * M182,
   N182 * M182
 )
)</f>
        <v/>
      </c>
      <c r="P182" s="18" t="str">
        <f t="shared" si="2"/>
        <v/>
      </c>
      <c r="Q182" s="18" t="str">
        <f t="shared" si="3"/>
        <v/>
      </c>
      <c r="R182" s="18" t="str">
        <f t="array" ref="R182">IF(
  B182="",
  ,
  SWITCH(
    Input!$C$4,
    "Actual/365 Fixed",
      YEARFRAC(
        B182 + IF(INDEX(Input!$K$7:$K1503,ROW()-1),0,1),
        C182 + IF(INDEX(Input!$L$7:$L1503,ROW()-1),1,0),
        3
      ),
    "Anniversary/365",
      DATEDIF(
        B182 + IF(INDEX(Input!$K$7:$K1503,ROW()-1),0,1),
        C182 + IF(INDEX(Input!$L$7:$L1503,ROW()-1),1,0),
        "Y"
      )
      +
      (
        (C182 + IF(INDEX(Input!$L$7:$L1503,ROW()-1),1,0))
        -
        EDATE(
          B182 + IF(INDEX(Input!$K$7:$K1503,ROW()-1),0,1),
          12*DATEDIF(
            B182 + IF(INDEX(Input!$K$7:$K1503,ROW()-1),0,1),
            C182 + IF(INDEX(Input!$L$7:$L1503,ROW()-1),1,0),
            "Y"
          )
        )
      ) / 365,
    "Actual/Actual",
      YEARFRAC(
        B182 + IF(INDEX(Input!$K$7:$K1503,ROW()-1),0,1),
        C182 + IF(INDEX(Input!$L$7:$L1503,ROW()-1),1,0),
        1
      ),
      YEARFRAC(
        B182 + IF(INDEX(Input!$K$7:$K1503,ROW()-1),0,1),
        C182 + IF(INDEX(Input!$L$7:$L1503,ROW()-1),1,0),
        3
      )
  )
)</f>
        <v/>
      </c>
      <c r="S182" s="22" t="str">
        <f t="shared" si="4"/>
        <v/>
      </c>
      <c r="T182" s="6" t="str">
        <f t="array" ref="T182">IF(
  B182="",
  ,
  DATEDIF(
    B182 + IF(INDEX(Input!$K$7:$K1503,ROW()-1),0,1),
    C182 + IF(INDEX(Input!$L$7:$L1503,ROW()-1),1,0),
    "Y"
  )
)</f>
        <v/>
      </c>
      <c r="U182" s="6" t="str">
        <f t="array" ref="U182">IF(
  B182="",
  ,
  (C182 + IF(INDEX(Input!$L$7:$L1503,ROW()-1),1,0))
  - EDATE(
      B182 + IF(INDEX(Input!$K$7:$K1503,ROW()-1),0,1),
      12*S182
    )
)</f>
        <v/>
      </c>
      <c r="V182" s="6" t="str">
        <f t="shared" si="5"/>
        <v/>
      </c>
      <c r="W182" s="6" t="str">
        <f t="shared" si="6"/>
        <v/>
      </c>
    </row>
    <row r="183">
      <c r="A183" s="18"/>
      <c r="B183" s="18"/>
      <c r="C183" s="18"/>
      <c r="D183" s="18"/>
      <c r="E183" s="18"/>
      <c r="F183" s="18"/>
      <c r="G183" s="22"/>
      <c r="H183" s="18"/>
      <c r="I183" s="18">
        <v>0.0</v>
      </c>
      <c r="J183" s="18">
        <v>0.0</v>
      </c>
      <c r="K183" s="18"/>
      <c r="L183" s="18"/>
      <c r="M183" s="22" t="str">
        <f t="shared" si="1"/>
        <v/>
      </c>
      <c r="N183" s="18" t="str">
        <f>IF(A183="",,IF(ROW()=2, Input!$C$2 + I183, P182 + I183))</f>
        <v/>
      </c>
      <c r="O183" s="23" t="str">
        <f>IF(A183="",,
 IF(K183="Initial principal",
   Input!$C$2 * M183,
   N183 * M183
 )
)</f>
        <v/>
      </c>
      <c r="P183" s="18" t="str">
        <f t="shared" si="2"/>
        <v/>
      </c>
      <c r="Q183" s="18" t="str">
        <f t="shared" si="3"/>
        <v/>
      </c>
      <c r="R183" s="18" t="str">
        <f t="array" ref="R183">IF(
  B183="",
  ,
  SWITCH(
    Input!$C$4,
    "Actual/365 Fixed",
      YEARFRAC(
        B183 + IF(INDEX(Input!$K$7:$K1503,ROW()-1),0,1),
        C183 + IF(INDEX(Input!$L$7:$L1503,ROW()-1),1,0),
        3
      ),
    "Anniversary/365",
      DATEDIF(
        B183 + IF(INDEX(Input!$K$7:$K1503,ROW()-1),0,1),
        C183 + IF(INDEX(Input!$L$7:$L1503,ROW()-1),1,0),
        "Y"
      )
      +
      (
        (C183 + IF(INDEX(Input!$L$7:$L1503,ROW()-1),1,0))
        -
        EDATE(
          B183 + IF(INDEX(Input!$K$7:$K1503,ROW()-1),0,1),
          12*DATEDIF(
            B183 + IF(INDEX(Input!$K$7:$K1503,ROW()-1),0,1),
            C183 + IF(INDEX(Input!$L$7:$L1503,ROW()-1),1,0),
            "Y"
          )
        )
      ) / 365,
    "Actual/Actual",
      YEARFRAC(
        B183 + IF(INDEX(Input!$K$7:$K1503,ROW()-1),0,1),
        C183 + IF(INDEX(Input!$L$7:$L1503,ROW()-1),1,0),
        1
      ),
      YEARFRAC(
        B183 + IF(INDEX(Input!$K$7:$K1503,ROW()-1),0,1),
        C183 + IF(INDEX(Input!$L$7:$L1503,ROW()-1),1,0),
        3
      )
  )
)</f>
        <v/>
      </c>
      <c r="S183" s="22" t="str">
        <f t="shared" si="4"/>
        <v/>
      </c>
      <c r="T183" s="6" t="str">
        <f t="array" ref="T183">IF(
  B183="",
  ,
  DATEDIF(
    B183 + IF(INDEX(Input!$K$7:$K1503,ROW()-1),0,1),
    C183 + IF(INDEX(Input!$L$7:$L1503,ROW()-1),1,0),
    "Y"
  )
)</f>
        <v/>
      </c>
      <c r="U183" s="6" t="str">
        <f t="array" ref="U183">IF(
  B183="",
  ,
  (C183 + IF(INDEX(Input!$L$7:$L1503,ROW()-1),1,0))
  - EDATE(
      B183 + IF(INDEX(Input!$K$7:$K1503,ROW()-1),0,1),
      12*S183
    )
)</f>
        <v/>
      </c>
      <c r="V183" s="6" t="str">
        <f t="shared" si="5"/>
        <v/>
      </c>
      <c r="W183" s="6" t="str">
        <f t="shared" si="6"/>
        <v/>
      </c>
    </row>
    <row r="184">
      <c r="A184" s="18"/>
      <c r="B184" s="18"/>
      <c r="C184" s="18"/>
      <c r="D184" s="18"/>
      <c r="E184" s="18"/>
      <c r="F184" s="18"/>
      <c r="G184" s="22"/>
      <c r="H184" s="18"/>
      <c r="I184" s="18">
        <v>0.0</v>
      </c>
      <c r="J184" s="18">
        <v>0.0</v>
      </c>
      <c r="K184" s="18"/>
      <c r="L184" s="18"/>
      <c r="M184" s="22" t="str">
        <f t="shared" si="1"/>
        <v/>
      </c>
      <c r="N184" s="18" t="str">
        <f>IF(A184="",,IF(ROW()=2, Input!$C$2 + I184, P183 + I184))</f>
        <v/>
      </c>
      <c r="O184" s="23" t="str">
        <f>IF(A184="",,
 IF(K184="Initial principal",
   Input!$C$2 * M184,
   N184 * M184
 )
)</f>
        <v/>
      </c>
      <c r="P184" s="18" t="str">
        <f t="shared" si="2"/>
        <v/>
      </c>
      <c r="Q184" s="18" t="str">
        <f t="shared" si="3"/>
        <v/>
      </c>
      <c r="R184" s="18" t="str">
        <f t="array" ref="R184">IF(
  B184="",
  ,
  SWITCH(
    Input!$C$4,
    "Actual/365 Fixed",
      YEARFRAC(
        B184 + IF(INDEX(Input!$K$7:$K1503,ROW()-1),0,1),
        C184 + IF(INDEX(Input!$L$7:$L1503,ROW()-1),1,0),
        3
      ),
    "Anniversary/365",
      DATEDIF(
        B184 + IF(INDEX(Input!$K$7:$K1503,ROW()-1),0,1),
        C184 + IF(INDEX(Input!$L$7:$L1503,ROW()-1),1,0),
        "Y"
      )
      +
      (
        (C184 + IF(INDEX(Input!$L$7:$L1503,ROW()-1),1,0))
        -
        EDATE(
          B184 + IF(INDEX(Input!$K$7:$K1503,ROW()-1),0,1),
          12*DATEDIF(
            B184 + IF(INDEX(Input!$K$7:$K1503,ROW()-1),0,1),
            C184 + IF(INDEX(Input!$L$7:$L1503,ROW()-1),1,0),
            "Y"
          )
        )
      ) / 365,
    "Actual/Actual",
      YEARFRAC(
        B184 + IF(INDEX(Input!$K$7:$K1503,ROW()-1),0,1),
        C184 + IF(INDEX(Input!$L$7:$L1503,ROW()-1),1,0),
        1
      ),
      YEARFRAC(
        B184 + IF(INDEX(Input!$K$7:$K1503,ROW()-1),0,1),
        C184 + IF(INDEX(Input!$L$7:$L1503,ROW()-1),1,0),
        3
      )
  )
)</f>
        <v/>
      </c>
      <c r="S184" s="22" t="str">
        <f t="shared" si="4"/>
        <v/>
      </c>
      <c r="T184" s="6" t="str">
        <f t="array" ref="T184">IF(
  B184="",
  ,
  DATEDIF(
    B184 + IF(INDEX(Input!$K$7:$K1503,ROW()-1),0,1),
    C184 + IF(INDEX(Input!$L$7:$L1503,ROW()-1),1,0),
    "Y"
  )
)</f>
        <v/>
      </c>
      <c r="U184" s="6" t="str">
        <f t="array" ref="U184">IF(
  B184="",
  ,
  (C184 + IF(INDEX(Input!$L$7:$L1503,ROW()-1),1,0))
  - EDATE(
      B184 + IF(INDEX(Input!$K$7:$K1503,ROW()-1),0,1),
      12*S184
    )
)</f>
        <v/>
      </c>
      <c r="V184" s="6" t="str">
        <f t="shared" si="5"/>
        <v/>
      </c>
      <c r="W184" s="6" t="str">
        <f t="shared" si="6"/>
        <v/>
      </c>
    </row>
    <row r="185">
      <c r="A185" s="18"/>
      <c r="B185" s="18"/>
      <c r="C185" s="18"/>
      <c r="D185" s="18"/>
      <c r="E185" s="18"/>
      <c r="F185" s="18"/>
      <c r="G185" s="22"/>
      <c r="H185" s="18"/>
      <c r="I185" s="18">
        <v>0.0</v>
      </c>
      <c r="J185" s="18">
        <v>0.0</v>
      </c>
      <c r="K185" s="18"/>
      <c r="L185" s="18"/>
      <c r="M185" s="22" t="str">
        <f t="shared" si="1"/>
        <v/>
      </c>
      <c r="N185" s="18" t="str">
        <f>IF(A185="",,IF(ROW()=2, Input!$C$2 + I185, P184 + I185))</f>
        <v/>
      </c>
      <c r="O185" s="23" t="str">
        <f>IF(A185="",,
 IF(K185="Initial principal",
   Input!$C$2 * M185,
   N185 * M185
 )
)</f>
        <v/>
      </c>
      <c r="P185" s="18" t="str">
        <f t="shared" si="2"/>
        <v/>
      </c>
      <c r="Q185" s="18" t="str">
        <f t="shared" si="3"/>
        <v/>
      </c>
      <c r="R185" s="18" t="str">
        <f t="array" ref="R185">IF(
  B185="",
  ,
  SWITCH(
    Input!$C$4,
    "Actual/365 Fixed",
      YEARFRAC(
        B185 + IF(INDEX(Input!$K$7:$K1503,ROW()-1),0,1),
        C185 + IF(INDEX(Input!$L$7:$L1503,ROW()-1),1,0),
        3
      ),
    "Anniversary/365",
      DATEDIF(
        B185 + IF(INDEX(Input!$K$7:$K1503,ROW()-1),0,1),
        C185 + IF(INDEX(Input!$L$7:$L1503,ROW()-1),1,0),
        "Y"
      )
      +
      (
        (C185 + IF(INDEX(Input!$L$7:$L1503,ROW()-1),1,0))
        -
        EDATE(
          B185 + IF(INDEX(Input!$K$7:$K1503,ROW()-1),0,1),
          12*DATEDIF(
            B185 + IF(INDEX(Input!$K$7:$K1503,ROW()-1),0,1),
            C185 + IF(INDEX(Input!$L$7:$L1503,ROW()-1),1,0),
            "Y"
          )
        )
      ) / 365,
    "Actual/Actual",
      YEARFRAC(
        B185 + IF(INDEX(Input!$K$7:$K1503,ROW()-1),0,1),
        C185 + IF(INDEX(Input!$L$7:$L1503,ROW()-1),1,0),
        1
      ),
      YEARFRAC(
        B185 + IF(INDEX(Input!$K$7:$K1503,ROW()-1),0,1),
        C185 + IF(INDEX(Input!$L$7:$L1503,ROW()-1),1,0),
        3
      )
  )
)</f>
        <v/>
      </c>
      <c r="S185" s="22" t="str">
        <f t="shared" si="4"/>
        <v/>
      </c>
      <c r="T185" s="6" t="str">
        <f t="array" ref="T185">IF(
  B185="",
  ,
  DATEDIF(
    B185 + IF(INDEX(Input!$K$7:$K1503,ROW()-1),0,1),
    C185 + IF(INDEX(Input!$L$7:$L1503,ROW()-1),1,0),
    "Y"
  )
)</f>
        <v/>
      </c>
      <c r="U185" s="6" t="str">
        <f t="array" ref="U185">IF(
  B185="",
  ,
  (C185 + IF(INDEX(Input!$L$7:$L1503,ROW()-1),1,0))
  - EDATE(
      B185 + IF(INDEX(Input!$K$7:$K1503,ROW()-1),0,1),
      12*S185
    )
)</f>
        <v/>
      </c>
      <c r="V185" s="6" t="str">
        <f t="shared" si="5"/>
        <v/>
      </c>
      <c r="W185" s="6" t="str">
        <f t="shared" si="6"/>
        <v/>
      </c>
    </row>
    <row r="186">
      <c r="A186" s="18"/>
      <c r="B186" s="18"/>
      <c r="C186" s="18"/>
      <c r="D186" s="18"/>
      <c r="E186" s="18"/>
      <c r="F186" s="18"/>
      <c r="G186" s="22"/>
      <c r="H186" s="18"/>
      <c r="I186" s="18">
        <v>0.0</v>
      </c>
      <c r="J186" s="18">
        <v>0.0</v>
      </c>
      <c r="K186" s="18"/>
      <c r="L186" s="18"/>
      <c r="M186" s="22" t="str">
        <f t="shared" si="1"/>
        <v/>
      </c>
      <c r="N186" s="18" t="str">
        <f>IF(A186="",,IF(ROW()=2, Input!$C$2 + I186, P185 + I186))</f>
        <v/>
      </c>
      <c r="O186" s="23" t="str">
        <f>IF(A186="",,
 IF(K186="Initial principal",
   Input!$C$2 * M186,
   N186 * M186
 )
)</f>
        <v/>
      </c>
      <c r="P186" s="18" t="str">
        <f t="shared" si="2"/>
        <v/>
      </c>
      <c r="Q186" s="18" t="str">
        <f t="shared" si="3"/>
        <v/>
      </c>
      <c r="R186" s="18" t="str">
        <f t="array" ref="R186">IF(
  B186="",
  ,
  SWITCH(
    Input!$C$4,
    "Actual/365 Fixed",
      YEARFRAC(
        B186 + IF(INDEX(Input!$K$7:$K1503,ROW()-1),0,1),
        C186 + IF(INDEX(Input!$L$7:$L1503,ROW()-1),1,0),
        3
      ),
    "Anniversary/365",
      DATEDIF(
        B186 + IF(INDEX(Input!$K$7:$K1503,ROW()-1),0,1),
        C186 + IF(INDEX(Input!$L$7:$L1503,ROW()-1),1,0),
        "Y"
      )
      +
      (
        (C186 + IF(INDEX(Input!$L$7:$L1503,ROW()-1),1,0))
        -
        EDATE(
          B186 + IF(INDEX(Input!$K$7:$K1503,ROW()-1),0,1),
          12*DATEDIF(
            B186 + IF(INDEX(Input!$K$7:$K1503,ROW()-1),0,1),
            C186 + IF(INDEX(Input!$L$7:$L1503,ROW()-1),1,0),
            "Y"
          )
        )
      ) / 365,
    "Actual/Actual",
      YEARFRAC(
        B186 + IF(INDEX(Input!$K$7:$K1503,ROW()-1),0,1),
        C186 + IF(INDEX(Input!$L$7:$L1503,ROW()-1),1,0),
        1
      ),
      YEARFRAC(
        B186 + IF(INDEX(Input!$K$7:$K1503,ROW()-1),0,1),
        C186 + IF(INDEX(Input!$L$7:$L1503,ROW()-1),1,0),
        3
      )
  )
)</f>
        <v/>
      </c>
      <c r="S186" s="22" t="str">
        <f t="shared" si="4"/>
        <v/>
      </c>
      <c r="T186" s="6" t="str">
        <f t="array" ref="T186">IF(
  B186="",
  ,
  DATEDIF(
    B186 + IF(INDEX(Input!$K$7:$K1503,ROW()-1),0,1),
    C186 + IF(INDEX(Input!$L$7:$L1503,ROW()-1),1,0),
    "Y"
  )
)</f>
        <v/>
      </c>
      <c r="U186" s="6" t="str">
        <f t="array" ref="U186">IF(
  B186="",
  ,
  (C186 + IF(INDEX(Input!$L$7:$L1503,ROW()-1),1,0))
  - EDATE(
      B186 + IF(INDEX(Input!$K$7:$K1503,ROW()-1),0,1),
      12*S186
    )
)</f>
        <v/>
      </c>
      <c r="V186" s="6" t="str">
        <f t="shared" si="5"/>
        <v/>
      </c>
      <c r="W186" s="6" t="str">
        <f t="shared" si="6"/>
        <v/>
      </c>
    </row>
    <row r="187">
      <c r="A187" s="18"/>
      <c r="B187" s="18"/>
      <c r="C187" s="18"/>
      <c r="D187" s="18"/>
      <c r="E187" s="18"/>
      <c r="F187" s="18"/>
      <c r="G187" s="22"/>
      <c r="H187" s="18"/>
      <c r="I187" s="18">
        <v>0.0</v>
      </c>
      <c r="J187" s="18">
        <v>0.0</v>
      </c>
      <c r="K187" s="18"/>
      <c r="L187" s="18"/>
      <c r="M187" s="22" t="str">
        <f t="shared" si="1"/>
        <v/>
      </c>
      <c r="N187" s="18" t="str">
        <f>IF(A187="",,IF(ROW()=2, Input!$C$2 + I187, P186 + I187))</f>
        <v/>
      </c>
      <c r="O187" s="23" t="str">
        <f>IF(A187="",,
 IF(K187="Initial principal",
   Input!$C$2 * M187,
   N187 * M187
 )
)</f>
        <v/>
      </c>
      <c r="P187" s="18" t="str">
        <f t="shared" si="2"/>
        <v/>
      </c>
      <c r="Q187" s="18" t="str">
        <f t="shared" si="3"/>
        <v/>
      </c>
      <c r="R187" s="18" t="str">
        <f t="array" ref="R187">IF(
  B187="",
  ,
  SWITCH(
    Input!$C$4,
    "Actual/365 Fixed",
      YEARFRAC(
        B187 + IF(INDEX(Input!$K$7:$K1503,ROW()-1),0,1),
        C187 + IF(INDEX(Input!$L$7:$L1503,ROW()-1),1,0),
        3
      ),
    "Anniversary/365",
      DATEDIF(
        B187 + IF(INDEX(Input!$K$7:$K1503,ROW()-1),0,1),
        C187 + IF(INDEX(Input!$L$7:$L1503,ROW()-1),1,0),
        "Y"
      )
      +
      (
        (C187 + IF(INDEX(Input!$L$7:$L1503,ROW()-1),1,0))
        -
        EDATE(
          B187 + IF(INDEX(Input!$K$7:$K1503,ROW()-1),0,1),
          12*DATEDIF(
            B187 + IF(INDEX(Input!$K$7:$K1503,ROW()-1),0,1),
            C187 + IF(INDEX(Input!$L$7:$L1503,ROW()-1),1,0),
            "Y"
          )
        )
      ) / 365,
    "Actual/Actual",
      YEARFRAC(
        B187 + IF(INDEX(Input!$K$7:$K1503,ROW()-1),0,1),
        C187 + IF(INDEX(Input!$L$7:$L1503,ROW()-1),1,0),
        1
      ),
      YEARFRAC(
        B187 + IF(INDEX(Input!$K$7:$K1503,ROW()-1),0,1),
        C187 + IF(INDEX(Input!$L$7:$L1503,ROW()-1),1,0),
        3
      )
  )
)</f>
        <v/>
      </c>
      <c r="S187" s="22" t="str">
        <f t="shared" si="4"/>
        <v/>
      </c>
      <c r="T187" s="6" t="str">
        <f t="array" ref="T187">IF(
  B187="",
  ,
  DATEDIF(
    B187 + IF(INDEX(Input!$K$7:$K1503,ROW()-1),0,1),
    C187 + IF(INDEX(Input!$L$7:$L1503,ROW()-1),1,0),
    "Y"
  )
)</f>
        <v/>
      </c>
      <c r="U187" s="6" t="str">
        <f t="array" ref="U187">IF(
  B187="",
  ,
  (C187 + IF(INDEX(Input!$L$7:$L1503,ROW()-1),1,0))
  - EDATE(
      B187 + IF(INDEX(Input!$K$7:$K1503,ROW()-1),0,1),
      12*S187
    )
)</f>
        <v/>
      </c>
      <c r="V187" s="6" t="str">
        <f t="shared" si="5"/>
        <v/>
      </c>
      <c r="W187" s="6" t="str">
        <f t="shared" si="6"/>
        <v/>
      </c>
    </row>
    <row r="188">
      <c r="A188" s="18"/>
      <c r="B188" s="18"/>
      <c r="C188" s="18"/>
      <c r="D188" s="18"/>
      <c r="E188" s="18"/>
      <c r="F188" s="18"/>
      <c r="G188" s="22"/>
      <c r="H188" s="18"/>
      <c r="I188" s="18">
        <v>0.0</v>
      </c>
      <c r="J188" s="18">
        <v>0.0</v>
      </c>
      <c r="K188" s="18"/>
      <c r="L188" s="18"/>
      <c r="M188" s="22" t="str">
        <f t="shared" si="1"/>
        <v/>
      </c>
      <c r="N188" s="18" t="str">
        <f>IF(A188="",,IF(ROW()=2, Input!$C$2 + I188, P187 + I188))</f>
        <v/>
      </c>
      <c r="O188" s="23" t="str">
        <f>IF(A188="",,
 IF(K188="Initial principal",
   Input!$C$2 * M188,
   N188 * M188
 )
)</f>
        <v/>
      </c>
      <c r="P188" s="18" t="str">
        <f t="shared" si="2"/>
        <v/>
      </c>
      <c r="Q188" s="18" t="str">
        <f t="shared" si="3"/>
        <v/>
      </c>
      <c r="R188" s="18" t="str">
        <f t="array" ref="R188">IF(
  B188="",
  ,
  SWITCH(
    Input!$C$4,
    "Actual/365 Fixed",
      YEARFRAC(
        B188 + IF(INDEX(Input!$K$7:$K1503,ROW()-1),0,1),
        C188 + IF(INDEX(Input!$L$7:$L1503,ROW()-1),1,0),
        3
      ),
    "Anniversary/365",
      DATEDIF(
        B188 + IF(INDEX(Input!$K$7:$K1503,ROW()-1),0,1),
        C188 + IF(INDEX(Input!$L$7:$L1503,ROW()-1),1,0),
        "Y"
      )
      +
      (
        (C188 + IF(INDEX(Input!$L$7:$L1503,ROW()-1),1,0))
        -
        EDATE(
          B188 + IF(INDEX(Input!$K$7:$K1503,ROW()-1),0,1),
          12*DATEDIF(
            B188 + IF(INDEX(Input!$K$7:$K1503,ROW()-1),0,1),
            C188 + IF(INDEX(Input!$L$7:$L1503,ROW()-1),1,0),
            "Y"
          )
        )
      ) / 365,
    "Actual/Actual",
      YEARFRAC(
        B188 + IF(INDEX(Input!$K$7:$K1503,ROW()-1),0,1),
        C188 + IF(INDEX(Input!$L$7:$L1503,ROW()-1),1,0),
        1
      ),
      YEARFRAC(
        B188 + IF(INDEX(Input!$K$7:$K1503,ROW()-1),0,1),
        C188 + IF(INDEX(Input!$L$7:$L1503,ROW()-1),1,0),
        3
      )
  )
)</f>
        <v/>
      </c>
      <c r="S188" s="22" t="str">
        <f t="shared" si="4"/>
        <v/>
      </c>
      <c r="T188" s="6" t="str">
        <f t="array" ref="T188">IF(
  B188="",
  ,
  DATEDIF(
    B188 + IF(INDEX(Input!$K$7:$K1503,ROW()-1),0,1),
    C188 + IF(INDEX(Input!$L$7:$L1503,ROW()-1),1,0),
    "Y"
  )
)</f>
        <v/>
      </c>
      <c r="U188" s="6" t="str">
        <f t="array" ref="U188">IF(
  B188="",
  ,
  (C188 + IF(INDEX(Input!$L$7:$L1503,ROW()-1),1,0))
  - EDATE(
      B188 + IF(INDEX(Input!$K$7:$K1503,ROW()-1),0,1),
      12*S188
    )
)</f>
        <v/>
      </c>
      <c r="V188" s="6" t="str">
        <f t="shared" si="5"/>
        <v/>
      </c>
      <c r="W188" s="6" t="str">
        <f t="shared" si="6"/>
        <v/>
      </c>
    </row>
    <row r="189">
      <c r="A189" s="18"/>
      <c r="B189" s="18"/>
      <c r="C189" s="18"/>
      <c r="D189" s="18"/>
      <c r="E189" s="18"/>
      <c r="F189" s="18"/>
      <c r="G189" s="22"/>
      <c r="H189" s="18"/>
      <c r="I189" s="18">
        <v>0.0</v>
      </c>
      <c r="J189" s="18">
        <v>0.0</v>
      </c>
      <c r="K189" s="18"/>
      <c r="L189" s="18"/>
      <c r="M189" s="22" t="str">
        <f t="shared" si="1"/>
        <v/>
      </c>
      <c r="N189" s="18" t="str">
        <f>IF(A189="",,IF(ROW()=2, Input!$C$2 + I189, P188 + I189))</f>
        <v/>
      </c>
      <c r="O189" s="23" t="str">
        <f>IF(A189="",,
 IF(K189="Initial principal",
   Input!$C$2 * M189,
   N189 * M189
 )
)</f>
        <v/>
      </c>
      <c r="P189" s="18" t="str">
        <f t="shared" si="2"/>
        <v/>
      </c>
      <c r="Q189" s="18" t="str">
        <f t="shared" si="3"/>
        <v/>
      </c>
      <c r="R189" s="18" t="str">
        <f t="array" ref="R189">IF(
  B189="",
  ,
  SWITCH(
    Input!$C$4,
    "Actual/365 Fixed",
      YEARFRAC(
        B189 + IF(INDEX(Input!$K$7:$K1503,ROW()-1),0,1),
        C189 + IF(INDEX(Input!$L$7:$L1503,ROW()-1),1,0),
        3
      ),
    "Anniversary/365",
      DATEDIF(
        B189 + IF(INDEX(Input!$K$7:$K1503,ROW()-1),0,1),
        C189 + IF(INDEX(Input!$L$7:$L1503,ROW()-1),1,0),
        "Y"
      )
      +
      (
        (C189 + IF(INDEX(Input!$L$7:$L1503,ROW()-1),1,0))
        -
        EDATE(
          B189 + IF(INDEX(Input!$K$7:$K1503,ROW()-1),0,1),
          12*DATEDIF(
            B189 + IF(INDEX(Input!$K$7:$K1503,ROW()-1),0,1),
            C189 + IF(INDEX(Input!$L$7:$L1503,ROW()-1),1,0),
            "Y"
          )
        )
      ) / 365,
    "Actual/Actual",
      YEARFRAC(
        B189 + IF(INDEX(Input!$K$7:$K1503,ROW()-1),0,1),
        C189 + IF(INDEX(Input!$L$7:$L1503,ROW()-1),1,0),
        1
      ),
      YEARFRAC(
        B189 + IF(INDEX(Input!$K$7:$K1503,ROW()-1),0,1),
        C189 + IF(INDEX(Input!$L$7:$L1503,ROW()-1),1,0),
        3
      )
  )
)</f>
        <v/>
      </c>
      <c r="S189" s="22" t="str">
        <f t="shared" si="4"/>
        <v/>
      </c>
      <c r="T189" s="6" t="str">
        <f t="array" ref="T189">IF(
  B189="",
  ,
  DATEDIF(
    B189 + IF(INDEX(Input!$K$7:$K1503,ROW()-1),0,1),
    C189 + IF(INDEX(Input!$L$7:$L1503,ROW()-1),1,0),
    "Y"
  )
)</f>
        <v/>
      </c>
      <c r="U189" s="6" t="str">
        <f t="array" ref="U189">IF(
  B189="",
  ,
  (C189 + IF(INDEX(Input!$L$7:$L1503,ROW()-1),1,0))
  - EDATE(
      B189 + IF(INDEX(Input!$K$7:$K1503,ROW()-1),0,1),
      12*S189
    )
)</f>
        <v/>
      </c>
      <c r="V189" s="6" t="str">
        <f t="shared" si="5"/>
        <v/>
      </c>
      <c r="W189" s="6" t="str">
        <f t="shared" si="6"/>
        <v/>
      </c>
    </row>
    <row r="190">
      <c r="A190" s="18"/>
      <c r="B190" s="18"/>
      <c r="C190" s="18"/>
      <c r="D190" s="18"/>
      <c r="E190" s="18"/>
      <c r="F190" s="18"/>
      <c r="G190" s="22"/>
      <c r="H190" s="18"/>
      <c r="I190" s="18">
        <v>0.0</v>
      </c>
      <c r="J190" s="18">
        <v>0.0</v>
      </c>
      <c r="K190" s="18"/>
      <c r="L190" s="18"/>
      <c r="M190" s="22" t="str">
        <f t="shared" si="1"/>
        <v/>
      </c>
      <c r="N190" s="18" t="str">
        <f>IF(A190="",,IF(ROW()=2, Input!$C$2 + I190, P189 + I190))</f>
        <v/>
      </c>
      <c r="O190" s="23" t="str">
        <f>IF(A190="",,
 IF(K190="Initial principal",
   Input!$C$2 * M190,
   N190 * M190
 )
)</f>
        <v/>
      </c>
      <c r="P190" s="18" t="str">
        <f t="shared" si="2"/>
        <v/>
      </c>
      <c r="Q190" s="18" t="str">
        <f t="shared" si="3"/>
        <v/>
      </c>
      <c r="R190" s="18" t="str">
        <f t="array" ref="R190">IF(
  B190="",
  ,
  SWITCH(
    Input!$C$4,
    "Actual/365 Fixed",
      YEARFRAC(
        B190 + IF(INDEX(Input!$K$7:$K1503,ROW()-1),0,1),
        C190 + IF(INDEX(Input!$L$7:$L1503,ROW()-1),1,0),
        3
      ),
    "Anniversary/365",
      DATEDIF(
        B190 + IF(INDEX(Input!$K$7:$K1503,ROW()-1),0,1),
        C190 + IF(INDEX(Input!$L$7:$L1503,ROW()-1),1,0),
        "Y"
      )
      +
      (
        (C190 + IF(INDEX(Input!$L$7:$L1503,ROW()-1),1,0))
        -
        EDATE(
          B190 + IF(INDEX(Input!$K$7:$K1503,ROW()-1),0,1),
          12*DATEDIF(
            B190 + IF(INDEX(Input!$K$7:$K1503,ROW()-1),0,1),
            C190 + IF(INDEX(Input!$L$7:$L1503,ROW()-1),1,0),
            "Y"
          )
        )
      ) / 365,
    "Actual/Actual",
      YEARFRAC(
        B190 + IF(INDEX(Input!$K$7:$K1503,ROW()-1),0,1),
        C190 + IF(INDEX(Input!$L$7:$L1503,ROW()-1),1,0),
        1
      ),
      YEARFRAC(
        B190 + IF(INDEX(Input!$K$7:$K1503,ROW()-1),0,1),
        C190 + IF(INDEX(Input!$L$7:$L1503,ROW()-1),1,0),
        3
      )
  )
)</f>
        <v/>
      </c>
      <c r="S190" s="22" t="str">
        <f t="shared" si="4"/>
        <v/>
      </c>
      <c r="T190" s="6" t="str">
        <f t="array" ref="T190">IF(
  B190="",
  ,
  DATEDIF(
    B190 + IF(INDEX(Input!$K$7:$K1503,ROW()-1),0,1),
    C190 + IF(INDEX(Input!$L$7:$L1503,ROW()-1),1,0),
    "Y"
  )
)</f>
        <v/>
      </c>
      <c r="U190" s="6" t="str">
        <f t="array" ref="U190">IF(
  B190="",
  ,
  (C190 + IF(INDEX(Input!$L$7:$L1503,ROW()-1),1,0))
  - EDATE(
      B190 + IF(INDEX(Input!$K$7:$K1503,ROW()-1),0,1),
      12*S190
    )
)</f>
        <v/>
      </c>
      <c r="V190" s="6" t="str">
        <f t="shared" si="5"/>
        <v/>
      </c>
      <c r="W190" s="6" t="str">
        <f t="shared" si="6"/>
        <v/>
      </c>
    </row>
    <row r="191">
      <c r="A191" s="18"/>
      <c r="B191" s="18"/>
      <c r="C191" s="18"/>
      <c r="D191" s="18"/>
      <c r="E191" s="18"/>
      <c r="F191" s="18"/>
      <c r="G191" s="22"/>
      <c r="H191" s="18"/>
      <c r="I191" s="18">
        <v>0.0</v>
      </c>
      <c r="J191" s="18">
        <v>0.0</v>
      </c>
      <c r="K191" s="18"/>
      <c r="L191" s="18"/>
      <c r="M191" s="22" t="str">
        <f t="shared" si="1"/>
        <v/>
      </c>
      <c r="N191" s="18" t="str">
        <f>IF(A191="",,IF(ROW()=2, Input!$C$2 + I191, P190 + I191))</f>
        <v/>
      </c>
      <c r="O191" s="23" t="str">
        <f>IF(A191="",,
 IF(K191="Initial principal",
   Input!$C$2 * M191,
   N191 * M191
 )
)</f>
        <v/>
      </c>
      <c r="P191" s="18" t="str">
        <f t="shared" si="2"/>
        <v/>
      </c>
      <c r="Q191" s="18" t="str">
        <f t="shared" si="3"/>
        <v/>
      </c>
      <c r="R191" s="18" t="str">
        <f t="array" ref="R191">IF(
  B191="",
  ,
  SWITCH(
    Input!$C$4,
    "Actual/365 Fixed",
      YEARFRAC(
        B191 + IF(INDEX(Input!$K$7:$K1503,ROW()-1),0,1),
        C191 + IF(INDEX(Input!$L$7:$L1503,ROW()-1),1,0),
        3
      ),
    "Anniversary/365",
      DATEDIF(
        B191 + IF(INDEX(Input!$K$7:$K1503,ROW()-1),0,1),
        C191 + IF(INDEX(Input!$L$7:$L1503,ROW()-1),1,0),
        "Y"
      )
      +
      (
        (C191 + IF(INDEX(Input!$L$7:$L1503,ROW()-1),1,0))
        -
        EDATE(
          B191 + IF(INDEX(Input!$K$7:$K1503,ROW()-1),0,1),
          12*DATEDIF(
            B191 + IF(INDEX(Input!$K$7:$K1503,ROW()-1),0,1),
            C191 + IF(INDEX(Input!$L$7:$L1503,ROW()-1),1,0),
            "Y"
          )
        )
      ) / 365,
    "Actual/Actual",
      YEARFRAC(
        B191 + IF(INDEX(Input!$K$7:$K1503,ROW()-1),0,1),
        C191 + IF(INDEX(Input!$L$7:$L1503,ROW()-1),1,0),
        1
      ),
      YEARFRAC(
        B191 + IF(INDEX(Input!$K$7:$K1503,ROW()-1),0,1),
        C191 + IF(INDEX(Input!$L$7:$L1503,ROW()-1),1,0),
        3
      )
  )
)</f>
        <v/>
      </c>
      <c r="S191" s="22" t="str">
        <f t="shared" si="4"/>
        <v/>
      </c>
      <c r="T191" s="6" t="str">
        <f t="array" ref="T191">IF(
  B191="",
  ,
  DATEDIF(
    B191 + IF(INDEX(Input!$K$7:$K1503,ROW()-1),0,1),
    C191 + IF(INDEX(Input!$L$7:$L1503,ROW()-1),1,0),
    "Y"
  )
)</f>
        <v/>
      </c>
      <c r="U191" s="6" t="str">
        <f t="array" ref="U191">IF(
  B191="",
  ,
  (C191 + IF(INDEX(Input!$L$7:$L1503,ROW()-1),1,0))
  - EDATE(
      B191 + IF(INDEX(Input!$K$7:$K1503,ROW()-1),0,1),
      12*S191
    )
)</f>
        <v/>
      </c>
      <c r="V191" s="6" t="str">
        <f t="shared" si="5"/>
        <v/>
      </c>
      <c r="W191" s="6" t="str">
        <f t="shared" si="6"/>
        <v/>
      </c>
    </row>
    <row r="192">
      <c r="A192" s="18"/>
      <c r="B192" s="18"/>
      <c r="C192" s="18"/>
      <c r="D192" s="18"/>
      <c r="E192" s="18"/>
      <c r="F192" s="18"/>
      <c r="G192" s="22"/>
      <c r="H192" s="18"/>
      <c r="I192" s="18">
        <v>0.0</v>
      </c>
      <c r="J192" s="18">
        <v>0.0</v>
      </c>
      <c r="K192" s="18"/>
      <c r="L192" s="18"/>
      <c r="M192" s="22" t="str">
        <f t="shared" si="1"/>
        <v/>
      </c>
      <c r="N192" s="18" t="str">
        <f>IF(A192="",,IF(ROW()=2, Input!$C$2 + I192, P191 + I192))</f>
        <v/>
      </c>
      <c r="O192" s="23" t="str">
        <f>IF(A192="",,
 IF(K192="Initial principal",
   Input!$C$2 * M192,
   N192 * M192
 )
)</f>
        <v/>
      </c>
      <c r="P192" s="18" t="str">
        <f t="shared" si="2"/>
        <v/>
      </c>
      <c r="Q192" s="18" t="str">
        <f t="shared" si="3"/>
        <v/>
      </c>
      <c r="R192" s="18" t="str">
        <f t="array" ref="R192">IF(
  B192="",
  ,
  SWITCH(
    Input!$C$4,
    "Actual/365 Fixed",
      YEARFRAC(
        B192 + IF(INDEX(Input!$K$7:$K1503,ROW()-1),0,1),
        C192 + IF(INDEX(Input!$L$7:$L1503,ROW()-1),1,0),
        3
      ),
    "Anniversary/365",
      DATEDIF(
        B192 + IF(INDEX(Input!$K$7:$K1503,ROW()-1),0,1),
        C192 + IF(INDEX(Input!$L$7:$L1503,ROW()-1),1,0),
        "Y"
      )
      +
      (
        (C192 + IF(INDEX(Input!$L$7:$L1503,ROW()-1),1,0))
        -
        EDATE(
          B192 + IF(INDEX(Input!$K$7:$K1503,ROW()-1),0,1),
          12*DATEDIF(
            B192 + IF(INDEX(Input!$K$7:$K1503,ROW()-1),0,1),
            C192 + IF(INDEX(Input!$L$7:$L1503,ROW()-1),1,0),
            "Y"
          )
        )
      ) / 365,
    "Actual/Actual",
      YEARFRAC(
        B192 + IF(INDEX(Input!$K$7:$K1503,ROW()-1),0,1),
        C192 + IF(INDEX(Input!$L$7:$L1503,ROW()-1),1,0),
        1
      ),
      YEARFRAC(
        B192 + IF(INDEX(Input!$K$7:$K1503,ROW()-1),0,1),
        C192 + IF(INDEX(Input!$L$7:$L1503,ROW()-1),1,0),
        3
      )
  )
)</f>
        <v/>
      </c>
      <c r="S192" s="22" t="str">
        <f t="shared" si="4"/>
        <v/>
      </c>
      <c r="T192" s="6" t="str">
        <f t="array" ref="T192">IF(
  B192="",
  ,
  DATEDIF(
    B192 + IF(INDEX(Input!$K$7:$K1503,ROW()-1),0,1),
    C192 + IF(INDEX(Input!$L$7:$L1503,ROW()-1),1,0),
    "Y"
  )
)</f>
        <v/>
      </c>
      <c r="U192" s="6" t="str">
        <f t="array" ref="U192">IF(
  B192="",
  ,
  (C192 + IF(INDEX(Input!$L$7:$L1503,ROW()-1),1,0))
  - EDATE(
      B192 + IF(INDEX(Input!$K$7:$K1503,ROW()-1),0,1),
      12*S192
    )
)</f>
        <v/>
      </c>
      <c r="V192" s="6" t="str">
        <f t="shared" si="5"/>
        <v/>
      </c>
      <c r="W192" s="6" t="str">
        <f t="shared" si="6"/>
        <v/>
      </c>
    </row>
    <row r="193">
      <c r="A193" s="18"/>
      <c r="B193" s="18"/>
      <c r="C193" s="18"/>
      <c r="D193" s="18"/>
      <c r="E193" s="18"/>
      <c r="F193" s="18"/>
      <c r="G193" s="22"/>
      <c r="H193" s="18"/>
      <c r="I193" s="18">
        <v>0.0</v>
      </c>
      <c r="J193" s="18">
        <v>0.0</v>
      </c>
      <c r="K193" s="18"/>
      <c r="L193" s="18"/>
      <c r="M193" s="22" t="str">
        <f t="shared" si="1"/>
        <v/>
      </c>
      <c r="N193" s="18" t="str">
        <f>IF(A193="",,IF(ROW()=2, Input!$C$2 + I193, P192 + I193))</f>
        <v/>
      </c>
      <c r="O193" s="23" t="str">
        <f>IF(A193="",,
 IF(K193="Initial principal",
   Input!$C$2 * M193,
   N193 * M193
 )
)</f>
        <v/>
      </c>
      <c r="P193" s="18" t="str">
        <f t="shared" si="2"/>
        <v/>
      </c>
      <c r="Q193" s="18" t="str">
        <f t="shared" si="3"/>
        <v/>
      </c>
      <c r="R193" s="18" t="str">
        <f t="array" ref="R193">IF(
  B193="",
  ,
  SWITCH(
    Input!$C$4,
    "Actual/365 Fixed",
      YEARFRAC(
        B193 + IF(INDEX(Input!$K$7:$K1503,ROW()-1),0,1),
        C193 + IF(INDEX(Input!$L$7:$L1503,ROW()-1),1,0),
        3
      ),
    "Anniversary/365",
      DATEDIF(
        B193 + IF(INDEX(Input!$K$7:$K1503,ROW()-1),0,1),
        C193 + IF(INDEX(Input!$L$7:$L1503,ROW()-1),1,0),
        "Y"
      )
      +
      (
        (C193 + IF(INDEX(Input!$L$7:$L1503,ROW()-1),1,0))
        -
        EDATE(
          B193 + IF(INDEX(Input!$K$7:$K1503,ROW()-1),0,1),
          12*DATEDIF(
            B193 + IF(INDEX(Input!$K$7:$K1503,ROW()-1),0,1),
            C193 + IF(INDEX(Input!$L$7:$L1503,ROW()-1),1,0),
            "Y"
          )
        )
      ) / 365,
    "Actual/Actual",
      YEARFRAC(
        B193 + IF(INDEX(Input!$K$7:$K1503,ROW()-1),0,1),
        C193 + IF(INDEX(Input!$L$7:$L1503,ROW()-1),1,0),
        1
      ),
      YEARFRAC(
        B193 + IF(INDEX(Input!$K$7:$K1503,ROW()-1),0,1),
        C193 + IF(INDEX(Input!$L$7:$L1503,ROW()-1),1,0),
        3
      )
  )
)</f>
        <v/>
      </c>
      <c r="S193" s="22" t="str">
        <f t="shared" si="4"/>
        <v/>
      </c>
      <c r="T193" s="6" t="str">
        <f t="array" ref="T193">IF(
  B193="",
  ,
  DATEDIF(
    B193 + IF(INDEX(Input!$K$7:$K1503,ROW()-1),0,1),
    C193 + IF(INDEX(Input!$L$7:$L1503,ROW()-1),1,0),
    "Y"
  )
)</f>
        <v/>
      </c>
      <c r="U193" s="6" t="str">
        <f t="array" ref="U193">IF(
  B193="",
  ,
  (C193 + IF(INDEX(Input!$L$7:$L1503,ROW()-1),1,0))
  - EDATE(
      B193 + IF(INDEX(Input!$K$7:$K1503,ROW()-1),0,1),
      12*S193
    )
)</f>
        <v/>
      </c>
      <c r="V193" s="6" t="str">
        <f t="shared" si="5"/>
        <v/>
      </c>
      <c r="W193" s="6" t="str">
        <f t="shared" si="6"/>
        <v/>
      </c>
    </row>
    <row r="194">
      <c r="A194" s="18"/>
      <c r="B194" s="18"/>
      <c r="C194" s="18"/>
      <c r="D194" s="18"/>
      <c r="E194" s="18"/>
      <c r="F194" s="18"/>
      <c r="G194" s="22"/>
      <c r="H194" s="18"/>
      <c r="I194" s="18">
        <v>0.0</v>
      </c>
      <c r="J194" s="18">
        <v>0.0</v>
      </c>
      <c r="K194" s="18"/>
      <c r="L194" s="18"/>
      <c r="M194" s="22" t="str">
        <f t="shared" si="1"/>
        <v/>
      </c>
      <c r="N194" s="18" t="str">
        <f>IF(A194="",,IF(ROW()=2, Input!$C$2 + I194, P193 + I194))</f>
        <v/>
      </c>
      <c r="O194" s="23" t="str">
        <f>IF(A194="",,
 IF(K194="Initial principal",
   Input!$C$2 * M194,
   N194 * M194
 )
)</f>
        <v/>
      </c>
      <c r="P194" s="18" t="str">
        <f t="shared" si="2"/>
        <v/>
      </c>
      <c r="Q194" s="18" t="str">
        <f t="shared" si="3"/>
        <v/>
      </c>
      <c r="R194" s="18" t="str">
        <f t="array" ref="R194">IF(
  B194="",
  ,
  SWITCH(
    Input!$C$4,
    "Actual/365 Fixed",
      YEARFRAC(
        B194 + IF(INDEX(Input!$K$7:$K1503,ROW()-1),0,1),
        C194 + IF(INDEX(Input!$L$7:$L1503,ROW()-1),1,0),
        3
      ),
    "Anniversary/365",
      DATEDIF(
        B194 + IF(INDEX(Input!$K$7:$K1503,ROW()-1),0,1),
        C194 + IF(INDEX(Input!$L$7:$L1503,ROW()-1),1,0),
        "Y"
      )
      +
      (
        (C194 + IF(INDEX(Input!$L$7:$L1503,ROW()-1),1,0))
        -
        EDATE(
          B194 + IF(INDEX(Input!$K$7:$K1503,ROW()-1),0,1),
          12*DATEDIF(
            B194 + IF(INDEX(Input!$K$7:$K1503,ROW()-1),0,1),
            C194 + IF(INDEX(Input!$L$7:$L1503,ROW()-1),1,0),
            "Y"
          )
        )
      ) / 365,
    "Actual/Actual",
      YEARFRAC(
        B194 + IF(INDEX(Input!$K$7:$K1503,ROW()-1),0,1),
        C194 + IF(INDEX(Input!$L$7:$L1503,ROW()-1),1,0),
        1
      ),
      YEARFRAC(
        B194 + IF(INDEX(Input!$K$7:$K1503,ROW()-1),0,1),
        C194 + IF(INDEX(Input!$L$7:$L1503,ROW()-1),1,0),
        3
      )
  )
)</f>
        <v/>
      </c>
      <c r="S194" s="22" t="str">
        <f t="shared" si="4"/>
        <v/>
      </c>
      <c r="T194" s="6" t="str">
        <f t="array" ref="T194">IF(
  B194="",
  ,
  DATEDIF(
    B194 + IF(INDEX(Input!$K$7:$K1503,ROW()-1),0,1),
    C194 + IF(INDEX(Input!$L$7:$L1503,ROW()-1),1,0),
    "Y"
  )
)</f>
        <v/>
      </c>
      <c r="U194" s="6" t="str">
        <f t="array" ref="U194">IF(
  B194="",
  ,
  (C194 + IF(INDEX(Input!$L$7:$L1503,ROW()-1),1,0))
  - EDATE(
      B194 + IF(INDEX(Input!$K$7:$K1503,ROW()-1),0,1),
      12*S194
    )
)</f>
        <v/>
      </c>
      <c r="V194" s="6" t="str">
        <f t="shared" si="5"/>
        <v/>
      </c>
      <c r="W194" s="6" t="str">
        <f t="shared" si="6"/>
        <v/>
      </c>
    </row>
    <row r="195">
      <c r="A195" s="18"/>
      <c r="B195" s="18"/>
      <c r="C195" s="18"/>
      <c r="D195" s="18"/>
      <c r="E195" s="18"/>
      <c r="F195" s="18"/>
      <c r="G195" s="22"/>
      <c r="H195" s="18"/>
      <c r="I195" s="18">
        <v>0.0</v>
      </c>
      <c r="J195" s="18">
        <v>0.0</v>
      </c>
      <c r="K195" s="18"/>
      <c r="L195" s="18"/>
      <c r="M195" s="22" t="str">
        <f t="shared" si="1"/>
        <v/>
      </c>
      <c r="N195" s="18" t="str">
        <f>IF(A195="",,IF(ROW()=2, Input!$C$2 + I195, P194 + I195))</f>
        <v/>
      </c>
      <c r="O195" s="23" t="str">
        <f>IF(A195="",,
 IF(K195="Initial principal",
   Input!$C$2 * M195,
   N195 * M195
 )
)</f>
        <v/>
      </c>
      <c r="P195" s="18" t="str">
        <f t="shared" si="2"/>
        <v/>
      </c>
      <c r="Q195" s="18" t="str">
        <f t="shared" si="3"/>
        <v/>
      </c>
      <c r="R195" s="18" t="str">
        <f t="array" ref="R195">IF(
  B195="",
  ,
  SWITCH(
    Input!$C$4,
    "Actual/365 Fixed",
      YEARFRAC(
        B195 + IF(INDEX(Input!$K$7:$K1503,ROW()-1),0,1),
        C195 + IF(INDEX(Input!$L$7:$L1503,ROW()-1),1,0),
        3
      ),
    "Anniversary/365",
      DATEDIF(
        B195 + IF(INDEX(Input!$K$7:$K1503,ROW()-1),0,1),
        C195 + IF(INDEX(Input!$L$7:$L1503,ROW()-1),1,0),
        "Y"
      )
      +
      (
        (C195 + IF(INDEX(Input!$L$7:$L1503,ROW()-1),1,0))
        -
        EDATE(
          B195 + IF(INDEX(Input!$K$7:$K1503,ROW()-1),0,1),
          12*DATEDIF(
            B195 + IF(INDEX(Input!$K$7:$K1503,ROW()-1),0,1),
            C195 + IF(INDEX(Input!$L$7:$L1503,ROW()-1),1,0),
            "Y"
          )
        )
      ) / 365,
    "Actual/Actual",
      YEARFRAC(
        B195 + IF(INDEX(Input!$K$7:$K1503,ROW()-1),0,1),
        C195 + IF(INDEX(Input!$L$7:$L1503,ROW()-1),1,0),
        1
      ),
      YEARFRAC(
        B195 + IF(INDEX(Input!$K$7:$K1503,ROW()-1),0,1),
        C195 + IF(INDEX(Input!$L$7:$L1503,ROW()-1),1,0),
        3
      )
  )
)</f>
        <v/>
      </c>
      <c r="S195" s="22" t="str">
        <f t="shared" si="4"/>
        <v/>
      </c>
      <c r="T195" s="6" t="str">
        <f t="array" ref="T195">IF(
  B195="",
  ,
  DATEDIF(
    B195 + IF(INDEX(Input!$K$7:$K1503,ROW()-1),0,1),
    C195 + IF(INDEX(Input!$L$7:$L1503,ROW()-1),1,0),
    "Y"
  )
)</f>
        <v/>
      </c>
      <c r="U195" s="6" t="str">
        <f t="array" ref="U195">IF(
  B195="",
  ,
  (C195 + IF(INDEX(Input!$L$7:$L1503,ROW()-1),1,0))
  - EDATE(
      B195 + IF(INDEX(Input!$K$7:$K1503,ROW()-1),0,1),
      12*S195
    )
)</f>
        <v/>
      </c>
      <c r="V195" s="6" t="str">
        <f t="shared" si="5"/>
        <v/>
      </c>
      <c r="W195" s="6" t="str">
        <f t="shared" si="6"/>
        <v/>
      </c>
    </row>
    <row r="196">
      <c r="A196" s="18"/>
      <c r="B196" s="18"/>
      <c r="C196" s="18"/>
      <c r="D196" s="18"/>
      <c r="E196" s="18"/>
      <c r="F196" s="18"/>
      <c r="G196" s="22"/>
      <c r="H196" s="18"/>
      <c r="I196" s="18">
        <v>0.0</v>
      </c>
      <c r="J196" s="18">
        <v>0.0</v>
      </c>
      <c r="K196" s="18"/>
      <c r="L196" s="18"/>
      <c r="M196" s="22" t="str">
        <f t="shared" si="1"/>
        <v/>
      </c>
      <c r="N196" s="18" t="str">
        <f>IF(A196="",,IF(ROW()=2, Input!$C$2 + I196, P195 + I196))</f>
        <v/>
      </c>
      <c r="O196" s="23" t="str">
        <f>IF(A196="",,
 IF(K196="Initial principal",
   Input!$C$2 * M196,
   N196 * M196
 )
)</f>
        <v/>
      </c>
      <c r="P196" s="18" t="str">
        <f t="shared" si="2"/>
        <v/>
      </c>
      <c r="Q196" s="18" t="str">
        <f t="shared" si="3"/>
        <v/>
      </c>
      <c r="R196" s="18" t="str">
        <f t="array" ref="R196">IF(
  B196="",
  ,
  SWITCH(
    Input!$C$4,
    "Actual/365 Fixed",
      YEARFRAC(
        B196 + IF(INDEX(Input!$K$7:$K1503,ROW()-1),0,1),
        C196 + IF(INDEX(Input!$L$7:$L1503,ROW()-1),1,0),
        3
      ),
    "Anniversary/365",
      DATEDIF(
        B196 + IF(INDEX(Input!$K$7:$K1503,ROW()-1),0,1),
        C196 + IF(INDEX(Input!$L$7:$L1503,ROW()-1),1,0),
        "Y"
      )
      +
      (
        (C196 + IF(INDEX(Input!$L$7:$L1503,ROW()-1),1,0))
        -
        EDATE(
          B196 + IF(INDEX(Input!$K$7:$K1503,ROW()-1),0,1),
          12*DATEDIF(
            B196 + IF(INDEX(Input!$K$7:$K1503,ROW()-1),0,1),
            C196 + IF(INDEX(Input!$L$7:$L1503,ROW()-1),1,0),
            "Y"
          )
        )
      ) / 365,
    "Actual/Actual",
      YEARFRAC(
        B196 + IF(INDEX(Input!$K$7:$K1503,ROW()-1),0,1),
        C196 + IF(INDEX(Input!$L$7:$L1503,ROW()-1),1,0),
        1
      ),
      YEARFRAC(
        B196 + IF(INDEX(Input!$K$7:$K1503,ROW()-1),0,1),
        C196 + IF(INDEX(Input!$L$7:$L1503,ROW()-1),1,0),
        3
      )
  )
)</f>
        <v/>
      </c>
      <c r="S196" s="22" t="str">
        <f t="shared" si="4"/>
        <v/>
      </c>
      <c r="T196" s="6" t="str">
        <f t="array" ref="T196">IF(
  B196="",
  ,
  DATEDIF(
    B196 + IF(INDEX(Input!$K$7:$K1503,ROW()-1),0,1),
    C196 + IF(INDEX(Input!$L$7:$L1503,ROW()-1),1,0),
    "Y"
  )
)</f>
        <v/>
      </c>
      <c r="U196" s="6" t="str">
        <f t="array" ref="U196">IF(
  B196="",
  ,
  (C196 + IF(INDEX(Input!$L$7:$L1503,ROW()-1),1,0))
  - EDATE(
      B196 + IF(INDEX(Input!$K$7:$K1503,ROW()-1),0,1),
      12*S196
    )
)</f>
        <v/>
      </c>
      <c r="V196" s="6" t="str">
        <f t="shared" si="5"/>
        <v/>
      </c>
      <c r="W196" s="6" t="str">
        <f t="shared" si="6"/>
        <v/>
      </c>
    </row>
    <row r="197">
      <c r="A197" s="18"/>
      <c r="B197" s="18"/>
      <c r="C197" s="18"/>
      <c r="D197" s="18"/>
      <c r="E197" s="18"/>
      <c r="F197" s="18"/>
      <c r="G197" s="22"/>
      <c r="H197" s="18"/>
      <c r="I197" s="18">
        <v>0.0</v>
      </c>
      <c r="J197" s="18">
        <v>0.0</v>
      </c>
      <c r="K197" s="18"/>
      <c r="L197" s="18"/>
      <c r="M197" s="22" t="str">
        <f t="shared" si="1"/>
        <v/>
      </c>
      <c r="N197" s="18" t="str">
        <f>IF(A197="",,IF(ROW()=2, Input!$C$2 + I197, P196 + I197))</f>
        <v/>
      </c>
      <c r="O197" s="23" t="str">
        <f>IF(A197="",,
 IF(K197="Initial principal",
   Input!$C$2 * M197,
   N197 * M197
 )
)</f>
        <v/>
      </c>
      <c r="P197" s="18" t="str">
        <f t="shared" si="2"/>
        <v/>
      </c>
      <c r="Q197" s="18" t="str">
        <f t="shared" si="3"/>
        <v/>
      </c>
      <c r="R197" s="18" t="str">
        <f t="array" ref="R197">IF(
  B197="",
  ,
  SWITCH(
    Input!$C$4,
    "Actual/365 Fixed",
      YEARFRAC(
        B197 + IF(INDEX(Input!$K$7:$K1503,ROW()-1),0,1),
        C197 + IF(INDEX(Input!$L$7:$L1503,ROW()-1),1,0),
        3
      ),
    "Anniversary/365",
      DATEDIF(
        B197 + IF(INDEX(Input!$K$7:$K1503,ROW()-1),0,1),
        C197 + IF(INDEX(Input!$L$7:$L1503,ROW()-1),1,0),
        "Y"
      )
      +
      (
        (C197 + IF(INDEX(Input!$L$7:$L1503,ROW()-1),1,0))
        -
        EDATE(
          B197 + IF(INDEX(Input!$K$7:$K1503,ROW()-1),0,1),
          12*DATEDIF(
            B197 + IF(INDEX(Input!$K$7:$K1503,ROW()-1),0,1),
            C197 + IF(INDEX(Input!$L$7:$L1503,ROW()-1),1,0),
            "Y"
          )
        )
      ) / 365,
    "Actual/Actual",
      YEARFRAC(
        B197 + IF(INDEX(Input!$K$7:$K1503,ROW()-1),0,1),
        C197 + IF(INDEX(Input!$L$7:$L1503,ROW()-1),1,0),
        1
      ),
      YEARFRAC(
        B197 + IF(INDEX(Input!$K$7:$K1503,ROW()-1),0,1),
        C197 + IF(INDEX(Input!$L$7:$L1503,ROW()-1),1,0),
        3
      )
  )
)</f>
        <v/>
      </c>
      <c r="S197" s="22" t="str">
        <f t="shared" si="4"/>
        <v/>
      </c>
      <c r="T197" s="6" t="str">
        <f t="array" ref="T197">IF(
  B197="",
  ,
  DATEDIF(
    B197 + IF(INDEX(Input!$K$7:$K1503,ROW()-1),0,1),
    C197 + IF(INDEX(Input!$L$7:$L1503,ROW()-1),1,0),
    "Y"
  )
)</f>
        <v/>
      </c>
      <c r="U197" s="6" t="str">
        <f t="array" ref="U197">IF(
  B197="",
  ,
  (C197 + IF(INDEX(Input!$L$7:$L1503,ROW()-1),1,0))
  - EDATE(
      B197 + IF(INDEX(Input!$K$7:$K1503,ROW()-1),0,1),
      12*S197
    )
)</f>
        <v/>
      </c>
      <c r="V197" s="6" t="str">
        <f t="shared" si="5"/>
        <v/>
      </c>
      <c r="W197" s="6" t="str">
        <f t="shared" si="6"/>
        <v/>
      </c>
    </row>
    <row r="198">
      <c r="A198" s="18"/>
      <c r="B198" s="18"/>
      <c r="C198" s="18"/>
      <c r="D198" s="18"/>
      <c r="E198" s="18"/>
      <c r="F198" s="18"/>
      <c r="G198" s="22"/>
      <c r="H198" s="18"/>
      <c r="I198" s="18">
        <v>0.0</v>
      </c>
      <c r="J198" s="18">
        <v>0.0</v>
      </c>
      <c r="K198" s="18"/>
      <c r="L198" s="18"/>
      <c r="M198" s="22" t="str">
        <f t="shared" si="1"/>
        <v/>
      </c>
      <c r="N198" s="18" t="str">
        <f>IF(A198="",,IF(ROW()=2, Input!$C$2 + I198, P197 + I198))</f>
        <v/>
      </c>
      <c r="O198" s="23" t="str">
        <f>IF(A198="",,
 IF(K198="Initial principal",
   Input!$C$2 * M198,
   N198 * M198
 )
)</f>
        <v/>
      </c>
      <c r="P198" s="18" t="str">
        <f t="shared" si="2"/>
        <v/>
      </c>
      <c r="Q198" s="18" t="str">
        <f t="shared" si="3"/>
        <v/>
      </c>
      <c r="R198" s="18" t="str">
        <f t="array" ref="R198">IF(
  B198="",
  ,
  SWITCH(
    Input!$C$4,
    "Actual/365 Fixed",
      YEARFRAC(
        B198 + IF(INDEX(Input!$K$7:$K1503,ROW()-1),0,1),
        C198 + IF(INDEX(Input!$L$7:$L1503,ROW()-1),1,0),
        3
      ),
    "Anniversary/365",
      DATEDIF(
        B198 + IF(INDEX(Input!$K$7:$K1503,ROW()-1),0,1),
        C198 + IF(INDEX(Input!$L$7:$L1503,ROW()-1),1,0),
        "Y"
      )
      +
      (
        (C198 + IF(INDEX(Input!$L$7:$L1503,ROW()-1),1,0))
        -
        EDATE(
          B198 + IF(INDEX(Input!$K$7:$K1503,ROW()-1),0,1),
          12*DATEDIF(
            B198 + IF(INDEX(Input!$K$7:$K1503,ROW()-1),0,1),
            C198 + IF(INDEX(Input!$L$7:$L1503,ROW()-1),1,0),
            "Y"
          )
        )
      ) / 365,
    "Actual/Actual",
      YEARFRAC(
        B198 + IF(INDEX(Input!$K$7:$K1503,ROW()-1),0,1),
        C198 + IF(INDEX(Input!$L$7:$L1503,ROW()-1),1,0),
        1
      ),
      YEARFRAC(
        B198 + IF(INDEX(Input!$K$7:$K1503,ROW()-1),0,1),
        C198 + IF(INDEX(Input!$L$7:$L1503,ROW()-1),1,0),
        3
      )
  )
)</f>
        <v/>
      </c>
      <c r="S198" s="22" t="str">
        <f t="shared" si="4"/>
        <v/>
      </c>
      <c r="T198" s="6" t="str">
        <f t="array" ref="T198">IF(
  B198="",
  ,
  DATEDIF(
    B198 + IF(INDEX(Input!$K$7:$K1503,ROW()-1),0,1),
    C198 + IF(INDEX(Input!$L$7:$L1503,ROW()-1),1,0),
    "Y"
  )
)</f>
        <v/>
      </c>
      <c r="U198" s="6" t="str">
        <f t="array" ref="U198">IF(
  B198="",
  ,
  (C198 + IF(INDEX(Input!$L$7:$L1503,ROW()-1),1,0))
  - EDATE(
      B198 + IF(INDEX(Input!$K$7:$K1503,ROW()-1),0,1),
      12*S198
    )
)</f>
        <v/>
      </c>
      <c r="V198" s="6" t="str">
        <f t="shared" si="5"/>
        <v/>
      </c>
      <c r="W198" s="6" t="str">
        <f t="shared" si="6"/>
        <v/>
      </c>
    </row>
    <row r="199">
      <c r="A199" s="18"/>
      <c r="B199" s="18"/>
      <c r="C199" s="18"/>
      <c r="D199" s="18"/>
      <c r="E199" s="18"/>
      <c r="F199" s="18"/>
      <c r="G199" s="22"/>
      <c r="H199" s="18"/>
      <c r="I199" s="18">
        <v>0.0</v>
      </c>
      <c r="J199" s="18">
        <v>0.0</v>
      </c>
      <c r="K199" s="18"/>
      <c r="L199" s="18"/>
      <c r="M199" s="22" t="str">
        <f t="shared" si="1"/>
        <v/>
      </c>
      <c r="N199" s="18" t="str">
        <f>IF(A199="",,IF(ROW()=2, Input!$C$2 + I199, P198 + I199))</f>
        <v/>
      </c>
      <c r="O199" s="23" t="str">
        <f>IF(A199="",,
 IF(K199="Initial principal",
   Input!$C$2 * M199,
   N199 * M199
 )
)</f>
        <v/>
      </c>
      <c r="P199" s="18" t="str">
        <f t="shared" si="2"/>
        <v/>
      </c>
      <c r="Q199" s="18" t="str">
        <f t="shared" si="3"/>
        <v/>
      </c>
      <c r="R199" s="18" t="str">
        <f t="array" ref="R199">IF(
  B199="",
  ,
  SWITCH(
    Input!$C$4,
    "Actual/365 Fixed",
      YEARFRAC(
        B199 + IF(INDEX(Input!$K$7:$K1503,ROW()-1),0,1),
        C199 + IF(INDEX(Input!$L$7:$L1503,ROW()-1),1,0),
        3
      ),
    "Anniversary/365",
      DATEDIF(
        B199 + IF(INDEX(Input!$K$7:$K1503,ROW()-1),0,1),
        C199 + IF(INDEX(Input!$L$7:$L1503,ROW()-1),1,0),
        "Y"
      )
      +
      (
        (C199 + IF(INDEX(Input!$L$7:$L1503,ROW()-1),1,0))
        -
        EDATE(
          B199 + IF(INDEX(Input!$K$7:$K1503,ROW()-1),0,1),
          12*DATEDIF(
            B199 + IF(INDEX(Input!$K$7:$K1503,ROW()-1),0,1),
            C199 + IF(INDEX(Input!$L$7:$L1503,ROW()-1),1,0),
            "Y"
          )
        )
      ) / 365,
    "Actual/Actual",
      YEARFRAC(
        B199 + IF(INDEX(Input!$K$7:$K1503,ROW()-1),0,1),
        C199 + IF(INDEX(Input!$L$7:$L1503,ROW()-1),1,0),
        1
      ),
      YEARFRAC(
        B199 + IF(INDEX(Input!$K$7:$K1503,ROW()-1),0,1),
        C199 + IF(INDEX(Input!$L$7:$L1503,ROW()-1),1,0),
        3
      )
  )
)</f>
        <v/>
      </c>
      <c r="S199" s="22" t="str">
        <f t="shared" si="4"/>
        <v/>
      </c>
      <c r="T199" s="6" t="str">
        <f t="array" ref="T199">IF(
  B199="",
  ,
  DATEDIF(
    B199 + IF(INDEX(Input!$K$7:$K1503,ROW()-1),0,1),
    C199 + IF(INDEX(Input!$L$7:$L1503,ROW()-1),1,0),
    "Y"
  )
)</f>
        <v/>
      </c>
      <c r="U199" s="6" t="str">
        <f t="array" ref="U199">IF(
  B199="",
  ,
  (C199 + IF(INDEX(Input!$L$7:$L1503,ROW()-1),1,0))
  - EDATE(
      B199 + IF(INDEX(Input!$K$7:$K1503,ROW()-1),0,1),
      12*S199
    )
)</f>
        <v/>
      </c>
      <c r="V199" s="6" t="str">
        <f t="shared" si="5"/>
        <v/>
      </c>
      <c r="W199" s="6" t="str">
        <f t="shared" si="6"/>
        <v/>
      </c>
    </row>
    <row r="200">
      <c r="A200" s="18"/>
      <c r="B200" s="18"/>
      <c r="C200" s="18"/>
      <c r="D200" s="18"/>
      <c r="E200" s="18"/>
      <c r="F200" s="18"/>
      <c r="G200" s="22"/>
      <c r="H200" s="18"/>
      <c r="I200" s="18">
        <v>0.0</v>
      </c>
      <c r="J200" s="18">
        <v>0.0</v>
      </c>
      <c r="K200" s="18"/>
      <c r="L200" s="18"/>
      <c r="M200" s="22" t="str">
        <f t="shared" si="1"/>
        <v/>
      </c>
      <c r="N200" s="18" t="str">
        <f>IF(A200="",,IF(ROW()=2, Input!$C$2 + I200, P199 + I200))</f>
        <v/>
      </c>
      <c r="O200" s="23" t="str">
        <f>IF(A200="",,
 IF(K200="Initial principal",
   Input!$C$2 * M200,
   N200 * M200
 )
)</f>
        <v/>
      </c>
      <c r="P200" s="18" t="str">
        <f t="shared" si="2"/>
        <v/>
      </c>
      <c r="Q200" s="18" t="str">
        <f t="shared" si="3"/>
        <v/>
      </c>
      <c r="R200" s="18" t="str">
        <f t="array" ref="R200">IF(
  B200="",
  ,
  SWITCH(
    Input!$C$4,
    "Actual/365 Fixed",
      YEARFRAC(
        B200 + IF(INDEX(Input!$K$7:$K1503,ROW()-1),0,1),
        C200 + IF(INDEX(Input!$L$7:$L1503,ROW()-1),1,0),
        3
      ),
    "Anniversary/365",
      DATEDIF(
        B200 + IF(INDEX(Input!$K$7:$K1503,ROW()-1),0,1),
        C200 + IF(INDEX(Input!$L$7:$L1503,ROW()-1),1,0),
        "Y"
      )
      +
      (
        (C200 + IF(INDEX(Input!$L$7:$L1503,ROW()-1),1,0))
        -
        EDATE(
          B200 + IF(INDEX(Input!$K$7:$K1503,ROW()-1),0,1),
          12*DATEDIF(
            B200 + IF(INDEX(Input!$K$7:$K1503,ROW()-1),0,1),
            C200 + IF(INDEX(Input!$L$7:$L1503,ROW()-1),1,0),
            "Y"
          )
        )
      ) / 365,
    "Actual/Actual",
      YEARFRAC(
        B200 + IF(INDEX(Input!$K$7:$K1503,ROW()-1),0,1),
        C200 + IF(INDEX(Input!$L$7:$L1503,ROW()-1),1,0),
        1
      ),
      YEARFRAC(
        B200 + IF(INDEX(Input!$K$7:$K1503,ROW()-1),0,1),
        C200 + IF(INDEX(Input!$L$7:$L1503,ROW()-1),1,0),
        3
      )
  )
)</f>
        <v/>
      </c>
      <c r="S200" s="22" t="str">
        <f t="shared" si="4"/>
        <v/>
      </c>
      <c r="T200" s="6" t="str">
        <f t="array" ref="T200">IF(
  B200="",
  ,
  DATEDIF(
    B200 + IF(INDEX(Input!$K$7:$K1503,ROW()-1),0,1),
    C200 + IF(INDEX(Input!$L$7:$L1503,ROW()-1),1,0),
    "Y"
  )
)</f>
        <v/>
      </c>
      <c r="U200" s="6" t="str">
        <f t="array" ref="U200">IF(
  B200="",
  ,
  (C200 + IF(INDEX(Input!$L$7:$L1503,ROW()-1),1,0))
  - EDATE(
      B200 + IF(INDEX(Input!$K$7:$K1503,ROW()-1),0,1),
      12*S200
    )
)</f>
        <v/>
      </c>
      <c r="V200" s="6" t="str">
        <f t="shared" si="5"/>
        <v/>
      </c>
      <c r="W200" s="6" t="str">
        <f t="shared" si="6"/>
        <v/>
      </c>
    </row>
    <row r="201">
      <c r="A201" s="18"/>
      <c r="B201" s="18"/>
      <c r="C201" s="18"/>
      <c r="D201" s="18"/>
      <c r="E201" s="18"/>
      <c r="F201" s="18"/>
      <c r="G201" s="22"/>
      <c r="H201" s="18"/>
      <c r="I201" s="18">
        <v>0.0</v>
      </c>
      <c r="J201" s="18">
        <v>0.0</v>
      </c>
      <c r="K201" s="18"/>
      <c r="L201" s="18"/>
      <c r="M201" s="22" t="str">
        <f t="shared" si="1"/>
        <v/>
      </c>
      <c r="N201" s="18" t="str">
        <f>IF(A201="",,IF(ROW()=2, Input!$C$2 + I201, P200 + I201))</f>
        <v/>
      </c>
      <c r="O201" s="23" t="str">
        <f>IF(A201="",,
 IF(K201="Initial principal",
   Input!$C$2 * M201,
   N201 * M201
 )
)</f>
        <v/>
      </c>
      <c r="P201" s="18" t="str">
        <f t="shared" si="2"/>
        <v/>
      </c>
      <c r="Q201" s="18" t="str">
        <f t="shared" si="3"/>
        <v/>
      </c>
      <c r="R201" s="18" t="str">
        <f t="array" ref="R201">IF(
  B201="",
  ,
  SWITCH(
    Input!$C$4,
    "Actual/365 Fixed",
      YEARFRAC(
        B201 + IF(INDEX(Input!$K$7:$K1503,ROW()-1),0,1),
        C201 + IF(INDEX(Input!$L$7:$L1503,ROW()-1),1,0),
        3
      ),
    "Anniversary/365",
      DATEDIF(
        B201 + IF(INDEX(Input!$K$7:$K1503,ROW()-1),0,1),
        C201 + IF(INDEX(Input!$L$7:$L1503,ROW()-1),1,0),
        "Y"
      )
      +
      (
        (C201 + IF(INDEX(Input!$L$7:$L1503,ROW()-1),1,0))
        -
        EDATE(
          B201 + IF(INDEX(Input!$K$7:$K1503,ROW()-1),0,1),
          12*DATEDIF(
            B201 + IF(INDEX(Input!$K$7:$K1503,ROW()-1),0,1),
            C201 + IF(INDEX(Input!$L$7:$L1503,ROW()-1),1,0),
            "Y"
          )
        )
      ) / 365,
    "Actual/Actual",
      YEARFRAC(
        B201 + IF(INDEX(Input!$K$7:$K1503,ROW()-1),0,1),
        C201 + IF(INDEX(Input!$L$7:$L1503,ROW()-1),1,0),
        1
      ),
      YEARFRAC(
        B201 + IF(INDEX(Input!$K$7:$K1503,ROW()-1),0,1),
        C201 + IF(INDEX(Input!$L$7:$L1503,ROW()-1),1,0),
        3
      )
  )
)</f>
        <v/>
      </c>
      <c r="S201" s="22" t="str">
        <f t="shared" si="4"/>
        <v/>
      </c>
      <c r="T201" s="6" t="str">
        <f t="array" ref="T201">IF(
  B201="",
  ,
  DATEDIF(
    B201 + IF(INDEX(Input!$K$7:$K1503,ROW()-1),0,1),
    C201 + IF(INDEX(Input!$L$7:$L1503,ROW()-1),1,0),
    "Y"
  )
)</f>
        <v/>
      </c>
      <c r="U201" s="6" t="str">
        <f t="array" ref="U201">IF(
  B201="",
  ,
  (C201 + IF(INDEX(Input!$L$7:$L1503,ROW()-1),1,0))
  - EDATE(
      B201 + IF(INDEX(Input!$K$7:$K1503,ROW()-1),0,1),
      12*S201
    )
)</f>
        <v/>
      </c>
      <c r="V201" s="6" t="str">
        <f t="shared" si="5"/>
        <v/>
      </c>
      <c r="W201" s="6" t="str">
        <f t="shared" si="6"/>
        <v/>
      </c>
    </row>
    <row r="202">
      <c r="A202" s="18"/>
      <c r="B202" s="18"/>
      <c r="C202" s="18"/>
      <c r="D202" s="18"/>
      <c r="E202" s="18"/>
      <c r="F202" s="18"/>
      <c r="G202" s="22"/>
      <c r="H202" s="18"/>
      <c r="I202" s="18">
        <v>0.0</v>
      </c>
      <c r="J202" s="18">
        <v>0.0</v>
      </c>
      <c r="K202" s="18"/>
      <c r="L202" s="18"/>
      <c r="M202" s="22" t="str">
        <f t="shared" si="1"/>
        <v/>
      </c>
      <c r="N202" s="18" t="str">
        <f>IF(A202="",,IF(ROW()=2, Input!$C$2 + I202, P201 + I202))</f>
        <v/>
      </c>
      <c r="O202" s="23" t="str">
        <f>IF(A202="",,
 IF(K202="Initial principal",
   Input!$C$2 * M202,
   N202 * M202
 )
)</f>
        <v/>
      </c>
      <c r="P202" s="18" t="str">
        <f t="shared" si="2"/>
        <v/>
      </c>
      <c r="Q202" s="18" t="str">
        <f t="shared" si="3"/>
        <v/>
      </c>
      <c r="R202" s="18" t="str">
        <f t="array" ref="R202">IF(
  B202="",
  ,
  SWITCH(
    Input!$C$4,
    "Actual/365 Fixed",
      YEARFRAC(
        B202 + IF(INDEX(Input!$K$7:$K1503,ROW()-1),0,1),
        C202 + IF(INDEX(Input!$L$7:$L1503,ROW()-1),1,0),
        3
      ),
    "Anniversary/365",
      DATEDIF(
        B202 + IF(INDEX(Input!$K$7:$K1503,ROW()-1),0,1),
        C202 + IF(INDEX(Input!$L$7:$L1503,ROW()-1),1,0),
        "Y"
      )
      +
      (
        (C202 + IF(INDEX(Input!$L$7:$L1503,ROW()-1),1,0))
        -
        EDATE(
          B202 + IF(INDEX(Input!$K$7:$K1503,ROW()-1),0,1),
          12*DATEDIF(
            B202 + IF(INDEX(Input!$K$7:$K1503,ROW()-1),0,1),
            C202 + IF(INDEX(Input!$L$7:$L1503,ROW()-1),1,0),
            "Y"
          )
        )
      ) / 365,
    "Actual/Actual",
      YEARFRAC(
        B202 + IF(INDEX(Input!$K$7:$K1503,ROW()-1),0,1),
        C202 + IF(INDEX(Input!$L$7:$L1503,ROW()-1),1,0),
        1
      ),
      YEARFRAC(
        B202 + IF(INDEX(Input!$K$7:$K1503,ROW()-1),0,1),
        C202 + IF(INDEX(Input!$L$7:$L1503,ROW()-1),1,0),
        3
      )
  )
)</f>
        <v/>
      </c>
      <c r="S202" s="22" t="str">
        <f t="shared" si="4"/>
        <v/>
      </c>
      <c r="T202" s="6" t="str">
        <f t="array" ref="T202">IF(
  B202="",
  ,
  DATEDIF(
    B202 + IF(INDEX(Input!$K$7:$K1503,ROW()-1),0,1),
    C202 + IF(INDEX(Input!$L$7:$L1503,ROW()-1),1,0),
    "Y"
  )
)</f>
        <v/>
      </c>
      <c r="U202" s="6" t="str">
        <f t="array" ref="U202">IF(
  B202="",
  ,
  (C202 + IF(INDEX(Input!$L$7:$L1503,ROW()-1),1,0))
  - EDATE(
      B202 + IF(INDEX(Input!$K$7:$K1503,ROW()-1),0,1),
      12*S202
    )
)</f>
        <v/>
      </c>
      <c r="V202" s="6" t="str">
        <f t="shared" si="5"/>
        <v/>
      </c>
      <c r="W202" s="6" t="str">
        <f t="shared" si="6"/>
        <v/>
      </c>
    </row>
    <row r="203">
      <c r="A203" s="18"/>
      <c r="B203" s="18"/>
      <c r="C203" s="18"/>
      <c r="D203" s="18"/>
      <c r="E203" s="18"/>
      <c r="F203" s="18"/>
      <c r="G203" s="22"/>
      <c r="H203" s="18"/>
      <c r="I203" s="18">
        <v>0.0</v>
      </c>
      <c r="J203" s="18">
        <v>0.0</v>
      </c>
      <c r="K203" s="18"/>
      <c r="L203" s="18"/>
      <c r="M203" s="22" t="str">
        <f t="shared" si="1"/>
        <v/>
      </c>
      <c r="N203" s="18" t="str">
        <f>IF(A203="",,IF(ROW()=2, Input!$C$2 + I203, P202 + I203))</f>
        <v/>
      </c>
      <c r="O203" s="23" t="str">
        <f>IF(A203="",,
 IF(K203="Initial principal",
   Input!$C$2 * M203,
   N203 * M203
 )
)</f>
        <v/>
      </c>
      <c r="P203" s="18" t="str">
        <f t="shared" si="2"/>
        <v/>
      </c>
      <c r="Q203" s="18" t="str">
        <f t="shared" si="3"/>
        <v/>
      </c>
      <c r="R203" s="18" t="str">
        <f t="array" ref="R203">IF(
  B203="",
  ,
  SWITCH(
    Input!$C$4,
    "Actual/365 Fixed",
      YEARFRAC(
        B203 + IF(INDEX(Input!$K$7:$K1503,ROW()-1),0,1),
        C203 + IF(INDEX(Input!$L$7:$L1503,ROW()-1),1,0),
        3
      ),
    "Anniversary/365",
      DATEDIF(
        B203 + IF(INDEX(Input!$K$7:$K1503,ROW()-1),0,1),
        C203 + IF(INDEX(Input!$L$7:$L1503,ROW()-1),1,0),
        "Y"
      )
      +
      (
        (C203 + IF(INDEX(Input!$L$7:$L1503,ROW()-1),1,0))
        -
        EDATE(
          B203 + IF(INDEX(Input!$K$7:$K1503,ROW()-1),0,1),
          12*DATEDIF(
            B203 + IF(INDEX(Input!$K$7:$K1503,ROW()-1),0,1),
            C203 + IF(INDEX(Input!$L$7:$L1503,ROW()-1),1,0),
            "Y"
          )
        )
      ) / 365,
    "Actual/Actual",
      YEARFRAC(
        B203 + IF(INDEX(Input!$K$7:$K1503,ROW()-1),0,1),
        C203 + IF(INDEX(Input!$L$7:$L1503,ROW()-1),1,0),
        1
      ),
      YEARFRAC(
        B203 + IF(INDEX(Input!$K$7:$K1503,ROW()-1),0,1),
        C203 + IF(INDEX(Input!$L$7:$L1503,ROW()-1),1,0),
        3
      )
  )
)</f>
        <v/>
      </c>
      <c r="S203" s="22" t="str">
        <f t="shared" si="4"/>
        <v/>
      </c>
      <c r="T203" s="6" t="str">
        <f t="array" ref="T203">IF(
  B203="",
  ,
  DATEDIF(
    B203 + IF(INDEX(Input!$K$7:$K1503,ROW()-1),0,1),
    C203 + IF(INDEX(Input!$L$7:$L1503,ROW()-1),1,0),
    "Y"
  )
)</f>
        <v/>
      </c>
      <c r="U203" s="6" t="str">
        <f t="array" ref="U203">IF(
  B203="",
  ,
  (C203 + IF(INDEX(Input!$L$7:$L1503,ROW()-1),1,0))
  - EDATE(
      B203 + IF(INDEX(Input!$K$7:$K1503,ROW()-1),0,1),
      12*S203
    )
)</f>
        <v/>
      </c>
      <c r="V203" s="6" t="str">
        <f t="shared" si="5"/>
        <v/>
      </c>
      <c r="W203" s="6" t="str">
        <f t="shared" si="6"/>
        <v/>
      </c>
    </row>
    <row r="204">
      <c r="A204" s="18"/>
      <c r="B204" s="18"/>
      <c r="C204" s="18"/>
      <c r="D204" s="18"/>
      <c r="E204" s="18"/>
      <c r="F204" s="18"/>
      <c r="G204" s="22"/>
      <c r="H204" s="18"/>
      <c r="I204" s="18">
        <v>0.0</v>
      </c>
      <c r="J204" s="18">
        <v>0.0</v>
      </c>
      <c r="K204" s="18"/>
      <c r="L204" s="18"/>
      <c r="M204" s="22" t="str">
        <f t="shared" si="1"/>
        <v/>
      </c>
      <c r="N204" s="18" t="str">
        <f>IF(A204="",,IF(ROW()=2, Input!$C$2 + I204, P203 + I204))</f>
        <v/>
      </c>
      <c r="O204" s="23" t="str">
        <f>IF(A204="",,
 IF(K204="Initial principal",
   Input!$C$2 * M204,
   N204 * M204
 )
)</f>
        <v/>
      </c>
      <c r="P204" s="18" t="str">
        <f t="shared" si="2"/>
        <v/>
      </c>
      <c r="Q204" s="18" t="str">
        <f t="shared" si="3"/>
        <v/>
      </c>
      <c r="R204" s="18" t="str">
        <f t="array" ref="R204">IF(
  B204="",
  ,
  SWITCH(
    Input!$C$4,
    "Actual/365 Fixed",
      YEARFRAC(
        B204 + IF(INDEX(Input!$K$7:$K1503,ROW()-1),0,1),
        C204 + IF(INDEX(Input!$L$7:$L1503,ROW()-1),1,0),
        3
      ),
    "Anniversary/365",
      DATEDIF(
        B204 + IF(INDEX(Input!$K$7:$K1503,ROW()-1),0,1),
        C204 + IF(INDEX(Input!$L$7:$L1503,ROW()-1),1,0),
        "Y"
      )
      +
      (
        (C204 + IF(INDEX(Input!$L$7:$L1503,ROW()-1),1,0))
        -
        EDATE(
          B204 + IF(INDEX(Input!$K$7:$K1503,ROW()-1),0,1),
          12*DATEDIF(
            B204 + IF(INDEX(Input!$K$7:$K1503,ROW()-1),0,1),
            C204 + IF(INDEX(Input!$L$7:$L1503,ROW()-1),1,0),
            "Y"
          )
        )
      ) / 365,
    "Actual/Actual",
      YEARFRAC(
        B204 + IF(INDEX(Input!$K$7:$K1503,ROW()-1),0,1),
        C204 + IF(INDEX(Input!$L$7:$L1503,ROW()-1),1,0),
        1
      ),
      YEARFRAC(
        B204 + IF(INDEX(Input!$K$7:$K1503,ROW()-1),0,1),
        C204 + IF(INDEX(Input!$L$7:$L1503,ROW()-1),1,0),
        3
      )
  )
)</f>
        <v/>
      </c>
      <c r="S204" s="22" t="str">
        <f t="shared" si="4"/>
        <v/>
      </c>
      <c r="T204" s="6" t="str">
        <f t="array" ref="T204">IF(
  B204="",
  ,
  DATEDIF(
    B204 + IF(INDEX(Input!$K$7:$K1503,ROW()-1),0,1),
    C204 + IF(INDEX(Input!$L$7:$L1503,ROW()-1),1,0),
    "Y"
  )
)</f>
        <v/>
      </c>
      <c r="U204" s="6" t="str">
        <f t="array" ref="U204">IF(
  B204="",
  ,
  (C204 + IF(INDEX(Input!$L$7:$L1503,ROW()-1),1,0))
  - EDATE(
      B204 + IF(INDEX(Input!$K$7:$K1503,ROW()-1),0,1),
      12*S204
    )
)</f>
        <v/>
      </c>
      <c r="V204" s="6" t="str">
        <f t="shared" si="5"/>
        <v/>
      </c>
      <c r="W204" s="6" t="str">
        <f t="shared" si="6"/>
        <v/>
      </c>
    </row>
    <row r="205">
      <c r="A205" s="18"/>
      <c r="B205" s="18"/>
      <c r="C205" s="18"/>
      <c r="D205" s="18"/>
      <c r="E205" s="18"/>
      <c r="F205" s="18"/>
      <c r="G205" s="22"/>
      <c r="H205" s="18"/>
      <c r="I205" s="18">
        <v>0.0</v>
      </c>
      <c r="J205" s="18">
        <v>0.0</v>
      </c>
      <c r="K205" s="18"/>
      <c r="L205" s="18"/>
      <c r="M205" s="22" t="str">
        <f t="shared" si="1"/>
        <v/>
      </c>
      <c r="N205" s="18" t="str">
        <f>IF(A205="",,IF(ROW()=2, Input!$C$2 + I205, P204 + I205))</f>
        <v/>
      </c>
      <c r="O205" s="23" t="str">
        <f>IF(A205="",,
 IF(K205="Initial principal",
   Input!$C$2 * M205,
   N205 * M205
 )
)</f>
        <v/>
      </c>
      <c r="P205" s="18" t="str">
        <f t="shared" si="2"/>
        <v/>
      </c>
      <c r="Q205" s="18" t="str">
        <f t="shared" si="3"/>
        <v/>
      </c>
      <c r="R205" s="18" t="str">
        <f t="array" ref="R205">IF(
  B205="",
  ,
  SWITCH(
    Input!$C$4,
    "Actual/365 Fixed",
      YEARFRAC(
        B205 + IF(INDEX(Input!$K$7:$K1503,ROW()-1),0,1),
        C205 + IF(INDEX(Input!$L$7:$L1503,ROW()-1),1,0),
        3
      ),
    "Anniversary/365",
      DATEDIF(
        B205 + IF(INDEX(Input!$K$7:$K1503,ROW()-1),0,1),
        C205 + IF(INDEX(Input!$L$7:$L1503,ROW()-1),1,0),
        "Y"
      )
      +
      (
        (C205 + IF(INDEX(Input!$L$7:$L1503,ROW()-1),1,0))
        -
        EDATE(
          B205 + IF(INDEX(Input!$K$7:$K1503,ROW()-1),0,1),
          12*DATEDIF(
            B205 + IF(INDEX(Input!$K$7:$K1503,ROW()-1),0,1),
            C205 + IF(INDEX(Input!$L$7:$L1503,ROW()-1),1,0),
            "Y"
          )
        )
      ) / 365,
    "Actual/Actual",
      YEARFRAC(
        B205 + IF(INDEX(Input!$K$7:$K1503,ROW()-1),0,1),
        C205 + IF(INDEX(Input!$L$7:$L1503,ROW()-1),1,0),
        1
      ),
      YEARFRAC(
        B205 + IF(INDEX(Input!$K$7:$K1503,ROW()-1),0,1),
        C205 + IF(INDEX(Input!$L$7:$L1503,ROW()-1),1,0),
        3
      )
  )
)</f>
        <v/>
      </c>
      <c r="S205" s="22" t="str">
        <f t="shared" si="4"/>
        <v/>
      </c>
      <c r="T205" s="6" t="str">
        <f t="array" ref="T205">IF(
  B205="",
  ,
  DATEDIF(
    B205 + IF(INDEX(Input!$K$7:$K1503,ROW()-1),0,1),
    C205 + IF(INDEX(Input!$L$7:$L1503,ROW()-1),1,0),
    "Y"
  )
)</f>
        <v/>
      </c>
      <c r="U205" s="6" t="str">
        <f t="array" ref="U205">IF(
  B205="",
  ,
  (C205 + IF(INDEX(Input!$L$7:$L1503,ROW()-1),1,0))
  - EDATE(
      B205 + IF(INDEX(Input!$K$7:$K1503,ROW()-1),0,1),
      12*S205
    )
)</f>
        <v/>
      </c>
      <c r="V205" s="6" t="str">
        <f t="shared" si="5"/>
        <v/>
      </c>
      <c r="W205" s="6" t="str">
        <f t="shared" si="6"/>
        <v/>
      </c>
    </row>
    <row r="206">
      <c r="A206" s="18"/>
      <c r="B206" s="18"/>
      <c r="C206" s="18"/>
      <c r="D206" s="18"/>
      <c r="E206" s="18"/>
      <c r="F206" s="18"/>
      <c r="G206" s="22"/>
      <c r="H206" s="18"/>
      <c r="I206" s="18">
        <v>0.0</v>
      </c>
      <c r="J206" s="18">
        <v>0.0</v>
      </c>
      <c r="K206" s="18"/>
      <c r="L206" s="18"/>
      <c r="M206" s="22" t="str">
        <f t="shared" si="1"/>
        <v/>
      </c>
      <c r="N206" s="18" t="str">
        <f>IF(A206="",,IF(ROW()=2, Input!$C$2 + I206, P205 + I206))</f>
        <v/>
      </c>
      <c r="O206" s="23" t="str">
        <f>IF(A206="",,
 IF(K206="Initial principal",
   Input!$C$2 * M206,
   N206 * M206
 )
)</f>
        <v/>
      </c>
      <c r="P206" s="18" t="str">
        <f t="shared" si="2"/>
        <v/>
      </c>
      <c r="Q206" s="18" t="str">
        <f t="shared" si="3"/>
        <v/>
      </c>
      <c r="R206" s="18" t="str">
        <f t="array" ref="R206">IF(
  B206="",
  ,
  SWITCH(
    Input!$C$4,
    "Actual/365 Fixed",
      YEARFRAC(
        B206 + IF(INDEX(Input!$K$7:$K1503,ROW()-1),0,1),
        C206 + IF(INDEX(Input!$L$7:$L1503,ROW()-1),1,0),
        3
      ),
    "Anniversary/365",
      DATEDIF(
        B206 + IF(INDEX(Input!$K$7:$K1503,ROW()-1),0,1),
        C206 + IF(INDEX(Input!$L$7:$L1503,ROW()-1),1,0),
        "Y"
      )
      +
      (
        (C206 + IF(INDEX(Input!$L$7:$L1503,ROW()-1),1,0))
        -
        EDATE(
          B206 + IF(INDEX(Input!$K$7:$K1503,ROW()-1),0,1),
          12*DATEDIF(
            B206 + IF(INDEX(Input!$K$7:$K1503,ROW()-1),0,1),
            C206 + IF(INDEX(Input!$L$7:$L1503,ROW()-1),1,0),
            "Y"
          )
        )
      ) / 365,
    "Actual/Actual",
      YEARFRAC(
        B206 + IF(INDEX(Input!$K$7:$K1503,ROW()-1),0,1),
        C206 + IF(INDEX(Input!$L$7:$L1503,ROW()-1),1,0),
        1
      ),
      YEARFRAC(
        B206 + IF(INDEX(Input!$K$7:$K1503,ROW()-1),0,1),
        C206 + IF(INDEX(Input!$L$7:$L1503,ROW()-1),1,0),
        3
      )
  )
)</f>
        <v/>
      </c>
      <c r="S206" s="22" t="str">
        <f t="shared" si="4"/>
        <v/>
      </c>
      <c r="T206" s="6" t="str">
        <f t="array" ref="T206">IF(
  B206="",
  ,
  DATEDIF(
    B206 + IF(INDEX(Input!$K$7:$K1503,ROW()-1),0,1),
    C206 + IF(INDEX(Input!$L$7:$L1503,ROW()-1),1,0),
    "Y"
  )
)</f>
        <v/>
      </c>
      <c r="U206" s="6" t="str">
        <f t="array" ref="U206">IF(
  B206="",
  ,
  (C206 + IF(INDEX(Input!$L$7:$L1503,ROW()-1),1,0))
  - EDATE(
      B206 + IF(INDEX(Input!$K$7:$K1503,ROW()-1),0,1),
      12*S206
    )
)</f>
        <v/>
      </c>
      <c r="V206" s="6" t="str">
        <f t="shared" si="5"/>
        <v/>
      </c>
      <c r="W206" s="6" t="str">
        <f t="shared" si="6"/>
        <v/>
      </c>
    </row>
    <row r="207">
      <c r="A207" s="18"/>
      <c r="B207" s="18"/>
      <c r="C207" s="18"/>
      <c r="D207" s="18"/>
      <c r="E207" s="18"/>
      <c r="F207" s="18"/>
      <c r="G207" s="22"/>
      <c r="H207" s="18"/>
      <c r="I207" s="18">
        <v>0.0</v>
      </c>
      <c r="J207" s="18">
        <v>0.0</v>
      </c>
      <c r="K207" s="18"/>
      <c r="L207" s="18"/>
      <c r="M207" s="22" t="str">
        <f t="shared" si="1"/>
        <v/>
      </c>
      <c r="N207" s="18" t="str">
        <f>IF(A207="",,IF(ROW()=2, Input!$C$2 + I207, P206 + I207))</f>
        <v/>
      </c>
      <c r="O207" s="23" t="str">
        <f>IF(A207="",,
 IF(K207="Initial principal",
   Input!$C$2 * M207,
   N207 * M207
 )
)</f>
        <v/>
      </c>
      <c r="P207" s="18" t="str">
        <f t="shared" si="2"/>
        <v/>
      </c>
      <c r="Q207" s="18" t="str">
        <f t="shared" si="3"/>
        <v/>
      </c>
      <c r="R207" s="18" t="str">
        <f t="array" ref="R207">IF(
  B207="",
  ,
  SWITCH(
    Input!$C$4,
    "Actual/365 Fixed",
      YEARFRAC(
        B207 + IF(INDEX(Input!$K$7:$K1503,ROW()-1),0,1),
        C207 + IF(INDEX(Input!$L$7:$L1503,ROW()-1),1,0),
        3
      ),
    "Anniversary/365",
      DATEDIF(
        B207 + IF(INDEX(Input!$K$7:$K1503,ROW()-1),0,1),
        C207 + IF(INDEX(Input!$L$7:$L1503,ROW()-1),1,0),
        "Y"
      )
      +
      (
        (C207 + IF(INDEX(Input!$L$7:$L1503,ROW()-1),1,0))
        -
        EDATE(
          B207 + IF(INDEX(Input!$K$7:$K1503,ROW()-1),0,1),
          12*DATEDIF(
            B207 + IF(INDEX(Input!$K$7:$K1503,ROW()-1),0,1),
            C207 + IF(INDEX(Input!$L$7:$L1503,ROW()-1),1,0),
            "Y"
          )
        )
      ) / 365,
    "Actual/Actual",
      YEARFRAC(
        B207 + IF(INDEX(Input!$K$7:$K1503,ROW()-1),0,1),
        C207 + IF(INDEX(Input!$L$7:$L1503,ROW()-1),1,0),
        1
      ),
      YEARFRAC(
        B207 + IF(INDEX(Input!$K$7:$K1503,ROW()-1),0,1),
        C207 + IF(INDEX(Input!$L$7:$L1503,ROW()-1),1,0),
        3
      )
  )
)</f>
        <v/>
      </c>
      <c r="S207" s="22" t="str">
        <f t="shared" si="4"/>
        <v/>
      </c>
      <c r="T207" s="6" t="str">
        <f t="array" ref="T207">IF(
  B207="",
  ,
  DATEDIF(
    B207 + IF(INDEX(Input!$K$7:$K1503,ROW()-1),0,1),
    C207 + IF(INDEX(Input!$L$7:$L1503,ROW()-1),1,0),
    "Y"
  )
)</f>
        <v/>
      </c>
      <c r="U207" s="6" t="str">
        <f t="array" ref="U207">IF(
  B207="",
  ,
  (C207 + IF(INDEX(Input!$L$7:$L1503,ROW()-1),1,0))
  - EDATE(
      B207 + IF(INDEX(Input!$K$7:$K1503,ROW()-1),0,1),
      12*S207
    )
)</f>
        <v/>
      </c>
      <c r="V207" s="6" t="str">
        <f t="shared" si="5"/>
        <v/>
      </c>
      <c r="W207" s="6" t="str">
        <f t="shared" si="6"/>
        <v/>
      </c>
    </row>
    <row r="208">
      <c r="A208" s="18"/>
      <c r="B208" s="18"/>
      <c r="C208" s="18"/>
      <c r="D208" s="18"/>
      <c r="E208" s="18"/>
      <c r="F208" s="18"/>
      <c r="G208" s="22"/>
      <c r="H208" s="18"/>
      <c r="I208" s="18">
        <v>0.0</v>
      </c>
      <c r="J208" s="18">
        <v>0.0</v>
      </c>
      <c r="K208" s="18"/>
      <c r="L208" s="18"/>
      <c r="M208" s="22" t="str">
        <f t="shared" si="1"/>
        <v/>
      </c>
      <c r="N208" s="18" t="str">
        <f>IF(A208="",,IF(ROW()=2, Input!$C$2 + I208, P207 + I208))</f>
        <v/>
      </c>
      <c r="O208" s="23" t="str">
        <f>IF(A208="",,
 IF(K208="Initial principal",
   Input!$C$2 * M208,
   N208 * M208
 )
)</f>
        <v/>
      </c>
      <c r="P208" s="18" t="str">
        <f t="shared" si="2"/>
        <v/>
      </c>
      <c r="Q208" s="18" t="str">
        <f t="shared" si="3"/>
        <v/>
      </c>
      <c r="R208" s="18" t="str">
        <f t="array" ref="R208">IF(
  B208="",
  ,
  SWITCH(
    Input!$C$4,
    "Actual/365 Fixed",
      YEARFRAC(
        B208 + IF(INDEX(Input!$K$7:$K1503,ROW()-1),0,1),
        C208 + IF(INDEX(Input!$L$7:$L1503,ROW()-1),1,0),
        3
      ),
    "Anniversary/365",
      DATEDIF(
        B208 + IF(INDEX(Input!$K$7:$K1503,ROW()-1),0,1),
        C208 + IF(INDEX(Input!$L$7:$L1503,ROW()-1),1,0),
        "Y"
      )
      +
      (
        (C208 + IF(INDEX(Input!$L$7:$L1503,ROW()-1),1,0))
        -
        EDATE(
          B208 + IF(INDEX(Input!$K$7:$K1503,ROW()-1),0,1),
          12*DATEDIF(
            B208 + IF(INDEX(Input!$K$7:$K1503,ROW()-1),0,1),
            C208 + IF(INDEX(Input!$L$7:$L1503,ROW()-1),1,0),
            "Y"
          )
        )
      ) / 365,
    "Actual/Actual",
      YEARFRAC(
        B208 + IF(INDEX(Input!$K$7:$K1503,ROW()-1),0,1),
        C208 + IF(INDEX(Input!$L$7:$L1503,ROW()-1),1,0),
        1
      ),
      YEARFRAC(
        B208 + IF(INDEX(Input!$K$7:$K1503,ROW()-1),0,1),
        C208 + IF(INDEX(Input!$L$7:$L1503,ROW()-1),1,0),
        3
      )
  )
)</f>
        <v/>
      </c>
      <c r="S208" s="22" t="str">
        <f t="shared" si="4"/>
        <v/>
      </c>
      <c r="T208" s="6" t="str">
        <f t="array" ref="T208">IF(
  B208="",
  ,
  DATEDIF(
    B208 + IF(INDEX(Input!$K$7:$K1503,ROW()-1),0,1),
    C208 + IF(INDEX(Input!$L$7:$L1503,ROW()-1),1,0),
    "Y"
  )
)</f>
        <v/>
      </c>
      <c r="U208" s="6" t="str">
        <f t="array" ref="U208">IF(
  B208="",
  ,
  (C208 + IF(INDEX(Input!$L$7:$L1503,ROW()-1),1,0))
  - EDATE(
      B208 + IF(INDEX(Input!$K$7:$K1503,ROW()-1),0,1),
      12*S208
    )
)</f>
        <v/>
      </c>
      <c r="V208" s="6" t="str">
        <f t="shared" si="5"/>
        <v/>
      </c>
      <c r="W208" s="6" t="str">
        <f t="shared" si="6"/>
        <v/>
      </c>
    </row>
    <row r="209">
      <c r="A209" s="18"/>
      <c r="B209" s="18"/>
      <c r="C209" s="18"/>
      <c r="D209" s="18"/>
      <c r="E209" s="18"/>
      <c r="F209" s="18"/>
      <c r="G209" s="22"/>
      <c r="H209" s="18"/>
      <c r="I209" s="18">
        <v>0.0</v>
      </c>
      <c r="J209" s="18">
        <v>0.0</v>
      </c>
      <c r="K209" s="18"/>
      <c r="L209" s="18"/>
      <c r="M209" s="22" t="str">
        <f t="shared" si="1"/>
        <v/>
      </c>
      <c r="N209" s="18" t="str">
        <f>IF(A209="",,IF(ROW()=2, Input!$C$2 + I209, P208 + I209))</f>
        <v/>
      </c>
      <c r="O209" s="23" t="str">
        <f>IF(A209="",,
 IF(K209="Initial principal",
   Input!$C$2 * M209,
   N209 * M209
 )
)</f>
        <v/>
      </c>
      <c r="P209" s="18" t="str">
        <f t="shared" si="2"/>
        <v/>
      </c>
      <c r="Q209" s="18" t="str">
        <f t="shared" si="3"/>
        <v/>
      </c>
      <c r="R209" s="18" t="str">
        <f t="array" ref="R209">IF(
  B209="",
  ,
  SWITCH(
    Input!$C$4,
    "Actual/365 Fixed",
      YEARFRAC(
        B209 + IF(INDEX(Input!$K$7:$K1503,ROW()-1),0,1),
        C209 + IF(INDEX(Input!$L$7:$L1503,ROW()-1),1,0),
        3
      ),
    "Anniversary/365",
      DATEDIF(
        B209 + IF(INDEX(Input!$K$7:$K1503,ROW()-1),0,1),
        C209 + IF(INDEX(Input!$L$7:$L1503,ROW()-1),1,0),
        "Y"
      )
      +
      (
        (C209 + IF(INDEX(Input!$L$7:$L1503,ROW()-1),1,0))
        -
        EDATE(
          B209 + IF(INDEX(Input!$K$7:$K1503,ROW()-1),0,1),
          12*DATEDIF(
            B209 + IF(INDEX(Input!$K$7:$K1503,ROW()-1),0,1),
            C209 + IF(INDEX(Input!$L$7:$L1503,ROW()-1),1,0),
            "Y"
          )
        )
      ) / 365,
    "Actual/Actual",
      YEARFRAC(
        B209 + IF(INDEX(Input!$K$7:$K1503,ROW()-1),0,1),
        C209 + IF(INDEX(Input!$L$7:$L1503,ROW()-1),1,0),
        1
      ),
      YEARFRAC(
        B209 + IF(INDEX(Input!$K$7:$K1503,ROW()-1),0,1),
        C209 + IF(INDEX(Input!$L$7:$L1503,ROW()-1),1,0),
        3
      )
  )
)</f>
        <v/>
      </c>
      <c r="S209" s="22" t="str">
        <f t="shared" si="4"/>
        <v/>
      </c>
      <c r="T209" s="6" t="str">
        <f t="array" ref="T209">IF(
  B209="",
  ,
  DATEDIF(
    B209 + IF(INDEX(Input!$K$7:$K1503,ROW()-1),0,1),
    C209 + IF(INDEX(Input!$L$7:$L1503,ROW()-1),1,0),
    "Y"
  )
)</f>
        <v/>
      </c>
      <c r="U209" s="6" t="str">
        <f t="array" ref="U209">IF(
  B209="",
  ,
  (C209 + IF(INDEX(Input!$L$7:$L1503,ROW()-1),1,0))
  - EDATE(
      B209 + IF(INDEX(Input!$K$7:$K1503,ROW()-1),0,1),
      12*S209
    )
)</f>
        <v/>
      </c>
      <c r="V209" s="6" t="str">
        <f t="shared" si="5"/>
        <v/>
      </c>
      <c r="W209" s="6" t="str">
        <f t="shared" si="6"/>
        <v/>
      </c>
    </row>
    <row r="210">
      <c r="A210" s="18"/>
      <c r="B210" s="18"/>
      <c r="C210" s="18"/>
      <c r="D210" s="18"/>
      <c r="E210" s="18"/>
      <c r="F210" s="18"/>
      <c r="G210" s="22"/>
      <c r="H210" s="18"/>
      <c r="I210" s="18">
        <v>0.0</v>
      </c>
      <c r="J210" s="18">
        <v>0.0</v>
      </c>
      <c r="K210" s="18"/>
      <c r="L210" s="18"/>
      <c r="M210" s="22" t="str">
        <f t="shared" si="1"/>
        <v/>
      </c>
      <c r="N210" s="18" t="str">
        <f>IF(A210="",,IF(ROW()=2, Input!$C$2 + I210, P209 + I210))</f>
        <v/>
      </c>
      <c r="O210" s="23" t="str">
        <f>IF(A210="",,
 IF(K210="Initial principal",
   Input!$C$2 * M210,
   N210 * M210
 )
)</f>
        <v/>
      </c>
      <c r="P210" s="18" t="str">
        <f t="shared" si="2"/>
        <v/>
      </c>
      <c r="Q210" s="18" t="str">
        <f t="shared" si="3"/>
        <v/>
      </c>
      <c r="R210" s="18" t="str">
        <f t="array" ref="R210">IF(
  B210="",
  ,
  SWITCH(
    Input!$C$4,
    "Actual/365 Fixed",
      YEARFRAC(
        B210 + IF(INDEX(Input!$K$7:$K1503,ROW()-1),0,1),
        C210 + IF(INDEX(Input!$L$7:$L1503,ROW()-1),1,0),
        3
      ),
    "Anniversary/365",
      DATEDIF(
        B210 + IF(INDEX(Input!$K$7:$K1503,ROW()-1),0,1),
        C210 + IF(INDEX(Input!$L$7:$L1503,ROW()-1),1,0),
        "Y"
      )
      +
      (
        (C210 + IF(INDEX(Input!$L$7:$L1503,ROW()-1),1,0))
        -
        EDATE(
          B210 + IF(INDEX(Input!$K$7:$K1503,ROW()-1),0,1),
          12*DATEDIF(
            B210 + IF(INDEX(Input!$K$7:$K1503,ROW()-1),0,1),
            C210 + IF(INDEX(Input!$L$7:$L1503,ROW()-1),1,0),
            "Y"
          )
        )
      ) / 365,
    "Actual/Actual",
      YEARFRAC(
        B210 + IF(INDEX(Input!$K$7:$K1503,ROW()-1),0,1),
        C210 + IF(INDEX(Input!$L$7:$L1503,ROW()-1),1,0),
        1
      ),
      YEARFRAC(
        B210 + IF(INDEX(Input!$K$7:$K1503,ROW()-1),0,1),
        C210 + IF(INDEX(Input!$L$7:$L1503,ROW()-1),1,0),
        3
      )
  )
)</f>
        <v/>
      </c>
      <c r="S210" s="22" t="str">
        <f t="shared" si="4"/>
        <v/>
      </c>
      <c r="T210" s="6" t="str">
        <f t="array" ref="T210">IF(
  B210="",
  ,
  DATEDIF(
    B210 + IF(INDEX(Input!$K$7:$K1503,ROW()-1),0,1),
    C210 + IF(INDEX(Input!$L$7:$L1503,ROW()-1),1,0),
    "Y"
  )
)</f>
        <v/>
      </c>
      <c r="U210" s="6" t="str">
        <f t="array" ref="U210">IF(
  B210="",
  ,
  (C210 + IF(INDEX(Input!$L$7:$L1503,ROW()-1),1,0))
  - EDATE(
      B210 + IF(INDEX(Input!$K$7:$K1503,ROW()-1),0,1),
      12*S210
    )
)</f>
        <v/>
      </c>
      <c r="V210" s="6" t="str">
        <f t="shared" si="5"/>
        <v/>
      </c>
      <c r="W210" s="6" t="str">
        <f t="shared" si="6"/>
        <v/>
      </c>
    </row>
    <row r="211">
      <c r="A211" s="18"/>
      <c r="B211" s="18"/>
      <c r="C211" s="18"/>
      <c r="D211" s="18"/>
      <c r="E211" s="18"/>
      <c r="F211" s="18"/>
      <c r="G211" s="22"/>
      <c r="H211" s="18"/>
      <c r="I211" s="18">
        <v>0.0</v>
      </c>
      <c r="J211" s="18">
        <v>0.0</v>
      </c>
      <c r="K211" s="18"/>
      <c r="L211" s="18"/>
      <c r="M211" s="22" t="str">
        <f t="shared" si="1"/>
        <v/>
      </c>
      <c r="N211" s="18" t="str">
        <f>IF(A211="",,IF(ROW()=2, Input!$C$2 + I211, P210 + I211))</f>
        <v/>
      </c>
      <c r="O211" s="23" t="str">
        <f>IF(A211="",,
 IF(K211="Initial principal",
   Input!$C$2 * M211,
   N211 * M211
 )
)</f>
        <v/>
      </c>
      <c r="P211" s="18" t="str">
        <f t="shared" si="2"/>
        <v/>
      </c>
      <c r="Q211" s="18" t="str">
        <f t="shared" si="3"/>
        <v/>
      </c>
      <c r="R211" s="18" t="str">
        <f t="array" ref="R211">IF(
  B211="",
  ,
  SWITCH(
    Input!$C$4,
    "Actual/365 Fixed",
      YEARFRAC(
        B211 + IF(INDEX(Input!$K$7:$K1503,ROW()-1),0,1),
        C211 + IF(INDEX(Input!$L$7:$L1503,ROW()-1),1,0),
        3
      ),
    "Anniversary/365",
      DATEDIF(
        B211 + IF(INDEX(Input!$K$7:$K1503,ROW()-1),0,1),
        C211 + IF(INDEX(Input!$L$7:$L1503,ROW()-1),1,0),
        "Y"
      )
      +
      (
        (C211 + IF(INDEX(Input!$L$7:$L1503,ROW()-1),1,0))
        -
        EDATE(
          B211 + IF(INDEX(Input!$K$7:$K1503,ROW()-1),0,1),
          12*DATEDIF(
            B211 + IF(INDEX(Input!$K$7:$K1503,ROW()-1),0,1),
            C211 + IF(INDEX(Input!$L$7:$L1503,ROW()-1),1,0),
            "Y"
          )
        )
      ) / 365,
    "Actual/Actual",
      YEARFRAC(
        B211 + IF(INDEX(Input!$K$7:$K1503,ROW()-1),0,1),
        C211 + IF(INDEX(Input!$L$7:$L1503,ROW()-1),1,0),
        1
      ),
      YEARFRAC(
        B211 + IF(INDEX(Input!$K$7:$K1503,ROW()-1),0,1),
        C211 + IF(INDEX(Input!$L$7:$L1503,ROW()-1),1,0),
        3
      )
  )
)</f>
        <v/>
      </c>
      <c r="S211" s="22" t="str">
        <f t="shared" si="4"/>
        <v/>
      </c>
      <c r="T211" s="6" t="str">
        <f t="array" ref="T211">IF(
  B211="",
  ,
  DATEDIF(
    B211 + IF(INDEX(Input!$K$7:$K1503,ROW()-1),0,1),
    C211 + IF(INDEX(Input!$L$7:$L1503,ROW()-1),1,0),
    "Y"
  )
)</f>
        <v/>
      </c>
      <c r="U211" s="6" t="str">
        <f t="array" ref="U211">IF(
  B211="",
  ,
  (C211 + IF(INDEX(Input!$L$7:$L1503,ROW()-1),1,0))
  - EDATE(
      B211 + IF(INDEX(Input!$K$7:$K1503,ROW()-1),0,1),
      12*S211
    )
)</f>
        <v/>
      </c>
      <c r="V211" s="6" t="str">
        <f t="shared" si="5"/>
        <v/>
      </c>
      <c r="W211" s="6" t="str">
        <f t="shared" si="6"/>
        <v/>
      </c>
    </row>
    <row r="212">
      <c r="A212" s="18"/>
      <c r="B212" s="18"/>
      <c r="C212" s="18"/>
      <c r="D212" s="18"/>
      <c r="E212" s="18"/>
      <c r="F212" s="18"/>
      <c r="G212" s="22"/>
      <c r="H212" s="18"/>
      <c r="I212" s="18">
        <v>0.0</v>
      </c>
      <c r="J212" s="18">
        <v>0.0</v>
      </c>
      <c r="K212" s="18"/>
      <c r="L212" s="18"/>
      <c r="M212" s="22" t="str">
        <f t="shared" si="1"/>
        <v/>
      </c>
      <c r="N212" s="18" t="str">
        <f>IF(A212="",,IF(ROW()=2, Input!$C$2 + I212, P211 + I212))</f>
        <v/>
      </c>
      <c r="O212" s="23" t="str">
        <f>IF(A212="",,
 IF(K212="Initial principal",
   Input!$C$2 * M212,
   N212 * M212
 )
)</f>
        <v/>
      </c>
      <c r="P212" s="18" t="str">
        <f t="shared" si="2"/>
        <v/>
      </c>
      <c r="Q212" s="18" t="str">
        <f t="shared" si="3"/>
        <v/>
      </c>
      <c r="R212" s="18" t="str">
        <f t="array" ref="R212">IF(
  B212="",
  ,
  SWITCH(
    Input!$C$4,
    "Actual/365 Fixed",
      YEARFRAC(
        B212 + IF(INDEX(Input!$K$7:$K1503,ROW()-1),0,1),
        C212 + IF(INDEX(Input!$L$7:$L1503,ROW()-1),1,0),
        3
      ),
    "Anniversary/365",
      DATEDIF(
        B212 + IF(INDEX(Input!$K$7:$K1503,ROW()-1),0,1),
        C212 + IF(INDEX(Input!$L$7:$L1503,ROW()-1),1,0),
        "Y"
      )
      +
      (
        (C212 + IF(INDEX(Input!$L$7:$L1503,ROW()-1),1,0))
        -
        EDATE(
          B212 + IF(INDEX(Input!$K$7:$K1503,ROW()-1),0,1),
          12*DATEDIF(
            B212 + IF(INDEX(Input!$K$7:$K1503,ROW()-1),0,1),
            C212 + IF(INDEX(Input!$L$7:$L1503,ROW()-1),1,0),
            "Y"
          )
        )
      ) / 365,
    "Actual/Actual",
      YEARFRAC(
        B212 + IF(INDEX(Input!$K$7:$K1503,ROW()-1),0,1),
        C212 + IF(INDEX(Input!$L$7:$L1503,ROW()-1),1,0),
        1
      ),
      YEARFRAC(
        B212 + IF(INDEX(Input!$K$7:$K1503,ROW()-1),0,1),
        C212 + IF(INDEX(Input!$L$7:$L1503,ROW()-1),1,0),
        3
      )
  )
)</f>
        <v/>
      </c>
      <c r="S212" s="22" t="str">
        <f t="shared" si="4"/>
        <v/>
      </c>
      <c r="T212" s="6" t="str">
        <f t="array" ref="T212">IF(
  B212="",
  ,
  DATEDIF(
    B212 + IF(INDEX(Input!$K$7:$K1503,ROW()-1),0,1),
    C212 + IF(INDEX(Input!$L$7:$L1503,ROW()-1),1,0),
    "Y"
  )
)</f>
        <v/>
      </c>
      <c r="U212" s="6" t="str">
        <f t="array" ref="U212">IF(
  B212="",
  ,
  (C212 + IF(INDEX(Input!$L$7:$L1503,ROW()-1),1,0))
  - EDATE(
      B212 + IF(INDEX(Input!$K$7:$K1503,ROW()-1),0,1),
      12*S212
    )
)</f>
        <v/>
      </c>
      <c r="V212" s="6" t="str">
        <f t="shared" si="5"/>
        <v/>
      </c>
      <c r="W212" s="6" t="str">
        <f t="shared" si="6"/>
        <v/>
      </c>
    </row>
    <row r="213">
      <c r="A213" s="18"/>
      <c r="B213" s="18"/>
      <c r="C213" s="18"/>
      <c r="D213" s="18"/>
      <c r="E213" s="18"/>
      <c r="F213" s="18"/>
      <c r="G213" s="22"/>
      <c r="H213" s="18"/>
      <c r="I213" s="18">
        <v>0.0</v>
      </c>
      <c r="J213" s="18">
        <v>0.0</v>
      </c>
      <c r="K213" s="18"/>
      <c r="L213" s="18"/>
      <c r="M213" s="22" t="str">
        <f t="shared" si="1"/>
        <v/>
      </c>
      <c r="N213" s="18" t="str">
        <f>IF(A213="",,IF(ROW()=2, Input!$C$2 + I213, P212 + I213))</f>
        <v/>
      </c>
      <c r="O213" s="23" t="str">
        <f>IF(A213="",,
 IF(K213="Initial principal",
   Input!$C$2 * M213,
   N213 * M213
 )
)</f>
        <v/>
      </c>
      <c r="P213" s="18" t="str">
        <f t="shared" si="2"/>
        <v/>
      </c>
      <c r="Q213" s="18" t="str">
        <f t="shared" si="3"/>
        <v/>
      </c>
      <c r="R213" s="18" t="str">
        <f t="array" ref="R213">IF(
  B213="",
  ,
  SWITCH(
    Input!$C$4,
    "Actual/365 Fixed",
      YEARFRAC(
        B213 + IF(INDEX(Input!$K$7:$K1503,ROW()-1),0,1),
        C213 + IF(INDEX(Input!$L$7:$L1503,ROW()-1),1,0),
        3
      ),
    "Anniversary/365",
      DATEDIF(
        B213 + IF(INDEX(Input!$K$7:$K1503,ROW()-1),0,1),
        C213 + IF(INDEX(Input!$L$7:$L1503,ROW()-1),1,0),
        "Y"
      )
      +
      (
        (C213 + IF(INDEX(Input!$L$7:$L1503,ROW()-1),1,0))
        -
        EDATE(
          B213 + IF(INDEX(Input!$K$7:$K1503,ROW()-1),0,1),
          12*DATEDIF(
            B213 + IF(INDEX(Input!$K$7:$K1503,ROW()-1),0,1),
            C213 + IF(INDEX(Input!$L$7:$L1503,ROW()-1),1,0),
            "Y"
          )
        )
      ) / 365,
    "Actual/Actual",
      YEARFRAC(
        B213 + IF(INDEX(Input!$K$7:$K1503,ROW()-1),0,1),
        C213 + IF(INDEX(Input!$L$7:$L1503,ROW()-1),1,0),
        1
      ),
      YEARFRAC(
        B213 + IF(INDEX(Input!$K$7:$K1503,ROW()-1),0,1),
        C213 + IF(INDEX(Input!$L$7:$L1503,ROW()-1),1,0),
        3
      )
  )
)</f>
        <v/>
      </c>
      <c r="S213" s="22" t="str">
        <f t="shared" si="4"/>
        <v/>
      </c>
      <c r="T213" s="6" t="str">
        <f t="array" ref="T213">IF(
  B213="",
  ,
  DATEDIF(
    B213 + IF(INDEX(Input!$K$7:$K1503,ROW()-1),0,1),
    C213 + IF(INDEX(Input!$L$7:$L1503,ROW()-1),1,0),
    "Y"
  )
)</f>
        <v/>
      </c>
      <c r="U213" s="6" t="str">
        <f t="array" ref="U213">IF(
  B213="",
  ,
  (C213 + IF(INDEX(Input!$L$7:$L1503,ROW()-1),1,0))
  - EDATE(
      B213 + IF(INDEX(Input!$K$7:$K1503,ROW()-1),0,1),
      12*S213
    )
)</f>
        <v/>
      </c>
      <c r="V213" s="6" t="str">
        <f t="shared" si="5"/>
        <v/>
      </c>
      <c r="W213" s="6" t="str">
        <f t="shared" si="6"/>
        <v/>
      </c>
    </row>
    <row r="214">
      <c r="A214" s="18"/>
      <c r="B214" s="18"/>
      <c r="C214" s="18"/>
      <c r="D214" s="18"/>
      <c r="E214" s="18"/>
      <c r="F214" s="18"/>
      <c r="G214" s="22"/>
      <c r="H214" s="18"/>
      <c r="I214" s="18">
        <v>0.0</v>
      </c>
      <c r="J214" s="18">
        <v>0.0</v>
      </c>
      <c r="K214" s="18"/>
      <c r="L214" s="18"/>
      <c r="M214" s="22" t="str">
        <f t="shared" si="1"/>
        <v/>
      </c>
      <c r="N214" s="18" t="str">
        <f>IF(A214="",,IF(ROW()=2, Input!$C$2 + I214, P213 + I214))</f>
        <v/>
      </c>
      <c r="O214" s="23" t="str">
        <f>IF(A214="",,
 IF(K214="Initial principal",
   Input!$C$2 * M214,
   N214 * M214
 )
)</f>
        <v/>
      </c>
      <c r="P214" s="18" t="str">
        <f t="shared" si="2"/>
        <v/>
      </c>
      <c r="Q214" s="18" t="str">
        <f t="shared" si="3"/>
        <v/>
      </c>
      <c r="R214" s="18" t="str">
        <f t="array" ref="R214">IF(
  B214="",
  ,
  SWITCH(
    Input!$C$4,
    "Actual/365 Fixed",
      YEARFRAC(
        B214 + IF(INDEX(Input!$K$7:$K1503,ROW()-1),0,1),
        C214 + IF(INDEX(Input!$L$7:$L1503,ROW()-1),1,0),
        3
      ),
    "Anniversary/365",
      DATEDIF(
        B214 + IF(INDEX(Input!$K$7:$K1503,ROW()-1),0,1),
        C214 + IF(INDEX(Input!$L$7:$L1503,ROW()-1),1,0),
        "Y"
      )
      +
      (
        (C214 + IF(INDEX(Input!$L$7:$L1503,ROW()-1),1,0))
        -
        EDATE(
          B214 + IF(INDEX(Input!$K$7:$K1503,ROW()-1),0,1),
          12*DATEDIF(
            B214 + IF(INDEX(Input!$K$7:$K1503,ROW()-1),0,1),
            C214 + IF(INDEX(Input!$L$7:$L1503,ROW()-1),1,0),
            "Y"
          )
        )
      ) / 365,
    "Actual/Actual",
      YEARFRAC(
        B214 + IF(INDEX(Input!$K$7:$K1503,ROW()-1),0,1),
        C214 + IF(INDEX(Input!$L$7:$L1503,ROW()-1),1,0),
        1
      ),
      YEARFRAC(
        B214 + IF(INDEX(Input!$K$7:$K1503,ROW()-1),0,1),
        C214 + IF(INDEX(Input!$L$7:$L1503,ROW()-1),1,0),
        3
      )
  )
)</f>
        <v/>
      </c>
      <c r="S214" s="22" t="str">
        <f t="shared" si="4"/>
        <v/>
      </c>
      <c r="T214" s="6" t="str">
        <f t="array" ref="T214">IF(
  B214="",
  ,
  DATEDIF(
    B214 + IF(INDEX(Input!$K$7:$K1503,ROW()-1),0,1),
    C214 + IF(INDEX(Input!$L$7:$L1503,ROW()-1),1,0),
    "Y"
  )
)</f>
        <v/>
      </c>
      <c r="U214" s="6" t="str">
        <f t="array" ref="U214">IF(
  B214="",
  ,
  (C214 + IF(INDEX(Input!$L$7:$L1503,ROW()-1),1,0))
  - EDATE(
      B214 + IF(INDEX(Input!$K$7:$K1503,ROW()-1),0,1),
      12*S214
    )
)</f>
        <v/>
      </c>
      <c r="V214" s="6" t="str">
        <f t="shared" si="5"/>
        <v/>
      </c>
      <c r="W214" s="6" t="str">
        <f t="shared" si="6"/>
        <v/>
      </c>
    </row>
    <row r="215">
      <c r="A215" s="18"/>
      <c r="B215" s="18"/>
      <c r="C215" s="18"/>
      <c r="D215" s="18"/>
      <c r="E215" s="18"/>
      <c r="F215" s="18"/>
      <c r="G215" s="22"/>
      <c r="H215" s="18"/>
      <c r="I215" s="18">
        <v>0.0</v>
      </c>
      <c r="J215" s="18">
        <v>0.0</v>
      </c>
      <c r="K215" s="18"/>
      <c r="L215" s="18"/>
      <c r="M215" s="22" t="str">
        <f t="shared" si="1"/>
        <v/>
      </c>
      <c r="N215" s="18" t="str">
        <f>IF(A215="",,IF(ROW()=2, Input!$C$2 + I215, P214 + I215))</f>
        <v/>
      </c>
      <c r="O215" s="23" t="str">
        <f>IF(A215="",,
 IF(K215="Initial principal",
   Input!$C$2 * M215,
   N215 * M215
 )
)</f>
        <v/>
      </c>
      <c r="P215" s="18" t="str">
        <f t="shared" si="2"/>
        <v/>
      </c>
      <c r="Q215" s="18" t="str">
        <f t="shared" si="3"/>
        <v/>
      </c>
      <c r="R215" s="18" t="str">
        <f t="array" ref="R215">IF(
  B215="",
  ,
  SWITCH(
    Input!$C$4,
    "Actual/365 Fixed",
      YEARFRAC(
        B215 + IF(INDEX(Input!$K$7:$K1503,ROW()-1),0,1),
        C215 + IF(INDEX(Input!$L$7:$L1503,ROW()-1),1,0),
        3
      ),
    "Anniversary/365",
      DATEDIF(
        B215 + IF(INDEX(Input!$K$7:$K1503,ROW()-1),0,1),
        C215 + IF(INDEX(Input!$L$7:$L1503,ROW()-1),1,0),
        "Y"
      )
      +
      (
        (C215 + IF(INDEX(Input!$L$7:$L1503,ROW()-1),1,0))
        -
        EDATE(
          B215 + IF(INDEX(Input!$K$7:$K1503,ROW()-1),0,1),
          12*DATEDIF(
            B215 + IF(INDEX(Input!$K$7:$K1503,ROW()-1),0,1),
            C215 + IF(INDEX(Input!$L$7:$L1503,ROW()-1),1,0),
            "Y"
          )
        )
      ) / 365,
    "Actual/Actual",
      YEARFRAC(
        B215 + IF(INDEX(Input!$K$7:$K1503,ROW()-1),0,1),
        C215 + IF(INDEX(Input!$L$7:$L1503,ROW()-1),1,0),
        1
      ),
      YEARFRAC(
        B215 + IF(INDEX(Input!$K$7:$K1503,ROW()-1),0,1),
        C215 + IF(INDEX(Input!$L$7:$L1503,ROW()-1),1,0),
        3
      )
  )
)</f>
        <v/>
      </c>
      <c r="S215" s="22" t="str">
        <f t="shared" si="4"/>
        <v/>
      </c>
      <c r="T215" s="6" t="str">
        <f t="array" ref="T215">IF(
  B215="",
  ,
  DATEDIF(
    B215 + IF(INDEX(Input!$K$7:$K1503,ROW()-1),0,1),
    C215 + IF(INDEX(Input!$L$7:$L1503,ROW()-1),1,0),
    "Y"
  )
)</f>
        <v/>
      </c>
      <c r="U215" s="6" t="str">
        <f t="array" ref="U215">IF(
  B215="",
  ,
  (C215 + IF(INDEX(Input!$L$7:$L1503,ROW()-1),1,0))
  - EDATE(
      B215 + IF(INDEX(Input!$K$7:$K1503,ROW()-1),0,1),
      12*S215
    )
)</f>
        <v/>
      </c>
      <c r="V215" s="6" t="str">
        <f t="shared" si="5"/>
        <v/>
      </c>
      <c r="W215" s="6" t="str">
        <f t="shared" si="6"/>
        <v/>
      </c>
    </row>
    <row r="216">
      <c r="A216" s="18"/>
      <c r="B216" s="18"/>
      <c r="C216" s="18"/>
      <c r="D216" s="18"/>
      <c r="E216" s="18"/>
      <c r="F216" s="18"/>
      <c r="G216" s="22"/>
      <c r="H216" s="18"/>
      <c r="I216" s="18">
        <v>0.0</v>
      </c>
      <c r="J216" s="18">
        <v>0.0</v>
      </c>
      <c r="K216" s="18"/>
      <c r="L216" s="18"/>
      <c r="M216" s="22" t="str">
        <f t="shared" si="1"/>
        <v/>
      </c>
      <c r="N216" s="18" t="str">
        <f>IF(A216="",,IF(ROW()=2, Input!$C$2 + I216, P215 + I216))</f>
        <v/>
      </c>
      <c r="O216" s="23" t="str">
        <f>IF(A216="",,
 IF(K216="Initial principal",
   Input!$C$2 * M216,
   N216 * M216
 )
)</f>
        <v/>
      </c>
      <c r="P216" s="18" t="str">
        <f t="shared" si="2"/>
        <v/>
      </c>
      <c r="Q216" s="18" t="str">
        <f t="shared" si="3"/>
        <v/>
      </c>
      <c r="R216" s="18" t="str">
        <f t="array" ref="R216">IF(
  B216="",
  ,
  SWITCH(
    Input!$C$4,
    "Actual/365 Fixed",
      YEARFRAC(
        B216 + IF(INDEX(Input!$K$7:$K1503,ROW()-1),0,1),
        C216 + IF(INDEX(Input!$L$7:$L1503,ROW()-1),1,0),
        3
      ),
    "Anniversary/365",
      DATEDIF(
        B216 + IF(INDEX(Input!$K$7:$K1503,ROW()-1),0,1),
        C216 + IF(INDEX(Input!$L$7:$L1503,ROW()-1),1,0),
        "Y"
      )
      +
      (
        (C216 + IF(INDEX(Input!$L$7:$L1503,ROW()-1),1,0))
        -
        EDATE(
          B216 + IF(INDEX(Input!$K$7:$K1503,ROW()-1),0,1),
          12*DATEDIF(
            B216 + IF(INDEX(Input!$K$7:$K1503,ROW()-1),0,1),
            C216 + IF(INDEX(Input!$L$7:$L1503,ROW()-1),1,0),
            "Y"
          )
        )
      ) / 365,
    "Actual/Actual",
      YEARFRAC(
        B216 + IF(INDEX(Input!$K$7:$K1503,ROW()-1),0,1),
        C216 + IF(INDEX(Input!$L$7:$L1503,ROW()-1),1,0),
        1
      ),
      YEARFRAC(
        B216 + IF(INDEX(Input!$K$7:$K1503,ROW()-1),0,1),
        C216 + IF(INDEX(Input!$L$7:$L1503,ROW()-1),1,0),
        3
      )
  )
)</f>
        <v/>
      </c>
      <c r="S216" s="22" t="str">
        <f t="shared" si="4"/>
        <v/>
      </c>
      <c r="T216" s="6" t="str">
        <f t="array" ref="T216">IF(
  B216="",
  ,
  DATEDIF(
    B216 + IF(INDEX(Input!$K$7:$K1503,ROW()-1),0,1),
    C216 + IF(INDEX(Input!$L$7:$L1503,ROW()-1),1,0),
    "Y"
  )
)</f>
        <v/>
      </c>
      <c r="U216" s="6" t="str">
        <f t="array" ref="U216">IF(
  B216="",
  ,
  (C216 + IF(INDEX(Input!$L$7:$L1503,ROW()-1),1,0))
  - EDATE(
      B216 + IF(INDEX(Input!$K$7:$K1503,ROW()-1),0,1),
      12*S216
    )
)</f>
        <v/>
      </c>
      <c r="V216" s="6" t="str">
        <f t="shared" si="5"/>
        <v/>
      </c>
      <c r="W216" s="6" t="str">
        <f t="shared" si="6"/>
        <v/>
      </c>
    </row>
    <row r="217">
      <c r="A217" s="18"/>
      <c r="B217" s="18"/>
      <c r="C217" s="18"/>
      <c r="D217" s="18"/>
      <c r="E217" s="18"/>
      <c r="F217" s="18"/>
      <c r="G217" s="22"/>
      <c r="H217" s="18"/>
      <c r="I217" s="18">
        <v>0.0</v>
      </c>
      <c r="J217" s="18">
        <v>0.0</v>
      </c>
      <c r="K217" s="18"/>
      <c r="L217" s="18"/>
      <c r="M217" s="22" t="str">
        <f t="shared" si="1"/>
        <v/>
      </c>
      <c r="N217" s="18" t="str">
        <f>IF(A217="",,IF(ROW()=2, Input!$C$2 + I217, P216 + I217))</f>
        <v/>
      </c>
      <c r="O217" s="23" t="str">
        <f>IF(A217="",,
 IF(K217="Initial principal",
   Input!$C$2 * M217,
   N217 * M217
 )
)</f>
        <v/>
      </c>
      <c r="P217" s="18" t="str">
        <f t="shared" si="2"/>
        <v/>
      </c>
      <c r="Q217" s="18" t="str">
        <f t="shared" si="3"/>
        <v/>
      </c>
      <c r="R217" s="18" t="str">
        <f t="array" ref="R217">IF(
  B217="",
  ,
  SWITCH(
    Input!$C$4,
    "Actual/365 Fixed",
      YEARFRAC(
        B217 + IF(INDEX(Input!$K$7:$K1503,ROW()-1),0,1),
        C217 + IF(INDEX(Input!$L$7:$L1503,ROW()-1),1,0),
        3
      ),
    "Anniversary/365",
      DATEDIF(
        B217 + IF(INDEX(Input!$K$7:$K1503,ROW()-1),0,1),
        C217 + IF(INDEX(Input!$L$7:$L1503,ROW()-1),1,0),
        "Y"
      )
      +
      (
        (C217 + IF(INDEX(Input!$L$7:$L1503,ROW()-1),1,0))
        -
        EDATE(
          B217 + IF(INDEX(Input!$K$7:$K1503,ROW()-1),0,1),
          12*DATEDIF(
            B217 + IF(INDEX(Input!$K$7:$K1503,ROW()-1),0,1),
            C217 + IF(INDEX(Input!$L$7:$L1503,ROW()-1),1,0),
            "Y"
          )
        )
      ) / 365,
    "Actual/Actual",
      YEARFRAC(
        B217 + IF(INDEX(Input!$K$7:$K1503,ROW()-1),0,1),
        C217 + IF(INDEX(Input!$L$7:$L1503,ROW()-1),1,0),
        1
      ),
      YEARFRAC(
        B217 + IF(INDEX(Input!$K$7:$K1503,ROW()-1),0,1),
        C217 + IF(INDEX(Input!$L$7:$L1503,ROW()-1),1,0),
        3
      )
  )
)</f>
        <v/>
      </c>
      <c r="S217" s="22" t="str">
        <f t="shared" si="4"/>
        <v/>
      </c>
      <c r="T217" s="6" t="str">
        <f t="array" ref="T217">IF(
  B217="",
  ,
  DATEDIF(
    B217 + IF(INDEX(Input!$K$7:$K1503,ROW()-1),0,1),
    C217 + IF(INDEX(Input!$L$7:$L1503,ROW()-1),1,0),
    "Y"
  )
)</f>
        <v/>
      </c>
      <c r="U217" s="6" t="str">
        <f t="array" ref="U217">IF(
  B217="",
  ,
  (C217 + IF(INDEX(Input!$L$7:$L1503,ROW()-1),1,0))
  - EDATE(
      B217 + IF(INDEX(Input!$K$7:$K1503,ROW()-1),0,1),
      12*S217
    )
)</f>
        <v/>
      </c>
      <c r="V217" s="6" t="str">
        <f t="shared" si="5"/>
        <v/>
      </c>
      <c r="W217" s="6" t="str">
        <f t="shared" si="6"/>
        <v/>
      </c>
    </row>
    <row r="218">
      <c r="A218" s="18"/>
      <c r="B218" s="18"/>
      <c r="C218" s="18"/>
      <c r="D218" s="18"/>
      <c r="E218" s="18"/>
      <c r="F218" s="18"/>
      <c r="G218" s="22"/>
      <c r="H218" s="18"/>
      <c r="I218" s="18">
        <v>0.0</v>
      </c>
      <c r="J218" s="18">
        <v>0.0</v>
      </c>
      <c r="K218" s="18"/>
      <c r="L218" s="18"/>
      <c r="M218" s="22" t="str">
        <f t="shared" si="1"/>
        <v/>
      </c>
      <c r="N218" s="18" t="str">
        <f>IF(A218="",,IF(ROW()=2, Input!$C$2 + I218, P217 + I218))</f>
        <v/>
      </c>
      <c r="O218" s="23" t="str">
        <f>IF(A218="",,
 IF(K218="Initial principal",
   Input!$C$2 * M218,
   N218 * M218
 )
)</f>
        <v/>
      </c>
      <c r="P218" s="18" t="str">
        <f t="shared" si="2"/>
        <v/>
      </c>
      <c r="Q218" s="18" t="str">
        <f t="shared" si="3"/>
        <v/>
      </c>
      <c r="R218" s="18" t="str">
        <f t="array" ref="R218">IF(
  B218="",
  ,
  SWITCH(
    Input!$C$4,
    "Actual/365 Fixed",
      YEARFRAC(
        B218 + IF(INDEX(Input!$K$7:$K1503,ROW()-1),0,1),
        C218 + IF(INDEX(Input!$L$7:$L1503,ROW()-1),1,0),
        3
      ),
    "Anniversary/365",
      DATEDIF(
        B218 + IF(INDEX(Input!$K$7:$K1503,ROW()-1),0,1),
        C218 + IF(INDEX(Input!$L$7:$L1503,ROW()-1),1,0),
        "Y"
      )
      +
      (
        (C218 + IF(INDEX(Input!$L$7:$L1503,ROW()-1),1,0))
        -
        EDATE(
          B218 + IF(INDEX(Input!$K$7:$K1503,ROW()-1),0,1),
          12*DATEDIF(
            B218 + IF(INDEX(Input!$K$7:$K1503,ROW()-1),0,1),
            C218 + IF(INDEX(Input!$L$7:$L1503,ROW()-1),1,0),
            "Y"
          )
        )
      ) / 365,
    "Actual/Actual",
      YEARFRAC(
        B218 + IF(INDEX(Input!$K$7:$K1503,ROW()-1),0,1),
        C218 + IF(INDEX(Input!$L$7:$L1503,ROW()-1),1,0),
        1
      ),
      YEARFRAC(
        B218 + IF(INDEX(Input!$K$7:$K1503,ROW()-1),0,1),
        C218 + IF(INDEX(Input!$L$7:$L1503,ROW()-1),1,0),
        3
      )
  )
)</f>
        <v/>
      </c>
      <c r="S218" s="22" t="str">
        <f t="shared" si="4"/>
        <v/>
      </c>
      <c r="T218" s="6" t="str">
        <f t="array" ref="T218">IF(
  B218="",
  ,
  DATEDIF(
    B218 + IF(INDEX(Input!$K$7:$K1503,ROW()-1),0,1),
    C218 + IF(INDEX(Input!$L$7:$L1503,ROW()-1),1,0),
    "Y"
  )
)</f>
        <v/>
      </c>
      <c r="U218" s="6" t="str">
        <f t="array" ref="U218">IF(
  B218="",
  ,
  (C218 + IF(INDEX(Input!$L$7:$L1503,ROW()-1),1,0))
  - EDATE(
      B218 + IF(INDEX(Input!$K$7:$K1503,ROW()-1),0,1),
      12*S218
    )
)</f>
        <v/>
      </c>
      <c r="V218" s="6" t="str">
        <f t="shared" si="5"/>
        <v/>
      </c>
      <c r="W218" s="6" t="str">
        <f t="shared" si="6"/>
        <v/>
      </c>
    </row>
    <row r="219">
      <c r="A219" s="18"/>
      <c r="B219" s="18"/>
      <c r="C219" s="18"/>
      <c r="D219" s="18"/>
      <c r="E219" s="18"/>
      <c r="F219" s="18"/>
      <c r="G219" s="22"/>
      <c r="H219" s="18"/>
      <c r="I219" s="18">
        <v>0.0</v>
      </c>
      <c r="J219" s="18">
        <v>0.0</v>
      </c>
      <c r="K219" s="18"/>
      <c r="L219" s="18"/>
      <c r="M219" s="22" t="str">
        <f t="shared" si="1"/>
        <v/>
      </c>
      <c r="N219" s="18" t="str">
        <f>IF(A219="",,IF(ROW()=2, Input!$C$2 + I219, P218 + I219))</f>
        <v/>
      </c>
      <c r="O219" s="23" t="str">
        <f>IF(A219="",,
 IF(K219="Initial principal",
   Input!$C$2 * M219,
   N219 * M219
 )
)</f>
        <v/>
      </c>
      <c r="P219" s="18" t="str">
        <f t="shared" si="2"/>
        <v/>
      </c>
      <c r="Q219" s="18" t="str">
        <f t="shared" si="3"/>
        <v/>
      </c>
      <c r="R219" s="18" t="str">
        <f t="array" ref="R219">IF(
  B219="",
  ,
  SWITCH(
    Input!$C$4,
    "Actual/365 Fixed",
      YEARFRAC(
        B219 + IF(INDEX(Input!$K$7:$K1503,ROW()-1),0,1),
        C219 + IF(INDEX(Input!$L$7:$L1503,ROW()-1),1,0),
        3
      ),
    "Anniversary/365",
      DATEDIF(
        B219 + IF(INDEX(Input!$K$7:$K1503,ROW()-1),0,1),
        C219 + IF(INDEX(Input!$L$7:$L1503,ROW()-1),1,0),
        "Y"
      )
      +
      (
        (C219 + IF(INDEX(Input!$L$7:$L1503,ROW()-1),1,0))
        -
        EDATE(
          B219 + IF(INDEX(Input!$K$7:$K1503,ROW()-1),0,1),
          12*DATEDIF(
            B219 + IF(INDEX(Input!$K$7:$K1503,ROW()-1),0,1),
            C219 + IF(INDEX(Input!$L$7:$L1503,ROW()-1),1,0),
            "Y"
          )
        )
      ) / 365,
    "Actual/Actual",
      YEARFRAC(
        B219 + IF(INDEX(Input!$K$7:$K1503,ROW()-1),0,1),
        C219 + IF(INDEX(Input!$L$7:$L1503,ROW()-1),1,0),
        1
      ),
      YEARFRAC(
        B219 + IF(INDEX(Input!$K$7:$K1503,ROW()-1),0,1),
        C219 + IF(INDEX(Input!$L$7:$L1503,ROW()-1),1,0),
        3
      )
  )
)</f>
        <v/>
      </c>
      <c r="S219" s="22" t="str">
        <f t="shared" si="4"/>
        <v/>
      </c>
      <c r="T219" s="6" t="str">
        <f t="array" ref="T219">IF(
  B219="",
  ,
  DATEDIF(
    B219 + IF(INDEX(Input!$K$7:$K1503,ROW()-1),0,1),
    C219 + IF(INDEX(Input!$L$7:$L1503,ROW()-1),1,0),
    "Y"
  )
)</f>
        <v/>
      </c>
      <c r="U219" s="6" t="str">
        <f t="array" ref="U219">IF(
  B219="",
  ,
  (C219 + IF(INDEX(Input!$L$7:$L1503,ROW()-1),1,0))
  - EDATE(
      B219 + IF(INDEX(Input!$K$7:$K1503,ROW()-1),0,1),
      12*S219
    )
)</f>
        <v/>
      </c>
      <c r="V219" s="6" t="str">
        <f t="shared" si="5"/>
        <v/>
      </c>
      <c r="W219" s="6" t="str">
        <f t="shared" si="6"/>
        <v/>
      </c>
    </row>
    <row r="220">
      <c r="A220" s="18"/>
      <c r="B220" s="18"/>
      <c r="C220" s="18"/>
      <c r="D220" s="18"/>
      <c r="E220" s="18"/>
      <c r="F220" s="18"/>
      <c r="G220" s="22"/>
      <c r="H220" s="18"/>
      <c r="I220" s="18">
        <v>0.0</v>
      </c>
      <c r="J220" s="18">
        <v>0.0</v>
      </c>
      <c r="K220" s="18"/>
      <c r="L220" s="18"/>
      <c r="M220" s="22" t="str">
        <f t="shared" si="1"/>
        <v/>
      </c>
      <c r="N220" s="18" t="str">
        <f>IF(A220="",,IF(ROW()=2, Input!$C$2 + I220, P219 + I220))</f>
        <v/>
      </c>
      <c r="O220" s="23" t="str">
        <f>IF(A220="",,
 IF(K220="Initial principal",
   Input!$C$2 * M220,
   N220 * M220
 )
)</f>
        <v/>
      </c>
      <c r="P220" s="18" t="str">
        <f t="shared" si="2"/>
        <v/>
      </c>
      <c r="Q220" s="18" t="str">
        <f t="shared" si="3"/>
        <v/>
      </c>
      <c r="R220" s="18" t="str">
        <f t="array" ref="R220">IF(
  B220="",
  ,
  SWITCH(
    Input!$C$4,
    "Actual/365 Fixed",
      YEARFRAC(
        B220 + IF(INDEX(Input!$K$7:$K1503,ROW()-1),0,1),
        C220 + IF(INDEX(Input!$L$7:$L1503,ROW()-1),1,0),
        3
      ),
    "Anniversary/365",
      DATEDIF(
        B220 + IF(INDEX(Input!$K$7:$K1503,ROW()-1),0,1),
        C220 + IF(INDEX(Input!$L$7:$L1503,ROW()-1),1,0),
        "Y"
      )
      +
      (
        (C220 + IF(INDEX(Input!$L$7:$L1503,ROW()-1),1,0))
        -
        EDATE(
          B220 + IF(INDEX(Input!$K$7:$K1503,ROW()-1),0,1),
          12*DATEDIF(
            B220 + IF(INDEX(Input!$K$7:$K1503,ROW()-1),0,1),
            C220 + IF(INDEX(Input!$L$7:$L1503,ROW()-1),1,0),
            "Y"
          )
        )
      ) / 365,
    "Actual/Actual",
      YEARFRAC(
        B220 + IF(INDEX(Input!$K$7:$K1503,ROW()-1),0,1),
        C220 + IF(INDEX(Input!$L$7:$L1503,ROW()-1),1,0),
        1
      ),
      YEARFRAC(
        B220 + IF(INDEX(Input!$K$7:$K1503,ROW()-1),0,1),
        C220 + IF(INDEX(Input!$L$7:$L1503,ROW()-1),1,0),
        3
      )
  )
)</f>
        <v/>
      </c>
      <c r="S220" s="22" t="str">
        <f t="shared" si="4"/>
        <v/>
      </c>
      <c r="T220" s="6" t="str">
        <f t="array" ref="T220">IF(
  B220="",
  ,
  DATEDIF(
    B220 + IF(INDEX(Input!$K$7:$K1503,ROW()-1),0,1),
    C220 + IF(INDEX(Input!$L$7:$L1503,ROW()-1),1,0),
    "Y"
  )
)</f>
        <v/>
      </c>
      <c r="U220" s="6" t="str">
        <f t="array" ref="U220">IF(
  B220="",
  ,
  (C220 + IF(INDEX(Input!$L$7:$L1503,ROW()-1),1,0))
  - EDATE(
      B220 + IF(INDEX(Input!$K$7:$K1503,ROW()-1),0,1),
      12*S220
    )
)</f>
        <v/>
      </c>
      <c r="V220" s="6" t="str">
        <f t="shared" si="5"/>
        <v/>
      </c>
      <c r="W220" s="6" t="str">
        <f t="shared" si="6"/>
        <v/>
      </c>
    </row>
    <row r="221">
      <c r="A221" s="18"/>
      <c r="B221" s="18"/>
      <c r="C221" s="18"/>
      <c r="D221" s="18"/>
      <c r="E221" s="18"/>
      <c r="F221" s="18"/>
      <c r="G221" s="22"/>
      <c r="H221" s="18"/>
      <c r="I221" s="18">
        <v>0.0</v>
      </c>
      <c r="J221" s="18">
        <v>0.0</v>
      </c>
      <c r="K221" s="18"/>
      <c r="L221" s="18"/>
      <c r="M221" s="22" t="str">
        <f t="shared" si="1"/>
        <v/>
      </c>
      <c r="N221" s="18" t="str">
        <f>IF(A221="",,IF(ROW()=2, Input!$C$2 + I221, P220 + I221))</f>
        <v/>
      </c>
      <c r="O221" s="23" t="str">
        <f>IF(A221="",,
 IF(K221="Initial principal",
   Input!$C$2 * M221,
   N221 * M221
 )
)</f>
        <v/>
      </c>
      <c r="P221" s="18" t="str">
        <f t="shared" si="2"/>
        <v/>
      </c>
      <c r="Q221" s="18" t="str">
        <f t="shared" si="3"/>
        <v/>
      </c>
      <c r="R221" s="18" t="str">
        <f t="array" ref="R221">IF(
  B221="",
  ,
  SWITCH(
    Input!$C$4,
    "Actual/365 Fixed",
      YEARFRAC(
        B221 + IF(INDEX(Input!$K$7:$K1503,ROW()-1),0,1),
        C221 + IF(INDEX(Input!$L$7:$L1503,ROW()-1),1,0),
        3
      ),
    "Anniversary/365",
      DATEDIF(
        B221 + IF(INDEX(Input!$K$7:$K1503,ROW()-1),0,1),
        C221 + IF(INDEX(Input!$L$7:$L1503,ROW()-1),1,0),
        "Y"
      )
      +
      (
        (C221 + IF(INDEX(Input!$L$7:$L1503,ROW()-1),1,0))
        -
        EDATE(
          B221 + IF(INDEX(Input!$K$7:$K1503,ROW()-1),0,1),
          12*DATEDIF(
            B221 + IF(INDEX(Input!$K$7:$K1503,ROW()-1),0,1),
            C221 + IF(INDEX(Input!$L$7:$L1503,ROW()-1),1,0),
            "Y"
          )
        )
      ) / 365,
    "Actual/Actual",
      YEARFRAC(
        B221 + IF(INDEX(Input!$K$7:$K1503,ROW()-1),0,1),
        C221 + IF(INDEX(Input!$L$7:$L1503,ROW()-1),1,0),
        1
      ),
      YEARFRAC(
        B221 + IF(INDEX(Input!$K$7:$K1503,ROW()-1),0,1),
        C221 + IF(INDEX(Input!$L$7:$L1503,ROW()-1),1,0),
        3
      )
  )
)</f>
        <v/>
      </c>
      <c r="S221" s="22" t="str">
        <f t="shared" si="4"/>
        <v/>
      </c>
      <c r="T221" s="6" t="str">
        <f t="array" ref="T221">IF(
  B221="",
  ,
  DATEDIF(
    B221 + IF(INDEX(Input!$K$7:$K1503,ROW()-1),0,1),
    C221 + IF(INDEX(Input!$L$7:$L1503,ROW()-1),1,0),
    "Y"
  )
)</f>
        <v/>
      </c>
      <c r="U221" s="6" t="str">
        <f t="array" ref="U221">IF(
  B221="",
  ,
  (C221 + IF(INDEX(Input!$L$7:$L1503,ROW()-1),1,0))
  - EDATE(
      B221 + IF(INDEX(Input!$K$7:$K1503,ROW()-1),0,1),
      12*S221
    )
)</f>
        <v/>
      </c>
      <c r="V221" s="6" t="str">
        <f t="shared" si="5"/>
        <v/>
      </c>
      <c r="W221" s="6" t="str">
        <f t="shared" si="6"/>
        <v/>
      </c>
    </row>
    <row r="222">
      <c r="A222" s="18"/>
      <c r="B222" s="18"/>
      <c r="C222" s="18"/>
      <c r="D222" s="18"/>
      <c r="E222" s="18"/>
      <c r="F222" s="18"/>
      <c r="G222" s="22"/>
      <c r="H222" s="18"/>
      <c r="I222" s="18">
        <v>0.0</v>
      </c>
      <c r="J222" s="18">
        <v>0.0</v>
      </c>
      <c r="K222" s="18"/>
      <c r="L222" s="18"/>
      <c r="M222" s="22" t="str">
        <f t="shared" si="1"/>
        <v/>
      </c>
      <c r="N222" s="18" t="str">
        <f>IF(A222="",,IF(ROW()=2, Input!$C$2 + I222, P221 + I222))</f>
        <v/>
      </c>
      <c r="O222" s="23" t="str">
        <f>IF(A222="",,
 IF(K222="Initial principal",
   Input!$C$2 * M222,
   N222 * M222
 )
)</f>
        <v/>
      </c>
      <c r="P222" s="18" t="str">
        <f t="shared" si="2"/>
        <v/>
      </c>
      <c r="Q222" s="18" t="str">
        <f t="shared" si="3"/>
        <v/>
      </c>
      <c r="R222" s="18" t="str">
        <f t="array" ref="R222">IF(
  B222="",
  ,
  SWITCH(
    Input!$C$4,
    "Actual/365 Fixed",
      YEARFRAC(
        B222 + IF(INDEX(Input!$K$7:$K1503,ROW()-1),0,1),
        C222 + IF(INDEX(Input!$L$7:$L1503,ROW()-1),1,0),
        3
      ),
    "Anniversary/365",
      DATEDIF(
        B222 + IF(INDEX(Input!$K$7:$K1503,ROW()-1),0,1),
        C222 + IF(INDEX(Input!$L$7:$L1503,ROW()-1),1,0),
        "Y"
      )
      +
      (
        (C222 + IF(INDEX(Input!$L$7:$L1503,ROW()-1),1,0))
        -
        EDATE(
          B222 + IF(INDEX(Input!$K$7:$K1503,ROW()-1),0,1),
          12*DATEDIF(
            B222 + IF(INDEX(Input!$K$7:$K1503,ROW()-1),0,1),
            C222 + IF(INDEX(Input!$L$7:$L1503,ROW()-1),1,0),
            "Y"
          )
        )
      ) / 365,
    "Actual/Actual",
      YEARFRAC(
        B222 + IF(INDEX(Input!$K$7:$K1503,ROW()-1),0,1),
        C222 + IF(INDEX(Input!$L$7:$L1503,ROW()-1),1,0),
        1
      ),
      YEARFRAC(
        B222 + IF(INDEX(Input!$K$7:$K1503,ROW()-1),0,1),
        C222 + IF(INDEX(Input!$L$7:$L1503,ROW()-1),1,0),
        3
      )
  )
)</f>
        <v/>
      </c>
      <c r="S222" s="22" t="str">
        <f t="shared" si="4"/>
        <v/>
      </c>
      <c r="T222" s="6" t="str">
        <f t="array" ref="T222">IF(
  B222="",
  ,
  DATEDIF(
    B222 + IF(INDEX(Input!$K$7:$K1503,ROW()-1),0,1),
    C222 + IF(INDEX(Input!$L$7:$L1503,ROW()-1),1,0),
    "Y"
  )
)</f>
        <v/>
      </c>
      <c r="U222" s="6" t="str">
        <f t="array" ref="U222">IF(
  B222="",
  ,
  (C222 + IF(INDEX(Input!$L$7:$L1503,ROW()-1),1,0))
  - EDATE(
      B222 + IF(INDEX(Input!$K$7:$K1503,ROW()-1),0,1),
      12*S222
    )
)</f>
        <v/>
      </c>
      <c r="V222" s="6" t="str">
        <f t="shared" si="5"/>
        <v/>
      </c>
      <c r="W222" s="6" t="str">
        <f t="shared" si="6"/>
        <v/>
      </c>
    </row>
    <row r="223">
      <c r="A223" s="18"/>
      <c r="B223" s="18"/>
      <c r="C223" s="18"/>
      <c r="D223" s="18"/>
      <c r="E223" s="18"/>
      <c r="F223" s="18"/>
      <c r="G223" s="22"/>
      <c r="H223" s="18"/>
      <c r="I223" s="18">
        <v>0.0</v>
      </c>
      <c r="J223" s="18">
        <v>0.0</v>
      </c>
      <c r="K223" s="18"/>
      <c r="L223" s="18"/>
      <c r="M223" s="22" t="str">
        <f t="shared" si="1"/>
        <v/>
      </c>
      <c r="N223" s="18" t="str">
        <f>IF(A223="",,IF(ROW()=2, Input!$C$2 + I223, P222 + I223))</f>
        <v/>
      </c>
      <c r="O223" s="23" t="str">
        <f>IF(A223="",,
 IF(K223="Initial principal",
   Input!$C$2 * M223,
   N223 * M223
 )
)</f>
        <v/>
      </c>
      <c r="P223" s="18" t="str">
        <f t="shared" si="2"/>
        <v/>
      </c>
      <c r="Q223" s="18" t="str">
        <f t="shared" si="3"/>
        <v/>
      </c>
      <c r="R223" s="18" t="str">
        <f t="array" ref="R223">IF(
  B223="",
  ,
  SWITCH(
    Input!$C$4,
    "Actual/365 Fixed",
      YEARFRAC(
        B223 + IF(INDEX(Input!$K$7:$K1503,ROW()-1),0,1),
        C223 + IF(INDEX(Input!$L$7:$L1503,ROW()-1),1,0),
        3
      ),
    "Anniversary/365",
      DATEDIF(
        B223 + IF(INDEX(Input!$K$7:$K1503,ROW()-1),0,1),
        C223 + IF(INDEX(Input!$L$7:$L1503,ROW()-1),1,0),
        "Y"
      )
      +
      (
        (C223 + IF(INDEX(Input!$L$7:$L1503,ROW()-1),1,0))
        -
        EDATE(
          B223 + IF(INDEX(Input!$K$7:$K1503,ROW()-1),0,1),
          12*DATEDIF(
            B223 + IF(INDEX(Input!$K$7:$K1503,ROW()-1),0,1),
            C223 + IF(INDEX(Input!$L$7:$L1503,ROW()-1),1,0),
            "Y"
          )
        )
      ) / 365,
    "Actual/Actual",
      YEARFRAC(
        B223 + IF(INDEX(Input!$K$7:$K1503,ROW()-1),0,1),
        C223 + IF(INDEX(Input!$L$7:$L1503,ROW()-1),1,0),
        1
      ),
      YEARFRAC(
        B223 + IF(INDEX(Input!$K$7:$K1503,ROW()-1),0,1),
        C223 + IF(INDEX(Input!$L$7:$L1503,ROW()-1),1,0),
        3
      )
  )
)</f>
        <v/>
      </c>
      <c r="S223" s="22" t="str">
        <f t="shared" si="4"/>
        <v/>
      </c>
      <c r="T223" s="6" t="str">
        <f t="array" ref="T223">IF(
  B223="",
  ,
  DATEDIF(
    B223 + IF(INDEX(Input!$K$7:$K1503,ROW()-1),0,1),
    C223 + IF(INDEX(Input!$L$7:$L1503,ROW()-1),1,0),
    "Y"
  )
)</f>
        <v/>
      </c>
      <c r="U223" s="6" t="str">
        <f t="array" ref="U223">IF(
  B223="",
  ,
  (C223 + IF(INDEX(Input!$L$7:$L1503,ROW()-1),1,0))
  - EDATE(
      B223 + IF(INDEX(Input!$K$7:$K1503,ROW()-1),0,1),
      12*S223
    )
)</f>
        <v/>
      </c>
      <c r="V223" s="6" t="str">
        <f t="shared" si="5"/>
        <v/>
      </c>
      <c r="W223" s="6" t="str">
        <f t="shared" si="6"/>
        <v/>
      </c>
    </row>
    <row r="224">
      <c r="A224" s="18"/>
      <c r="B224" s="18"/>
      <c r="C224" s="18"/>
      <c r="D224" s="18"/>
      <c r="E224" s="18"/>
      <c r="F224" s="18"/>
      <c r="G224" s="22"/>
      <c r="H224" s="18"/>
      <c r="I224" s="18">
        <v>0.0</v>
      </c>
      <c r="J224" s="18">
        <v>0.0</v>
      </c>
      <c r="K224" s="18"/>
      <c r="L224" s="18"/>
      <c r="M224" s="22" t="str">
        <f t="shared" si="1"/>
        <v/>
      </c>
      <c r="N224" s="18" t="str">
        <f>IF(A224="",,IF(ROW()=2, Input!$C$2 + I224, P223 + I224))</f>
        <v/>
      </c>
      <c r="O224" s="23" t="str">
        <f>IF(A224="",,
 IF(K224="Initial principal",
   Input!$C$2 * M224,
   N224 * M224
 )
)</f>
        <v/>
      </c>
      <c r="P224" s="18" t="str">
        <f t="shared" si="2"/>
        <v/>
      </c>
      <c r="Q224" s="18" t="str">
        <f t="shared" si="3"/>
        <v/>
      </c>
      <c r="R224" s="18" t="str">
        <f t="array" ref="R224">IF(
  B224="",
  ,
  SWITCH(
    Input!$C$4,
    "Actual/365 Fixed",
      YEARFRAC(
        B224 + IF(INDEX(Input!$K$7:$K1503,ROW()-1),0,1),
        C224 + IF(INDEX(Input!$L$7:$L1503,ROW()-1),1,0),
        3
      ),
    "Anniversary/365",
      DATEDIF(
        B224 + IF(INDEX(Input!$K$7:$K1503,ROW()-1),0,1),
        C224 + IF(INDEX(Input!$L$7:$L1503,ROW()-1),1,0),
        "Y"
      )
      +
      (
        (C224 + IF(INDEX(Input!$L$7:$L1503,ROW()-1),1,0))
        -
        EDATE(
          B224 + IF(INDEX(Input!$K$7:$K1503,ROW()-1),0,1),
          12*DATEDIF(
            B224 + IF(INDEX(Input!$K$7:$K1503,ROW()-1),0,1),
            C224 + IF(INDEX(Input!$L$7:$L1503,ROW()-1),1,0),
            "Y"
          )
        )
      ) / 365,
    "Actual/Actual",
      YEARFRAC(
        B224 + IF(INDEX(Input!$K$7:$K1503,ROW()-1),0,1),
        C224 + IF(INDEX(Input!$L$7:$L1503,ROW()-1),1,0),
        1
      ),
      YEARFRAC(
        B224 + IF(INDEX(Input!$K$7:$K1503,ROW()-1),0,1),
        C224 + IF(INDEX(Input!$L$7:$L1503,ROW()-1),1,0),
        3
      )
  )
)</f>
        <v/>
      </c>
      <c r="S224" s="22" t="str">
        <f t="shared" si="4"/>
        <v/>
      </c>
      <c r="T224" s="6" t="str">
        <f t="array" ref="T224">IF(
  B224="",
  ,
  DATEDIF(
    B224 + IF(INDEX(Input!$K$7:$K1503,ROW()-1),0,1),
    C224 + IF(INDEX(Input!$L$7:$L1503,ROW()-1),1,0),
    "Y"
  )
)</f>
        <v/>
      </c>
      <c r="U224" s="6" t="str">
        <f t="array" ref="U224">IF(
  B224="",
  ,
  (C224 + IF(INDEX(Input!$L$7:$L1503,ROW()-1),1,0))
  - EDATE(
      B224 + IF(INDEX(Input!$K$7:$K1503,ROW()-1),0,1),
      12*S224
    )
)</f>
        <v/>
      </c>
      <c r="V224" s="6" t="str">
        <f t="shared" si="5"/>
        <v/>
      </c>
      <c r="W224" s="6" t="str">
        <f t="shared" si="6"/>
        <v/>
      </c>
    </row>
    <row r="225">
      <c r="A225" s="18"/>
      <c r="B225" s="18"/>
      <c r="C225" s="18"/>
      <c r="D225" s="18"/>
      <c r="E225" s="18"/>
      <c r="F225" s="18"/>
      <c r="G225" s="22"/>
      <c r="H225" s="18"/>
      <c r="I225" s="18">
        <v>0.0</v>
      </c>
      <c r="J225" s="18">
        <v>0.0</v>
      </c>
      <c r="K225" s="18"/>
      <c r="L225" s="18"/>
      <c r="M225" s="22" t="str">
        <f t="shared" si="1"/>
        <v/>
      </c>
      <c r="N225" s="18" t="str">
        <f>IF(A225="",,IF(ROW()=2, Input!$C$2 + I225, P224 + I225))</f>
        <v/>
      </c>
      <c r="O225" s="23" t="str">
        <f>IF(A225="",,
 IF(K225="Initial principal",
   Input!$C$2 * M225,
   N225 * M225
 )
)</f>
        <v/>
      </c>
      <c r="P225" s="18" t="str">
        <f t="shared" si="2"/>
        <v/>
      </c>
      <c r="Q225" s="18" t="str">
        <f t="shared" si="3"/>
        <v/>
      </c>
      <c r="R225" s="18" t="str">
        <f t="array" ref="R225">IF(
  B225="",
  ,
  SWITCH(
    Input!$C$4,
    "Actual/365 Fixed",
      YEARFRAC(
        B225 + IF(INDEX(Input!$K$7:$K1503,ROW()-1),0,1),
        C225 + IF(INDEX(Input!$L$7:$L1503,ROW()-1),1,0),
        3
      ),
    "Anniversary/365",
      DATEDIF(
        B225 + IF(INDEX(Input!$K$7:$K1503,ROW()-1),0,1),
        C225 + IF(INDEX(Input!$L$7:$L1503,ROW()-1),1,0),
        "Y"
      )
      +
      (
        (C225 + IF(INDEX(Input!$L$7:$L1503,ROW()-1),1,0))
        -
        EDATE(
          B225 + IF(INDEX(Input!$K$7:$K1503,ROW()-1),0,1),
          12*DATEDIF(
            B225 + IF(INDEX(Input!$K$7:$K1503,ROW()-1),0,1),
            C225 + IF(INDEX(Input!$L$7:$L1503,ROW()-1),1,0),
            "Y"
          )
        )
      ) / 365,
    "Actual/Actual",
      YEARFRAC(
        B225 + IF(INDEX(Input!$K$7:$K1503,ROW()-1),0,1),
        C225 + IF(INDEX(Input!$L$7:$L1503,ROW()-1),1,0),
        1
      ),
      YEARFRAC(
        B225 + IF(INDEX(Input!$K$7:$K1503,ROW()-1),0,1),
        C225 + IF(INDEX(Input!$L$7:$L1503,ROW()-1),1,0),
        3
      )
  )
)</f>
        <v/>
      </c>
      <c r="S225" s="22" t="str">
        <f t="shared" si="4"/>
        <v/>
      </c>
      <c r="T225" s="6" t="str">
        <f t="array" ref="T225">IF(
  B225="",
  ,
  DATEDIF(
    B225 + IF(INDEX(Input!$K$7:$K1503,ROW()-1),0,1),
    C225 + IF(INDEX(Input!$L$7:$L1503,ROW()-1),1,0),
    "Y"
  )
)</f>
        <v/>
      </c>
      <c r="U225" s="6" t="str">
        <f t="array" ref="U225">IF(
  B225="",
  ,
  (C225 + IF(INDEX(Input!$L$7:$L1503,ROW()-1),1,0))
  - EDATE(
      B225 + IF(INDEX(Input!$K$7:$K1503,ROW()-1),0,1),
      12*S225
    )
)</f>
        <v/>
      </c>
      <c r="V225" s="6" t="str">
        <f t="shared" si="5"/>
        <v/>
      </c>
      <c r="W225" s="6" t="str">
        <f t="shared" si="6"/>
        <v/>
      </c>
    </row>
    <row r="226">
      <c r="A226" s="18"/>
      <c r="B226" s="18"/>
      <c r="C226" s="18"/>
      <c r="D226" s="18"/>
      <c r="E226" s="18"/>
      <c r="F226" s="18"/>
      <c r="G226" s="22"/>
      <c r="H226" s="18"/>
      <c r="I226" s="18">
        <v>0.0</v>
      </c>
      <c r="J226" s="18">
        <v>0.0</v>
      </c>
      <c r="K226" s="18"/>
      <c r="L226" s="18"/>
      <c r="M226" s="22" t="str">
        <f t="shared" si="1"/>
        <v/>
      </c>
      <c r="N226" s="18" t="str">
        <f>IF(A226="",,IF(ROW()=2, Input!$C$2 + I226, P225 + I226))</f>
        <v/>
      </c>
      <c r="O226" s="23" t="str">
        <f>IF(A226="",,
 IF(K226="Initial principal",
   Input!$C$2 * M226,
   N226 * M226
 )
)</f>
        <v/>
      </c>
      <c r="P226" s="18" t="str">
        <f t="shared" si="2"/>
        <v/>
      </c>
      <c r="Q226" s="18" t="str">
        <f t="shared" si="3"/>
        <v/>
      </c>
      <c r="R226" s="18" t="str">
        <f t="array" ref="R226">IF(
  B226="",
  ,
  SWITCH(
    Input!$C$4,
    "Actual/365 Fixed",
      YEARFRAC(
        B226 + IF(INDEX(Input!$K$7:$K1503,ROW()-1),0,1),
        C226 + IF(INDEX(Input!$L$7:$L1503,ROW()-1),1,0),
        3
      ),
    "Anniversary/365",
      DATEDIF(
        B226 + IF(INDEX(Input!$K$7:$K1503,ROW()-1),0,1),
        C226 + IF(INDEX(Input!$L$7:$L1503,ROW()-1),1,0),
        "Y"
      )
      +
      (
        (C226 + IF(INDEX(Input!$L$7:$L1503,ROW()-1),1,0))
        -
        EDATE(
          B226 + IF(INDEX(Input!$K$7:$K1503,ROW()-1),0,1),
          12*DATEDIF(
            B226 + IF(INDEX(Input!$K$7:$K1503,ROW()-1),0,1),
            C226 + IF(INDEX(Input!$L$7:$L1503,ROW()-1),1,0),
            "Y"
          )
        )
      ) / 365,
    "Actual/Actual",
      YEARFRAC(
        B226 + IF(INDEX(Input!$K$7:$K1503,ROW()-1),0,1),
        C226 + IF(INDEX(Input!$L$7:$L1503,ROW()-1),1,0),
        1
      ),
      YEARFRAC(
        B226 + IF(INDEX(Input!$K$7:$K1503,ROW()-1),0,1),
        C226 + IF(INDEX(Input!$L$7:$L1503,ROW()-1),1,0),
        3
      )
  )
)</f>
        <v/>
      </c>
      <c r="S226" s="22" t="str">
        <f t="shared" si="4"/>
        <v/>
      </c>
      <c r="T226" s="6" t="str">
        <f t="array" ref="T226">IF(
  B226="",
  ,
  DATEDIF(
    B226 + IF(INDEX(Input!$K$7:$K1503,ROW()-1),0,1),
    C226 + IF(INDEX(Input!$L$7:$L1503,ROW()-1),1,0),
    "Y"
  )
)</f>
        <v/>
      </c>
      <c r="U226" s="6" t="str">
        <f t="array" ref="U226">IF(
  B226="",
  ,
  (C226 + IF(INDEX(Input!$L$7:$L1503,ROW()-1),1,0))
  - EDATE(
      B226 + IF(INDEX(Input!$K$7:$K1503,ROW()-1),0,1),
      12*S226
    )
)</f>
        <v/>
      </c>
      <c r="V226" s="6" t="str">
        <f t="shared" si="5"/>
        <v/>
      </c>
      <c r="W226" s="6" t="str">
        <f t="shared" si="6"/>
        <v/>
      </c>
    </row>
    <row r="227">
      <c r="A227" s="18"/>
      <c r="B227" s="18"/>
      <c r="C227" s="18"/>
      <c r="D227" s="18"/>
      <c r="E227" s="18"/>
      <c r="F227" s="18"/>
      <c r="G227" s="22"/>
      <c r="H227" s="18"/>
      <c r="I227" s="18">
        <v>0.0</v>
      </c>
      <c r="J227" s="18">
        <v>0.0</v>
      </c>
      <c r="K227" s="18"/>
      <c r="L227" s="18"/>
      <c r="M227" s="22" t="str">
        <f t="shared" si="1"/>
        <v/>
      </c>
      <c r="N227" s="18" t="str">
        <f>IF(A227="",,IF(ROW()=2, Input!$C$2 + I227, P226 + I227))</f>
        <v/>
      </c>
      <c r="O227" s="23" t="str">
        <f>IF(A227="",,
 IF(K227="Initial principal",
   Input!$C$2 * M227,
   N227 * M227
 )
)</f>
        <v/>
      </c>
      <c r="P227" s="18" t="str">
        <f t="shared" si="2"/>
        <v/>
      </c>
      <c r="Q227" s="18" t="str">
        <f t="shared" si="3"/>
        <v/>
      </c>
      <c r="R227" s="18" t="str">
        <f t="array" ref="R227">IF(
  B227="",
  ,
  SWITCH(
    Input!$C$4,
    "Actual/365 Fixed",
      YEARFRAC(
        B227 + IF(INDEX(Input!$K$7:$K1503,ROW()-1),0,1),
        C227 + IF(INDEX(Input!$L$7:$L1503,ROW()-1),1,0),
        3
      ),
    "Anniversary/365",
      DATEDIF(
        B227 + IF(INDEX(Input!$K$7:$K1503,ROW()-1),0,1),
        C227 + IF(INDEX(Input!$L$7:$L1503,ROW()-1),1,0),
        "Y"
      )
      +
      (
        (C227 + IF(INDEX(Input!$L$7:$L1503,ROW()-1),1,0))
        -
        EDATE(
          B227 + IF(INDEX(Input!$K$7:$K1503,ROW()-1),0,1),
          12*DATEDIF(
            B227 + IF(INDEX(Input!$K$7:$K1503,ROW()-1),0,1),
            C227 + IF(INDEX(Input!$L$7:$L1503,ROW()-1),1,0),
            "Y"
          )
        )
      ) / 365,
    "Actual/Actual",
      YEARFRAC(
        B227 + IF(INDEX(Input!$K$7:$K1503,ROW()-1),0,1),
        C227 + IF(INDEX(Input!$L$7:$L1503,ROW()-1),1,0),
        1
      ),
      YEARFRAC(
        B227 + IF(INDEX(Input!$K$7:$K1503,ROW()-1),0,1),
        C227 + IF(INDEX(Input!$L$7:$L1503,ROW()-1),1,0),
        3
      )
  )
)</f>
        <v/>
      </c>
      <c r="S227" s="22" t="str">
        <f t="shared" si="4"/>
        <v/>
      </c>
      <c r="T227" s="6" t="str">
        <f t="array" ref="T227">IF(
  B227="",
  ,
  DATEDIF(
    B227 + IF(INDEX(Input!$K$7:$K1503,ROW()-1),0,1),
    C227 + IF(INDEX(Input!$L$7:$L1503,ROW()-1),1,0),
    "Y"
  )
)</f>
        <v/>
      </c>
      <c r="U227" s="6" t="str">
        <f t="array" ref="U227">IF(
  B227="",
  ,
  (C227 + IF(INDEX(Input!$L$7:$L1503,ROW()-1),1,0))
  - EDATE(
      B227 + IF(INDEX(Input!$K$7:$K1503,ROW()-1),0,1),
      12*S227
    )
)</f>
        <v/>
      </c>
      <c r="V227" s="6" t="str">
        <f t="shared" si="5"/>
        <v/>
      </c>
      <c r="W227" s="6" t="str">
        <f t="shared" si="6"/>
        <v/>
      </c>
    </row>
    <row r="228">
      <c r="A228" s="18"/>
      <c r="B228" s="18"/>
      <c r="C228" s="18"/>
      <c r="D228" s="18"/>
      <c r="E228" s="18"/>
      <c r="F228" s="18"/>
      <c r="G228" s="22"/>
      <c r="H228" s="18"/>
      <c r="I228" s="18">
        <v>0.0</v>
      </c>
      <c r="J228" s="18">
        <v>0.0</v>
      </c>
      <c r="K228" s="18"/>
      <c r="L228" s="18"/>
      <c r="M228" s="22" t="str">
        <f t="shared" si="1"/>
        <v/>
      </c>
      <c r="N228" s="18" t="str">
        <f>IF(A228="",,IF(ROW()=2, Input!$C$2 + I228, P227 + I228))</f>
        <v/>
      </c>
      <c r="O228" s="23" t="str">
        <f>IF(A228="",,
 IF(K228="Initial principal",
   Input!$C$2 * M228,
   N228 * M228
 )
)</f>
        <v/>
      </c>
      <c r="P228" s="18" t="str">
        <f t="shared" si="2"/>
        <v/>
      </c>
      <c r="Q228" s="18" t="str">
        <f t="shared" si="3"/>
        <v/>
      </c>
      <c r="R228" s="18" t="str">
        <f t="array" ref="R228">IF(
  B228="",
  ,
  SWITCH(
    Input!$C$4,
    "Actual/365 Fixed",
      YEARFRAC(
        B228 + IF(INDEX(Input!$K$7:$K1503,ROW()-1),0,1),
        C228 + IF(INDEX(Input!$L$7:$L1503,ROW()-1),1,0),
        3
      ),
    "Anniversary/365",
      DATEDIF(
        B228 + IF(INDEX(Input!$K$7:$K1503,ROW()-1),0,1),
        C228 + IF(INDEX(Input!$L$7:$L1503,ROW()-1),1,0),
        "Y"
      )
      +
      (
        (C228 + IF(INDEX(Input!$L$7:$L1503,ROW()-1),1,0))
        -
        EDATE(
          B228 + IF(INDEX(Input!$K$7:$K1503,ROW()-1),0,1),
          12*DATEDIF(
            B228 + IF(INDEX(Input!$K$7:$K1503,ROW()-1),0,1),
            C228 + IF(INDEX(Input!$L$7:$L1503,ROW()-1),1,0),
            "Y"
          )
        )
      ) / 365,
    "Actual/Actual",
      YEARFRAC(
        B228 + IF(INDEX(Input!$K$7:$K1503,ROW()-1),0,1),
        C228 + IF(INDEX(Input!$L$7:$L1503,ROW()-1),1,0),
        1
      ),
      YEARFRAC(
        B228 + IF(INDEX(Input!$K$7:$K1503,ROW()-1),0,1),
        C228 + IF(INDEX(Input!$L$7:$L1503,ROW()-1),1,0),
        3
      )
  )
)</f>
        <v/>
      </c>
      <c r="S228" s="22" t="str">
        <f t="shared" si="4"/>
        <v/>
      </c>
      <c r="T228" s="6" t="str">
        <f t="array" ref="T228">IF(
  B228="",
  ,
  DATEDIF(
    B228 + IF(INDEX(Input!$K$7:$K1503,ROW()-1),0,1),
    C228 + IF(INDEX(Input!$L$7:$L1503,ROW()-1),1,0),
    "Y"
  )
)</f>
        <v/>
      </c>
      <c r="U228" s="6" t="str">
        <f t="array" ref="U228">IF(
  B228="",
  ,
  (C228 + IF(INDEX(Input!$L$7:$L1503,ROW()-1),1,0))
  - EDATE(
      B228 + IF(INDEX(Input!$K$7:$K1503,ROW()-1),0,1),
      12*S228
    )
)</f>
        <v/>
      </c>
      <c r="V228" s="6" t="str">
        <f t="shared" si="5"/>
        <v/>
      </c>
      <c r="W228" s="6" t="str">
        <f t="shared" si="6"/>
        <v/>
      </c>
    </row>
    <row r="229">
      <c r="A229" s="18"/>
      <c r="B229" s="18"/>
      <c r="C229" s="18"/>
      <c r="D229" s="18"/>
      <c r="E229" s="18"/>
      <c r="F229" s="18"/>
      <c r="G229" s="22"/>
      <c r="H229" s="18"/>
      <c r="I229" s="18">
        <v>0.0</v>
      </c>
      <c r="J229" s="18">
        <v>0.0</v>
      </c>
      <c r="K229" s="18"/>
      <c r="L229" s="18"/>
      <c r="M229" s="22" t="str">
        <f t="shared" si="1"/>
        <v/>
      </c>
      <c r="N229" s="18" t="str">
        <f>IF(A229="",,IF(ROW()=2, Input!$C$2 + I229, P228 + I229))</f>
        <v/>
      </c>
      <c r="O229" s="23" t="str">
        <f>IF(A229="",,
 IF(K229="Initial principal",
   Input!$C$2 * M229,
   N229 * M229
 )
)</f>
        <v/>
      </c>
      <c r="P229" s="18" t="str">
        <f t="shared" si="2"/>
        <v/>
      </c>
      <c r="Q229" s="18" t="str">
        <f t="shared" si="3"/>
        <v/>
      </c>
      <c r="R229" s="18" t="str">
        <f t="array" ref="R229">IF(
  B229="",
  ,
  SWITCH(
    Input!$C$4,
    "Actual/365 Fixed",
      YEARFRAC(
        B229 + IF(INDEX(Input!$K$7:$K1503,ROW()-1),0,1),
        C229 + IF(INDEX(Input!$L$7:$L1503,ROW()-1),1,0),
        3
      ),
    "Anniversary/365",
      DATEDIF(
        B229 + IF(INDEX(Input!$K$7:$K1503,ROW()-1),0,1),
        C229 + IF(INDEX(Input!$L$7:$L1503,ROW()-1),1,0),
        "Y"
      )
      +
      (
        (C229 + IF(INDEX(Input!$L$7:$L1503,ROW()-1),1,0))
        -
        EDATE(
          B229 + IF(INDEX(Input!$K$7:$K1503,ROW()-1),0,1),
          12*DATEDIF(
            B229 + IF(INDEX(Input!$K$7:$K1503,ROW()-1),0,1),
            C229 + IF(INDEX(Input!$L$7:$L1503,ROW()-1),1,0),
            "Y"
          )
        )
      ) / 365,
    "Actual/Actual",
      YEARFRAC(
        B229 + IF(INDEX(Input!$K$7:$K1503,ROW()-1),0,1),
        C229 + IF(INDEX(Input!$L$7:$L1503,ROW()-1),1,0),
        1
      ),
      YEARFRAC(
        B229 + IF(INDEX(Input!$K$7:$K1503,ROW()-1),0,1),
        C229 + IF(INDEX(Input!$L$7:$L1503,ROW()-1),1,0),
        3
      )
  )
)</f>
        <v/>
      </c>
      <c r="S229" s="22" t="str">
        <f t="shared" si="4"/>
        <v/>
      </c>
      <c r="T229" s="6" t="str">
        <f t="array" ref="T229">IF(
  B229="",
  ,
  DATEDIF(
    B229 + IF(INDEX(Input!$K$7:$K1503,ROW()-1),0,1),
    C229 + IF(INDEX(Input!$L$7:$L1503,ROW()-1),1,0),
    "Y"
  )
)</f>
        <v/>
      </c>
      <c r="U229" s="6" t="str">
        <f t="array" ref="U229">IF(
  B229="",
  ,
  (C229 + IF(INDEX(Input!$L$7:$L1503,ROW()-1),1,0))
  - EDATE(
      B229 + IF(INDEX(Input!$K$7:$K1503,ROW()-1),0,1),
      12*S229
    )
)</f>
        <v/>
      </c>
      <c r="V229" s="6" t="str">
        <f t="shared" si="5"/>
        <v/>
      </c>
      <c r="W229" s="6" t="str">
        <f t="shared" si="6"/>
        <v/>
      </c>
    </row>
    <row r="230">
      <c r="A230" s="18"/>
      <c r="B230" s="18"/>
      <c r="C230" s="18"/>
      <c r="D230" s="18"/>
      <c r="E230" s="18"/>
      <c r="F230" s="18"/>
      <c r="G230" s="22"/>
      <c r="H230" s="18"/>
      <c r="I230" s="18">
        <v>0.0</v>
      </c>
      <c r="J230" s="18">
        <v>0.0</v>
      </c>
      <c r="K230" s="18"/>
      <c r="L230" s="18"/>
      <c r="M230" s="22" t="str">
        <f t="shared" si="1"/>
        <v/>
      </c>
      <c r="N230" s="18" t="str">
        <f>IF(A230="",,IF(ROW()=2, Input!$C$2 + I230, P229 + I230))</f>
        <v/>
      </c>
      <c r="O230" s="23" t="str">
        <f>IF(A230="",,
 IF(K230="Initial principal",
   Input!$C$2 * M230,
   N230 * M230
 )
)</f>
        <v/>
      </c>
      <c r="P230" s="18" t="str">
        <f t="shared" si="2"/>
        <v/>
      </c>
      <c r="Q230" s="18" t="str">
        <f t="shared" si="3"/>
        <v/>
      </c>
      <c r="R230" s="18" t="str">
        <f t="array" ref="R230">IF(
  B230="",
  ,
  SWITCH(
    Input!$C$4,
    "Actual/365 Fixed",
      YEARFRAC(
        B230 + IF(INDEX(Input!$K$7:$K1503,ROW()-1),0,1),
        C230 + IF(INDEX(Input!$L$7:$L1503,ROW()-1),1,0),
        3
      ),
    "Anniversary/365",
      DATEDIF(
        B230 + IF(INDEX(Input!$K$7:$K1503,ROW()-1),0,1),
        C230 + IF(INDEX(Input!$L$7:$L1503,ROW()-1),1,0),
        "Y"
      )
      +
      (
        (C230 + IF(INDEX(Input!$L$7:$L1503,ROW()-1),1,0))
        -
        EDATE(
          B230 + IF(INDEX(Input!$K$7:$K1503,ROW()-1),0,1),
          12*DATEDIF(
            B230 + IF(INDEX(Input!$K$7:$K1503,ROW()-1),0,1),
            C230 + IF(INDEX(Input!$L$7:$L1503,ROW()-1),1,0),
            "Y"
          )
        )
      ) / 365,
    "Actual/Actual",
      YEARFRAC(
        B230 + IF(INDEX(Input!$K$7:$K1503,ROW()-1),0,1),
        C230 + IF(INDEX(Input!$L$7:$L1503,ROW()-1),1,0),
        1
      ),
      YEARFRAC(
        B230 + IF(INDEX(Input!$K$7:$K1503,ROW()-1),0,1),
        C230 + IF(INDEX(Input!$L$7:$L1503,ROW()-1),1,0),
        3
      )
  )
)</f>
        <v/>
      </c>
      <c r="S230" s="22" t="str">
        <f t="shared" si="4"/>
        <v/>
      </c>
      <c r="T230" s="6" t="str">
        <f t="array" ref="T230">IF(
  B230="",
  ,
  DATEDIF(
    B230 + IF(INDEX(Input!$K$7:$K1503,ROW()-1),0,1),
    C230 + IF(INDEX(Input!$L$7:$L1503,ROW()-1),1,0),
    "Y"
  )
)</f>
        <v/>
      </c>
      <c r="U230" s="6" t="str">
        <f t="array" ref="U230">IF(
  B230="",
  ,
  (C230 + IF(INDEX(Input!$L$7:$L1503,ROW()-1),1,0))
  - EDATE(
      B230 + IF(INDEX(Input!$K$7:$K1503,ROW()-1),0,1),
      12*S230
    )
)</f>
        <v/>
      </c>
      <c r="V230" s="6" t="str">
        <f t="shared" si="5"/>
        <v/>
      </c>
      <c r="W230" s="6" t="str">
        <f t="shared" si="6"/>
        <v/>
      </c>
    </row>
    <row r="231">
      <c r="A231" s="18"/>
      <c r="B231" s="18"/>
      <c r="C231" s="18"/>
      <c r="D231" s="18"/>
      <c r="E231" s="18"/>
      <c r="F231" s="18"/>
      <c r="G231" s="22"/>
      <c r="H231" s="18"/>
      <c r="I231" s="18">
        <v>0.0</v>
      </c>
      <c r="J231" s="18">
        <v>0.0</v>
      </c>
      <c r="K231" s="18"/>
      <c r="L231" s="18"/>
      <c r="M231" s="22" t="str">
        <f t="shared" si="1"/>
        <v/>
      </c>
      <c r="N231" s="18" t="str">
        <f>IF(A231="",,IF(ROW()=2, Input!$C$2 + I231, P230 + I231))</f>
        <v/>
      </c>
      <c r="O231" s="23" t="str">
        <f>IF(A231="",,
 IF(K231="Initial principal",
   Input!$C$2 * M231,
   N231 * M231
 )
)</f>
        <v/>
      </c>
      <c r="P231" s="18" t="str">
        <f t="shared" si="2"/>
        <v/>
      </c>
      <c r="Q231" s="18" t="str">
        <f t="shared" si="3"/>
        <v/>
      </c>
      <c r="R231" s="18" t="str">
        <f t="array" ref="R231">IF(
  B231="",
  ,
  SWITCH(
    Input!$C$4,
    "Actual/365 Fixed",
      YEARFRAC(
        B231 + IF(INDEX(Input!$K$7:$K1503,ROW()-1),0,1),
        C231 + IF(INDEX(Input!$L$7:$L1503,ROW()-1),1,0),
        3
      ),
    "Anniversary/365",
      DATEDIF(
        B231 + IF(INDEX(Input!$K$7:$K1503,ROW()-1),0,1),
        C231 + IF(INDEX(Input!$L$7:$L1503,ROW()-1),1,0),
        "Y"
      )
      +
      (
        (C231 + IF(INDEX(Input!$L$7:$L1503,ROW()-1),1,0))
        -
        EDATE(
          B231 + IF(INDEX(Input!$K$7:$K1503,ROW()-1),0,1),
          12*DATEDIF(
            B231 + IF(INDEX(Input!$K$7:$K1503,ROW()-1),0,1),
            C231 + IF(INDEX(Input!$L$7:$L1503,ROW()-1),1,0),
            "Y"
          )
        )
      ) / 365,
    "Actual/Actual",
      YEARFRAC(
        B231 + IF(INDEX(Input!$K$7:$K1503,ROW()-1),0,1),
        C231 + IF(INDEX(Input!$L$7:$L1503,ROW()-1),1,0),
        1
      ),
      YEARFRAC(
        B231 + IF(INDEX(Input!$K$7:$K1503,ROW()-1),0,1),
        C231 + IF(INDEX(Input!$L$7:$L1503,ROW()-1),1,0),
        3
      )
  )
)</f>
        <v/>
      </c>
      <c r="S231" s="22" t="str">
        <f t="shared" si="4"/>
        <v/>
      </c>
      <c r="T231" s="6" t="str">
        <f t="array" ref="T231">IF(
  B231="",
  ,
  DATEDIF(
    B231 + IF(INDEX(Input!$K$7:$K1503,ROW()-1),0,1),
    C231 + IF(INDEX(Input!$L$7:$L1503,ROW()-1),1,0),
    "Y"
  )
)</f>
        <v/>
      </c>
      <c r="U231" s="6" t="str">
        <f t="array" ref="U231">IF(
  B231="",
  ,
  (C231 + IF(INDEX(Input!$L$7:$L1503,ROW()-1),1,0))
  - EDATE(
      B231 + IF(INDEX(Input!$K$7:$K1503,ROW()-1),0,1),
      12*S231
    )
)</f>
        <v/>
      </c>
      <c r="V231" s="6" t="str">
        <f t="shared" si="5"/>
        <v/>
      </c>
      <c r="W231" s="6" t="str">
        <f t="shared" si="6"/>
        <v/>
      </c>
    </row>
    <row r="232">
      <c r="A232" s="18"/>
      <c r="B232" s="18"/>
      <c r="C232" s="18"/>
      <c r="D232" s="18"/>
      <c r="E232" s="18"/>
      <c r="F232" s="18"/>
      <c r="G232" s="22"/>
      <c r="H232" s="18"/>
      <c r="I232" s="18">
        <v>0.0</v>
      </c>
      <c r="J232" s="18">
        <v>0.0</v>
      </c>
      <c r="K232" s="18"/>
      <c r="L232" s="18"/>
      <c r="M232" s="22" t="str">
        <f t="shared" si="1"/>
        <v/>
      </c>
      <c r="N232" s="18" t="str">
        <f>IF(A232="",,IF(ROW()=2, Input!$C$2 + I232, P231 + I232))</f>
        <v/>
      </c>
      <c r="O232" s="23" t="str">
        <f>IF(A232="",,
 IF(K232="Initial principal",
   Input!$C$2 * M232,
   N232 * M232
 )
)</f>
        <v/>
      </c>
      <c r="P232" s="18" t="str">
        <f t="shared" si="2"/>
        <v/>
      </c>
      <c r="Q232" s="18" t="str">
        <f t="shared" si="3"/>
        <v/>
      </c>
      <c r="R232" s="18" t="str">
        <f t="array" ref="R232">IF(
  B232="",
  ,
  SWITCH(
    Input!$C$4,
    "Actual/365 Fixed",
      YEARFRAC(
        B232 + IF(INDEX(Input!$K$7:$K1503,ROW()-1),0,1),
        C232 + IF(INDEX(Input!$L$7:$L1503,ROW()-1),1,0),
        3
      ),
    "Anniversary/365",
      DATEDIF(
        B232 + IF(INDEX(Input!$K$7:$K1503,ROW()-1),0,1),
        C232 + IF(INDEX(Input!$L$7:$L1503,ROW()-1),1,0),
        "Y"
      )
      +
      (
        (C232 + IF(INDEX(Input!$L$7:$L1503,ROW()-1),1,0))
        -
        EDATE(
          B232 + IF(INDEX(Input!$K$7:$K1503,ROW()-1),0,1),
          12*DATEDIF(
            B232 + IF(INDEX(Input!$K$7:$K1503,ROW()-1),0,1),
            C232 + IF(INDEX(Input!$L$7:$L1503,ROW()-1),1,0),
            "Y"
          )
        )
      ) / 365,
    "Actual/Actual",
      YEARFRAC(
        B232 + IF(INDEX(Input!$K$7:$K1503,ROW()-1),0,1),
        C232 + IF(INDEX(Input!$L$7:$L1503,ROW()-1),1,0),
        1
      ),
      YEARFRAC(
        B232 + IF(INDEX(Input!$K$7:$K1503,ROW()-1),0,1),
        C232 + IF(INDEX(Input!$L$7:$L1503,ROW()-1),1,0),
        3
      )
  )
)</f>
        <v/>
      </c>
      <c r="S232" s="22" t="str">
        <f t="shared" si="4"/>
        <v/>
      </c>
      <c r="T232" s="6" t="str">
        <f t="array" ref="T232">IF(
  B232="",
  ,
  DATEDIF(
    B232 + IF(INDEX(Input!$K$7:$K1503,ROW()-1),0,1),
    C232 + IF(INDEX(Input!$L$7:$L1503,ROW()-1),1,0),
    "Y"
  )
)</f>
        <v/>
      </c>
      <c r="U232" s="6" t="str">
        <f t="array" ref="U232">IF(
  B232="",
  ,
  (C232 + IF(INDEX(Input!$L$7:$L1503,ROW()-1),1,0))
  - EDATE(
      B232 + IF(INDEX(Input!$K$7:$K1503,ROW()-1),0,1),
      12*S232
    )
)</f>
        <v/>
      </c>
      <c r="V232" s="6" t="str">
        <f t="shared" si="5"/>
        <v/>
      </c>
      <c r="W232" s="6" t="str">
        <f t="shared" si="6"/>
        <v/>
      </c>
    </row>
    <row r="233">
      <c r="A233" s="18"/>
      <c r="B233" s="18"/>
      <c r="C233" s="18"/>
      <c r="D233" s="18"/>
      <c r="E233" s="18"/>
      <c r="F233" s="18"/>
      <c r="G233" s="22"/>
      <c r="H233" s="18"/>
      <c r="I233" s="18">
        <v>0.0</v>
      </c>
      <c r="J233" s="18">
        <v>0.0</v>
      </c>
      <c r="K233" s="18"/>
      <c r="L233" s="18"/>
      <c r="M233" s="22" t="str">
        <f t="shared" si="1"/>
        <v/>
      </c>
      <c r="N233" s="18" t="str">
        <f>IF(A233="",,IF(ROW()=2, Input!$C$2 + I233, P232 + I233))</f>
        <v/>
      </c>
      <c r="O233" s="23" t="str">
        <f>IF(A233="",,
 IF(K233="Initial principal",
   Input!$C$2 * M233,
   N233 * M233
 )
)</f>
        <v/>
      </c>
      <c r="P233" s="18" t="str">
        <f t="shared" si="2"/>
        <v/>
      </c>
      <c r="Q233" s="18" t="str">
        <f t="shared" si="3"/>
        <v/>
      </c>
      <c r="R233" s="18" t="str">
        <f t="array" ref="R233">IF(
  B233="",
  ,
  SWITCH(
    Input!$C$4,
    "Actual/365 Fixed",
      YEARFRAC(
        B233 + IF(INDEX(Input!$K$7:$K1503,ROW()-1),0,1),
        C233 + IF(INDEX(Input!$L$7:$L1503,ROW()-1),1,0),
        3
      ),
    "Anniversary/365",
      DATEDIF(
        B233 + IF(INDEX(Input!$K$7:$K1503,ROW()-1),0,1),
        C233 + IF(INDEX(Input!$L$7:$L1503,ROW()-1),1,0),
        "Y"
      )
      +
      (
        (C233 + IF(INDEX(Input!$L$7:$L1503,ROW()-1),1,0))
        -
        EDATE(
          B233 + IF(INDEX(Input!$K$7:$K1503,ROW()-1),0,1),
          12*DATEDIF(
            B233 + IF(INDEX(Input!$K$7:$K1503,ROW()-1),0,1),
            C233 + IF(INDEX(Input!$L$7:$L1503,ROW()-1),1,0),
            "Y"
          )
        )
      ) / 365,
    "Actual/Actual",
      YEARFRAC(
        B233 + IF(INDEX(Input!$K$7:$K1503,ROW()-1),0,1),
        C233 + IF(INDEX(Input!$L$7:$L1503,ROW()-1),1,0),
        1
      ),
      YEARFRAC(
        B233 + IF(INDEX(Input!$K$7:$K1503,ROW()-1),0,1),
        C233 + IF(INDEX(Input!$L$7:$L1503,ROW()-1),1,0),
        3
      )
  )
)</f>
        <v/>
      </c>
      <c r="S233" s="22" t="str">
        <f t="shared" si="4"/>
        <v/>
      </c>
      <c r="T233" s="6" t="str">
        <f t="array" ref="T233">IF(
  B233="",
  ,
  DATEDIF(
    B233 + IF(INDEX(Input!$K$7:$K1503,ROW()-1),0,1),
    C233 + IF(INDEX(Input!$L$7:$L1503,ROW()-1),1,0),
    "Y"
  )
)</f>
        <v/>
      </c>
      <c r="U233" s="6" t="str">
        <f t="array" ref="U233">IF(
  B233="",
  ,
  (C233 + IF(INDEX(Input!$L$7:$L1503,ROW()-1),1,0))
  - EDATE(
      B233 + IF(INDEX(Input!$K$7:$K1503,ROW()-1),0,1),
      12*S233
    )
)</f>
        <v/>
      </c>
      <c r="V233" s="6" t="str">
        <f t="shared" si="5"/>
        <v/>
      </c>
      <c r="W233" s="6" t="str">
        <f t="shared" si="6"/>
        <v/>
      </c>
    </row>
    <row r="234">
      <c r="A234" s="18"/>
      <c r="B234" s="18"/>
      <c r="C234" s="18"/>
      <c r="D234" s="18"/>
      <c r="E234" s="18"/>
      <c r="F234" s="18"/>
      <c r="G234" s="22"/>
      <c r="H234" s="18"/>
      <c r="I234" s="18">
        <v>0.0</v>
      </c>
      <c r="J234" s="18">
        <v>0.0</v>
      </c>
      <c r="K234" s="18"/>
      <c r="L234" s="18"/>
      <c r="M234" s="22" t="str">
        <f t="shared" si="1"/>
        <v/>
      </c>
      <c r="N234" s="18" t="str">
        <f>IF(A234="",,IF(ROW()=2, Input!$C$2 + I234, P233 + I234))</f>
        <v/>
      </c>
      <c r="O234" s="23" t="str">
        <f>IF(A234="",,
 IF(K234="Initial principal",
   Input!$C$2 * M234,
   N234 * M234
 )
)</f>
        <v/>
      </c>
      <c r="P234" s="18" t="str">
        <f t="shared" si="2"/>
        <v/>
      </c>
      <c r="Q234" s="18" t="str">
        <f t="shared" si="3"/>
        <v/>
      </c>
      <c r="R234" s="18" t="str">
        <f t="array" ref="R234">IF(
  B234="",
  ,
  SWITCH(
    Input!$C$4,
    "Actual/365 Fixed",
      YEARFRAC(
        B234 + IF(INDEX(Input!$K$7:$K1503,ROW()-1),0,1),
        C234 + IF(INDEX(Input!$L$7:$L1503,ROW()-1),1,0),
        3
      ),
    "Anniversary/365",
      DATEDIF(
        B234 + IF(INDEX(Input!$K$7:$K1503,ROW()-1),0,1),
        C234 + IF(INDEX(Input!$L$7:$L1503,ROW()-1),1,0),
        "Y"
      )
      +
      (
        (C234 + IF(INDEX(Input!$L$7:$L1503,ROW()-1),1,0))
        -
        EDATE(
          B234 + IF(INDEX(Input!$K$7:$K1503,ROW()-1),0,1),
          12*DATEDIF(
            B234 + IF(INDEX(Input!$K$7:$K1503,ROW()-1),0,1),
            C234 + IF(INDEX(Input!$L$7:$L1503,ROW()-1),1,0),
            "Y"
          )
        )
      ) / 365,
    "Actual/Actual",
      YEARFRAC(
        B234 + IF(INDEX(Input!$K$7:$K1503,ROW()-1),0,1),
        C234 + IF(INDEX(Input!$L$7:$L1503,ROW()-1),1,0),
        1
      ),
      YEARFRAC(
        B234 + IF(INDEX(Input!$K$7:$K1503,ROW()-1),0,1),
        C234 + IF(INDEX(Input!$L$7:$L1503,ROW()-1),1,0),
        3
      )
  )
)</f>
        <v/>
      </c>
      <c r="S234" s="22" t="str">
        <f t="shared" si="4"/>
        <v/>
      </c>
      <c r="T234" s="6" t="str">
        <f t="array" ref="T234">IF(
  B234="",
  ,
  DATEDIF(
    B234 + IF(INDEX(Input!$K$7:$K1503,ROW()-1),0,1),
    C234 + IF(INDEX(Input!$L$7:$L1503,ROW()-1),1,0),
    "Y"
  )
)</f>
        <v/>
      </c>
      <c r="U234" s="6" t="str">
        <f t="array" ref="U234">IF(
  B234="",
  ,
  (C234 + IF(INDEX(Input!$L$7:$L1503,ROW()-1),1,0))
  - EDATE(
      B234 + IF(INDEX(Input!$K$7:$K1503,ROW()-1),0,1),
      12*S234
    )
)</f>
        <v/>
      </c>
      <c r="V234" s="6" t="str">
        <f t="shared" si="5"/>
        <v/>
      </c>
      <c r="W234" s="6" t="str">
        <f t="shared" si="6"/>
        <v/>
      </c>
    </row>
    <row r="235">
      <c r="A235" s="18"/>
      <c r="B235" s="18"/>
      <c r="C235" s="18"/>
      <c r="D235" s="18"/>
      <c r="E235" s="18"/>
      <c r="F235" s="18"/>
      <c r="G235" s="22"/>
      <c r="H235" s="18"/>
      <c r="I235" s="18">
        <v>0.0</v>
      </c>
      <c r="J235" s="18">
        <v>0.0</v>
      </c>
      <c r="K235" s="18"/>
      <c r="L235" s="18"/>
      <c r="M235" s="22" t="str">
        <f t="shared" si="1"/>
        <v/>
      </c>
      <c r="N235" s="18" t="str">
        <f>IF(A235="",,IF(ROW()=2, Input!$C$2 + I235, P234 + I235))</f>
        <v/>
      </c>
      <c r="O235" s="23" t="str">
        <f>IF(A235="",,
 IF(K235="Initial principal",
   Input!$C$2 * M235,
   N235 * M235
 )
)</f>
        <v/>
      </c>
      <c r="P235" s="18" t="str">
        <f t="shared" si="2"/>
        <v/>
      </c>
      <c r="Q235" s="18" t="str">
        <f t="shared" si="3"/>
        <v/>
      </c>
      <c r="R235" s="18" t="str">
        <f t="array" ref="R235">IF(
  B235="",
  ,
  SWITCH(
    Input!$C$4,
    "Actual/365 Fixed",
      YEARFRAC(
        B235 + IF(INDEX(Input!$K$7:$K1503,ROW()-1),0,1),
        C235 + IF(INDEX(Input!$L$7:$L1503,ROW()-1),1,0),
        3
      ),
    "Anniversary/365",
      DATEDIF(
        B235 + IF(INDEX(Input!$K$7:$K1503,ROW()-1),0,1),
        C235 + IF(INDEX(Input!$L$7:$L1503,ROW()-1),1,0),
        "Y"
      )
      +
      (
        (C235 + IF(INDEX(Input!$L$7:$L1503,ROW()-1),1,0))
        -
        EDATE(
          B235 + IF(INDEX(Input!$K$7:$K1503,ROW()-1),0,1),
          12*DATEDIF(
            B235 + IF(INDEX(Input!$K$7:$K1503,ROW()-1),0,1),
            C235 + IF(INDEX(Input!$L$7:$L1503,ROW()-1),1,0),
            "Y"
          )
        )
      ) / 365,
    "Actual/Actual",
      YEARFRAC(
        B235 + IF(INDEX(Input!$K$7:$K1503,ROW()-1),0,1),
        C235 + IF(INDEX(Input!$L$7:$L1503,ROW()-1),1,0),
        1
      ),
      YEARFRAC(
        B235 + IF(INDEX(Input!$K$7:$K1503,ROW()-1),0,1),
        C235 + IF(INDEX(Input!$L$7:$L1503,ROW()-1),1,0),
        3
      )
  )
)</f>
        <v/>
      </c>
      <c r="S235" s="22" t="str">
        <f t="shared" si="4"/>
        <v/>
      </c>
      <c r="T235" s="6" t="str">
        <f t="array" ref="T235">IF(
  B235="",
  ,
  DATEDIF(
    B235 + IF(INDEX(Input!$K$7:$K1503,ROW()-1),0,1),
    C235 + IF(INDEX(Input!$L$7:$L1503,ROW()-1),1,0),
    "Y"
  )
)</f>
        <v/>
      </c>
      <c r="U235" s="6" t="str">
        <f t="array" ref="U235">IF(
  B235="",
  ,
  (C235 + IF(INDEX(Input!$L$7:$L1503,ROW()-1),1,0))
  - EDATE(
      B235 + IF(INDEX(Input!$K$7:$K1503,ROW()-1),0,1),
      12*S235
    )
)</f>
        <v/>
      </c>
      <c r="V235" s="6" t="str">
        <f t="shared" si="5"/>
        <v/>
      </c>
      <c r="W235" s="6" t="str">
        <f t="shared" si="6"/>
        <v/>
      </c>
    </row>
    <row r="236">
      <c r="A236" s="18"/>
      <c r="B236" s="18"/>
      <c r="C236" s="18"/>
      <c r="D236" s="18"/>
      <c r="E236" s="18"/>
      <c r="F236" s="18"/>
      <c r="G236" s="22"/>
      <c r="H236" s="18"/>
      <c r="I236" s="18">
        <v>0.0</v>
      </c>
      <c r="J236" s="18">
        <v>0.0</v>
      </c>
      <c r="K236" s="18"/>
      <c r="L236" s="18"/>
      <c r="M236" s="22" t="str">
        <f t="shared" si="1"/>
        <v/>
      </c>
      <c r="N236" s="18" t="str">
        <f>IF(A236="",,IF(ROW()=2, Input!$C$2 + I236, P235 + I236))</f>
        <v/>
      </c>
      <c r="O236" s="23" t="str">
        <f>IF(A236="",,
 IF(K236="Initial principal",
   Input!$C$2 * M236,
   N236 * M236
 )
)</f>
        <v/>
      </c>
      <c r="P236" s="18" t="str">
        <f t="shared" si="2"/>
        <v/>
      </c>
      <c r="Q236" s="18" t="str">
        <f t="shared" si="3"/>
        <v/>
      </c>
      <c r="R236" s="18" t="str">
        <f t="array" ref="R236">IF(
  B236="",
  ,
  SWITCH(
    Input!$C$4,
    "Actual/365 Fixed",
      YEARFRAC(
        B236 + IF(INDEX(Input!$K$7:$K1503,ROW()-1),0,1),
        C236 + IF(INDEX(Input!$L$7:$L1503,ROW()-1),1,0),
        3
      ),
    "Anniversary/365",
      DATEDIF(
        B236 + IF(INDEX(Input!$K$7:$K1503,ROW()-1),0,1),
        C236 + IF(INDEX(Input!$L$7:$L1503,ROW()-1),1,0),
        "Y"
      )
      +
      (
        (C236 + IF(INDEX(Input!$L$7:$L1503,ROW()-1),1,0))
        -
        EDATE(
          B236 + IF(INDEX(Input!$K$7:$K1503,ROW()-1),0,1),
          12*DATEDIF(
            B236 + IF(INDEX(Input!$K$7:$K1503,ROW()-1),0,1),
            C236 + IF(INDEX(Input!$L$7:$L1503,ROW()-1),1,0),
            "Y"
          )
        )
      ) / 365,
    "Actual/Actual",
      YEARFRAC(
        B236 + IF(INDEX(Input!$K$7:$K1503,ROW()-1),0,1),
        C236 + IF(INDEX(Input!$L$7:$L1503,ROW()-1),1,0),
        1
      ),
      YEARFRAC(
        B236 + IF(INDEX(Input!$K$7:$K1503,ROW()-1),0,1),
        C236 + IF(INDEX(Input!$L$7:$L1503,ROW()-1),1,0),
        3
      )
  )
)</f>
        <v/>
      </c>
      <c r="S236" s="22" t="str">
        <f t="shared" si="4"/>
        <v/>
      </c>
      <c r="T236" s="6" t="str">
        <f t="array" ref="T236">IF(
  B236="",
  ,
  DATEDIF(
    B236 + IF(INDEX(Input!$K$7:$K1503,ROW()-1),0,1),
    C236 + IF(INDEX(Input!$L$7:$L1503,ROW()-1),1,0),
    "Y"
  )
)</f>
        <v/>
      </c>
      <c r="U236" s="6" t="str">
        <f t="array" ref="U236">IF(
  B236="",
  ,
  (C236 + IF(INDEX(Input!$L$7:$L1503,ROW()-1),1,0))
  - EDATE(
      B236 + IF(INDEX(Input!$K$7:$K1503,ROW()-1),0,1),
      12*S236
    )
)</f>
        <v/>
      </c>
      <c r="V236" s="6" t="str">
        <f t="shared" si="5"/>
        <v/>
      </c>
      <c r="W236" s="6" t="str">
        <f t="shared" si="6"/>
        <v/>
      </c>
    </row>
    <row r="237">
      <c r="A237" s="18"/>
      <c r="B237" s="18"/>
      <c r="C237" s="18"/>
      <c r="D237" s="18"/>
      <c r="E237" s="18"/>
      <c r="F237" s="18"/>
      <c r="G237" s="22"/>
      <c r="H237" s="18"/>
      <c r="I237" s="18">
        <v>0.0</v>
      </c>
      <c r="J237" s="18">
        <v>0.0</v>
      </c>
      <c r="K237" s="18"/>
      <c r="L237" s="18"/>
      <c r="M237" s="22" t="str">
        <f t="shared" si="1"/>
        <v/>
      </c>
      <c r="N237" s="18" t="str">
        <f>IF(A237="",,IF(ROW()=2, Input!$C$2 + I237, P236 + I237))</f>
        <v/>
      </c>
      <c r="O237" s="23" t="str">
        <f>IF(A237="",,
 IF(K237="Initial principal",
   Input!$C$2 * M237,
   N237 * M237
 )
)</f>
        <v/>
      </c>
      <c r="P237" s="18" t="str">
        <f t="shared" si="2"/>
        <v/>
      </c>
      <c r="Q237" s="18" t="str">
        <f t="shared" si="3"/>
        <v/>
      </c>
      <c r="R237" s="18" t="str">
        <f t="array" ref="R237">IF(
  B237="",
  ,
  SWITCH(
    Input!$C$4,
    "Actual/365 Fixed",
      YEARFRAC(
        B237 + IF(INDEX(Input!$K$7:$K1503,ROW()-1),0,1),
        C237 + IF(INDEX(Input!$L$7:$L1503,ROW()-1),1,0),
        3
      ),
    "Anniversary/365",
      DATEDIF(
        B237 + IF(INDEX(Input!$K$7:$K1503,ROW()-1),0,1),
        C237 + IF(INDEX(Input!$L$7:$L1503,ROW()-1),1,0),
        "Y"
      )
      +
      (
        (C237 + IF(INDEX(Input!$L$7:$L1503,ROW()-1),1,0))
        -
        EDATE(
          B237 + IF(INDEX(Input!$K$7:$K1503,ROW()-1),0,1),
          12*DATEDIF(
            B237 + IF(INDEX(Input!$K$7:$K1503,ROW()-1),0,1),
            C237 + IF(INDEX(Input!$L$7:$L1503,ROW()-1),1,0),
            "Y"
          )
        )
      ) / 365,
    "Actual/Actual",
      YEARFRAC(
        B237 + IF(INDEX(Input!$K$7:$K1503,ROW()-1),0,1),
        C237 + IF(INDEX(Input!$L$7:$L1503,ROW()-1),1,0),
        1
      ),
      YEARFRAC(
        B237 + IF(INDEX(Input!$K$7:$K1503,ROW()-1),0,1),
        C237 + IF(INDEX(Input!$L$7:$L1503,ROW()-1),1,0),
        3
      )
  )
)</f>
        <v/>
      </c>
      <c r="S237" s="22" t="str">
        <f t="shared" si="4"/>
        <v/>
      </c>
      <c r="T237" s="6" t="str">
        <f t="array" ref="T237">IF(
  B237="",
  ,
  DATEDIF(
    B237 + IF(INDEX(Input!$K$7:$K1503,ROW()-1),0,1),
    C237 + IF(INDEX(Input!$L$7:$L1503,ROW()-1),1,0),
    "Y"
  )
)</f>
        <v/>
      </c>
      <c r="U237" s="6" t="str">
        <f t="array" ref="U237">IF(
  B237="",
  ,
  (C237 + IF(INDEX(Input!$L$7:$L1503,ROW()-1),1,0))
  - EDATE(
      B237 + IF(INDEX(Input!$K$7:$K1503,ROW()-1),0,1),
      12*S237
    )
)</f>
        <v/>
      </c>
      <c r="V237" s="6" t="str">
        <f t="shared" si="5"/>
        <v/>
      </c>
      <c r="W237" s="6" t="str">
        <f t="shared" si="6"/>
        <v/>
      </c>
    </row>
    <row r="238">
      <c r="A238" s="18"/>
      <c r="B238" s="18"/>
      <c r="C238" s="18"/>
      <c r="D238" s="18"/>
      <c r="E238" s="18"/>
      <c r="F238" s="18"/>
      <c r="G238" s="22"/>
      <c r="H238" s="18"/>
      <c r="I238" s="18">
        <v>0.0</v>
      </c>
      <c r="J238" s="18">
        <v>0.0</v>
      </c>
      <c r="K238" s="18"/>
      <c r="L238" s="18"/>
      <c r="M238" s="22" t="str">
        <f t="shared" si="1"/>
        <v/>
      </c>
      <c r="N238" s="18" t="str">
        <f>IF(A238="",,IF(ROW()=2, Input!$C$2 + I238, P237 + I238))</f>
        <v/>
      </c>
      <c r="O238" s="23" t="str">
        <f>IF(A238="",,
 IF(K238="Initial principal",
   Input!$C$2 * M238,
   N238 * M238
 )
)</f>
        <v/>
      </c>
      <c r="P238" s="18" t="str">
        <f t="shared" si="2"/>
        <v/>
      </c>
      <c r="Q238" s="18" t="str">
        <f t="shared" si="3"/>
        <v/>
      </c>
      <c r="R238" s="18" t="str">
        <f t="array" ref="R238">IF(
  B238="",
  ,
  SWITCH(
    Input!$C$4,
    "Actual/365 Fixed",
      YEARFRAC(
        B238 + IF(INDEX(Input!$K$7:$K1503,ROW()-1),0,1),
        C238 + IF(INDEX(Input!$L$7:$L1503,ROW()-1),1,0),
        3
      ),
    "Anniversary/365",
      DATEDIF(
        B238 + IF(INDEX(Input!$K$7:$K1503,ROW()-1),0,1),
        C238 + IF(INDEX(Input!$L$7:$L1503,ROW()-1),1,0),
        "Y"
      )
      +
      (
        (C238 + IF(INDEX(Input!$L$7:$L1503,ROW()-1),1,0))
        -
        EDATE(
          B238 + IF(INDEX(Input!$K$7:$K1503,ROW()-1),0,1),
          12*DATEDIF(
            B238 + IF(INDEX(Input!$K$7:$K1503,ROW()-1),0,1),
            C238 + IF(INDEX(Input!$L$7:$L1503,ROW()-1),1,0),
            "Y"
          )
        )
      ) / 365,
    "Actual/Actual",
      YEARFRAC(
        B238 + IF(INDEX(Input!$K$7:$K1503,ROW()-1),0,1),
        C238 + IF(INDEX(Input!$L$7:$L1503,ROW()-1),1,0),
        1
      ),
      YEARFRAC(
        B238 + IF(INDEX(Input!$K$7:$K1503,ROW()-1),0,1),
        C238 + IF(INDEX(Input!$L$7:$L1503,ROW()-1),1,0),
        3
      )
  )
)</f>
        <v/>
      </c>
      <c r="S238" s="22" t="str">
        <f t="shared" si="4"/>
        <v/>
      </c>
      <c r="T238" s="6" t="str">
        <f t="array" ref="T238">IF(
  B238="",
  ,
  DATEDIF(
    B238 + IF(INDEX(Input!$K$7:$K1503,ROW()-1),0,1),
    C238 + IF(INDEX(Input!$L$7:$L1503,ROW()-1),1,0),
    "Y"
  )
)</f>
        <v/>
      </c>
      <c r="U238" s="6" t="str">
        <f t="array" ref="U238">IF(
  B238="",
  ,
  (C238 + IF(INDEX(Input!$L$7:$L1503,ROW()-1),1,0))
  - EDATE(
      B238 + IF(INDEX(Input!$K$7:$K1503,ROW()-1),0,1),
      12*S238
    )
)</f>
        <v/>
      </c>
      <c r="V238" s="6" t="str">
        <f t="shared" si="5"/>
        <v/>
      </c>
      <c r="W238" s="6" t="str">
        <f t="shared" si="6"/>
        <v/>
      </c>
    </row>
    <row r="239">
      <c r="A239" s="18"/>
      <c r="B239" s="18"/>
      <c r="C239" s="18"/>
      <c r="D239" s="18"/>
      <c r="E239" s="18"/>
      <c r="F239" s="18"/>
      <c r="G239" s="22"/>
      <c r="H239" s="18"/>
      <c r="I239" s="18">
        <v>0.0</v>
      </c>
      <c r="J239" s="18">
        <v>0.0</v>
      </c>
      <c r="K239" s="18"/>
      <c r="L239" s="18"/>
      <c r="M239" s="22" t="str">
        <f t="shared" si="1"/>
        <v/>
      </c>
      <c r="N239" s="18" t="str">
        <f>IF(A239="",,IF(ROW()=2, Input!$C$2 + I239, P238 + I239))</f>
        <v/>
      </c>
      <c r="O239" s="23" t="str">
        <f>IF(A239="",,
 IF(K239="Initial principal",
   Input!$C$2 * M239,
   N239 * M239
 )
)</f>
        <v/>
      </c>
      <c r="P239" s="18" t="str">
        <f t="shared" si="2"/>
        <v/>
      </c>
      <c r="Q239" s="18" t="str">
        <f t="shared" si="3"/>
        <v/>
      </c>
      <c r="R239" s="18" t="str">
        <f t="array" ref="R239">IF(
  B239="",
  ,
  SWITCH(
    Input!$C$4,
    "Actual/365 Fixed",
      YEARFRAC(
        B239 + IF(INDEX(Input!$K$7:$K1503,ROW()-1),0,1),
        C239 + IF(INDEX(Input!$L$7:$L1503,ROW()-1),1,0),
        3
      ),
    "Anniversary/365",
      DATEDIF(
        B239 + IF(INDEX(Input!$K$7:$K1503,ROW()-1),0,1),
        C239 + IF(INDEX(Input!$L$7:$L1503,ROW()-1),1,0),
        "Y"
      )
      +
      (
        (C239 + IF(INDEX(Input!$L$7:$L1503,ROW()-1),1,0))
        -
        EDATE(
          B239 + IF(INDEX(Input!$K$7:$K1503,ROW()-1),0,1),
          12*DATEDIF(
            B239 + IF(INDEX(Input!$K$7:$K1503,ROW()-1),0,1),
            C239 + IF(INDEX(Input!$L$7:$L1503,ROW()-1),1,0),
            "Y"
          )
        )
      ) / 365,
    "Actual/Actual",
      YEARFRAC(
        B239 + IF(INDEX(Input!$K$7:$K1503,ROW()-1),0,1),
        C239 + IF(INDEX(Input!$L$7:$L1503,ROW()-1),1,0),
        1
      ),
      YEARFRAC(
        B239 + IF(INDEX(Input!$K$7:$K1503,ROW()-1),0,1),
        C239 + IF(INDEX(Input!$L$7:$L1503,ROW()-1),1,0),
        3
      )
  )
)</f>
        <v/>
      </c>
      <c r="S239" s="22" t="str">
        <f t="shared" si="4"/>
        <v/>
      </c>
      <c r="T239" s="6" t="str">
        <f t="array" ref="T239">IF(
  B239="",
  ,
  DATEDIF(
    B239 + IF(INDEX(Input!$K$7:$K1503,ROW()-1),0,1),
    C239 + IF(INDEX(Input!$L$7:$L1503,ROW()-1),1,0),
    "Y"
  )
)</f>
        <v/>
      </c>
      <c r="U239" s="6" t="str">
        <f t="array" ref="U239">IF(
  B239="",
  ,
  (C239 + IF(INDEX(Input!$L$7:$L1503,ROW()-1),1,0))
  - EDATE(
      B239 + IF(INDEX(Input!$K$7:$K1503,ROW()-1),0,1),
      12*S239
    )
)</f>
        <v/>
      </c>
      <c r="V239" s="6" t="str">
        <f t="shared" si="5"/>
        <v/>
      </c>
      <c r="W239" s="6" t="str">
        <f t="shared" si="6"/>
        <v/>
      </c>
    </row>
    <row r="240">
      <c r="A240" s="18"/>
      <c r="B240" s="18"/>
      <c r="C240" s="18"/>
      <c r="D240" s="18"/>
      <c r="E240" s="18"/>
      <c r="F240" s="18"/>
      <c r="G240" s="22"/>
      <c r="H240" s="18"/>
      <c r="I240" s="18">
        <v>0.0</v>
      </c>
      <c r="J240" s="18">
        <v>0.0</v>
      </c>
      <c r="K240" s="18"/>
      <c r="L240" s="18"/>
      <c r="M240" s="22" t="str">
        <f t="shared" si="1"/>
        <v/>
      </c>
      <c r="N240" s="18" t="str">
        <f>IF(A240="",,IF(ROW()=2, Input!$C$2 + I240, P239 + I240))</f>
        <v/>
      </c>
      <c r="O240" s="23" t="str">
        <f>IF(A240="",,
 IF(K240="Initial principal",
   Input!$C$2 * M240,
   N240 * M240
 )
)</f>
        <v/>
      </c>
      <c r="P240" s="18" t="str">
        <f t="shared" si="2"/>
        <v/>
      </c>
      <c r="Q240" s="18" t="str">
        <f t="shared" si="3"/>
        <v/>
      </c>
      <c r="R240" s="18" t="str">
        <f t="array" ref="R240">IF(
  B240="",
  ,
  SWITCH(
    Input!$C$4,
    "Actual/365 Fixed",
      YEARFRAC(
        B240 + IF(INDEX(Input!$K$7:$K1503,ROW()-1),0,1),
        C240 + IF(INDEX(Input!$L$7:$L1503,ROW()-1),1,0),
        3
      ),
    "Anniversary/365",
      DATEDIF(
        B240 + IF(INDEX(Input!$K$7:$K1503,ROW()-1),0,1),
        C240 + IF(INDEX(Input!$L$7:$L1503,ROW()-1),1,0),
        "Y"
      )
      +
      (
        (C240 + IF(INDEX(Input!$L$7:$L1503,ROW()-1),1,0))
        -
        EDATE(
          B240 + IF(INDEX(Input!$K$7:$K1503,ROW()-1),0,1),
          12*DATEDIF(
            B240 + IF(INDEX(Input!$K$7:$K1503,ROW()-1),0,1),
            C240 + IF(INDEX(Input!$L$7:$L1503,ROW()-1),1,0),
            "Y"
          )
        )
      ) / 365,
    "Actual/Actual",
      YEARFRAC(
        B240 + IF(INDEX(Input!$K$7:$K1503,ROW()-1),0,1),
        C240 + IF(INDEX(Input!$L$7:$L1503,ROW()-1),1,0),
        1
      ),
      YEARFRAC(
        B240 + IF(INDEX(Input!$K$7:$K1503,ROW()-1),0,1),
        C240 + IF(INDEX(Input!$L$7:$L1503,ROW()-1),1,0),
        3
      )
  )
)</f>
        <v/>
      </c>
      <c r="S240" s="22" t="str">
        <f t="shared" si="4"/>
        <v/>
      </c>
      <c r="T240" s="6" t="str">
        <f t="array" ref="T240">IF(
  B240="",
  ,
  DATEDIF(
    B240 + IF(INDEX(Input!$K$7:$K1503,ROW()-1),0,1),
    C240 + IF(INDEX(Input!$L$7:$L1503,ROW()-1),1,0),
    "Y"
  )
)</f>
        <v/>
      </c>
      <c r="U240" s="6" t="str">
        <f t="array" ref="U240">IF(
  B240="",
  ,
  (C240 + IF(INDEX(Input!$L$7:$L1503,ROW()-1),1,0))
  - EDATE(
      B240 + IF(INDEX(Input!$K$7:$K1503,ROW()-1),0,1),
      12*S240
    )
)</f>
        <v/>
      </c>
      <c r="V240" s="6" t="str">
        <f t="shared" si="5"/>
        <v/>
      </c>
      <c r="W240" s="6" t="str">
        <f t="shared" si="6"/>
        <v/>
      </c>
    </row>
    <row r="241">
      <c r="A241" s="18"/>
      <c r="B241" s="18"/>
      <c r="C241" s="18"/>
      <c r="D241" s="18"/>
      <c r="E241" s="18"/>
      <c r="F241" s="18"/>
      <c r="G241" s="22"/>
      <c r="H241" s="18"/>
      <c r="I241" s="18">
        <v>0.0</v>
      </c>
      <c r="J241" s="18">
        <v>0.0</v>
      </c>
      <c r="K241" s="18"/>
      <c r="L241" s="18"/>
      <c r="M241" s="22" t="str">
        <f t="shared" si="1"/>
        <v/>
      </c>
      <c r="N241" s="18" t="str">
        <f>IF(A241="",,IF(ROW()=2, Input!$C$2 + I241, P240 + I241))</f>
        <v/>
      </c>
      <c r="O241" s="23" t="str">
        <f>IF(A241="",,
 IF(K241="Initial principal",
   Input!$C$2 * M241,
   N241 * M241
 )
)</f>
        <v/>
      </c>
      <c r="P241" s="18" t="str">
        <f t="shared" si="2"/>
        <v/>
      </c>
      <c r="Q241" s="18" t="str">
        <f t="shared" si="3"/>
        <v/>
      </c>
      <c r="R241" s="18" t="str">
        <f t="array" ref="R241">IF(
  B241="",
  ,
  SWITCH(
    Input!$C$4,
    "Actual/365 Fixed",
      YEARFRAC(
        B241 + IF(INDEX(Input!$K$7:$K1503,ROW()-1),0,1),
        C241 + IF(INDEX(Input!$L$7:$L1503,ROW()-1),1,0),
        3
      ),
    "Anniversary/365",
      DATEDIF(
        B241 + IF(INDEX(Input!$K$7:$K1503,ROW()-1),0,1),
        C241 + IF(INDEX(Input!$L$7:$L1503,ROW()-1),1,0),
        "Y"
      )
      +
      (
        (C241 + IF(INDEX(Input!$L$7:$L1503,ROW()-1),1,0))
        -
        EDATE(
          B241 + IF(INDEX(Input!$K$7:$K1503,ROW()-1),0,1),
          12*DATEDIF(
            B241 + IF(INDEX(Input!$K$7:$K1503,ROW()-1),0,1),
            C241 + IF(INDEX(Input!$L$7:$L1503,ROW()-1),1,0),
            "Y"
          )
        )
      ) / 365,
    "Actual/Actual",
      YEARFRAC(
        B241 + IF(INDEX(Input!$K$7:$K1503,ROW()-1),0,1),
        C241 + IF(INDEX(Input!$L$7:$L1503,ROW()-1),1,0),
        1
      ),
      YEARFRAC(
        B241 + IF(INDEX(Input!$K$7:$K1503,ROW()-1),0,1),
        C241 + IF(INDEX(Input!$L$7:$L1503,ROW()-1),1,0),
        3
      )
  )
)</f>
        <v/>
      </c>
      <c r="S241" s="22" t="str">
        <f t="shared" si="4"/>
        <v/>
      </c>
      <c r="T241" s="6" t="str">
        <f t="array" ref="T241">IF(
  B241="",
  ,
  DATEDIF(
    B241 + IF(INDEX(Input!$K$7:$K1503,ROW()-1),0,1),
    C241 + IF(INDEX(Input!$L$7:$L1503,ROW()-1),1,0),
    "Y"
  )
)</f>
        <v/>
      </c>
      <c r="U241" s="6" t="str">
        <f t="array" ref="U241">IF(
  B241="",
  ,
  (C241 + IF(INDEX(Input!$L$7:$L1503,ROW()-1),1,0))
  - EDATE(
      B241 + IF(INDEX(Input!$K$7:$K1503,ROW()-1),0,1),
      12*S241
    )
)</f>
        <v/>
      </c>
      <c r="V241" s="6" t="str">
        <f t="shared" si="5"/>
        <v/>
      </c>
      <c r="W241" s="6" t="str">
        <f t="shared" si="6"/>
        <v/>
      </c>
    </row>
    <row r="242">
      <c r="A242" s="18"/>
      <c r="B242" s="18"/>
      <c r="C242" s="18"/>
      <c r="D242" s="18"/>
      <c r="E242" s="18"/>
      <c r="F242" s="18"/>
      <c r="G242" s="22"/>
      <c r="H242" s="18"/>
      <c r="I242" s="18">
        <v>0.0</v>
      </c>
      <c r="J242" s="18">
        <v>0.0</v>
      </c>
      <c r="K242" s="18"/>
      <c r="L242" s="18"/>
      <c r="M242" s="22" t="str">
        <f t="shared" si="1"/>
        <v/>
      </c>
      <c r="N242" s="18" t="str">
        <f>IF(A242="",,IF(ROW()=2, Input!$C$2 + I242, P241 + I242))</f>
        <v/>
      </c>
      <c r="O242" s="23" t="str">
        <f>IF(A242="",,
 IF(K242="Initial principal",
   Input!$C$2 * M242,
   N242 * M242
 )
)</f>
        <v/>
      </c>
      <c r="P242" s="18" t="str">
        <f t="shared" si="2"/>
        <v/>
      </c>
      <c r="Q242" s="18" t="str">
        <f t="shared" si="3"/>
        <v/>
      </c>
      <c r="R242" s="18" t="str">
        <f t="array" ref="R242">IF(
  B242="",
  ,
  SWITCH(
    Input!$C$4,
    "Actual/365 Fixed",
      YEARFRAC(
        B242 + IF(INDEX(Input!$K$7:$K1503,ROW()-1),0,1),
        C242 + IF(INDEX(Input!$L$7:$L1503,ROW()-1),1,0),
        3
      ),
    "Anniversary/365",
      DATEDIF(
        B242 + IF(INDEX(Input!$K$7:$K1503,ROW()-1),0,1),
        C242 + IF(INDEX(Input!$L$7:$L1503,ROW()-1),1,0),
        "Y"
      )
      +
      (
        (C242 + IF(INDEX(Input!$L$7:$L1503,ROW()-1),1,0))
        -
        EDATE(
          B242 + IF(INDEX(Input!$K$7:$K1503,ROW()-1),0,1),
          12*DATEDIF(
            B242 + IF(INDEX(Input!$K$7:$K1503,ROW()-1),0,1),
            C242 + IF(INDEX(Input!$L$7:$L1503,ROW()-1),1,0),
            "Y"
          )
        )
      ) / 365,
    "Actual/Actual",
      YEARFRAC(
        B242 + IF(INDEX(Input!$K$7:$K1503,ROW()-1),0,1),
        C242 + IF(INDEX(Input!$L$7:$L1503,ROW()-1),1,0),
        1
      ),
      YEARFRAC(
        B242 + IF(INDEX(Input!$K$7:$K1503,ROW()-1),0,1),
        C242 + IF(INDEX(Input!$L$7:$L1503,ROW()-1),1,0),
        3
      )
  )
)</f>
        <v/>
      </c>
      <c r="S242" s="22" t="str">
        <f t="shared" si="4"/>
        <v/>
      </c>
      <c r="T242" s="6" t="str">
        <f t="array" ref="T242">IF(
  B242="",
  ,
  DATEDIF(
    B242 + IF(INDEX(Input!$K$7:$K1503,ROW()-1),0,1),
    C242 + IF(INDEX(Input!$L$7:$L1503,ROW()-1),1,0),
    "Y"
  )
)</f>
        <v/>
      </c>
      <c r="U242" s="6" t="str">
        <f t="array" ref="U242">IF(
  B242="",
  ,
  (C242 + IF(INDEX(Input!$L$7:$L1503,ROW()-1),1,0))
  - EDATE(
      B242 + IF(INDEX(Input!$K$7:$K1503,ROW()-1),0,1),
      12*S242
    )
)</f>
        <v/>
      </c>
      <c r="V242" s="6" t="str">
        <f t="shared" si="5"/>
        <v/>
      </c>
      <c r="W242" s="6" t="str">
        <f t="shared" si="6"/>
        <v/>
      </c>
    </row>
    <row r="243">
      <c r="A243" s="18"/>
      <c r="B243" s="18"/>
      <c r="C243" s="18"/>
      <c r="D243" s="18"/>
      <c r="E243" s="18"/>
      <c r="F243" s="18"/>
      <c r="G243" s="22"/>
      <c r="H243" s="18"/>
      <c r="I243" s="18">
        <v>0.0</v>
      </c>
      <c r="J243" s="18">
        <v>0.0</v>
      </c>
      <c r="K243" s="18"/>
      <c r="L243" s="18"/>
      <c r="M243" s="22" t="str">
        <f t="shared" si="1"/>
        <v/>
      </c>
      <c r="N243" s="18" t="str">
        <f>IF(A243="",,IF(ROW()=2, Input!$C$2 + I243, P242 + I243))</f>
        <v/>
      </c>
      <c r="O243" s="23" t="str">
        <f>IF(A243="",,
 IF(K243="Initial principal",
   Input!$C$2 * M243,
   N243 * M243
 )
)</f>
        <v/>
      </c>
      <c r="P243" s="18" t="str">
        <f t="shared" si="2"/>
        <v/>
      </c>
      <c r="Q243" s="18" t="str">
        <f t="shared" si="3"/>
        <v/>
      </c>
      <c r="R243" s="18" t="str">
        <f t="array" ref="R243">IF(
  B243="",
  ,
  SWITCH(
    Input!$C$4,
    "Actual/365 Fixed",
      YEARFRAC(
        B243 + IF(INDEX(Input!$K$7:$K1503,ROW()-1),0,1),
        C243 + IF(INDEX(Input!$L$7:$L1503,ROW()-1),1,0),
        3
      ),
    "Anniversary/365",
      DATEDIF(
        B243 + IF(INDEX(Input!$K$7:$K1503,ROW()-1),0,1),
        C243 + IF(INDEX(Input!$L$7:$L1503,ROW()-1),1,0),
        "Y"
      )
      +
      (
        (C243 + IF(INDEX(Input!$L$7:$L1503,ROW()-1),1,0))
        -
        EDATE(
          B243 + IF(INDEX(Input!$K$7:$K1503,ROW()-1),0,1),
          12*DATEDIF(
            B243 + IF(INDEX(Input!$K$7:$K1503,ROW()-1),0,1),
            C243 + IF(INDEX(Input!$L$7:$L1503,ROW()-1),1,0),
            "Y"
          )
        )
      ) / 365,
    "Actual/Actual",
      YEARFRAC(
        B243 + IF(INDEX(Input!$K$7:$K1503,ROW()-1),0,1),
        C243 + IF(INDEX(Input!$L$7:$L1503,ROW()-1),1,0),
        1
      ),
      YEARFRAC(
        B243 + IF(INDEX(Input!$K$7:$K1503,ROW()-1),0,1),
        C243 + IF(INDEX(Input!$L$7:$L1503,ROW()-1),1,0),
        3
      )
  )
)</f>
        <v/>
      </c>
      <c r="S243" s="22" t="str">
        <f t="shared" si="4"/>
        <v/>
      </c>
      <c r="T243" s="6" t="str">
        <f t="array" ref="T243">IF(
  B243="",
  ,
  DATEDIF(
    B243 + IF(INDEX(Input!$K$7:$K1503,ROW()-1),0,1),
    C243 + IF(INDEX(Input!$L$7:$L1503,ROW()-1),1,0),
    "Y"
  )
)</f>
        <v/>
      </c>
      <c r="U243" s="6" t="str">
        <f t="array" ref="U243">IF(
  B243="",
  ,
  (C243 + IF(INDEX(Input!$L$7:$L1503,ROW()-1),1,0))
  - EDATE(
      B243 + IF(INDEX(Input!$K$7:$K1503,ROW()-1),0,1),
      12*S243
    )
)</f>
        <v/>
      </c>
      <c r="V243" s="6" t="str">
        <f t="shared" si="5"/>
        <v/>
      </c>
      <c r="W243" s="6" t="str">
        <f t="shared" si="6"/>
        <v/>
      </c>
    </row>
    <row r="244">
      <c r="A244" s="18"/>
      <c r="B244" s="18"/>
      <c r="C244" s="18"/>
      <c r="D244" s="18"/>
      <c r="E244" s="18"/>
      <c r="F244" s="18"/>
      <c r="G244" s="22"/>
      <c r="H244" s="18"/>
      <c r="I244" s="18">
        <v>0.0</v>
      </c>
      <c r="J244" s="18">
        <v>0.0</v>
      </c>
      <c r="K244" s="18"/>
      <c r="L244" s="18"/>
      <c r="M244" s="22" t="str">
        <f t="shared" si="1"/>
        <v/>
      </c>
      <c r="N244" s="18" t="str">
        <f>IF(A244="",,IF(ROW()=2, Input!$C$2 + I244, P243 + I244))</f>
        <v/>
      </c>
      <c r="O244" s="23" t="str">
        <f>IF(A244="",,
 IF(K244="Initial principal",
   Input!$C$2 * M244,
   N244 * M244
 )
)</f>
        <v/>
      </c>
      <c r="P244" s="18" t="str">
        <f t="shared" si="2"/>
        <v/>
      </c>
      <c r="Q244" s="18" t="str">
        <f t="shared" si="3"/>
        <v/>
      </c>
      <c r="R244" s="18" t="str">
        <f t="array" ref="R244">IF(
  B244="",
  ,
  SWITCH(
    Input!$C$4,
    "Actual/365 Fixed",
      YEARFRAC(
        B244 + IF(INDEX(Input!$K$7:$K1503,ROW()-1),0,1),
        C244 + IF(INDEX(Input!$L$7:$L1503,ROW()-1),1,0),
        3
      ),
    "Anniversary/365",
      DATEDIF(
        B244 + IF(INDEX(Input!$K$7:$K1503,ROW()-1),0,1),
        C244 + IF(INDEX(Input!$L$7:$L1503,ROW()-1),1,0),
        "Y"
      )
      +
      (
        (C244 + IF(INDEX(Input!$L$7:$L1503,ROW()-1),1,0))
        -
        EDATE(
          B244 + IF(INDEX(Input!$K$7:$K1503,ROW()-1),0,1),
          12*DATEDIF(
            B244 + IF(INDEX(Input!$K$7:$K1503,ROW()-1),0,1),
            C244 + IF(INDEX(Input!$L$7:$L1503,ROW()-1),1,0),
            "Y"
          )
        )
      ) / 365,
    "Actual/Actual",
      YEARFRAC(
        B244 + IF(INDEX(Input!$K$7:$K1503,ROW()-1),0,1),
        C244 + IF(INDEX(Input!$L$7:$L1503,ROW()-1),1,0),
        1
      ),
      YEARFRAC(
        B244 + IF(INDEX(Input!$K$7:$K1503,ROW()-1),0,1),
        C244 + IF(INDEX(Input!$L$7:$L1503,ROW()-1),1,0),
        3
      )
  )
)</f>
        <v/>
      </c>
      <c r="S244" s="22" t="str">
        <f t="shared" si="4"/>
        <v/>
      </c>
      <c r="T244" s="6" t="str">
        <f t="array" ref="T244">IF(
  B244="",
  ,
  DATEDIF(
    B244 + IF(INDEX(Input!$K$7:$K1503,ROW()-1),0,1),
    C244 + IF(INDEX(Input!$L$7:$L1503,ROW()-1),1,0),
    "Y"
  )
)</f>
        <v/>
      </c>
      <c r="U244" s="6" t="str">
        <f t="array" ref="U244">IF(
  B244="",
  ,
  (C244 + IF(INDEX(Input!$L$7:$L1503,ROW()-1),1,0))
  - EDATE(
      B244 + IF(INDEX(Input!$K$7:$K1503,ROW()-1),0,1),
      12*S244
    )
)</f>
        <v/>
      </c>
      <c r="V244" s="6" t="str">
        <f t="shared" si="5"/>
        <v/>
      </c>
      <c r="W244" s="6" t="str">
        <f t="shared" si="6"/>
        <v/>
      </c>
    </row>
    <row r="245">
      <c r="A245" s="18"/>
      <c r="B245" s="18"/>
      <c r="C245" s="18"/>
      <c r="D245" s="18"/>
      <c r="E245" s="18"/>
      <c r="F245" s="18"/>
      <c r="G245" s="22"/>
      <c r="H245" s="18"/>
      <c r="I245" s="18">
        <v>0.0</v>
      </c>
      <c r="J245" s="18">
        <v>0.0</v>
      </c>
      <c r="K245" s="18"/>
      <c r="L245" s="18"/>
      <c r="M245" s="22" t="str">
        <f t="shared" si="1"/>
        <v/>
      </c>
      <c r="N245" s="18" t="str">
        <f>IF(A245="",,IF(ROW()=2, Input!$C$2 + I245, P244 + I245))</f>
        <v/>
      </c>
      <c r="O245" s="23" t="str">
        <f>IF(A245="",,
 IF(K245="Initial principal",
   Input!$C$2 * M245,
   N245 * M245
 )
)</f>
        <v/>
      </c>
      <c r="P245" s="18" t="str">
        <f t="shared" si="2"/>
        <v/>
      </c>
      <c r="Q245" s="18" t="str">
        <f t="shared" si="3"/>
        <v/>
      </c>
      <c r="R245" s="18" t="str">
        <f t="array" ref="R245">IF(
  B245="",
  ,
  SWITCH(
    Input!$C$4,
    "Actual/365 Fixed",
      YEARFRAC(
        B245 + IF(INDEX(Input!$K$7:$K1503,ROW()-1),0,1),
        C245 + IF(INDEX(Input!$L$7:$L1503,ROW()-1),1,0),
        3
      ),
    "Anniversary/365",
      DATEDIF(
        B245 + IF(INDEX(Input!$K$7:$K1503,ROW()-1),0,1),
        C245 + IF(INDEX(Input!$L$7:$L1503,ROW()-1),1,0),
        "Y"
      )
      +
      (
        (C245 + IF(INDEX(Input!$L$7:$L1503,ROW()-1),1,0))
        -
        EDATE(
          B245 + IF(INDEX(Input!$K$7:$K1503,ROW()-1),0,1),
          12*DATEDIF(
            B245 + IF(INDEX(Input!$K$7:$K1503,ROW()-1),0,1),
            C245 + IF(INDEX(Input!$L$7:$L1503,ROW()-1),1,0),
            "Y"
          )
        )
      ) / 365,
    "Actual/Actual",
      YEARFRAC(
        B245 + IF(INDEX(Input!$K$7:$K1503,ROW()-1),0,1),
        C245 + IF(INDEX(Input!$L$7:$L1503,ROW()-1),1,0),
        1
      ),
      YEARFRAC(
        B245 + IF(INDEX(Input!$K$7:$K1503,ROW()-1),0,1),
        C245 + IF(INDEX(Input!$L$7:$L1503,ROW()-1),1,0),
        3
      )
  )
)</f>
        <v/>
      </c>
      <c r="S245" s="22" t="str">
        <f t="shared" si="4"/>
        <v/>
      </c>
      <c r="T245" s="6" t="str">
        <f t="array" ref="T245">IF(
  B245="",
  ,
  DATEDIF(
    B245 + IF(INDEX(Input!$K$7:$K1503,ROW()-1),0,1),
    C245 + IF(INDEX(Input!$L$7:$L1503,ROW()-1),1,0),
    "Y"
  )
)</f>
        <v/>
      </c>
      <c r="U245" s="6" t="str">
        <f t="array" ref="U245">IF(
  B245="",
  ,
  (C245 + IF(INDEX(Input!$L$7:$L1503,ROW()-1),1,0))
  - EDATE(
      B245 + IF(INDEX(Input!$K$7:$K1503,ROW()-1),0,1),
      12*S245
    )
)</f>
        <v/>
      </c>
      <c r="V245" s="6" t="str">
        <f t="shared" si="5"/>
        <v/>
      </c>
      <c r="W245" s="6" t="str">
        <f t="shared" si="6"/>
        <v/>
      </c>
    </row>
    <row r="246">
      <c r="A246" s="18"/>
      <c r="B246" s="18"/>
      <c r="C246" s="18"/>
      <c r="D246" s="18"/>
      <c r="E246" s="18"/>
      <c r="F246" s="18"/>
      <c r="G246" s="22"/>
      <c r="H246" s="18"/>
      <c r="I246" s="18">
        <v>0.0</v>
      </c>
      <c r="J246" s="18">
        <v>0.0</v>
      </c>
      <c r="K246" s="18"/>
      <c r="L246" s="18"/>
      <c r="M246" s="22" t="str">
        <f t="shared" si="1"/>
        <v/>
      </c>
      <c r="N246" s="18" t="str">
        <f>IF(A246="",,IF(ROW()=2, Input!$C$2 + I246, P245 + I246))</f>
        <v/>
      </c>
      <c r="O246" s="23" t="str">
        <f>IF(A246="",,
 IF(K246="Initial principal",
   Input!$C$2 * M246,
   N246 * M246
 )
)</f>
        <v/>
      </c>
      <c r="P246" s="18" t="str">
        <f t="shared" si="2"/>
        <v/>
      </c>
      <c r="Q246" s="18" t="str">
        <f t="shared" si="3"/>
        <v/>
      </c>
      <c r="R246" s="18" t="str">
        <f t="array" ref="R246">IF(
  B246="",
  ,
  SWITCH(
    Input!$C$4,
    "Actual/365 Fixed",
      YEARFRAC(
        B246 + IF(INDEX(Input!$K$7:$K1503,ROW()-1),0,1),
        C246 + IF(INDEX(Input!$L$7:$L1503,ROW()-1),1,0),
        3
      ),
    "Anniversary/365",
      DATEDIF(
        B246 + IF(INDEX(Input!$K$7:$K1503,ROW()-1),0,1),
        C246 + IF(INDEX(Input!$L$7:$L1503,ROW()-1),1,0),
        "Y"
      )
      +
      (
        (C246 + IF(INDEX(Input!$L$7:$L1503,ROW()-1),1,0))
        -
        EDATE(
          B246 + IF(INDEX(Input!$K$7:$K1503,ROW()-1),0,1),
          12*DATEDIF(
            B246 + IF(INDEX(Input!$K$7:$K1503,ROW()-1),0,1),
            C246 + IF(INDEX(Input!$L$7:$L1503,ROW()-1),1,0),
            "Y"
          )
        )
      ) / 365,
    "Actual/Actual",
      YEARFRAC(
        B246 + IF(INDEX(Input!$K$7:$K1503,ROW()-1),0,1),
        C246 + IF(INDEX(Input!$L$7:$L1503,ROW()-1),1,0),
        1
      ),
      YEARFRAC(
        B246 + IF(INDEX(Input!$K$7:$K1503,ROW()-1),0,1),
        C246 + IF(INDEX(Input!$L$7:$L1503,ROW()-1),1,0),
        3
      )
  )
)</f>
        <v/>
      </c>
      <c r="S246" s="22" t="str">
        <f t="shared" si="4"/>
        <v/>
      </c>
      <c r="T246" s="6" t="str">
        <f t="array" ref="T246">IF(
  B246="",
  ,
  DATEDIF(
    B246 + IF(INDEX(Input!$K$7:$K1503,ROW()-1),0,1),
    C246 + IF(INDEX(Input!$L$7:$L1503,ROW()-1),1,0),
    "Y"
  )
)</f>
        <v/>
      </c>
      <c r="U246" s="6" t="str">
        <f t="array" ref="U246">IF(
  B246="",
  ,
  (C246 + IF(INDEX(Input!$L$7:$L1503,ROW()-1),1,0))
  - EDATE(
      B246 + IF(INDEX(Input!$K$7:$K1503,ROW()-1),0,1),
      12*S246
    )
)</f>
        <v/>
      </c>
      <c r="V246" s="6" t="str">
        <f t="shared" si="5"/>
        <v/>
      </c>
      <c r="W246" s="6" t="str">
        <f t="shared" si="6"/>
        <v/>
      </c>
    </row>
    <row r="247">
      <c r="A247" s="18"/>
      <c r="B247" s="18"/>
      <c r="C247" s="18"/>
      <c r="D247" s="18"/>
      <c r="E247" s="18"/>
      <c r="F247" s="18"/>
      <c r="G247" s="22"/>
      <c r="H247" s="18"/>
      <c r="I247" s="18">
        <v>0.0</v>
      </c>
      <c r="J247" s="18">
        <v>0.0</v>
      </c>
      <c r="K247" s="18"/>
      <c r="L247" s="18"/>
      <c r="M247" s="22" t="str">
        <f t="shared" si="1"/>
        <v/>
      </c>
      <c r="N247" s="18" t="str">
        <f>IF(A247="",,IF(ROW()=2, Input!$C$2 + I247, P246 + I247))</f>
        <v/>
      </c>
      <c r="O247" s="23" t="str">
        <f>IF(A247="",,
 IF(K247="Initial principal",
   Input!$C$2 * M247,
   N247 * M247
 )
)</f>
        <v/>
      </c>
      <c r="P247" s="18" t="str">
        <f t="shared" si="2"/>
        <v/>
      </c>
      <c r="Q247" s="18" t="str">
        <f t="shared" si="3"/>
        <v/>
      </c>
      <c r="R247" s="18" t="str">
        <f t="array" ref="R247">IF(
  B247="",
  ,
  SWITCH(
    Input!$C$4,
    "Actual/365 Fixed",
      YEARFRAC(
        B247 + IF(INDEX(Input!$K$7:$K1503,ROW()-1),0,1),
        C247 + IF(INDEX(Input!$L$7:$L1503,ROW()-1),1,0),
        3
      ),
    "Anniversary/365",
      DATEDIF(
        B247 + IF(INDEX(Input!$K$7:$K1503,ROW()-1),0,1),
        C247 + IF(INDEX(Input!$L$7:$L1503,ROW()-1),1,0),
        "Y"
      )
      +
      (
        (C247 + IF(INDEX(Input!$L$7:$L1503,ROW()-1),1,0))
        -
        EDATE(
          B247 + IF(INDEX(Input!$K$7:$K1503,ROW()-1),0,1),
          12*DATEDIF(
            B247 + IF(INDEX(Input!$K$7:$K1503,ROW()-1),0,1),
            C247 + IF(INDEX(Input!$L$7:$L1503,ROW()-1),1,0),
            "Y"
          )
        )
      ) / 365,
    "Actual/Actual",
      YEARFRAC(
        B247 + IF(INDEX(Input!$K$7:$K1503,ROW()-1),0,1),
        C247 + IF(INDEX(Input!$L$7:$L1503,ROW()-1),1,0),
        1
      ),
      YEARFRAC(
        B247 + IF(INDEX(Input!$K$7:$K1503,ROW()-1),0,1),
        C247 + IF(INDEX(Input!$L$7:$L1503,ROW()-1),1,0),
        3
      )
  )
)</f>
        <v/>
      </c>
      <c r="S247" s="22" t="str">
        <f t="shared" si="4"/>
        <v/>
      </c>
      <c r="T247" s="6" t="str">
        <f t="array" ref="T247">IF(
  B247="",
  ,
  DATEDIF(
    B247 + IF(INDEX(Input!$K$7:$K1503,ROW()-1),0,1),
    C247 + IF(INDEX(Input!$L$7:$L1503,ROW()-1),1,0),
    "Y"
  )
)</f>
        <v/>
      </c>
      <c r="U247" s="6" t="str">
        <f t="array" ref="U247">IF(
  B247="",
  ,
  (C247 + IF(INDEX(Input!$L$7:$L1503,ROW()-1),1,0))
  - EDATE(
      B247 + IF(INDEX(Input!$K$7:$K1503,ROW()-1),0,1),
      12*S247
    )
)</f>
        <v/>
      </c>
      <c r="V247" s="6" t="str">
        <f t="shared" si="5"/>
        <v/>
      </c>
      <c r="W247" s="6" t="str">
        <f t="shared" si="6"/>
        <v/>
      </c>
    </row>
    <row r="248">
      <c r="A248" s="18"/>
      <c r="B248" s="18"/>
      <c r="C248" s="18"/>
      <c r="D248" s="18"/>
      <c r="E248" s="18"/>
      <c r="F248" s="18"/>
      <c r="G248" s="22"/>
      <c r="H248" s="18"/>
      <c r="I248" s="18">
        <v>0.0</v>
      </c>
      <c r="J248" s="18">
        <v>0.0</v>
      </c>
      <c r="K248" s="18"/>
      <c r="L248" s="18"/>
      <c r="M248" s="22" t="str">
        <f t="shared" si="1"/>
        <v/>
      </c>
      <c r="N248" s="18" t="str">
        <f>IF(A248="",,IF(ROW()=2, Input!$C$2 + I248, P247 + I248))</f>
        <v/>
      </c>
      <c r="O248" s="23" t="str">
        <f>IF(A248="",,
 IF(K248="Initial principal",
   Input!$C$2 * M248,
   N248 * M248
 )
)</f>
        <v/>
      </c>
      <c r="P248" s="18" t="str">
        <f t="shared" si="2"/>
        <v/>
      </c>
      <c r="Q248" s="18" t="str">
        <f t="shared" si="3"/>
        <v/>
      </c>
      <c r="R248" s="18" t="str">
        <f t="array" ref="R248">IF(
  B248="",
  ,
  SWITCH(
    Input!$C$4,
    "Actual/365 Fixed",
      YEARFRAC(
        B248 + IF(INDEX(Input!$K$7:$K1503,ROW()-1),0,1),
        C248 + IF(INDEX(Input!$L$7:$L1503,ROW()-1),1,0),
        3
      ),
    "Anniversary/365",
      DATEDIF(
        B248 + IF(INDEX(Input!$K$7:$K1503,ROW()-1),0,1),
        C248 + IF(INDEX(Input!$L$7:$L1503,ROW()-1),1,0),
        "Y"
      )
      +
      (
        (C248 + IF(INDEX(Input!$L$7:$L1503,ROW()-1),1,0))
        -
        EDATE(
          B248 + IF(INDEX(Input!$K$7:$K1503,ROW()-1),0,1),
          12*DATEDIF(
            B248 + IF(INDEX(Input!$K$7:$K1503,ROW()-1),0,1),
            C248 + IF(INDEX(Input!$L$7:$L1503,ROW()-1),1,0),
            "Y"
          )
        )
      ) / 365,
    "Actual/Actual",
      YEARFRAC(
        B248 + IF(INDEX(Input!$K$7:$K1503,ROW()-1),0,1),
        C248 + IF(INDEX(Input!$L$7:$L1503,ROW()-1),1,0),
        1
      ),
      YEARFRAC(
        B248 + IF(INDEX(Input!$K$7:$K1503,ROW()-1),0,1),
        C248 + IF(INDEX(Input!$L$7:$L1503,ROW()-1),1,0),
        3
      )
  )
)</f>
        <v/>
      </c>
      <c r="S248" s="22" t="str">
        <f t="shared" si="4"/>
        <v/>
      </c>
      <c r="T248" s="6" t="str">
        <f t="array" ref="T248">IF(
  B248="",
  ,
  DATEDIF(
    B248 + IF(INDEX(Input!$K$7:$K1503,ROW()-1),0,1),
    C248 + IF(INDEX(Input!$L$7:$L1503,ROW()-1),1,0),
    "Y"
  )
)</f>
        <v/>
      </c>
      <c r="U248" s="6" t="str">
        <f t="array" ref="U248">IF(
  B248="",
  ,
  (C248 + IF(INDEX(Input!$L$7:$L1503,ROW()-1),1,0))
  - EDATE(
      B248 + IF(INDEX(Input!$K$7:$K1503,ROW()-1),0,1),
      12*S248
    )
)</f>
        <v/>
      </c>
      <c r="V248" s="6" t="str">
        <f t="shared" si="5"/>
        <v/>
      </c>
      <c r="W248" s="6" t="str">
        <f t="shared" si="6"/>
        <v/>
      </c>
    </row>
    <row r="249">
      <c r="A249" s="18"/>
      <c r="B249" s="18"/>
      <c r="C249" s="18"/>
      <c r="D249" s="18"/>
      <c r="E249" s="18"/>
      <c r="F249" s="18"/>
      <c r="G249" s="22"/>
      <c r="H249" s="18"/>
      <c r="I249" s="18">
        <v>0.0</v>
      </c>
      <c r="J249" s="18">
        <v>0.0</v>
      </c>
      <c r="K249" s="18"/>
      <c r="L249" s="18"/>
      <c r="M249" s="22" t="str">
        <f t="shared" si="1"/>
        <v/>
      </c>
      <c r="N249" s="18" t="str">
        <f>IF(A249="",,IF(ROW()=2, Input!$C$2 + I249, P248 + I249))</f>
        <v/>
      </c>
      <c r="O249" s="23" t="str">
        <f>IF(A249="",,
 IF(K249="Initial principal",
   Input!$C$2 * M249,
   N249 * M249
 )
)</f>
        <v/>
      </c>
      <c r="P249" s="18" t="str">
        <f t="shared" si="2"/>
        <v/>
      </c>
      <c r="Q249" s="18" t="str">
        <f t="shared" si="3"/>
        <v/>
      </c>
      <c r="R249" s="18" t="str">
        <f t="array" ref="R249">IF(
  B249="",
  ,
  SWITCH(
    Input!$C$4,
    "Actual/365 Fixed",
      YEARFRAC(
        B249 + IF(INDEX(Input!$K$7:$K1503,ROW()-1),0,1),
        C249 + IF(INDEX(Input!$L$7:$L1503,ROW()-1),1,0),
        3
      ),
    "Anniversary/365",
      DATEDIF(
        B249 + IF(INDEX(Input!$K$7:$K1503,ROW()-1),0,1),
        C249 + IF(INDEX(Input!$L$7:$L1503,ROW()-1),1,0),
        "Y"
      )
      +
      (
        (C249 + IF(INDEX(Input!$L$7:$L1503,ROW()-1),1,0))
        -
        EDATE(
          B249 + IF(INDEX(Input!$K$7:$K1503,ROW()-1),0,1),
          12*DATEDIF(
            B249 + IF(INDEX(Input!$K$7:$K1503,ROW()-1),0,1),
            C249 + IF(INDEX(Input!$L$7:$L1503,ROW()-1),1,0),
            "Y"
          )
        )
      ) / 365,
    "Actual/Actual",
      YEARFRAC(
        B249 + IF(INDEX(Input!$K$7:$K1503,ROW()-1),0,1),
        C249 + IF(INDEX(Input!$L$7:$L1503,ROW()-1),1,0),
        1
      ),
      YEARFRAC(
        B249 + IF(INDEX(Input!$K$7:$K1503,ROW()-1),0,1),
        C249 + IF(INDEX(Input!$L$7:$L1503,ROW()-1),1,0),
        3
      )
  )
)</f>
        <v/>
      </c>
      <c r="S249" s="22" t="str">
        <f t="shared" si="4"/>
        <v/>
      </c>
      <c r="T249" s="6" t="str">
        <f t="array" ref="T249">IF(
  B249="",
  ,
  DATEDIF(
    B249 + IF(INDEX(Input!$K$7:$K1503,ROW()-1),0,1),
    C249 + IF(INDEX(Input!$L$7:$L1503,ROW()-1),1,0),
    "Y"
  )
)</f>
        <v/>
      </c>
      <c r="U249" s="6" t="str">
        <f t="array" ref="U249">IF(
  B249="",
  ,
  (C249 + IF(INDEX(Input!$L$7:$L1503,ROW()-1),1,0))
  - EDATE(
      B249 + IF(INDEX(Input!$K$7:$K1503,ROW()-1),0,1),
      12*S249
    )
)</f>
        <v/>
      </c>
      <c r="V249" s="6" t="str">
        <f t="shared" si="5"/>
        <v/>
      </c>
      <c r="W249" s="6" t="str">
        <f t="shared" si="6"/>
        <v/>
      </c>
    </row>
    <row r="250">
      <c r="A250" s="18"/>
      <c r="B250" s="18"/>
      <c r="C250" s="18"/>
      <c r="D250" s="18"/>
      <c r="E250" s="18"/>
      <c r="F250" s="18"/>
      <c r="G250" s="22"/>
      <c r="H250" s="18"/>
      <c r="I250" s="18">
        <v>0.0</v>
      </c>
      <c r="J250" s="18">
        <v>0.0</v>
      </c>
      <c r="K250" s="18"/>
      <c r="L250" s="18"/>
      <c r="M250" s="22" t="str">
        <f t="shared" si="1"/>
        <v/>
      </c>
      <c r="N250" s="18" t="str">
        <f>IF(A250="",,IF(ROW()=2, Input!$C$2 + I250, P249 + I250))</f>
        <v/>
      </c>
      <c r="O250" s="23" t="str">
        <f>IF(A250="",,
 IF(K250="Initial principal",
   Input!$C$2 * M250,
   N250 * M250
 )
)</f>
        <v/>
      </c>
      <c r="P250" s="18" t="str">
        <f t="shared" si="2"/>
        <v/>
      </c>
      <c r="Q250" s="18" t="str">
        <f t="shared" si="3"/>
        <v/>
      </c>
      <c r="R250" s="18" t="str">
        <f t="array" ref="R250">IF(
  B250="",
  ,
  SWITCH(
    Input!$C$4,
    "Actual/365 Fixed",
      YEARFRAC(
        B250 + IF(INDEX(Input!$K$7:$K1503,ROW()-1),0,1),
        C250 + IF(INDEX(Input!$L$7:$L1503,ROW()-1),1,0),
        3
      ),
    "Anniversary/365",
      DATEDIF(
        B250 + IF(INDEX(Input!$K$7:$K1503,ROW()-1),0,1),
        C250 + IF(INDEX(Input!$L$7:$L1503,ROW()-1),1,0),
        "Y"
      )
      +
      (
        (C250 + IF(INDEX(Input!$L$7:$L1503,ROW()-1),1,0))
        -
        EDATE(
          B250 + IF(INDEX(Input!$K$7:$K1503,ROW()-1),0,1),
          12*DATEDIF(
            B250 + IF(INDEX(Input!$K$7:$K1503,ROW()-1),0,1),
            C250 + IF(INDEX(Input!$L$7:$L1503,ROW()-1),1,0),
            "Y"
          )
        )
      ) / 365,
    "Actual/Actual",
      YEARFRAC(
        B250 + IF(INDEX(Input!$K$7:$K1503,ROW()-1),0,1),
        C250 + IF(INDEX(Input!$L$7:$L1503,ROW()-1),1,0),
        1
      ),
      YEARFRAC(
        B250 + IF(INDEX(Input!$K$7:$K1503,ROW()-1),0,1),
        C250 + IF(INDEX(Input!$L$7:$L1503,ROW()-1),1,0),
        3
      )
  )
)</f>
        <v/>
      </c>
      <c r="S250" s="22" t="str">
        <f t="shared" si="4"/>
        <v/>
      </c>
      <c r="T250" s="6" t="str">
        <f t="array" ref="T250">IF(
  B250="",
  ,
  DATEDIF(
    B250 + IF(INDEX(Input!$K$7:$K1503,ROW()-1),0,1),
    C250 + IF(INDEX(Input!$L$7:$L1503,ROW()-1),1,0),
    "Y"
  )
)</f>
        <v/>
      </c>
      <c r="U250" s="6" t="str">
        <f t="array" ref="U250">IF(
  B250="",
  ,
  (C250 + IF(INDEX(Input!$L$7:$L1503,ROW()-1),1,0))
  - EDATE(
      B250 + IF(INDEX(Input!$K$7:$K1503,ROW()-1),0,1),
      12*S250
    )
)</f>
        <v/>
      </c>
      <c r="V250" s="6" t="str">
        <f t="shared" si="5"/>
        <v/>
      </c>
      <c r="W250" s="6" t="str">
        <f t="shared" si="6"/>
        <v/>
      </c>
    </row>
    <row r="251">
      <c r="A251" s="18"/>
      <c r="B251" s="18"/>
      <c r="C251" s="18"/>
      <c r="D251" s="18"/>
      <c r="E251" s="18"/>
      <c r="F251" s="18"/>
      <c r="G251" s="22"/>
      <c r="H251" s="18"/>
      <c r="I251" s="18">
        <v>0.0</v>
      </c>
      <c r="J251" s="18">
        <v>0.0</v>
      </c>
      <c r="K251" s="18"/>
      <c r="L251" s="18"/>
      <c r="M251" s="22" t="str">
        <f t="shared" si="1"/>
        <v/>
      </c>
      <c r="N251" s="18" t="str">
        <f>IF(A251="",,IF(ROW()=2, Input!$C$2 + I251, P250 + I251))</f>
        <v/>
      </c>
      <c r="O251" s="23" t="str">
        <f>IF(A251="",,
 IF(K251="Initial principal",
   Input!$C$2 * M251,
   N251 * M251
 )
)</f>
        <v/>
      </c>
      <c r="P251" s="18" t="str">
        <f t="shared" si="2"/>
        <v/>
      </c>
      <c r="Q251" s="18" t="str">
        <f t="shared" si="3"/>
        <v/>
      </c>
      <c r="R251" s="18" t="str">
        <f t="array" ref="R251">IF(
  B251="",
  ,
  SWITCH(
    Input!$C$4,
    "Actual/365 Fixed",
      YEARFRAC(
        B251 + IF(INDEX(Input!$K$7:$K1503,ROW()-1),0,1),
        C251 + IF(INDEX(Input!$L$7:$L1503,ROW()-1),1,0),
        3
      ),
    "Anniversary/365",
      DATEDIF(
        B251 + IF(INDEX(Input!$K$7:$K1503,ROW()-1),0,1),
        C251 + IF(INDEX(Input!$L$7:$L1503,ROW()-1),1,0),
        "Y"
      )
      +
      (
        (C251 + IF(INDEX(Input!$L$7:$L1503,ROW()-1),1,0))
        -
        EDATE(
          B251 + IF(INDEX(Input!$K$7:$K1503,ROW()-1),0,1),
          12*DATEDIF(
            B251 + IF(INDEX(Input!$K$7:$K1503,ROW()-1),0,1),
            C251 + IF(INDEX(Input!$L$7:$L1503,ROW()-1),1,0),
            "Y"
          )
        )
      ) / 365,
    "Actual/Actual",
      YEARFRAC(
        B251 + IF(INDEX(Input!$K$7:$K1503,ROW()-1),0,1),
        C251 + IF(INDEX(Input!$L$7:$L1503,ROW()-1),1,0),
        1
      ),
      YEARFRAC(
        B251 + IF(INDEX(Input!$K$7:$K1503,ROW()-1),0,1),
        C251 + IF(INDEX(Input!$L$7:$L1503,ROW()-1),1,0),
        3
      )
  )
)</f>
        <v/>
      </c>
      <c r="S251" s="22" t="str">
        <f t="shared" si="4"/>
        <v/>
      </c>
      <c r="T251" s="6" t="str">
        <f t="array" ref="T251">IF(
  B251="",
  ,
  DATEDIF(
    B251 + IF(INDEX(Input!$K$7:$K1503,ROW()-1),0,1),
    C251 + IF(INDEX(Input!$L$7:$L1503,ROW()-1),1,0),
    "Y"
  )
)</f>
        <v/>
      </c>
      <c r="U251" s="6" t="str">
        <f t="array" ref="U251">IF(
  B251="",
  ,
  (C251 + IF(INDEX(Input!$L$7:$L1503,ROW()-1),1,0))
  - EDATE(
      B251 + IF(INDEX(Input!$K$7:$K1503,ROW()-1),0,1),
      12*S251
    )
)</f>
        <v/>
      </c>
      <c r="V251" s="6" t="str">
        <f t="shared" si="5"/>
        <v/>
      </c>
      <c r="W251" s="6" t="str">
        <f t="shared" si="6"/>
        <v/>
      </c>
    </row>
    <row r="252">
      <c r="A252" s="18"/>
      <c r="B252" s="18"/>
      <c r="C252" s="18"/>
      <c r="D252" s="18"/>
      <c r="E252" s="18"/>
      <c r="F252" s="18"/>
      <c r="G252" s="22"/>
      <c r="H252" s="18"/>
      <c r="I252" s="18">
        <v>0.0</v>
      </c>
      <c r="J252" s="18">
        <v>0.0</v>
      </c>
      <c r="K252" s="18"/>
      <c r="L252" s="18"/>
      <c r="M252" s="22" t="str">
        <f t="shared" si="1"/>
        <v/>
      </c>
      <c r="N252" s="18" t="str">
        <f>IF(A252="",,IF(ROW()=2, Input!$C$2 + I252, P251 + I252))</f>
        <v/>
      </c>
      <c r="O252" s="23" t="str">
        <f>IF(A252="",,
 IF(K252="Initial principal",
   Input!$C$2 * M252,
   N252 * M252
 )
)</f>
        <v/>
      </c>
      <c r="P252" s="18" t="str">
        <f t="shared" si="2"/>
        <v/>
      </c>
      <c r="Q252" s="18" t="str">
        <f t="shared" si="3"/>
        <v/>
      </c>
      <c r="R252" s="18" t="str">
        <f t="array" ref="R252">IF(
  B252="",
  ,
  SWITCH(
    Input!$C$4,
    "Actual/365 Fixed",
      YEARFRAC(
        B252 + IF(INDEX(Input!$K$7:$K1503,ROW()-1),0,1),
        C252 + IF(INDEX(Input!$L$7:$L1503,ROW()-1),1,0),
        3
      ),
    "Anniversary/365",
      DATEDIF(
        B252 + IF(INDEX(Input!$K$7:$K1503,ROW()-1),0,1),
        C252 + IF(INDEX(Input!$L$7:$L1503,ROW()-1),1,0),
        "Y"
      )
      +
      (
        (C252 + IF(INDEX(Input!$L$7:$L1503,ROW()-1),1,0))
        -
        EDATE(
          B252 + IF(INDEX(Input!$K$7:$K1503,ROW()-1),0,1),
          12*DATEDIF(
            B252 + IF(INDEX(Input!$K$7:$K1503,ROW()-1),0,1),
            C252 + IF(INDEX(Input!$L$7:$L1503,ROW()-1),1,0),
            "Y"
          )
        )
      ) / 365,
    "Actual/Actual",
      YEARFRAC(
        B252 + IF(INDEX(Input!$K$7:$K1503,ROW()-1),0,1),
        C252 + IF(INDEX(Input!$L$7:$L1503,ROW()-1),1,0),
        1
      ),
      YEARFRAC(
        B252 + IF(INDEX(Input!$K$7:$K1503,ROW()-1),0,1),
        C252 + IF(INDEX(Input!$L$7:$L1503,ROW()-1),1,0),
        3
      )
  )
)</f>
        <v/>
      </c>
      <c r="S252" s="22" t="str">
        <f t="shared" si="4"/>
        <v/>
      </c>
      <c r="T252" s="6" t="str">
        <f t="array" ref="T252">IF(
  B252="",
  ,
  DATEDIF(
    B252 + IF(INDEX(Input!$K$7:$K1503,ROW()-1),0,1),
    C252 + IF(INDEX(Input!$L$7:$L1503,ROW()-1),1,0),
    "Y"
  )
)</f>
        <v/>
      </c>
      <c r="U252" s="6" t="str">
        <f t="array" ref="U252">IF(
  B252="",
  ,
  (C252 + IF(INDEX(Input!$L$7:$L1503,ROW()-1),1,0))
  - EDATE(
      B252 + IF(INDEX(Input!$K$7:$K1503,ROW()-1),0,1),
      12*S252
    )
)</f>
        <v/>
      </c>
      <c r="V252" s="6" t="str">
        <f t="shared" si="5"/>
        <v/>
      </c>
      <c r="W252" s="6" t="str">
        <f t="shared" si="6"/>
        <v/>
      </c>
    </row>
    <row r="253">
      <c r="A253" s="18"/>
      <c r="B253" s="18"/>
      <c r="C253" s="18"/>
      <c r="D253" s="18"/>
      <c r="E253" s="18"/>
      <c r="F253" s="18"/>
      <c r="G253" s="22"/>
      <c r="H253" s="18"/>
      <c r="I253" s="18">
        <v>0.0</v>
      </c>
      <c r="J253" s="18">
        <v>0.0</v>
      </c>
      <c r="K253" s="18"/>
      <c r="L253" s="18"/>
      <c r="M253" s="22" t="str">
        <f t="shared" si="1"/>
        <v/>
      </c>
      <c r="N253" s="18" t="str">
        <f>IF(A253="",,IF(ROW()=2, Input!$C$2 + I253, P252 + I253))</f>
        <v/>
      </c>
      <c r="O253" s="23" t="str">
        <f>IF(A253="",,
 IF(K253="Initial principal",
   Input!$C$2 * M253,
   N253 * M253
 )
)</f>
        <v/>
      </c>
      <c r="P253" s="18" t="str">
        <f t="shared" si="2"/>
        <v/>
      </c>
      <c r="Q253" s="18" t="str">
        <f t="shared" si="3"/>
        <v/>
      </c>
      <c r="R253" s="18" t="str">
        <f t="array" ref="R253">IF(
  B253="",
  ,
  SWITCH(
    Input!$C$4,
    "Actual/365 Fixed",
      YEARFRAC(
        B253 + IF(INDEX(Input!$K$7:$K1503,ROW()-1),0,1),
        C253 + IF(INDEX(Input!$L$7:$L1503,ROW()-1),1,0),
        3
      ),
    "Anniversary/365",
      DATEDIF(
        B253 + IF(INDEX(Input!$K$7:$K1503,ROW()-1),0,1),
        C253 + IF(INDEX(Input!$L$7:$L1503,ROW()-1),1,0),
        "Y"
      )
      +
      (
        (C253 + IF(INDEX(Input!$L$7:$L1503,ROW()-1),1,0))
        -
        EDATE(
          B253 + IF(INDEX(Input!$K$7:$K1503,ROW()-1),0,1),
          12*DATEDIF(
            B253 + IF(INDEX(Input!$K$7:$K1503,ROW()-1),0,1),
            C253 + IF(INDEX(Input!$L$7:$L1503,ROW()-1),1,0),
            "Y"
          )
        )
      ) / 365,
    "Actual/Actual",
      YEARFRAC(
        B253 + IF(INDEX(Input!$K$7:$K1503,ROW()-1),0,1),
        C253 + IF(INDEX(Input!$L$7:$L1503,ROW()-1),1,0),
        1
      ),
      YEARFRAC(
        B253 + IF(INDEX(Input!$K$7:$K1503,ROW()-1),0,1),
        C253 + IF(INDEX(Input!$L$7:$L1503,ROW()-1),1,0),
        3
      )
  )
)</f>
        <v/>
      </c>
      <c r="S253" s="22" t="str">
        <f t="shared" si="4"/>
        <v/>
      </c>
      <c r="T253" s="6" t="str">
        <f t="array" ref="T253">IF(
  B253="",
  ,
  DATEDIF(
    B253 + IF(INDEX(Input!$K$7:$K1503,ROW()-1),0,1),
    C253 + IF(INDEX(Input!$L$7:$L1503,ROW()-1),1,0),
    "Y"
  )
)</f>
        <v/>
      </c>
      <c r="U253" s="6" t="str">
        <f t="array" ref="U253">IF(
  B253="",
  ,
  (C253 + IF(INDEX(Input!$L$7:$L1503,ROW()-1),1,0))
  - EDATE(
      B253 + IF(INDEX(Input!$K$7:$K1503,ROW()-1),0,1),
      12*S253
    )
)</f>
        <v/>
      </c>
      <c r="V253" s="6" t="str">
        <f t="shared" si="5"/>
        <v/>
      </c>
      <c r="W253" s="6" t="str">
        <f t="shared" si="6"/>
        <v/>
      </c>
    </row>
    <row r="254">
      <c r="A254" s="18"/>
      <c r="B254" s="18"/>
      <c r="C254" s="18"/>
      <c r="D254" s="18"/>
      <c r="E254" s="18"/>
      <c r="F254" s="18"/>
      <c r="G254" s="22"/>
      <c r="H254" s="18"/>
      <c r="I254" s="18">
        <v>0.0</v>
      </c>
      <c r="J254" s="18">
        <v>0.0</v>
      </c>
      <c r="K254" s="18"/>
      <c r="L254" s="18"/>
      <c r="M254" s="22" t="str">
        <f t="shared" si="1"/>
        <v/>
      </c>
      <c r="N254" s="18" t="str">
        <f>IF(A254="",,IF(ROW()=2, Input!$C$2 + I254, P253 + I254))</f>
        <v/>
      </c>
      <c r="O254" s="23" t="str">
        <f>IF(A254="",,
 IF(K254="Initial principal",
   Input!$C$2 * M254,
   N254 * M254
 )
)</f>
        <v/>
      </c>
      <c r="P254" s="18" t="str">
        <f t="shared" si="2"/>
        <v/>
      </c>
      <c r="Q254" s="18" t="str">
        <f t="shared" si="3"/>
        <v/>
      </c>
      <c r="R254" s="18" t="str">
        <f t="array" ref="R254">IF(
  B254="",
  ,
  SWITCH(
    Input!$C$4,
    "Actual/365 Fixed",
      YEARFRAC(
        B254 + IF(INDEX(Input!$K$7:$K1503,ROW()-1),0,1),
        C254 + IF(INDEX(Input!$L$7:$L1503,ROW()-1),1,0),
        3
      ),
    "Anniversary/365",
      DATEDIF(
        B254 + IF(INDEX(Input!$K$7:$K1503,ROW()-1),0,1),
        C254 + IF(INDEX(Input!$L$7:$L1503,ROW()-1),1,0),
        "Y"
      )
      +
      (
        (C254 + IF(INDEX(Input!$L$7:$L1503,ROW()-1),1,0))
        -
        EDATE(
          B254 + IF(INDEX(Input!$K$7:$K1503,ROW()-1),0,1),
          12*DATEDIF(
            B254 + IF(INDEX(Input!$K$7:$K1503,ROW()-1),0,1),
            C254 + IF(INDEX(Input!$L$7:$L1503,ROW()-1),1,0),
            "Y"
          )
        )
      ) / 365,
    "Actual/Actual",
      YEARFRAC(
        B254 + IF(INDEX(Input!$K$7:$K1503,ROW()-1),0,1),
        C254 + IF(INDEX(Input!$L$7:$L1503,ROW()-1),1,0),
        1
      ),
      YEARFRAC(
        B254 + IF(INDEX(Input!$K$7:$K1503,ROW()-1),0,1),
        C254 + IF(INDEX(Input!$L$7:$L1503,ROW()-1),1,0),
        3
      )
  )
)</f>
        <v/>
      </c>
      <c r="S254" s="22" t="str">
        <f t="shared" si="4"/>
        <v/>
      </c>
      <c r="T254" s="6" t="str">
        <f t="array" ref="T254">IF(
  B254="",
  ,
  DATEDIF(
    B254 + IF(INDEX(Input!$K$7:$K1503,ROW()-1),0,1),
    C254 + IF(INDEX(Input!$L$7:$L1503,ROW()-1),1,0),
    "Y"
  )
)</f>
        <v/>
      </c>
      <c r="U254" s="6" t="str">
        <f t="array" ref="U254">IF(
  B254="",
  ,
  (C254 + IF(INDEX(Input!$L$7:$L1503,ROW()-1),1,0))
  - EDATE(
      B254 + IF(INDEX(Input!$K$7:$K1503,ROW()-1),0,1),
      12*S254
    )
)</f>
        <v/>
      </c>
      <c r="V254" s="6" t="str">
        <f t="shared" si="5"/>
        <v/>
      </c>
      <c r="W254" s="6" t="str">
        <f t="shared" si="6"/>
        <v/>
      </c>
    </row>
    <row r="255">
      <c r="A255" s="18"/>
      <c r="B255" s="18"/>
      <c r="C255" s="18"/>
      <c r="D255" s="18"/>
      <c r="E255" s="18"/>
      <c r="F255" s="18"/>
      <c r="G255" s="22"/>
      <c r="H255" s="18"/>
      <c r="I255" s="18">
        <v>0.0</v>
      </c>
      <c r="J255" s="18">
        <v>0.0</v>
      </c>
      <c r="K255" s="18"/>
      <c r="L255" s="18"/>
      <c r="M255" s="22" t="str">
        <f t="shared" si="1"/>
        <v/>
      </c>
      <c r="N255" s="18" t="str">
        <f>IF(A255="",,IF(ROW()=2, Input!$C$2 + I255, P254 + I255))</f>
        <v/>
      </c>
      <c r="O255" s="23" t="str">
        <f>IF(A255="",,
 IF(K255="Initial principal",
   Input!$C$2 * M255,
   N255 * M255
 )
)</f>
        <v/>
      </c>
      <c r="P255" s="18" t="str">
        <f t="shared" si="2"/>
        <v/>
      </c>
      <c r="Q255" s="18" t="str">
        <f t="shared" si="3"/>
        <v/>
      </c>
      <c r="R255" s="18" t="str">
        <f t="array" ref="R255">IF(
  B255="",
  ,
  SWITCH(
    Input!$C$4,
    "Actual/365 Fixed",
      YEARFRAC(
        B255 + IF(INDEX(Input!$K$7:$K1503,ROW()-1),0,1),
        C255 + IF(INDEX(Input!$L$7:$L1503,ROW()-1),1,0),
        3
      ),
    "Anniversary/365",
      DATEDIF(
        B255 + IF(INDEX(Input!$K$7:$K1503,ROW()-1),0,1),
        C255 + IF(INDEX(Input!$L$7:$L1503,ROW()-1),1,0),
        "Y"
      )
      +
      (
        (C255 + IF(INDEX(Input!$L$7:$L1503,ROW()-1),1,0))
        -
        EDATE(
          B255 + IF(INDEX(Input!$K$7:$K1503,ROW()-1),0,1),
          12*DATEDIF(
            B255 + IF(INDEX(Input!$K$7:$K1503,ROW()-1),0,1),
            C255 + IF(INDEX(Input!$L$7:$L1503,ROW()-1),1,0),
            "Y"
          )
        )
      ) / 365,
    "Actual/Actual",
      YEARFRAC(
        B255 + IF(INDEX(Input!$K$7:$K1503,ROW()-1),0,1),
        C255 + IF(INDEX(Input!$L$7:$L1503,ROW()-1),1,0),
        1
      ),
      YEARFRAC(
        B255 + IF(INDEX(Input!$K$7:$K1503,ROW()-1),0,1),
        C255 + IF(INDEX(Input!$L$7:$L1503,ROW()-1),1,0),
        3
      )
  )
)</f>
        <v/>
      </c>
      <c r="S255" s="22" t="str">
        <f t="shared" si="4"/>
        <v/>
      </c>
      <c r="T255" s="6" t="str">
        <f t="array" ref="T255">IF(
  B255="",
  ,
  DATEDIF(
    B255 + IF(INDEX(Input!$K$7:$K1503,ROW()-1),0,1),
    C255 + IF(INDEX(Input!$L$7:$L1503,ROW()-1),1,0),
    "Y"
  )
)</f>
        <v/>
      </c>
      <c r="U255" s="6" t="str">
        <f t="array" ref="U255">IF(
  B255="",
  ,
  (C255 + IF(INDEX(Input!$L$7:$L1503,ROW()-1),1,0))
  - EDATE(
      B255 + IF(INDEX(Input!$K$7:$K1503,ROW()-1),0,1),
      12*S255
    )
)</f>
        <v/>
      </c>
      <c r="V255" s="6" t="str">
        <f t="shared" si="5"/>
        <v/>
      </c>
      <c r="W255" s="6" t="str">
        <f t="shared" si="6"/>
        <v/>
      </c>
    </row>
    <row r="256">
      <c r="A256" s="18"/>
      <c r="B256" s="18"/>
      <c r="C256" s="18"/>
      <c r="D256" s="18"/>
      <c r="E256" s="18"/>
      <c r="F256" s="18"/>
      <c r="G256" s="22"/>
      <c r="H256" s="18"/>
      <c r="I256" s="18">
        <v>0.0</v>
      </c>
      <c r="J256" s="18">
        <v>0.0</v>
      </c>
      <c r="K256" s="18"/>
      <c r="L256" s="18"/>
      <c r="M256" s="22" t="str">
        <f t="shared" si="1"/>
        <v/>
      </c>
      <c r="N256" s="18" t="str">
        <f>IF(A256="",,IF(ROW()=2, Input!$C$2 + I256, P255 + I256))</f>
        <v/>
      </c>
      <c r="O256" s="23" t="str">
        <f>IF(A256="",,
 IF(K256="Initial principal",
   Input!$C$2 * M256,
   N256 * M256
 )
)</f>
        <v/>
      </c>
      <c r="P256" s="18" t="str">
        <f t="shared" si="2"/>
        <v/>
      </c>
      <c r="Q256" s="18" t="str">
        <f t="shared" si="3"/>
        <v/>
      </c>
      <c r="R256" s="18" t="str">
        <f t="array" ref="R256">IF(
  B256="",
  ,
  SWITCH(
    Input!$C$4,
    "Actual/365 Fixed",
      YEARFRAC(
        B256 + IF(INDEX(Input!$K$7:$K1503,ROW()-1),0,1),
        C256 + IF(INDEX(Input!$L$7:$L1503,ROW()-1),1,0),
        3
      ),
    "Anniversary/365",
      DATEDIF(
        B256 + IF(INDEX(Input!$K$7:$K1503,ROW()-1),0,1),
        C256 + IF(INDEX(Input!$L$7:$L1503,ROW()-1),1,0),
        "Y"
      )
      +
      (
        (C256 + IF(INDEX(Input!$L$7:$L1503,ROW()-1),1,0))
        -
        EDATE(
          B256 + IF(INDEX(Input!$K$7:$K1503,ROW()-1),0,1),
          12*DATEDIF(
            B256 + IF(INDEX(Input!$K$7:$K1503,ROW()-1),0,1),
            C256 + IF(INDEX(Input!$L$7:$L1503,ROW()-1),1,0),
            "Y"
          )
        )
      ) / 365,
    "Actual/Actual",
      YEARFRAC(
        B256 + IF(INDEX(Input!$K$7:$K1503,ROW()-1),0,1),
        C256 + IF(INDEX(Input!$L$7:$L1503,ROW()-1),1,0),
        1
      ),
      YEARFRAC(
        B256 + IF(INDEX(Input!$K$7:$K1503,ROW()-1),0,1),
        C256 + IF(INDEX(Input!$L$7:$L1503,ROW()-1),1,0),
        3
      )
  )
)</f>
        <v/>
      </c>
      <c r="S256" s="22" t="str">
        <f t="shared" si="4"/>
        <v/>
      </c>
      <c r="T256" s="6" t="str">
        <f t="array" ref="T256">IF(
  B256="",
  ,
  DATEDIF(
    B256 + IF(INDEX(Input!$K$7:$K1503,ROW()-1),0,1),
    C256 + IF(INDEX(Input!$L$7:$L1503,ROW()-1),1,0),
    "Y"
  )
)</f>
        <v/>
      </c>
      <c r="U256" s="6" t="str">
        <f t="array" ref="U256">IF(
  B256="",
  ,
  (C256 + IF(INDEX(Input!$L$7:$L1503,ROW()-1),1,0))
  - EDATE(
      B256 + IF(INDEX(Input!$K$7:$K1503,ROW()-1),0,1),
      12*S256
    )
)</f>
        <v/>
      </c>
      <c r="V256" s="6" t="str">
        <f t="shared" si="5"/>
        <v/>
      </c>
      <c r="W256" s="6" t="str">
        <f t="shared" si="6"/>
        <v/>
      </c>
    </row>
    <row r="257">
      <c r="A257" s="18"/>
      <c r="B257" s="18"/>
      <c r="C257" s="18"/>
      <c r="D257" s="18"/>
      <c r="E257" s="18"/>
      <c r="F257" s="18"/>
      <c r="G257" s="22"/>
      <c r="H257" s="18"/>
      <c r="I257" s="18">
        <v>0.0</v>
      </c>
      <c r="J257" s="18">
        <v>0.0</v>
      </c>
      <c r="K257" s="18"/>
      <c r="L257" s="18"/>
      <c r="M257" s="22" t="str">
        <f t="shared" si="1"/>
        <v/>
      </c>
      <c r="N257" s="18" t="str">
        <f>IF(A257="",,IF(ROW()=2, Input!$C$2 + I257, P256 + I257))</f>
        <v/>
      </c>
      <c r="O257" s="23" t="str">
        <f>IF(A257="",,
 IF(K257="Initial principal",
   Input!$C$2 * M257,
   N257 * M257
 )
)</f>
        <v/>
      </c>
      <c r="P257" s="18" t="str">
        <f t="shared" si="2"/>
        <v/>
      </c>
      <c r="Q257" s="18" t="str">
        <f t="shared" si="3"/>
        <v/>
      </c>
      <c r="R257" s="18" t="str">
        <f t="array" ref="R257">IF(
  B257="",
  ,
  SWITCH(
    Input!$C$4,
    "Actual/365 Fixed",
      YEARFRAC(
        B257 + IF(INDEX(Input!$K$7:$K1503,ROW()-1),0,1),
        C257 + IF(INDEX(Input!$L$7:$L1503,ROW()-1),1,0),
        3
      ),
    "Anniversary/365",
      DATEDIF(
        B257 + IF(INDEX(Input!$K$7:$K1503,ROW()-1),0,1),
        C257 + IF(INDEX(Input!$L$7:$L1503,ROW()-1),1,0),
        "Y"
      )
      +
      (
        (C257 + IF(INDEX(Input!$L$7:$L1503,ROW()-1),1,0))
        -
        EDATE(
          B257 + IF(INDEX(Input!$K$7:$K1503,ROW()-1),0,1),
          12*DATEDIF(
            B257 + IF(INDEX(Input!$K$7:$K1503,ROW()-1),0,1),
            C257 + IF(INDEX(Input!$L$7:$L1503,ROW()-1),1,0),
            "Y"
          )
        )
      ) / 365,
    "Actual/Actual",
      YEARFRAC(
        B257 + IF(INDEX(Input!$K$7:$K1503,ROW()-1),0,1),
        C257 + IF(INDEX(Input!$L$7:$L1503,ROW()-1),1,0),
        1
      ),
      YEARFRAC(
        B257 + IF(INDEX(Input!$K$7:$K1503,ROW()-1),0,1),
        C257 + IF(INDEX(Input!$L$7:$L1503,ROW()-1),1,0),
        3
      )
  )
)</f>
        <v/>
      </c>
      <c r="S257" s="22" t="str">
        <f t="shared" si="4"/>
        <v/>
      </c>
      <c r="T257" s="6" t="str">
        <f t="array" ref="T257">IF(
  B257="",
  ,
  DATEDIF(
    B257 + IF(INDEX(Input!$K$7:$K1503,ROW()-1),0,1),
    C257 + IF(INDEX(Input!$L$7:$L1503,ROW()-1),1,0),
    "Y"
  )
)</f>
        <v/>
      </c>
      <c r="U257" s="6" t="str">
        <f t="array" ref="U257">IF(
  B257="",
  ,
  (C257 + IF(INDEX(Input!$L$7:$L1503,ROW()-1),1,0))
  - EDATE(
      B257 + IF(INDEX(Input!$K$7:$K1503,ROW()-1),0,1),
      12*S257
    )
)</f>
        <v/>
      </c>
      <c r="V257" s="6" t="str">
        <f t="shared" si="5"/>
        <v/>
      </c>
      <c r="W257" s="6" t="str">
        <f t="shared" si="6"/>
        <v/>
      </c>
    </row>
    <row r="258">
      <c r="A258" s="18"/>
      <c r="B258" s="18"/>
      <c r="C258" s="18"/>
      <c r="D258" s="18"/>
      <c r="E258" s="18"/>
      <c r="F258" s="18"/>
      <c r="G258" s="22"/>
      <c r="H258" s="18"/>
      <c r="I258" s="18">
        <v>0.0</v>
      </c>
      <c r="J258" s="18">
        <v>0.0</v>
      </c>
      <c r="K258" s="18"/>
      <c r="L258" s="18"/>
      <c r="M258" s="22" t="str">
        <f t="shared" si="1"/>
        <v/>
      </c>
      <c r="N258" s="18" t="str">
        <f>IF(A258="",,IF(ROW()=2, Input!$C$2 + I258, P257 + I258))</f>
        <v/>
      </c>
      <c r="O258" s="23" t="str">
        <f>IF(A258="",,
 IF(K258="Initial principal",
   Input!$C$2 * M258,
   N258 * M258
 )
)</f>
        <v/>
      </c>
      <c r="P258" s="18" t="str">
        <f t="shared" si="2"/>
        <v/>
      </c>
      <c r="Q258" s="18" t="str">
        <f t="shared" si="3"/>
        <v/>
      </c>
      <c r="R258" s="18" t="str">
        <f t="array" ref="R258">IF(
  B258="",
  ,
  SWITCH(
    Input!$C$4,
    "Actual/365 Fixed",
      YEARFRAC(
        B258 + IF(INDEX(Input!$K$7:$K1503,ROW()-1),0,1),
        C258 + IF(INDEX(Input!$L$7:$L1503,ROW()-1),1,0),
        3
      ),
    "Anniversary/365",
      DATEDIF(
        B258 + IF(INDEX(Input!$K$7:$K1503,ROW()-1),0,1),
        C258 + IF(INDEX(Input!$L$7:$L1503,ROW()-1),1,0),
        "Y"
      )
      +
      (
        (C258 + IF(INDEX(Input!$L$7:$L1503,ROW()-1),1,0))
        -
        EDATE(
          B258 + IF(INDEX(Input!$K$7:$K1503,ROW()-1),0,1),
          12*DATEDIF(
            B258 + IF(INDEX(Input!$K$7:$K1503,ROW()-1),0,1),
            C258 + IF(INDEX(Input!$L$7:$L1503,ROW()-1),1,0),
            "Y"
          )
        )
      ) / 365,
    "Actual/Actual",
      YEARFRAC(
        B258 + IF(INDEX(Input!$K$7:$K1503,ROW()-1),0,1),
        C258 + IF(INDEX(Input!$L$7:$L1503,ROW()-1),1,0),
        1
      ),
      YEARFRAC(
        B258 + IF(INDEX(Input!$K$7:$K1503,ROW()-1),0,1),
        C258 + IF(INDEX(Input!$L$7:$L1503,ROW()-1),1,0),
        3
      )
  )
)</f>
        <v/>
      </c>
      <c r="S258" s="22" t="str">
        <f t="shared" si="4"/>
        <v/>
      </c>
      <c r="T258" s="6" t="str">
        <f t="array" ref="T258">IF(
  B258="",
  ,
  DATEDIF(
    B258 + IF(INDEX(Input!$K$7:$K1503,ROW()-1),0,1),
    C258 + IF(INDEX(Input!$L$7:$L1503,ROW()-1),1,0),
    "Y"
  )
)</f>
        <v/>
      </c>
      <c r="U258" s="6" t="str">
        <f t="array" ref="U258">IF(
  B258="",
  ,
  (C258 + IF(INDEX(Input!$L$7:$L1503,ROW()-1),1,0))
  - EDATE(
      B258 + IF(INDEX(Input!$K$7:$K1503,ROW()-1),0,1),
      12*S258
    )
)</f>
        <v/>
      </c>
      <c r="V258" s="6" t="str">
        <f t="shared" si="5"/>
        <v/>
      </c>
      <c r="W258" s="6" t="str">
        <f t="shared" si="6"/>
        <v/>
      </c>
    </row>
    <row r="259">
      <c r="A259" s="18"/>
      <c r="B259" s="18"/>
      <c r="C259" s="18"/>
      <c r="D259" s="18"/>
      <c r="E259" s="18"/>
      <c r="F259" s="18"/>
      <c r="G259" s="22"/>
      <c r="H259" s="18"/>
      <c r="I259" s="18">
        <v>0.0</v>
      </c>
      <c r="J259" s="18">
        <v>0.0</v>
      </c>
      <c r="K259" s="18"/>
      <c r="L259" s="18"/>
      <c r="M259" s="22" t="str">
        <f t="shared" si="1"/>
        <v/>
      </c>
      <c r="N259" s="18" t="str">
        <f>IF(A259="",,IF(ROW()=2, Input!$C$2 + I259, P258 + I259))</f>
        <v/>
      </c>
      <c r="O259" s="23" t="str">
        <f>IF(A259="",,
 IF(K259="Initial principal",
   Input!$C$2 * M259,
   N259 * M259
 )
)</f>
        <v/>
      </c>
      <c r="P259" s="18" t="str">
        <f t="shared" si="2"/>
        <v/>
      </c>
      <c r="Q259" s="18" t="str">
        <f t="shared" si="3"/>
        <v/>
      </c>
      <c r="R259" s="18" t="str">
        <f t="array" ref="R259">IF(
  B259="",
  ,
  SWITCH(
    Input!$C$4,
    "Actual/365 Fixed",
      YEARFRAC(
        B259 + IF(INDEX(Input!$K$7:$K1503,ROW()-1),0,1),
        C259 + IF(INDEX(Input!$L$7:$L1503,ROW()-1),1,0),
        3
      ),
    "Anniversary/365",
      DATEDIF(
        B259 + IF(INDEX(Input!$K$7:$K1503,ROW()-1),0,1),
        C259 + IF(INDEX(Input!$L$7:$L1503,ROW()-1),1,0),
        "Y"
      )
      +
      (
        (C259 + IF(INDEX(Input!$L$7:$L1503,ROW()-1),1,0))
        -
        EDATE(
          B259 + IF(INDEX(Input!$K$7:$K1503,ROW()-1),0,1),
          12*DATEDIF(
            B259 + IF(INDEX(Input!$K$7:$K1503,ROW()-1),0,1),
            C259 + IF(INDEX(Input!$L$7:$L1503,ROW()-1),1,0),
            "Y"
          )
        )
      ) / 365,
    "Actual/Actual",
      YEARFRAC(
        B259 + IF(INDEX(Input!$K$7:$K1503,ROW()-1),0,1),
        C259 + IF(INDEX(Input!$L$7:$L1503,ROW()-1),1,0),
        1
      ),
      YEARFRAC(
        B259 + IF(INDEX(Input!$K$7:$K1503,ROW()-1),0,1),
        C259 + IF(INDEX(Input!$L$7:$L1503,ROW()-1),1,0),
        3
      )
  )
)</f>
        <v/>
      </c>
      <c r="S259" s="22" t="str">
        <f t="shared" si="4"/>
        <v/>
      </c>
      <c r="T259" s="6" t="str">
        <f t="array" ref="T259">IF(
  B259="",
  ,
  DATEDIF(
    B259 + IF(INDEX(Input!$K$7:$K1503,ROW()-1),0,1),
    C259 + IF(INDEX(Input!$L$7:$L1503,ROW()-1),1,0),
    "Y"
  )
)</f>
        <v/>
      </c>
      <c r="U259" s="6" t="str">
        <f t="array" ref="U259">IF(
  B259="",
  ,
  (C259 + IF(INDEX(Input!$L$7:$L1503,ROW()-1),1,0))
  - EDATE(
      B259 + IF(INDEX(Input!$K$7:$K1503,ROW()-1),0,1),
      12*S259
    )
)</f>
        <v/>
      </c>
      <c r="V259" s="6" t="str">
        <f t="shared" si="5"/>
        <v/>
      </c>
      <c r="W259" s="6" t="str">
        <f t="shared" si="6"/>
        <v/>
      </c>
    </row>
    <row r="260">
      <c r="A260" s="18"/>
      <c r="B260" s="18"/>
      <c r="C260" s="18"/>
      <c r="D260" s="18"/>
      <c r="E260" s="18"/>
      <c r="F260" s="18"/>
      <c r="G260" s="22"/>
      <c r="H260" s="18"/>
      <c r="I260" s="18">
        <v>0.0</v>
      </c>
      <c r="J260" s="18">
        <v>0.0</v>
      </c>
      <c r="K260" s="18"/>
      <c r="L260" s="18"/>
      <c r="M260" s="22" t="str">
        <f t="shared" si="1"/>
        <v/>
      </c>
      <c r="N260" s="18" t="str">
        <f>IF(A260="",,IF(ROW()=2, Input!$C$2 + I260, P259 + I260))</f>
        <v/>
      </c>
      <c r="O260" s="23" t="str">
        <f>IF(A260="",,
 IF(K260="Initial principal",
   Input!$C$2 * M260,
   N260 * M260
 )
)</f>
        <v/>
      </c>
      <c r="P260" s="18" t="str">
        <f t="shared" si="2"/>
        <v/>
      </c>
      <c r="Q260" s="18" t="str">
        <f t="shared" si="3"/>
        <v/>
      </c>
      <c r="R260" s="18" t="str">
        <f t="array" ref="R260">IF(
  B260="",
  ,
  SWITCH(
    Input!$C$4,
    "Actual/365 Fixed",
      YEARFRAC(
        B260 + IF(INDEX(Input!$K$7:$K1503,ROW()-1),0,1),
        C260 + IF(INDEX(Input!$L$7:$L1503,ROW()-1),1,0),
        3
      ),
    "Anniversary/365",
      DATEDIF(
        B260 + IF(INDEX(Input!$K$7:$K1503,ROW()-1),0,1),
        C260 + IF(INDEX(Input!$L$7:$L1503,ROW()-1),1,0),
        "Y"
      )
      +
      (
        (C260 + IF(INDEX(Input!$L$7:$L1503,ROW()-1),1,0))
        -
        EDATE(
          B260 + IF(INDEX(Input!$K$7:$K1503,ROW()-1),0,1),
          12*DATEDIF(
            B260 + IF(INDEX(Input!$K$7:$K1503,ROW()-1),0,1),
            C260 + IF(INDEX(Input!$L$7:$L1503,ROW()-1),1,0),
            "Y"
          )
        )
      ) / 365,
    "Actual/Actual",
      YEARFRAC(
        B260 + IF(INDEX(Input!$K$7:$K1503,ROW()-1),0,1),
        C260 + IF(INDEX(Input!$L$7:$L1503,ROW()-1),1,0),
        1
      ),
      YEARFRAC(
        B260 + IF(INDEX(Input!$K$7:$K1503,ROW()-1),0,1),
        C260 + IF(INDEX(Input!$L$7:$L1503,ROW()-1),1,0),
        3
      )
  )
)</f>
        <v/>
      </c>
      <c r="S260" s="22" t="str">
        <f t="shared" si="4"/>
        <v/>
      </c>
      <c r="T260" s="6" t="str">
        <f t="array" ref="T260">IF(
  B260="",
  ,
  DATEDIF(
    B260 + IF(INDEX(Input!$K$7:$K1503,ROW()-1),0,1),
    C260 + IF(INDEX(Input!$L$7:$L1503,ROW()-1),1,0),
    "Y"
  )
)</f>
        <v/>
      </c>
      <c r="U260" s="6" t="str">
        <f t="array" ref="U260">IF(
  B260="",
  ,
  (C260 + IF(INDEX(Input!$L$7:$L1503,ROW()-1),1,0))
  - EDATE(
      B260 + IF(INDEX(Input!$K$7:$K1503,ROW()-1),0,1),
      12*S260
    )
)</f>
        <v/>
      </c>
      <c r="V260" s="6" t="str">
        <f t="shared" si="5"/>
        <v/>
      </c>
      <c r="W260" s="6" t="str">
        <f t="shared" si="6"/>
        <v/>
      </c>
    </row>
    <row r="261">
      <c r="A261" s="18"/>
      <c r="B261" s="18"/>
      <c r="C261" s="18"/>
      <c r="D261" s="18"/>
      <c r="E261" s="18"/>
      <c r="F261" s="18"/>
      <c r="G261" s="22"/>
      <c r="H261" s="18"/>
      <c r="I261" s="18">
        <v>0.0</v>
      </c>
      <c r="J261" s="18">
        <v>0.0</v>
      </c>
      <c r="K261" s="18"/>
      <c r="L261" s="18"/>
      <c r="M261" s="22" t="str">
        <f t="shared" si="1"/>
        <v/>
      </c>
      <c r="N261" s="18" t="str">
        <f>IF(A261="",,IF(ROW()=2, Input!$C$2 + I261, P260 + I261))</f>
        <v/>
      </c>
      <c r="O261" s="23" t="str">
        <f>IF(A261="",,
 IF(K261="Initial principal",
   Input!$C$2 * M261,
   N261 * M261
 )
)</f>
        <v/>
      </c>
      <c r="P261" s="18" t="str">
        <f t="shared" si="2"/>
        <v/>
      </c>
      <c r="Q261" s="18" t="str">
        <f t="shared" si="3"/>
        <v/>
      </c>
      <c r="R261" s="18" t="str">
        <f t="array" ref="R261">IF(
  B261="",
  ,
  SWITCH(
    Input!$C$4,
    "Actual/365 Fixed",
      YEARFRAC(
        B261 + IF(INDEX(Input!$K$7:$K1503,ROW()-1),0,1),
        C261 + IF(INDEX(Input!$L$7:$L1503,ROW()-1),1,0),
        3
      ),
    "Anniversary/365",
      DATEDIF(
        B261 + IF(INDEX(Input!$K$7:$K1503,ROW()-1),0,1),
        C261 + IF(INDEX(Input!$L$7:$L1503,ROW()-1),1,0),
        "Y"
      )
      +
      (
        (C261 + IF(INDEX(Input!$L$7:$L1503,ROW()-1),1,0))
        -
        EDATE(
          B261 + IF(INDEX(Input!$K$7:$K1503,ROW()-1),0,1),
          12*DATEDIF(
            B261 + IF(INDEX(Input!$K$7:$K1503,ROW()-1),0,1),
            C261 + IF(INDEX(Input!$L$7:$L1503,ROW()-1),1,0),
            "Y"
          )
        )
      ) / 365,
    "Actual/Actual",
      YEARFRAC(
        B261 + IF(INDEX(Input!$K$7:$K1503,ROW()-1),0,1),
        C261 + IF(INDEX(Input!$L$7:$L1503,ROW()-1),1,0),
        1
      ),
      YEARFRAC(
        B261 + IF(INDEX(Input!$K$7:$K1503,ROW()-1),0,1),
        C261 + IF(INDEX(Input!$L$7:$L1503,ROW()-1),1,0),
        3
      )
  )
)</f>
        <v/>
      </c>
      <c r="S261" s="22" t="str">
        <f t="shared" si="4"/>
        <v/>
      </c>
      <c r="T261" s="6" t="str">
        <f t="array" ref="T261">IF(
  B261="",
  ,
  DATEDIF(
    B261 + IF(INDEX(Input!$K$7:$K1503,ROW()-1),0,1),
    C261 + IF(INDEX(Input!$L$7:$L1503,ROW()-1),1,0),
    "Y"
  )
)</f>
        <v/>
      </c>
      <c r="U261" s="6" t="str">
        <f t="array" ref="U261">IF(
  B261="",
  ,
  (C261 + IF(INDEX(Input!$L$7:$L1503,ROW()-1),1,0))
  - EDATE(
      B261 + IF(INDEX(Input!$K$7:$K1503,ROW()-1),0,1),
      12*S261
    )
)</f>
        <v/>
      </c>
      <c r="V261" s="6" t="str">
        <f t="shared" si="5"/>
        <v/>
      </c>
      <c r="W261" s="6" t="str">
        <f t="shared" si="6"/>
        <v/>
      </c>
    </row>
    <row r="262">
      <c r="A262" s="18"/>
      <c r="B262" s="18"/>
      <c r="C262" s="18"/>
      <c r="D262" s="18"/>
      <c r="E262" s="18"/>
      <c r="F262" s="18"/>
      <c r="G262" s="22"/>
      <c r="H262" s="18"/>
      <c r="I262" s="18">
        <v>0.0</v>
      </c>
      <c r="J262" s="18">
        <v>0.0</v>
      </c>
      <c r="K262" s="18"/>
      <c r="L262" s="18"/>
      <c r="M262" s="22" t="str">
        <f t="shared" si="1"/>
        <v/>
      </c>
      <c r="N262" s="18" t="str">
        <f>IF(A262="",,IF(ROW()=2, Input!$C$2 + I262, P261 + I262))</f>
        <v/>
      </c>
      <c r="O262" s="23" t="str">
        <f>IF(A262="",,
 IF(K262="Initial principal",
   Input!$C$2 * M262,
   N262 * M262
 )
)</f>
        <v/>
      </c>
      <c r="P262" s="18" t="str">
        <f t="shared" si="2"/>
        <v/>
      </c>
      <c r="Q262" s="18" t="str">
        <f t="shared" si="3"/>
        <v/>
      </c>
      <c r="R262" s="18" t="str">
        <f t="array" ref="R262">IF(
  B262="",
  ,
  SWITCH(
    Input!$C$4,
    "Actual/365 Fixed",
      YEARFRAC(
        B262 + IF(INDEX(Input!$K$7:$K1503,ROW()-1),0,1),
        C262 + IF(INDEX(Input!$L$7:$L1503,ROW()-1),1,0),
        3
      ),
    "Anniversary/365",
      DATEDIF(
        B262 + IF(INDEX(Input!$K$7:$K1503,ROW()-1),0,1),
        C262 + IF(INDEX(Input!$L$7:$L1503,ROW()-1),1,0),
        "Y"
      )
      +
      (
        (C262 + IF(INDEX(Input!$L$7:$L1503,ROW()-1),1,0))
        -
        EDATE(
          B262 + IF(INDEX(Input!$K$7:$K1503,ROW()-1),0,1),
          12*DATEDIF(
            B262 + IF(INDEX(Input!$K$7:$K1503,ROW()-1),0,1),
            C262 + IF(INDEX(Input!$L$7:$L1503,ROW()-1),1,0),
            "Y"
          )
        )
      ) / 365,
    "Actual/Actual",
      YEARFRAC(
        B262 + IF(INDEX(Input!$K$7:$K1503,ROW()-1),0,1),
        C262 + IF(INDEX(Input!$L$7:$L1503,ROW()-1),1,0),
        1
      ),
      YEARFRAC(
        B262 + IF(INDEX(Input!$K$7:$K1503,ROW()-1),0,1),
        C262 + IF(INDEX(Input!$L$7:$L1503,ROW()-1),1,0),
        3
      )
  )
)</f>
        <v/>
      </c>
      <c r="S262" s="22" t="str">
        <f t="shared" si="4"/>
        <v/>
      </c>
      <c r="T262" s="6" t="str">
        <f t="array" ref="T262">IF(
  B262="",
  ,
  DATEDIF(
    B262 + IF(INDEX(Input!$K$7:$K1503,ROW()-1),0,1),
    C262 + IF(INDEX(Input!$L$7:$L1503,ROW()-1),1,0),
    "Y"
  )
)</f>
        <v/>
      </c>
      <c r="U262" s="6" t="str">
        <f t="array" ref="U262">IF(
  B262="",
  ,
  (C262 + IF(INDEX(Input!$L$7:$L1503,ROW()-1),1,0))
  - EDATE(
      B262 + IF(INDEX(Input!$K$7:$K1503,ROW()-1),0,1),
      12*S262
    )
)</f>
        <v/>
      </c>
      <c r="V262" s="6" t="str">
        <f t="shared" si="5"/>
        <v/>
      </c>
      <c r="W262" s="6" t="str">
        <f t="shared" si="6"/>
        <v/>
      </c>
    </row>
    <row r="263">
      <c r="A263" s="18"/>
      <c r="B263" s="18"/>
      <c r="C263" s="18"/>
      <c r="D263" s="18"/>
      <c r="E263" s="18"/>
      <c r="F263" s="18"/>
      <c r="G263" s="22"/>
      <c r="H263" s="18"/>
      <c r="I263" s="18">
        <v>0.0</v>
      </c>
      <c r="J263" s="18">
        <v>0.0</v>
      </c>
      <c r="K263" s="18"/>
      <c r="L263" s="18"/>
      <c r="M263" s="22" t="str">
        <f t="shared" si="1"/>
        <v/>
      </c>
      <c r="N263" s="18" t="str">
        <f>IF(A263="",,IF(ROW()=2, Input!$C$2 + I263, P262 + I263))</f>
        <v/>
      </c>
      <c r="O263" s="23" t="str">
        <f>IF(A263="",,
 IF(K263="Initial principal",
   Input!$C$2 * M263,
   N263 * M263
 )
)</f>
        <v/>
      </c>
      <c r="P263" s="18" t="str">
        <f t="shared" si="2"/>
        <v/>
      </c>
      <c r="Q263" s="18" t="str">
        <f t="shared" si="3"/>
        <v/>
      </c>
      <c r="R263" s="18" t="str">
        <f t="array" ref="R263">IF(
  B263="",
  ,
  SWITCH(
    Input!$C$4,
    "Actual/365 Fixed",
      YEARFRAC(
        B263 + IF(INDEX(Input!$K$7:$K1503,ROW()-1),0,1),
        C263 + IF(INDEX(Input!$L$7:$L1503,ROW()-1),1,0),
        3
      ),
    "Anniversary/365",
      DATEDIF(
        B263 + IF(INDEX(Input!$K$7:$K1503,ROW()-1),0,1),
        C263 + IF(INDEX(Input!$L$7:$L1503,ROW()-1),1,0),
        "Y"
      )
      +
      (
        (C263 + IF(INDEX(Input!$L$7:$L1503,ROW()-1),1,0))
        -
        EDATE(
          B263 + IF(INDEX(Input!$K$7:$K1503,ROW()-1),0,1),
          12*DATEDIF(
            B263 + IF(INDEX(Input!$K$7:$K1503,ROW()-1),0,1),
            C263 + IF(INDEX(Input!$L$7:$L1503,ROW()-1),1,0),
            "Y"
          )
        )
      ) / 365,
    "Actual/Actual",
      YEARFRAC(
        B263 + IF(INDEX(Input!$K$7:$K1503,ROW()-1),0,1),
        C263 + IF(INDEX(Input!$L$7:$L1503,ROW()-1),1,0),
        1
      ),
      YEARFRAC(
        B263 + IF(INDEX(Input!$K$7:$K1503,ROW()-1),0,1),
        C263 + IF(INDEX(Input!$L$7:$L1503,ROW()-1),1,0),
        3
      )
  )
)</f>
        <v/>
      </c>
      <c r="S263" s="22" t="str">
        <f t="shared" si="4"/>
        <v/>
      </c>
      <c r="T263" s="6" t="str">
        <f t="array" ref="T263">IF(
  B263="",
  ,
  DATEDIF(
    B263 + IF(INDEX(Input!$K$7:$K1503,ROW()-1),0,1),
    C263 + IF(INDEX(Input!$L$7:$L1503,ROW()-1),1,0),
    "Y"
  )
)</f>
        <v/>
      </c>
      <c r="U263" s="6" t="str">
        <f t="array" ref="U263">IF(
  B263="",
  ,
  (C263 + IF(INDEX(Input!$L$7:$L1503,ROW()-1),1,0))
  - EDATE(
      B263 + IF(INDEX(Input!$K$7:$K1503,ROW()-1),0,1),
      12*S263
    )
)</f>
        <v/>
      </c>
      <c r="V263" s="6" t="str">
        <f t="shared" si="5"/>
        <v/>
      </c>
      <c r="W263" s="6" t="str">
        <f t="shared" si="6"/>
        <v/>
      </c>
    </row>
    <row r="264">
      <c r="A264" s="18"/>
      <c r="B264" s="18"/>
      <c r="C264" s="18"/>
      <c r="D264" s="18"/>
      <c r="E264" s="18"/>
      <c r="F264" s="18"/>
      <c r="G264" s="22"/>
      <c r="H264" s="18"/>
      <c r="I264" s="18">
        <v>0.0</v>
      </c>
      <c r="J264" s="18">
        <v>0.0</v>
      </c>
      <c r="K264" s="18"/>
      <c r="L264" s="18"/>
      <c r="M264" s="22" t="str">
        <f t="shared" si="1"/>
        <v/>
      </c>
      <c r="N264" s="18" t="str">
        <f>IF(A264="",,IF(ROW()=2, Input!$C$2 + I264, P263 + I264))</f>
        <v/>
      </c>
      <c r="O264" s="23" t="str">
        <f>IF(A264="",,
 IF(K264="Initial principal",
   Input!$C$2 * M264,
   N264 * M264
 )
)</f>
        <v/>
      </c>
      <c r="P264" s="18" t="str">
        <f t="shared" si="2"/>
        <v/>
      </c>
      <c r="Q264" s="18" t="str">
        <f t="shared" si="3"/>
        <v/>
      </c>
      <c r="R264" s="18" t="str">
        <f t="array" ref="R264">IF(
  B264="",
  ,
  SWITCH(
    Input!$C$4,
    "Actual/365 Fixed",
      YEARFRAC(
        B264 + IF(INDEX(Input!$K$7:$K1503,ROW()-1),0,1),
        C264 + IF(INDEX(Input!$L$7:$L1503,ROW()-1),1,0),
        3
      ),
    "Anniversary/365",
      DATEDIF(
        B264 + IF(INDEX(Input!$K$7:$K1503,ROW()-1),0,1),
        C264 + IF(INDEX(Input!$L$7:$L1503,ROW()-1),1,0),
        "Y"
      )
      +
      (
        (C264 + IF(INDEX(Input!$L$7:$L1503,ROW()-1),1,0))
        -
        EDATE(
          B264 + IF(INDEX(Input!$K$7:$K1503,ROW()-1),0,1),
          12*DATEDIF(
            B264 + IF(INDEX(Input!$K$7:$K1503,ROW()-1),0,1),
            C264 + IF(INDEX(Input!$L$7:$L1503,ROW()-1),1,0),
            "Y"
          )
        )
      ) / 365,
    "Actual/Actual",
      YEARFRAC(
        B264 + IF(INDEX(Input!$K$7:$K1503,ROW()-1),0,1),
        C264 + IF(INDEX(Input!$L$7:$L1503,ROW()-1),1,0),
        1
      ),
      YEARFRAC(
        B264 + IF(INDEX(Input!$K$7:$K1503,ROW()-1),0,1),
        C264 + IF(INDEX(Input!$L$7:$L1503,ROW()-1),1,0),
        3
      )
  )
)</f>
        <v/>
      </c>
      <c r="S264" s="22" t="str">
        <f t="shared" si="4"/>
        <v/>
      </c>
      <c r="T264" s="6" t="str">
        <f t="array" ref="T264">IF(
  B264="",
  ,
  DATEDIF(
    B264 + IF(INDEX(Input!$K$7:$K1503,ROW()-1),0,1),
    C264 + IF(INDEX(Input!$L$7:$L1503,ROW()-1),1,0),
    "Y"
  )
)</f>
        <v/>
      </c>
      <c r="U264" s="6" t="str">
        <f t="array" ref="U264">IF(
  B264="",
  ,
  (C264 + IF(INDEX(Input!$L$7:$L1503,ROW()-1),1,0))
  - EDATE(
      B264 + IF(INDEX(Input!$K$7:$K1503,ROW()-1),0,1),
      12*S264
    )
)</f>
        <v/>
      </c>
      <c r="V264" s="6" t="str">
        <f t="shared" si="5"/>
        <v/>
      </c>
      <c r="W264" s="6" t="str">
        <f t="shared" si="6"/>
        <v/>
      </c>
    </row>
    <row r="265">
      <c r="A265" s="18"/>
      <c r="B265" s="18"/>
      <c r="C265" s="18"/>
      <c r="D265" s="18"/>
      <c r="E265" s="18"/>
      <c r="F265" s="18"/>
      <c r="G265" s="22"/>
      <c r="H265" s="18"/>
      <c r="I265" s="18">
        <v>0.0</v>
      </c>
      <c r="J265" s="18">
        <v>0.0</v>
      </c>
      <c r="K265" s="18"/>
      <c r="L265" s="18"/>
      <c r="M265" s="22" t="str">
        <f t="shared" si="1"/>
        <v/>
      </c>
      <c r="N265" s="18" t="str">
        <f>IF(A265="",,IF(ROW()=2, Input!$C$2 + I265, P264 + I265))</f>
        <v/>
      </c>
      <c r="O265" s="23" t="str">
        <f>IF(A265="",,
 IF(K265="Initial principal",
   Input!$C$2 * M265,
   N265 * M265
 )
)</f>
        <v/>
      </c>
      <c r="P265" s="18" t="str">
        <f t="shared" si="2"/>
        <v/>
      </c>
      <c r="Q265" s="18" t="str">
        <f t="shared" si="3"/>
        <v/>
      </c>
      <c r="R265" s="18" t="str">
        <f t="array" ref="R265">IF(
  B265="",
  ,
  SWITCH(
    Input!$C$4,
    "Actual/365 Fixed",
      YEARFRAC(
        B265 + IF(INDEX(Input!$K$7:$K1503,ROW()-1),0,1),
        C265 + IF(INDEX(Input!$L$7:$L1503,ROW()-1),1,0),
        3
      ),
    "Anniversary/365",
      DATEDIF(
        B265 + IF(INDEX(Input!$K$7:$K1503,ROW()-1),0,1),
        C265 + IF(INDEX(Input!$L$7:$L1503,ROW()-1),1,0),
        "Y"
      )
      +
      (
        (C265 + IF(INDEX(Input!$L$7:$L1503,ROW()-1),1,0))
        -
        EDATE(
          B265 + IF(INDEX(Input!$K$7:$K1503,ROW()-1),0,1),
          12*DATEDIF(
            B265 + IF(INDEX(Input!$K$7:$K1503,ROW()-1),0,1),
            C265 + IF(INDEX(Input!$L$7:$L1503,ROW()-1),1,0),
            "Y"
          )
        )
      ) / 365,
    "Actual/Actual",
      YEARFRAC(
        B265 + IF(INDEX(Input!$K$7:$K1503,ROW()-1),0,1),
        C265 + IF(INDEX(Input!$L$7:$L1503,ROW()-1),1,0),
        1
      ),
      YEARFRAC(
        B265 + IF(INDEX(Input!$K$7:$K1503,ROW()-1),0,1),
        C265 + IF(INDEX(Input!$L$7:$L1503,ROW()-1),1,0),
        3
      )
  )
)</f>
        <v/>
      </c>
      <c r="S265" s="22" t="str">
        <f t="shared" si="4"/>
        <v/>
      </c>
      <c r="T265" s="6" t="str">
        <f t="array" ref="T265">IF(
  B265="",
  ,
  DATEDIF(
    B265 + IF(INDEX(Input!$K$7:$K1503,ROW()-1),0,1),
    C265 + IF(INDEX(Input!$L$7:$L1503,ROW()-1),1,0),
    "Y"
  )
)</f>
        <v/>
      </c>
      <c r="U265" s="6" t="str">
        <f t="array" ref="U265">IF(
  B265="",
  ,
  (C265 + IF(INDEX(Input!$L$7:$L1503,ROW()-1),1,0))
  - EDATE(
      B265 + IF(INDEX(Input!$K$7:$K1503,ROW()-1),0,1),
      12*S265
    )
)</f>
        <v/>
      </c>
      <c r="V265" s="6" t="str">
        <f t="shared" si="5"/>
        <v/>
      </c>
      <c r="W265" s="6" t="str">
        <f t="shared" si="6"/>
        <v/>
      </c>
    </row>
    <row r="266">
      <c r="A266" s="18"/>
      <c r="B266" s="18"/>
      <c r="C266" s="18"/>
      <c r="D266" s="18"/>
      <c r="E266" s="18"/>
      <c r="F266" s="18"/>
      <c r="G266" s="22"/>
      <c r="H266" s="18"/>
      <c r="I266" s="18">
        <v>0.0</v>
      </c>
      <c r="J266" s="18">
        <v>0.0</v>
      </c>
      <c r="K266" s="18"/>
      <c r="L266" s="18"/>
      <c r="M266" s="22" t="str">
        <f t="shared" si="1"/>
        <v/>
      </c>
      <c r="N266" s="18" t="str">
        <f>IF(A266="",,IF(ROW()=2, Input!$C$2 + I266, P265 + I266))</f>
        <v/>
      </c>
      <c r="O266" s="23" t="str">
        <f>IF(A266="",,
 IF(K266="Initial principal",
   Input!$C$2 * M266,
   N266 * M266
 )
)</f>
        <v/>
      </c>
      <c r="P266" s="18" t="str">
        <f t="shared" si="2"/>
        <v/>
      </c>
      <c r="Q266" s="18" t="str">
        <f t="shared" si="3"/>
        <v/>
      </c>
      <c r="R266" s="18" t="str">
        <f t="array" ref="R266">IF(
  B266="",
  ,
  SWITCH(
    Input!$C$4,
    "Actual/365 Fixed",
      YEARFRAC(
        B266 + IF(INDEX(Input!$K$7:$K1503,ROW()-1),0,1),
        C266 + IF(INDEX(Input!$L$7:$L1503,ROW()-1),1,0),
        3
      ),
    "Anniversary/365",
      DATEDIF(
        B266 + IF(INDEX(Input!$K$7:$K1503,ROW()-1),0,1),
        C266 + IF(INDEX(Input!$L$7:$L1503,ROW()-1),1,0),
        "Y"
      )
      +
      (
        (C266 + IF(INDEX(Input!$L$7:$L1503,ROW()-1),1,0))
        -
        EDATE(
          B266 + IF(INDEX(Input!$K$7:$K1503,ROW()-1),0,1),
          12*DATEDIF(
            B266 + IF(INDEX(Input!$K$7:$K1503,ROW()-1),0,1),
            C266 + IF(INDEX(Input!$L$7:$L1503,ROW()-1),1,0),
            "Y"
          )
        )
      ) / 365,
    "Actual/Actual",
      YEARFRAC(
        B266 + IF(INDEX(Input!$K$7:$K1503,ROW()-1),0,1),
        C266 + IF(INDEX(Input!$L$7:$L1503,ROW()-1),1,0),
        1
      ),
      YEARFRAC(
        B266 + IF(INDEX(Input!$K$7:$K1503,ROW()-1),0,1),
        C266 + IF(INDEX(Input!$L$7:$L1503,ROW()-1),1,0),
        3
      )
  )
)</f>
        <v/>
      </c>
      <c r="S266" s="22" t="str">
        <f t="shared" si="4"/>
        <v/>
      </c>
      <c r="T266" s="6" t="str">
        <f t="array" ref="T266">IF(
  B266="",
  ,
  DATEDIF(
    B266 + IF(INDEX(Input!$K$7:$K1503,ROW()-1),0,1),
    C266 + IF(INDEX(Input!$L$7:$L1503,ROW()-1),1,0),
    "Y"
  )
)</f>
        <v/>
      </c>
      <c r="U266" s="6" t="str">
        <f t="array" ref="U266">IF(
  B266="",
  ,
  (C266 + IF(INDEX(Input!$L$7:$L1503,ROW()-1),1,0))
  - EDATE(
      B266 + IF(INDEX(Input!$K$7:$K1503,ROW()-1),0,1),
      12*S266
    )
)</f>
        <v/>
      </c>
      <c r="V266" s="6" t="str">
        <f t="shared" si="5"/>
        <v/>
      </c>
      <c r="W266" s="6" t="str">
        <f t="shared" si="6"/>
        <v/>
      </c>
    </row>
    <row r="267">
      <c r="A267" s="18"/>
      <c r="B267" s="18"/>
      <c r="C267" s="18"/>
      <c r="D267" s="18"/>
      <c r="E267" s="18"/>
      <c r="F267" s="18"/>
      <c r="G267" s="22"/>
      <c r="H267" s="18"/>
      <c r="I267" s="18">
        <v>0.0</v>
      </c>
      <c r="J267" s="18">
        <v>0.0</v>
      </c>
      <c r="K267" s="18"/>
      <c r="L267" s="18"/>
      <c r="M267" s="22" t="str">
        <f t="shared" si="1"/>
        <v/>
      </c>
      <c r="N267" s="18" t="str">
        <f>IF(A267="",,IF(ROW()=2, Input!$C$2 + I267, P266 + I267))</f>
        <v/>
      </c>
      <c r="O267" s="23" t="str">
        <f>IF(A267="",,
 IF(K267="Initial principal",
   Input!$C$2 * M267,
   N267 * M267
 )
)</f>
        <v/>
      </c>
      <c r="P267" s="18" t="str">
        <f t="shared" si="2"/>
        <v/>
      </c>
      <c r="Q267" s="18" t="str">
        <f t="shared" si="3"/>
        <v/>
      </c>
      <c r="R267" s="18" t="str">
        <f t="array" ref="R267">IF(
  B267="",
  ,
  SWITCH(
    Input!$C$4,
    "Actual/365 Fixed",
      YEARFRAC(
        B267 + IF(INDEX(Input!$K$7:$K1503,ROW()-1),0,1),
        C267 + IF(INDEX(Input!$L$7:$L1503,ROW()-1),1,0),
        3
      ),
    "Anniversary/365",
      DATEDIF(
        B267 + IF(INDEX(Input!$K$7:$K1503,ROW()-1),0,1),
        C267 + IF(INDEX(Input!$L$7:$L1503,ROW()-1),1,0),
        "Y"
      )
      +
      (
        (C267 + IF(INDEX(Input!$L$7:$L1503,ROW()-1),1,0))
        -
        EDATE(
          B267 + IF(INDEX(Input!$K$7:$K1503,ROW()-1),0,1),
          12*DATEDIF(
            B267 + IF(INDEX(Input!$K$7:$K1503,ROW()-1),0,1),
            C267 + IF(INDEX(Input!$L$7:$L1503,ROW()-1),1,0),
            "Y"
          )
        )
      ) / 365,
    "Actual/Actual",
      YEARFRAC(
        B267 + IF(INDEX(Input!$K$7:$K1503,ROW()-1),0,1),
        C267 + IF(INDEX(Input!$L$7:$L1503,ROW()-1),1,0),
        1
      ),
      YEARFRAC(
        B267 + IF(INDEX(Input!$K$7:$K1503,ROW()-1),0,1),
        C267 + IF(INDEX(Input!$L$7:$L1503,ROW()-1),1,0),
        3
      )
  )
)</f>
        <v/>
      </c>
      <c r="S267" s="22" t="str">
        <f t="shared" si="4"/>
        <v/>
      </c>
      <c r="T267" s="6" t="str">
        <f t="array" ref="T267">IF(
  B267="",
  ,
  DATEDIF(
    B267 + IF(INDEX(Input!$K$7:$K1503,ROW()-1),0,1),
    C267 + IF(INDEX(Input!$L$7:$L1503,ROW()-1),1,0),
    "Y"
  )
)</f>
        <v/>
      </c>
      <c r="U267" s="6" t="str">
        <f t="array" ref="U267">IF(
  B267="",
  ,
  (C267 + IF(INDEX(Input!$L$7:$L1503,ROW()-1),1,0))
  - EDATE(
      B267 + IF(INDEX(Input!$K$7:$K1503,ROW()-1),0,1),
      12*S267
    )
)</f>
        <v/>
      </c>
      <c r="V267" s="6" t="str">
        <f t="shared" si="5"/>
        <v/>
      </c>
      <c r="W267" s="6" t="str">
        <f t="shared" si="6"/>
        <v/>
      </c>
    </row>
    <row r="268">
      <c r="A268" s="18"/>
      <c r="B268" s="18"/>
      <c r="C268" s="18"/>
      <c r="D268" s="18"/>
      <c r="E268" s="18"/>
      <c r="F268" s="18"/>
      <c r="G268" s="22"/>
      <c r="H268" s="18"/>
      <c r="I268" s="18">
        <v>0.0</v>
      </c>
      <c r="J268" s="18">
        <v>0.0</v>
      </c>
      <c r="K268" s="18"/>
      <c r="L268" s="18"/>
      <c r="M268" s="22" t="str">
        <f t="shared" si="1"/>
        <v/>
      </c>
      <c r="N268" s="18" t="str">
        <f>IF(A268="",,IF(ROW()=2, Input!$C$2 + I268, P267 + I268))</f>
        <v/>
      </c>
      <c r="O268" s="23" t="str">
        <f>IF(A268="",,
 IF(K268="Initial principal",
   Input!$C$2 * M268,
   N268 * M268
 )
)</f>
        <v/>
      </c>
      <c r="P268" s="18" t="str">
        <f t="shared" si="2"/>
        <v/>
      </c>
      <c r="Q268" s="18" t="str">
        <f t="shared" si="3"/>
        <v/>
      </c>
      <c r="R268" s="18" t="str">
        <f t="array" ref="R268">IF(
  B268="",
  ,
  SWITCH(
    Input!$C$4,
    "Actual/365 Fixed",
      YEARFRAC(
        B268 + IF(INDEX(Input!$K$7:$K1503,ROW()-1),0,1),
        C268 + IF(INDEX(Input!$L$7:$L1503,ROW()-1),1,0),
        3
      ),
    "Anniversary/365",
      DATEDIF(
        B268 + IF(INDEX(Input!$K$7:$K1503,ROW()-1),0,1),
        C268 + IF(INDEX(Input!$L$7:$L1503,ROW()-1),1,0),
        "Y"
      )
      +
      (
        (C268 + IF(INDEX(Input!$L$7:$L1503,ROW()-1),1,0))
        -
        EDATE(
          B268 + IF(INDEX(Input!$K$7:$K1503,ROW()-1),0,1),
          12*DATEDIF(
            B268 + IF(INDEX(Input!$K$7:$K1503,ROW()-1),0,1),
            C268 + IF(INDEX(Input!$L$7:$L1503,ROW()-1),1,0),
            "Y"
          )
        )
      ) / 365,
    "Actual/Actual",
      YEARFRAC(
        B268 + IF(INDEX(Input!$K$7:$K1503,ROW()-1),0,1),
        C268 + IF(INDEX(Input!$L$7:$L1503,ROW()-1),1,0),
        1
      ),
      YEARFRAC(
        B268 + IF(INDEX(Input!$K$7:$K1503,ROW()-1),0,1),
        C268 + IF(INDEX(Input!$L$7:$L1503,ROW()-1),1,0),
        3
      )
  )
)</f>
        <v/>
      </c>
      <c r="S268" s="22" t="str">
        <f t="shared" si="4"/>
        <v/>
      </c>
      <c r="T268" s="6" t="str">
        <f t="array" ref="T268">IF(
  B268="",
  ,
  DATEDIF(
    B268 + IF(INDEX(Input!$K$7:$K1503,ROW()-1),0,1),
    C268 + IF(INDEX(Input!$L$7:$L1503,ROW()-1),1,0),
    "Y"
  )
)</f>
        <v/>
      </c>
      <c r="U268" s="6" t="str">
        <f t="array" ref="U268">IF(
  B268="",
  ,
  (C268 + IF(INDEX(Input!$L$7:$L1503,ROW()-1),1,0))
  - EDATE(
      B268 + IF(INDEX(Input!$K$7:$K1503,ROW()-1),0,1),
      12*S268
    )
)</f>
        <v/>
      </c>
      <c r="V268" s="6" t="str">
        <f t="shared" si="5"/>
        <v/>
      </c>
      <c r="W268" s="6" t="str">
        <f t="shared" si="6"/>
        <v/>
      </c>
    </row>
    <row r="269">
      <c r="A269" s="18"/>
      <c r="B269" s="18"/>
      <c r="C269" s="18"/>
      <c r="D269" s="18"/>
      <c r="E269" s="18"/>
      <c r="F269" s="18"/>
      <c r="G269" s="22"/>
      <c r="H269" s="18"/>
      <c r="I269" s="18">
        <v>0.0</v>
      </c>
      <c r="J269" s="18">
        <v>0.0</v>
      </c>
      <c r="K269" s="18"/>
      <c r="L269" s="18"/>
      <c r="M269" s="22" t="str">
        <f t="shared" si="1"/>
        <v/>
      </c>
      <c r="N269" s="18" t="str">
        <f>IF(A269="",,IF(ROW()=2, Input!$C$2 + I269, P268 + I269))</f>
        <v/>
      </c>
      <c r="O269" s="23" t="str">
        <f>IF(A269="",,
 IF(K269="Initial principal",
   Input!$C$2 * M269,
   N269 * M269
 )
)</f>
        <v/>
      </c>
      <c r="P269" s="18" t="str">
        <f t="shared" si="2"/>
        <v/>
      </c>
      <c r="Q269" s="18" t="str">
        <f t="shared" si="3"/>
        <v/>
      </c>
      <c r="R269" s="18" t="str">
        <f t="array" ref="R269">IF(
  B269="",
  ,
  SWITCH(
    Input!$C$4,
    "Actual/365 Fixed",
      YEARFRAC(
        B269 + IF(INDEX(Input!$K$7:$K1503,ROW()-1),0,1),
        C269 + IF(INDEX(Input!$L$7:$L1503,ROW()-1),1,0),
        3
      ),
    "Anniversary/365",
      DATEDIF(
        B269 + IF(INDEX(Input!$K$7:$K1503,ROW()-1),0,1),
        C269 + IF(INDEX(Input!$L$7:$L1503,ROW()-1),1,0),
        "Y"
      )
      +
      (
        (C269 + IF(INDEX(Input!$L$7:$L1503,ROW()-1),1,0))
        -
        EDATE(
          B269 + IF(INDEX(Input!$K$7:$K1503,ROW()-1),0,1),
          12*DATEDIF(
            B269 + IF(INDEX(Input!$K$7:$K1503,ROW()-1),0,1),
            C269 + IF(INDEX(Input!$L$7:$L1503,ROW()-1),1,0),
            "Y"
          )
        )
      ) / 365,
    "Actual/Actual",
      YEARFRAC(
        B269 + IF(INDEX(Input!$K$7:$K1503,ROW()-1),0,1),
        C269 + IF(INDEX(Input!$L$7:$L1503,ROW()-1),1,0),
        1
      ),
      YEARFRAC(
        B269 + IF(INDEX(Input!$K$7:$K1503,ROW()-1),0,1),
        C269 + IF(INDEX(Input!$L$7:$L1503,ROW()-1),1,0),
        3
      )
  )
)</f>
        <v/>
      </c>
      <c r="S269" s="22" t="str">
        <f t="shared" si="4"/>
        <v/>
      </c>
      <c r="T269" s="6" t="str">
        <f t="array" ref="T269">IF(
  B269="",
  ,
  DATEDIF(
    B269 + IF(INDEX(Input!$K$7:$K1503,ROW()-1),0,1),
    C269 + IF(INDEX(Input!$L$7:$L1503,ROW()-1),1,0),
    "Y"
  )
)</f>
        <v/>
      </c>
      <c r="U269" s="6" t="str">
        <f t="array" ref="U269">IF(
  B269="",
  ,
  (C269 + IF(INDEX(Input!$L$7:$L1503,ROW()-1),1,0))
  - EDATE(
      B269 + IF(INDEX(Input!$K$7:$K1503,ROW()-1),0,1),
      12*S269
    )
)</f>
        <v/>
      </c>
      <c r="V269" s="6" t="str">
        <f t="shared" si="5"/>
        <v/>
      </c>
      <c r="W269" s="6" t="str">
        <f t="shared" si="6"/>
        <v/>
      </c>
    </row>
    <row r="270">
      <c r="A270" s="18"/>
      <c r="B270" s="18"/>
      <c r="C270" s="18"/>
      <c r="D270" s="18"/>
      <c r="E270" s="18"/>
      <c r="F270" s="18"/>
      <c r="G270" s="22"/>
      <c r="H270" s="18"/>
      <c r="I270" s="18">
        <v>0.0</v>
      </c>
      <c r="J270" s="18">
        <v>0.0</v>
      </c>
      <c r="K270" s="18"/>
      <c r="L270" s="18"/>
      <c r="M270" s="22" t="str">
        <f t="shared" si="1"/>
        <v/>
      </c>
      <c r="N270" s="18" t="str">
        <f>IF(A270="",,IF(ROW()=2, Input!$C$2 + I270, P269 + I270))</f>
        <v/>
      </c>
      <c r="O270" s="23" t="str">
        <f>IF(A270="",,
 IF(K270="Initial principal",
   Input!$C$2 * M270,
   N270 * M270
 )
)</f>
        <v/>
      </c>
      <c r="P270" s="18" t="str">
        <f t="shared" si="2"/>
        <v/>
      </c>
      <c r="Q270" s="18" t="str">
        <f t="shared" si="3"/>
        <v/>
      </c>
      <c r="R270" s="18" t="str">
        <f t="array" ref="R270">IF(
  B270="",
  ,
  SWITCH(
    Input!$C$4,
    "Actual/365 Fixed",
      YEARFRAC(
        B270 + IF(INDEX(Input!$K$7:$K1503,ROW()-1),0,1),
        C270 + IF(INDEX(Input!$L$7:$L1503,ROW()-1),1,0),
        3
      ),
    "Anniversary/365",
      DATEDIF(
        B270 + IF(INDEX(Input!$K$7:$K1503,ROW()-1),0,1),
        C270 + IF(INDEX(Input!$L$7:$L1503,ROW()-1),1,0),
        "Y"
      )
      +
      (
        (C270 + IF(INDEX(Input!$L$7:$L1503,ROW()-1),1,0))
        -
        EDATE(
          B270 + IF(INDEX(Input!$K$7:$K1503,ROW()-1),0,1),
          12*DATEDIF(
            B270 + IF(INDEX(Input!$K$7:$K1503,ROW()-1),0,1),
            C270 + IF(INDEX(Input!$L$7:$L1503,ROW()-1),1,0),
            "Y"
          )
        )
      ) / 365,
    "Actual/Actual",
      YEARFRAC(
        B270 + IF(INDEX(Input!$K$7:$K1503,ROW()-1),0,1),
        C270 + IF(INDEX(Input!$L$7:$L1503,ROW()-1),1,0),
        1
      ),
      YEARFRAC(
        B270 + IF(INDEX(Input!$K$7:$K1503,ROW()-1),0,1),
        C270 + IF(INDEX(Input!$L$7:$L1503,ROW()-1),1,0),
        3
      )
  )
)</f>
        <v/>
      </c>
      <c r="S270" s="22" t="str">
        <f t="shared" si="4"/>
        <v/>
      </c>
      <c r="T270" s="6" t="str">
        <f t="array" ref="T270">IF(
  B270="",
  ,
  DATEDIF(
    B270 + IF(INDEX(Input!$K$7:$K1503,ROW()-1),0,1),
    C270 + IF(INDEX(Input!$L$7:$L1503,ROW()-1),1,0),
    "Y"
  )
)</f>
        <v/>
      </c>
      <c r="U270" s="6" t="str">
        <f t="array" ref="U270">IF(
  B270="",
  ,
  (C270 + IF(INDEX(Input!$L$7:$L1503,ROW()-1),1,0))
  - EDATE(
      B270 + IF(INDEX(Input!$K$7:$K1503,ROW()-1),0,1),
      12*S270
    )
)</f>
        <v/>
      </c>
      <c r="V270" s="6" t="str">
        <f t="shared" si="5"/>
        <v/>
      </c>
      <c r="W270" s="6" t="str">
        <f t="shared" si="6"/>
        <v/>
      </c>
    </row>
    <row r="271">
      <c r="A271" s="18"/>
      <c r="B271" s="18"/>
      <c r="C271" s="18"/>
      <c r="D271" s="18"/>
      <c r="E271" s="18"/>
      <c r="F271" s="18"/>
      <c r="G271" s="22"/>
      <c r="H271" s="18"/>
      <c r="I271" s="18">
        <v>0.0</v>
      </c>
      <c r="J271" s="18">
        <v>0.0</v>
      </c>
      <c r="K271" s="18"/>
      <c r="L271" s="18"/>
      <c r="M271" s="22" t="str">
        <f t="shared" si="1"/>
        <v/>
      </c>
      <c r="N271" s="18" t="str">
        <f>IF(A271="",,IF(ROW()=2, Input!$C$2 + I271, P270 + I271))</f>
        <v/>
      </c>
      <c r="O271" s="23" t="str">
        <f>IF(A271="",,
 IF(K271="Initial principal",
   Input!$C$2 * M271,
   N271 * M271
 )
)</f>
        <v/>
      </c>
      <c r="P271" s="18" t="str">
        <f t="shared" si="2"/>
        <v/>
      </c>
      <c r="Q271" s="18" t="str">
        <f t="shared" si="3"/>
        <v/>
      </c>
      <c r="R271" s="18" t="str">
        <f t="array" ref="R271">IF(
  B271="",
  ,
  SWITCH(
    Input!$C$4,
    "Actual/365 Fixed",
      YEARFRAC(
        B271 + IF(INDEX(Input!$K$7:$K1503,ROW()-1),0,1),
        C271 + IF(INDEX(Input!$L$7:$L1503,ROW()-1),1,0),
        3
      ),
    "Anniversary/365",
      DATEDIF(
        B271 + IF(INDEX(Input!$K$7:$K1503,ROW()-1),0,1),
        C271 + IF(INDEX(Input!$L$7:$L1503,ROW()-1),1,0),
        "Y"
      )
      +
      (
        (C271 + IF(INDEX(Input!$L$7:$L1503,ROW()-1),1,0))
        -
        EDATE(
          B271 + IF(INDEX(Input!$K$7:$K1503,ROW()-1),0,1),
          12*DATEDIF(
            B271 + IF(INDEX(Input!$K$7:$K1503,ROW()-1),0,1),
            C271 + IF(INDEX(Input!$L$7:$L1503,ROW()-1),1,0),
            "Y"
          )
        )
      ) / 365,
    "Actual/Actual",
      YEARFRAC(
        B271 + IF(INDEX(Input!$K$7:$K1503,ROW()-1),0,1),
        C271 + IF(INDEX(Input!$L$7:$L1503,ROW()-1),1,0),
        1
      ),
      YEARFRAC(
        B271 + IF(INDEX(Input!$K$7:$K1503,ROW()-1),0,1),
        C271 + IF(INDEX(Input!$L$7:$L1503,ROW()-1),1,0),
        3
      )
  )
)</f>
        <v/>
      </c>
      <c r="S271" s="22" t="str">
        <f t="shared" si="4"/>
        <v/>
      </c>
      <c r="T271" s="6" t="str">
        <f t="array" ref="T271">IF(
  B271="",
  ,
  DATEDIF(
    B271 + IF(INDEX(Input!$K$7:$K1503,ROW()-1),0,1),
    C271 + IF(INDEX(Input!$L$7:$L1503,ROW()-1),1,0),
    "Y"
  )
)</f>
        <v/>
      </c>
      <c r="U271" s="6" t="str">
        <f t="array" ref="U271">IF(
  B271="",
  ,
  (C271 + IF(INDEX(Input!$L$7:$L1503,ROW()-1),1,0))
  - EDATE(
      B271 + IF(INDEX(Input!$K$7:$K1503,ROW()-1),0,1),
      12*S271
    )
)</f>
        <v/>
      </c>
      <c r="V271" s="6" t="str">
        <f t="shared" si="5"/>
        <v/>
      </c>
      <c r="W271" s="6" t="str">
        <f t="shared" si="6"/>
        <v/>
      </c>
    </row>
    <row r="272">
      <c r="A272" s="18"/>
      <c r="B272" s="18"/>
      <c r="C272" s="18"/>
      <c r="D272" s="18"/>
      <c r="E272" s="18"/>
      <c r="F272" s="18"/>
      <c r="G272" s="22"/>
      <c r="H272" s="18"/>
      <c r="I272" s="18">
        <v>0.0</v>
      </c>
      <c r="J272" s="18">
        <v>0.0</v>
      </c>
      <c r="K272" s="18"/>
      <c r="L272" s="18"/>
      <c r="M272" s="22" t="str">
        <f t="shared" si="1"/>
        <v/>
      </c>
      <c r="N272" s="18" t="str">
        <f>IF(A272="",,IF(ROW()=2, Input!$C$2 + I272, P271 + I272))</f>
        <v/>
      </c>
      <c r="O272" s="23" t="str">
        <f>IF(A272="",,
 IF(K272="Initial principal",
   Input!$C$2 * M272,
   N272 * M272
 )
)</f>
        <v/>
      </c>
      <c r="P272" s="18" t="str">
        <f t="shared" si="2"/>
        <v/>
      </c>
      <c r="Q272" s="18" t="str">
        <f t="shared" si="3"/>
        <v/>
      </c>
      <c r="R272" s="18" t="str">
        <f t="array" ref="R272">IF(
  B272="",
  ,
  SWITCH(
    Input!$C$4,
    "Actual/365 Fixed",
      YEARFRAC(
        B272 + IF(INDEX(Input!$K$7:$K1503,ROW()-1),0,1),
        C272 + IF(INDEX(Input!$L$7:$L1503,ROW()-1),1,0),
        3
      ),
    "Anniversary/365",
      DATEDIF(
        B272 + IF(INDEX(Input!$K$7:$K1503,ROW()-1),0,1),
        C272 + IF(INDEX(Input!$L$7:$L1503,ROW()-1),1,0),
        "Y"
      )
      +
      (
        (C272 + IF(INDEX(Input!$L$7:$L1503,ROW()-1),1,0))
        -
        EDATE(
          B272 + IF(INDEX(Input!$K$7:$K1503,ROW()-1),0,1),
          12*DATEDIF(
            B272 + IF(INDEX(Input!$K$7:$K1503,ROW()-1),0,1),
            C272 + IF(INDEX(Input!$L$7:$L1503,ROW()-1),1,0),
            "Y"
          )
        )
      ) / 365,
    "Actual/Actual",
      YEARFRAC(
        B272 + IF(INDEX(Input!$K$7:$K1503,ROW()-1),0,1),
        C272 + IF(INDEX(Input!$L$7:$L1503,ROW()-1),1,0),
        1
      ),
      YEARFRAC(
        B272 + IF(INDEX(Input!$K$7:$K1503,ROW()-1),0,1),
        C272 + IF(INDEX(Input!$L$7:$L1503,ROW()-1),1,0),
        3
      )
  )
)</f>
        <v/>
      </c>
      <c r="S272" s="22" t="str">
        <f t="shared" si="4"/>
        <v/>
      </c>
      <c r="T272" s="6" t="str">
        <f t="array" ref="T272">IF(
  B272="",
  ,
  DATEDIF(
    B272 + IF(INDEX(Input!$K$7:$K1503,ROW()-1),0,1),
    C272 + IF(INDEX(Input!$L$7:$L1503,ROW()-1),1,0),
    "Y"
  )
)</f>
        <v/>
      </c>
      <c r="U272" s="6" t="str">
        <f t="array" ref="U272">IF(
  B272="",
  ,
  (C272 + IF(INDEX(Input!$L$7:$L1503,ROW()-1),1,0))
  - EDATE(
      B272 + IF(INDEX(Input!$K$7:$K1503,ROW()-1),0,1),
      12*S272
    )
)</f>
        <v/>
      </c>
      <c r="V272" s="6" t="str">
        <f t="shared" si="5"/>
        <v/>
      </c>
      <c r="W272" s="6" t="str">
        <f t="shared" si="6"/>
        <v/>
      </c>
    </row>
    <row r="273">
      <c r="A273" s="18"/>
      <c r="B273" s="18"/>
      <c r="C273" s="18"/>
      <c r="D273" s="18"/>
      <c r="E273" s="18"/>
      <c r="F273" s="18"/>
      <c r="G273" s="22"/>
      <c r="H273" s="18"/>
      <c r="I273" s="18">
        <v>0.0</v>
      </c>
      <c r="J273" s="18">
        <v>0.0</v>
      </c>
      <c r="K273" s="18"/>
      <c r="L273" s="18"/>
      <c r="M273" s="22" t="str">
        <f t="shared" si="1"/>
        <v/>
      </c>
      <c r="N273" s="18" t="str">
        <f>IF(A273="",,IF(ROW()=2, Input!$C$2 + I273, P272 + I273))</f>
        <v/>
      </c>
      <c r="O273" s="23" t="str">
        <f>IF(A273="",,
 IF(K273="Initial principal",
   Input!$C$2 * M273,
   N273 * M273
 )
)</f>
        <v/>
      </c>
      <c r="P273" s="18" t="str">
        <f t="shared" si="2"/>
        <v/>
      </c>
      <c r="Q273" s="18" t="str">
        <f t="shared" si="3"/>
        <v/>
      </c>
      <c r="R273" s="18" t="str">
        <f t="array" ref="R273">IF(
  B273="",
  ,
  SWITCH(
    Input!$C$4,
    "Actual/365 Fixed",
      YEARFRAC(
        B273 + IF(INDEX(Input!$K$7:$K1503,ROW()-1),0,1),
        C273 + IF(INDEX(Input!$L$7:$L1503,ROW()-1),1,0),
        3
      ),
    "Anniversary/365",
      DATEDIF(
        B273 + IF(INDEX(Input!$K$7:$K1503,ROW()-1),0,1),
        C273 + IF(INDEX(Input!$L$7:$L1503,ROW()-1),1,0),
        "Y"
      )
      +
      (
        (C273 + IF(INDEX(Input!$L$7:$L1503,ROW()-1),1,0))
        -
        EDATE(
          B273 + IF(INDEX(Input!$K$7:$K1503,ROW()-1),0,1),
          12*DATEDIF(
            B273 + IF(INDEX(Input!$K$7:$K1503,ROW()-1),0,1),
            C273 + IF(INDEX(Input!$L$7:$L1503,ROW()-1),1,0),
            "Y"
          )
        )
      ) / 365,
    "Actual/Actual",
      YEARFRAC(
        B273 + IF(INDEX(Input!$K$7:$K1503,ROW()-1),0,1),
        C273 + IF(INDEX(Input!$L$7:$L1503,ROW()-1),1,0),
        1
      ),
      YEARFRAC(
        B273 + IF(INDEX(Input!$K$7:$K1503,ROW()-1),0,1),
        C273 + IF(INDEX(Input!$L$7:$L1503,ROW()-1),1,0),
        3
      )
  )
)</f>
        <v/>
      </c>
      <c r="S273" s="22" t="str">
        <f t="shared" si="4"/>
        <v/>
      </c>
      <c r="T273" s="6" t="str">
        <f t="array" ref="T273">IF(
  B273="",
  ,
  DATEDIF(
    B273 + IF(INDEX(Input!$K$7:$K1503,ROW()-1),0,1),
    C273 + IF(INDEX(Input!$L$7:$L1503,ROW()-1),1,0),
    "Y"
  )
)</f>
        <v/>
      </c>
      <c r="U273" s="6" t="str">
        <f t="array" ref="U273">IF(
  B273="",
  ,
  (C273 + IF(INDEX(Input!$L$7:$L1503,ROW()-1),1,0))
  - EDATE(
      B273 + IF(INDEX(Input!$K$7:$K1503,ROW()-1),0,1),
      12*S273
    )
)</f>
        <v/>
      </c>
      <c r="V273" s="6" t="str">
        <f t="shared" si="5"/>
        <v/>
      </c>
      <c r="W273" s="6" t="str">
        <f t="shared" si="6"/>
        <v/>
      </c>
    </row>
    <row r="274">
      <c r="A274" s="18"/>
      <c r="B274" s="18"/>
      <c r="C274" s="18"/>
      <c r="D274" s="18"/>
      <c r="E274" s="18"/>
      <c r="F274" s="18"/>
      <c r="G274" s="22"/>
      <c r="H274" s="18"/>
      <c r="I274" s="18">
        <v>0.0</v>
      </c>
      <c r="J274" s="18">
        <v>0.0</v>
      </c>
      <c r="K274" s="18"/>
      <c r="L274" s="18"/>
      <c r="M274" s="22" t="str">
        <f t="shared" si="1"/>
        <v/>
      </c>
      <c r="N274" s="18" t="str">
        <f>IF(A274="",,IF(ROW()=2, Input!$C$2 + I274, P273 + I274))</f>
        <v/>
      </c>
      <c r="O274" s="23" t="str">
        <f>IF(A274="",,
 IF(K274="Initial principal",
   Input!$C$2 * M274,
   N274 * M274
 )
)</f>
        <v/>
      </c>
      <c r="P274" s="18" t="str">
        <f t="shared" si="2"/>
        <v/>
      </c>
      <c r="Q274" s="18" t="str">
        <f t="shared" si="3"/>
        <v/>
      </c>
      <c r="R274" s="18" t="str">
        <f t="array" ref="R274">IF(
  B274="",
  ,
  SWITCH(
    Input!$C$4,
    "Actual/365 Fixed",
      YEARFRAC(
        B274 + IF(INDEX(Input!$K$7:$K1503,ROW()-1),0,1),
        C274 + IF(INDEX(Input!$L$7:$L1503,ROW()-1),1,0),
        3
      ),
    "Anniversary/365",
      DATEDIF(
        B274 + IF(INDEX(Input!$K$7:$K1503,ROW()-1),0,1),
        C274 + IF(INDEX(Input!$L$7:$L1503,ROW()-1),1,0),
        "Y"
      )
      +
      (
        (C274 + IF(INDEX(Input!$L$7:$L1503,ROW()-1),1,0))
        -
        EDATE(
          B274 + IF(INDEX(Input!$K$7:$K1503,ROW()-1),0,1),
          12*DATEDIF(
            B274 + IF(INDEX(Input!$K$7:$K1503,ROW()-1),0,1),
            C274 + IF(INDEX(Input!$L$7:$L1503,ROW()-1),1,0),
            "Y"
          )
        )
      ) / 365,
    "Actual/Actual",
      YEARFRAC(
        B274 + IF(INDEX(Input!$K$7:$K1503,ROW()-1),0,1),
        C274 + IF(INDEX(Input!$L$7:$L1503,ROW()-1),1,0),
        1
      ),
      YEARFRAC(
        B274 + IF(INDEX(Input!$K$7:$K1503,ROW()-1),0,1),
        C274 + IF(INDEX(Input!$L$7:$L1503,ROW()-1),1,0),
        3
      )
  )
)</f>
        <v/>
      </c>
      <c r="S274" s="22" t="str">
        <f t="shared" si="4"/>
        <v/>
      </c>
      <c r="T274" s="6" t="str">
        <f t="array" ref="T274">IF(
  B274="",
  ,
  DATEDIF(
    B274 + IF(INDEX(Input!$K$7:$K1503,ROW()-1),0,1),
    C274 + IF(INDEX(Input!$L$7:$L1503,ROW()-1),1,0),
    "Y"
  )
)</f>
        <v/>
      </c>
      <c r="U274" s="6" t="str">
        <f t="array" ref="U274">IF(
  B274="",
  ,
  (C274 + IF(INDEX(Input!$L$7:$L1503,ROW()-1),1,0))
  - EDATE(
      B274 + IF(INDEX(Input!$K$7:$K1503,ROW()-1),0,1),
      12*S274
    )
)</f>
        <v/>
      </c>
      <c r="V274" s="6" t="str">
        <f t="shared" si="5"/>
        <v/>
      </c>
      <c r="W274" s="6" t="str">
        <f t="shared" si="6"/>
        <v/>
      </c>
    </row>
    <row r="275">
      <c r="A275" s="18"/>
      <c r="B275" s="18"/>
      <c r="C275" s="18"/>
      <c r="D275" s="18"/>
      <c r="E275" s="18"/>
      <c r="F275" s="18"/>
      <c r="G275" s="22"/>
      <c r="H275" s="18"/>
      <c r="I275" s="18">
        <v>0.0</v>
      </c>
      <c r="J275" s="18">
        <v>0.0</v>
      </c>
      <c r="K275" s="18"/>
      <c r="L275" s="18"/>
      <c r="M275" s="22" t="str">
        <f t="shared" si="1"/>
        <v/>
      </c>
      <c r="N275" s="18" t="str">
        <f>IF(A275="",,IF(ROW()=2, Input!$C$2 + I275, P274 + I275))</f>
        <v/>
      </c>
      <c r="O275" s="23" t="str">
        <f>IF(A275="",,
 IF(K275="Initial principal",
   Input!$C$2 * M275,
   N275 * M275
 )
)</f>
        <v/>
      </c>
      <c r="P275" s="18" t="str">
        <f t="shared" si="2"/>
        <v/>
      </c>
      <c r="Q275" s="18" t="str">
        <f t="shared" si="3"/>
        <v/>
      </c>
      <c r="R275" s="18" t="str">
        <f t="array" ref="R275">IF(
  B275="",
  ,
  SWITCH(
    Input!$C$4,
    "Actual/365 Fixed",
      YEARFRAC(
        B275 + IF(INDEX(Input!$K$7:$K1503,ROW()-1),0,1),
        C275 + IF(INDEX(Input!$L$7:$L1503,ROW()-1),1,0),
        3
      ),
    "Anniversary/365",
      DATEDIF(
        B275 + IF(INDEX(Input!$K$7:$K1503,ROW()-1),0,1),
        C275 + IF(INDEX(Input!$L$7:$L1503,ROW()-1),1,0),
        "Y"
      )
      +
      (
        (C275 + IF(INDEX(Input!$L$7:$L1503,ROW()-1),1,0))
        -
        EDATE(
          B275 + IF(INDEX(Input!$K$7:$K1503,ROW()-1),0,1),
          12*DATEDIF(
            B275 + IF(INDEX(Input!$K$7:$K1503,ROW()-1),0,1),
            C275 + IF(INDEX(Input!$L$7:$L1503,ROW()-1),1,0),
            "Y"
          )
        )
      ) / 365,
    "Actual/Actual",
      YEARFRAC(
        B275 + IF(INDEX(Input!$K$7:$K1503,ROW()-1),0,1),
        C275 + IF(INDEX(Input!$L$7:$L1503,ROW()-1),1,0),
        1
      ),
      YEARFRAC(
        B275 + IF(INDEX(Input!$K$7:$K1503,ROW()-1),0,1),
        C275 + IF(INDEX(Input!$L$7:$L1503,ROW()-1),1,0),
        3
      )
  )
)</f>
        <v/>
      </c>
      <c r="S275" s="22" t="str">
        <f t="shared" si="4"/>
        <v/>
      </c>
      <c r="T275" s="6" t="str">
        <f t="array" ref="T275">IF(
  B275="",
  ,
  DATEDIF(
    B275 + IF(INDEX(Input!$K$7:$K1503,ROW()-1),0,1),
    C275 + IF(INDEX(Input!$L$7:$L1503,ROW()-1),1,0),
    "Y"
  )
)</f>
        <v/>
      </c>
      <c r="U275" s="6" t="str">
        <f t="array" ref="U275">IF(
  B275="",
  ,
  (C275 + IF(INDEX(Input!$L$7:$L1503,ROW()-1),1,0))
  - EDATE(
      B275 + IF(INDEX(Input!$K$7:$K1503,ROW()-1),0,1),
      12*S275
    )
)</f>
        <v/>
      </c>
      <c r="V275" s="6" t="str">
        <f t="shared" si="5"/>
        <v/>
      </c>
      <c r="W275" s="6" t="str">
        <f t="shared" si="6"/>
        <v/>
      </c>
    </row>
    <row r="276">
      <c r="A276" s="18"/>
      <c r="B276" s="18"/>
      <c r="C276" s="18"/>
      <c r="D276" s="18"/>
      <c r="E276" s="18"/>
      <c r="F276" s="18"/>
      <c r="G276" s="22"/>
      <c r="H276" s="18"/>
      <c r="I276" s="18">
        <v>0.0</v>
      </c>
      <c r="J276" s="18">
        <v>0.0</v>
      </c>
      <c r="K276" s="18"/>
      <c r="L276" s="18"/>
      <c r="M276" s="22" t="str">
        <f t="shared" si="1"/>
        <v/>
      </c>
      <c r="N276" s="18" t="str">
        <f>IF(A276="",,IF(ROW()=2, Input!$C$2 + I276, P275 + I276))</f>
        <v/>
      </c>
      <c r="O276" s="23" t="str">
        <f>IF(A276="",,
 IF(K276="Initial principal",
   Input!$C$2 * M276,
   N276 * M276
 )
)</f>
        <v/>
      </c>
      <c r="P276" s="18" t="str">
        <f t="shared" si="2"/>
        <v/>
      </c>
      <c r="Q276" s="18" t="str">
        <f t="shared" si="3"/>
        <v/>
      </c>
      <c r="R276" s="18" t="str">
        <f t="array" ref="R276">IF(
  B276="",
  ,
  SWITCH(
    Input!$C$4,
    "Actual/365 Fixed",
      YEARFRAC(
        B276 + IF(INDEX(Input!$K$7:$K1503,ROW()-1),0,1),
        C276 + IF(INDEX(Input!$L$7:$L1503,ROW()-1),1,0),
        3
      ),
    "Anniversary/365",
      DATEDIF(
        B276 + IF(INDEX(Input!$K$7:$K1503,ROW()-1),0,1),
        C276 + IF(INDEX(Input!$L$7:$L1503,ROW()-1),1,0),
        "Y"
      )
      +
      (
        (C276 + IF(INDEX(Input!$L$7:$L1503,ROW()-1),1,0))
        -
        EDATE(
          B276 + IF(INDEX(Input!$K$7:$K1503,ROW()-1),0,1),
          12*DATEDIF(
            B276 + IF(INDEX(Input!$K$7:$K1503,ROW()-1),0,1),
            C276 + IF(INDEX(Input!$L$7:$L1503,ROW()-1),1,0),
            "Y"
          )
        )
      ) / 365,
    "Actual/Actual",
      YEARFRAC(
        B276 + IF(INDEX(Input!$K$7:$K1503,ROW()-1),0,1),
        C276 + IF(INDEX(Input!$L$7:$L1503,ROW()-1),1,0),
        1
      ),
      YEARFRAC(
        B276 + IF(INDEX(Input!$K$7:$K1503,ROW()-1),0,1),
        C276 + IF(INDEX(Input!$L$7:$L1503,ROW()-1),1,0),
        3
      )
  )
)</f>
        <v/>
      </c>
      <c r="S276" s="22" t="str">
        <f t="shared" si="4"/>
        <v/>
      </c>
      <c r="T276" s="6" t="str">
        <f t="array" ref="T276">IF(
  B276="",
  ,
  DATEDIF(
    B276 + IF(INDEX(Input!$K$7:$K1503,ROW()-1),0,1),
    C276 + IF(INDEX(Input!$L$7:$L1503,ROW()-1),1,0),
    "Y"
  )
)</f>
        <v/>
      </c>
      <c r="U276" s="6" t="str">
        <f t="array" ref="U276">IF(
  B276="",
  ,
  (C276 + IF(INDEX(Input!$L$7:$L1503,ROW()-1),1,0))
  - EDATE(
      B276 + IF(INDEX(Input!$K$7:$K1503,ROW()-1),0,1),
      12*S276
    )
)</f>
        <v/>
      </c>
      <c r="V276" s="6" t="str">
        <f t="shared" si="5"/>
        <v/>
      </c>
      <c r="W276" s="6" t="str">
        <f t="shared" si="6"/>
        <v/>
      </c>
    </row>
    <row r="277">
      <c r="A277" s="18"/>
      <c r="B277" s="18"/>
      <c r="C277" s="18"/>
      <c r="D277" s="18"/>
      <c r="E277" s="18"/>
      <c r="F277" s="18"/>
      <c r="G277" s="22"/>
      <c r="H277" s="18"/>
      <c r="I277" s="18">
        <v>0.0</v>
      </c>
      <c r="J277" s="18">
        <v>0.0</v>
      </c>
      <c r="K277" s="18"/>
      <c r="L277" s="18"/>
      <c r="M277" s="22" t="str">
        <f t="shared" si="1"/>
        <v/>
      </c>
      <c r="N277" s="18" t="str">
        <f>IF(A277="",,IF(ROW()=2, Input!$C$2 + I277, P276 + I277))</f>
        <v/>
      </c>
      <c r="O277" s="23" t="str">
        <f>IF(A277="",,
 IF(K277="Initial principal",
   Input!$C$2 * M277,
   N277 * M277
 )
)</f>
        <v/>
      </c>
      <c r="P277" s="18" t="str">
        <f t="shared" si="2"/>
        <v/>
      </c>
      <c r="Q277" s="18" t="str">
        <f t="shared" si="3"/>
        <v/>
      </c>
      <c r="R277" s="18" t="str">
        <f t="array" ref="R277">IF(
  B277="",
  ,
  SWITCH(
    Input!$C$4,
    "Actual/365 Fixed",
      YEARFRAC(
        B277 + IF(INDEX(Input!$K$7:$K1503,ROW()-1),0,1),
        C277 + IF(INDEX(Input!$L$7:$L1503,ROW()-1),1,0),
        3
      ),
    "Anniversary/365",
      DATEDIF(
        B277 + IF(INDEX(Input!$K$7:$K1503,ROW()-1),0,1),
        C277 + IF(INDEX(Input!$L$7:$L1503,ROW()-1),1,0),
        "Y"
      )
      +
      (
        (C277 + IF(INDEX(Input!$L$7:$L1503,ROW()-1),1,0))
        -
        EDATE(
          B277 + IF(INDEX(Input!$K$7:$K1503,ROW()-1),0,1),
          12*DATEDIF(
            B277 + IF(INDEX(Input!$K$7:$K1503,ROW()-1),0,1),
            C277 + IF(INDEX(Input!$L$7:$L1503,ROW()-1),1,0),
            "Y"
          )
        )
      ) / 365,
    "Actual/Actual",
      YEARFRAC(
        B277 + IF(INDEX(Input!$K$7:$K1503,ROW()-1),0,1),
        C277 + IF(INDEX(Input!$L$7:$L1503,ROW()-1),1,0),
        1
      ),
      YEARFRAC(
        B277 + IF(INDEX(Input!$K$7:$K1503,ROW()-1),0,1),
        C277 + IF(INDEX(Input!$L$7:$L1503,ROW()-1),1,0),
        3
      )
  )
)</f>
        <v/>
      </c>
      <c r="S277" s="22" t="str">
        <f t="shared" si="4"/>
        <v/>
      </c>
      <c r="T277" s="6" t="str">
        <f t="array" ref="T277">IF(
  B277="",
  ,
  DATEDIF(
    B277 + IF(INDEX(Input!$K$7:$K1503,ROW()-1),0,1),
    C277 + IF(INDEX(Input!$L$7:$L1503,ROW()-1),1,0),
    "Y"
  )
)</f>
        <v/>
      </c>
      <c r="U277" s="6" t="str">
        <f t="array" ref="U277">IF(
  B277="",
  ,
  (C277 + IF(INDEX(Input!$L$7:$L1503,ROW()-1),1,0))
  - EDATE(
      B277 + IF(INDEX(Input!$K$7:$K1503,ROW()-1),0,1),
      12*S277
    )
)</f>
        <v/>
      </c>
      <c r="V277" s="6" t="str">
        <f t="shared" si="5"/>
        <v/>
      </c>
      <c r="W277" s="6" t="str">
        <f t="shared" si="6"/>
        <v/>
      </c>
    </row>
    <row r="278">
      <c r="A278" s="18"/>
      <c r="B278" s="18"/>
      <c r="C278" s="18"/>
      <c r="D278" s="18"/>
      <c r="E278" s="18"/>
      <c r="F278" s="18"/>
      <c r="G278" s="22"/>
      <c r="H278" s="18"/>
      <c r="I278" s="18">
        <v>0.0</v>
      </c>
      <c r="J278" s="18">
        <v>0.0</v>
      </c>
      <c r="K278" s="18"/>
      <c r="L278" s="18"/>
      <c r="M278" s="22" t="str">
        <f t="shared" si="1"/>
        <v/>
      </c>
      <c r="N278" s="18" t="str">
        <f>IF(A278="",,IF(ROW()=2, Input!$C$2 + I278, P277 + I278))</f>
        <v/>
      </c>
      <c r="O278" s="23" t="str">
        <f>IF(A278="",,
 IF(K278="Initial principal",
   Input!$C$2 * M278,
   N278 * M278
 )
)</f>
        <v/>
      </c>
      <c r="P278" s="18" t="str">
        <f t="shared" si="2"/>
        <v/>
      </c>
      <c r="Q278" s="18" t="str">
        <f t="shared" si="3"/>
        <v/>
      </c>
      <c r="R278" s="18" t="str">
        <f t="array" ref="R278">IF(
  B278="",
  ,
  SWITCH(
    Input!$C$4,
    "Actual/365 Fixed",
      YEARFRAC(
        B278 + IF(INDEX(Input!$K$7:$K1503,ROW()-1),0,1),
        C278 + IF(INDEX(Input!$L$7:$L1503,ROW()-1),1,0),
        3
      ),
    "Anniversary/365",
      DATEDIF(
        B278 + IF(INDEX(Input!$K$7:$K1503,ROW()-1),0,1),
        C278 + IF(INDEX(Input!$L$7:$L1503,ROW()-1),1,0),
        "Y"
      )
      +
      (
        (C278 + IF(INDEX(Input!$L$7:$L1503,ROW()-1),1,0))
        -
        EDATE(
          B278 + IF(INDEX(Input!$K$7:$K1503,ROW()-1),0,1),
          12*DATEDIF(
            B278 + IF(INDEX(Input!$K$7:$K1503,ROW()-1),0,1),
            C278 + IF(INDEX(Input!$L$7:$L1503,ROW()-1),1,0),
            "Y"
          )
        )
      ) / 365,
    "Actual/Actual",
      YEARFRAC(
        B278 + IF(INDEX(Input!$K$7:$K1503,ROW()-1),0,1),
        C278 + IF(INDEX(Input!$L$7:$L1503,ROW()-1),1,0),
        1
      ),
      YEARFRAC(
        B278 + IF(INDEX(Input!$K$7:$K1503,ROW()-1),0,1),
        C278 + IF(INDEX(Input!$L$7:$L1503,ROW()-1),1,0),
        3
      )
  )
)</f>
        <v/>
      </c>
      <c r="S278" s="22" t="str">
        <f t="shared" si="4"/>
        <v/>
      </c>
      <c r="T278" s="6" t="str">
        <f t="array" ref="T278">IF(
  B278="",
  ,
  DATEDIF(
    B278 + IF(INDEX(Input!$K$7:$K1503,ROW()-1),0,1),
    C278 + IF(INDEX(Input!$L$7:$L1503,ROW()-1),1,0),
    "Y"
  )
)</f>
        <v/>
      </c>
      <c r="U278" s="6" t="str">
        <f t="array" ref="U278">IF(
  B278="",
  ,
  (C278 + IF(INDEX(Input!$L$7:$L1503,ROW()-1),1,0))
  - EDATE(
      B278 + IF(INDEX(Input!$K$7:$K1503,ROW()-1),0,1),
      12*S278
    )
)</f>
        <v/>
      </c>
      <c r="V278" s="6" t="str">
        <f t="shared" si="5"/>
        <v/>
      </c>
      <c r="W278" s="6" t="str">
        <f t="shared" si="6"/>
        <v/>
      </c>
    </row>
    <row r="279">
      <c r="A279" s="18"/>
      <c r="B279" s="18"/>
      <c r="C279" s="18"/>
      <c r="D279" s="18"/>
      <c r="E279" s="18"/>
      <c r="F279" s="18"/>
      <c r="G279" s="22"/>
      <c r="H279" s="18"/>
      <c r="I279" s="18">
        <v>0.0</v>
      </c>
      <c r="J279" s="18">
        <v>0.0</v>
      </c>
      <c r="K279" s="18"/>
      <c r="L279" s="18"/>
      <c r="M279" s="22" t="str">
        <f t="shared" si="1"/>
        <v/>
      </c>
      <c r="N279" s="18" t="str">
        <f>IF(A279="",,IF(ROW()=2, Input!$C$2 + I279, P278 + I279))</f>
        <v/>
      </c>
      <c r="O279" s="23" t="str">
        <f>IF(A279="",,
 IF(K279="Initial principal",
   Input!$C$2 * M279,
   N279 * M279
 )
)</f>
        <v/>
      </c>
      <c r="P279" s="18" t="str">
        <f t="shared" si="2"/>
        <v/>
      </c>
      <c r="Q279" s="18" t="str">
        <f t="shared" si="3"/>
        <v/>
      </c>
      <c r="R279" s="18" t="str">
        <f t="array" ref="R279">IF(
  B279="",
  ,
  SWITCH(
    Input!$C$4,
    "Actual/365 Fixed",
      YEARFRAC(
        B279 + IF(INDEX(Input!$K$7:$K1503,ROW()-1),0,1),
        C279 + IF(INDEX(Input!$L$7:$L1503,ROW()-1),1,0),
        3
      ),
    "Anniversary/365",
      DATEDIF(
        B279 + IF(INDEX(Input!$K$7:$K1503,ROW()-1),0,1),
        C279 + IF(INDEX(Input!$L$7:$L1503,ROW()-1),1,0),
        "Y"
      )
      +
      (
        (C279 + IF(INDEX(Input!$L$7:$L1503,ROW()-1),1,0))
        -
        EDATE(
          B279 + IF(INDEX(Input!$K$7:$K1503,ROW()-1),0,1),
          12*DATEDIF(
            B279 + IF(INDEX(Input!$K$7:$K1503,ROW()-1),0,1),
            C279 + IF(INDEX(Input!$L$7:$L1503,ROW()-1),1,0),
            "Y"
          )
        )
      ) / 365,
    "Actual/Actual",
      YEARFRAC(
        B279 + IF(INDEX(Input!$K$7:$K1503,ROW()-1),0,1),
        C279 + IF(INDEX(Input!$L$7:$L1503,ROW()-1),1,0),
        1
      ),
      YEARFRAC(
        B279 + IF(INDEX(Input!$K$7:$K1503,ROW()-1),0,1),
        C279 + IF(INDEX(Input!$L$7:$L1503,ROW()-1),1,0),
        3
      )
  )
)</f>
        <v/>
      </c>
      <c r="S279" s="22" t="str">
        <f t="shared" si="4"/>
        <v/>
      </c>
      <c r="T279" s="6" t="str">
        <f t="array" ref="T279">IF(
  B279="",
  ,
  DATEDIF(
    B279 + IF(INDEX(Input!$K$7:$K1503,ROW()-1),0,1),
    C279 + IF(INDEX(Input!$L$7:$L1503,ROW()-1),1,0),
    "Y"
  )
)</f>
        <v/>
      </c>
      <c r="U279" s="6" t="str">
        <f t="array" ref="U279">IF(
  B279="",
  ,
  (C279 + IF(INDEX(Input!$L$7:$L1503,ROW()-1),1,0))
  - EDATE(
      B279 + IF(INDEX(Input!$K$7:$K1503,ROW()-1),0,1),
      12*S279
    )
)</f>
        <v/>
      </c>
      <c r="V279" s="6" t="str">
        <f t="shared" si="5"/>
        <v/>
      </c>
      <c r="W279" s="6" t="str">
        <f t="shared" si="6"/>
        <v/>
      </c>
    </row>
    <row r="280">
      <c r="A280" s="18"/>
      <c r="B280" s="18"/>
      <c r="C280" s="18"/>
      <c r="D280" s="18"/>
      <c r="E280" s="18"/>
      <c r="F280" s="18"/>
      <c r="G280" s="22"/>
      <c r="H280" s="18"/>
      <c r="I280" s="18">
        <v>0.0</v>
      </c>
      <c r="J280" s="18">
        <v>0.0</v>
      </c>
      <c r="K280" s="18"/>
      <c r="L280" s="18"/>
      <c r="M280" s="22" t="str">
        <f t="shared" si="1"/>
        <v/>
      </c>
      <c r="N280" s="18" t="str">
        <f>IF(A280="",,IF(ROW()=2, Input!$C$2 + I280, P279 + I280))</f>
        <v/>
      </c>
      <c r="O280" s="23" t="str">
        <f>IF(A280="",,
 IF(K280="Initial principal",
   Input!$C$2 * M280,
   N280 * M280
 )
)</f>
        <v/>
      </c>
      <c r="P280" s="18" t="str">
        <f t="shared" si="2"/>
        <v/>
      </c>
      <c r="Q280" s="18" t="str">
        <f t="shared" si="3"/>
        <v/>
      </c>
      <c r="R280" s="18" t="str">
        <f t="array" ref="R280">IF(
  B280="",
  ,
  SWITCH(
    Input!$C$4,
    "Actual/365 Fixed",
      YEARFRAC(
        B280 + IF(INDEX(Input!$K$7:$K1503,ROW()-1),0,1),
        C280 + IF(INDEX(Input!$L$7:$L1503,ROW()-1),1,0),
        3
      ),
    "Anniversary/365",
      DATEDIF(
        B280 + IF(INDEX(Input!$K$7:$K1503,ROW()-1),0,1),
        C280 + IF(INDEX(Input!$L$7:$L1503,ROW()-1),1,0),
        "Y"
      )
      +
      (
        (C280 + IF(INDEX(Input!$L$7:$L1503,ROW()-1),1,0))
        -
        EDATE(
          B280 + IF(INDEX(Input!$K$7:$K1503,ROW()-1),0,1),
          12*DATEDIF(
            B280 + IF(INDEX(Input!$K$7:$K1503,ROW()-1),0,1),
            C280 + IF(INDEX(Input!$L$7:$L1503,ROW()-1),1,0),
            "Y"
          )
        )
      ) / 365,
    "Actual/Actual",
      YEARFRAC(
        B280 + IF(INDEX(Input!$K$7:$K1503,ROW()-1),0,1),
        C280 + IF(INDEX(Input!$L$7:$L1503,ROW()-1),1,0),
        1
      ),
      YEARFRAC(
        B280 + IF(INDEX(Input!$K$7:$K1503,ROW()-1),0,1),
        C280 + IF(INDEX(Input!$L$7:$L1503,ROW()-1),1,0),
        3
      )
  )
)</f>
        <v/>
      </c>
      <c r="S280" s="22" t="str">
        <f t="shared" si="4"/>
        <v/>
      </c>
      <c r="T280" s="6" t="str">
        <f t="array" ref="T280">IF(
  B280="",
  ,
  DATEDIF(
    B280 + IF(INDEX(Input!$K$7:$K1503,ROW()-1),0,1),
    C280 + IF(INDEX(Input!$L$7:$L1503,ROW()-1),1,0),
    "Y"
  )
)</f>
        <v/>
      </c>
      <c r="U280" s="6" t="str">
        <f t="array" ref="U280">IF(
  B280="",
  ,
  (C280 + IF(INDEX(Input!$L$7:$L1503,ROW()-1),1,0))
  - EDATE(
      B280 + IF(INDEX(Input!$K$7:$K1503,ROW()-1),0,1),
      12*S280
    )
)</f>
        <v/>
      </c>
      <c r="V280" s="6" t="str">
        <f t="shared" si="5"/>
        <v/>
      </c>
      <c r="W280" s="6" t="str">
        <f t="shared" si="6"/>
        <v/>
      </c>
    </row>
    <row r="281">
      <c r="A281" s="18"/>
      <c r="B281" s="18"/>
      <c r="C281" s="18"/>
      <c r="D281" s="18"/>
      <c r="E281" s="18"/>
      <c r="F281" s="18"/>
      <c r="G281" s="22"/>
      <c r="H281" s="18"/>
      <c r="I281" s="18">
        <v>0.0</v>
      </c>
      <c r="J281" s="18">
        <v>0.0</v>
      </c>
      <c r="K281" s="18"/>
      <c r="L281" s="18"/>
      <c r="M281" s="22" t="str">
        <f t="shared" si="1"/>
        <v/>
      </c>
      <c r="N281" s="18" t="str">
        <f>IF(A281="",,IF(ROW()=2, Input!$C$2 + I281, P280 + I281))</f>
        <v/>
      </c>
      <c r="O281" s="23" t="str">
        <f>IF(A281="",,
 IF(K281="Initial principal",
   Input!$C$2 * M281,
   N281 * M281
 )
)</f>
        <v/>
      </c>
      <c r="P281" s="18" t="str">
        <f t="shared" si="2"/>
        <v/>
      </c>
      <c r="Q281" s="18" t="str">
        <f t="shared" si="3"/>
        <v/>
      </c>
      <c r="R281" s="18" t="str">
        <f t="array" ref="R281">IF(
  B281="",
  ,
  SWITCH(
    Input!$C$4,
    "Actual/365 Fixed",
      YEARFRAC(
        B281 + IF(INDEX(Input!$K$7:$K1503,ROW()-1),0,1),
        C281 + IF(INDEX(Input!$L$7:$L1503,ROW()-1),1,0),
        3
      ),
    "Anniversary/365",
      DATEDIF(
        B281 + IF(INDEX(Input!$K$7:$K1503,ROW()-1),0,1),
        C281 + IF(INDEX(Input!$L$7:$L1503,ROW()-1),1,0),
        "Y"
      )
      +
      (
        (C281 + IF(INDEX(Input!$L$7:$L1503,ROW()-1),1,0))
        -
        EDATE(
          B281 + IF(INDEX(Input!$K$7:$K1503,ROW()-1),0,1),
          12*DATEDIF(
            B281 + IF(INDEX(Input!$K$7:$K1503,ROW()-1),0,1),
            C281 + IF(INDEX(Input!$L$7:$L1503,ROW()-1),1,0),
            "Y"
          )
        )
      ) / 365,
    "Actual/Actual",
      YEARFRAC(
        B281 + IF(INDEX(Input!$K$7:$K1503,ROW()-1),0,1),
        C281 + IF(INDEX(Input!$L$7:$L1503,ROW()-1),1,0),
        1
      ),
      YEARFRAC(
        B281 + IF(INDEX(Input!$K$7:$K1503,ROW()-1),0,1),
        C281 + IF(INDEX(Input!$L$7:$L1503,ROW()-1),1,0),
        3
      )
  )
)</f>
        <v/>
      </c>
      <c r="S281" s="22" t="str">
        <f t="shared" si="4"/>
        <v/>
      </c>
      <c r="T281" s="6" t="str">
        <f t="array" ref="T281">IF(
  B281="",
  ,
  DATEDIF(
    B281 + IF(INDEX(Input!$K$7:$K1503,ROW()-1),0,1),
    C281 + IF(INDEX(Input!$L$7:$L1503,ROW()-1),1,0),
    "Y"
  )
)</f>
        <v/>
      </c>
      <c r="U281" s="6" t="str">
        <f t="array" ref="U281">IF(
  B281="",
  ,
  (C281 + IF(INDEX(Input!$L$7:$L1503,ROW()-1),1,0))
  - EDATE(
      B281 + IF(INDEX(Input!$K$7:$K1503,ROW()-1),0,1),
      12*S281
    )
)</f>
        <v/>
      </c>
      <c r="V281" s="6" t="str">
        <f t="shared" si="5"/>
        <v/>
      </c>
      <c r="W281" s="6" t="str">
        <f t="shared" si="6"/>
        <v/>
      </c>
    </row>
    <row r="282">
      <c r="A282" s="18"/>
      <c r="B282" s="18"/>
      <c r="C282" s="18"/>
      <c r="D282" s="18"/>
      <c r="E282" s="18"/>
      <c r="F282" s="18"/>
      <c r="G282" s="22"/>
      <c r="H282" s="18"/>
      <c r="I282" s="18">
        <v>0.0</v>
      </c>
      <c r="J282" s="18">
        <v>0.0</v>
      </c>
      <c r="K282" s="18"/>
      <c r="L282" s="18"/>
      <c r="M282" s="22" t="str">
        <f t="shared" si="1"/>
        <v/>
      </c>
      <c r="N282" s="18" t="str">
        <f>IF(A282="",,IF(ROW()=2, Input!$C$2 + I282, P281 + I282))</f>
        <v/>
      </c>
      <c r="O282" s="23" t="str">
        <f>IF(A282="",,
 IF(K282="Initial principal",
   Input!$C$2 * M282,
   N282 * M282
 )
)</f>
        <v/>
      </c>
      <c r="P282" s="18" t="str">
        <f t="shared" si="2"/>
        <v/>
      </c>
      <c r="Q282" s="18" t="str">
        <f t="shared" si="3"/>
        <v/>
      </c>
      <c r="R282" s="18" t="str">
        <f t="array" ref="R282">IF(
  B282="",
  ,
  SWITCH(
    Input!$C$4,
    "Actual/365 Fixed",
      YEARFRAC(
        B282 + IF(INDEX(Input!$K$7:$K1503,ROW()-1),0,1),
        C282 + IF(INDEX(Input!$L$7:$L1503,ROW()-1),1,0),
        3
      ),
    "Anniversary/365",
      DATEDIF(
        B282 + IF(INDEX(Input!$K$7:$K1503,ROW()-1),0,1),
        C282 + IF(INDEX(Input!$L$7:$L1503,ROW()-1),1,0),
        "Y"
      )
      +
      (
        (C282 + IF(INDEX(Input!$L$7:$L1503,ROW()-1),1,0))
        -
        EDATE(
          B282 + IF(INDEX(Input!$K$7:$K1503,ROW()-1),0,1),
          12*DATEDIF(
            B282 + IF(INDEX(Input!$K$7:$K1503,ROW()-1),0,1),
            C282 + IF(INDEX(Input!$L$7:$L1503,ROW()-1),1,0),
            "Y"
          )
        )
      ) / 365,
    "Actual/Actual",
      YEARFRAC(
        B282 + IF(INDEX(Input!$K$7:$K1503,ROW()-1),0,1),
        C282 + IF(INDEX(Input!$L$7:$L1503,ROW()-1),1,0),
        1
      ),
      YEARFRAC(
        B282 + IF(INDEX(Input!$K$7:$K1503,ROW()-1),0,1),
        C282 + IF(INDEX(Input!$L$7:$L1503,ROW()-1),1,0),
        3
      )
  )
)</f>
        <v/>
      </c>
      <c r="S282" s="22" t="str">
        <f t="shared" si="4"/>
        <v/>
      </c>
      <c r="T282" s="6" t="str">
        <f t="array" ref="T282">IF(
  B282="",
  ,
  DATEDIF(
    B282 + IF(INDEX(Input!$K$7:$K1503,ROW()-1),0,1),
    C282 + IF(INDEX(Input!$L$7:$L1503,ROW()-1),1,0),
    "Y"
  )
)</f>
        <v/>
      </c>
      <c r="U282" s="6" t="str">
        <f t="array" ref="U282">IF(
  B282="",
  ,
  (C282 + IF(INDEX(Input!$L$7:$L1503,ROW()-1),1,0))
  - EDATE(
      B282 + IF(INDEX(Input!$K$7:$K1503,ROW()-1),0,1),
      12*S282
    )
)</f>
        <v/>
      </c>
      <c r="V282" s="6" t="str">
        <f t="shared" si="5"/>
        <v/>
      </c>
      <c r="W282" s="6" t="str">
        <f t="shared" si="6"/>
        <v/>
      </c>
    </row>
    <row r="283">
      <c r="A283" s="18"/>
      <c r="B283" s="18"/>
      <c r="C283" s="18"/>
      <c r="D283" s="18"/>
      <c r="E283" s="18"/>
      <c r="F283" s="18"/>
      <c r="G283" s="22"/>
      <c r="H283" s="18"/>
      <c r="I283" s="18">
        <v>0.0</v>
      </c>
      <c r="J283" s="18">
        <v>0.0</v>
      </c>
      <c r="K283" s="18"/>
      <c r="L283" s="18"/>
      <c r="M283" s="22" t="str">
        <f t="shared" si="1"/>
        <v/>
      </c>
      <c r="N283" s="18" t="str">
        <f>IF(A283="",,IF(ROW()=2, Input!$C$2 + I283, P282 + I283))</f>
        <v/>
      </c>
      <c r="O283" s="23" t="str">
        <f>IF(A283="",,
 IF(K283="Initial principal",
   Input!$C$2 * M283,
   N283 * M283
 )
)</f>
        <v/>
      </c>
      <c r="P283" s="18" t="str">
        <f t="shared" si="2"/>
        <v/>
      </c>
      <c r="Q283" s="18" t="str">
        <f t="shared" si="3"/>
        <v/>
      </c>
      <c r="R283" s="18" t="str">
        <f t="array" ref="R283">IF(
  B283="",
  ,
  SWITCH(
    Input!$C$4,
    "Actual/365 Fixed",
      YEARFRAC(
        B283 + IF(INDEX(Input!$K$7:$K1503,ROW()-1),0,1),
        C283 + IF(INDEX(Input!$L$7:$L1503,ROW()-1),1,0),
        3
      ),
    "Anniversary/365",
      DATEDIF(
        B283 + IF(INDEX(Input!$K$7:$K1503,ROW()-1),0,1),
        C283 + IF(INDEX(Input!$L$7:$L1503,ROW()-1),1,0),
        "Y"
      )
      +
      (
        (C283 + IF(INDEX(Input!$L$7:$L1503,ROW()-1),1,0))
        -
        EDATE(
          B283 + IF(INDEX(Input!$K$7:$K1503,ROW()-1),0,1),
          12*DATEDIF(
            B283 + IF(INDEX(Input!$K$7:$K1503,ROW()-1),0,1),
            C283 + IF(INDEX(Input!$L$7:$L1503,ROW()-1),1,0),
            "Y"
          )
        )
      ) / 365,
    "Actual/Actual",
      YEARFRAC(
        B283 + IF(INDEX(Input!$K$7:$K1503,ROW()-1),0,1),
        C283 + IF(INDEX(Input!$L$7:$L1503,ROW()-1),1,0),
        1
      ),
      YEARFRAC(
        B283 + IF(INDEX(Input!$K$7:$K1503,ROW()-1),0,1),
        C283 + IF(INDEX(Input!$L$7:$L1503,ROW()-1),1,0),
        3
      )
  )
)</f>
        <v/>
      </c>
      <c r="S283" s="22" t="str">
        <f t="shared" si="4"/>
        <v/>
      </c>
      <c r="T283" s="6" t="str">
        <f t="array" ref="T283">IF(
  B283="",
  ,
  DATEDIF(
    B283 + IF(INDEX(Input!$K$7:$K1503,ROW()-1),0,1),
    C283 + IF(INDEX(Input!$L$7:$L1503,ROW()-1),1,0),
    "Y"
  )
)</f>
        <v/>
      </c>
      <c r="U283" s="6" t="str">
        <f t="array" ref="U283">IF(
  B283="",
  ,
  (C283 + IF(INDEX(Input!$L$7:$L1503,ROW()-1),1,0))
  - EDATE(
      B283 + IF(INDEX(Input!$K$7:$K1503,ROW()-1),0,1),
      12*S283
    )
)</f>
        <v/>
      </c>
      <c r="V283" s="6" t="str">
        <f t="shared" si="5"/>
        <v/>
      </c>
      <c r="W283" s="6" t="str">
        <f t="shared" si="6"/>
        <v/>
      </c>
    </row>
    <row r="284">
      <c r="A284" s="18"/>
      <c r="B284" s="18"/>
      <c r="C284" s="18"/>
      <c r="D284" s="18"/>
      <c r="E284" s="18"/>
      <c r="F284" s="18"/>
      <c r="G284" s="22"/>
      <c r="H284" s="18"/>
      <c r="I284" s="18">
        <v>0.0</v>
      </c>
      <c r="J284" s="18">
        <v>0.0</v>
      </c>
      <c r="K284" s="18"/>
      <c r="L284" s="18"/>
      <c r="M284" s="22" t="str">
        <f t="shared" si="1"/>
        <v/>
      </c>
      <c r="N284" s="18" t="str">
        <f>IF(A284="",,IF(ROW()=2, Input!$C$2 + I284, P283 + I284))</f>
        <v/>
      </c>
      <c r="O284" s="23" t="str">
        <f>IF(A284="",,
 IF(K284="Initial principal",
   Input!$C$2 * M284,
   N284 * M284
 )
)</f>
        <v/>
      </c>
      <c r="P284" s="18" t="str">
        <f t="shared" si="2"/>
        <v/>
      </c>
      <c r="Q284" s="18" t="str">
        <f t="shared" si="3"/>
        <v/>
      </c>
      <c r="R284" s="18" t="str">
        <f t="array" ref="R284">IF(
  B284="",
  ,
  SWITCH(
    Input!$C$4,
    "Actual/365 Fixed",
      YEARFRAC(
        B284 + IF(INDEX(Input!$K$7:$K1503,ROW()-1),0,1),
        C284 + IF(INDEX(Input!$L$7:$L1503,ROW()-1),1,0),
        3
      ),
    "Anniversary/365",
      DATEDIF(
        B284 + IF(INDEX(Input!$K$7:$K1503,ROW()-1),0,1),
        C284 + IF(INDEX(Input!$L$7:$L1503,ROW()-1),1,0),
        "Y"
      )
      +
      (
        (C284 + IF(INDEX(Input!$L$7:$L1503,ROW()-1),1,0))
        -
        EDATE(
          B284 + IF(INDEX(Input!$K$7:$K1503,ROW()-1),0,1),
          12*DATEDIF(
            B284 + IF(INDEX(Input!$K$7:$K1503,ROW()-1),0,1),
            C284 + IF(INDEX(Input!$L$7:$L1503,ROW()-1),1,0),
            "Y"
          )
        )
      ) / 365,
    "Actual/Actual",
      YEARFRAC(
        B284 + IF(INDEX(Input!$K$7:$K1503,ROW()-1),0,1),
        C284 + IF(INDEX(Input!$L$7:$L1503,ROW()-1),1,0),
        1
      ),
      YEARFRAC(
        B284 + IF(INDEX(Input!$K$7:$K1503,ROW()-1),0,1),
        C284 + IF(INDEX(Input!$L$7:$L1503,ROW()-1),1,0),
        3
      )
  )
)</f>
        <v/>
      </c>
      <c r="S284" s="22" t="str">
        <f t="shared" si="4"/>
        <v/>
      </c>
      <c r="T284" s="6" t="str">
        <f t="array" ref="T284">IF(
  B284="",
  ,
  DATEDIF(
    B284 + IF(INDEX(Input!$K$7:$K1503,ROW()-1),0,1),
    C284 + IF(INDEX(Input!$L$7:$L1503,ROW()-1),1,0),
    "Y"
  )
)</f>
        <v/>
      </c>
      <c r="U284" s="6" t="str">
        <f t="array" ref="U284">IF(
  B284="",
  ,
  (C284 + IF(INDEX(Input!$L$7:$L1503,ROW()-1),1,0))
  - EDATE(
      B284 + IF(INDEX(Input!$K$7:$K1503,ROW()-1),0,1),
      12*S284
    )
)</f>
        <v/>
      </c>
      <c r="V284" s="6" t="str">
        <f t="shared" si="5"/>
        <v/>
      </c>
      <c r="W284" s="6" t="str">
        <f t="shared" si="6"/>
        <v/>
      </c>
    </row>
    <row r="285">
      <c r="A285" s="18"/>
      <c r="B285" s="18"/>
      <c r="C285" s="18"/>
      <c r="D285" s="18"/>
      <c r="E285" s="18"/>
      <c r="F285" s="18"/>
      <c r="G285" s="22"/>
      <c r="H285" s="18"/>
      <c r="I285" s="18">
        <v>0.0</v>
      </c>
      <c r="J285" s="18">
        <v>0.0</v>
      </c>
      <c r="K285" s="18"/>
      <c r="L285" s="18"/>
      <c r="M285" s="22" t="str">
        <f t="shared" si="1"/>
        <v/>
      </c>
      <c r="N285" s="18" t="str">
        <f>IF(A285="",,IF(ROW()=2, Input!$C$2 + I285, P284 + I285))</f>
        <v/>
      </c>
      <c r="O285" s="23" t="str">
        <f>IF(A285="",,
 IF(K285="Initial principal",
   Input!$C$2 * M285,
   N285 * M285
 )
)</f>
        <v/>
      </c>
      <c r="P285" s="18" t="str">
        <f t="shared" si="2"/>
        <v/>
      </c>
      <c r="Q285" s="18" t="str">
        <f t="shared" si="3"/>
        <v/>
      </c>
      <c r="R285" s="18" t="str">
        <f t="array" ref="R285">IF(
  B285="",
  ,
  SWITCH(
    Input!$C$4,
    "Actual/365 Fixed",
      YEARFRAC(
        B285 + IF(INDEX(Input!$K$7:$K1503,ROW()-1),0,1),
        C285 + IF(INDEX(Input!$L$7:$L1503,ROW()-1),1,0),
        3
      ),
    "Anniversary/365",
      DATEDIF(
        B285 + IF(INDEX(Input!$K$7:$K1503,ROW()-1),0,1),
        C285 + IF(INDEX(Input!$L$7:$L1503,ROW()-1),1,0),
        "Y"
      )
      +
      (
        (C285 + IF(INDEX(Input!$L$7:$L1503,ROW()-1),1,0))
        -
        EDATE(
          B285 + IF(INDEX(Input!$K$7:$K1503,ROW()-1),0,1),
          12*DATEDIF(
            B285 + IF(INDEX(Input!$K$7:$K1503,ROW()-1),0,1),
            C285 + IF(INDEX(Input!$L$7:$L1503,ROW()-1),1,0),
            "Y"
          )
        )
      ) / 365,
    "Actual/Actual",
      YEARFRAC(
        B285 + IF(INDEX(Input!$K$7:$K1503,ROW()-1),0,1),
        C285 + IF(INDEX(Input!$L$7:$L1503,ROW()-1),1,0),
        1
      ),
      YEARFRAC(
        B285 + IF(INDEX(Input!$K$7:$K1503,ROW()-1),0,1),
        C285 + IF(INDEX(Input!$L$7:$L1503,ROW()-1),1,0),
        3
      )
  )
)</f>
        <v/>
      </c>
      <c r="S285" s="22" t="str">
        <f t="shared" si="4"/>
        <v/>
      </c>
      <c r="T285" s="6" t="str">
        <f t="array" ref="T285">IF(
  B285="",
  ,
  DATEDIF(
    B285 + IF(INDEX(Input!$K$7:$K1503,ROW()-1),0,1),
    C285 + IF(INDEX(Input!$L$7:$L1503,ROW()-1),1,0),
    "Y"
  )
)</f>
        <v/>
      </c>
      <c r="U285" s="6" t="str">
        <f t="array" ref="U285">IF(
  B285="",
  ,
  (C285 + IF(INDEX(Input!$L$7:$L1503,ROW()-1),1,0))
  - EDATE(
      B285 + IF(INDEX(Input!$K$7:$K1503,ROW()-1),0,1),
      12*S285
    )
)</f>
        <v/>
      </c>
      <c r="V285" s="6" t="str">
        <f t="shared" si="5"/>
        <v/>
      </c>
      <c r="W285" s="6" t="str">
        <f t="shared" si="6"/>
        <v/>
      </c>
    </row>
    <row r="286">
      <c r="A286" s="18"/>
      <c r="B286" s="18"/>
      <c r="C286" s="18"/>
      <c r="D286" s="18"/>
      <c r="E286" s="18"/>
      <c r="F286" s="18"/>
      <c r="G286" s="22"/>
      <c r="H286" s="18"/>
      <c r="I286" s="18">
        <v>0.0</v>
      </c>
      <c r="J286" s="18">
        <v>0.0</v>
      </c>
      <c r="K286" s="18"/>
      <c r="L286" s="18"/>
      <c r="M286" s="22" t="str">
        <f t="shared" si="1"/>
        <v/>
      </c>
      <c r="N286" s="18" t="str">
        <f>IF(A286="",,IF(ROW()=2, Input!$C$2 + I286, P285 + I286))</f>
        <v/>
      </c>
      <c r="O286" s="23" t="str">
        <f>IF(A286="",,
 IF(K286="Initial principal",
   Input!$C$2 * M286,
   N286 * M286
 )
)</f>
        <v/>
      </c>
      <c r="P286" s="18" t="str">
        <f t="shared" si="2"/>
        <v/>
      </c>
      <c r="Q286" s="18" t="str">
        <f t="shared" si="3"/>
        <v/>
      </c>
      <c r="R286" s="18" t="str">
        <f t="array" ref="R286">IF(
  B286="",
  ,
  SWITCH(
    Input!$C$4,
    "Actual/365 Fixed",
      YEARFRAC(
        B286 + IF(INDEX(Input!$K$7:$K1503,ROW()-1),0,1),
        C286 + IF(INDEX(Input!$L$7:$L1503,ROW()-1),1,0),
        3
      ),
    "Anniversary/365",
      DATEDIF(
        B286 + IF(INDEX(Input!$K$7:$K1503,ROW()-1),0,1),
        C286 + IF(INDEX(Input!$L$7:$L1503,ROW()-1),1,0),
        "Y"
      )
      +
      (
        (C286 + IF(INDEX(Input!$L$7:$L1503,ROW()-1),1,0))
        -
        EDATE(
          B286 + IF(INDEX(Input!$K$7:$K1503,ROW()-1),0,1),
          12*DATEDIF(
            B286 + IF(INDEX(Input!$K$7:$K1503,ROW()-1),0,1),
            C286 + IF(INDEX(Input!$L$7:$L1503,ROW()-1),1,0),
            "Y"
          )
        )
      ) / 365,
    "Actual/Actual",
      YEARFRAC(
        B286 + IF(INDEX(Input!$K$7:$K1503,ROW()-1),0,1),
        C286 + IF(INDEX(Input!$L$7:$L1503,ROW()-1),1,0),
        1
      ),
      YEARFRAC(
        B286 + IF(INDEX(Input!$K$7:$K1503,ROW()-1),0,1),
        C286 + IF(INDEX(Input!$L$7:$L1503,ROW()-1),1,0),
        3
      )
  )
)</f>
        <v/>
      </c>
      <c r="S286" s="22" t="str">
        <f t="shared" si="4"/>
        <v/>
      </c>
      <c r="T286" s="6" t="str">
        <f t="array" ref="T286">IF(
  B286="",
  ,
  DATEDIF(
    B286 + IF(INDEX(Input!$K$7:$K1503,ROW()-1),0,1),
    C286 + IF(INDEX(Input!$L$7:$L1503,ROW()-1),1,0),
    "Y"
  )
)</f>
        <v/>
      </c>
      <c r="U286" s="6" t="str">
        <f t="array" ref="U286">IF(
  B286="",
  ,
  (C286 + IF(INDEX(Input!$L$7:$L1503,ROW()-1),1,0))
  - EDATE(
      B286 + IF(INDEX(Input!$K$7:$K1503,ROW()-1),0,1),
      12*S286
    )
)</f>
        <v/>
      </c>
      <c r="V286" s="6" t="str">
        <f t="shared" si="5"/>
        <v/>
      </c>
      <c r="W286" s="6" t="str">
        <f t="shared" si="6"/>
        <v/>
      </c>
    </row>
    <row r="287">
      <c r="A287" s="18"/>
      <c r="B287" s="18"/>
      <c r="C287" s="18"/>
      <c r="D287" s="18"/>
      <c r="E287" s="18"/>
      <c r="F287" s="18"/>
      <c r="G287" s="22"/>
      <c r="H287" s="18"/>
      <c r="I287" s="18">
        <v>0.0</v>
      </c>
      <c r="J287" s="18">
        <v>0.0</v>
      </c>
      <c r="K287" s="18"/>
      <c r="L287" s="18"/>
      <c r="M287" s="22" t="str">
        <f t="shared" si="1"/>
        <v/>
      </c>
      <c r="N287" s="18" t="str">
        <f>IF(A287="",,IF(ROW()=2, Input!$C$2 + I287, P286 + I287))</f>
        <v/>
      </c>
      <c r="O287" s="23" t="str">
        <f>IF(A287="",,
 IF(K287="Initial principal",
   Input!$C$2 * M287,
   N287 * M287
 )
)</f>
        <v/>
      </c>
      <c r="P287" s="18" t="str">
        <f t="shared" si="2"/>
        <v/>
      </c>
      <c r="Q287" s="18" t="str">
        <f t="shared" si="3"/>
        <v/>
      </c>
      <c r="R287" s="18" t="str">
        <f t="array" ref="R287">IF(
  B287="",
  ,
  SWITCH(
    Input!$C$4,
    "Actual/365 Fixed",
      YEARFRAC(
        B287 + IF(INDEX(Input!$K$7:$K1503,ROW()-1),0,1),
        C287 + IF(INDEX(Input!$L$7:$L1503,ROW()-1),1,0),
        3
      ),
    "Anniversary/365",
      DATEDIF(
        B287 + IF(INDEX(Input!$K$7:$K1503,ROW()-1),0,1),
        C287 + IF(INDEX(Input!$L$7:$L1503,ROW()-1),1,0),
        "Y"
      )
      +
      (
        (C287 + IF(INDEX(Input!$L$7:$L1503,ROW()-1),1,0))
        -
        EDATE(
          B287 + IF(INDEX(Input!$K$7:$K1503,ROW()-1),0,1),
          12*DATEDIF(
            B287 + IF(INDEX(Input!$K$7:$K1503,ROW()-1),0,1),
            C287 + IF(INDEX(Input!$L$7:$L1503,ROW()-1),1,0),
            "Y"
          )
        )
      ) / 365,
    "Actual/Actual",
      YEARFRAC(
        B287 + IF(INDEX(Input!$K$7:$K1503,ROW()-1),0,1),
        C287 + IF(INDEX(Input!$L$7:$L1503,ROW()-1),1,0),
        1
      ),
      YEARFRAC(
        B287 + IF(INDEX(Input!$K$7:$K1503,ROW()-1),0,1),
        C287 + IF(INDEX(Input!$L$7:$L1503,ROW()-1),1,0),
        3
      )
  )
)</f>
        <v/>
      </c>
      <c r="S287" s="22" t="str">
        <f t="shared" si="4"/>
        <v/>
      </c>
      <c r="T287" s="6" t="str">
        <f t="array" ref="T287">IF(
  B287="",
  ,
  DATEDIF(
    B287 + IF(INDEX(Input!$K$7:$K1503,ROW()-1),0,1),
    C287 + IF(INDEX(Input!$L$7:$L1503,ROW()-1),1,0),
    "Y"
  )
)</f>
        <v/>
      </c>
      <c r="U287" s="6" t="str">
        <f t="array" ref="U287">IF(
  B287="",
  ,
  (C287 + IF(INDEX(Input!$L$7:$L1503,ROW()-1),1,0))
  - EDATE(
      B287 + IF(INDEX(Input!$K$7:$K1503,ROW()-1),0,1),
      12*S287
    )
)</f>
        <v/>
      </c>
      <c r="V287" s="6" t="str">
        <f t="shared" si="5"/>
        <v/>
      </c>
      <c r="W287" s="6" t="str">
        <f t="shared" si="6"/>
        <v/>
      </c>
    </row>
    <row r="288">
      <c r="A288" s="18"/>
      <c r="B288" s="18"/>
      <c r="C288" s="18"/>
      <c r="D288" s="18"/>
      <c r="E288" s="18"/>
      <c r="F288" s="18"/>
      <c r="G288" s="22"/>
      <c r="H288" s="18"/>
      <c r="I288" s="18">
        <v>0.0</v>
      </c>
      <c r="J288" s="18">
        <v>0.0</v>
      </c>
      <c r="K288" s="18"/>
      <c r="L288" s="18"/>
      <c r="M288" s="22" t="str">
        <f t="shared" si="1"/>
        <v/>
      </c>
      <c r="N288" s="18" t="str">
        <f>IF(A288="",,IF(ROW()=2, Input!$C$2 + I288, P287 + I288))</f>
        <v/>
      </c>
      <c r="O288" s="23" t="str">
        <f>IF(A288="",,
 IF(K288="Initial principal",
   Input!$C$2 * M288,
   N288 * M288
 )
)</f>
        <v/>
      </c>
      <c r="P288" s="18" t="str">
        <f t="shared" si="2"/>
        <v/>
      </c>
      <c r="Q288" s="18" t="str">
        <f t="shared" si="3"/>
        <v/>
      </c>
      <c r="R288" s="18" t="str">
        <f t="array" ref="R288">IF(
  B288="",
  ,
  SWITCH(
    Input!$C$4,
    "Actual/365 Fixed",
      YEARFRAC(
        B288 + IF(INDEX(Input!$K$7:$K1503,ROW()-1),0,1),
        C288 + IF(INDEX(Input!$L$7:$L1503,ROW()-1),1,0),
        3
      ),
    "Anniversary/365",
      DATEDIF(
        B288 + IF(INDEX(Input!$K$7:$K1503,ROW()-1),0,1),
        C288 + IF(INDEX(Input!$L$7:$L1503,ROW()-1),1,0),
        "Y"
      )
      +
      (
        (C288 + IF(INDEX(Input!$L$7:$L1503,ROW()-1),1,0))
        -
        EDATE(
          B288 + IF(INDEX(Input!$K$7:$K1503,ROW()-1),0,1),
          12*DATEDIF(
            B288 + IF(INDEX(Input!$K$7:$K1503,ROW()-1),0,1),
            C288 + IF(INDEX(Input!$L$7:$L1503,ROW()-1),1,0),
            "Y"
          )
        )
      ) / 365,
    "Actual/Actual",
      YEARFRAC(
        B288 + IF(INDEX(Input!$K$7:$K1503,ROW()-1),0,1),
        C288 + IF(INDEX(Input!$L$7:$L1503,ROW()-1),1,0),
        1
      ),
      YEARFRAC(
        B288 + IF(INDEX(Input!$K$7:$K1503,ROW()-1),0,1),
        C288 + IF(INDEX(Input!$L$7:$L1503,ROW()-1),1,0),
        3
      )
  )
)</f>
        <v/>
      </c>
      <c r="S288" s="22" t="str">
        <f t="shared" si="4"/>
        <v/>
      </c>
      <c r="T288" s="6" t="str">
        <f t="array" ref="T288">IF(
  B288="",
  ,
  DATEDIF(
    B288 + IF(INDEX(Input!$K$7:$K1503,ROW()-1),0,1),
    C288 + IF(INDEX(Input!$L$7:$L1503,ROW()-1),1,0),
    "Y"
  )
)</f>
        <v/>
      </c>
      <c r="U288" s="6" t="str">
        <f t="array" ref="U288">IF(
  B288="",
  ,
  (C288 + IF(INDEX(Input!$L$7:$L1503,ROW()-1),1,0))
  - EDATE(
      B288 + IF(INDEX(Input!$K$7:$K1503,ROW()-1),0,1),
      12*S288
    )
)</f>
        <v/>
      </c>
      <c r="V288" s="6" t="str">
        <f t="shared" si="5"/>
        <v/>
      </c>
      <c r="W288" s="6" t="str">
        <f t="shared" si="6"/>
        <v/>
      </c>
    </row>
    <row r="289">
      <c r="A289" s="18"/>
      <c r="B289" s="18"/>
      <c r="C289" s="18"/>
      <c r="D289" s="18"/>
      <c r="E289" s="18"/>
      <c r="F289" s="18"/>
      <c r="G289" s="22"/>
      <c r="H289" s="18"/>
      <c r="I289" s="18">
        <v>0.0</v>
      </c>
      <c r="J289" s="18">
        <v>0.0</v>
      </c>
      <c r="K289" s="18"/>
      <c r="L289" s="18"/>
      <c r="M289" s="22" t="str">
        <f t="shared" si="1"/>
        <v/>
      </c>
      <c r="N289" s="18" t="str">
        <f>IF(A289="",,IF(ROW()=2, Input!$C$2 + I289, P288 + I289))</f>
        <v/>
      </c>
      <c r="O289" s="23" t="str">
        <f>IF(A289="",,
 IF(K289="Initial principal",
   Input!$C$2 * M289,
   N289 * M289
 )
)</f>
        <v/>
      </c>
      <c r="P289" s="18" t="str">
        <f t="shared" si="2"/>
        <v/>
      </c>
      <c r="Q289" s="18" t="str">
        <f t="shared" si="3"/>
        <v/>
      </c>
      <c r="R289" s="18" t="str">
        <f t="array" ref="R289">IF(
  B289="",
  ,
  SWITCH(
    Input!$C$4,
    "Actual/365 Fixed",
      YEARFRAC(
        B289 + IF(INDEX(Input!$K$7:$K1503,ROW()-1),0,1),
        C289 + IF(INDEX(Input!$L$7:$L1503,ROW()-1),1,0),
        3
      ),
    "Anniversary/365",
      DATEDIF(
        B289 + IF(INDEX(Input!$K$7:$K1503,ROW()-1),0,1),
        C289 + IF(INDEX(Input!$L$7:$L1503,ROW()-1),1,0),
        "Y"
      )
      +
      (
        (C289 + IF(INDEX(Input!$L$7:$L1503,ROW()-1),1,0))
        -
        EDATE(
          B289 + IF(INDEX(Input!$K$7:$K1503,ROW()-1),0,1),
          12*DATEDIF(
            B289 + IF(INDEX(Input!$K$7:$K1503,ROW()-1),0,1),
            C289 + IF(INDEX(Input!$L$7:$L1503,ROW()-1),1,0),
            "Y"
          )
        )
      ) / 365,
    "Actual/Actual",
      YEARFRAC(
        B289 + IF(INDEX(Input!$K$7:$K1503,ROW()-1),0,1),
        C289 + IF(INDEX(Input!$L$7:$L1503,ROW()-1),1,0),
        1
      ),
      YEARFRAC(
        B289 + IF(INDEX(Input!$K$7:$K1503,ROW()-1),0,1),
        C289 + IF(INDEX(Input!$L$7:$L1503,ROW()-1),1,0),
        3
      )
  )
)</f>
        <v/>
      </c>
      <c r="S289" s="22" t="str">
        <f t="shared" si="4"/>
        <v/>
      </c>
      <c r="T289" s="6" t="str">
        <f t="array" ref="T289">IF(
  B289="",
  ,
  DATEDIF(
    B289 + IF(INDEX(Input!$K$7:$K1503,ROW()-1),0,1),
    C289 + IF(INDEX(Input!$L$7:$L1503,ROW()-1),1,0),
    "Y"
  )
)</f>
        <v/>
      </c>
      <c r="U289" s="6" t="str">
        <f t="array" ref="U289">IF(
  B289="",
  ,
  (C289 + IF(INDEX(Input!$L$7:$L1503,ROW()-1),1,0))
  - EDATE(
      B289 + IF(INDEX(Input!$K$7:$K1503,ROW()-1),0,1),
      12*S289
    )
)</f>
        <v/>
      </c>
      <c r="V289" s="6" t="str">
        <f t="shared" si="5"/>
        <v/>
      </c>
      <c r="W289" s="6" t="str">
        <f t="shared" si="6"/>
        <v/>
      </c>
    </row>
    <row r="290">
      <c r="A290" s="18"/>
      <c r="B290" s="18"/>
      <c r="C290" s="18"/>
      <c r="D290" s="18"/>
      <c r="E290" s="18"/>
      <c r="F290" s="18"/>
      <c r="G290" s="22"/>
      <c r="H290" s="18"/>
      <c r="I290" s="18">
        <v>0.0</v>
      </c>
      <c r="J290" s="18">
        <v>0.0</v>
      </c>
      <c r="K290" s="18"/>
      <c r="L290" s="18"/>
      <c r="M290" s="22" t="str">
        <f t="shared" si="1"/>
        <v/>
      </c>
      <c r="N290" s="18" t="str">
        <f>IF(A290="",,IF(ROW()=2, Input!$C$2 + I290, P289 + I290))</f>
        <v/>
      </c>
      <c r="O290" s="23" t="str">
        <f>IF(A290="",,
 IF(K290="Initial principal",
   Input!$C$2 * M290,
   N290 * M290
 )
)</f>
        <v/>
      </c>
      <c r="P290" s="18" t="str">
        <f t="shared" si="2"/>
        <v/>
      </c>
      <c r="Q290" s="18" t="str">
        <f t="shared" si="3"/>
        <v/>
      </c>
      <c r="R290" s="18" t="str">
        <f t="array" ref="R290">IF(
  B290="",
  ,
  SWITCH(
    Input!$C$4,
    "Actual/365 Fixed",
      YEARFRAC(
        B290 + IF(INDEX(Input!$K$7:$K1503,ROW()-1),0,1),
        C290 + IF(INDEX(Input!$L$7:$L1503,ROW()-1),1,0),
        3
      ),
    "Anniversary/365",
      DATEDIF(
        B290 + IF(INDEX(Input!$K$7:$K1503,ROW()-1),0,1),
        C290 + IF(INDEX(Input!$L$7:$L1503,ROW()-1),1,0),
        "Y"
      )
      +
      (
        (C290 + IF(INDEX(Input!$L$7:$L1503,ROW()-1),1,0))
        -
        EDATE(
          B290 + IF(INDEX(Input!$K$7:$K1503,ROW()-1),0,1),
          12*DATEDIF(
            B290 + IF(INDEX(Input!$K$7:$K1503,ROW()-1),0,1),
            C290 + IF(INDEX(Input!$L$7:$L1503,ROW()-1),1,0),
            "Y"
          )
        )
      ) / 365,
    "Actual/Actual",
      YEARFRAC(
        B290 + IF(INDEX(Input!$K$7:$K1503,ROW()-1),0,1),
        C290 + IF(INDEX(Input!$L$7:$L1503,ROW()-1),1,0),
        1
      ),
      YEARFRAC(
        B290 + IF(INDEX(Input!$K$7:$K1503,ROW()-1),0,1),
        C290 + IF(INDEX(Input!$L$7:$L1503,ROW()-1),1,0),
        3
      )
  )
)</f>
        <v/>
      </c>
      <c r="S290" s="22" t="str">
        <f t="shared" si="4"/>
        <v/>
      </c>
      <c r="T290" s="6" t="str">
        <f t="array" ref="T290">IF(
  B290="",
  ,
  DATEDIF(
    B290 + IF(INDEX(Input!$K$7:$K1503,ROW()-1),0,1),
    C290 + IF(INDEX(Input!$L$7:$L1503,ROW()-1),1,0),
    "Y"
  )
)</f>
        <v/>
      </c>
      <c r="U290" s="6" t="str">
        <f t="array" ref="U290">IF(
  B290="",
  ,
  (C290 + IF(INDEX(Input!$L$7:$L1503,ROW()-1),1,0))
  - EDATE(
      B290 + IF(INDEX(Input!$K$7:$K1503,ROW()-1),0,1),
      12*S290
    )
)</f>
        <v/>
      </c>
      <c r="V290" s="6" t="str">
        <f t="shared" si="5"/>
        <v/>
      </c>
      <c r="W290" s="6" t="str">
        <f t="shared" si="6"/>
        <v/>
      </c>
    </row>
    <row r="291">
      <c r="A291" s="18"/>
      <c r="B291" s="18"/>
      <c r="C291" s="18"/>
      <c r="D291" s="18"/>
      <c r="E291" s="18"/>
      <c r="F291" s="18"/>
      <c r="G291" s="22"/>
      <c r="H291" s="18"/>
      <c r="I291" s="18">
        <v>0.0</v>
      </c>
      <c r="J291" s="18">
        <v>0.0</v>
      </c>
      <c r="K291" s="18"/>
      <c r="L291" s="18"/>
      <c r="M291" s="22" t="str">
        <f t="shared" si="1"/>
        <v/>
      </c>
      <c r="N291" s="18" t="str">
        <f>IF(A291="",,IF(ROW()=2, Input!$C$2 + I291, P290 + I291))</f>
        <v/>
      </c>
      <c r="O291" s="23" t="str">
        <f>IF(A291="",,
 IF(K291="Initial principal",
   Input!$C$2 * M291,
   N291 * M291
 )
)</f>
        <v/>
      </c>
      <c r="P291" s="18" t="str">
        <f t="shared" si="2"/>
        <v/>
      </c>
      <c r="Q291" s="18" t="str">
        <f t="shared" si="3"/>
        <v/>
      </c>
      <c r="R291" s="18" t="str">
        <f t="array" ref="R291">IF(
  B291="",
  ,
  SWITCH(
    Input!$C$4,
    "Actual/365 Fixed",
      YEARFRAC(
        B291 + IF(INDEX(Input!$K$7:$K1503,ROW()-1),0,1),
        C291 + IF(INDEX(Input!$L$7:$L1503,ROW()-1),1,0),
        3
      ),
    "Anniversary/365",
      DATEDIF(
        B291 + IF(INDEX(Input!$K$7:$K1503,ROW()-1),0,1),
        C291 + IF(INDEX(Input!$L$7:$L1503,ROW()-1),1,0),
        "Y"
      )
      +
      (
        (C291 + IF(INDEX(Input!$L$7:$L1503,ROW()-1),1,0))
        -
        EDATE(
          B291 + IF(INDEX(Input!$K$7:$K1503,ROW()-1),0,1),
          12*DATEDIF(
            B291 + IF(INDEX(Input!$K$7:$K1503,ROW()-1),0,1),
            C291 + IF(INDEX(Input!$L$7:$L1503,ROW()-1),1,0),
            "Y"
          )
        )
      ) / 365,
    "Actual/Actual",
      YEARFRAC(
        B291 + IF(INDEX(Input!$K$7:$K1503,ROW()-1),0,1),
        C291 + IF(INDEX(Input!$L$7:$L1503,ROW()-1),1,0),
        1
      ),
      YEARFRAC(
        B291 + IF(INDEX(Input!$K$7:$K1503,ROW()-1),0,1),
        C291 + IF(INDEX(Input!$L$7:$L1503,ROW()-1),1,0),
        3
      )
  )
)</f>
        <v/>
      </c>
      <c r="S291" s="22" t="str">
        <f t="shared" si="4"/>
        <v/>
      </c>
      <c r="T291" s="6" t="str">
        <f t="array" ref="T291">IF(
  B291="",
  ,
  DATEDIF(
    B291 + IF(INDEX(Input!$K$7:$K1503,ROW()-1),0,1),
    C291 + IF(INDEX(Input!$L$7:$L1503,ROW()-1),1,0),
    "Y"
  )
)</f>
        <v/>
      </c>
      <c r="U291" s="6" t="str">
        <f t="array" ref="U291">IF(
  B291="",
  ,
  (C291 + IF(INDEX(Input!$L$7:$L1503,ROW()-1),1,0))
  - EDATE(
      B291 + IF(INDEX(Input!$K$7:$K1503,ROW()-1),0,1),
      12*S291
    )
)</f>
        <v/>
      </c>
      <c r="V291" s="6" t="str">
        <f t="shared" si="5"/>
        <v/>
      </c>
      <c r="W291" s="6" t="str">
        <f t="shared" si="6"/>
        <v/>
      </c>
    </row>
    <row r="292">
      <c r="A292" s="18"/>
      <c r="B292" s="18"/>
      <c r="C292" s="18"/>
      <c r="D292" s="18"/>
      <c r="E292" s="18"/>
      <c r="F292" s="18"/>
      <c r="G292" s="22"/>
      <c r="H292" s="18"/>
      <c r="I292" s="18">
        <v>0.0</v>
      </c>
      <c r="J292" s="18">
        <v>0.0</v>
      </c>
      <c r="K292" s="18"/>
      <c r="L292" s="18"/>
      <c r="M292" s="22" t="str">
        <f t="shared" si="1"/>
        <v/>
      </c>
      <c r="N292" s="18" t="str">
        <f>IF(A292="",,IF(ROW()=2, Input!$C$2 + I292, P291 + I292))</f>
        <v/>
      </c>
      <c r="O292" s="23" t="str">
        <f>IF(A292="",,
 IF(K292="Initial principal",
   Input!$C$2 * M292,
   N292 * M292
 )
)</f>
        <v/>
      </c>
      <c r="P292" s="18" t="str">
        <f t="shared" si="2"/>
        <v/>
      </c>
      <c r="Q292" s="18" t="str">
        <f t="shared" si="3"/>
        <v/>
      </c>
      <c r="R292" s="18" t="str">
        <f t="array" ref="R292">IF(
  B292="",
  ,
  SWITCH(
    Input!$C$4,
    "Actual/365 Fixed",
      YEARFRAC(
        B292 + IF(INDEX(Input!$K$7:$K1503,ROW()-1),0,1),
        C292 + IF(INDEX(Input!$L$7:$L1503,ROW()-1),1,0),
        3
      ),
    "Anniversary/365",
      DATEDIF(
        B292 + IF(INDEX(Input!$K$7:$K1503,ROW()-1),0,1),
        C292 + IF(INDEX(Input!$L$7:$L1503,ROW()-1),1,0),
        "Y"
      )
      +
      (
        (C292 + IF(INDEX(Input!$L$7:$L1503,ROW()-1),1,0))
        -
        EDATE(
          B292 + IF(INDEX(Input!$K$7:$K1503,ROW()-1),0,1),
          12*DATEDIF(
            B292 + IF(INDEX(Input!$K$7:$K1503,ROW()-1),0,1),
            C292 + IF(INDEX(Input!$L$7:$L1503,ROW()-1),1,0),
            "Y"
          )
        )
      ) / 365,
    "Actual/Actual",
      YEARFRAC(
        B292 + IF(INDEX(Input!$K$7:$K1503,ROW()-1),0,1),
        C292 + IF(INDEX(Input!$L$7:$L1503,ROW()-1),1,0),
        1
      ),
      YEARFRAC(
        B292 + IF(INDEX(Input!$K$7:$K1503,ROW()-1),0,1),
        C292 + IF(INDEX(Input!$L$7:$L1503,ROW()-1),1,0),
        3
      )
  )
)</f>
        <v/>
      </c>
      <c r="S292" s="22" t="str">
        <f t="shared" si="4"/>
        <v/>
      </c>
      <c r="T292" s="6" t="str">
        <f t="array" ref="T292">IF(
  B292="",
  ,
  DATEDIF(
    B292 + IF(INDEX(Input!$K$7:$K1503,ROW()-1),0,1),
    C292 + IF(INDEX(Input!$L$7:$L1503,ROW()-1),1,0),
    "Y"
  )
)</f>
        <v/>
      </c>
      <c r="U292" s="6" t="str">
        <f t="array" ref="U292">IF(
  B292="",
  ,
  (C292 + IF(INDEX(Input!$L$7:$L1503,ROW()-1),1,0))
  - EDATE(
      B292 + IF(INDEX(Input!$K$7:$K1503,ROW()-1),0,1),
      12*S292
    )
)</f>
        <v/>
      </c>
      <c r="V292" s="6" t="str">
        <f t="shared" si="5"/>
        <v/>
      </c>
      <c r="W292" s="6" t="str">
        <f t="shared" si="6"/>
        <v/>
      </c>
    </row>
    <row r="293">
      <c r="A293" s="18"/>
      <c r="B293" s="18"/>
      <c r="C293" s="18"/>
      <c r="D293" s="18"/>
      <c r="E293" s="18"/>
      <c r="F293" s="18"/>
      <c r="G293" s="22"/>
      <c r="H293" s="18"/>
      <c r="I293" s="18">
        <v>0.0</v>
      </c>
      <c r="J293" s="18">
        <v>0.0</v>
      </c>
      <c r="K293" s="18"/>
      <c r="L293" s="18"/>
      <c r="M293" s="22" t="str">
        <f t="shared" si="1"/>
        <v/>
      </c>
      <c r="N293" s="18" t="str">
        <f>IF(A293="",,IF(ROW()=2, Input!$C$2 + I293, P292 + I293))</f>
        <v/>
      </c>
      <c r="O293" s="23" t="str">
        <f>IF(A293="",,
 IF(K293="Initial principal",
   Input!$C$2 * M293,
   N293 * M293
 )
)</f>
        <v/>
      </c>
      <c r="P293" s="18" t="str">
        <f t="shared" si="2"/>
        <v/>
      </c>
      <c r="Q293" s="18" t="str">
        <f t="shared" si="3"/>
        <v/>
      </c>
      <c r="R293" s="18" t="str">
        <f t="array" ref="R293">IF(
  B293="",
  ,
  SWITCH(
    Input!$C$4,
    "Actual/365 Fixed",
      YEARFRAC(
        B293 + IF(INDEX(Input!$K$7:$K1503,ROW()-1),0,1),
        C293 + IF(INDEX(Input!$L$7:$L1503,ROW()-1),1,0),
        3
      ),
    "Anniversary/365",
      DATEDIF(
        B293 + IF(INDEX(Input!$K$7:$K1503,ROW()-1),0,1),
        C293 + IF(INDEX(Input!$L$7:$L1503,ROW()-1),1,0),
        "Y"
      )
      +
      (
        (C293 + IF(INDEX(Input!$L$7:$L1503,ROW()-1),1,0))
        -
        EDATE(
          B293 + IF(INDEX(Input!$K$7:$K1503,ROW()-1),0,1),
          12*DATEDIF(
            B293 + IF(INDEX(Input!$K$7:$K1503,ROW()-1),0,1),
            C293 + IF(INDEX(Input!$L$7:$L1503,ROW()-1),1,0),
            "Y"
          )
        )
      ) / 365,
    "Actual/Actual",
      YEARFRAC(
        B293 + IF(INDEX(Input!$K$7:$K1503,ROW()-1),0,1),
        C293 + IF(INDEX(Input!$L$7:$L1503,ROW()-1),1,0),
        1
      ),
      YEARFRAC(
        B293 + IF(INDEX(Input!$K$7:$K1503,ROW()-1),0,1),
        C293 + IF(INDEX(Input!$L$7:$L1503,ROW()-1),1,0),
        3
      )
  )
)</f>
        <v/>
      </c>
      <c r="S293" s="22" t="str">
        <f t="shared" si="4"/>
        <v/>
      </c>
      <c r="T293" s="6" t="str">
        <f t="array" ref="T293">IF(
  B293="",
  ,
  DATEDIF(
    B293 + IF(INDEX(Input!$K$7:$K1503,ROW()-1),0,1),
    C293 + IF(INDEX(Input!$L$7:$L1503,ROW()-1),1,0),
    "Y"
  )
)</f>
        <v/>
      </c>
      <c r="U293" s="6" t="str">
        <f t="array" ref="U293">IF(
  B293="",
  ,
  (C293 + IF(INDEX(Input!$L$7:$L1503,ROW()-1),1,0))
  - EDATE(
      B293 + IF(INDEX(Input!$K$7:$K1503,ROW()-1),0,1),
      12*S293
    )
)</f>
        <v/>
      </c>
      <c r="V293" s="6" t="str">
        <f t="shared" si="5"/>
        <v/>
      </c>
      <c r="W293" s="6" t="str">
        <f t="shared" si="6"/>
        <v/>
      </c>
    </row>
    <row r="294">
      <c r="A294" s="18"/>
      <c r="B294" s="18"/>
      <c r="C294" s="18"/>
      <c r="D294" s="18"/>
      <c r="E294" s="18"/>
      <c r="F294" s="18"/>
      <c r="G294" s="22"/>
      <c r="H294" s="18"/>
      <c r="I294" s="18">
        <v>0.0</v>
      </c>
      <c r="J294" s="18">
        <v>0.0</v>
      </c>
      <c r="K294" s="18"/>
      <c r="L294" s="18"/>
      <c r="M294" s="22" t="str">
        <f t="shared" si="1"/>
        <v/>
      </c>
      <c r="N294" s="18" t="str">
        <f>IF(A294="",,IF(ROW()=2, Input!$C$2 + I294, P293 + I294))</f>
        <v/>
      </c>
      <c r="O294" s="23" t="str">
        <f>IF(A294="",,
 IF(K294="Initial principal",
   Input!$C$2 * M294,
   N294 * M294
 )
)</f>
        <v/>
      </c>
      <c r="P294" s="18" t="str">
        <f t="shared" si="2"/>
        <v/>
      </c>
      <c r="Q294" s="18" t="str">
        <f t="shared" si="3"/>
        <v/>
      </c>
      <c r="R294" s="18" t="str">
        <f t="array" ref="R294">IF(
  B294="",
  ,
  SWITCH(
    Input!$C$4,
    "Actual/365 Fixed",
      YEARFRAC(
        B294 + IF(INDEX(Input!$K$7:$K1503,ROW()-1),0,1),
        C294 + IF(INDEX(Input!$L$7:$L1503,ROW()-1),1,0),
        3
      ),
    "Anniversary/365",
      DATEDIF(
        B294 + IF(INDEX(Input!$K$7:$K1503,ROW()-1),0,1),
        C294 + IF(INDEX(Input!$L$7:$L1503,ROW()-1),1,0),
        "Y"
      )
      +
      (
        (C294 + IF(INDEX(Input!$L$7:$L1503,ROW()-1),1,0))
        -
        EDATE(
          B294 + IF(INDEX(Input!$K$7:$K1503,ROW()-1),0,1),
          12*DATEDIF(
            B294 + IF(INDEX(Input!$K$7:$K1503,ROW()-1),0,1),
            C294 + IF(INDEX(Input!$L$7:$L1503,ROW()-1),1,0),
            "Y"
          )
        )
      ) / 365,
    "Actual/Actual",
      YEARFRAC(
        B294 + IF(INDEX(Input!$K$7:$K1503,ROW()-1),0,1),
        C294 + IF(INDEX(Input!$L$7:$L1503,ROW()-1),1,0),
        1
      ),
      YEARFRAC(
        B294 + IF(INDEX(Input!$K$7:$K1503,ROW()-1),0,1),
        C294 + IF(INDEX(Input!$L$7:$L1503,ROW()-1),1,0),
        3
      )
  )
)</f>
        <v/>
      </c>
      <c r="S294" s="22" t="str">
        <f t="shared" si="4"/>
        <v/>
      </c>
      <c r="T294" s="6" t="str">
        <f t="array" ref="T294">IF(
  B294="",
  ,
  DATEDIF(
    B294 + IF(INDEX(Input!$K$7:$K1503,ROW()-1),0,1),
    C294 + IF(INDEX(Input!$L$7:$L1503,ROW()-1),1,0),
    "Y"
  )
)</f>
        <v/>
      </c>
      <c r="U294" s="6" t="str">
        <f t="array" ref="U294">IF(
  B294="",
  ,
  (C294 + IF(INDEX(Input!$L$7:$L1503,ROW()-1),1,0))
  - EDATE(
      B294 + IF(INDEX(Input!$K$7:$K1503,ROW()-1),0,1),
      12*S294
    )
)</f>
        <v/>
      </c>
      <c r="V294" s="6" t="str">
        <f t="shared" si="5"/>
        <v/>
      </c>
      <c r="W294" s="6" t="str">
        <f t="shared" si="6"/>
        <v/>
      </c>
    </row>
    <row r="295">
      <c r="A295" s="18"/>
      <c r="B295" s="18"/>
      <c r="C295" s="18"/>
      <c r="D295" s="18"/>
      <c r="E295" s="18"/>
      <c r="F295" s="18"/>
      <c r="G295" s="22"/>
      <c r="H295" s="18"/>
      <c r="I295" s="18">
        <v>0.0</v>
      </c>
      <c r="J295" s="18">
        <v>0.0</v>
      </c>
      <c r="K295" s="18"/>
      <c r="L295" s="18"/>
      <c r="M295" s="22" t="str">
        <f t="shared" si="1"/>
        <v/>
      </c>
      <c r="N295" s="18" t="str">
        <f>IF(A295="",,IF(ROW()=2, Input!$C$2 + I295, P294 + I295))</f>
        <v/>
      </c>
      <c r="O295" s="23" t="str">
        <f>IF(A295="",,
 IF(K295="Initial principal",
   Input!$C$2 * M295,
   N295 * M295
 )
)</f>
        <v/>
      </c>
      <c r="P295" s="18" t="str">
        <f t="shared" si="2"/>
        <v/>
      </c>
      <c r="Q295" s="18" t="str">
        <f t="shared" si="3"/>
        <v/>
      </c>
      <c r="R295" s="18" t="str">
        <f t="array" ref="R295">IF(
  B295="",
  ,
  SWITCH(
    Input!$C$4,
    "Actual/365 Fixed",
      YEARFRAC(
        B295 + IF(INDEX(Input!$K$7:$K1503,ROW()-1),0,1),
        C295 + IF(INDEX(Input!$L$7:$L1503,ROW()-1),1,0),
        3
      ),
    "Anniversary/365",
      DATEDIF(
        B295 + IF(INDEX(Input!$K$7:$K1503,ROW()-1),0,1),
        C295 + IF(INDEX(Input!$L$7:$L1503,ROW()-1),1,0),
        "Y"
      )
      +
      (
        (C295 + IF(INDEX(Input!$L$7:$L1503,ROW()-1),1,0))
        -
        EDATE(
          B295 + IF(INDEX(Input!$K$7:$K1503,ROW()-1),0,1),
          12*DATEDIF(
            B295 + IF(INDEX(Input!$K$7:$K1503,ROW()-1),0,1),
            C295 + IF(INDEX(Input!$L$7:$L1503,ROW()-1),1,0),
            "Y"
          )
        )
      ) / 365,
    "Actual/Actual",
      YEARFRAC(
        B295 + IF(INDEX(Input!$K$7:$K1503,ROW()-1),0,1),
        C295 + IF(INDEX(Input!$L$7:$L1503,ROW()-1),1,0),
        1
      ),
      YEARFRAC(
        B295 + IF(INDEX(Input!$K$7:$K1503,ROW()-1),0,1),
        C295 + IF(INDEX(Input!$L$7:$L1503,ROW()-1),1,0),
        3
      )
  )
)</f>
        <v/>
      </c>
      <c r="S295" s="22" t="str">
        <f t="shared" si="4"/>
        <v/>
      </c>
      <c r="T295" s="6" t="str">
        <f t="array" ref="T295">IF(
  B295="",
  ,
  DATEDIF(
    B295 + IF(INDEX(Input!$K$7:$K1503,ROW()-1),0,1),
    C295 + IF(INDEX(Input!$L$7:$L1503,ROW()-1),1,0),
    "Y"
  )
)</f>
        <v/>
      </c>
      <c r="U295" s="6" t="str">
        <f t="array" ref="U295">IF(
  B295="",
  ,
  (C295 + IF(INDEX(Input!$L$7:$L1503,ROW()-1),1,0))
  - EDATE(
      B295 + IF(INDEX(Input!$K$7:$K1503,ROW()-1),0,1),
      12*S295
    )
)</f>
        <v/>
      </c>
      <c r="V295" s="6" t="str">
        <f t="shared" si="5"/>
        <v/>
      </c>
      <c r="W295" s="6" t="str">
        <f t="shared" si="6"/>
        <v/>
      </c>
    </row>
    <row r="296">
      <c r="A296" s="18"/>
      <c r="B296" s="18"/>
      <c r="C296" s="18"/>
      <c r="D296" s="18"/>
      <c r="E296" s="18"/>
      <c r="F296" s="18"/>
      <c r="G296" s="22"/>
      <c r="H296" s="18"/>
      <c r="I296" s="18">
        <v>0.0</v>
      </c>
      <c r="J296" s="18">
        <v>0.0</v>
      </c>
      <c r="K296" s="18"/>
      <c r="L296" s="18"/>
      <c r="M296" s="22" t="str">
        <f t="shared" si="1"/>
        <v/>
      </c>
      <c r="N296" s="18" t="str">
        <f>IF(A296="",,IF(ROW()=2, Input!$C$2 + I296, P295 + I296))</f>
        <v/>
      </c>
      <c r="O296" s="23" t="str">
        <f>IF(A296="",,
 IF(K296="Initial principal",
   Input!$C$2 * M296,
   N296 * M296
 )
)</f>
        <v/>
      </c>
      <c r="P296" s="18" t="str">
        <f t="shared" si="2"/>
        <v/>
      </c>
      <c r="Q296" s="18" t="str">
        <f t="shared" si="3"/>
        <v/>
      </c>
      <c r="R296" s="18" t="str">
        <f t="array" ref="R296">IF(
  B296="",
  ,
  SWITCH(
    Input!$C$4,
    "Actual/365 Fixed",
      YEARFRAC(
        B296 + IF(INDEX(Input!$K$7:$K1503,ROW()-1),0,1),
        C296 + IF(INDEX(Input!$L$7:$L1503,ROW()-1),1,0),
        3
      ),
    "Anniversary/365",
      DATEDIF(
        B296 + IF(INDEX(Input!$K$7:$K1503,ROW()-1),0,1),
        C296 + IF(INDEX(Input!$L$7:$L1503,ROW()-1),1,0),
        "Y"
      )
      +
      (
        (C296 + IF(INDEX(Input!$L$7:$L1503,ROW()-1),1,0))
        -
        EDATE(
          B296 + IF(INDEX(Input!$K$7:$K1503,ROW()-1),0,1),
          12*DATEDIF(
            B296 + IF(INDEX(Input!$K$7:$K1503,ROW()-1),0,1),
            C296 + IF(INDEX(Input!$L$7:$L1503,ROW()-1),1,0),
            "Y"
          )
        )
      ) / 365,
    "Actual/Actual",
      YEARFRAC(
        B296 + IF(INDEX(Input!$K$7:$K1503,ROW()-1),0,1),
        C296 + IF(INDEX(Input!$L$7:$L1503,ROW()-1),1,0),
        1
      ),
      YEARFRAC(
        B296 + IF(INDEX(Input!$K$7:$K1503,ROW()-1),0,1),
        C296 + IF(INDEX(Input!$L$7:$L1503,ROW()-1),1,0),
        3
      )
  )
)</f>
        <v/>
      </c>
      <c r="S296" s="22" t="str">
        <f t="shared" si="4"/>
        <v/>
      </c>
      <c r="T296" s="6" t="str">
        <f t="array" ref="T296">IF(
  B296="",
  ,
  DATEDIF(
    B296 + IF(INDEX(Input!$K$7:$K1503,ROW()-1),0,1),
    C296 + IF(INDEX(Input!$L$7:$L1503,ROW()-1),1,0),
    "Y"
  )
)</f>
        <v/>
      </c>
      <c r="U296" s="6" t="str">
        <f t="array" ref="U296">IF(
  B296="",
  ,
  (C296 + IF(INDEX(Input!$L$7:$L1503,ROW()-1),1,0))
  - EDATE(
      B296 + IF(INDEX(Input!$K$7:$K1503,ROW()-1),0,1),
      12*S296
    )
)</f>
        <v/>
      </c>
      <c r="V296" s="6" t="str">
        <f t="shared" si="5"/>
        <v/>
      </c>
      <c r="W296" s="6" t="str">
        <f t="shared" si="6"/>
        <v/>
      </c>
    </row>
    <row r="297">
      <c r="A297" s="18"/>
      <c r="B297" s="18"/>
      <c r="C297" s="18"/>
      <c r="D297" s="18"/>
      <c r="E297" s="18"/>
      <c r="F297" s="18"/>
      <c r="G297" s="22"/>
      <c r="H297" s="18"/>
      <c r="I297" s="18">
        <v>0.0</v>
      </c>
      <c r="J297" s="18">
        <v>0.0</v>
      </c>
      <c r="K297" s="18"/>
      <c r="L297" s="18"/>
      <c r="M297" s="22" t="str">
        <f t="shared" si="1"/>
        <v/>
      </c>
      <c r="N297" s="18" t="str">
        <f>IF(A297="",,IF(ROW()=2, Input!$C$2 + I297, P296 + I297))</f>
        <v/>
      </c>
      <c r="O297" s="23" t="str">
        <f>IF(A297="",,
 IF(K297="Initial principal",
   Input!$C$2 * M297,
   N297 * M297
 )
)</f>
        <v/>
      </c>
      <c r="P297" s="18" t="str">
        <f t="shared" si="2"/>
        <v/>
      </c>
      <c r="Q297" s="18" t="str">
        <f t="shared" si="3"/>
        <v/>
      </c>
      <c r="R297" s="18" t="str">
        <f t="array" ref="R297">IF(
  B297="",
  ,
  SWITCH(
    Input!$C$4,
    "Actual/365 Fixed",
      YEARFRAC(
        B297 + IF(INDEX(Input!$K$7:$K1503,ROW()-1),0,1),
        C297 + IF(INDEX(Input!$L$7:$L1503,ROW()-1),1,0),
        3
      ),
    "Anniversary/365",
      DATEDIF(
        B297 + IF(INDEX(Input!$K$7:$K1503,ROW()-1),0,1),
        C297 + IF(INDEX(Input!$L$7:$L1503,ROW()-1),1,0),
        "Y"
      )
      +
      (
        (C297 + IF(INDEX(Input!$L$7:$L1503,ROW()-1),1,0))
        -
        EDATE(
          B297 + IF(INDEX(Input!$K$7:$K1503,ROW()-1),0,1),
          12*DATEDIF(
            B297 + IF(INDEX(Input!$K$7:$K1503,ROW()-1),0,1),
            C297 + IF(INDEX(Input!$L$7:$L1503,ROW()-1),1,0),
            "Y"
          )
        )
      ) / 365,
    "Actual/Actual",
      YEARFRAC(
        B297 + IF(INDEX(Input!$K$7:$K1503,ROW()-1),0,1),
        C297 + IF(INDEX(Input!$L$7:$L1503,ROW()-1),1,0),
        1
      ),
      YEARFRAC(
        B297 + IF(INDEX(Input!$K$7:$K1503,ROW()-1),0,1),
        C297 + IF(INDEX(Input!$L$7:$L1503,ROW()-1),1,0),
        3
      )
  )
)</f>
        <v/>
      </c>
      <c r="S297" s="22" t="str">
        <f t="shared" si="4"/>
        <v/>
      </c>
      <c r="T297" s="6" t="str">
        <f t="array" ref="T297">IF(
  B297="",
  ,
  DATEDIF(
    B297 + IF(INDEX(Input!$K$7:$K1503,ROW()-1),0,1),
    C297 + IF(INDEX(Input!$L$7:$L1503,ROW()-1),1,0),
    "Y"
  )
)</f>
        <v/>
      </c>
      <c r="U297" s="6" t="str">
        <f t="array" ref="U297">IF(
  B297="",
  ,
  (C297 + IF(INDEX(Input!$L$7:$L1503,ROW()-1),1,0))
  - EDATE(
      B297 + IF(INDEX(Input!$K$7:$K1503,ROW()-1),0,1),
      12*S297
    )
)</f>
        <v/>
      </c>
      <c r="V297" s="6" t="str">
        <f t="shared" si="5"/>
        <v/>
      </c>
      <c r="W297" s="6" t="str">
        <f t="shared" si="6"/>
        <v/>
      </c>
    </row>
    <row r="298">
      <c r="A298" s="18"/>
      <c r="B298" s="18"/>
      <c r="C298" s="18"/>
      <c r="D298" s="18"/>
      <c r="E298" s="18"/>
      <c r="F298" s="18"/>
      <c r="G298" s="22"/>
      <c r="H298" s="18"/>
      <c r="I298" s="18">
        <v>0.0</v>
      </c>
      <c r="J298" s="18">
        <v>0.0</v>
      </c>
      <c r="K298" s="18"/>
      <c r="L298" s="18"/>
      <c r="M298" s="22" t="str">
        <f t="shared" si="1"/>
        <v/>
      </c>
      <c r="N298" s="18" t="str">
        <f>IF(A298="",,IF(ROW()=2, Input!$C$2 + I298, P297 + I298))</f>
        <v/>
      </c>
      <c r="O298" s="23" t="str">
        <f>IF(A298="",,
 IF(K298="Initial principal",
   Input!$C$2 * M298,
   N298 * M298
 )
)</f>
        <v/>
      </c>
      <c r="P298" s="18" t="str">
        <f t="shared" si="2"/>
        <v/>
      </c>
      <c r="Q298" s="18" t="str">
        <f t="shared" si="3"/>
        <v/>
      </c>
      <c r="R298" s="18" t="str">
        <f t="array" ref="R298">IF(
  B298="",
  ,
  SWITCH(
    Input!$C$4,
    "Actual/365 Fixed",
      YEARFRAC(
        B298 + IF(INDEX(Input!$K$7:$K1503,ROW()-1),0,1),
        C298 + IF(INDEX(Input!$L$7:$L1503,ROW()-1),1,0),
        3
      ),
    "Anniversary/365",
      DATEDIF(
        B298 + IF(INDEX(Input!$K$7:$K1503,ROW()-1),0,1),
        C298 + IF(INDEX(Input!$L$7:$L1503,ROW()-1),1,0),
        "Y"
      )
      +
      (
        (C298 + IF(INDEX(Input!$L$7:$L1503,ROW()-1),1,0))
        -
        EDATE(
          B298 + IF(INDEX(Input!$K$7:$K1503,ROW()-1),0,1),
          12*DATEDIF(
            B298 + IF(INDEX(Input!$K$7:$K1503,ROW()-1),0,1),
            C298 + IF(INDEX(Input!$L$7:$L1503,ROW()-1),1,0),
            "Y"
          )
        )
      ) / 365,
    "Actual/Actual",
      YEARFRAC(
        B298 + IF(INDEX(Input!$K$7:$K1503,ROW()-1),0,1),
        C298 + IF(INDEX(Input!$L$7:$L1503,ROW()-1),1,0),
        1
      ),
      YEARFRAC(
        B298 + IF(INDEX(Input!$K$7:$K1503,ROW()-1),0,1),
        C298 + IF(INDEX(Input!$L$7:$L1503,ROW()-1),1,0),
        3
      )
  )
)</f>
        <v/>
      </c>
      <c r="S298" s="22" t="str">
        <f t="shared" si="4"/>
        <v/>
      </c>
      <c r="T298" s="6" t="str">
        <f t="array" ref="T298">IF(
  B298="",
  ,
  DATEDIF(
    B298 + IF(INDEX(Input!$K$7:$K1503,ROW()-1),0,1),
    C298 + IF(INDEX(Input!$L$7:$L1503,ROW()-1),1,0),
    "Y"
  )
)</f>
        <v/>
      </c>
      <c r="U298" s="6" t="str">
        <f t="array" ref="U298">IF(
  B298="",
  ,
  (C298 + IF(INDEX(Input!$L$7:$L1503,ROW()-1),1,0))
  - EDATE(
      B298 + IF(INDEX(Input!$K$7:$K1503,ROW()-1),0,1),
      12*S298
    )
)</f>
        <v/>
      </c>
      <c r="V298" s="6" t="str">
        <f t="shared" si="5"/>
        <v/>
      </c>
      <c r="W298" s="6" t="str">
        <f t="shared" si="6"/>
        <v/>
      </c>
    </row>
    <row r="299">
      <c r="A299" s="18"/>
      <c r="B299" s="18"/>
      <c r="C299" s="18"/>
      <c r="D299" s="18"/>
      <c r="E299" s="18"/>
      <c r="F299" s="18"/>
      <c r="G299" s="22"/>
      <c r="H299" s="18"/>
      <c r="I299" s="18">
        <v>0.0</v>
      </c>
      <c r="J299" s="18">
        <v>0.0</v>
      </c>
      <c r="K299" s="18"/>
      <c r="L299" s="18"/>
      <c r="M299" s="22" t="str">
        <f t="shared" si="1"/>
        <v/>
      </c>
      <c r="N299" s="18" t="str">
        <f>IF(A299="",,IF(ROW()=2, Input!$C$2 + I299, P298 + I299))</f>
        <v/>
      </c>
      <c r="O299" s="23" t="str">
        <f>IF(A299="",,
 IF(K299="Initial principal",
   Input!$C$2 * M299,
   N299 * M299
 )
)</f>
        <v/>
      </c>
      <c r="P299" s="18" t="str">
        <f t="shared" si="2"/>
        <v/>
      </c>
      <c r="Q299" s="18" t="str">
        <f t="shared" si="3"/>
        <v/>
      </c>
      <c r="R299" s="18" t="str">
        <f t="array" ref="R299">IF(
  B299="",
  ,
  SWITCH(
    Input!$C$4,
    "Actual/365 Fixed",
      YEARFRAC(
        B299 + IF(INDEX(Input!$K$7:$K1503,ROW()-1),0,1),
        C299 + IF(INDEX(Input!$L$7:$L1503,ROW()-1),1,0),
        3
      ),
    "Anniversary/365",
      DATEDIF(
        B299 + IF(INDEX(Input!$K$7:$K1503,ROW()-1),0,1),
        C299 + IF(INDEX(Input!$L$7:$L1503,ROW()-1),1,0),
        "Y"
      )
      +
      (
        (C299 + IF(INDEX(Input!$L$7:$L1503,ROW()-1),1,0))
        -
        EDATE(
          B299 + IF(INDEX(Input!$K$7:$K1503,ROW()-1),0,1),
          12*DATEDIF(
            B299 + IF(INDEX(Input!$K$7:$K1503,ROW()-1),0,1),
            C299 + IF(INDEX(Input!$L$7:$L1503,ROW()-1),1,0),
            "Y"
          )
        )
      ) / 365,
    "Actual/Actual",
      YEARFRAC(
        B299 + IF(INDEX(Input!$K$7:$K1503,ROW()-1),0,1),
        C299 + IF(INDEX(Input!$L$7:$L1503,ROW()-1),1,0),
        1
      ),
      YEARFRAC(
        B299 + IF(INDEX(Input!$K$7:$K1503,ROW()-1),0,1),
        C299 + IF(INDEX(Input!$L$7:$L1503,ROW()-1),1,0),
        3
      )
  )
)</f>
        <v/>
      </c>
      <c r="S299" s="22" t="str">
        <f t="shared" si="4"/>
        <v/>
      </c>
      <c r="T299" s="6" t="str">
        <f t="array" ref="T299">IF(
  B299="",
  ,
  DATEDIF(
    B299 + IF(INDEX(Input!$K$7:$K1503,ROW()-1),0,1),
    C299 + IF(INDEX(Input!$L$7:$L1503,ROW()-1),1,0),
    "Y"
  )
)</f>
        <v/>
      </c>
      <c r="U299" s="6" t="str">
        <f t="array" ref="U299">IF(
  B299="",
  ,
  (C299 + IF(INDEX(Input!$L$7:$L1503,ROW()-1),1,0))
  - EDATE(
      B299 + IF(INDEX(Input!$K$7:$K1503,ROW()-1),0,1),
      12*S299
    )
)</f>
        <v/>
      </c>
      <c r="V299" s="6" t="str">
        <f t="shared" si="5"/>
        <v/>
      </c>
      <c r="W299" s="6" t="str">
        <f t="shared" si="6"/>
        <v/>
      </c>
    </row>
    <row r="300">
      <c r="A300" s="18"/>
      <c r="B300" s="18"/>
      <c r="C300" s="18"/>
      <c r="D300" s="18"/>
      <c r="E300" s="18"/>
      <c r="F300" s="18"/>
      <c r="G300" s="22"/>
      <c r="H300" s="18"/>
      <c r="I300" s="18">
        <v>0.0</v>
      </c>
      <c r="J300" s="18">
        <v>0.0</v>
      </c>
      <c r="K300" s="18"/>
      <c r="L300" s="18"/>
      <c r="M300" s="22" t="str">
        <f t="shared" si="1"/>
        <v/>
      </c>
      <c r="N300" s="18" t="str">
        <f>IF(A300="",,IF(ROW()=2, Input!$C$2 + I300, P299 + I300))</f>
        <v/>
      </c>
      <c r="O300" s="23" t="str">
        <f>IF(A300="",,
 IF(K300="Initial principal",
   Input!$C$2 * M300,
   N300 * M300
 )
)</f>
        <v/>
      </c>
      <c r="P300" s="18" t="str">
        <f t="shared" si="2"/>
        <v/>
      </c>
      <c r="Q300" s="18" t="str">
        <f t="shared" si="3"/>
        <v/>
      </c>
      <c r="R300" s="18" t="str">
        <f t="array" ref="R300">IF(
  B300="",
  ,
  SWITCH(
    Input!$C$4,
    "Actual/365 Fixed",
      YEARFRAC(
        B300 + IF(INDEX(Input!$K$7:$K1503,ROW()-1),0,1),
        C300 + IF(INDEX(Input!$L$7:$L1503,ROW()-1),1,0),
        3
      ),
    "Anniversary/365",
      DATEDIF(
        B300 + IF(INDEX(Input!$K$7:$K1503,ROW()-1),0,1),
        C300 + IF(INDEX(Input!$L$7:$L1503,ROW()-1),1,0),
        "Y"
      )
      +
      (
        (C300 + IF(INDEX(Input!$L$7:$L1503,ROW()-1),1,0))
        -
        EDATE(
          B300 + IF(INDEX(Input!$K$7:$K1503,ROW()-1),0,1),
          12*DATEDIF(
            B300 + IF(INDEX(Input!$K$7:$K1503,ROW()-1),0,1),
            C300 + IF(INDEX(Input!$L$7:$L1503,ROW()-1),1,0),
            "Y"
          )
        )
      ) / 365,
    "Actual/Actual",
      YEARFRAC(
        B300 + IF(INDEX(Input!$K$7:$K1503,ROW()-1),0,1),
        C300 + IF(INDEX(Input!$L$7:$L1503,ROW()-1),1,0),
        1
      ),
      YEARFRAC(
        B300 + IF(INDEX(Input!$K$7:$K1503,ROW()-1),0,1),
        C300 + IF(INDEX(Input!$L$7:$L1503,ROW()-1),1,0),
        3
      )
  )
)</f>
        <v/>
      </c>
      <c r="S300" s="22" t="str">
        <f t="shared" si="4"/>
        <v/>
      </c>
      <c r="T300" s="6" t="str">
        <f t="array" ref="T300">IF(
  B300="",
  ,
  DATEDIF(
    B300 + IF(INDEX(Input!$K$7:$K1503,ROW()-1),0,1),
    C300 + IF(INDEX(Input!$L$7:$L1503,ROW()-1),1,0),
    "Y"
  )
)</f>
        <v/>
      </c>
      <c r="U300" s="6" t="str">
        <f t="array" ref="U300">IF(
  B300="",
  ,
  (C300 + IF(INDEX(Input!$L$7:$L1503,ROW()-1),1,0))
  - EDATE(
      B300 + IF(INDEX(Input!$K$7:$K1503,ROW()-1),0,1),
      12*S300
    )
)</f>
        <v/>
      </c>
      <c r="V300" s="6" t="str">
        <f t="shared" si="5"/>
        <v/>
      </c>
      <c r="W300" s="6" t="str">
        <f t="shared" si="6"/>
        <v/>
      </c>
    </row>
    <row r="301">
      <c r="A301" s="18"/>
      <c r="B301" s="18"/>
      <c r="C301" s="18"/>
      <c r="D301" s="18"/>
      <c r="E301" s="18"/>
      <c r="F301" s="18"/>
      <c r="G301" s="22"/>
      <c r="H301" s="18"/>
      <c r="I301" s="18">
        <v>0.0</v>
      </c>
      <c r="J301" s="18">
        <v>0.0</v>
      </c>
      <c r="K301" s="18"/>
      <c r="L301" s="18"/>
      <c r="M301" s="22" t="str">
        <f t="shared" si="1"/>
        <v/>
      </c>
      <c r="N301" s="18" t="str">
        <f>IF(A301="",,IF(ROW()=2, Input!$C$2 + I301, P300 + I301))</f>
        <v/>
      </c>
      <c r="O301" s="23" t="str">
        <f>IF(A301="",,
 IF(K301="Initial principal",
   Input!$C$2 * M301,
   N301 * M301
 )
)</f>
        <v/>
      </c>
      <c r="P301" s="18" t="str">
        <f t="shared" si="2"/>
        <v/>
      </c>
      <c r="Q301" s="18" t="str">
        <f t="shared" si="3"/>
        <v/>
      </c>
      <c r="R301" s="18" t="str">
        <f t="array" ref="R301">IF(
  B301="",
  ,
  SWITCH(
    Input!$C$4,
    "Actual/365 Fixed",
      YEARFRAC(
        B301 + IF(INDEX(Input!$K$7:$K1503,ROW()-1),0,1),
        C301 + IF(INDEX(Input!$L$7:$L1503,ROW()-1),1,0),
        3
      ),
    "Anniversary/365",
      DATEDIF(
        B301 + IF(INDEX(Input!$K$7:$K1503,ROW()-1),0,1),
        C301 + IF(INDEX(Input!$L$7:$L1503,ROW()-1),1,0),
        "Y"
      )
      +
      (
        (C301 + IF(INDEX(Input!$L$7:$L1503,ROW()-1),1,0))
        -
        EDATE(
          B301 + IF(INDEX(Input!$K$7:$K1503,ROW()-1),0,1),
          12*DATEDIF(
            B301 + IF(INDEX(Input!$K$7:$K1503,ROW()-1),0,1),
            C301 + IF(INDEX(Input!$L$7:$L1503,ROW()-1),1,0),
            "Y"
          )
        )
      ) / 365,
    "Actual/Actual",
      YEARFRAC(
        B301 + IF(INDEX(Input!$K$7:$K1503,ROW()-1),0,1),
        C301 + IF(INDEX(Input!$L$7:$L1503,ROW()-1),1,0),
        1
      ),
      YEARFRAC(
        B301 + IF(INDEX(Input!$K$7:$K1503,ROW()-1),0,1),
        C301 + IF(INDEX(Input!$L$7:$L1503,ROW()-1),1,0),
        3
      )
  )
)</f>
        <v/>
      </c>
      <c r="S301" s="22" t="str">
        <f t="shared" si="4"/>
        <v/>
      </c>
      <c r="T301" s="6" t="str">
        <f t="array" ref="T301">IF(
  B301="",
  ,
  DATEDIF(
    B301 + IF(INDEX(Input!$K$7:$K1503,ROW()-1),0,1),
    C301 + IF(INDEX(Input!$L$7:$L1503,ROW()-1),1,0),
    "Y"
  )
)</f>
        <v/>
      </c>
      <c r="U301" s="6" t="str">
        <f t="array" ref="U301">IF(
  B301="",
  ,
  (C301 + IF(INDEX(Input!$L$7:$L1503,ROW()-1),1,0))
  - EDATE(
      B301 + IF(INDEX(Input!$K$7:$K1503,ROW()-1),0,1),
      12*S301
    )
)</f>
        <v/>
      </c>
      <c r="V301" s="6" t="str">
        <f t="shared" si="5"/>
        <v/>
      </c>
      <c r="W301" s="6" t="str">
        <f t="shared" si="6"/>
        <v/>
      </c>
    </row>
    <row r="302">
      <c r="A302" s="18"/>
      <c r="B302" s="18"/>
      <c r="C302" s="18"/>
      <c r="D302" s="18"/>
      <c r="E302" s="18"/>
      <c r="F302" s="18"/>
      <c r="G302" s="22"/>
      <c r="H302" s="18"/>
      <c r="I302" s="18">
        <v>0.0</v>
      </c>
      <c r="J302" s="18">
        <v>0.0</v>
      </c>
      <c r="K302" s="18"/>
      <c r="L302" s="18"/>
      <c r="M302" s="22" t="str">
        <f t="shared" si="1"/>
        <v/>
      </c>
      <c r="N302" s="18" t="str">
        <f>IF(A302="",,IF(ROW()=2, Input!$C$2 + I302, P301 + I302))</f>
        <v/>
      </c>
      <c r="O302" s="23" t="str">
        <f>IF(A302="",,
 IF(K302="Initial principal",
   Input!$C$2 * M302,
   N302 * M302
 )
)</f>
        <v/>
      </c>
      <c r="P302" s="18" t="str">
        <f t="shared" si="2"/>
        <v/>
      </c>
      <c r="Q302" s="18" t="str">
        <f t="shared" si="3"/>
        <v/>
      </c>
      <c r="R302" s="18" t="str">
        <f t="array" ref="R302">IF(
  B302="",
  ,
  SWITCH(
    Input!$C$4,
    "Actual/365 Fixed",
      YEARFRAC(
        B302 + IF(INDEX(Input!$K$7:$K1503,ROW()-1),0,1),
        C302 + IF(INDEX(Input!$L$7:$L1503,ROW()-1),1,0),
        3
      ),
    "Anniversary/365",
      DATEDIF(
        B302 + IF(INDEX(Input!$K$7:$K1503,ROW()-1),0,1),
        C302 + IF(INDEX(Input!$L$7:$L1503,ROW()-1),1,0),
        "Y"
      )
      +
      (
        (C302 + IF(INDEX(Input!$L$7:$L1503,ROW()-1),1,0))
        -
        EDATE(
          B302 + IF(INDEX(Input!$K$7:$K1503,ROW()-1),0,1),
          12*DATEDIF(
            B302 + IF(INDEX(Input!$K$7:$K1503,ROW()-1),0,1),
            C302 + IF(INDEX(Input!$L$7:$L1503,ROW()-1),1,0),
            "Y"
          )
        )
      ) / 365,
    "Actual/Actual",
      YEARFRAC(
        B302 + IF(INDEX(Input!$K$7:$K1503,ROW()-1),0,1),
        C302 + IF(INDEX(Input!$L$7:$L1503,ROW()-1),1,0),
        1
      ),
      YEARFRAC(
        B302 + IF(INDEX(Input!$K$7:$K1503,ROW()-1),0,1),
        C302 + IF(INDEX(Input!$L$7:$L1503,ROW()-1),1,0),
        3
      )
  )
)</f>
        <v/>
      </c>
      <c r="S302" s="22" t="str">
        <f t="shared" si="4"/>
        <v/>
      </c>
      <c r="T302" s="6" t="str">
        <f t="array" ref="T302">IF(
  B302="",
  ,
  DATEDIF(
    B302 + IF(INDEX(Input!$K$7:$K1503,ROW()-1),0,1),
    C302 + IF(INDEX(Input!$L$7:$L1503,ROW()-1),1,0),
    "Y"
  )
)</f>
        <v/>
      </c>
      <c r="U302" s="6" t="str">
        <f t="array" ref="U302">IF(
  B302="",
  ,
  (C302 + IF(INDEX(Input!$L$7:$L1503,ROW()-1),1,0))
  - EDATE(
      B302 + IF(INDEX(Input!$K$7:$K1503,ROW()-1),0,1),
      12*S302
    )
)</f>
        <v/>
      </c>
      <c r="V302" s="6" t="str">
        <f t="shared" si="5"/>
        <v/>
      </c>
      <c r="W302" s="6" t="str">
        <f t="shared" si="6"/>
        <v/>
      </c>
    </row>
    <row r="303">
      <c r="A303" s="18"/>
      <c r="B303" s="18"/>
      <c r="C303" s="18"/>
      <c r="D303" s="18"/>
      <c r="E303" s="18"/>
      <c r="F303" s="18"/>
      <c r="G303" s="22"/>
      <c r="H303" s="18"/>
      <c r="I303" s="18">
        <v>0.0</v>
      </c>
      <c r="J303" s="18">
        <v>0.0</v>
      </c>
      <c r="K303" s="18"/>
      <c r="L303" s="18"/>
      <c r="M303" s="22" t="str">
        <f t="shared" si="1"/>
        <v/>
      </c>
      <c r="N303" s="18" t="str">
        <f>IF(A303="",,IF(ROW()=2, Input!$C$2 + I303, P302 + I303))</f>
        <v/>
      </c>
      <c r="O303" s="23" t="str">
        <f>IF(A303="",,
 IF(K303="Initial principal",
   Input!$C$2 * M303,
   N303 * M303
 )
)</f>
        <v/>
      </c>
      <c r="P303" s="18" t="str">
        <f t="shared" si="2"/>
        <v/>
      </c>
      <c r="Q303" s="18" t="str">
        <f t="shared" si="3"/>
        <v/>
      </c>
      <c r="R303" s="18" t="str">
        <f t="array" ref="R303">IF(
  B303="",
  ,
  SWITCH(
    Input!$C$4,
    "Actual/365 Fixed",
      YEARFRAC(
        B303 + IF(INDEX(Input!$K$7:$K1503,ROW()-1),0,1),
        C303 + IF(INDEX(Input!$L$7:$L1503,ROW()-1),1,0),
        3
      ),
    "Anniversary/365",
      DATEDIF(
        B303 + IF(INDEX(Input!$K$7:$K1503,ROW()-1),0,1),
        C303 + IF(INDEX(Input!$L$7:$L1503,ROW()-1),1,0),
        "Y"
      )
      +
      (
        (C303 + IF(INDEX(Input!$L$7:$L1503,ROW()-1),1,0))
        -
        EDATE(
          B303 + IF(INDEX(Input!$K$7:$K1503,ROW()-1),0,1),
          12*DATEDIF(
            B303 + IF(INDEX(Input!$K$7:$K1503,ROW()-1),0,1),
            C303 + IF(INDEX(Input!$L$7:$L1503,ROW()-1),1,0),
            "Y"
          )
        )
      ) / 365,
    "Actual/Actual",
      YEARFRAC(
        B303 + IF(INDEX(Input!$K$7:$K1503,ROW()-1),0,1),
        C303 + IF(INDEX(Input!$L$7:$L1503,ROW()-1),1,0),
        1
      ),
      YEARFRAC(
        B303 + IF(INDEX(Input!$K$7:$K1503,ROW()-1),0,1),
        C303 + IF(INDEX(Input!$L$7:$L1503,ROW()-1),1,0),
        3
      )
  )
)</f>
        <v/>
      </c>
      <c r="S303" s="22" t="str">
        <f t="shared" si="4"/>
        <v/>
      </c>
      <c r="T303" s="6" t="str">
        <f t="array" ref="T303">IF(
  B303="",
  ,
  DATEDIF(
    B303 + IF(INDEX(Input!$K$7:$K1503,ROW()-1),0,1),
    C303 + IF(INDEX(Input!$L$7:$L1503,ROW()-1),1,0),
    "Y"
  )
)</f>
        <v/>
      </c>
      <c r="U303" s="6" t="str">
        <f t="array" ref="U303">IF(
  B303="",
  ,
  (C303 + IF(INDEX(Input!$L$7:$L1503,ROW()-1),1,0))
  - EDATE(
      B303 + IF(INDEX(Input!$K$7:$K1503,ROW()-1),0,1),
      12*S303
    )
)</f>
        <v/>
      </c>
      <c r="V303" s="6" t="str">
        <f t="shared" si="5"/>
        <v/>
      </c>
      <c r="W303" s="6" t="str">
        <f t="shared" si="6"/>
        <v/>
      </c>
    </row>
    <row r="304">
      <c r="A304" s="18"/>
      <c r="B304" s="18"/>
      <c r="C304" s="18"/>
      <c r="D304" s="18"/>
      <c r="E304" s="18"/>
      <c r="F304" s="18"/>
      <c r="G304" s="22"/>
      <c r="H304" s="18"/>
      <c r="I304" s="18">
        <v>0.0</v>
      </c>
      <c r="J304" s="18">
        <v>0.0</v>
      </c>
      <c r="K304" s="18"/>
      <c r="L304" s="18"/>
      <c r="M304" s="22" t="str">
        <f t="shared" si="1"/>
        <v/>
      </c>
      <c r="N304" s="18" t="str">
        <f>IF(A304="",,IF(ROW()=2, Input!$C$2 + I304, P303 + I304))</f>
        <v/>
      </c>
      <c r="O304" s="23" t="str">
        <f>IF(A304="",,
 IF(K304="Initial principal",
   Input!$C$2 * M304,
   N304 * M304
 )
)</f>
        <v/>
      </c>
      <c r="P304" s="18" t="str">
        <f t="shared" si="2"/>
        <v/>
      </c>
      <c r="Q304" s="18" t="str">
        <f t="shared" si="3"/>
        <v/>
      </c>
      <c r="R304" s="18" t="str">
        <f t="array" ref="R304">IF(
  B304="",
  ,
  SWITCH(
    Input!$C$4,
    "Actual/365 Fixed",
      YEARFRAC(
        B304 + IF(INDEX(Input!$K$7:$K1503,ROW()-1),0,1),
        C304 + IF(INDEX(Input!$L$7:$L1503,ROW()-1),1,0),
        3
      ),
    "Anniversary/365",
      DATEDIF(
        B304 + IF(INDEX(Input!$K$7:$K1503,ROW()-1),0,1),
        C304 + IF(INDEX(Input!$L$7:$L1503,ROW()-1),1,0),
        "Y"
      )
      +
      (
        (C304 + IF(INDEX(Input!$L$7:$L1503,ROW()-1),1,0))
        -
        EDATE(
          B304 + IF(INDEX(Input!$K$7:$K1503,ROW()-1),0,1),
          12*DATEDIF(
            B304 + IF(INDEX(Input!$K$7:$K1503,ROW()-1),0,1),
            C304 + IF(INDEX(Input!$L$7:$L1503,ROW()-1),1,0),
            "Y"
          )
        )
      ) / 365,
    "Actual/Actual",
      YEARFRAC(
        B304 + IF(INDEX(Input!$K$7:$K1503,ROW()-1),0,1),
        C304 + IF(INDEX(Input!$L$7:$L1503,ROW()-1),1,0),
        1
      ),
      YEARFRAC(
        B304 + IF(INDEX(Input!$K$7:$K1503,ROW()-1),0,1),
        C304 + IF(INDEX(Input!$L$7:$L1503,ROW()-1),1,0),
        3
      )
  )
)</f>
        <v/>
      </c>
      <c r="S304" s="22" t="str">
        <f t="shared" si="4"/>
        <v/>
      </c>
      <c r="T304" s="6" t="str">
        <f t="array" ref="T304">IF(
  B304="",
  ,
  DATEDIF(
    B304 + IF(INDEX(Input!$K$7:$K1503,ROW()-1),0,1),
    C304 + IF(INDEX(Input!$L$7:$L1503,ROW()-1),1,0),
    "Y"
  )
)</f>
        <v/>
      </c>
      <c r="U304" s="6" t="str">
        <f t="array" ref="U304">IF(
  B304="",
  ,
  (C304 + IF(INDEX(Input!$L$7:$L1503,ROW()-1),1,0))
  - EDATE(
      B304 + IF(INDEX(Input!$K$7:$K1503,ROW()-1),0,1),
      12*S304
    )
)</f>
        <v/>
      </c>
      <c r="V304" s="6" t="str">
        <f t="shared" si="5"/>
        <v/>
      </c>
      <c r="W304" s="6" t="str">
        <f t="shared" si="6"/>
        <v/>
      </c>
    </row>
    <row r="305">
      <c r="A305" s="18"/>
      <c r="B305" s="18"/>
      <c r="C305" s="18"/>
      <c r="D305" s="18"/>
      <c r="E305" s="18"/>
      <c r="F305" s="18"/>
      <c r="G305" s="22"/>
      <c r="H305" s="18"/>
      <c r="I305" s="18">
        <v>0.0</v>
      </c>
      <c r="J305" s="18">
        <v>0.0</v>
      </c>
      <c r="K305" s="18"/>
      <c r="L305" s="18"/>
      <c r="M305" s="22" t="str">
        <f t="shared" si="1"/>
        <v/>
      </c>
      <c r="N305" s="18" t="str">
        <f>IF(A305="",,IF(ROW()=2, Input!$C$2 + I305, P304 + I305))</f>
        <v/>
      </c>
      <c r="O305" s="23" t="str">
        <f>IF(A305="",,
 IF(K305="Initial principal",
   Input!$C$2 * M305,
   N305 * M305
 )
)</f>
        <v/>
      </c>
      <c r="P305" s="18" t="str">
        <f t="shared" si="2"/>
        <v/>
      </c>
      <c r="Q305" s="18" t="str">
        <f t="shared" si="3"/>
        <v/>
      </c>
      <c r="R305" s="18" t="str">
        <f t="array" ref="R305">IF(
  B305="",
  ,
  SWITCH(
    Input!$C$4,
    "Actual/365 Fixed",
      YEARFRAC(
        B305 + IF(INDEX(Input!$K$7:$K1503,ROW()-1),0,1),
        C305 + IF(INDEX(Input!$L$7:$L1503,ROW()-1),1,0),
        3
      ),
    "Anniversary/365",
      DATEDIF(
        B305 + IF(INDEX(Input!$K$7:$K1503,ROW()-1),0,1),
        C305 + IF(INDEX(Input!$L$7:$L1503,ROW()-1),1,0),
        "Y"
      )
      +
      (
        (C305 + IF(INDEX(Input!$L$7:$L1503,ROW()-1),1,0))
        -
        EDATE(
          B305 + IF(INDEX(Input!$K$7:$K1503,ROW()-1),0,1),
          12*DATEDIF(
            B305 + IF(INDEX(Input!$K$7:$K1503,ROW()-1),0,1),
            C305 + IF(INDEX(Input!$L$7:$L1503,ROW()-1),1,0),
            "Y"
          )
        )
      ) / 365,
    "Actual/Actual",
      YEARFRAC(
        B305 + IF(INDEX(Input!$K$7:$K1503,ROW()-1),0,1),
        C305 + IF(INDEX(Input!$L$7:$L1503,ROW()-1),1,0),
        1
      ),
      YEARFRAC(
        B305 + IF(INDEX(Input!$K$7:$K1503,ROW()-1),0,1),
        C305 + IF(INDEX(Input!$L$7:$L1503,ROW()-1),1,0),
        3
      )
  )
)</f>
        <v/>
      </c>
      <c r="S305" s="22" t="str">
        <f t="shared" si="4"/>
        <v/>
      </c>
      <c r="T305" s="6" t="str">
        <f t="array" ref="T305">IF(
  B305="",
  ,
  DATEDIF(
    B305 + IF(INDEX(Input!$K$7:$K1503,ROW()-1),0,1),
    C305 + IF(INDEX(Input!$L$7:$L1503,ROW()-1),1,0),
    "Y"
  )
)</f>
        <v/>
      </c>
      <c r="U305" s="6" t="str">
        <f t="array" ref="U305">IF(
  B305="",
  ,
  (C305 + IF(INDEX(Input!$L$7:$L1503,ROW()-1),1,0))
  - EDATE(
      B305 + IF(INDEX(Input!$K$7:$K1503,ROW()-1),0,1),
      12*S305
    )
)</f>
        <v/>
      </c>
      <c r="V305" s="6" t="str">
        <f t="shared" si="5"/>
        <v/>
      </c>
      <c r="W305" s="6" t="str">
        <f t="shared" si="6"/>
        <v/>
      </c>
    </row>
    <row r="306">
      <c r="A306" s="18"/>
      <c r="B306" s="18"/>
      <c r="C306" s="18"/>
      <c r="D306" s="18"/>
      <c r="E306" s="18"/>
      <c r="F306" s="18"/>
      <c r="G306" s="22"/>
      <c r="H306" s="18"/>
      <c r="I306" s="18">
        <v>0.0</v>
      </c>
      <c r="J306" s="18">
        <v>0.0</v>
      </c>
      <c r="K306" s="18"/>
      <c r="L306" s="18"/>
      <c r="M306" s="22" t="str">
        <f t="shared" si="1"/>
        <v/>
      </c>
      <c r="N306" s="18" t="str">
        <f>IF(A306="",,IF(ROW()=2, Input!$C$2 + I306, P305 + I306))</f>
        <v/>
      </c>
      <c r="O306" s="23" t="str">
        <f>IF(A306="",,
 IF(K306="Initial principal",
   Input!$C$2 * M306,
   N306 * M306
 )
)</f>
        <v/>
      </c>
      <c r="P306" s="18" t="str">
        <f t="shared" si="2"/>
        <v/>
      </c>
      <c r="Q306" s="18" t="str">
        <f t="shared" si="3"/>
        <v/>
      </c>
      <c r="R306" s="18" t="str">
        <f t="array" ref="R306">IF(
  B306="",
  ,
  SWITCH(
    Input!$C$4,
    "Actual/365 Fixed",
      YEARFRAC(
        B306 + IF(INDEX(Input!$K$7:$K1503,ROW()-1),0,1),
        C306 + IF(INDEX(Input!$L$7:$L1503,ROW()-1),1,0),
        3
      ),
    "Anniversary/365",
      DATEDIF(
        B306 + IF(INDEX(Input!$K$7:$K1503,ROW()-1),0,1),
        C306 + IF(INDEX(Input!$L$7:$L1503,ROW()-1),1,0),
        "Y"
      )
      +
      (
        (C306 + IF(INDEX(Input!$L$7:$L1503,ROW()-1),1,0))
        -
        EDATE(
          B306 + IF(INDEX(Input!$K$7:$K1503,ROW()-1),0,1),
          12*DATEDIF(
            B306 + IF(INDEX(Input!$K$7:$K1503,ROW()-1),0,1),
            C306 + IF(INDEX(Input!$L$7:$L1503,ROW()-1),1,0),
            "Y"
          )
        )
      ) / 365,
    "Actual/Actual",
      YEARFRAC(
        B306 + IF(INDEX(Input!$K$7:$K1503,ROW()-1),0,1),
        C306 + IF(INDEX(Input!$L$7:$L1503,ROW()-1),1,0),
        1
      ),
      YEARFRAC(
        B306 + IF(INDEX(Input!$K$7:$K1503,ROW()-1),0,1),
        C306 + IF(INDEX(Input!$L$7:$L1503,ROW()-1),1,0),
        3
      )
  )
)</f>
        <v/>
      </c>
      <c r="S306" s="22" t="str">
        <f t="shared" si="4"/>
        <v/>
      </c>
      <c r="T306" s="6" t="str">
        <f t="array" ref="T306">IF(
  B306="",
  ,
  DATEDIF(
    B306 + IF(INDEX(Input!$K$7:$K1503,ROW()-1),0,1),
    C306 + IF(INDEX(Input!$L$7:$L1503,ROW()-1),1,0),
    "Y"
  )
)</f>
        <v/>
      </c>
      <c r="U306" s="6" t="str">
        <f t="array" ref="U306">IF(
  B306="",
  ,
  (C306 + IF(INDEX(Input!$L$7:$L1503,ROW()-1),1,0))
  - EDATE(
      B306 + IF(INDEX(Input!$K$7:$K1503,ROW()-1),0,1),
      12*S306
    )
)</f>
        <v/>
      </c>
      <c r="V306" s="6" t="str">
        <f t="shared" si="5"/>
        <v/>
      </c>
      <c r="W306" s="6" t="str">
        <f t="shared" si="6"/>
        <v/>
      </c>
    </row>
    <row r="307">
      <c r="A307" s="18"/>
      <c r="B307" s="18"/>
      <c r="C307" s="18"/>
      <c r="D307" s="18"/>
      <c r="E307" s="18"/>
      <c r="F307" s="18"/>
      <c r="G307" s="22"/>
      <c r="H307" s="18"/>
      <c r="I307" s="18">
        <v>0.0</v>
      </c>
      <c r="J307" s="18">
        <v>0.0</v>
      </c>
      <c r="K307" s="18"/>
      <c r="L307" s="18"/>
      <c r="M307" s="22" t="str">
        <f t="shared" si="1"/>
        <v/>
      </c>
      <c r="N307" s="18" t="str">
        <f>IF(A307="",,IF(ROW()=2, Input!$C$2 + I307, P306 + I307))</f>
        <v/>
      </c>
      <c r="O307" s="23" t="str">
        <f>IF(A307="",,
 IF(K307="Initial principal",
   Input!$C$2 * M307,
   N307 * M307
 )
)</f>
        <v/>
      </c>
      <c r="P307" s="18" t="str">
        <f t="shared" si="2"/>
        <v/>
      </c>
      <c r="Q307" s="18" t="str">
        <f t="shared" si="3"/>
        <v/>
      </c>
      <c r="R307" s="18" t="str">
        <f t="array" ref="R307">IF(
  B307="",
  ,
  SWITCH(
    Input!$C$4,
    "Actual/365 Fixed",
      YEARFRAC(
        B307 + IF(INDEX(Input!$K$7:$K1503,ROW()-1),0,1),
        C307 + IF(INDEX(Input!$L$7:$L1503,ROW()-1),1,0),
        3
      ),
    "Anniversary/365",
      DATEDIF(
        B307 + IF(INDEX(Input!$K$7:$K1503,ROW()-1),0,1),
        C307 + IF(INDEX(Input!$L$7:$L1503,ROW()-1),1,0),
        "Y"
      )
      +
      (
        (C307 + IF(INDEX(Input!$L$7:$L1503,ROW()-1),1,0))
        -
        EDATE(
          B307 + IF(INDEX(Input!$K$7:$K1503,ROW()-1),0,1),
          12*DATEDIF(
            B307 + IF(INDEX(Input!$K$7:$K1503,ROW()-1),0,1),
            C307 + IF(INDEX(Input!$L$7:$L1503,ROW()-1),1,0),
            "Y"
          )
        )
      ) / 365,
    "Actual/Actual",
      YEARFRAC(
        B307 + IF(INDEX(Input!$K$7:$K1503,ROW()-1),0,1),
        C307 + IF(INDEX(Input!$L$7:$L1503,ROW()-1),1,0),
        1
      ),
      YEARFRAC(
        B307 + IF(INDEX(Input!$K$7:$K1503,ROW()-1),0,1),
        C307 + IF(INDEX(Input!$L$7:$L1503,ROW()-1),1,0),
        3
      )
  )
)</f>
        <v/>
      </c>
      <c r="S307" s="22" t="str">
        <f t="shared" si="4"/>
        <v/>
      </c>
      <c r="T307" s="6" t="str">
        <f t="array" ref="T307">IF(
  B307="",
  ,
  DATEDIF(
    B307 + IF(INDEX(Input!$K$7:$K1503,ROW()-1),0,1),
    C307 + IF(INDEX(Input!$L$7:$L1503,ROW()-1),1,0),
    "Y"
  )
)</f>
        <v/>
      </c>
      <c r="U307" s="6" t="str">
        <f t="array" ref="U307">IF(
  B307="",
  ,
  (C307 + IF(INDEX(Input!$L$7:$L1503,ROW()-1),1,0))
  - EDATE(
      B307 + IF(INDEX(Input!$K$7:$K1503,ROW()-1),0,1),
      12*S307
    )
)</f>
        <v/>
      </c>
      <c r="V307" s="6" t="str">
        <f t="shared" si="5"/>
        <v/>
      </c>
      <c r="W307" s="6" t="str">
        <f t="shared" si="6"/>
        <v/>
      </c>
    </row>
    <row r="308">
      <c r="A308" s="18"/>
      <c r="B308" s="18"/>
      <c r="C308" s="18"/>
      <c r="D308" s="18"/>
      <c r="E308" s="18"/>
      <c r="F308" s="18"/>
      <c r="G308" s="22"/>
      <c r="H308" s="18"/>
      <c r="I308" s="18">
        <v>0.0</v>
      </c>
      <c r="J308" s="18">
        <v>0.0</v>
      </c>
      <c r="K308" s="18"/>
      <c r="L308" s="18"/>
      <c r="M308" s="22" t="str">
        <f t="shared" si="1"/>
        <v/>
      </c>
      <c r="N308" s="18" t="str">
        <f>IF(A308="",,IF(ROW()=2, Input!$C$2 + I308, P307 + I308))</f>
        <v/>
      </c>
      <c r="O308" s="23" t="str">
        <f>IF(A308="",,
 IF(K308="Initial principal",
   Input!$C$2 * M308,
   N308 * M308
 )
)</f>
        <v/>
      </c>
      <c r="P308" s="18" t="str">
        <f t="shared" si="2"/>
        <v/>
      </c>
      <c r="Q308" s="18" t="str">
        <f t="shared" si="3"/>
        <v/>
      </c>
      <c r="R308" s="18" t="str">
        <f t="array" ref="R308">IF(
  B308="",
  ,
  SWITCH(
    Input!$C$4,
    "Actual/365 Fixed",
      YEARFRAC(
        B308 + IF(INDEX(Input!$K$7:$K1503,ROW()-1),0,1),
        C308 + IF(INDEX(Input!$L$7:$L1503,ROW()-1),1,0),
        3
      ),
    "Anniversary/365",
      DATEDIF(
        B308 + IF(INDEX(Input!$K$7:$K1503,ROW()-1),0,1),
        C308 + IF(INDEX(Input!$L$7:$L1503,ROW()-1),1,0),
        "Y"
      )
      +
      (
        (C308 + IF(INDEX(Input!$L$7:$L1503,ROW()-1),1,0))
        -
        EDATE(
          B308 + IF(INDEX(Input!$K$7:$K1503,ROW()-1),0,1),
          12*DATEDIF(
            B308 + IF(INDEX(Input!$K$7:$K1503,ROW()-1),0,1),
            C308 + IF(INDEX(Input!$L$7:$L1503,ROW()-1),1,0),
            "Y"
          )
        )
      ) / 365,
    "Actual/Actual",
      YEARFRAC(
        B308 + IF(INDEX(Input!$K$7:$K1503,ROW()-1),0,1),
        C308 + IF(INDEX(Input!$L$7:$L1503,ROW()-1),1,0),
        1
      ),
      YEARFRAC(
        B308 + IF(INDEX(Input!$K$7:$K1503,ROW()-1),0,1),
        C308 + IF(INDEX(Input!$L$7:$L1503,ROW()-1),1,0),
        3
      )
  )
)</f>
        <v/>
      </c>
      <c r="S308" s="22" t="str">
        <f t="shared" si="4"/>
        <v/>
      </c>
      <c r="T308" s="6" t="str">
        <f t="array" ref="T308">IF(
  B308="",
  ,
  DATEDIF(
    B308 + IF(INDEX(Input!$K$7:$K1503,ROW()-1),0,1),
    C308 + IF(INDEX(Input!$L$7:$L1503,ROW()-1),1,0),
    "Y"
  )
)</f>
        <v/>
      </c>
      <c r="U308" s="6" t="str">
        <f t="array" ref="U308">IF(
  B308="",
  ,
  (C308 + IF(INDEX(Input!$L$7:$L1503,ROW()-1),1,0))
  - EDATE(
      B308 + IF(INDEX(Input!$K$7:$K1503,ROW()-1),0,1),
      12*S308
    )
)</f>
        <v/>
      </c>
      <c r="V308" s="6" t="str">
        <f t="shared" si="5"/>
        <v/>
      </c>
      <c r="W308" s="6" t="str">
        <f t="shared" si="6"/>
        <v/>
      </c>
    </row>
    <row r="309">
      <c r="A309" s="18"/>
      <c r="B309" s="18"/>
      <c r="C309" s="18"/>
      <c r="D309" s="18"/>
      <c r="E309" s="18"/>
      <c r="F309" s="18"/>
      <c r="G309" s="22"/>
      <c r="H309" s="18"/>
      <c r="I309" s="18">
        <v>0.0</v>
      </c>
      <c r="J309" s="18">
        <v>0.0</v>
      </c>
      <c r="K309" s="18"/>
      <c r="L309" s="18"/>
      <c r="M309" s="22" t="str">
        <f t="shared" si="1"/>
        <v/>
      </c>
      <c r="N309" s="18" t="str">
        <f>IF(A309="",,IF(ROW()=2, Input!$C$2 + I309, P308 + I309))</f>
        <v/>
      </c>
      <c r="O309" s="23" t="str">
        <f>IF(A309="",,
 IF(K309="Initial principal",
   Input!$C$2 * M309,
   N309 * M309
 )
)</f>
        <v/>
      </c>
      <c r="P309" s="18" t="str">
        <f t="shared" si="2"/>
        <v/>
      </c>
      <c r="Q309" s="18" t="str">
        <f t="shared" si="3"/>
        <v/>
      </c>
      <c r="R309" s="18" t="str">
        <f t="array" ref="R309">IF(
  B309="",
  ,
  SWITCH(
    Input!$C$4,
    "Actual/365 Fixed",
      YEARFRAC(
        B309 + IF(INDEX(Input!$K$7:$K1503,ROW()-1),0,1),
        C309 + IF(INDEX(Input!$L$7:$L1503,ROW()-1),1,0),
        3
      ),
    "Anniversary/365",
      DATEDIF(
        B309 + IF(INDEX(Input!$K$7:$K1503,ROW()-1),0,1),
        C309 + IF(INDEX(Input!$L$7:$L1503,ROW()-1),1,0),
        "Y"
      )
      +
      (
        (C309 + IF(INDEX(Input!$L$7:$L1503,ROW()-1),1,0))
        -
        EDATE(
          B309 + IF(INDEX(Input!$K$7:$K1503,ROW()-1),0,1),
          12*DATEDIF(
            B309 + IF(INDEX(Input!$K$7:$K1503,ROW()-1),0,1),
            C309 + IF(INDEX(Input!$L$7:$L1503,ROW()-1),1,0),
            "Y"
          )
        )
      ) / 365,
    "Actual/Actual",
      YEARFRAC(
        B309 + IF(INDEX(Input!$K$7:$K1503,ROW()-1),0,1),
        C309 + IF(INDEX(Input!$L$7:$L1503,ROW()-1),1,0),
        1
      ),
      YEARFRAC(
        B309 + IF(INDEX(Input!$K$7:$K1503,ROW()-1),0,1),
        C309 + IF(INDEX(Input!$L$7:$L1503,ROW()-1),1,0),
        3
      )
  )
)</f>
        <v/>
      </c>
      <c r="S309" s="22" t="str">
        <f t="shared" si="4"/>
        <v/>
      </c>
      <c r="T309" s="6" t="str">
        <f t="array" ref="T309">IF(
  B309="",
  ,
  DATEDIF(
    B309 + IF(INDEX(Input!$K$7:$K1503,ROW()-1),0,1),
    C309 + IF(INDEX(Input!$L$7:$L1503,ROW()-1),1,0),
    "Y"
  )
)</f>
        <v/>
      </c>
      <c r="U309" s="6" t="str">
        <f t="array" ref="U309">IF(
  B309="",
  ,
  (C309 + IF(INDEX(Input!$L$7:$L1503,ROW()-1),1,0))
  - EDATE(
      B309 + IF(INDEX(Input!$K$7:$K1503,ROW()-1),0,1),
      12*S309
    )
)</f>
        <v/>
      </c>
      <c r="V309" s="6" t="str">
        <f t="shared" si="5"/>
        <v/>
      </c>
      <c r="W309" s="6" t="str">
        <f t="shared" si="6"/>
        <v/>
      </c>
    </row>
    <row r="310">
      <c r="A310" s="18"/>
      <c r="B310" s="18"/>
      <c r="C310" s="18"/>
      <c r="D310" s="18"/>
      <c r="E310" s="18"/>
      <c r="F310" s="18"/>
      <c r="G310" s="22"/>
      <c r="H310" s="18"/>
      <c r="I310" s="18">
        <v>0.0</v>
      </c>
      <c r="J310" s="18">
        <v>0.0</v>
      </c>
      <c r="K310" s="18"/>
      <c r="L310" s="18"/>
      <c r="M310" s="22" t="str">
        <f t="shared" si="1"/>
        <v/>
      </c>
      <c r="N310" s="18" t="str">
        <f>IF(A310="",,IF(ROW()=2, Input!$C$2 + I310, P309 + I310))</f>
        <v/>
      </c>
      <c r="O310" s="23" t="str">
        <f>IF(A310="",,
 IF(K310="Initial principal",
   Input!$C$2 * M310,
   N310 * M310
 )
)</f>
        <v/>
      </c>
      <c r="P310" s="18" t="str">
        <f t="shared" si="2"/>
        <v/>
      </c>
      <c r="Q310" s="18" t="str">
        <f t="shared" si="3"/>
        <v/>
      </c>
      <c r="R310" s="18" t="str">
        <f t="array" ref="R310">IF(
  B310="",
  ,
  SWITCH(
    Input!$C$4,
    "Actual/365 Fixed",
      YEARFRAC(
        B310 + IF(INDEX(Input!$K$7:$K1503,ROW()-1),0,1),
        C310 + IF(INDEX(Input!$L$7:$L1503,ROW()-1),1,0),
        3
      ),
    "Anniversary/365",
      DATEDIF(
        B310 + IF(INDEX(Input!$K$7:$K1503,ROW()-1),0,1),
        C310 + IF(INDEX(Input!$L$7:$L1503,ROW()-1),1,0),
        "Y"
      )
      +
      (
        (C310 + IF(INDEX(Input!$L$7:$L1503,ROW()-1),1,0))
        -
        EDATE(
          B310 + IF(INDEX(Input!$K$7:$K1503,ROW()-1),0,1),
          12*DATEDIF(
            B310 + IF(INDEX(Input!$K$7:$K1503,ROW()-1),0,1),
            C310 + IF(INDEX(Input!$L$7:$L1503,ROW()-1),1,0),
            "Y"
          )
        )
      ) / 365,
    "Actual/Actual",
      YEARFRAC(
        B310 + IF(INDEX(Input!$K$7:$K1503,ROW()-1),0,1),
        C310 + IF(INDEX(Input!$L$7:$L1503,ROW()-1),1,0),
        1
      ),
      YEARFRAC(
        B310 + IF(INDEX(Input!$K$7:$K1503,ROW()-1),0,1),
        C310 + IF(INDEX(Input!$L$7:$L1503,ROW()-1),1,0),
        3
      )
  )
)</f>
        <v/>
      </c>
      <c r="S310" s="22" t="str">
        <f t="shared" si="4"/>
        <v/>
      </c>
      <c r="T310" s="6" t="str">
        <f t="array" ref="T310">IF(
  B310="",
  ,
  DATEDIF(
    B310 + IF(INDEX(Input!$K$7:$K1503,ROW()-1),0,1),
    C310 + IF(INDEX(Input!$L$7:$L1503,ROW()-1),1,0),
    "Y"
  )
)</f>
        <v/>
      </c>
      <c r="U310" s="6" t="str">
        <f t="array" ref="U310">IF(
  B310="",
  ,
  (C310 + IF(INDEX(Input!$L$7:$L1503,ROW()-1),1,0))
  - EDATE(
      B310 + IF(INDEX(Input!$K$7:$K1503,ROW()-1),0,1),
      12*S310
    )
)</f>
        <v/>
      </c>
      <c r="V310" s="6" t="str">
        <f t="shared" si="5"/>
        <v/>
      </c>
      <c r="W310" s="6" t="str">
        <f t="shared" si="6"/>
        <v/>
      </c>
    </row>
    <row r="311">
      <c r="A311" s="18"/>
      <c r="B311" s="18"/>
      <c r="C311" s="18"/>
      <c r="D311" s="18"/>
      <c r="E311" s="18"/>
      <c r="F311" s="18"/>
      <c r="G311" s="22"/>
      <c r="H311" s="18"/>
      <c r="I311" s="18">
        <v>0.0</v>
      </c>
      <c r="J311" s="18">
        <v>0.0</v>
      </c>
      <c r="K311" s="18"/>
      <c r="L311" s="18"/>
      <c r="M311" s="22" t="str">
        <f t="shared" si="1"/>
        <v/>
      </c>
      <c r="N311" s="18" t="str">
        <f>IF(A311="",,IF(ROW()=2, Input!$C$2 + I311, P310 + I311))</f>
        <v/>
      </c>
      <c r="O311" s="23" t="str">
        <f>IF(A311="",,
 IF(K311="Initial principal",
   Input!$C$2 * M311,
   N311 * M311
 )
)</f>
        <v/>
      </c>
      <c r="P311" s="18" t="str">
        <f t="shared" si="2"/>
        <v/>
      </c>
      <c r="Q311" s="18" t="str">
        <f t="shared" si="3"/>
        <v/>
      </c>
      <c r="R311" s="18" t="str">
        <f t="array" ref="R311">IF(
  B311="",
  ,
  SWITCH(
    Input!$C$4,
    "Actual/365 Fixed",
      YEARFRAC(
        B311 + IF(INDEX(Input!$K$7:$K1503,ROW()-1),0,1),
        C311 + IF(INDEX(Input!$L$7:$L1503,ROW()-1),1,0),
        3
      ),
    "Anniversary/365",
      DATEDIF(
        B311 + IF(INDEX(Input!$K$7:$K1503,ROW()-1),0,1),
        C311 + IF(INDEX(Input!$L$7:$L1503,ROW()-1),1,0),
        "Y"
      )
      +
      (
        (C311 + IF(INDEX(Input!$L$7:$L1503,ROW()-1),1,0))
        -
        EDATE(
          B311 + IF(INDEX(Input!$K$7:$K1503,ROW()-1),0,1),
          12*DATEDIF(
            B311 + IF(INDEX(Input!$K$7:$K1503,ROW()-1),0,1),
            C311 + IF(INDEX(Input!$L$7:$L1503,ROW()-1),1,0),
            "Y"
          )
        )
      ) / 365,
    "Actual/Actual",
      YEARFRAC(
        B311 + IF(INDEX(Input!$K$7:$K1503,ROW()-1),0,1),
        C311 + IF(INDEX(Input!$L$7:$L1503,ROW()-1),1,0),
        1
      ),
      YEARFRAC(
        B311 + IF(INDEX(Input!$K$7:$K1503,ROW()-1),0,1),
        C311 + IF(INDEX(Input!$L$7:$L1503,ROW()-1),1,0),
        3
      )
  )
)</f>
        <v/>
      </c>
      <c r="S311" s="22" t="str">
        <f t="shared" si="4"/>
        <v/>
      </c>
      <c r="T311" s="6" t="str">
        <f t="array" ref="T311">IF(
  B311="",
  ,
  DATEDIF(
    B311 + IF(INDEX(Input!$K$7:$K1503,ROW()-1),0,1),
    C311 + IF(INDEX(Input!$L$7:$L1503,ROW()-1),1,0),
    "Y"
  )
)</f>
        <v/>
      </c>
      <c r="U311" s="6" t="str">
        <f t="array" ref="U311">IF(
  B311="",
  ,
  (C311 + IF(INDEX(Input!$L$7:$L1503,ROW()-1),1,0))
  - EDATE(
      B311 + IF(INDEX(Input!$K$7:$K1503,ROW()-1),0,1),
      12*S311
    )
)</f>
        <v/>
      </c>
      <c r="V311" s="6" t="str">
        <f t="shared" si="5"/>
        <v/>
      </c>
      <c r="W311" s="6" t="str">
        <f t="shared" si="6"/>
        <v/>
      </c>
    </row>
    <row r="312">
      <c r="A312" s="18"/>
      <c r="B312" s="18"/>
      <c r="C312" s="18"/>
      <c r="D312" s="18"/>
      <c r="E312" s="18"/>
      <c r="F312" s="18"/>
      <c r="G312" s="22"/>
      <c r="H312" s="18"/>
      <c r="I312" s="18">
        <v>0.0</v>
      </c>
      <c r="J312" s="18">
        <v>0.0</v>
      </c>
      <c r="K312" s="18"/>
      <c r="L312" s="18"/>
      <c r="M312" s="22" t="str">
        <f t="shared" si="1"/>
        <v/>
      </c>
      <c r="N312" s="18" t="str">
        <f>IF(A312="",,IF(ROW()=2, Input!$C$2 + I312, P311 + I312))</f>
        <v/>
      </c>
      <c r="O312" s="23" t="str">
        <f>IF(A312="",,
 IF(K312="Initial principal",
   Input!$C$2 * M312,
   N312 * M312
 )
)</f>
        <v/>
      </c>
      <c r="P312" s="18" t="str">
        <f t="shared" si="2"/>
        <v/>
      </c>
      <c r="Q312" s="18" t="str">
        <f t="shared" si="3"/>
        <v/>
      </c>
      <c r="R312" s="18" t="str">
        <f t="array" ref="R312">IF(
  B312="",
  ,
  SWITCH(
    Input!$C$4,
    "Actual/365 Fixed",
      YEARFRAC(
        B312 + IF(INDEX(Input!$K$7:$K1503,ROW()-1),0,1),
        C312 + IF(INDEX(Input!$L$7:$L1503,ROW()-1),1,0),
        3
      ),
    "Anniversary/365",
      DATEDIF(
        B312 + IF(INDEX(Input!$K$7:$K1503,ROW()-1),0,1),
        C312 + IF(INDEX(Input!$L$7:$L1503,ROW()-1),1,0),
        "Y"
      )
      +
      (
        (C312 + IF(INDEX(Input!$L$7:$L1503,ROW()-1),1,0))
        -
        EDATE(
          B312 + IF(INDEX(Input!$K$7:$K1503,ROW()-1),0,1),
          12*DATEDIF(
            B312 + IF(INDEX(Input!$K$7:$K1503,ROW()-1),0,1),
            C312 + IF(INDEX(Input!$L$7:$L1503,ROW()-1),1,0),
            "Y"
          )
        )
      ) / 365,
    "Actual/Actual",
      YEARFRAC(
        B312 + IF(INDEX(Input!$K$7:$K1503,ROW()-1),0,1),
        C312 + IF(INDEX(Input!$L$7:$L1503,ROW()-1),1,0),
        1
      ),
      YEARFRAC(
        B312 + IF(INDEX(Input!$K$7:$K1503,ROW()-1),0,1),
        C312 + IF(INDEX(Input!$L$7:$L1503,ROW()-1),1,0),
        3
      )
  )
)</f>
        <v/>
      </c>
      <c r="S312" s="22" t="str">
        <f t="shared" si="4"/>
        <v/>
      </c>
      <c r="T312" s="6" t="str">
        <f t="array" ref="T312">IF(
  B312="",
  ,
  DATEDIF(
    B312 + IF(INDEX(Input!$K$7:$K1503,ROW()-1),0,1),
    C312 + IF(INDEX(Input!$L$7:$L1503,ROW()-1),1,0),
    "Y"
  )
)</f>
        <v/>
      </c>
      <c r="U312" s="6" t="str">
        <f t="array" ref="U312">IF(
  B312="",
  ,
  (C312 + IF(INDEX(Input!$L$7:$L1503,ROW()-1),1,0))
  - EDATE(
      B312 + IF(INDEX(Input!$K$7:$K1503,ROW()-1),0,1),
      12*S312
    )
)</f>
        <v/>
      </c>
      <c r="V312" s="6" t="str">
        <f t="shared" si="5"/>
        <v/>
      </c>
      <c r="W312" s="6" t="str">
        <f t="shared" si="6"/>
        <v/>
      </c>
    </row>
    <row r="313">
      <c r="A313" s="18"/>
      <c r="B313" s="18"/>
      <c r="C313" s="18"/>
      <c r="D313" s="18"/>
      <c r="E313" s="18"/>
      <c r="F313" s="18"/>
      <c r="G313" s="22"/>
      <c r="H313" s="18"/>
      <c r="I313" s="18">
        <v>0.0</v>
      </c>
      <c r="J313" s="18">
        <v>0.0</v>
      </c>
      <c r="K313" s="18"/>
      <c r="L313" s="18"/>
      <c r="M313" s="22" t="str">
        <f t="shared" si="1"/>
        <v/>
      </c>
      <c r="N313" s="18" t="str">
        <f>IF(A313="",,IF(ROW()=2, Input!$C$2 + I313, P312 + I313))</f>
        <v/>
      </c>
      <c r="O313" s="23" t="str">
        <f>IF(A313="",,
 IF(K313="Initial principal",
   Input!$C$2 * M313,
   N313 * M313
 )
)</f>
        <v/>
      </c>
      <c r="P313" s="18" t="str">
        <f t="shared" si="2"/>
        <v/>
      </c>
      <c r="Q313" s="18" t="str">
        <f t="shared" si="3"/>
        <v/>
      </c>
      <c r="R313" s="18" t="str">
        <f t="array" ref="R313">IF(
  B313="",
  ,
  SWITCH(
    Input!$C$4,
    "Actual/365 Fixed",
      YEARFRAC(
        B313 + IF(INDEX(Input!$K$7:$K1503,ROW()-1),0,1),
        C313 + IF(INDEX(Input!$L$7:$L1503,ROW()-1),1,0),
        3
      ),
    "Anniversary/365",
      DATEDIF(
        B313 + IF(INDEX(Input!$K$7:$K1503,ROW()-1),0,1),
        C313 + IF(INDEX(Input!$L$7:$L1503,ROW()-1),1,0),
        "Y"
      )
      +
      (
        (C313 + IF(INDEX(Input!$L$7:$L1503,ROW()-1),1,0))
        -
        EDATE(
          B313 + IF(INDEX(Input!$K$7:$K1503,ROW()-1),0,1),
          12*DATEDIF(
            B313 + IF(INDEX(Input!$K$7:$K1503,ROW()-1),0,1),
            C313 + IF(INDEX(Input!$L$7:$L1503,ROW()-1),1,0),
            "Y"
          )
        )
      ) / 365,
    "Actual/Actual",
      YEARFRAC(
        B313 + IF(INDEX(Input!$K$7:$K1503,ROW()-1),0,1),
        C313 + IF(INDEX(Input!$L$7:$L1503,ROW()-1),1,0),
        1
      ),
      YEARFRAC(
        B313 + IF(INDEX(Input!$K$7:$K1503,ROW()-1),0,1),
        C313 + IF(INDEX(Input!$L$7:$L1503,ROW()-1),1,0),
        3
      )
  )
)</f>
        <v/>
      </c>
      <c r="S313" s="22" t="str">
        <f t="shared" si="4"/>
        <v/>
      </c>
      <c r="T313" s="6" t="str">
        <f t="array" ref="T313">IF(
  B313="",
  ,
  DATEDIF(
    B313 + IF(INDEX(Input!$K$7:$K1503,ROW()-1),0,1),
    C313 + IF(INDEX(Input!$L$7:$L1503,ROW()-1),1,0),
    "Y"
  )
)</f>
        <v/>
      </c>
      <c r="U313" s="6" t="str">
        <f t="array" ref="U313">IF(
  B313="",
  ,
  (C313 + IF(INDEX(Input!$L$7:$L1503,ROW()-1),1,0))
  - EDATE(
      B313 + IF(INDEX(Input!$K$7:$K1503,ROW()-1),0,1),
      12*S313
    )
)</f>
        <v/>
      </c>
      <c r="V313" s="6" t="str">
        <f t="shared" si="5"/>
        <v/>
      </c>
      <c r="W313" s="6" t="str">
        <f t="shared" si="6"/>
        <v/>
      </c>
    </row>
    <row r="314">
      <c r="A314" s="18"/>
      <c r="B314" s="18"/>
      <c r="C314" s="18"/>
      <c r="D314" s="18"/>
      <c r="E314" s="18"/>
      <c r="F314" s="18"/>
      <c r="G314" s="22"/>
      <c r="H314" s="18"/>
      <c r="I314" s="18">
        <v>0.0</v>
      </c>
      <c r="J314" s="18">
        <v>0.0</v>
      </c>
      <c r="K314" s="18"/>
      <c r="L314" s="18"/>
      <c r="M314" s="22" t="str">
        <f t="shared" si="1"/>
        <v/>
      </c>
      <c r="N314" s="18" t="str">
        <f>IF(A314="",,IF(ROW()=2, Input!$C$2 + I314, P313 + I314))</f>
        <v/>
      </c>
      <c r="O314" s="23" t="str">
        <f>IF(A314="",,
 IF(K314="Initial principal",
   Input!$C$2 * M314,
   N314 * M314
 )
)</f>
        <v/>
      </c>
      <c r="P314" s="18" t="str">
        <f t="shared" si="2"/>
        <v/>
      </c>
      <c r="Q314" s="18" t="str">
        <f t="shared" si="3"/>
        <v/>
      </c>
      <c r="R314" s="18" t="str">
        <f t="array" ref="R314">IF(
  B314="",
  ,
  SWITCH(
    Input!$C$4,
    "Actual/365 Fixed",
      YEARFRAC(
        B314 + IF(INDEX(Input!$K$7:$K1503,ROW()-1),0,1),
        C314 + IF(INDEX(Input!$L$7:$L1503,ROW()-1),1,0),
        3
      ),
    "Anniversary/365",
      DATEDIF(
        B314 + IF(INDEX(Input!$K$7:$K1503,ROW()-1),0,1),
        C314 + IF(INDEX(Input!$L$7:$L1503,ROW()-1),1,0),
        "Y"
      )
      +
      (
        (C314 + IF(INDEX(Input!$L$7:$L1503,ROW()-1),1,0))
        -
        EDATE(
          B314 + IF(INDEX(Input!$K$7:$K1503,ROW()-1),0,1),
          12*DATEDIF(
            B314 + IF(INDEX(Input!$K$7:$K1503,ROW()-1),0,1),
            C314 + IF(INDEX(Input!$L$7:$L1503,ROW()-1),1,0),
            "Y"
          )
        )
      ) / 365,
    "Actual/Actual",
      YEARFRAC(
        B314 + IF(INDEX(Input!$K$7:$K1503,ROW()-1),0,1),
        C314 + IF(INDEX(Input!$L$7:$L1503,ROW()-1),1,0),
        1
      ),
      YEARFRAC(
        B314 + IF(INDEX(Input!$K$7:$K1503,ROW()-1),0,1),
        C314 + IF(INDEX(Input!$L$7:$L1503,ROW()-1),1,0),
        3
      )
  )
)</f>
        <v/>
      </c>
      <c r="S314" s="22" t="str">
        <f t="shared" si="4"/>
        <v/>
      </c>
      <c r="T314" s="6" t="str">
        <f t="array" ref="T314">IF(
  B314="",
  ,
  DATEDIF(
    B314 + IF(INDEX(Input!$K$7:$K1503,ROW()-1),0,1),
    C314 + IF(INDEX(Input!$L$7:$L1503,ROW()-1),1,0),
    "Y"
  )
)</f>
        <v/>
      </c>
      <c r="U314" s="6" t="str">
        <f t="array" ref="U314">IF(
  B314="",
  ,
  (C314 + IF(INDEX(Input!$L$7:$L1503,ROW()-1),1,0))
  - EDATE(
      B314 + IF(INDEX(Input!$K$7:$K1503,ROW()-1),0,1),
      12*S314
    )
)</f>
        <v/>
      </c>
      <c r="V314" s="6" t="str">
        <f t="shared" si="5"/>
        <v/>
      </c>
      <c r="W314" s="6" t="str">
        <f t="shared" si="6"/>
        <v/>
      </c>
    </row>
    <row r="315">
      <c r="A315" s="18"/>
      <c r="B315" s="18"/>
      <c r="C315" s="18"/>
      <c r="D315" s="18"/>
      <c r="E315" s="18"/>
      <c r="F315" s="18"/>
      <c r="G315" s="22"/>
      <c r="H315" s="18"/>
      <c r="I315" s="18">
        <v>0.0</v>
      </c>
      <c r="J315" s="18">
        <v>0.0</v>
      </c>
      <c r="K315" s="18"/>
      <c r="L315" s="18"/>
      <c r="M315" s="22" t="str">
        <f t="shared" si="1"/>
        <v/>
      </c>
      <c r="N315" s="18" t="str">
        <f>IF(A315="",,IF(ROW()=2, Input!$C$2 + I315, P314 + I315))</f>
        <v/>
      </c>
      <c r="O315" s="23" t="str">
        <f>IF(A315="",,
 IF(K315="Initial principal",
   Input!$C$2 * M315,
   N315 * M315
 )
)</f>
        <v/>
      </c>
      <c r="P315" s="18" t="str">
        <f t="shared" si="2"/>
        <v/>
      </c>
      <c r="Q315" s="18" t="str">
        <f t="shared" si="3"/>
        <v/>
      </c>
      <c r="R315" s="18" t="str">
        <f t="array" ref="R315">IF(
  B315="",
  ,
  SWITCH(
    Input!$C$4,
    "Actual/365 Fixed",
      YEARFRAC(
        B315 + IF(INDEX(Input!$K$7:$K1503,ROW()-1),0,1),
        C315 + IF(INDEX(Input!$L$7:$L1503,ROW()-1),1,0),
        3
      ),
    "Anniversary/365",
      DATEDIF(
        B315 + IF(INDEX(Input!$K$7:$K1503,ROW()-1),0,1),
        C315 + IF(INDEX(Input!$L$7:$L1503,ROW()-1),1,0),
        "Y"
      )
      +
      (
        (C315 + IF(INDEX(Input!$L$7:$L1503,ROW()-1),1,0))
        -
        EDATE(
          B315 + IF(INDEX(Input!$K$7:$K1503,ROW()-1),0,1),
          12*DATEDIF(
            B315 + IF(INDEX(Input!$K$7:$K1503,ROW()-1),0,1),
            C315 + IF(INDEX(Input!$L$7:$L1503,ROW()-1),1,0),
            "Y"
          )
        )
      ) / 365,
    "Actual/Actual",
      YEARFRAC(
        B315 + IF(INDEX(Input!$K$7:$K1503,ROW()-1),0,1),
        C315 + IF(INDEX(Input!$L$7:$L1503,ROW()-1),1,0),
        1
      ),
      YEARFRAC(
        B315 + IF(INDEX(Input!$K$7:$K1503,ROW()-1),0,1),
        C315 + IF(INDEX(Input!$L$7:$L1503,ROW()-1),1,0),
        3
      )
  )
)</f>
        <v/>
      </c>
      <c r="S315" s="22" t="str">
        <f t="shared" si="4"/>
        <v/>
      </c>
      <c r="T315" s="6" t="str">
        <f t="array" ref="T315">IF(
  B315="",
  ,
  DATEDIF(
    B315 + IF(INDEX(Input!$K$7:$K1503,ROW()-1),0,1),
    C315 + IF(INDEX(Input!$L$7:$L1503,ROW()-1),1,0),
    "Y"
  )
)</f>
        <v/>
      </c>
      <c r="U315" s="6" t="str">
        <f t="array" ref="U315">IF(
  B315="",
  ,
  (C315 + IF(INDEX(Input!$L$7:$L1503,ROW()-1),1,0))
  - EDATE(
      B315 + IF(INDEX(Input!$K$7:$K1503,ROW()-1),0,1),
      12*S315
    )
)</f>
        <v/>
      </c>
      <c r="V315" s="6" t="str">
        <f t="shared" si="5"/>
        <v/>
      </c>
      <c r="W315" s="6" t="str">
        <f t="shared" si="6"/>
        <v/>
      </c>
    </row>
    <row r="316">
      <c r="A316" s="18"/>
      <c r="B316" s="18"/>
      <c r="C316" s="18"/>
      <c r="D316" s="18"/>
      <c r="E316" s="18"/>
      <c r="F316" s="18"/>
      <c r="G316" s="22"/>
      <c r="H316" s="18"/>
      <c r="I316" s="18">
        <v>0.0</v>
      </c>
      <c r="J316" s="18">
        <v>0.0</v>
      </c>
      <c r="K316" s="18"/>
      <c r="L316" s="18"/>
      <c r="M316" s="22" t="str">
        <f t="shared" si="1"/>
        <v/>
      </c>
      <c r="N316" s="18" t="str">
        <f>IF(A316="",,IF(ROW()=2, Input!$C$2 + I316, P315 + I316))</f>
        <v/>
      </c>
      <c r="O316" s="23" t="str">
        <f>IF(A316="",,
 IF(K316="Initial principal",
   Input!$C$2 * M316,
   N316 * M316
 )
)</f>
        <v/>
      </c>
      <c r="P316" s="18" t="str">
        <f t="shared" si="2"/>
        <v/>
      </c>
      <c r="Q316" s="18" t="str">
        <f t="shared" si="3"/>
        <v/>
      </c>
      <c r="R316" s="18" t="str">
        <f t="array" ref="R316">IF(
  B316="",
  ,
  SWITCH(
    Input!$C$4,
    "Actual/365 Fixed",
      YEARFRAC(
        B316 + IF(INDEX(Input!$K$7:$K1503,ROW()-1),0,1),
        C316 + IF(INDEX(Input!$L$7:$L1503,ROW()-1),1,0),
        3
      ),
    "Anniversary/365",
      DATEDIF(
        B316 + IF(INDEX(Input!$K$7:$K1503,ROW()-1),0,1),
        C316 + IF(INDEX(Input!$L$7:$L1503,ROW()-1),1,0),
        "Y"
      )
      +
      (
        (C316 + IF(INDEX(Input!$L$7:$L1503,ROW()-1),1,0))
        -
        EDATE(
          B316 + IF(INDEX(Input!$K$7:$K1503,ROW()-1),0,1),
          12*DATEDIF(
            B316 + IF(INDEX(Input!$K$7:$K1503,ROW()-1),0,1),
            C316 + IF(INDEX(Input!$L$7:$L1503,ROW()-1),1,0),
            "Y"
          )
        )
      ) / 365,
    "Actual/Actual",
      YEARFRAC(
        B316 + IF(INDEX(Input!$K$7:$K1503,ROW()-1),0,1),
        C316 + IF(INDEX(Input!$L$7:$L1503,ROW()-1),1,0),
        1
      ),
      YEARFRAC(
        B316 + IF(INDEX(Input!$K$7:$K1503,ROW()-1),0,1),
        C316 + IF(INDEX(Input!$L$7:$L1503,ROW()-1),1,0),
        3
      )
  )
)</f>
        <v/>
      </c>
      <c r="S316" s="22" t="str">
        <f t="shared" si="4"/>
        <v/>
      </c>
      <c r="T316" s="6" t="str">
        <f t="array" ref="T316">IF(
  B316="",
  ,
  DATEDIF(
    B316 + IF(INDEX(Input!$K$7:$K1503,ROW()-1),0,1),
    C316 + IF(INDEX(Input!$L$7:$L1503,ROW()-1),1,0),
    "Y"
  )
)</f>
        <v/>
      </c>
      <c r="U316" s="6" t="str">
        <f t="array" ref="U316">IF(
  B316="",
  ,
  (C316 + IF(INDEX(Input!$L$7:$L1503,ROW()-1),1,0))
  - EDATE(
      B316 + IF(INDEX(Input!$K$7:$K1503,ROW()-1),0,1),
      12*S316
    )
)</f>
        <v/>
      </c>
      <c r="V316" s="6" t="str">
        <f t="shared" si="5"/>
        <v/>
      </c>
      <c r="W316" s="6" t="str">
        <f t="shared" si="6"/>
        <v/>
      </c>
    </row>
    <row r="317">
      <c r="A317" s="18"/>
      <c r="B317" s="18"/>
      <c r="C317" s="18"/>
      <c r="D317" s="18"/>
      <c r="E317" s="18"/>
      <c r="F317" s="18"/>
      <c r="G317" s="22"/>
      <c r="H317" s="18"/>
      <c r="I317" s="18">
        <v>0.0</v>
      </c>
      <c r="J317" s="18">
        <v>0.0</v>
      </c>
      <c r="K317" s="18"/>
      <c r="L317" s="18"/>
      <c r="M317" s="22" t="str">
        <f t="shared" si="1"/>
        <v/>
      </c>
      <c r="N317" s="18" t="str">
        <f>IF(A317="",,IF(ROW()=2, Input!$C$2 + I317, P316 + I317))</f>
        <v/>
      </c>
      <c r="O317" s="23" t="str">
        <f>IF(A317="",,
 IF(K317="Initial principal",
   Input!$C$2 * M317,
   N317 * M317
 )
)</f>
        <v/>
      </c>
      <c r="P317" s="18" t="str">
        <f t="shared" si="2"/>
        <v/>
      </c>
      <c r="Q317" s="18" t="str">
        <f t="shared" si="3"/>
        <v/>
      </c>
      <c r="R317" s="18" t="str">
        <f t="array" ref="R317">IF(
  B317="",
  ,
  SWITCH(
    Input!$C$4,
    "Actual/365 Fixed",
      YEARFRAC(
        B317 + IF(INDEX(Input!$K$7:$K1503,ROW()-1),0,1),
        C317 + IF(INDEX(Input!$L$7:$L1503,ROW()-1),1,0),
        3
      ),
    "Anniversary/365",
      DATEDIF(
        B317 + IF(INDEX(Input!$K$7:$K1503,ROW()-1),0,1),
        C317 + IF(INDEX(Input!$L$7:$L1503,ROW()-1),1,0),
        "Y"
      )
      +
      (
        (C317 + IF(INDEX(Input!$L$7:$L1503,ROW()-1),1,0))
        -
        EDATE(
          B317 + IF(INDEX(Input!$K$7:$K1503,ROW()-1),0,1),
          12*DATEDIF(
            B317 + IF(INDEX(Input!$K$7:$K1503,ROW()-1),0,1),
            C317 + IF(INDEX(Input!$L$7:$L1503,ROW()-1),1,0),
            "Y"
          )
        )
      ) / 365,
    "Actual/Actual",
      YEARFRAC(
        B317 + IF(INDEX(Input!$K$7:$K1503,ROW()-1),0,1),
        C317 + IF(INDEX(Input!$L$7:$L1503,ROW()-1),1,0),
        1
      ),
      YEARFRAC(
        B317 + IF(INDEX(Input!$K$7:$K1503,ROW()-1),0,1),
        C317 + IF(INDEX(Input!$L$7:$L1503,ROW()-1),1,0),
        3
      )
  )
)</f>
        <v/>
      </c>
      <c r="S317" s="22" t="str">
        <f t="shared" si="4"/>
        <v/>
      </c>
      <c r="T317" s="6" t="str">
        <f t="array" ref="T317">IF(
  B317="",
  ,
  DATEDIF(
    B317 + IF(INDEX(Input!$K$7:$K1503,ROW()-1),0,1),
    C317 + IF(INDEX(Input!$L$7:$L1503,ROW()-1),1,0),
    "Y"
  )
)</f>
        <v/>
      </c>
      <c r="U317" s="6" t="str">
        <f t="array" ref="U317">IF(
  B317="",
  ,
  (C317 + IF(INDEX(Input!$L$7:$L1503,ROW()-1),1,0))
  - EDATE(
      B317 + IF(INDEX(Input!$K$7:$K1503,ROW()-1),0,1),
      12*S317
    )
)</f>
        <v/>
      </c>
      <c r="V317" s="6" t="str">
        <f t="shared" si="5"/>
        <v/>
      </c>
      <c r="W317" s="6" t="str">
        <f t="shared" si="6"/>
        <v/>
      </c>
    </row>
    <row r="318">
      <c r="A318" s="18"/>
      <c r="B318" s="18"/>
      <c r="C318" s="18"/>
      <c r="D318" s="18"/>
      <c r="E318" s="18"/>
      <c r="F318" s="18"/>
      <c r="G318" s="22"/>
      <c r="H318" s="18"/>
      <c r="I318" s="18">
        <v>0.0</v>
      </c>
      <c r="J318" s="18">
        <v>0.0</v>
      </c>
      <c r="K318" s="18"/>
      <c r="L318" s="18"/>
      <c r="M318" s="22" t="str">
        <f t="shared" si="1"/>
        <v/>
      </c>
      <c r="N318" s="18" t="str">
        <f>IF(A318="",,IF(ROW()=2, Input!$C$2 + I318, P317 + I318))</f>
        <v/>
      </c>
      <c r="O318" s="23" t="str">
        <f>IF(A318="",,
 IF(K318="Initial principal",
   Input!$C$2 * M318,
   N318 * M318
 )
)</f>
        <v/>
      </c>
      <c r="P318" s="18" t="str">
        <f t="shared" si="2"/>
        <v/>
      </c>
      <c r="Q318" s="18" t="str">
        <f t="shared" si="3"/>
        <v/>
      </c>
      <c r="R318" s="18" t="str">
        <f t="array" ref="R318">IF(
  B318="",
  ,
  SWITCH(
    Input!$C$4,
    "Actual/365 Fixed",
      YEARFRAC(
        B318 + IF(INDEX(Input!$K$7:$K1503,ROW()-1),0,1),
        C318 + IF(INDEX(Input!$L$7:$L1503,ROW()-1),1,0),
        3
      ),
    "Anniversary/365",
      DATEDIF(
        B318 + IF(INDEX(Input!$K$7:$K1503,ROW()-1),0,1),
        C318 + IF(INDEX(Input!$L$7:$L1503,ROW()-1),1,0),
        "Y"
      )
      +
      (
        (C318 + IF(INDEX(Input!$L$7:$L1503,ROW()-1),1,0))
        -
        EDATE(
          B318 + IF(INDEX(Input!$K$7:$K1503,ROW()-1),0,1),
          12*DATEDIF(
            B318 + IF(INDEX(Input!$K$7:$K1503,ROW()-1),0,1),
            C318 + IF(INDEX(Input!$L$7:$L1503,ROW()-1),1,0),
            "Y"
          )
        )
      ) / 365,
    "Actual/Actual",
      YEARFRAC(
        B318 + IF(INDEX(Input!$K$7:$K1503,ROW()-1),0,1),
        C318 + IF(INDEX(Input!$L$7:$L1503,ROW()-1),1,0),
        1
      ),
      YEARFRAC(
        B318 + IF(INDEX(Input!$K$7:$K1503,ROW()-1),0,1),
        C318 + IF(INDEX(Input!$L$7:$L1503,ROW()-1),1,0),
        3
      )
  )
)</f>
        <v/>
      </c>
      <c r="S318" s="22" t="str">
        <f t="shared" si="4"/>
        <v/>
      </c>
      <c r="T318" s="6" t="str">
        <f t="array" ref="T318">IF(
  B318="",
  ,
  DATEDIF(
    B318 + IF(INDEX(Input!$K$7:$K1503,ROW()-1),0,1),
    C318 + IF(INDEX(Input!$L$7:$L1503,ROW()-1),1,0),
    "Y"
  )
)</f>
        <v/>
      </c>
      <c r="U318" s="6" t="str">
        <f t="array" ref="U318">IF(
  B318="",
  ,
  (C318 + IF(INDEX(Input!$L$7:$L1503,ROW()-1),1,0))
  - EDATE(
      B318 + IF(INDEX(Input!$K$7:$K1503,ROW()-1),0,1),
      12*S318
    )
)</f>
        <v/>
      </c>
      <c r="V318" s="6" t="str">
        <f t="shared" si="5"/>
        <v/>
      </c>
      <c r="W318" s="6" t="str">
        <f t="shared" si="6"/>
        <v/>
      </c>
    </row>
    <row r="319">
      <c r="A319" s="18"/>
      <c r="B319" s="18"/>
      <c r="C319" s="18"/>
      <c r="D319" s="18"/>
      <c r="E319" s="18"/>
      <c r="F319" s="18"/>
      <c r="G319" s="22"/>
      <c r="H319" s="18"/>
      <c r="I319" s="18">
        <v>0.0</v>
      </c>
      <c r="J319" s="18">
        <v>0.0</v>
      </c>
      <c r="K319" s="18"/>
      <c r="L319" s="18"/>
      <c r="M319" s="22" t="str">
        <f t="shared" si="1"/>
        <v/>
      </c>
      <c r="N319" s="18" t="str">
        <f>IF(A319="",,IF(ROW()=2, Input!$C$2 + I319, P318 + I319))</f>
        <v/>
      </c>
      <c r="O319" s="23" t="str">
        <f>IF(A319="",,
 IF(K319="Initial principal",
   Input!$C$2 * M319,
   N319 * M319
 )
)</f>
        <v/>
      </c>
      <c r="P319" s="18" t="str">
        <f t="shared" si="2"/>
        <v/>
      </c>
      <c r="Q319" s="18" t="str">
        <f t="shared" si="3"/>
        <v/>
      </c>
      <c r="R319" s="18" t="str">
        <f t="array" ref="R319">IF(
  B319="",
  ,
  SWITCH(
    Input!$C$4,
    "Actual/365 Fixed",
      YEARFRAC(
        B319 + IF(INDEX(Input!$K$7:$K1503,ROW()-1),0,1),
        C319 + IF(INDEX(Input!$L$7:$L1503,ROW()-1),1,0),
        3
      ),
    "Anniversary/365",
      DATEDIF(
        B319 + IF(INDEX(Input!$K$7:$K1503,ROW()-1),0,1),
        C319 + IF(INDEX(Input!$L$7:$L1503,ROW()-1),1,0),
        "Y"
      )
      +
      (
        (C319 + IF(INDEX(Input!$L$7:$L1503,ROW()-1),1,0))
        -
        EDATE(
          B319 + IF(INDEX(Input!$K$7:$K1503,ROW()-1),0,1),
          12*DATEDIF(
            B319 + IF(INDEX(Input!$K$7:$K1503,ROW()-1),0,1),
            C319 + IF(INDEX(Input!$L$7:$L1503,ROW()-1),1,0),
            "Y"
          )
        )
      ) / 365,
    "Actual/Actual",
      YEARFRAC(
        B319 + IF(INDEX(Input!$K$7:$K1503,ROW()-1),0,1),
        C319 + IF(INDEX(Input!$L$7:$L1503,ROW()-1),1,0),
        1
      ),
      YEARFRAC(
        B319 + IF(INDEX(Input!$K$7:$K1503,ROW()-1),0,1),
        C319 + IF(INDEX(Input!$L$7:$L1503,ROW()-1),1,0),
        3
      )
  )
)</f>
        <v/>
      </c>
      <c r="S319" s="22" t="str">
        <f t="shared" si="4"/>
        <v/>
      </c>
      <c r="T319" s="6" t="str">
        <f t="array" ref="T319">IF(
  B319="",
  ,
  DATEDIF(
    B319 + IF(INDEX(Input!$K$7:$K1503,ROW()-1),0,1),
    C319 + IF(INDEX(Input!$L$7:$L1503,ROW()-1),1,0),
    "Y"
  )
)</f>
        <v/>
      </c>
      <c r="U319" s="6" t="str">
        <f t="array" ref="U319">IF(
  B319="",
  ,
  (C319 + IF(INDEX(Input!$L$7:$L1503,ROW()-1),1,0))
  - EDATE(
      B319 + IF(INDEX(Input!$K$7:$K1503,ROW()-1),0,1),
      12*S319
    )
)</f>
        <v/>
      </c>
      <c r="V319" s="6" t="str">
        <f t="shared" si="5"/>
        <v/>
      </c>
      <c r="W319" s="6" t="str">
        <f t="shared" si="6"/>
        <v/>
      </c>
    </row>
    <row r="320">
      <c r="A320" s="18"/>
      <c r="B320" s="18"/>
      <c r="C320" s="18"/>
      <c r="D320" s="18"/>
      <c r="E320" s="18"/>
      <c r="F320" s="18"/>
      <c r="G320" s="22"/>
      <c r="H320" s="18"/>
      <c r="I320" s="18">
        <v>0.0</v>
      </c>
      <c r="J320" s="18">
        <v>0.0</v>
      </c>
      <c r="K320" s="18"/>
      <c r="L320" s="18"/>
      <c r="M320" s="22" t="str">
        <f t="shared" si="1"/>
        <v/>
      </c>
      <c r="N320" s="18" t="str">
        <f>IF(A320="",,IF(ROW()=2, Input!$C$2 + I320, P319 + I320))</f>
        <v/>
      </c>
      <c r="O320" s="23" t="str">
        <f>IF(A320="",,
 IF(K320="Initial principal",
   Input!$C$2 * M320,
   N320 * M320
 )
)</f>
        <v/>
      </c>
      <c r="P320" s="18" t="str">
        <f t="shared" si="2"/>
        <v/>
      </c>
      <c r="Q320" s="18" t="str">
        <f t="shared" si="3"/>
        <v/>
      </c>
      <c r="R320" s="18" t="str">
        <f t="array" ref="R320">IF(
  B320="",
  ,
  SWITCH(
    Input!$C$4,
    "Actual/365 Fixed",
      YEARFRAC(
        B320 + IF(INDEX(Input!$K$7:$K1503,ROW()-1),0,1),
        C320 + IF(INDEX(Input!$L$7:$L1503,ROW()-1),1,0),
        3
      ),
    "Anniversary/365",
      DATEDIF(
        B320 + IF(INDEX(Input!$K$7:$K1503,ROW()-1),0,1),
        C320 + IF(INDEX(Input!$L$7:$L1503,ROW()-1),1,0),
        "Y"
      )
      +
      (
        (C320 + IF(INDEX(Input!$L$7:$L1503,ROW()-1),1,0))
        -
        EDATE(
          B320 + IF(INDEX(Input!$K$7:$K1503,ROW()-1),0,1),
          12*DATEDIF(
            B320 + IF(INDEX(Input!$K$7:$K1503,ROW()-1),0,1),
            C320 + IF(INDEX(Input!$L$7:$L1503,ROW()-1),1,0),
            "Y"
          )
        )
      ) / 365,
    "Actual/Actual",
      YEARFRAC(
        B320 + IF(INDEX(Input!$K$7:$K1503,ROW()-1),0,1),
        C320 + IF(INDEX(Input!$L$7:$L1503,ROW()-1),1,0),
        1
      ),
      YEARFRAC(
        B320 + IF(INDEX(Input!$K$7:$K1503,ROW()-1),0,1),
        C320 + IF(INDEX(Input!$L$7:$L1503,ROW()-1),1,0),
        3
      )
  )
)</f>
        <v/>
      </c>
      <c r="S320" s="22" t="str">
        <f t="shared" si="4"/>
        <v/>
      </c>
      <c r="T320" s="6" t="str">
        <f t="array" ref="T320">IF(
  B320="",
  ,
  DATEDIF(
    B320 + IF(INDEX(Input!$K$7:$K1503,ROW()-1),0,1),
    C320 + IF(INDEX(Input!$L$7:$L1503,ROW()-1),1,0),
    "Y"
  )
)</f>
        <v/>
      </c>
      <c r="U320" s="6" t="str">
        <f t="array" ref="U320">IF(
  B320="",
  ,
  (C320 + IF(INDEX(Input!$L$7:$L1503,ROW()-1),1,0))
  - EDATE(
      B320 + IF(INDEX(Input!$K$7:$K1503,ROW()-1),0,1),
      12*S320
    )
)</f>
        <v/>
      </c>
      <c r="V320" s="6" t="str">
        <f t="shared" si="5"/>
        <v/>
      </c>
      <c r="W320" s="6" t="str">
        <f t="shared" si="6"/>
        <v/>
      </c>
    </row>
    <row r="321">
      <c r="A321" s="18"/>
      <c r="B321" s="18"/>
      <c r="C321" s="18"/>
      <c r="D321" s="18"/>
      <c r="E321" s="18"/>
      <c r="F321" s="18"/>
      <c r="G321" s="22"/>
      <c r="H321" s="18"/>
      <c r="I321" s="18">
        <v>0.0</v>
      </c>
      <c r="J321" s="18">
        <v>0.0</v>
      </c>
      <c r="K321" s="18"/>
      <c r="L321" s="18"/>
      <c r="M321" s="22" t="str">
        <f t="shared" si="1"/>
        <v/>
      </c>
      <c r="N321" s="18" t="str">
        <f>IF(A321="",,IF(ROW()=2, Input!$C$2 + I321, P320 + I321))</f>
        <v/>
      </c>
      <c r="O321" s="23" t="str">
        <f>IF(A321="",,
 IF(K321="Initial principal",
   Input!$C$2 * M321,
   N321 * M321
 )
)</f>
        <v/>
      </c>
      <c r="P321" s="18" t="str">
        <f t="shared" si="2"/>
        <v/>
      </c>
      <c r="Q321" s="18" t="str">
        <f t="shared" si="3"/>
        <v/>
      </c>
      <c r="R321" s="18" t="str">
        <f t="array" ref="R321">IF(
  B321="",
  ,
  SWITCH(
    Input!$C$4,
    "Actual/365 Fixed",
      YEARFRAC(
        B321 + IF(INDEX(Input!$K$7:$K1503,ROW()-1),0,1),
        C321 + IF(INDEX(Input!$L$7:$L1503,ROW()-1),1,0),
        3
      ),
    "Anniversary/365",
      DATEDIF(
        B321 + IF(INDEX(Input!$K$7:$K1503,ROW()-1),0,1),
        C321 + IF(INDEX(Input!$L$7:$L1503,ROW()-1),1,0),
        "Y"
      )
      +
      (
        (C321 + IF(INDEX(Input!$L$7:$L1503,ROW()-1),1,0))
        -
        EDATE(
          B321 + IF(INDEX(Input!$K$7:$K1503,ROW()-1),0,1),
          12*DATEDIF(
            B321 + IF(INDEX(Input!$K$7:$K1503,ROW()-1),0,1),
            C321 + IF(INDEX(Input!$L$7:$L1503,ROW()-1),1,0),
            "Y"
          )
        )
      ) / 365,
    "Actual/Actual",
      YEARFRAC(
        B321 + IF(INDEX(Input!$K$7:$K1503,ROW()-1),0,1),
        C321 + IF(INDEX(Input!$L$7:$L1503,ROW()-1),1,0),
        1
      ),
      YEARFRAC(
        B321 + IF(INDEX(Input!$K$7:$K1503,ROW()-1),0,1),
        C321 + IF(INDEX(Input!$L$7:$L1503,ROW()-1),1,0),
        3
      )
  )
)</f>
        <v/>
      </c>
      <c r="S321" s="22" t="str">
        <f t="shared" si="4"/>
        <v/>
      </c>
      <c r="T321" s="6" t="str">
        <f t="array" ref="T321">IF(
  B321="",
  ,
  DATEDIF(
    B321 + IF(INDEX(Input!$K$7:$K1503,ROW()-1),0,1),
    C321 + IF(INDEX(Input!$L$7:$L1503,ROW()-1),1,0),
    "Y"
  )
)</f>
        <v/>
      </c>
      <c r="U321" s="6" t="str">
        <f t="array" ref="U321">IF(
  B321="",
  ,
  (C321 + IF(INDEX(Input!$L$7:$L1503,ROW()-1),1,0))
  - EDATE(
      B321 + IF(INDEX(Input!$K$7:$K1503,ROW()-1),0,1),
      12*S321
    )
)</f>
        <v/>
      </c>
      <c r="V321" s="6" t="str">
        <f t="shared" si="5"/>
        <v/>
      </c>
      <c r="W321" s="6" t="str">
        <f t="shared" si="6"/>
        <v/>
      </c>
    </row>
    <row r="322">
      <c r="A322" s="18"/>
      <c r="B322" s="18"/>
      <c r="C322" s="18"/>
      <c r="D322" s="18"/>
      <c r="E322" s="18"/>
      <c r="F322" s="18"/>
      <c r="G322" s="22"/>
      <c r="H322" s="18"/>
      <c r="I322" s="18">
        <v>0.0</v>
      </c>
      <c r="J322" s="18">
        <v>0.0</v>
      </c>
      <c r="K322" s="18"/>
      <c r="L322" s="18"/>
      <c r="M322" s="22" t="str">
        <f t="shared" si="1"/>
        <v/>
      </c>
      <c r="N322" s="18" t="str">
        <f>IF(A322="",,IF(ROW()=2, Input!$C$2 + I322, P321 + I322))</f>
        <v/>
      </c>
      <c r="O322" s="23" t="str">
        <f>IF(A322="",,
 IF(K322="Initial principal",
   Input!$C$2 * M322,
   N322 * M322
 )
)</f>
        <v/>
      </c>
      <c r="P322" s="18" t="str">
        <f t="shared" si="2"/>
        <v/>
      </c>
      <c r="Q322" s="18" t="str">
        <f t="shared" si="3"/>
        <v/>
      </c>
      <c r="R322" s="18" t="str">
        <f t="array" ref="R322">IF(
  B322="",
  ,
  SWITCH(
    Input!$C$4,
    "Actual/365 Fixed",
      YEARFRAC(
        B322 + IF(INDEX(Input!$K$7:$K1503,ROW()-1),0,1),
        C322 + IF(INDEX(Input!$L$7:$L1503,ROW()-1),1,0),
        3
      ),
    "Anniversary/365",
      DATEDIF(
        B322 + IF(INDEX(Input!$K$7:$K1503,ROW()-1),0,1),
        C322 + IF(INDEX(Input!$L$7:$L1503,ROW()-1),1,0),
        "Y"
      )
      +
      (
        (C322 + IF(INDEX(Input!$L$7:$L1503,ROW()-1),1,0))
        -
        EDATE(
          B322 + IF(INDEX(Input!$K$7:$K1503,ROW()-1),0,1),
          12*DATEDIF(
            B322 + IF(INDEX(Input!$K$7:$K1503,ROW()-1),0,1),
            C322 + IF(INDEX(Input!$L$7:$L1503,ROW()-1),1,0),
            "Y"
          )
        )
      ) / 365,
    "Actual/Actual",
      YEARFRAC(
        B322 + IF(INDEX(Input!$K$7:$K1503,ROW()-1),0,1),
        C322 + IF(INDEX(Input!$L$7:$L1503,ROW()-1),1,0),
        1
      ),
      YEARFRAC(
        B322 + IF(INDEX(Input!$K$7:$K1503,ROW()-1),0,1),
        C322 + IF(INDEX(Input!$L$7:$L1503,ROW()-1),1,0),
        3
      )
  )
)</f>
        <v/>
      </c>
      <c r="S322" s="22" t="str">
        <f t="shared" si="4"/>
        <v/>
      </c>
      <c r="T322" s="6" t="str">
        <f t="array" ref="T322">IF(
  B322="",
  ,
  DATEDIF(
    B322 + IF(INDEX(Input!$K$7:$K1503,ROW()-1),0,1),
    C322 + IF(INDEX(Input!$L$7:$L1503,ROW()-1),1,0),
    "Y"
  )
)</f>
        <v/>
      </c>
      <c r="U322" s="6" t="str">
        <f t="array" ref="U322">IF(
  B322="",
  ,
  (C322 + IF(INDEX(Input!$L$7:$L1503,ROW()-1),1,0))
  - EDATE(
      B322 + IF(INDEX(Input!$K$7:$K1503,ROW()-1),0,1),
      12*S322
    )
)</f>
        <v/>
      </c>
      <c r="V322" s="6" t="str">
        <f t="shared" si="5"/>
        <v/>
      </c>
      <c r="W322" s="6" t="str">
        <f t="shared" si="6"/>
        <v/>
      </c>
    </row>
    <row r="323">
      <c r="A323" s="18"/>
      <c r="B323" s="18"/>
      <c r="C323" s="18"/>
      <c r="D323" s="18"/>
      <c r="E323" s="18"/>
      <c r="F323" s="18"/>
      <c r="G323" s="22"/>
      <c r="H323" s="18"/>
      <c r="I323" s="18">
        <v>0.0</v>
      </c>
      <c r="J323" s="18">
        <v>0.0</v>
      </c>
      <c r="K323" s="18"/>
      <c r="L323" s="18"/>
      <c r="M323" s="22" t="str">
        <f t="shared" si="1"/>
        <v/>
      </c>
      <c r="N323" s="18" t="str">
        <f>IF(A323="",,IF(ROW()=2, Input!$C$2 + I323, P322 + I323))</f>
        <v/>
      </c>
      <c r="O323" s="23" t="str">
        <f>IF(A323="",,
 IF(K323="Initial principal",
   Input!$C$2 * M323,
   N323 * M323
 )
)</f>
        <v/>
      </c>
      <c r="P323" s="18" t="str">
        <f t="shared" si="2"/>
        <v/>
      </c>
      <c r="Q323" s="18" t="str">
        <f t="shared" si="3"/>
        <v/>
      </c>
      <c r="R323" s="18" t="str">
        <f t="array" ref="R323">IF(
  B323="",
  ,
  SWITCH(
    Input!$C$4,
    "Actual/365 Fixed",
      YEARFRAC(
        B323 + IF(INDEX(Input!$K$7:$K1503,ROW()-1),0,1),
        C323 + IF(INDEX(Input!$L$7:$L1503,ROW()-1),1,0),
        3
      ),
    "Anniversary/365",
      DATEDIF(
        B323 + IF(INDEX(Input!$K$7:$K1503,ROW()-1),0,1),
        C323 + IF(INDEX(Input!$L$7:$L1503,ROW()-1),1,0),
        "Y"
      )
      +
      (
        (C323 + IF(INDEX(Input!$L$7:$L1503,ROW()-1),1,0))
        -
        EDATE(
          B323 + IF(INDEX(Input!$K$7:$K1503,ROW()-1),0,1),
          12*DATEDIF(
            B323 + IF(INDEX(Input!$K$7:$K1503,ROW()-1),0,1),
            C323 + IF(INDEX(Input!$L$7:$L1503,ROW()-1),1,0),
            "Y"
          )
        )
      ) / 365,
    "Actual/Actual",
      YEARFRAC(
        B323 + IF(INDEX(Input!$K$7:$K1503,ROW()-1),0,1),
        C323 + IF(INDEX(Input!$L$7:$L1503,ROW()-1),1,0),
        1
      ),
      YEARFRAC(
        B323 + IF(INDEX(Input!$K$7:$K1503,ROW()-1),0,1),
        C323 + IF(INDEX(Input!$L$7:$L1503,ROW()-1),1,0),
        3
      )
  )
)</f>
        <v/>
      </c>
      <c r="S323" s="22" t="str">
        <f t="shared" si="4"/>
        <v/>
      </c>
      <c r="T323" s="6" t="str">
        <f t="array" ref="T323">IF(
  B323="",
  ,
  DATEDIF(
    B323 + IF(INDEX(Input!$K$7:$K1503,ROW()-1),0,1),
    C323 + IF(INDEX(Input!$L$7:$L1503,ROW()-1),1,0),
    "Y"
  )
)</f>
        <v/>
      </c>
      <c r="U323" s="6" t="str">
        <f t="array" ref="U323">IF(
  B323="",
  ,
  (C323 + IF(INDEX(Input!$L$7:$L1503,ROW()-1),1,0))
  - EDATE(
      B323 + IF(INDEX(Input!$K$7:$K1503,ROW()-1),0,1),
      12*S323
    )
)</f>
        <v/>
      </c>
      <c r="V323" s="6" t="str">
        <f t="shared" si="5"/>
        <v/>
      </c>
      <c r="W323" s="6" t="str">
        <f t="shared" si="6"/>
        <v/>
      </c>
    </row>
    <row r="324">
      <c r="A324" s="18"/>
      <c r="B324" s="18"/>
      <c r="C324" s="18"/>
      <c r="D324" s="18"/>
      <c r="E324" s="18"/>
      <c r="F324" s="18"/>
      <c r="G324" s="22"/>
      <c r="H324" s="18"/>
      <c r="I324" s="18">
        <v>0.0</v>
      </c>
      <c r="J324" s="18">
        <v>0.0</v>
      </c>
      <c r="K324" s="18"/>
      <c r="L324" s="18"/>
      <c r="M324" s="22" t="str">
        <f t="shared" si="1"/>
        <v/>
      </c>
      <c r="N324" s="18" t="str">
        <f>IF(A324="",,IF(ROW()=2, Input!$C$2 + I324, P323 + I324))</f>
        <v/>
      </c>
      <c r="O324" s="23" t="str">
        <f>IF(A324="",,
 IF(K324="Initial principal",
   Input!$C$2 * M324,
   N324 * M324
 )
)</f>
        <v/>
      </c>
      <c r="P324" s="18" t="str">
        <f t="shared" si="2"/>
        <v/>
      </c>
      <c r="Q324" s="18" t="str">
        <f t="shared" si="3"/>
        <v/>
      </c>
      <c r="R324" s="18" t="str">
        <f t="array" ref="R324">IF(
  B324="",
  ,
  SWITCH(
    Input!$C$4,
    "Actual/365 Fixed",
      YEARFRAC(
        B324 + IF(INDEX(Input!$K$7:$K1503,ROW()-1),0,1),
        C324 + IF(INDEX(Input!$L$7:$L1503,ROW()-1),1,0),
        3
      ),
    "Anniversary/365",
      DATEDIF(
        B324 + IF(INDEX(Input!$K$7:$K1503,ROW()-1),0,1),
        C324 + IF(INDEX(Input!$L$7:$L1503,ROW()-1),1,0),
        "Y"
      )
      +
      (
        (C324 + IF(INDEX(Input!$L$7:$L1503,ROW()-1),1,0))
        -
        EDATE(
          B324 + IF(INDEX(Input!$K$7:$K1503,ROW()-1),0,1),
          12*DATEDIF(
            B324 + IF(INDEX(Input!$K$7:$K1503,ROW()-1),0,1),
            C324 + IF(INDEX(Input!$L$7:$L1503,ROW()-1),1,0),
            "Y"
          )
        )
      ) / 365,
    "Actual/Actual",
      YEARFRAC(
        B324 + IF(INDEX(Input!$K$7:$K1503,ROW()-1),0,1),
        C324 + IF(INDEX(Input!$L$7:$L1503,ROW()-1),1,0),
        1
      ),
      YEARFRAC(
        B324 + IF(INDEX(Input!$K$7:$K1503,ROW()-1),0,1),
        C324 + IF(INDEX(Input!$L$7:$L1503,ROW()-1),1,0),
        3
      )
  )
)</f>
        <v/>
      </c>
      <c r="S324" s="22" t="str">
        <f t="shared" si="4"/>
        <v/>
      </c>
      <c r="T324" s="6" t="str">
        <f t="array" ref="T324">IF(
  B324="",
  ,
  DATEDIF(
    B324 + IF(INDEX(Input!$K$7:$K1503,ROW()-1),0,1),
    C324 + IF(INDEX(Input!$L$7:$L1503,ROW()-1),1,0),
    "Y"
  )
)</f>
        <v/>
      </c>
      <c r="U324" s="6" t="str">
        <f t="array" ref="U324">IF(
  B324="",
  ,
  (C324 + IF(INDEX(Input!$L$7:$L1503,ROW()-1),1,0))
  - EDATE(
      B324 + IF(INDEX(Input!$K$7:$K1503,ROW()-1),0,1),
      12*S324
    )
)</f>
        <v/>
      </c>
      <c r="V324" s="6" t="str">
        <f t="shared" si="5"/>
        <v/>
      </c>
      <c r="W324" s="6" t="str">
        <f t="shared" si="6"/>
        <v/>
      </c>
    </row>
    <row r="325">
      <c r="A325" s="18"/>
      <c r="B325" s="18"/>
      <c r="C325" s="18"/>
      <c r="D325" s="18"/>
      <c r="E325" s="18"/>
      <c r="F325" s="18"/>
      <c r="G325" s="22"/>
      <c r="H325" s="18"/>
      <c r="I325" s="18">
        <v>0.0</v>
      </c>
      <c r="J325" s="18">
        <v>0.0</v>
      </c>
      <c r="K325" s="18"/>
      <c r="L325" s="18"/>
      <c r="M325" s="22" t="str">
        <f t="shared" si="1"/>
        <v/>
      </c>
      <c r="N325" s="18" t="str">
        <f>IF(A325="",,IF(ROW()=2, Input!$C$2 + I325, P324 + I325))</f>
        <v/>
      </c>
      <c r="O325" s="23" t="str">
        <f>IF(A325="",,
 IF(K325="Initial principal",
   Input!$C$2 * M325,
   N325 * M325
 )
)</f>
        <v/>
      </c>
      <c r="P325" s="18" t="str">
        <f t="shared" si="2"/>
        <v/>
      </c>
      <c r="Q325" s="18" t="str">
        <f t="shared" si="3"/>
        <v/>
      </c>
      <c r="R325" s="18" t="str">
        <f t="array" ref="R325">IF(
  B325="",
  ,
  SWITCH(
    Input!$C$4,
    "Actual/365 Fixed",
      YEARFRAC(
        B325 + IF(INDEX(Input!$K$7:$K1503,ROW()-1),0,1),
        C325 + IF(INDEX(Input!$L$7:$L1503,ROW()-1),1,0),
        3
      ),
    "Anniversary/365",
      DATEDIF(
        B325 + IF(INDEX(Input!$K$7:$K1503,ROW()-1),0,1),
        C325 + IF(INDEX(Input!$L$7:$L1503,ROW()-1),1,0),
        "Y"
      )
      +
      (
        (C325 + IF(INDEX(Input!$L$7:$L1503,ROW()-1),1,0))
        -
        EDATE(
          B325 + IF(INDEX(Input!$K$7:$K1503,ROW()-1),0,1),
          12*DATEDIF(
            B325 + IF(INDEX(Input!$K$7:$K1503,ROW()-1),0,1),
            C325 + IF(INDEX(Input!$L$7:$L1503,ROW()-1),1,0),
            "Y"
          )
        )
      ) / 365,
    "Actual/Actual",
      YEARFRAC(
        B325 + IF(INDEX(Input!$K$7:$K1503,ROW()-1),0,1),
        C325 + IF(INDEX(Input!$L$7:$L1503,ROW()-1),1,0),
        1
      ),
      YEARFRAC(
        B325 + IF(INDEX(Input!$K$7:$K1503,ROW()-1),0,1),
        C325 + IF(INDEX(Input!$L$7:$L1503,ROW()-1),1,0),
        3
      )
  )
)</f>
        <v/>
      </c>
      <c r="S325" s="22" t="str">
        <f t="shared" si="4"/>
        <v/>
      </c>
      <c r="T325" s="6" t="str">
        <f t="array" ref="T325">IF(
  B325="",
  ,
  DATEDIF(
    B325 + IF(INDEX(Input!$K$7:$K1503,ROW()-1),0,1),
    C325 + IF(INDEX(Input!$L$7:$L1503,ROW()-1),1,0),
    "Y"
  )
)</f>
        <v/>
      </c>
      <c r="U325" s="6" t="str">
        <f t="array" ref="U325">IF(
  B325="",
  ,
  (C325 + IF(INDEX(Input!$L$7:$L1503,ROW()-1),1,0))
  - EDATE(
      B325 + IF(INDEX(Input!$K$7:$K1503,ROW()-1),0,1),
      12*S325
    )
)</f>
        <v/>
      </c>
      <c r="V325" s="6" t="str">
        <f t="shared" si="5"/>
        <v/>
      </c>
      <c r="W325" s="6" t="str">
        <f t="shared" si="6"/>
        <v/>
      </c>
    </row>
    <row r="326">
      <c r="A326" s="18"/>
      <c r="B326" s="18"/>
      <c r="C326" s="18"/>
      <c r="D326" s="18"/>
      <c r="E326" s="18"/>
      <c r="F326" s="18"/>
      <c r="G326" s="22"/>
      <c r="H326" s="18"/>
      <c r="I326" s="18">
        <v>0.0</v>
      </c>
      <c r="J326" s="18">
        <v>0.0</v>
      </c>
      <c r="K326" s="18"/>
      <c r="L326" s="18"/>
      <c r="M326" s="22" t="str">
        <f t="shared" si="1"/>
        <v/>
      </c>
      <c r="N326" s="18" t="str">
        <f>IF(A326="",,IF(ROW()=2, Input!$C$2 + I326, P325 + I326))</f>
        <v/>
      </c>
      <c r="O326" s="23" t="str">
        <f>IF(A326="",,
 IF(K326="Initial principal",
   Input!$C$2 * M326,
   N326 * M326
 )
)</f>
        <v/>
      </c>
      <c r="P326" s="18" t="str">
        <f t="shared" si="2"/>
        <v/>
      </c>
      <c r="Q326" s="18" t="str">
        <f t="shared" si="3"/>
        <v/>
      </c>
      <c r="R326" s="18" t="str">
        <f t="array" ref="R326">IF(
  B326="",
  ,
  SWITCH(
    Input!$C$4,
    "Actual/365 Fixed",
      YEARFRAC(
        B326 + IF(INDEX(Input!$K$7:$K1503,ROW()-1),0,1),
        C326 + IF(INDEX(Input!$L$7:$L1503,ROW()-1),1,0),
        3
      ),
    "Anniversary/365",
      DATEDIF(
        B326 + IF(INDEX(Input!$K$7:$K1503,ROW()-1),0,1),
        C326 + IF(INDEX(Input!$L$7:$L1503,ROW()-1),1,0),
        "Y"
      )
      +
      (
        (C326 + IF(INDEX(Input!$L$7:$L1503,ROW()-1),1,0))
        -
        EDATE(
          B326 + IF(INDEX(Input!$K$7:$K1503,ROW()-1),0,1),
          12*DATEDIF(
            B326 + IF(INDEX(Input!$K$7:$K1503,ROW()-1),0,1),
            C326 + IF(INDEX(Input!$L$7:$L1503,ROW()-1),1,0),
            "Y"
          )
        )
      ) / 365,
    "Actual/Actual",
      YEARFRAC(
        B326 + IF(INDEX(Input!$K$7:$K1503,ROW()-1),0,1),
        C326 + IF(INDEX(Input!$L$7:$L1503,ROW()-1),1,0),
        1
      ),
      YEARFRAC(
        B326 + IF(INDEX(Input!$K$7:$K1503,ROW()-1),0,1),
        C326 + IF(INDEX(Input!$L$7:$L1503,ROW()-1),1,0),
        3
      )
  )
)</f>
        <v/>
      </c>
      <c r="S326" s="22" t="str">
        <f t="shared" si="4"/>
        <v/>
      </c>
      <c r="T326" s="6" t="str">
        <f t="array" ref="T326">IF(
  B326="",
  ,
  DATEDIF(
    B326 + IF(INDEX(Input!$K$7:$K1503,ROW()-1),0,1),
    C326 + IF(INDEX(Input!$L$7:$L1503,ROW()-1),1,0),
    "Y"
  )
)</f>
        <v/>
      </c>
      <c r="U326" s="6" t="str">
        <f t="array" ref="U326">IF(
  B326="",
  ,
  (C326 + IF(INDEX(Input!$L$7:$L1503,ROW()-1),1,0))
  - EDATE(
      B326 + IF(INDEX(Input!$K$7:$K1503,ROW()-1),0,1),
      12*S326
    )
)</f>
        <v/>
      </c>
      <c r="V326" s="6" t="str">
        <f t="shared" si="5"/>
        <v/>
      </c>
      <c r="W326" s="6" t="str">
        <f t="shared" si="6"/>
        <v/>
      </c>
    </row>
    <row r="327">
      <c r="A327" s="18"/>
      <c r="B327" s="18"/>
      <c r="C327" s="18"/>
      <c r="D327" s="18"/>
      <c r="E327" s="18"/>
      <c r="F327" s="18"/>
      <c r="G327" s="22"/>
      <c r="H327" s="18"/>
      <c r="I327" s="18">
        <v>0.0</v>
      </c>
      <c r="J327" s="18">
        <v>0.0</v>
      </c>
      <c r="K327" s="18"/>
      <c r="L327" s="18"/>
      <c r="M327" s="22" t="str">
        <f t="shared" si="1"/>
        <v/>
      </c>
      <c r="N327" s="18" t="str">
        <f>IF(A327="",,IF(ROW()=2, Input!$C$2 + I327, P326 + I327))</f>
        <v/>
      </c>
      <c r="O327" s="23" t="str">
        <f>IF(A327="",,
 IF(K327="Initial principal",
   Input!$C$2 * M327,
   N327 * M327
 )
)</f>
        <v/>
      </c>
      <c r="P327" s="18" t="str">
        <f t="shared" si="2"/>
        <v/>
      </c>
      <c r="Q327" s="18" t="str">
        <f t="shared" si="3"/>
        <v/>
      </c>
      <c r="R327" s="18" t="str">
        <f t="array" ref="R327">IF(
  B327="",
  ,
  SWITCH(
    Input!$C$4,
    "Actual/365 Fixed",
      YEARFRAC(
        B327 + IF(INDEX(Input!$K$7:$K1503,ROW()-1),0,1),
        C327 + IF(INDEX(Input!$L$7:$L1503,ROW()-1),1,0),
        3
      ),
    "Anniversary/365",
      DATEDIF(
        B327 + IF(INDEX(Input!$K$7:$K1503,ROW()-1),0,1),
        C327 + IF(INDEX(Input!$L$7:$L1503,ROW()-1),1,0),
        "Y"
      )
      +
      (
        (C327 + IF(INDEX(Input!$L$7:$L1503,ROW()-1),1,0))
        -
        EDATE(
          B327 + IF(INDEX(Input!$K$7:$K1503,ROW()-1),0,1),
          12*DATEDIF(
            B327 + IF(INDEX(Input!$K$7:$K1503,ROW()-1),0,1),
            C327 + IF(INDEX(Input!$L$7:$L1503,ROW()-1),1,0),
            "Y"
          )
        )
      ) / 365,
    "Actual/Actual",
      YEARFRAC(
        B327 + IF(INDEX(Input!$K$7:$K1503,ROW()-1),0,1),
        C327 + IF(INDEX(Input!$L$7:$L1503,ROW()-1),1,0),
        1
      ),
      YEARFRAC(
        B327 + IF(INDEX(Input!$K$7:$K1503,ROW()-1),0,1),
        C327 + IF(INDEX(Input!$L$7:$L1503,ROW()-1),1,0),
        3
      )
  )
)</f>
        <v/>
      </c>
      <c r="S327" s="22" t="str">
        <f t="shared" si="4"/>
        <v/>
      </c>
      <c r="T327" s="6" t="str">
        <f t="array" ref="T327">IF(
  B327="",
  ,
  DATEDIF(
    B327 + IF(INDEX(Input!$K$7:$K1503,ROW()-1),0,1),
    C327 + IF(INDEX(Input!$L$7:$L1503,ROW()-1),1,0),
    "Y"
  )
)</f>
        <v/>
      </c>
      <c r="U327" s="6" t="str">
        <f t="array" ref="U327">IF(
  B327="",
  ,
  (C327 + IF(INDEX(Input!$L$7:$L1503,ROW()-1),1,0))
  - EDATE(
      B327 + IF(INDEX(Input!$K$7:$K1503,ROW()-1),0,1),
      12*S327
    )
)</f>
        <v/>
      </c>
      <c r="V327" s="6" t="str">
        <f t="shared" si="5"/>
        <v/>
      </c>
      <c r="W327" s="6" t="str">
        <f t="shared" si="6"/>
        <v/>
      </c>
    </row>
    <row r="328">
      <c r="A328" s="18"/>
      <c r="B328" s="18"/>
      <c r="C328" s="18"/>
      <c r="D328" s="18"/>
      <c r="E328" s="18"/>
      <c r="F328" s="18"/>
      <c r="G328" s="22"/>
      <c r="H328" s="18"/>
      <c r="I328" s="18">
        <v>0.0</v>
      </c>
      <c r="J328" s="18">
        <v>0.0</v>
      </c>
      <c r="K328" s="18"/>
      <c r="L328" s="18"/>
      <c r="M328" s="22" t="str">
        <f t="shared" si="1"/>
        <v/>
      </c>
      <c r="N328" s="18" t="str">
        <f>IF(A328="",,IF(ROW()=2, Input!$C$2 + I328, P327 + I328))</f>
        <v/>
      </c>
      <c r="O328" s="23" t="str">
        <f>IF(A328="",,
 IF(K328="Initial principal",
   Input!$C$2 * M328,
   N328 * M328
 )
)</f>
        <v/>
      </c>
      <c r="P328" s="18" t="str">
        <f t="shared" si="2"/>
        <v/>
      </c>
      <c r="Q328" s="18" t="str">
        <f t="shared" si="3"/>
        <v/>
      </c>
      <c r="R328" s="18" t="str">
        <f t="array" ref="R328">IF(
  B328="",
  ,
  SWITCH(
    Input!$C$4,
    "Actual/365 Fixed",
      YEARFRAC(
        B328 + IF(INDEX(Input!$K$7:$K1503,ROW()-1),0,1),
        C328 + IF(INDEX(Input!$L$7:$L1503,ROW()-1),1,0),
        3
      ),
    "Anniversary/365",
      DATEDIF(
        B328 + IF(INDEX(Input!$K$7:$K1503,ROW()-1),0,1),
        C328 + IF(INDEX(Input!$L$7:$L1503,ROW()-1),1,0),
        "Y"
      )
      +
      (
        (C328 + IF(INDEX(Input!$L$7:$L1503,ROW()-1),1,0))
        -
        EDATE(
          B328 + IF(INDEX(Input!$K$7:$K1503,ROW()-1),0,1),
          12*DATEDIF(
            B328 + IF(INDEX(Input!$K$7:$K1503,ROW()-1),0,1),
            C328 + IF(INDEX(Input!$L$7:$L1503,ROW()-1),1,0),
            "Y"
          )
        )
      ) / 365,
    "Actual/Actual",
      YEARFRAC(
        B328 + IF(INDEX(Input!$K$7:$K1503,ROW()-1),0,1),
        C328 + IF(INDEX(Input!$L$7:$L1503,ROW()-1),1,0),
        1
      ),
      YEARFRAC(
        B328 + IF(INDEX(Input!$K$7:$K1503,ROW()-1),0,1),
        C328 + IF(INDEX(Input!$L$7:$L1503,ROW()-1),1,0),
        3
      )
  )
)</f>
        <v/>
      </c>
      <c r="S328" s="22" t="str">
        <f t="shared" si="4"/>
        <v/>
      </c>
      <c r="T328" s="6" t="str">
        <f t="array" ref="T328">IF(
  B328="",
  ,
  DATEDIF(
    B328 + IF(INDEX(Input!$K$7:$K1503,ROW()-1),0,1),
    C328 + IF(INDEX(Input!$L$7:$L1503,ROW()-1),1,0),
    "Y"
  )
)</f>
        <v/>
      </c>
      <c r="U328" s="6" t="str">
        <f t="array" ref="U328">IF(
  B328="",
  ,
  (C328 + IF(INDEX(Input!$L$7:$L1503,ROW()-1),1,0))
  - EDATE(
      B328 + IF(INDEX(Input!$K$7:$K1503,ROW()-1),0,1),
      12*S328
    )
)</f>
        <v/>
      </c>
      <c r="V328" s="6" t="str">
        <f t="shared" si="5"/>
        <v/>
      </c>
      <c r="W328" s="6" t="str">
        <f t="shared" si="6"/>
        <v/>
      </c>
    </row>
    <row r="329">
      <c r="A329" s="18"/>
      <c r="B329" s="18"/>
      <c r="C329" s="18"/>
      <c r="D329" s="18"/>
      <c r="E329" s="18"/>
      <c r="F329" s="18"/>
      <c r="G329" s="22"/>
      <c r="H329" s="18"/>
      <c r="I329" s="18">
        <v>0.0</v>
      </c>
      <c r="J329" s="18">
        <v>0.0</v>
      </c>
      <c r="K329" s="18"/>
      <c r="L329" s="18"/>
      <c r="M329" s="22" t="str">
        <f t="shared" si="1"/>
        <v/>
      </c>
      <c r="N329" s="18" t="str">
        <f>IF(A329="",,IF(ROW()=2, Input!$C$2 + I329, P328 + I329))</f>
        <v/>
      </c>
      <c r="O329" s="23" t="str">
        <f>IF(A329="",,
 IF(K329="Initial principal",
   Input!$C$2 * M329,
   N329 * M329
 )
)</f>
        <v/>
      </c>
      <c r="P329" s="18" t="str">
        <f t="shared" si="2"/>
        <v/>
      </c>
      <c r="Q329" s="18" t="str">
        <f t="shared" si="3"/>
        <v/>
      </c>
      <c r="R329" s="18" t="str">
        <f t="array" ref="R329">IF(
  B329="",
  ,
  SWITCH(
    Input!$C$4,
    "Actual/365 Fixed",
      YEARFRAC(
        B329 + IF(INDEX(Input!$K$7:$K1503,ROW()-1),0,1),
        C329 + IF(INDEX(Input!$L$7:$L1503,ROW()-1),1,0),
        3
      ),
    "Anniversary/365",
      DATEDIF(
        B329 + IF(INDEX(Input!$K$7:$K1503,ROW()-1),0,1),
        C329 + IF(INDEX(Input!$L$7:$L1503,ROW()-1),1,0),
        "Y"
      )
      +
      (
        (C329 + IF(INDEX(Input!$L$7:$L1503,ROW()-1),1,0))
        -
        EDATE(
          B329 + IF(INDEX(Input!$K$7:$K1503,ROW()-1),0,1),
          12*DATEDIF(
            B329 + IF(INDEX(Input!$K$7:$K1503,ROW()-1),0,1),
            C329 + IF(INDEX(Input!$L$7:$L1503,ROW()-1),1,0),
            "Y"
          )
        )
      ) / 365,
    "Actual/Actual",
      YEARFRAC(
        B329 + IF(INDEX(Input!$K$7:$K1503,ROW()-1),0,1),
        C329 + IF(INDEX(Input!$L$7:$L1503,ROW()-1),1,0),
        1
      ),
      YEARFRAC(
        B329 + IF(INDEX(Input!$K$7:$K1503,ROW()-1),0,1),
        C329 + IF(INDEX(Input!$L$7:$L1503,ROW()-1),1,0),
        3
      )
  )
)</f>
        <v/>
      </c>
      <c r="S329" s="22" t="str">
        <f t="shared" si="4"/>
        <v/>
      </c>
      <c r="T329" s="6" t="str">
        <f t="array" ref="T329">IF(
  B329="",
  ,
  DATEDIF(
    B329 + IF(INDEX(Input!$K$7:$K1503,ROW()-1),0,1),
    C329 + IF(INDEX(Input!$L$7:$L1503,ROW()-1),1,0),
    "Y"
  )
)</f>
        <v/>
      </c>
      <c r="U329" s="6" t="str">
        <f t="array" ref="U329">IF(
  B329="",
  ,
  (C329 + IF(INDEX(Input!$L$7:$L1503,ROW()-1),1,0))
  - EDATE(
      B329 + IF(INDEX(Input!$K$7:$K1503,ROW()-1),0,1),
      12*S329
    )
)</f>
        <v/>
      </c>
      <c r="V329" s="6" t="str">
        <f t="shared" si="5"/>
        <v/>
      </c>
      <c r="W329" s="6" t="str">
        <f t="shared" si="6"/>
        <v/>
      </c>
    </row>
    <row r="330">
      <c r="A330" s="18"/>
      <c r="B330" s="18"/>
      <c r="C330" s="18"/>
      <c r="D330" s="18"/>
      <c r="E330" s="18"/>
      <c r="F330" s="18"/>
      <c r="G330" s="22"/>
      <c r="H330" s="18"/>
      <c r="I330" s="18">
        <v>0.0</v>
      </c>
      <c r="J330" s="18">
        <v>0.0</v>
      </c>
      <c r="K330" s="18"/>
      <c r="L330" s="18"/>
      <c r="M330" s="22" t="str">
        <f t="shared" si="1"/>
        <v/>
      </c>
      <c r="N330" s="18" t="str">
        <f>IF(A330="",,IF(ROW()=2, Input!$C$2 + I330, P329 + I330))</f>
        <v/>
      </c>
      <c r="O330" s="23" t="str">
        <f>IF(A330="",,
 IF(K330="Initial principal",
   Input!$C$2 * M330,
   N330 * M330
 )
)</f>
        <v/>
      </c>
      <c r="P330" s="18" t="str">
        <f t="shared" si="2"/>
        <v/>
      </c>
      <c r="Q330" s="18" t="str">
        <f t="shared" si="3"/>
        <v/>
      </c>
      <c r="R330" s="18" t="str">
        <f t="array" ref="R330">IF(
  B330="",
  ,
  SWITCH(
    Input!$C$4,
    "Actual/365 Fixed",
      YEARFRAC(
        B330 + IF(INDEX(Input!$K$7:$K1503,ROW()-1),0,1),
        C330 + IF(INDEX(Input!$L$7:$L1503,ROW()-1),1,0),
        3
      ),
    "Anniversary/365",
      DATEDIF(
        B330 + IF(INDEX(Input!$K$7:$K1503,ROW()-1),0,1),
        C330 + IF(INDEX(Input!$L$7:$L1503,ROW()-1),1,0),
        "Y"
      )
      +
      (
        (C330 + IF(INDEX(Input!$L$7:$L1503,ROW()-1),1,0))
        -
        EDATE(
          B330 + IF(INDEX(Input!$K$7:$K1503,ROW()-1),0,1),
          12*DATEDIF(
            B330 + IF(INDEX(Input!$K$7:$K1503,ROW()-1),0,1),
            C330 + IF(INDEX(Input!$L$7:$L1503,ROW()-1),1,0),
            "Y"
          )
        )
      ) / 365,
    "Actual/Actual",
      YEARFRAC(
        B330 + IF(INDEX(Input!$K$7:$K1503,ROW()-1),0,1),
        C330 + IF(INDEX(Input!$L$7:$L1503,ROW()-1),1,0),
        1
      ),
      YEARFRAC(
        B330 + IF(INDEX(Input!$K$7:$K1503,ROW()-1),0,1),
        C330 + IF(INDEX(Input!$L$7:$L1503,ROW()-1),1,0),
        3
      )
  )
)</f>
        <v/>
      </c>
      <c r="S330" s="22" t="str">
        <f t="shared" si="4"/>
        <v/>
      </c>
      <c r="T330" s="6" t="str">
        <f t="array" ref="T330">IF(
  B330="",
  ,
  DATEDIF(
    B330 + IF(INDEX(Input!$K$7:$K1503,ROW()-1),0,1),
    C330 + IF(INDEX(Input!$L$7:$L1503,ROW()-1),1,0),
    "Y"
  )
)</f>
        <v/>
      </c>
      <c r="U330" s="6" t="str">
        <f t="array" ref="U330">IF(
  B330="",
  ,
  (C330 + IF(INDEX(Input!$L$7:$L1503,ROW()-1),1,0))
  - EDATE(
      B330 + IF(INDEX(Input!$K$7:$K1503,ROW()-1),0,1),
      12*S330
    )
)</f>
        <v/>
      </c>
      <c r="V330" s="6" t="str">
        <f t="shared" si="5"/>
        <v/>
      </c>
      <c r="W330" s="6" t="str">
        <f t="shared" si="6"/>
        <v/>
      </c>
    </row>
    <row r="331">
      <c r="A331" s="18"/>
      <c r="B331" s="18"/>
      <c r="C331" s="18"/>
      <c r="D331" s="18"/>
      <c r="E331" s="18"/>
      <c r="F331" s="18"/>
      <c r="G331" s="22"/>
      <c r="H331" s="18"/>
      <c r="I331" s="18">
        <v>0.0</v>
      </c>
      <c r="J331" s="18">
        <v>0.0</v>
      </c>
      <c r="K331" s="18"/>
      <c r="L331" s="18"/>
      <c r="M331" s="22" t="str">
        <f t="shared" si="1"/>
        <v/>
      </c>
      <c r="N331" s="18" t="str">
        <f>IF(A331="",,IF(ROW()=2, Input!$C$2 + I331, P330 + I331))</f>
        <v/>
      </c>
      <c r="O331" s="23" t="str">
        <f>IF(A331="",,
 IF(K331="Initial principal",
   Input!$C$2 * M331,
   N331 * M331
 )
)</f>
        <v/>
      </c>
      <c r="P331" s="18" t="str">
        <f t="shared" si="2"/>
        <v/>
      </c>
      <c r="Q331" s="18" t="str">
        <f t="shared" si="3"/>
        <v/>
      </c>
      <c r="R331" s="18" t="str">
        <f t="array" ref="R331">IF(
  B331="",
  ,
  SWITCH(
    Input!$C$4,
    "Actual/365 Fixed",
      YEARFRAC(
        B331 + IF(INDEX(Input!$K$7:$K1503,ROW()-1),0,1),
        C331 + IF(INDEX(Input!$L$7:$L1503,ROW()-1),1,0),
        3
      ),
    "Anniversary/365",
      DATEDIF(
        B331 + IF(INDEX(Input!$K$7:$K1503,ROW()-1),0,1),
        C331 + IF(INDEX(Input!$L$7:$L1503,ROW()-1),1,0),
        "Y"
      )
      +
      (
        (C331 + IF(INDEX(Input!$L$7:$L1503,ROW()-1),1,0))
        -
        EDATE(
          B331 + IF(INDEX(Input!$K$7:$K1503,ROW()-1),0,1),
          12*DATEDIF(
            B331 + IF(INDEX(Input!$K$7:$K1503,ROW()-1),0,1),
            C331 + IF(INDEX(Input!$L$7:$L1503,ROW()-1),1,0),
            "Y"
          )
        )
      ) / 365,
    "Actual/Actual",
      YEARFRAC(
        B331 + IF(INDEX(Input!$K$7:$K1503,ROW()-1),0,1),
        C331 + IF(INDEX(Input!$L$7:$L1503,ROW()-1),1,0),
        1
      ),
      YEARFRAC(
        B331 + IF(INDEX(Input!$K$7:$K1503,ROW()-1),0,1),
        C331 + IF(INDEX(Input!$L$7:$L1503,ROW()-1),1,0),
        3
      )
  )
)</f>
        <v/>
      </c>
      <c r="S331" s="22" t="str">
        <f t="shared" si="4"/>
        <v/>
      </c>
      <c r="T331" s="6" t="str">
        <f t="array" ref="T331">IF(
  B331="",
  ,
  DATEDIF(
    B331 + IF(INDEX(Input!$K$7:$K1503,ROW()-1),0,1),
    C331 + IF(INDEX(Input!$L$7:$L1503,ROW()-1),1,0),
    "Y"
  )
)</f>
        <v/>
      </c>
      <c r="U331" s="6" t="str">
        <f t="array" ref="U331">IF(
  B331="",
  ,
  (C331 + IF(INDEX(Input!$L$7:$L1503,ROW()-1),1,0))
  - EDATE(
      B331 + IF(INDEX(Input!$K$7:$K1503,ROW()-1),0,1),
      12*S331
    )
)</f>
        <v/>
      </c>
      <c r="V331" s="6" t="str">
        <f t="shared" si="5"/>
        <v/>
      </c>
      <c r="W331" s="6" t="str">
        <f t="shared" si="6"/>
        <v/>
      </c>
    </row>
    <row r="332">
      <c r="A332" s="18"/>
      <c r="B332" s="18"/>
      <c r="C332" s="18"/>
      <c r="D332" s="18"/>
      <c r="E332" s="18"/>
      <c r="F332" s="18"/>
      <c r="G332" s="22"/>
      <c r="H332" s="18"/>
      <c r="I332" s="18">
        <v>0.0</v>
      </c>
      <c r="J332" s="18">
        <v>0.0</v>
      </c>
      <c r="K332" s="18"/>
      <c r="L332" s="18"/>
      <c r="M332" s="22" t="str">
        <f t="shared" si="1"/>
        <v/>
      </c>
      <c r="N332" s="18" t="str">
        <f>IF(A332="",,IF(ROW()=2, Input!$C$2 + I332, P331 + I332))</f>
        <v/>
      </c>
      <c r="O332" s="23" t="str">
        <f>IF(A332="",,
 IF(K332="Initial principal",
   Input!$C$2 * M332,
   N332 * M332
 )
)</f>
        <v/>
      </c>
      <c r="P332" s="18" t="str">
        <f t="shared" si="2"/>
        <v/>
      </c>
      <c r="Q332" s="18" t="str">
        <f t="shared" si="3"/>
        <v/>
      </c>
      <c r="R332" s="18" t="str">
        <f t="array" ref="R332">IF(
  B332="",
  ,
  SWITCH(
    Input!$C$4,
    "Actual/365 Fixed",
      YEARFRAC(
        B332 + IF(INDEX(Input!$K$7:$K1503,ROW()-1),0,1),
        C332 + IF(INDEX(Input!$L$7:$L1503,ROW()-1),1,0),
        3
      ),
    "Anniversary/365",
      DATEDIF(
        B332 + IF(INDEX(Input!$K$7:$K1503,ROW()-1),0,1),
        C332 + IF(INDEX(Input!$L$7:$L1503,ROW()-1),1,0),
        "Y"
      )
      +
      (
        (C332 + IF(INDEX(Input!$L$7:$L1503,ROW()-1),1,0))
        -
        EDATE(
          B332 + IF(INDEX(Input!$K$7:$K1503,ROW()-1),0,1),
          12*DATEDIF(
            B332 + IF(INDEX(Input!$K$7:$K1503,ROW()-1),0,1),
            C332 + IF(INDEX(Input!$L$7:$L1503,ROW()-1),1,0),
            "Y"
          )
        )
      ) / 365,
    "Actual/Actual",
      YEARFRAC(
        B332 + IF(INDEX(Input!$K$7:$K1503,ROW()-1),0,1),
        C332 + IF(INDEX(Input!$L$7:$L1503,ROW()-1),1,0),
        1
      ),
      YEARFRAC(
        B332 + IF(INDEX(Input!$K$7:$K1503,ROW()-1),0,1),
        C332 + IF(INDEX(Input!$L$7:$L1503,ROW()-1),1,0),
        3
      )
  )
)</f>
        <v/>
      </c>
      <c r="S332" s="22" t="str">
        <f t="shared" si="4"/>
        <v/>
      </c>
      <c r="T332" s="6" t="str">
        <f t="array" ref="T332">IF(
  B332="",
  ,
  DATEDIF(
    B332 + IF(INDEX(Input!$K$7:$K1503,ROW()-1),0,1),
    C332 + IF(INDEX(Input!$L$7:$L1503,ROW()-1),1,0),
    "Y"
  )
)</f>
        <v/>
      </c>
      <c r="U332" s="6" t="str">
        <f t="array" ref="U332">IF(
  B332="",
  ,
  (C332 + IF(INDEX(Input!$L$7:$L1503,ROW()-1),1,0))
  - EDATE(
      B332 + IF(INDEX(Input!$K$7:$K1503,ROW()-1),0,1),
      12*S332
    )
)</f>
        <v/>
      </c>
      <c r="V332" s="6" t="str">
        <f t="shared" si="5"/>
        <v/>
      </c>
      <c r="W332" s="6" t="str">
        <f t="shared" si="6"/>
        <v/>
      </c>
    </row>
    <row r="333">
      <c r="A333" s="18"/>
      <c r="B333" s="18"/>
      <c r="C333" s="18"/>
      <c r="D333" s="18"/>
      <c r="E333" s="18"/>
      <c r="F333" s="18"/>
      <c r="G333" s="22"/>
      <c r="H333" s="18"/>
      <c r="I333" s="18">
        <v>0.0</v>
      </c>
      <c r="J333" s="18">
        <v>0.0</v>
      </c>
      <c r="K333" s="18"/>
      <c r="L333" s="18"/>
      <c r="M333" s="22" t="str">
        <f t="shared" si="1"/>
        <v/>
      </c>
      <c r="N333" s="18" t="str">
        <f>IF(A333="",,IF(ROW()=2, Input!$C$2 + I333, P332 + I333))</f>
        <v/>
      </c>
      <c r="O333" s="23" t="str">
        <f>IF(A333="",,
 IF(K333="Initial principal",
   Input!$C$2 * M333,
   N333 * M333
 )
)</f>
        <v/>
      </c>
      <c r="P333" s="18" t="str">
        <f t="shared" si="2"/>
        <v/>
      </c>
      <c r="Q333" s="18" t="str">
        <f t="shared" si="3"/>
        <v/>
      </c>
      <c r="R333" s="18" t="str">
        <f t="array" ref="R333">IF(
  B333="",
  ,
  SWITCH(
    Input!$C$4,
    "Actual/365 Fixed",
      YEARFRAC(
        B333 + IF(INDEX(Input!$K$7:$K1503,ROW()-1),0,1),
        C333 + IF(INDEX(Input!$L$7:$L1503,ROW()-1),1,0),
        3
      ),
    "Anniversary/365",
      DATEDIF(
        B333 + IF(INDEX(Input!$K$7:$K1503,ROW()-1),0,1),
        C333 + IF(INDEX(Input!$L$7:$L1503,ROW()-1),1,0),
        "Y"
      )
      +
      (
        (C333 + IF(INDEX(Input!$L$7:$L1503,ROW()-1),1,0))
        -
        EDATE(
          B333 + IF(INDEX(Input!$K$7:$K1503,ROW()-1),0,1),
          12*DATEDIF(
            B333 + IF(INDEX(Input!$K$7:$K1503,ROW()-1),0,1),
            C333 + IF(INDEX(Input!$L$7:$L1503,ROW()-1),1,0),
            "Y"
          )
        )
      ) / 365,
    "Actual/Actual",
      YEARFRAC(
        B333 + IF(INDEX(Input!$K$7:$K1503,ROW()-1),0,1),
        C333 + IF(INDEX(Input!$L$7:$L1503,ROW()-1),1,0),
        1
      ),
      YEARFRAC(
        B333 + IF(INDEX(Input!$K$7:$K1503,ROW()-1),0,1),
        C333 + IF(INDEX(Input!$L$7:$L1503,ROW()-1),1,0),
        3
      )
  )
)</f>
        <v/>
      </c>
      <c r="S333" s="22" t="str">
        <f t="shared" si="4"/>
        <v/>
      </c>
      <c r="T333" s="6" t="str">
        <f t="array" ref="T333">IF(
  B333="",
  ,
  DATEDIF(
    B333 + IF(INDEX(Input!$K$7:$K1503,ROW()-1),0,1),
    C333 + IF(INDEX(Input!$L$7:$L1503,ROW()-1),1,0),
    "Y"
  )
)</f>
        <v/>
      </c>
      <c r="U333" s="6" t="str">
        <f t="array" ref="U333">IF(
  B333="",
  ,
  (C333 + IF(INDEX(Input!$L$7:$L1503,ROW()-1),1,0))
  - EDATE(
      B333 + IF(INDEX(Input!$K$7:$K1503,ROW()-1),0,1),
      12*S333
    )
)</f>
        <v/>
      </c>
      <c r="V333" s="6" t="str">
        <f t="shared" si="5"/>
        <v/>
      </c>
      <c r="W333" s="6" t="str">
        <f t="shared" si="6"/>
        <v/>
      </c>
    </row>
    <row r="334">
      <c r="A334" s="18"/>
      <c r="B334" s="18"/>
      <c r="C334" s="18"/>
      <c r="D334" s="18"/>
      <c r="E334" s="18"/>
      <c r="F334" s="18"/>
      <c r="G334" s="22"/>
      <c r="H334" s="18"/>
      <c r="I334" s="18">
        <v>0.0</v>
      </c>
      <c r="J334" s="18">
        <v>0.0</v>
      </c>
      <c r="K334" s="18"/>
      <c r="L334" s="18"/>
      <c r="M334" s="22" t="str">
        <f t="shared" si="1"/>
        <v/>
      </c>
      <c r="N334" s="18" t="str">
        <f>IF(A334="",,IF(ROW()=2, Input!$C$2 + I334, P333 + I334))</f>
        <v/>
      </c>
      <c r="O334" s="23" t="str">
        <f>IF(A334="",,
 IF(K334="Initial principal",
   Input!$C$2 * M334,
   N334 * M334
 )
)</f>
        <v/>
      </c>
      <c r="P334" s="18" t="str">
        <f t="shared" si="2"/>
        <v/>
      </c>
      <c r="Q334" s="18" t="str">
        <f t="shared" si="3"/>
        <v/>
      </c>
      <c r="R334" s="18" t="str">
        <f t="array" ref="R334">IF(
  B334="",
  ,
  SWITCH(
    Input!$C$4,
    "Actual/365 Fixed",
      YEARFRAC(
        B334 + IF(INDEX(Input!$K$7:$K1503,ROW()-1),0,1),
        C334 + IF(INDEX(Input!$L$7:$L1503,ROW()-1),1,0),
        3
      ),
    "Anniversary/365",
      DATEDIF(
        B334 + IF(INDEX(Input!$K$7:$K1503,ROW()-1),0,1),
        C334 + IF(INDEX(Input!$L$7:$L1503,ROW()-1),1,0),
        "Y"
      )
      +
      (
        (C334 + IF(INDEX(Input!$L$7:$L1503,ROW()-1),1,0))
        -
        EDATE(
          B334 + IF(INDEX(Input!$K$7:$K1503,ROW()-1),0,1),
          12*DATEDIF(
            B334 + IF(INDEX(Input!$K$7:$K1503,ROW()-1),0,1),
            C334 + IF(INDEX(Input!$L$7:$L1503,ROW()-1),1,0),
            "Y"
          )
        )
      ) / 365,
    "Actual/Actual",
      YEARFRAC(
        B334 + IF(INDEX(Input!$K$7:$K1503,ROW()-1),0,1),
        C334 + IF(INDEX(Input!$L$7:$L1503,ROW()-1),1,0),
        1
      ),
      YEARFRAC(
        B334 + IF(INDEX(Input!$K$7:$K1503,ROW()-1),0,1),
        C334 + IF(INDEX(Input!$L$7:$L1503,ROW()-1),1,0),
        3
      )
  )
)</f>
        <v/>
      </c>
      <c r="S334" s="22" t="str">
        <f t="shared" si="4"/>
        <v/>
      </c>
      <c r="T334" s="6" t="str">
        <f t="array" ref="T334">IF(
  B334="",
  ,
  DATEDIF(
    B334 + IF(INDEX(Input!$K$7:$K1503,ROW()-1),0,1),
    C334 + IF(INDEX(Input!$L$7:$L1503,ROW()-1),1,0),
    "Y"
  )
)</f>
        <v/>
      </c>
      <c r="U334" s="6" t="str">
        <f t="array" ref="U334">IF(
  B334="",
  ,
  (C334 + IF(INDEX(Input!$L$7:$L1503,ROW()-1),1,0))
  - EDATE(
      B334 + IF(INDEX(Input!$K$7:$K1503,ROW()-1),0,1),
      12*S334
    )
)</f>
        <v/>
      </c>
      <c r="V334" s="6" t="str">
        <f t="shared" si="5"/>
        <v/>
      </c>
      <c r="W334" s="6" t="str">
        <f t="shared" si="6"/>
        <v/>
      </c>
    </row>
    <row r="335">
      <c r="A335" s="18"/>
      <c r="B335" s="18"/>
      <c r="C335" s="18"/>
      <c r="D335" s="18"/>
      <c r="E335" s="18"/>
      <c r="F335" s="18"/>
      <c r="G335" s="22"/>
      <c r="H335" s="18"/>
      <c r="I335" s="18">
        <v>0.0</v>
      </c>
      <c r="J335" s="18">
        <v>0.0</v>
      </c>
      <c r="K335" s="18"/>
      <c r="L335" s="18"/>
      <c r="M335" s="22" t="str">
        <f t="shared" si="1"/>
        <v/>
      </c>
      <c r="N335" s="18" t="str">
        <f>IF(A335="",,IF(ROW()=2, Input!$C$2 + I335, P334 + I335))</f>
        <v/>
      </c>
      <c r="O335" s="23" t="str">
        <f>IF(A335="",,
 IF(K335="Initial principal",
   Input!$C$2 * M335,
   N335 * M335
 )
)</f>
        <v/>
      </c>
      <c r="P335" s="18" t="str">
        <f t="shared" si="2"/>
        <v/>
      </c>
      <c r="Q335" s="18" t="str">
        <f t="shared" si="3"/>
        <v/>
      </c>
      <c r="R335" s="18" t="str">
        <f t="array" ref="R335">IF(
  B335="",
  ,
  SWITCH(
    Input!$C$4,
    "Actual/365 Fixed",
      YEARFRAC(
        B335 + IF(INDEX(Input!$K$7:$K1503,ROW()-1),0,1),
        C335 + IF(INDEX(Input!$L$7:$L1503,ROW()-1),1,0),
        3
      ),
    "Anniversary/365",
      DATEDIF(
        B335 + IF(INDEX(Input!$K$7:$K1503,ROW()-1),0,1),
        C335 + IF(INDEX(Input!$L$7:$L1503,ROW()-1),1,0),
        "Y"
      )
      +
      (
        (C335 + IF(INDEX(Input!$L$7:$L1503,ROW()-1),1,0))
        -
        EDATE(
          B335 + IF(INDEX(Input!$K$7:$K1503,ROW()-1),0,1),
          12*DATEDIF(
            B335 + IF(INDEX(Input!$K$7:$K1503,ROW()-1),0,1),
            C335 + IF(INDEX(Input!$L$7:$L1503,ROW()-1),1,0),
            "Y"
          )
        )
      ) / 365,
    "Actual/Actual",
      YEARFRAC(
        B335 + IF(INDEX(Input!$K$7:$K1503,ROW()-1),0,1),
        C335 + IF(INDEX(Input!$L$7:$L1503,ROW()-1),1,0),
        1
      ),
      YEARFRAC(
        B335 + IF(INDEX(Input!$K$7:$K1503,ROW()-1),0,1),
        C335 + IF(INDEX(Input!$L$7:$L1503,ROW()-1),1,0),
        3
      )
  )
)</f>
        <v/>
      </c>
      <c r="S335" s="22" t="str">
        <f t="shared" si="4"/>
        <v/>
      </c>
      <c r="T335" s="6" t="str">
        <f t="array" ref="T335">IF(
  B335="",
  ,
  DATEDIF(
    B335 + IF(INDEX(Input!$K$7:$K1503,ROW()-1),0,1),
    C335 + IF(INDEX(Input!$L$7:$L1503,ROW()-1),1,0),
    "Y"
  )
)</f>
        <v/>
      </c>
      <c r="U335" s="6" t="str">
        <f t="array" ref="U335">IF(
  B335="",
  ,
  (C335 + IF(INDEX(Input!$L$7:$L1503,ROW()-1),1,0))
  - EDATE(
      B335 + IF(INDEX(Input!$K$7:$K1503,ROW()-1),0,1),
      12*S335
    )
)</f>
        <v/>
      </c>
      <c r="V335" s="6" t="str">
        <f t="shared" si="5"/>
        <v/>
      </c>
      <c r="W335" s="6" t="str">
        <f t="shared" si="6"/>
        <v/>
      </c>
    </row>
    <row r="336">
      <c r="A336" s="18"/>
      <c r="B336" s="18"/>
      <c r="C336" s="18"/>
      <c r="D336" s="18"/>
      <c r="E336" s="18"/>
      <c r="F336" s="18"/>
      <c r="G336" s="22"/>
      <c r="H336" s="18"/>
      <c r="I336" s="18">
        <v>0.0</v>
      </c>
      <c r="J336" s="18">
        <v>0.0</v>
      </c>
      <c r="K336" s="18"/>
      <c r="L336" s="18"/>
      <c r="M336" s="22" t="str">
        <f t="shared" si="1"/>
        <v/>
      </c>
      <c r="N336" s="18" t="str">
        <f>IF(A336="",,IF(ROW()=2, Input!$C$2 + I336, P335 + I336))</f>
        <v/>
      </c>
      <c r="O336" s="23" t="str">
        <f>IF(A336="",,
 IF(K336="Initial principal",
   Input!$C$2 * M336,
   N336 * M336
 )
)</f>
        <v/>
      </c>
      <c r="P336" s="18" t="str">
        <f t="shared" si="2"/>
        <v/>
      </c>
      <c r="Q336" s="18" t="str">
        <f t="shared" si="3"/>
        <v/>
      </c>
      <c r="R336" s="18" t="str">
        <f t="array" ref="R336">IF(
  B336="",
  ,
  SWITCH(
    Input!$C$4,
    "Actual/365 Fixed",
      YEARFRAC(
        B336 + IF(INDEX(Input!$K$7:$K1503,ROW()-1),0,1),
        C336 + IF(INDEX(Input!$L$7:$L1503,ROW()-1),1,0),
        3
      ),
    "Anniversary/365",
      DATEDIF(
        B336 + IF(INDEX(Input!$K$7:$K1503,ROW()-1),0,1),
        C336 + IF(INDEX(Input!$L$7:$L1503,ROW()-1),1,0),
        "Y"
      )
      +
      (
        (C336 + IF(INDEX(Input!$L$7:$L1503,ROW()-1),1,0))
        -
        EDATE(
          B336 + IF(INDEX(Input!$K$7:$K1503,ROW()-1),0,1),
          12*DATEDIF(
            B336 + IF(INDEX(Input!$K$7:$K1503,ROW()-1),0,1),
            C336 + IF(INDEX(Input!$L$7:$L1503,ROW()-1),1,0),
            "Y"
          )
        )
      ) / 365,
    "Actual/Actual",
      YEARFRAC(
        B336 + IF(INDEX(Input!$K$7:$K1503,ROW()-1),0,1),
        C336 + IF(INDEX(Input!$L$7:$L1503,ROW()-1),1,0),
        1
      ),
      YEARFRAC(
        B336 + IF(INDEX(Input!$K$7:$K1503,ROW()-1),0,1),
        C336 + IF(INDEX(Input!$L$7:$L1503,ROW()-1),1,0),
        3
      )
  )
)</f>
        <v/>
      </c>
      <c r="S336" s="22" t="str">
        <f t="shared" si="4"/>
        <v/>
      </c>
      <c r="T336" s="6" t="str">
        <f t="array" ref="T336">IF(
  B336="",
  ,
  DATEDIF(
    B336 + IF(INDEX(Input!$K$7:$K1503,ROW()-1),0,1),
    C336 + IF(INDEX(Input!$L$7:$L1503,ROW()-1),1,0),
    "Y"
  )
)</f>
        <v/>
      </c>
      <c r="U336" s="6" t="str">
        <f t="array" ref="U336">IF(
  B336="",
  ,
  (C336 + IF(INDEX(Input!$L$7:$L1503,ROW()-1),1,0))
  - EDATE(
      B336 + IF(INDEX(Input!$K$7:$K1503,ROW()-1),0,1),
      12*S336
    )
)</f>
        <v/>
      </c>
      <c r="V336" s="6" t="str">
        <f t="shared" si="5"/>
        <v/>
      </c>
      <c r="W336" s="6" t="str">
        <f t="shared" si="6"/>
        <v/>
      </c>
    </row>
    <row r="337">
      <c r="A337" s="18"/>
      <c r="B337" s="18"/>
      <c r="C337" s="18"/>
      <c r="D337" s="18"/>
      <c r="E337" s="18"/>
      <c r="F337" s="18"/>
      <c r="G337" s="22"/>
      <c r="H337" s="18"/>
      <c r="I337" s="18">
        <v>0.0</v>
      </c>
      <c r="J337" s="18">
        <v>0.0</v>
      </c>
      <c r="K337" s="18"/>
      <c r="L337" s="18"/>
      <c r="M337" s="22" t="str">
        <f t="shared" si="1"/>
        <v/>
      </c>
      <c r="N337" s="18" t="str">
        <f>IF(A337="",,IF(ROW()=2, Input!$C$2 + I337, P336 + I337))</f>
        <v/>
      </c>
      <c r="O337" s="23" t="str">
        <f>IF(A337="",,
 IF(K337="Initial principal",
   Input!$C$2 * M337,
   N337 * M337
 )
)</f>
        <v/>
      </c>
      <c r="P337" s="18" t="str">
        <f t="shared" si="2"/>
        <v/>
      </c>
      <c r="Q337" s="18" t="str">
        <f t="shared" si="3"/>
        <v/>
      </c>
      <c r="R337" s="18" t="str">
        <f t="array" ref="R337">IF(
  B337="",
  ,
  SWITCH(
    Input!$C$4,
    "Actual/365 Fixed",
      YEARFRAC(
        B337 + IF(INDEX(Input!$K$7:$K1503,ROW()-1),0,1),
        C337 + IF(INDEX(Input!$L$7:$L1503,ROW()-1),1,0),
        3
      ),
    "Anniversary/365",
      DATEDIF(
        B337 + IF(INDEX(Input!$K$7:$K1503,ROW()-1),0,1),
        C337 + IF(INDEX(Input!$L$7:$L1503,ROW()-1),1,0),
        "Y"
      )
      +
      (
        (C337 + IF(INDEX(Input!$L$7:$L1503,ROW()-1),1,0))
        -
        EDATE(
          B337 + IF(INDEX(Input!$K$7:$K1503,ROW()-1),0,1),
          12*DATEDIF(
            B337 + IF(INDEX(Input!$K$7:$K1503,ROW()-1),0,1),
            C337 + IF(INDEX(Input!$L$7:$L1503,ROW()-1),1,0),
            "Y"
          )
        )
      ) / 365,
    "Actual/Actual",
      YEARFRAC(
        B337 + IF(INDEX(Input!$K$7:$K1503,ROW()-1),0,1),
        C337 + IF(INDEX(Input!$L$7:$L1503,ROW()-1),1,0),
        1
      ),
      YEARFRAC(
        B337 + IF(INDEX(Input!$K$7:$K1503,ROW()-1),0,1),
        C337 + IF(INDEX(Input!$L$7:$L1503,ROW()-1),1,0),
        3
      )
  )
)</f>
        <v/>
      </c>
      <c r="S337" s="22" t="str">
        <f t="shared" si="4"/>
        <v/>
      </c>
      <c r="T337" s="6" t="str">
        <f t="array" ref="T337">IF(
  B337="",
  ,
  DATEDIF(
    B337 + IF(INDEX(Input!$K$7:$K1503,ROW()-1),0,1),
    C337 + IF(INDEX(Input!$L$7:$L1503,ROW()-1),1,0),
    "Y"
  )
)</f>
        <v/>
      </c>
      <c r="U337" s="6" t="str">
        <f t="array" ref="U337">IF(
  B337="",
  ,
  (C337 + IF(INDEX(Input!$L$7:$L1503,ROW()-1),1,0))
  - EDATE(
      B337 + IF(INDEX(Input!$K$7:$K1503,ROW()-1),0,1),
      12*S337
    )
)</f>
        <v/>
      </c>
      <c r="V337" s="6" t="str">
        <f t="shared" si="5"/>
        <v/>
      </c>
      <c r="W337" s="6" t="str">
        <f t="shared" si="6"/>
        <v/>
      </c>
    </row>
    <row r="338">
      <c r="A338" s="18"/>
      <c r="B338" s="18"/>
      <c r="C338" s="18"/>
      <c r="D338" s="18"/>
      <c r="E338" s="18"/>
      <c r="F338" s="18"/>
      <c r="G338" s="22"/>
      <c r="H338" s="18"/>
      <c r="I338" s="18">
        <v>0.0</v>
      </c>
      <c r="J338" s="18">
        <v>0.0</v>
      </c>
      <c r="K338" s="18"/>
      <c r="L338" s="18"/>
      <c r="M338" s="22" t="str">
        <f t="shared" si="1"/>
        <v/>
      </c>
      <c r="N338" s="18" t="str">
        <f>IF(A338="",,IF(ROW()=2, Input!$C$2 + I338, P337 + I338))</f>
        <v/>
      </c>
      <c r="O338" s="23" t="str">
        <f>IF(A338="",,
 IF(K338="Initial principal",
   Input!$C$2 * M338,
   N338 * M338
 )
)</f>
        <v/>
      </c>
      <c r="P338" s="18" t="str">
        <f t="shared" si="2"/>
        <v/>
      </c>
      <c r="Q338" s="18" t="str">
        <f t="shared" si="3"/>
        <v/>
      </c>
      <c r="R338" s="18" t="str">
        <f t="array" ref="R338">IF(
  B338="",
  ,
  SWITCH(
    Input!$C$4,
    "Actual/365 Fixed",
      YEARFRAC(
        B338 + IF(INDEX(Input!$K$7:$K1503,ROW()-1),0,1),
        C338 + IF(INDEX(Input!$L$7:$L1503,ROW()-1),1,0),
        3
      ),
    "Anniversary/365",
      DATEDIF(
        B338 + IF(INDEX(Input!$K$7:$K1503,ROW()-1),0,1),
        C338 + IF(INDEX(Input!$L$7:$L1503,ROW()-1),1,0),
        "Y"
      )
      +
      (
        (C338 + IF(INDEX(Input!$L$7:$L1503,ROW()-1),1,0))
        -
        EDATE(
          B338 + IF(INDEX(Input!$K$7:$K1503,ROW()-1),0,1),
          12*DATEDIF(
            B338 + IF(INDEX(Input!$K$7:$K1503,ROW()-1),0,1),
            C338 + IF(INDEX(Input!$L$7:$L1503,ROW()-1),1,0),
            "Y"
          )
        )
      ) / 365,
    "Actual/Actual",
      YEARFRAC(
        B338 + IF(INDEX(Input!$K$7:$K1503,ROW()-1),0,1),
        C338 + IF(INDEX(Input!$L$7:$L1503,ROW()-1),1,0),
        1
      ),
      YEARFRAC(
        B338 + IF(INDEX(Input!$K$7:$K1503,ROW()-1),0,1),
        C338 + IF(INDEX(Input!$L$7:$L1503,ROW()-1),1,0),
        3
      )
  )
)</f>
        <v/>
      </c>
      <c r="S338" s="22" t="str">
        <f t="shared" si="4"/>
        <v/>
      </c>
      <c r="T338" s="6" t="str">
        <f t="array" ref="T338">IF(
  B338="",
  ,
  DATEDIF(
    B338 + IF(INDEX(Input!$K$7:$K1503,ROW()-1),0,1),
    C338 + IF(INDEX(Input!$L$7:$L1503,ROW()-1),1,0),
    "Y"
  )
)</f>
        <v/>
      </c>
      <c r="U338" s="6" t="str">
        <f t="array" ref="U338">IF(
  B338="",
  ,
  (C338 + IF(INDEX(Input!$L$7:$L1503,ROW()-1),1,0))
  - EDATE(
      B338 + IF(INDEX(Input!$K$7:$K1503,ROW()-1),0,1),
      12*S338
    )
)</f>
        <v/>
      </c>
      <c r="V338" s="6" t="str">
        <f t="shared" si="5"/>
        <v/>
      </c>
      <c r="W338" s="6" t="str">
        <f t="shared" si="6"/>
        <v/>
      </c>
    </row>
    <row r="339">
      <c r="A339" s="18"/>
      <c r="B339" s="18"/>
      <c r="C339" s="18"/>
      <c r="D339" s="18"/>
      <c r="E339" s="18"/>
      <c r="F339" s="18"/>
      <c r="G339" s="22"/>
      <c r="H339" s="18"/>
      <c r="I339" s="18">
        <v>0.0</v>
      </c>
      <c r="J339" s="18">
        <v>0.0</v>
      </c>
      <c r="K339" s="18"/>
      <c r="L339" s="18"/>
      <c r="M339" s="22" t="str">
        <f t="shared" si="1"/>
        <v/>
      </c>
      <c r="N339" s="18" t="str">
        <f>IF(A339="",,IF(ROW()=2, Input!$C$2 + I339, P338 + I339))</f>
        <v/>
      </c>
      <c r="O339" s="23" t="str">
        <f>IF(A339="",,
 IF(K339="Initial principal",
   Input!$C$2 * M339,
   N339 * M339
 )
)</f>
        <v/>
      </c>
      <c r="P339" s="18" t="str">
        <f t="shared" si="2"/>
        <v/>
      </c>
      <c r="Q339" s="18" t="str">
        <f t="shared" si="3"/>
        <v/>
      </c>
      <c r="R339" s="18" t="str">
        <f t="array" ref="R339">IF(
  B339="",
  ,
  SWITCH(
    Input!$C$4,
    "Actual/365 Fixed",
      YEARFRAC(
        B339 + IF(INDEX(Input!$K$7:$K1503,ROW()-1),0,1),
        C339 + IF(INDEX(Input!$L$7:$L1503,ROW()-1),1,0),
        3
      ),
    "Anniversary/365",
      DATEDIF(
        B339 + IF(INDEX(Input!$K$7:$K1503,ROW()-1),0,1),
        C339 + IF(INDEX(Input!$L$7:$L1503,ROW()-1),1,0),
        "Y"
      )
      +
      (
        (C339 + IF(INDEX(Input!$L$7:$L1503,ROW()-1),1,0))
        -
        EDATE(
          B339 + IF(INDEX(Input!$K$7:$K1503,ROW()-1),0,1),
          12*DATEDIF(
            B339 + IF(INDEX(Input!$K$7:$K1503,ROW()-1),0,1),
            C339 + IF(INDEX(Input!$L$7:$L1503,ROW()-1),1,0),
            "Y"
          )
        )
      ) / 365,
    "Actual/Actual",
      YEARFRAC(
        B339 + IF(INDEX(Input!$K$7:$K1503,ROW()-1),0,1),
        C339 + IF(INDEX(Input!$L$7:$L1503,ROW()-1),1,0),
        1
      ),
      YEARFRAC(
        B339 + IF(INDEX(Input!$K$7:$K1503,ROW()-1),0,1),
        C339 + IF(INDEX(Input!$L$7:$L1503,ROW()-1),1,0),
        3
      )
  )
)</f>
        <v/>
      </c>
      <c r="S339" s="22" t="str">
        <f t="shared" si="4"/>
        <v/>
      </c>
      <c r="T339" s="6" t="str">
        <f t="array" ref="T339">IF(
  B339="",
  ,
  DATEDIF(
    B339 + IF(INDEX(Input!$K$7:$K1503,ROW()-1),0,1),
    C339 + IF(INDEX(Input!$L$7:$L1503,ROW()-1),1,0),
    "Y"
  )
)</f>
        <v/>
      </c>
      <c r="U339" s="6" t="str">
        <f t="array" ref="U339">IF(
  B339="",
  ,
  (C339 + IF(INDEX(Input!$L$7:$L1503,ROW()-1),1,0))
  - EDATE(
      B339 + IF(INDEX(Input!$K$7:$K1503,ROW()-1),0,1),
      12*S339
    )
)</f>
        <v/>
      </c>
      <c r="V339" s="6" t="str">
        <f t="shared" si="5"/>
        <v/>
      </c>
      <c r="W339" s="6" t="str">
        <f t="shared" si="6"/>
        <v/>
      </c>
    </row>
    <row r="340">
      <c r="A340" s="18"/>
      <c r="B340" s="18"/>
      <c r="C340" s="18"/>
      <c r="D340" s="18"/>
      <c r="E340" s="18"/>
      <c r="F340" s="18"/>
      <c r="G340" s="22"/>
      <c r="H340" s="18"/>
      <c r="I340" s="18">
        <v>0.0</v>
      </c>
      <c r="J340" s="18">
        <v>0.0</v>
      </c>
      <c r="K340" s="18"/>
      <c r="L340" s="18"/>
      <c r="M340" s="22" t="str">
        <f t="shared" si="1"/>
        <v/>
      </c>
      <c r="N340" s="18" t="str">
        <f>IF(A340="",,IF(ROW()=2, Input!$C$2 + I340, P339 + I340))</f>
        <v/>
      </c>
      <c r="O340" s="23" t="str">
        <f>IF(A340="",,
 IF(K340="Initial principal",
   Input!$C$2 * M340,
   N340 * M340
 )
)</f>
        <v/>
      </c>
      <c r="P340" s="18" t="str">
        <f t="shared" si="2"/>
        <v/>
      </c>
      <c r="Q340" s="18" t="str">
        <f t="shared" si="3"/>
        <v/>
      </c>
      <c r="R340" s="18" t="str">
        <f t="array" ref="R340">IF(
  B340="",
  ,
  SWITCH(
    Input!$C$4,
    "Actual/365 Fixed",
      YEARFRAC(
        B340 + IF(INDEX(Input!$K$7:$K1503,ROW()-1),0,1),
        C340 + IF(INDEX(Input!$L$7:$L1503,ROW()-1),1,0),
        3
      ),
    "Anniversary/365",
      DATEDIF(
        B340 + IF(INDEX(Input!$K$7:$K1503,ROW()-1),0,1),
        C340 + IF(INDEX(Input!$L$7:$L1503,ROW()-1),1,0),
        "Y"
      )
      +
      (
        (C340 + IF(INDEX(Input!$L$7:$L1503,ROW()-1),1,0))
        -
        EDATE(
          B340 + IF(INDEX(Input!$K$7:$K1503,ROW()-1),0,1),
          12*DATEDIF(
            B340 + IF(INDEX(Input!$K$7:$K1503,ROW()-1),0,1),
            C340 + IF(INDEX(Input!$L$7:$L1503,ROW()-1),1,0),
            "Y"
          )
        )
      ) / 365,
    "Actual/Actual",
      YEARFRAC(
        B340 + IF(INDEX(Input!$K$7:$K1503,ROW()-1),0,1),
        C340 + IF(INDEX(Input!$L$7:$L1503,ROW()-1),1,0),
        1
      ),
      YEARFRAC(
        B340 + IF(INDEX(Input!$K$7:$K1503,ROW()-1),0,1),
        C340 + IF(INDEX(Input!$L$7:$L1503,ROW()-1),1,0),
        3
      )
  )
)</f>
        <v/>
      </c>
      <c r="S340" s="22" t="str">
        <f t="shared" si="4"/>
        <v/>
      </c>
      <c r="T340" s="6" t="str">
        <f t="array" ref="T340">IF(
  B340="",
  ,
  DATEDIF(
    B340 + IF(INDEX(Input!$K$7:$K1503,ROW()-1),0,1),
    C340 + IF(INDEX(Input!$L$7:$L1503,ROW()-1),1,0),
    "Y"
  )
)</f>
        <v/>
      </c>
      <c r="U340" s="6" t="str">
        <f t="array" ref="U340">IF(
  B340="",
  ,
  (C340 + IF(INDEX(Input!$L$7:$L1503,ROW()-1),1,0))
  - EDATE(
      B340 + IF(INDEX(Input!$K$7:$K1503,ROW()-1),0,1),
      12*S340
    )
)</f>
        <v/>
      </c>
      <c r="V340" s="6" t="str">
        <f t="shared" si="5"/>
        <v/>
      </c>
      <c r="W340" s="6" t="str">
        <f t="shared" si="6"/>
        <v/>
      </c>
    </row>
    <row r="341">
      <c r="A341" s="18"/>
      <c r="B341" s="18"/>
      <c r="C341" s="18"/>
      <c r="D341" s="18"/>
      <c r="E341" s="18"/>
      <c r="F341" s="18"/>
      <c r="G341" s="22"/>
      <c r="H341" s="18"/>
      <c r="I341" s="18">
        <v>0.0</v>
      </c>
      <c r="J341" s="18">
        <v>0.0</v>
      </c>
      <c r="K341" s="18"/>
      <c r="L341" s="18"/>
      <c r="M341" s="22" t="str">
        <f t="shared" si="1"/>
        <v/>
      </c>
      <c r="N341" s="18" t="str">
        <f>IF(A341="",,IF(ROW()=2, Input!$C$2 + I341, P340 + I341))</f>
        <v/>
      </c>
      <c r="O341" s="23" t="str">
        <f>IF(A341="",,
 IF(K341="Initial principal",
   Input!$C$2 * M341,
   N341 * M341
 )
)</f>
        <v/>
      </c>
      <c r="P341" s="18" t="str">
        <f t="shared" si="2"/>
        <v/>
      </c>
      <c r="Q341" s="18" t="str">
        <f t="shared" si="3"/>
        <v/>
      </c>
      <c r="R341" s="18" t="str">
        <f t="array" ref="R341">IF(
  B341="",
  ,
  SWITCH(
    Input!$C$4,
    "Actual/365 Fixed",
      YEARFRAC(
        B341 + IF(INDEX(Input!$K$7:$K1503,ROW()-1),0,1),
        C341 + IF(INDEX(Input!$L$7:$L1503,ROW()-1),1,0),
        3
      ),
    "Anniversary/365",
      DATEDIF(
        B341 + IF(INDEX(Input!$K$7:$K1503,ROW()-1),0,1),
        C341 + IF(INDEX(Input!$L$7:$L1503,ROW()-1),1,0),
        "Y"
      )
      +
      (
        (C341 + IF(INDEX(Input!$L$7:$L1503,ROW()-1),1,0))
        -
        EDATE(
          B341 + IF(INDEX(Input!$K$7:$K1503,ROW()-1),0,1),
          12*DATEDIF(
            B341 + IF(INDEX(Input!$K$7:$K1503,ROW()-1),0,1),
            C341 + IF(INDEX(Input!$L$7:$L1503,ROW()-1),1,0),
            "Y"
          )
        )
      ) / 365,
    "Actual/Actual",
      YEARFRAC(
        B341 + IF(INDEX(Input!$K$7:$K1503,ROW()-1),0,1),
        C341 + IF(INDEX(Input!$L$7:$L1503,ROW()-1),1,0),
        1
      ),
      YEARFRAC(
        B341 + IF(INDEX(Input!$K$7:$K1503,ROW()-1),0,1),
        C341 + IF(INDEX(Input!$L$7:$L1503,ROW()-1),1,0),
        3
      )
  )
)</f>
        <v/>
      </c>
      <c r="S341" s="22" t="str">
        <f t="shared" si="4"/>
        <v/>
      </c>
      <c r="T341" s="6" t="str">
        <f t="array" ref="T341">IF(
  B341="",
  ,
  DATEDIF(
    B341 + IF(INDEX(Input!$K$7:$K1503,ROW()-1),0,1),
    C341 + IF(INDEX(Input!$L$7:$L1503,ROW()-1),1,0),
    "Y"
  )
)</f>
        <v/>
      </c>
      <c r="U341" s="6" t="str">
        <f t="array" ref="U341">IF(
  B341="",
  ,
  (C341 + IF(INDEX(Input!$L$7:$L1503,ROW()-1),1,0))
  - EDATE(
      B341 + IF(INDEX(Input!$K$7:$K1503,ROW()-1),0,1),
      12*S341
    )
)</f>
        <v/>
      </c>
      <c r="V341" s="6" t="str">
        <f t="shared" si="5"/>
        <v/>
      </c>
      <c r="W341" s="6" t="str">
        <f t="shared" si="6"/>
        <v/>
      </c>
    </row>
    <row r="342">
      <c r="A342" s="18"/>
      <c r="B342" s="18"/>
      <c r="C342" s="18"/>
      <c r="D342" s="18"/>
      <c r="E342" s="18"/>
      <c r="F342" s="18"/>
      <c r="G342" s="22"/>
      <c r="H342" s="18"/>
      <c r="I342" s="18">
        <v>0.0</v>
      </c>
      <c r="J342" s="18">
        <v>0.0</v>
      </c>
      <c r="K342" s="18"/>
      <c r="L342" s="18"/>
      <c r="M342" s="22" t="str">
        <f t="shared" si="1"/>
        <v/>
      </c>
      <c r="N342" s="18" t="str">
        <f>IF(A342="",,IF(ROW()=2, Input!$C$2 + I342, P341 + I342))</f>
        <v/>
      </c>
      <c r="O342" s="23" t="str">
        <f>IF(A342="",,
 IF(K342="Initial principal",
   Input!$C$2 * M342,
   N342 * M342
 )
)</f>
        <v/>
      </c>
      <c r="P342" s="18" t="str">
        <f t="shared" si="2"/>
        <v/>
      </c>
      <c r="Q342" s="18" t="str">
        <f t="shared" si="3"/>
        <v/>
      </c>
      <c r="R342" s="18" t="str">
        <f t="array" ref="R342">IF(
  B342="",
  ,
  SWITCH(
    Input!$C$4,
    "Actual/365 Fixed",
      YEARFRAC(
        B342 + IF(INDEX(Input!$K$7:$K1503,ROW()-1),0,1),
        C342 + IF(INDEX(Input!$L$7:$L1503,ROW()-1),1,0),
        3
      ),
    "Anniversary/365",
      DATEDIF(
        B342 + IF(INDEX(Input!$K$7:$K1503,ROW()-1),0,1),
        C342 + IF(INDEX(Input!$L$7:$L1503,ROW()-1),1,0),
        "Y"
      )
      +
      (
        (C342 + IF(INDEX(Input!$L$7:$L1503,ROW()-1),1,0))
        -
        EDATE(
          B342 + IF(INDEX(Input!$K$7:$K1503,ROW()-1),0,1),
          12*DATEDIF(
            B342 + IF(INDEX(Input!$K$7:$K1503,ROW()-1),0,1),
            C342 + IF(INDEX(Input!$L$7:$L1503,ROW()-1),1,0),
            "Y"
          )
        )
      ) / 365,
    "Actual/Actual",
      YEARFRAC(
        B342 + IF(INDEX(Input!$K$7:$K1503,ROW()-1),0,1),
        C342 + IF(INDEX(Input!$L$7:$L1503,ROW()-1),1,0),
        1
      ),
      YEARFRAC(
        B342 + IF(INDEX(Input!$K$7:$K1503,ROW()-1),0,1),
        C342 + IF(INDEX(Input!$L$7:$L1503,ROW()-1),1,0),
        3
      )
  )
)</f>
        <v/>
      </c>
      <c r="S342" s="22" t="str">
        <f t="shared" si="4"/>
        <v/>
      </c>
      <c r="T342" s="6" t="str">
        <f t="array" ref="T342">IF(
  B342="",
  ,
  DATEDIF(
    B342 + IF(INDEX(Input!$K$7:$K1503,ROW()-1),0,1),
    C342 + IF(INDEX(Input!$L$7:$L1503,ROW()-1),1,0),
    "Y"
  )
)</f>
        <v/>
      </c>
      <c r="U342" s="6" t="str">
        <f t="array" ref="U342">IF(
  B342="",
  ,
  (C342 + IF(INDEX(Input!$L$7:$L1503,ROW()-1),1,0))
  - EDATE(
      B342 + IF(INDEX(Input!$K$7:$K1503,ROW()-1),0,1),
      12*S342
    )
)</f>
        <v/>
      </c>
      <c r="V342" s="6" t="str">
        <f t="shared" si="5"/>
        <v/>
      </c>
      <c r="W342" s="6" t="str">
        <f t="shared" si="6"/>
        <v/>
      </c>
    </row>
    <row r="343">
      <c r="A343" s="18"/>
      <c r="B343" s="18"/>
      <c r="C343" s="18"/>
      <c r="D343" s="18"/>
      <c r="E343" s="18"/>
      <c r="F343" s="18"/>
      <c r="G343" s="22"/>
      <c r="H343" s="18"/>
      <c r="I343" s="18">
        <v>0.0</v>
      </c>
      <c r="J343" s="18">
        <v>0.0</v>
      </c>
      <c r="K343" s="18"/>
      <c r="L343" s="18"/>
      <c r="M343" s="22" t="str">
        <f t="shared" si="1"/>
        <v/>
      </c>
      <c r="N343" s="18" t="str">
        <f>IF(A343="",,IF(ROW()=2, Input!$C$2 + I343, P342 + I343))</f>
        <v/>
      </c>
      <c r="O343" s="23" t="str">
        <f>IF(A343="",,
 IF(K343="Initial principal",
   Input!$C$2 * M343,
   N343 * M343
 )
)</f>
        <v/>
      </c>
      <c r="P343" s="18" t="str">
        <f t="shared" si="2"/>
        <v/>
      </c>
      <c r="Q343" s="18" t="str">
        <f t="shared" si="3"/>
        <v/>
      </c>
      <c r="R343" s="18" t="str">
        <f t="array" ref="R343">IF(
  B343="",
  ,
  SWITCH(
    Input!$C$4,
    "Actual/365 Fixed",
      YEARFRAC(
        B343 + IF(INDEX(Input!$K$7:$K1503,ROW()-1),0,1),
        C343 + IF(INDEX(Input!$L$7:$L1503,ROW()-1),1,0),
        3
      ),
    "Anniversary/365",
      DATEDIF(
        B343 + IF(INDEX(Input!$K$7:$K1503,ROW()-1),0,1),
        C343 + IF(INDEX(Input!$L$7:$L1503,ROW()-1),1,0),
        "Y"
      )
      +
      (
        (C343 + IF(INDEX(Input!$L$7:$L1503,ROW()-1),1,0))
        -
        EDATE(
          B343 + IF(INDEX(Input!$K$7:$K1503,ROW()-1),0,1),
          12*DATEDIF(
            B343 + IF(INDEX(Input!$K$7:$K1503,ROW()-1),0,1),
            C343 + IF(INDEX(Input!$L$7:$L1503,ROW()-1),1,0),
            "Y"
          )
        )
      ) / 365,
    "Actual/Actual",
      YEARFRAC(
        B343 + IF(INDEX(Input!$K$7:$K1503,ROW()-1),0,1),
        C343 + IF(INDEX(Input!$L$7:$L1503,ROW()-1),1,0),
        1
      ),
      YEARFRAC(
        B343 + IF(INDEX(Input!$K$7:$K1503,ROW()-1),0,1),
        C343 + IF(INDEX(Input!$L$7:$L1503,ROW()-1),1,0),
        3
      )
  )
)</f>
        <v/>
      </c>
      <c r="S343" s="22" t="str">
        <f t="shared" si="4"/>
        <v/>
      </c>
      <c r="T343" s="6" t="str">
        <f t="array" ref="T343">IF(
  B343="",
  ,
  DATEDIF(
    B343 + IF(INDEX(Input!$K$7:$K1503,ROW()-1),0,1),
    C343 + IF(INDEX(Input!$L$7:$L1503,ROW()-1),1,0),
    "Y"
  )
)</f>
        <v/>
      </c>
      <c r="U343" s="6" t="str">
        <f t="array" ref="U343">IF(
  B343="",
  ,
  (C343 + IF(INDEX(Input!$L$7:$L1503,ROW()-1),1,0))
  - EDATE(
      B343 + IF(INDEX(Input!$K$7:$K1503,ROW()-1),0,1),
      12*S343
    )
)</f>
        <v/>
      </c>
      <c r="V343" s="6" t="str">
        <f t="shared" si="5"/>
        <v/>
      </c>
      <c r="W343" s="6" t="str">
        <f t="shared" si="6"/>
        <v/>
      </c>
    </row>
    <row r="344">
      <c r="A344" s="18"/>
      <c r="B344" s="18"/>
      <c r="C344" s="18"/>
      <c r="D344" s="18"/>
      <c r="E344" s="18"/>
      <c r="F344" s="18"/>
      <c r="G344" s="22"/>
      <c r="H344" s="18"/>
      <c r="I344" s="18">
        <v>0.0</v>
      </c>
      <c r="J344" s="18">
        <v>0.0</v>
      </c>
      <c r="K344" s="18"/>
      <c r="L344" s="18"/>
      <c r="M344" s="22" t="str">
        <f t="shared" si="1"/>
        <v/>
      </c>
      <c r="N344" s="18" t="str">
        <f>IF(A344="",,IF(ROW()=2, Input!$C$2 + I344, P343 + I344))</f>
        <v/>
      </c>
      <c r="O344" s="23" t="str">
        <f>IF(A344="",,
 IF(K344="Initial principal",
   Input!$C$2 * M344,
   N344 * M344
 )
)</f>
        <v/>
      </c>
      <c r="P344" s="18" t="str">
        <f t="shared" si="2"/>
        <v/>
      </c>
      <c r="Q344" s="18" t="str">
        <f t="shared" si="3"/>
        <v/>
      </c>
      <c r="R344" s="18" t="str">
        <f t="array" ref="R344">IF(
  B344="",
  ,
  SWITCH(
    Input!$C$4,
    "Actual/365 Fixed",
      YEARFRAC(
        B344 + IF(INDEX(Input!$K$7:$K1503,ROW()-1),0,1),
        C344 + IF(INDEX(Input!$L$7:$L1503,ROW()-1),1,0),
        3
      ),
    "Anniversary/365",
      DATEDIF(
        B344 + IF(INDEX(Input!$K$7:$K1503,ROW()-1),0,1),
        C344 + IF(INDEX(Input!$L$7:$L1503,ROW()-1),1,0),
        "Y"
      )
      +
      (
        (C344 + IF(INDEX(Input!$L$7:$L1503,ROW()-1),1,0))
        -
        EDATE(
          B344 + IF(INDEX(Input!$K$7:$K1503,ROW()-1),0,1),
          12*DATEDIF(
            B344 + IF(INDEX(Input!$K$7:$K1503,ROW()-1),0,1),
            C344 + IF(INDEX(Input!$L$7:$L1503,ROW()-1),1,0),
            "Y"
          )
        )
      ) / 365,
    "Actual/Actual",
      YEARFRAC(
        B344 + IF(INDEX(Input!$K$7:$K1503,ROW()-1),0,1),
        C344 + IF(INDEX(Input!$L$7:$L1503,ROW()-1),1,0),
        1
      ),
      YEARFRAC(
        B344 + IF(INDEX(Input!$K$7:$K1503,ROW()-1),0,1),
        C344 + IF(INDEX(Input!$L$7:$L1503,ROW()-1),1,0),
        3
      )
  )
)</f>
        <v/>
      </c>
      <c r="S344" s="22" t="str">
        <f t="shared" si="4"/>
        <v/>
      </c>
      <c r="T344" s="6" t="str">
        <f t="array" ref="T344">IF(
  B344="",
  ,
  DATEDIF(
    B344 + IF(INDEX(Input!$K$7:$K1503,ROW()-1),0,1),
    C344 + IF(INDEX(Input!$L$7:$L1503,ROW()-1),1,0),
    "Y"
  )
)</f>
        <v/>
      </c>
      <c r="U344" s="6" t="str">
        <f t="array" ref="U344">IF(
  B344="",
  ,
  (C344 + IF(INDEX(Input!$L$7:$L1503,ROW()-1),1,0))
  - EDATE(
      B344 + IF(INDEX(Input!$K$7:$K1503,ROW()-1),0,1),
      12*S344
    )
)</f>
        <v/>
      </c>
      <c r="V344" s="6" t="str">
        <f t="shared" si="5"/>
        <v/>
      </c>
      <c r="W344" s="6" t="str">
        <f t="shared" si="6"/>
        <v/>
      </c>
    </row>
    <row r="345">
      <c r="A345" s="18"/>
      <c r="B345" s="18"/>
      <c r="C345" s="18"/>
      <c r="D345" s="18"/>
      <c r="E345" s="18"/>
      <c r="F345" s="18"/>
      <c r="G345" s="22"/>
      <c r="H345" s="18"/>
      <c r="I345" s="18">
        <v>0.0</v>
      </c>
      <c r="J345" s="18">
        <v>0.0</v>
      </c>
      <c r="K345" s="18"/>
      <c r="L345" s="18"/>
      <c r="M345" s="22" t="str">
        <f t="shared" si="1"/>
        <v/>
      </c>
      <c r="N345" s="18" t="str">
        <f>IF(A345="",,IF(ROW()=2, Input!$C$2 + I345, P344 + I345))</f>
        <v/>
      </c>
      <c r="O345" s="23" t="str">
        <f>IF(A345="",,
 IF(K345="Initial principal",
   Input!$C$2 * M345,
   N345 * M345
 )
)</f>
        <v/>
      </c>
      <c r="P345" s="18" t="str">
        <f t="shared" si="2"/>
        <v/>
      </c>
      <c r="Q345" s="18" t="str">
        <f t="shared" si="3"/>
        <v/>
      </c>
      <c r="R345" s="18" t="str">
        <f t="array" ref="R345">IF(
  B345="",
  ,
  SWITCH(
    Input!$C$4,
    "Actual/365 Fixed",
      YEARFRAC(
        B345 + IF(INDEX(Input!$K$7:$K1503,ROW()-1),0,1),
        C345 + IF(INDEX(Input!$L$7:$L1503,ROW()-1),1,0),
        3
      ),
    "Anniversary/365",
      DATEDIF(
        B345 + IF(INDEX(Input!$K$7:$K1503,ROW()-1),0,1),
        C345 + IF(INDEX(Input!$L$7:$L1503,ROW()-1),1,0),
        "Y"
      )
      +
      (
        (C345 + IF(INDEX(Input!$L$7:$L1503,ROW()-1),1,0))
        -
        EDATE(
          B345 + IF(INDEX(Input!$K$7:$K1503,ROW()-1),0,1),
          12*DATEDIF(
            B345 + IF(INDEX(Input!$K$7:$K1503,ROW()-1),0,1),
            C345 + IF(INDEX(Input!$L$7:$L1503,ROW()-1),1,0),
            "Y"
          )
        )
      ) / 365,
    "Actual/Actual",
      YEARFRAC(
        B345 + IF(INDEX(Input!$K$7:$K1503,ROW()-1),0,1),
        C345 + IF(INDEX(Input!$L$7:$L1503,ROW()-1),1,0),
        1
      ),
      YEARFRAC(
        B345 + IF(INDEX(Input!$K$7:$K1503,ROW()-1),0,1),
        C345 + IF(INDEX(Input!$L$7:$L1503,ROW()-1),1,0),
        3
      )
  )
)</f>
        <v/>
      </c>
      <c r="S345" s="22" t="str">
        <f t="shared" si="4"/>
        <v/>
      </c>
      <c r="T345" s="6" t="str">
        <f t="array" ref="T345">IF(
  B345="",
  ,
  DATEDIF(
    B345 + IF(INDEX(Input!$K$7:$K1503,ROW()-1),0,1),
    C345 + IF(INDEX(Input!$L$7:$L1503,ROW()-1),1,0),
    "Y"
  )
)</f>
        <v/>
      </c>
      <c r="U345" s="6" t="str">
        <f t="array" ref="U345">IF(
  B345="",
  ,
  (C345 + IF(INDEX(Input!$L$7:$L1503,ROW()-1),1,0))
  - EDATE(
      B345 + IF(INDEX(Input!$K$7:$K1503,ROW()-1),0,1),
      12*S345
    )
)</f>
        <v/>
      </c>
      <c r="V345" s="6" t="str">
        <f t="shared" si="5"/>
        <v/>
      </c>
      <c r="W345" s="6" t="str">
        <f t="shared" si="6"/>
        <v/>
      </c>
    </row>
    <row r="346">
      <c r="A346" s="18"/>
      <c r="B346" s="18"/>
      <c r="C346" s="18"/>
      <c r="D346" s="18"/>
      <c r="E346" s="18"/>
      <c r="F346" s="18"/>
      <c r="G346" s="22"/>
      <c r="H346" s="18"/>
      <c r="I346" s="18">
        <v>0.0</v>
      </c>
      <c r="J346" s="18">
        <v>0.0</v>
      </c>
      <c r="K346" s="18"/>
      <c r="L346" s="18"/>
      <c r="M346" s="22" t="str">
        <f t="shared" si="1"/>
        <v/>
      </c>
      <c r="N346" s="18" t="str">
        <f>IF(A346="",,IF(ROW()=2, Input!$C$2 + I346, P345 + I346))</f>
        <v/>
      </c>
      <c r="O346" s="23" t="str">
        <f>IF(A346="",,
 IF(K346="Initial principal",
   Input!$C$2 * M346,
   N346 * M346
 )
)</f>
        <v/>
      </c>
      <c r="P346" s="18" t="str">
        <f t="shared" si="2"/>
        <v/>
      </c>
      <c r="Q346" s="18" t="str">
        <f t="shared" si="3"/>
        <v/>
      </c>
      <c r="R346" s="18" t="str">
        <f t="array" ref="R346">IF(
  B346="",
  ,
  SWITCH(
    Input!$C$4,
    "Actual/365 Fixed",
      YEARFRAC(
        B346 + IF(INDEX(Input!$K$7:$K1503,ROW()-1),0,1),
        C346 + IF(INDEX(Input!$L$7:$L1503,ROW()-1),1,0),
        3
      ),
    "Anniversary/365",
      DATEDIF(
        B346 + IF(INDEX(Input!$K$7:$K1503,ROW()-1),0,1),
        C346 + IF(INDEX(Input!$L$7:$L1503,ROW()-1),1,0),
        "Y"
      )
      +
      (
        (C346 + IF(INDEX(Input!$L$7:$L1503,ROW()-1),1,0))
        -
        EDATE(
          B346 + IF(INDEX(Input!$K$7:$K1503,ROW()-1),0,1),
          12*DATEDIF(
            B346 + IF(INDEX(Input!$K$7:$K1503,ROW()-1),0,1),
            C346 + IF(INDEX(Input!$L$7:$L1503,ROW()-1),1,0),
            "Y"
          )
        )
      ) / 365,
    "Actual/Actual",
      YEARFRAC(
        B346 + IF(INDEX(Input!$K$7:$K1503,ROW()-1),0,1),
        C346 + IF(INDEX(Input!$L$7:$L1503,ROW()-1),1,0),
        1
      ),
      YEARFRAC(
        B346 + IF(INDEX(Input!$K$7:$K1503,ROW()-1),0,1),
        C346 + IF(INDEX(Input!$L$7:$L1503,ROW()-1),1,0),
        3
      )
  )
)</f>
        <v/>
      </c>
      <c r="S346" s="22" t="str">
        <f t="shared" si="4"/>
        <v/>
      </c>
      <c r="T346" s="6" t="str">
        <f t="array" ref="T346">IF(
  B346="",
  ,
  DATEDIF(
    B346 + IF(INDEX(Input!$K$7:$K1503,ROW()-1),0,1),
    C346 + IF(INDEX(Input!$L$7:$L1503,ROW()-1),1,0),
    "Y"
  )
)</f>
        <v/>
      </c>
      <c r="U346" s="6" t="str">
        <f t="array" ref="U346">IF(
  B346="",
  ,
  (C346 + IF(INDEX(Input!$L$7:$L1503,ROW()-1),1,0))
  - EDATE(
      B346 + IF(INDEX(Input!$K$7:$K1503,ROW()-1),0,1),
      12*S346
    )
)</f>
        <v/>
      </c>
      <c r="V346" s="6" t="str">
        <f t="shared" si="5"/>
        <v/>
      </c>
      <c r="W346" s="6" t="str">
        <f t="shared" si="6"/>
        <v/>
      </c>
    </row>
    <row r="347">
      <c r="A347" s="18"/>
      <c r="B347" s="18"/>
      <c r="C347" s="18"/>
      <c r="D347" s="18"/>
      <c r="E347" s="18"/>
      <c r="F347" s="18"/>
      <c r="G347" s="22"/>
      <c r="H347" s="18"/>
      <c r="I347" s="18">
        <v>0.0</v>
      </c>
      <c r="J347" s="18">
        <v>0.0</v>
      </c>
      <c r="K347" s="18"/>
      <c r="L347" s="18"/>
      <c r="M347" s="22" t="str">
        <f t="shared" si="1"/>
        <v/>
      </c>
      <c r="N347" s="18" t="str">
        <f>IF(A347="",,IF(ROW()=2, Input!$C$2 + I347, P346 + I347))</f>
        <v/>
      </c>
      <c r="O347" s="23" t="str">
        <f>IF(A347="",,
 IF(K347="Initial principal",
   Input!$C$2 * M347,
   N347 * M347
 )
)</f>
        <v/>
      </c>
      <c r="P347" s="18" t="str">
        <f t="shared" si="2"/>
        <v/>
      </c>
      <c r="Q347" s="18" t="str">
        <f t="shared" si="3"/>
        <v/>
      </c>
      <c r="R347" s="18" t="str">
        <f t="array" ref="R347">IF(
  B347="",
  ,
  SWITCH(
    Input!$C$4,
    "Actual/365 Fixed",
      YEARFRAC(
        B347 + IF(INDEX(Input!$K$7:$K1503,ROW()-1),0,1),
        C347 + IF(INDEX(Input!$L$7:$L1503,ROW()-1),1,0),
        3
      ),
    "Anniversary/365",
      DATEDIF(
        B347 + IF(INDEX(Input!$K$7:$K1503,ROW()-1),0,1),
        C347 + IF(INDEX(Input!$L$7:$L1503,ROW()-1),1,0),
        "Y"
      )
      +
      (
        (C347 + IF(INDEX(Input!$L$7:$L1503,ROW()-1),1,0))
        -
        EDATE(
          B347 + IF(INDEX(Input!$K$7:$K1503,ROW()-1),0,1),
          12*DATEDIF(
            B347 + IF(INDEX(Input!$K$7:$K1503,ROW()-1),0,1),
            C347 + IF(INDEX(Input!$L$7:$L1503,ROW()-1),1,0),
            "Y"
          )
        )
      ) / 365,
    "Actual/Actual",
      YEARFRAC(
        B347 + IF(INDEX(Input!$K$7:$K1503,ROW()-1),0,1),
        C347 + IF(INDEX(Input!$L$7:$L1503,ROW()-1),1,0),
        1
      ),
      YEARFRAC(
        B347 + IF(INDEX(Input!$K$7:$K1503,ROW()-1),0,1),
        C347 + IF(INDEX(Input!$L$7:$L1503,ROW()-1),1,0),
        3
      )
  )
)</f>
        <v/>
      </c>
      <c r="S347" s="22" t="str">
        <f t="shared" si="4"/>
        <v/>
      </c>
      <c r="T347" s="6" t="str">
        <f t="array" ref="T347">IF(
  B347="",
  ,
  DATEDIF(
    B347 + IF(INDEX(Input!$K$7:$K1503,ROW()-1),0,1),
    C347 + IF(INDEX(Input!$L$7:$L1503,ROW()-1),1,0),
    "Y"
  )
)</f>
        <v/>
      </c>
      <c r="U347" s="6" t="str">
        <f t="array" ref="U347">IF(
  B347="",
  ,
  (C347 + IF(INDEX(Input!$L$7:$L1503,ROW()-1),1,0))
  - EDATE(
      B347 + IF(INDEX(Input!$K$7:$K1503,ROW()-1),0,1),
      12*S347
    )
)</f>
        <v/>
      </c>
      <c r="V347" s="6" t="str">
        <f t="shared" si="5"/>
        <v/>
      </c>
      <c r="W347" s="6" t="str">
        <f t="shared" si="6"/>
        <v/>
      </c>
    </row>
    <row r="348">
      <c r="A348" s="18"/>
      <c r="B348" s="18"/>
      <c r="C348" s="18"/>
      <c r="D348" s="18"/>
      <c r="E348" s="18"/>
      <c r="F348" s="18"/>
      <c r="G348" s="22"/>
      <c r="H348" s="18"/>
      <c r="I348" s="18">
        <v>0.0</v>
      </c>
      <c r="J348" s="18">
        <v>0.0</v>
      </c>
      <c r="K348" s="18"/>
      <c r="L348" s="18"/>
      <c r="M348" s="22" t="str">
        <f t="shared" si="1"/>
        <v/>
      </c>
      <c r="N348" s="18" t="str">
        <f>IF(A348="",,IF(ROW()=2, Input!$C$2 + I348, P347 + I348))</f>
        <v/>
      </c>
      <c r="O348" s="23" t="str">
        <f>IF(A348="",,
 IF(K348="Initial principal",
   Input!$C$2 * M348,
   N348 * M348
 )
)</f>
        <v/>
      </c>
      <c r="P348" s="18" t="str">
        <f t="shared" si="2"/>
        <v/>
      </c>
      <c r="Q348" s="18" t="str">
        <f t="shared" si="3"/>
        <v/>
      </c>
      <c r="R348" s="18" t="str">
        <f t="array" ref="R348">IF(
  B348="",
  ,
  SWITCH(
    Input!$C$4,
    "Actual/365 Fixed",
      YEARFRAC(
        B348 + IF(INDEX(Input!$K$7:$K1503,ROW()-1),0,1),
        C348 + IF(INDEX(Input!$L$7:$L1503,ROW()-1),1,0),
        3
      ),
    "Anniversary/365",
      DATEDIF(
        B348 + IF(INDEX(Input!$K$7:$K1503,ROW()-1),0,1),
        C348 + IF(INDEX(Input!$L$7:$L1503,ROW()-1),1,0),
        "Y"
      )
      +
      (
        (C348 + IF(INDEX(Input!$L$7:$L1503,ROW()-1),1,0))
        -
        EDATE(
          B348 + IF(INDEX(Input!$K$7:$K1503,ROW()-1),0,1),
          12*DATEDIF(
            B348 + IF(INDEX(Input!$K$7:$K1503,ROW()-1),0,1),
            C348 + IF(INDEX(Input!$L$7:$L1503,ROW()-1),1,0),
            "Y"
          )
        )
      ) / 365,
    "Actual/Actual",
      YEARFRAC(
        B348 + IF(INDEX(Input!$K$7:$K1503,ROW()-1),0,1),
        C348 + IF(INDEX(Input!$L$7:$L1503,ROW()-1),1,0),
        1
      ),
      YEARFRAC(
        B348 + IF(INDEX(Input!$K$7:$K1503,ROW()-1),0,1),
        C348 + IF(INDEX(Input!$L$7:$L1503,ROW()-1),1,0),
        3
      )
  )
)</f>
        <v/>
      </c>
      <c r="S348" s="22" t="str">
        <f t="shared" si="4"/>
        <v/>
      </c>
      <c r="T348" s="6" t="str">
        <f t="array" ref="T348">IF(
  B348="",
  ,
  DATEDIF(
    B348 + IF(INDEX(Input!$K$7:$K1503,ROW()-1),0,1),
    C348 + IF(INDEX(Input!$L$7:$L1503,ROW()-1),1,0),
    "Y"
  )
)</f>
        <v/>
      </c>
      <c r="U348" s="6" t="str">
        <f t="array" ref="U348">IF(
  B348="",
  ,
  (C348 + IF(INDEX(Input!$L$7:$L1503,ROW()-1),1,0))
  - EDATE(
      B348 + IF(INDEX(Input!$K$7:$K1503,ROW()-1),0,1),
      12*S348
    )
)</f>
        <v/>
      </c>
      <c r="V348" s="6" t="str">
        <f t="shared" si="5"/>
        <v/>
      </c>
      <c r="W348" s="6" t="str">
        <f t="shared" si="6"/>
        <v/>
      </c>
    </row>
    <row r="349">
      <c r="A349" s="18"/>
      <c r="B349" s="18"/>
      <c r="C349" s="18"/>
      <c r="D349" s="18"/>
      <c r="E349" s="18"/>
      <c r="F349" s="18"/>
      <c r="G349" s="22"/>
      <c r="H349" s="18"/>
      <c r="I349" s="18">
        <v>0.0</v>
      </c>
      <c r="J349" s="18">
        <v>0.0</v>
      </c>
      <c r="K349" s="18"/>
      <c r="L349" s="18"/>
      <c r="M349" s="22" t="str">
        <f t="shared" si="1"/>
        <v/>
      </c>
      <c r="N349" s="18" t="str">
        <f>IF(A349="",,IF(ROW()=2, Input!$C$2 + I349, P348 + I349))</f>
        <v/>
      </c>
      <c r="O349" s="23" t="str">
        <f>IF(A349="",,
 IF(K349="Initial principal",
   Input!$C$2 * M349,
   N349 * M349
 )
)</f>
        <v/>
      </c>
      <c r="P349" s="18" t="str">
        <f t="shared" si="2"/>
        <v/>
      </c>
      <c r="Q349" s="18" t="str">
        <f t="shared" si="3"/>
        <v/>
      </c>
      <c r="R349" s="18" t="str">
        <f t="array" ref="R349">IF(
  B349="",
  ,
  SWITCH(
    Input!$C$4,
    "Actual/365 Fixed",
      YEARFRAC(
        B349 + IF(INDEX(Input!$K$7:$K1503,ROW()-1),0,1),
        C349 + IF(INDEX(Input!$L$7:$L1503,ROW()-1),1,0),
        3
      ),
    "Anniversary/365",
      DATEDIF(
        B349 + IF(INDEX(Input!$K$7:$K1503,ROW()-1),0,1),
        C349 + IF(INDEX(Input!$L$7:$L1503,ROW()-1),1,0),
        "Y"
      )
      +
      (
        (C349 + IF(INDEX(Input!$L$7:$L1503,ROW()-1),1,0))
        -
        EDATE(
          B349 + IF(INDEX(Input!$K$7:$K1503,ROW()-1),0,1),
          12*DATEDIF(
            B349 + IF(INDEX(Input!$K$7:$K1503,ROW()-1),0,1),
            C349 + IF(INDEX(Input!$L$7:$L1503,ROW()-1),1,0),
            "Y"
          )
        )
      ) / 365,
    "Actual/Actual",
      YEARFRAC(
        B349 + IF(INDEX(Input!$K$7:$K1503,ROW()-1),0,1),
        C349 + IF(INDEX(Input!$L$7:$L1503,ROW()-1),1,0),
        1
      ),
      YEARFRAC(
        B349 + IF(INDEX(Input!$K$7:$K1503,ROW()-1),0,1),
        C349 + IF(INDEX(Input!$L$7:$L1503,ROW()-1),1,0),
        3
      )
  )
)</f>
        <v/>
      </c>
      <c r="S349" s="22" t="str">
        <f t="shared" si="4"/>
        <v/>
      </c>
      <c r="T349" s="6" t="str">
        <f t="array" ref="T349">IF(
  B349="",
  ,
  DATEDIF(
    B349 + IF(INDEX(Input!$K$7:$K1503,ROW()-1),0,1),
    C349 + IF(INDEX(Input!$L$7:$L1503,ROW()-1),1,0),
    "Y"
  )
)</f>
        <v/>
      </c>
      <c r="U349" s="6" t="str">
        <f t="array" ref="U349">IF(
  B349="",
  ,
  (C349 + IF(INDEX(Input!$L$7:$L1503,ROW()-1),1,0))
  - EDATE(
      B349 + IF(INDEX(Input!$K$7:$K1503,ROW()-1),0,1),
      12*S349
    )
)</f>
        <v/>
      </c>
      <c r="V349" s="6" t="str">
        <f t="shared" si="5"/>
        <v/>
      </c>
      <c r="W349" s="6" t="str">
        <f t="shared" si="6"/>
        <v/>
      </c>
    </row>
    <row r="350">
      <c r="A350" s="18"/>
      <c r="B350" s="18"/>
      <c r="C350" s="18"/>
      <c r="D350" s="18"/>
      <c r="E350" s="18"/>
      <c r="F350" s="18"/>
      <c r="G350" s="22"/>
      <c r="H350" s="18"/>
      <c r="I350" s="18">
        <v>0.0</v>
      </c>
      <c r="J350" s="18">
        <v>0.0</v>
      </c>
      <c r="K350" s="18"/>
      <c r="L350" s="18"/>
      <c r="M350" s="22" t="str">
        <f t="shared" si="1"/>
        <v/>
      </c>
      <c r="N350" s="18" t="str">
        <f>IF(A350="",,IF(ROW()=2, Input!$C$2 + I350, P349 + I350))</f>
        <v/>
      </c>
      <c r="O350" s="23" t="str">
        <f>IF(A350="",,
 IF(K350="Initial principal",
   Input!$C$2 * M350,
   N350 * M350
 )
)</f>
        <v/>
      </c>
      <c r="P350" s="18" t="str">
        <f t="shared" si="2"/>
        <v/>
      </c>
      <c r="Q350" s="18" t="str">
        <f t="shared" si="3"/>
        <v/>
      </c>
      <c r="R350" s="18" t="str">
        <f t="array" ref="R350">IF(
  B350="",
  ,
  SWITCH(
    Input!$C$4,
    "Actual/365 Fixed",
      YEARFRAC(
        B350 + IF(INDEX(Input!$K$7:$K1503,ROW()-1),0,1),
        C350 + IF(INDEX(Input!$L$7:$L1503,ROW()-1),1,0),
        3
      ),
    "Anniversary/365",
      DATEDIF(
        B350 + IF(INDEX(Input!$K$7:$K1503,ROW()-1),0,1),
        C350 + IF(INDEX(Input!$L$7:$L1503,ROW()-1),1,0),
        "Y"
      )
      +
      (
        (C350 + IF(INDEX(Input!$L$7:$L1503,ROW()-1),1,0))
        -
        EDATE(
          B350 + IF(INDEX(Input!$K$7:$K1503,ROW()-1),0,1),
          12*DATEDIF(
            B350 + IF(INDEX(Input!$K$7:$K1503,ROW()-1),0,1),
            C350 + IF(INDEX(Input!$L$7:$L1503,ROW()-1),1,0),
            "Y"
          )
        )
      ) / 365,
    "Actual/Actual",
      YEARFRAC(
        B350 + IF(INDEX(Input!$K$7:$K1503,ROW()-1),0,1),
        C350 + IF(INDEX(Input!$L$7:$L1503,ROW()-1),1,0),
        1
      ),
      YEARFRAC(
        B350 + IF(INDEX(Input!$K$7:$K1503,ROW()-1),0,1),
        C350 + IF(INDEX(Input!$L$7:$L1503,ROW()-1),1,0),
        3
      )
  )
)</f>
        <v/>
      </c>
      <c r="S350" s="22" t="str">
        <f t="shared" si="4"/>
        <v/>
      </c>
      <c r="T350" s="6" t="str">
        <f t="array" ref="T350">IF(
  B350="",
  ,
  DATEDIF(
    B350 + IF(INDEX(Input!$K$7:$K1503,ROW()-1),0,1),
    C350 + IF(INDEX(Input!$L$7:$L1503,ROW()-1),1,0),
    "Y"
  )
)</f>
        <v/>
      </c>
      <c r="U350" s="6" t="str">
        <f t="array" ref="U350">IF(
  B350="",
  ,
  (C350 + IF(INDEX(Input!$L$7:$L1503,ROW()-1),1,0))
  - EDATE(
      B350 + IF(INDEX(Input!$K$7:$K1503,ROW()-1),0,1),
      12*S350
    )
)</f>
        <v/>
      </c>
      <c r="V350" s="6" t="str">
        <f t="shared" si="5"/>
        <v/>
      </c>
      <c r="W350" s="6" t="str">
        <f t="shared" si="6"/>
        <v/>
      </c>
    </row>
    <row r="351">
      <c r="A351" s="18"/>
      <c r="B351" s="18"/>
      <c r="C351" s="18"/>
      <c r="D351" s="18"/>
      <c r="E351" s="18"/>
      <c r="F351" s="18"/>
      <c r="G351" s="22"/>
      <c r="H351" s="18"/>
      <c r="I351" s="18">
        <v>0.0</v>
      </c>
      <c r="J351" s="18">
        <v>0.0</v>
      </c>
      <c r="K351" s="18"/>
      <c r="L351" s="18"/>
      <c r="M351" s="22" t="str">
        <f t="shared" si="1"/>
        <v/>
      </c>
      <c r="N351" s="18" t="str">
        <f>IF(A351="",,IF(ROW()=2, Input!$C$2 + I351, P350 + I351))</f>
        <v/>
      </c>
      <c r="O351" s="23" t="str">
        <f>IF(A351="",,
 IF(K351="Initial principal",
   Input!$C$2 * M351,
   N351 * M351
 )
)</f>
        <v/>
      </c>
      <c r="P351" s="18" t="str">
        <f t="shared" si="2"/>
        <v/>
      </c>
      <c r="Q351" s="18" t="str">
        <f t="shared" si="3"/>
        <v/>
      </c>
      <c r="R351" s="18" t="str">
        <f t="array" ref="R351">IF(
  B351="",
  ,
  SWITCH(
    Input!$C$4,
    "Actual/365 Fixed",
      YEARFRAC(
        B351 + IF(INDEX(Input!$K$7:$K1503,ROW()-1),0,1),
        C351 + IF(INDEX(Input!$L$7:$L1503,ROW()-1),1,0),
        3
      ),
    "Anniversary/365",
      DATEDIF(
        B351 + IF(INDEX(Input!$K$7:$K1503,ROW()-1),0,1),
        C351 + IF(INDEX(Input!$L$7:$L1503,ROW()-1),1,0),
        "Y"
      )
      +
      (
        (C351 + IF(INDEX(Input!$L$7:$L1503,ROW()-1),1,0))
        -
        EDATE(
          B351 + IF(INDEX(Input!$K$7:$K1503,ROW()-1),0,1),
          12*DATEDIF(
            B351 + IF(INDEX(Input!$K$7:$K1503,ROW()-1),0,1),
            C351 + IF(INDEX(Input!$L$7:$L1503,ROW()-1),1,0),
            "Y"
          )
        )
      ) / 365,
    "Actual/Actual",
      YEARFRAC(
        B351 + IF(INDEX(Input!$K$7:$K1503,ROW()-1),0,1),
        C351 + IF(INDEX(Input!$L$7:$L1503,ROW()-1),1,0),
        1
      ),
      YEARFRAC(
        B351 + IF(INDEX(Input!$K$7:$K1503,ROW()-1),0,1),
        C351 + IF(INDEX(Input!$L$7:$L1503,ROW()-1),1,0),
        3
      )
  )
)</f>
        <v/>
      </c>
      <c r="S351" s="22" t="str">
        <f t="shared" si="4"/>
        <v/>
      </c>
      <c r="T351" s="6" t="str">
        <f t="array" ref="T351">IF(
  B351="",
  ,
  DATEDIF(
    B351 + IF(INDEX(Input!$K$7:$K1503,ROW()-1),0,1),
    C351 + IF(INDEX(Input!$L$7:$L1503,ROW()-1),1,0),
    "Y"
  )
)</f>
        <v/>
      </c>
      <c r="U351" s="6" t="str">
        <f t="array" ref="U351">IF(
  B351="",
  ,
  (C351 + IF(INDEX(Input!$L$7:$L1503,ROW()-1),1,0))
  - EDATE(
      B351 + IF(INDEX(Input!$K$7:$K1503,ROW()-1),0,1),
      12*S351
    )
)</f>
        <v/>
      </c>
      <c r="V351" s="6" t="str">
        <f t="shared" si="5"/>
        <v/>
      </c>
      <c r="W351" s="6" t="str">
        <f t="shared" si="6"/>
        <v/>
      </c>
    </row>
    <row r="352">
      <c r="A352" s="18"/>
      <c r="B352" s="18"/>
      <c r="C352" s="18"/>
      <c r="D352" s="18"/>
      <c r="E352" s="18"/>
      <c r="F352" s="18"/>
      <c r="G352" s="22"/>
      <c r="H352" s="18"/>
      <c r="I352" s="18">
        <v>0.0</v>
      </c>
      <c r="J352" s="18">
        <v>0.0</v>
      </c>
      <c r="K352" s="18"/>
      <c r="L352" s="18"/>
      <c r="M352" s="22" t="str">
        <f t="shared" si="1"/>
        <v/>
      </c>
      <c r="N352" s="18" t="str">
        <f>IF(A352="",,IF(ROW()=2, Input!$C$2 + I352, P351 + I352))</f>
        <v/>
      </c>
      <c r="O352" s="23" t="str">
        <f>IF(A352="",,
 IF(K352="Initial principal",
   Input!$C$2 * M352,
   N352 * M352
 )
)</f>
        <v/>
      </c>
      <c r="P352" s="18" t="str">
        <f t="shared" si="2"/>
        <v/>
      </c>
      <c r="Q352" s="18" t="str">
        <f t="shared" si="3"/>
        <v/>
      </c>
      <c r="R352" s="18" t="str">
        <f t="array" ref="R352">IF(
  B352="",
  ,
  SWITCH(
    Input!$C$4,
    "Actual/365 Fixed",
      YEARFRAC(
        B352 + IF(INDEX(Input!$K$7:$K1503,ROW()-1),0,1),
        C352 + IF(INDEX(Input!$L$7:$L1503,ROW()-1),1,0),
        3
      ),
    "Anniversary/365",
      DATEDIF(
        B352 + IF(INDEX(Input!$K$7:$K1503,ROW()-1),0,1),
        C352 + IF(INDEX(Input!$L$7:$L1503,ROW()-1),1,0),
        "Y"
      )
      +
      (
        (C352 + IF(INDEX(Input!$L$7:$L1503,ROW()-1),1,0))
        -
        EDATE(
          B352 + IF(INDEX(Input!$K$7:$K1503,ROW()-1),0,1),
          12*DATEDIF(
            B352 + IF(INDEX(Input!$K$7:$K1503,ROW()-1),0,1),
            C352 + IF(INDEX(Input!$L$7:$L1503,ROW()-1),1,0),
            "Y"
          )
        )
      ) / 365,
    "Actual/Actual",
      YEARFRAC(
        B352 + IF(INDEX(Input!$K$7:$K1503,ROW()-1),0,1),
        C352 + IF(INDEX(Input!$L$7:$L1503,ROW()-1),1,0),
        1
      ),
      YEARFRAC(
        B352 + IF(INDEX(Input!$K$7:$K1503,ROW()-1),0,1),
        C352 + IF(INDEX(Input!$L$7:$L1503,ROW()-1),1,0),
        3
      )
  )
)</f>
        <v/>
      </c>
      <c r="S352" s="22" t="str">
        <f t="shared" si="4"/>
        <v/>
      </c>
      <c r="T352" s="6" t="str">
        <f t="array" ref="T352">IF(
  B352="",
  ,
  DATEDIF(
    B352 + IF(INDEX(Input!$K$7:$K1503,ROW()-1),0,1),
    C352 + IF(INDEX(Input!$L$7:$L1503,ROW()-1),1,0),
    "Y"
  )
)</f>
        <v/>
      </c>
      <c r="U352" s="6" t="str">
        <f t="array" ref="U352">IF(
  B352="",
  ,
  (C352 + IF(INDEX(Input!$L$7:$L1503,ROW()-1),1,0))
  - EDATE(
      B352 + IF(INDEX(Input!$K$7:$K1503,ROW()-1),0,1),
      12*S352
    )
)</f>
        <v/>
      </c>
      <c r="V352" s="6" t="str">
        <f t="shared" si="5"/>
        <v/>
      </c>
      <c r="W352" s="6" t="str">
        <f t="shared" si="6"/>
        <v/>
      </c>
    </row>
    <row r="353">
      <c r="A353" s="18"/>
      <c r="B353" s="18"/>
      <c r="C353" s="18"/>
      <c r="D353" s="18"/>
      <c r="E353" s="18"/>
      <c r="F353" s="18"/>
      <c r="G353" s="22"/>
      <c r="H353" s="18"/>
      <c r="I353" s="18">
        <v>0.0</v>
      </c>
      <c r="J353" s="18">
        <v>0.0</v>
      </c>
      <c r="K353" s="18"/>
      <c r="L353" s="18"/>
      <c r="M353" s="22" t="str">
        <f t="shared" si="1"/>
        <v/>
      </c>
      <c r="N353" s="18" t="str">
        <f>IF(A353="",,IF(ROW()=2, Input!$C$2 + I353, P352 + I353))</f>
        <v/>
      </c>
      <c r="O353" s="23" t="str">
        <f>IF(A353="",,
 IF(K353="Initial principal",
   Input!$C$2 * M353,
   N353 * M353
 )
)</f>
        <v/>
      </c>
      <c r="P353" s="18" t="str">
        <f t="shared" si="2"/>
        <v/>
      </c>
      <c r="Q353" s="18" t="str">
        <f t="shared" si="3"/>
        <v/>
      </c>
      <c r="R353" s="18" t="str">
        <f t="array" ref="R353">IF(
  B353="",
  ,
  SWITCH(
    Input!$C$4,
    "Actual/365 Fixed",
      YEARFRAC(
        B353 + IF(INDEX(Input!$K$7:$K1503,ROW()-1),0,1),
        C353 + IF(INDEX(Input!$L$7:$L1503,ROW()-1),1,0),
        3
      ),
    "Anniversary/365",
      DATEDIF(
        B353 + IF(INDEX(Input!$K$7:$K1503,ROW()-1),0,1),
        C353 + IF(INDEX(Input!$L$7:$L1503,ROW()-1),1,0),
        "Y"
      )
      +
      (
        (C353 + IF(INDEX(Input!$L$7:$L1503,ROW()-1),1,0))
        -
        EDATE(
          B353 + IF(INDEX(Input!$K$7:$K1503,ROW()-1),0,1),
          12*DATEDIF(
            B353 + IF(INDEX(Input!$K$7:$K1503,ROW()-1),0,1),
            C353 + IF(INDEX(Input!$L$7:$L1503,ROW()-1),1,0),
            "Y"
          )
        )
      ) / 365,
    "Actual/Actual",
      YEARFRAC(
        B353 + IF(INDEX(Input!$K$7:$K1503,ROW()-1),0,1),
        C353 + IF(INDEX(Input!$L$7:$L1503,ROW()-1),1,0),
        1
      ),
      YEARFRAC(
        B353 + IF(INDEX(Input!$K$7:$K1503,ROW()-1),0,1),
        C353 + IF(INDEX(Input!$L$7:$L1503,ROW()-1),1,0),
        3
      )
  )
)</f>
        <v/>
      </c>
      <c r="S353" s="22" t="str">
        <f t="shared" si="4"/>
        <v/>
      </c>
      <c r="T353" s="6" t="str">
        <f t="array" ref="T353">IF(
  B353="",
  ,
  DATEDIF(
    B353 + IF(INDEX(Input!$K$7:$K1503,ROW()-1),0,1),
    C353 + IF(INDEX(Input!$L$7:$L1503,ROW()-1),1,0),
    "Y"
  )
)</f>
        <v/>
      </c>
      <c r="U353" s="6" t="str">
        <f t="array" ref="U353">IF(
  B353="",
  ,
  (C353 + IF(INDEX(Input!$L$7:$L1503,ROW()-1),1,0))
  - EDATE(
      B353 + IF(INDEX(Input!$K$7:$K1503,ROW()-1),0,1),
      12*S353
    )
)</f>
        <v/>
      </c>
      <c r="V353" s="6" t="str">
        <f t="shared" si="5"/>
        <v/>
      </c>
      <c r="W353" s="6" t="str">
        <f t="shared" si="6"/>
        <v/>
      </c>
    </row>
    <row r="354">
      <c r="A354" s="18"/>
      <c r="B354" s="18"/>
      <c r="C354" s="18"/>
      <c r="D354" s="18"/>
      <c r="E354" s="18"/>
      <c r="F354" s="18"/>
      <c r="G354" s="22"/>
      <c r="H354" s="18"/>
      <c r="I354" s="18">
        <v>0.0</v>
      </c>
      <c r="J354" s="18">
        <v>0.0</v>
      </c>
      <c r="K354" s="18"/>
      <c r="L354" s="18"/>
      <c r="M354" s="22" t="str">
        <f t="shared" si="1"/>
        <v/>
      </c>
      <c r="N354" s="18" t="str">
        <f>IF(A354="",,IF(ROW()=2, Input!$C$2 + I354, P353 + I354))</f>
        <v/>
      </c>
      <c r="O354" s="23" t="str">
        <f>IF(A354="",,
 IF(K354="Initial principal",
   Input!$C$2 * M354,
   N354 * M354
 )
)</f>
        <v/>
      </c>
      <c r="P354" s="18" t="str">
        <f t="shared" si="2"/>
        <v/>
      </c>
      <c r="Q354" s="18" t="str">
        <f t="shared" si="3"/>
        <v/>
      </c>
      <c r="R354" s="18" t="str">
        <f t="array" ref="R354">IF(
  B354="",
  ,
  SWITCH(
    Input!$C$4,
    "Actual/365 Fixed",
      YEARFRAC(
        B354 + IF(INDEX(Input!$K$7:$K1503,ROW()-1),0,1),
        C354 + IF(INDEX(Input!$L$7:$L1503,ROW()-1),1,0),
        3
      ),
    "Anniversary/365",
      DATEDIF(
        B354 + IF(INDEX(Input!$K$7:$K1503,ROW()-1),0,1),
        C354 + IF(INDEX(Input!$L$7:$L1503,ROW()-1),1,0),
        "Y"
      )
      +
      (
        (C354 + IF(INDEX(Input!$L$7:$L1503,ROW()-1),1,0))
        -
        EDATE(
          B354 + IF(INDEX(Input!$K$7:$K1503,ROW()-1),0,1),
          12*DATEDIF(
            B354 + IF(INDEX(Input!$K$7:$K1503,ROW()-1),0,1),
            C354 + IF(INDEX(Input!$L$7:$L1503,ROW()-1),1,0),
            "Y"
          )
        )
      ) / 365,
    "Actual/Actual",
      YEARFRAC(
        B354 + IF(INDEX(Input!$K$7:$K1503,ROW()-1),0,1),
        C354 + IF(INDEX(Input!$L$7:$L1503,ROW()-1),1,0),
        1
      ),
      YEARFRAC(
        B354 + IF(INDEX(Input!$K$7:$K1503,ROW()-1),0,1),
        C354 + IF(INDEX(Input!$L$7:$L1503,ROW()-1),1,0),
        3
      )
  )
)</f>
        <v/>
      </c>
      <c r="S354" s="22" t="str">
        <f t="shared" si="4"/>
        <v/>
      </c>
      <c r="T354" s="6" t="str">
        <f t="array" ref="T354">IF(
  B354="",
  ,
  DATEDIF(
    B354 + IF(INDEX(Input!$K$7:$K1503,ROW()-1),0,1),
    C354 + IF(INDEX(Input!$L$7:$L1503,ROW()-1),1,0),
    "Y"
  )
)</f>
        <v/>
      </c>
      <c r="U354" s="6" t="str">
        <f t="array" ref="U354">IF(
  B354="",
  ,
  (C354 + IF(INDEX(Input!$L$7:$L1503,ROW()-1),1,0))
  - EDATE(
      B354 + IF(INDEX(Input!$K$7:$K1503,ROW()-1),0,1),
      12*S354
    )
)</f>
        <v/>
      </c>
      <c r="V354" s="6" t="str">
        <f t="shared" si="5"/>
        <v/>
      </c>
      <c r="W354" s="6" t="str">
        <f t="shared" si="6"/>
        <v/>
      </c>
    </row>
    <row r="355">
      <c r="A355" s="18"/>
      <c r="B355" s="18"/>
      <c r="C355" s="18"/>
      <c r="D355" s="18"/>
      <c r="E355" s="18"/>
      <c r="F355" s="18"/>
      <c r="G355" s="22"/>
      <c r="H355" s="18"/>
      <c r="I355" s="18">
        <v>0.0</v>
      </c>
      <c r="J355" s="18">
        <v>0.0</v>
      </c>
      <c r="K355" s="18"/>
      <c r="L355" s="18"/>
      <c r="M355" s="22" t="str">
        <f t="shared" si="1"/>
        <v/>
      </c>
      <c r="N355" s="18" t="str">
        <f>IF(A355="",,IF(ROW()=2, Input!$C$2 + I355, P354 + I355))</f>
        <v/>
      </c>
      <c r="O355" s="23" t="str">
        <f>IF(A355="",,
 IF(K355="Initial principal",
   Input!$C$2 * M355,
   N355 * M355
 )
)</f>
        <v/>
      </c>
      <c r="P355" s="18" t="str">
        <f t="shared" si="2"/>
        <v/>
      </c>
      <c r="Q355" s="18" t="str">
        <f t="shared" si="3"/>
        <v/>
      </c>
      <c r="R355" s="18" t="str">
        <f t="array" ref="R355">IF(
  B355="",
  ,
  SWITCH(
    Input!$C$4,
    "Actual/365 Fixed",
      YEARFRAC(
        B355 + IF(INDEX(Input!$K$7:$K1503,ROW()-1),0,1),
        C355 + IF(INDEX(Input!$L$7:$L1503,ROW()-1),1,0),
        3
      ),
    "Anniversary/365",
      DATEDIF(
        B355 + IF(INDEX(Input!$K$7:$K1503,ROW()-1),0,1),
        C355 + IF(INDEX(Input!$L$7:$L1503,ROW()-1),1,0),
        "Y"
      )
      +
      (
        (C355 + IF(INDEX(Input!$L$7:$L1503,ROW()-1),1,0))
        -
        EDATE(
          B355 + IF(INDEX(Input!$K$7:$K1503,ROW()-1),0,1),
          12*DATEDIF(
            B355 + IF(INDEX(Input!$K$7:$K1503,ROW()-1),0,1),
            C355 + IF(INDEX(Input!$L$7:$L1503,ROW()-1),1,0),
            "Y"
          )
        )
      ) / 365,
    "Actual/Actual",
      YEARFRAC(
        B355 + IF(INDEX(Input!$K$7:$K1503,ROW()-1),0,1),
        C355 + IF(INDEX(Input!$L$7:$L1503,ROW()-1),1,0),
        1
      ),
      YEARFRAC(
        B355 + IF(INDEX(Input!$K$7:$K1503,ROW()-1),0,1),
        C355 + IF(INDEX(Input!$L$7:$L1503,ROW()-1),1,0),
        3
      )
  )
)</f>
        <v/>
      </c>
      <c r="S355" s="22" t="str">
        <f t="shared" si="4"/>
        <v/>
      </c>
      <c r="T355" s="6" t="str">
        <f t="array" ref="T355">IF(
  B355="",
  ,
  DATEDIF(
    B355 + IF(INDEX(Input!$K$7:$K1503,ROW()-1),0,1),
    C355 + IF(INDEX(Input!$L$7:$L1503,ROW()-1),1,0),
    "Y"
  )
)</f>
        <v/>
      </c>
      <c r="U355" s="6" t="str">
        <f t="array" ref="U355">IF(
  B355="",
  ,
  (C355 + IF(INDEX(Input!$L$7:$L1503,ROW()-1),1,0))
  - EDATE(
      B355 + IF(INDEX(Input!$K$7:$K1503,ROW()-1),0,1),
      12*S355
    )
)</f>
        <v/>
      </c>
      <c r="V355" s="6" t="str">
        <f t="shared" si="5"/>
        <v/>
      </c>
      <c r="W355" s="6" t="str">
        <f t="shared" si="6"/>
        <v/>
      </c>
    </row>
    <row r="356">
      <c r="A356" s="18"/>
      <c r="B356" s="18"/>
      <c r="C356" s="18"/>
      <c r="D356" s="18"/>
      <c r="E356" s="18"/>
      <c r="F356" s="18"/>
      <c r="G356" s="22"/>
      <c r="H356" s="18"/>
      <c r="I356" s="18">
        <v>0.0</v>
      </c>
      <c r="J356" s="18">
        <v>0.0</v>
      </c>
      <c r="K356" s="18"/>
      <c r="L356" s="18"/>
      <c r="M356" s="22" t="str">
        <f t="shared" si="1"/>
        <v/>
      </c>
      <c r="N356" s="18" t="str">
        <f>IF(A356="",,IF(ROW()=2, Input!$C$2 + I356, P355 + I356))</f>
        <v/>
      </c>
      <c r="O356" s="23" t="str">
        <f>IF(A356="",,
 IF(K356="Initial principal",
   Input!$C$2 * M356,
   N356 * M356
 )
)</f>
        <v/>
      </c>
      <c r="P356" s="18" t="str">
        <f t="shared" si="2"/>
        <v/>
      </c>
      <c r="Q356" s="18" t="str">
        <f t="shared" si="3"/>
        <v/>
      </c>
      <c r="R356" s="18" t="str">
        <f t="array" ref="R356">IF(
  B356="",
  ,
  SWITCH(
    Input!$C$4,
    "Actual/365 Fixed",
      YEARFRAC(
        B356 + IF(INDEX(Input!$K$7:$K1503,ROW()-1),0,1),
        C356 + IF(INDEX(Input!$L$7:$L1503,ROW()-1),1,0),
        3
      ),
    "Anniversary/365",
      DATEDIF(
        B356 + IF(INDEX(Input!$K$7:$K1503,ROW()-1),0,1),
        C356 + IF(INDEX(Input!$L$7:$L1503,ROW()-1),1,0),
        "Y"
      )
      +
      (
        (C356 + IF(INDEX(Input!$L$7:$L1503,ROW()-1),1,0))
        -
        EDATE(
          B356 + IF(INDEX(Input!$K$7:$K1503,ROW()-1),0,1),
          12*DATEDIF(
            B356 + IF(INDEX(Input!$K$7:$K1503,ROW()-1),0,1),
            C356 + IF(INDEX(Input!$L$7:$L1503,ROW()-1),1,0),
            "Y"
          )
        )
      ) / 365,
    "Actual/Actual",
      YEARFRAC(
        B356 + IF(INDEX(Input!$K$7:$K1503,ROW()-1),0,1),
        C356 + IF(INDEX(Input!$L$7:$L1503,ROW()-1),1,0),
        1
      ),
      YEARFRAC(
        B356 + IF(INDEX(Input!$K$7:$K1503,ROW()-1),0,1),
        C356 + IF(INDEX(Input!$L$7:$L1503,ROW()-1),1,0),
        3
      )
  )
)</f>
        <v/>
      </c>
      <c r="S356" s="22" t="str">
        <f t="shared" si="4"/>
        <v/>
      </c>
      <c r="T356" s="6" t="str">
        <f t="array" ref="T356">IF(
  B356="",
  ,
  DATEDIF(
    B356 + IF(INDEX(Input!$K$7:$K1503,ROW()-1),0,1),
    C356 + IF(INDEX(Input!$L$7:$L1503,ROW()-1),1,0),
    "Y"
  )
)</f>
        <v/>
      </c>
      <c r="U356" s="6" t="str">
        <f t="array" ref="U356">IF(
  B356="",
  ,
  (C356 + IF(INDEX(Input!$L$7:$L1503,ROW()-1),1,0))
  - EDATE(
      B356 + IF(INDEX(Input!$K$7:$K1503,ROW()-1),0,1),
      12*S356
    )
)</f>
        <v/>
      </c>
      <c r="V356" s="6" t="str">
        <f t="shared" si="5"/>
        <v/>
      </c>
      <c r="W356" s="6" t="str">
        <f t="shared" si="6"/>
        <v/>
      </c>
    </row>
    <row r="357">
      <c r="A357" s="18"/>
      <c r="B357" s="18"/>
      <c r="C357" s="18"/>
      <c r="D357" s="18"/>
      <c r="E357" s="18"/>
      <c r="F357" s="18"/>
      <c r="G357" s="22"/>
      <c r="H357" s="18"/>
      <c r="I357" s="18">
        <v>0.0</v>
      </c>
      <c r="J357" s="18">
        <v>0.0</v>
      </c>
      <c r="K357" s="18"/>
      <c r="L357" s="18"/>
      <c r="M357" s="22" t="str">
        <f t="shared" si="1"/>
        <v/>
      </c>
      <c r="N357" s="18" t="str">
        <f>IF(A357="",,IF(ROW()=2, Input!$C$2 + I357, P356 + I357))</f>
        <v/>
      </c>
      <c r="O357" s="23" t="str">
        <f>IF(A357="",,
 IF(K357="Initial principal",
   Input!$C$2 * M357,
   N357 * M357
 )
)</f>
        <v/>
      </c>
      <c r="P357" s="18" t="str">
        <f t="shared" si="2"/>
        <v/>
      </c>
      <c r="Q357" s="18" t="str">
        <f t="shared" si="3"/>
        <v/>
      </c>
      <c r="R357" s="18" t="str">
        <f t="array" ref="R357">IF(
  B357="",
  ,
  SWITCH(
    Input!$C$4,
    "Actual/365 Fixed",
      YEARFRAC(
        B357 + IF(INDEX(Input!$K$7:$K1503,ROW()-1),0,1),
        C357 + IF(INDEX(Input!$L$7:$L1503,ROW()-1),1,0),
        3
      ),
    "Anniversary/365",
      DATEDIF(
        B357 + IF(INDEX(Input!$K$7:$K1503,ROW()-1),0,1),
        C357 + IF(INDEX(Input!$L$7:$L1503,ROW()-1),1,0),
        "Y"
      )
      +
      (
        (C357 + IF(INDEX(Input!$L$7:$L1503,ROW()-1),1,0))
        -
        EDATE(
          B357 + IF(INDEX(Input!$K$7:$K1503,ROW()-1),0,1),
          12*DATEDIF(
            B357 + IF(INDEX(Input!$K$7:$K1503,ROW()-1),0,1),
            C357 + IF(INDEX(Input!$L$7:$L1503,ROW()-1),1,0),
            "Y"
          )
        )
      ) / 365,
    "Actual/Actual",
      YEARFRAC(
        B357 + IF(INDEX(Input!$K$7:$K1503,ROW()-1),0,1),
        C357 + IF(INDEX(Input!$L$7:$L1503,ROW()-1),1,0),
        1
      ),
      YEARFRAC(
        B357 + IF(INDEX(Input!$K$7:$K1503,ROW()-1),0,1),
        C357 + IF(INDEX(Input!$L$7:$L1503,ROW()-1),1,0),
        3
      )
  )
)</f>
        <v/>
      </c>
      <c r="S357" s="22" t="str">
        <f t="shared" si="4"/>
        <v/>
      </c>
      <c r="T357" s="6" t="str">
        <f t="array" ref="T357">IF(
  B357="",
  ,
  DATEDIF(
    B357 + IF(INDEX(Input!$K$7:$K1503,ROW()-1),0,1),
    C357 + IF(INDEX(Input!$L$7:$L1503,ROW()-1),1,0),
    "Y"
  )
)</f>
        <v/>
      </c>
      <c r="U357" s="6" t="str">
        <f t="array" ref="U357">IF(
  B357="",
  ,
  (C357 + IF(INDEX(Input!$L$7:$L1503,ROW()-1),1,0))
  - EDATE(
      B357 + IF(INDEX(Input!$K$7:$K1503,ROW()-1),0,1),
      12*S357
    )
)</f>
        <v/>
      </c>
      <c r="V357" s="6" t="str">
        <f t="shared" si="5"/>
        <v/>
      </c>
      <c r="W357" s="6" t="str">
        <f t="shared" si="6"/>
        <v/>
      </c>
    </row>
    <row r="358">
      <c r="A358" s="18"/>
      <c r="B358" s="18"/>
      <c r="C358" s="18"/>
      <c r="D358" s="18"/>
      <c r="E358" s="18"/>
      <c r="F358" s="18"/>
      <c r="G358" s="22"/>
      <c r="H358" s="18"/>
      <c r="I358" s="18">
        <v>0.0</v>
      </c>
      <c r="J358" s="18">
        <v>0.0</v>
      </c>
      <c r="K358" s="18"/>
      <c r="L358" s="18"/>
      <c r="M358" s="22" t="str">
        <f t="shared" si="1"/>
        <v/>
      </c>
      <c r="N358" s="18" t="str">
        <f>IF(A358="",,IF(ROW()=2, Input!$C$2 + I358, P357 + I358))</f>
        <v/>
      </c>
      <c r="O358" s="23" t="str">
        <f>IF(A358="",,
 IF(K358="Initial principal",
   Input!$C$2 * M358,
   N358 * M358
 )
)</f>
        <v/>
      </c>
      <c r="P358" s="18" t="str">
        <f t="shared" si="2"/>
        <v/>
      </c>
      <c r="Q358" s="18" t="str">
        <f t="shared" si="3"/>
        <v/>
      </c>
      <c r="R358" s="18" t="str">
        <f t="array" ref="R358">IF(
  B358="",
  ,
  SWITCH(
    Input!$C$4,
    "Actual/365 Fixed",
      YEARFRAC(
        B358 + IF(INDEX(Input!$K$7:$K1503,ROW()-1),0,1),
        C358 + IF(INDEX(Input!$L$7:$L1503,ROW()-1),1,0),
        3
      ),
    "Anniversary/365",
      DATEDIF(
        B358 + IF(INDEX(Input!$K$7:$K1503,ROW()-1),0,1),
        C358 + IF(INDEX(Input!$L$7:$L1503,ROW()-1),1,0),
        "Y"
      )
      +
      (
        (C358 + IF(INDEX(Input!$L$7:$L1503,ROW()-1),1,0))
        -
        EDATE(
          B358 + IF(INDEX(Input!$K$7:$K1503,ROW()-1),0,1),
          12*DATEDIF(
            B358 + IF(INDEX(Input!$K$7:$K1503,ROW()-1),0,1),
            C358 + IF(INDEX(Input!$L$7:$L1503,ROW()-1),1,0),
            "Y"
          )
        )
      ) / 365,
    "Actual/Actual",
      YEARFRAC(
        B358 + IF(INDEX(Input!$K$7:$K1503,ROW()-1),0,1),
        C358 + IF(INDEX(Input!$L$7:$L1503,ROW()-1),1,0),
        1
      ),
      YEARFRAC(
        B358 + IF(INDEX(Input!$K$7:$K1503,ROW()-1),0,1),
        C358 + IF(INDEX(Input!$L$7:$L1503,ROW()-1),1,0),
        3
      )
  )
)</f>
        <v/>
      </c>
      <c r="S358" s="22" t="str">
        <f t="shared" si="4"/>
        <v/>
      </c>
      <c r="T358" s="6" t="str">
        <f t="array" ref="T358">IF(
  B358="",
  ,
  DATEDIF(
    B358 + IF(INDEX(Input!$K$7:$K1503,ROW()-1),0,1),
    C358 + IF(INDEX(Input!$L$7:$L1503,ROW()-1),1,0),
    "Y"
  )
)</f>
        <v/>
      </c>
      <c r="U358" s="6" t="str">
        <f t="array" ref="U358">IF(
  B358="",
  ,
  (C358 + IF(INDEX(Input!$L$7:$L1503,ROW()-1),1,0))
  - EDATE(
      B358 + IF(INDEX(Input!$K$7:$K1503,ROW()-1),0,1),
      12*S358
    )
)</f>
        <v/>
      </c>
      <c r="V358" s="6" t="str">
        <f t="shared" si="5"/>
        <v/>
      </c>
      <c r="W358" s="6" t="str">
        <f t="shared" si="6"/>
        <v/>
      </c>
    </row>
    <row r="359">
      <c r="A359" s="18"/>
      <c r="B359" s="18"/>
      <c r="C359" s="18"/>
      <c r="D359" s="18"/>
      <c r="E359" s="18"/>
      <c r="F359" s="18"/>
      <c r="G359" s="22"/>
      <c r="H359" s="18"/>
      <c r="I359" s="18">
        <v>0.0</v>
      </c>
      <c r="J359" s="18">
        <v>0.0</v>
      </c>
      <c r="K359" s="18"/>
      <c r="L359" s="18"/>
      <c r="M359" s="22" t="str">
        <f t="shared" si="1"/>
        <v/>
      </c>
      <c r="N359" s="18" t="str">
        <f>IF(A359="",,IF(ROW()=2, Input!$C$2 + I359, P358 + I359))</f>
        <v/>
      </c>
      <c r="O359" s="23" t="str">
        <f>IF(A359="",,
 IF(K359="Initial principal",
   Input!$C$2 * M359,
   N359 * M359
 )
)</f>
        <v/>
      </c>
      <c r="P359" s="18" t="str">
        <f t="shared" si="2"/>
        <v/>
      </c>
      <c r="Q359" s="18" t="str">
        <f t="shared" si="3"/>
        <v/>
      </c>
      <c r="R359" s="18" t="str">
        <f t="array" ref="R359">IF(
  B359="",
  ,
  SWITCH(
    Input!$C$4,
    "Actual/365 Fixed",
      YEARFRAC(
        B359 + IF(INDEX(Input!$K$7:$K1503,ROW()-1),0,1),
        C359 + IF(INDEX(Input!$L$7:$L1503,ROW()-1),1,0),
        3
      ),
    "Anniversary/365",
      DATEDIF(
        B359 + IF(INDEX(Input!$K$7:$K1503,ROW()-1),0,1),
        C359 + IF(INDEX(Input!$L$7:$L1503,ROW()-1),1,0),
        "Y"
      )
      +
      (
        (C359 + IF(INDEX(Input!$L$7:$L1503,ROW()-1),1,0))
        -
        EDATE(
          B359 + IF(INDEX(Input!$K$7:$K1503,ROW()-1),0,1),
          12*DATEDIF(
            B359 + IF(INDEX(Input!$K$7:$K1503,ROW()-1),0,1),
            C359 + IF(INDEX(Input!$L$7:$L1503,ROW()-1),1,0),
            "Y"
          )
        )
      ) / 365,
    "Actual/Actual",
      YEARFRAC(
        B359 + IF(INDEX(Input!$K$7:$K1503,ROW()-1),0,1),
        C359 + IF(INDEX(Input!$L$7:$L1503,ROW()-1),1,0),
        1
      ),
      YEARFRAC(
        B359 + IF(INDEX(Input!$K$7:$K1503,ROW()-1),0,1),
        C359 + IF(INDEX(Input!$L$7:$L1503,ROW()-1),1,0),
        3
      )
  )
)</f>
        <v/>
      </c>
      <c r="S359" s="22" t="str">
        <f t="shared" si="4"/>
        <v/>
      </c>
      <c r="T359" s="6" t="str">
        <f t="array" ref="T359">IF(
  B359="",
  ,
  DATEDIF(
    B359 + IF(INDEX(Input!$K$7:$K1503,ROW()-1),0,1),
    C359 + IF(INDEX(Input!$L$7:$L1503,ROW()-1),1,0),
    "Y"
  )
)</f>
        <v/>
      </c>
      <c r="U359" s="6" t="str">
        <f t="array" ref="U359">IF(
  B359="",
  ,
  (C359 + IF(INDEX(Input!$L$7:$L1503,ROW()-1),1,0))
  - EDATE(
      B359 + IF(INDEX(Input!$K$7:$K1503,ROW()-1),0,1),
      12*S359
    )
)</f>
        <v/>
      </c>
      <c r="V359" s="6" t="str">
        <f t="shared" si="5"/>
        <v/>
      </c>
      <c r="W359" s="6" t="str">
        <f t="shared" si="6"/>
        <v/>
      </c>
    </row>
    <row r="360">
      <c r="A360" s="18"/>
      <c r="B360" s="18"/>
      <c r="C360" s="18"/>
      <c r="D360" s="18"/>
      <c r="E360" s="18"/>
      <c r="F360" s="18"/>
      <c r="G360" s="22"/>
      <c r="H360" s="18"/>
      <c r="I360" s="18">
        <v>0.0</v>
      </c>
      <c r="J360" s="18">
        <v>0.0</v>
      </c>
      <c r="K360" s="18"/>
      <c r="L360" s="18"/>
      <c r="M360" s="22" t="str">
        <f t="shared" si="1"/>
        <v/>
      </c>
      <c r="N360" s="18" t="str">
        <f>IF(A360="",,IF(ROW()=2, Input!$C$2 + I360, P359 + I360))</f>
        <v/>
      </c>
      <c r="O360" s="23" t="str">
        <f>IF(A360="",,
 IF(K360="Initial principal",
   Input!$C$2 * M360,
   N360 * M360
 )
)</f>
        <v/>
      </c>
      <c r="P360" s="18" t="str">
        <f t="shared" si="2"/>
        <v/>
      </c>
      <c r="Q360" s="18" t="str">
        <f t="shared" si="3"/>
        <v/>
      </c>
      <c r="R360" s="18" t="str">
        <f t="array" ref="R360">IF(
  B360="",
  ,
  SWITCH(
    Input!$C$4,
    "Actual/365 Fixed",
      YEARFRAC(
        B360 + IF(INDEX(Input!$K$7:$K1503,ROW()-1),0,1),
        C360 + IF(INDEX(Input!$L$7:$L1503,ROW()-1),1,0),
        3
      ),
    "Anniversary/365",
      DATEDIF(
        B360 + IF(INDEX(Input!$K$7:$K1503,ROW()-1),0,1),
        C360 + IF(INDEX(Input!$L$7:$L1503,ROW()-1),1,0),
        "Y"
      )
      +
      (
        (C360 + IF(INDEX(Input!$L$7:$L1503,ROW()-1),1,0))
        -
        EDATE(
          B360 + IF(INDEX(Input!$K$7:$K1503,ROW()-1),0,1),
          12*DATEDIF(
            B360 + IF(INDEX(Input!$K$7:$K1503,ROW()-1),0,1),
            C360 + IF(INDEX(Input!$L$7:$L1503,ROW()-1),1,0),
            "Y"
          )
        )
      ) / 365,
    "Actual/Actual",
      YEARFRAC(
        B360 + IF(INDEX(Input!$K$7:$K1503,ROW()-1),0,1),
        C360 + IF(INDEX(Input!$L$7:$L1503,ROW()-1),1,0),
        1
      ),
      YEARFRAC(
        B360 + IF(INDEX(Input!$K$7:$K1503,ROW()-1),0,1),
        C360 + IF(INDEX(Input!$L$7:$L1503,ROW()-1),1,0),
        3
      )
  )
)</f>
        <v/>
      </c>
      <c r="S360" s="22" t="str">
        <f t="shared" si="4"/>
        <v/>
      </c>
      <c r="T360" s="6" t="str">
        <f t="array" ref="T360">IF(
  B360="",
  ,
  DATEDIF(
    B360 + IF(INDEX(Input!$K$7:$K1503,ROW()-1),0,1),
    C360 + IF(INDEX(Input!$L$7:$L1503,ROW()-1),1,0),
    "Y"
  )
)</f>
        <v/>
      </c>
      <c r="U360" s="6" t="str">
        <f t="array" ref="U360">IF(
  B360="",
  ,
  (C360 + IF(INDEX(Input!$L$7:$L1503,ROW()-1),1,0))
  - EDATE(
      B360 + IF(INDEX(Input!$K$7:$K1503,ROW()-1),0,1),
      12*S360
    )
)</f>
        <v/>
      </c>
      <c r="V360" s="6" t="str">
        <f t="shared" si="5"/>
        <v/>
      </c>
      <c r="W360" s="6" t="str">
        <f t="shared" si="6"/>
        <v/>
      </c>
    </row>
    <row r="361">
      <c r="A361" s="18"/>
      <c r="B361" s="18"/>
      <c r="C361" s="18"/>
      <c r="D361" s="18"/>
      <c r="E361" s="18"/>
      <c r="F361" s="18"/>
      <c r="G361" s="22"/>
      <c r="H361" s="18"/>
      <c r="I361" s="18">
        <v>0.0</v>
      </c>
      <c r="J361" s="18">
        <v>0.0</v>
      </c>
      <c r="K361" s="18"/>
      <c r="L361" s="18"/>
      <c r="M361" s="22" t="str">
        <f t="shared" si="1"/>
        <v/>
      </c>
      <c r="N361" s="18" t="str">
        <f>IF(A361="",,IF(ROW()=2, Input!$C$2 + I361, P360 + I361))</f>
        <v/>
      </c>
      <c r="O361" s="23" t="str">
        <f>IF(A361="",,
 IF(K361="Initial principal",
   Input!$C$2 * M361,
   N361 * M361
 )
)</f>
        <v/>
      </c>
      <c r="P361" s="18" t="str">
        <f t="shared" si="2"/>
        <v/>
      </c>
      <c r="Q361" s="18" t="str">
        <f t="shared" si="3"/>
        <v/>
      </c>
      <c r="R361" s="18" t="str">
        <f t="array" ref="R361">IF(
  B361="",
  ,
  SWITCH(
    Input!$C$4,
    "Actual/365 Fixed",
      YEARFRAC(
        B361 + IF(INDEX(Input!$K$7:$K1503,ROW()-1),0,1),
        C361 + IF(INDEX(Input!$L$7:$L1503,ROW()-1),1,0),
        3
      ),
    "Anniversary/365",
      DATEDIF(
        B361 + IF(INDEX(Input!$K$7:$K1503,ROW()-1),0,1),
        C361 + IF(INDEX(Input!$L$7:$L1503,ROW()-1),1,0),
        "Y"
      )
      +
      (
        (C361 + IF(INDEX(Input!$L$7:$L1503,ROW()-1),1,0))
        -
        EDATE(
          B361 + IF(INDEX(Input!$K$7:$K1503,ROW()-1),0,1),
          12*DATEDIF(
            B361 + IF(INDEX(Input!$K$7:$K1503,ROW()-1),0,1),
            C361 + IF(INDEX(Input!$L$7:$L1503,ROW()-1),1,0),
            "Y"
          )
        )
      ) / 365,
    "Actual/Actual",
      YEARFRAC(
        B361 + IF(INDEX(Input!$K$7:$K1503,ROW()-1),0,1),
        C361 + IF(INDEX(Input!$L$7:$L1503,ROW()-1),1,0),
        1
      ),
      YEARFRAC(
        B361 + IF(INDEX(Input!$K$7:$K1503,ROW()-1),0,1),
        C361 + IF(INDEX(Input!$L$7:$L1503,ROW()-1),1,0),
        3
      )
  )
)</f>
        <v/>
      </c>
      <c r="S361" s="22" t="str">
        <f t="shared" si="4"/>
        <v/>
      </c>
      <c r="T361" s="6" t="str">
        <f t="array" ref="T361">IF(
  B361="",
  ,
  DATEDIF(
    B361 + IF(INDEX(Input!$K$7:$K1503,ROW()-1),0,1),
    C361 + IF(INDEX(Input!$L$7:$L1503,ROW()-1),1,0),
    "Y"
  )
)</f>
        <v/>
      </c>
      <c r="U361" s="6" t="str">
        <f t="array" ref="U361">IF(
  B361="",
  ,
  (C361 + IF(INDEX(Input!$L$7:$L1503,ROW()-1),1,0))
  - EDATE(
      B361 + IF(INDEX(Input!$K$7:$K1503,ROW()-1),0,1),
      12*S361
    )
)</f>
        <v/>
      </c>
      <c r="V361" s="6" t="str">
        <f t="shared" si="5"/>
        <v/>
      </c>
      <c r="W361" s="6" t="str">
        <f t="shared" si="6"/>
        <v/>
      </c>
    </row>
    <row r="362">
      <c r="A362" s="18"/>
      <c r="B362" s="18"/>
      <c r="C362" s="18"/>
      <c r="D362" s="18"/>
      <c r="E362" s="18"/>
      <c r="F362" s="18"/>
      <c r="G362" s="22"/>
      <c r="H362" s="18"/>
      <c r="I362" s="18">
        <v>0.0</v>
      </c>
      <c r="J362" s="18">
        <v>0.0</v>
      </c>
      <c r="K362" s="18"/>
      <c r="L362" s="18"/>
      <c r="M362" s="22" t="str">
        <f t="shared" si="1"/>
        <v/>
      </c>
      <c r="N362" s="18" t="str">
        <f>IF(A362="",,IF(ROW()=2, Input!$C$2 + I362, P361 + I362))</f>
        <v/>
      </c>
      <c r="O362" s="23" t="str">
        <f>IF(A362="",,
 IF(K362="Initial principal",
   Input!$C$2 * M362,
   N362 * M362
 )
)</f>
        <v/>
      </c>
      <c r="P362" s="18" t="str">
        <f t="shared" si="2"/>
        <v/>
      </c>
      <c r="Q362" s="18" t="str">
        <f t="shared" si="3"/>
        <v/>
      </c>
      <c r="R362" s="18" t="str">
        <f t="array" ref="R362">IF(
  B362="",
  ,
  SWITCH(
    Input!$C$4,
    "Actual/365 Fixed",
      YEARFRAC(
        B362 + IF(INDEX(Input!$K$7:$K1503,ROW()-1),0,1),
        C362 + IF(INDEX(Input!$L$7:$L1503,ROW()-1),1,0),
        3
      ),
    "Anniversary/365",
      DATEDIF(
        B362 + IF(INDEX(Input!$K$7:$K1503,ROW()-1),0,1),
        C362 + IF(INDEX(Input!$L$7:$L1503,ROW()-1),1,0),
        "Y"
      )
      +
      (
        (C362 + IF(INDEX(Input!$L$7:$L1503,ROW()-1),1,0))
        -
        EDATE(
          B362 + IF(INDEX(Input!$K$7:$K1503,ROW()-1),0,1),
          12*DATEDIF(
            B362 + IF(INDEX(Input!$K$7:$K1503,ROW()-1),0,1),
            C362 + IF(INDEX(Input!$L$7:$L1503,ROW()-1),1,0),
            "Y"
          )
        )
      ) / 365,
    "Actual/Actual",
      YEARFRAC(
        B362 + IF(INDEX(Input!$K$7:$K1503,ROW()-1),0,1),
        C362 + IF(INDEX(Input!$L$7:$L1503,ROW()-1),1,0),
        1
      ),
      YEARFRAC(
        B362 + IF(INDEX(Input!$K$7:$K1503,ROW()-1),0,1),
        C362 + IF(INDEX(Input!$L$7:$L1503,ROW()-1),1,0),
        3
      )
  )
)</f>
        <v/>
      </c>
      <c r="S362" s="22" t="str">
        <f t="shared" si="4"/>
        <v/>
      </c>
      <c r="T362" s="6" t="str">
        <f t="array" ref="T362">IF(
  B362="",
  ,
  DATEDIF(
    B362 + IF(INDEX(Input!$K$7:$K1503,ROW()-1),0,1),
    C362 + IF(INDEX(Input!$L$7:$L1503,ROW()-1),1,0),
    "Y"
  )
)</f>
        <v/>
      </c>
      <c r="U362" s="6" t="str">
        <f t="array" ref="U362">IF(
  B362="",
  ,
  (C362 + IF(INDEX(Input!$L$7:$L1503,ROW()-1),1,0))
  - EDATE(
      B362 + IF(INDEX(Input!$K$7:$K1503,ROW()-1),0,1),
      12*S362
    )
)</f>
        <v/>
      </c>
      <c r="V362" s="6" t="str">
        <f t="shared" si="5"/>
        <v/>
      </c>
      <c r="W362" s="6" t="str">
        <f t="shared" si="6"/>
        <v/>
      </c>
    </row>
    <row r="363">
      <c r="A363" s="18"/>
      <c r="B363" s="18"/>
      <c r="C363" s="18"/>
      <c r="D363" s="18"/>
      <c r="E363" s="18"/>
      <c r="F363" s="18"/>
      <c r="G363" s="22"/>
      <c r="H363" s="18"/>
      <c r="I363" s="18">
        <v>0.0</v>
      </c>
      <c r="J363" s="18">
        <v>0.0</v>
      </c>
      <c r="K363" s="18"/>
      <c r="L363" s="18"/>
      <c r="M363" s="22" t="str">
        <f t="shared" si="1"/>
        <v/>
      </c>
      <c r="N363" s="18" t="str">
        <f>IF(A363="",,IF(ROW()=2, Input!$C$2 + I363, P362 + I363))</f>
        <v/>
      </c>
      <c r="O363" s="23" t="str">
        <f>IF(A363="",,
 IF(K363="Initial principal",
   Input!$C$2 * M363,
   N363 * M363
 )
)</f>
        <v/>
      </c>
      <c r="P363" s="18" t="str">
        <f t="shared" si="2"/>
        <v/>
      </c>
      <c r="Q363" s="18" t="str">
        <f t="shared" si="3"/>
        <v/>
      </c>
      <c r="R363" s="18" t="str">
        <f t="array" ref="R363">IF(
  B363="",
  ,
  SWITCH(
    Input!$C$4,
    "Actual/365 Fixed",
      YEARFRAC(
        B363 + IF(INDEX(Input!$K$7:$K1503,ROW()-1),0,1),
        C363 + IF(INDEX(Input!$L$7:$L1503,ROW()-1),1,0),
        3
      ),
    "Anniversary/365",
      DATEDIF(
        B363 + IF(INDEX(Input!$K$7:$K1503,ROW()-1),0,1),
        C363 + IF(INDEX(Input!$L$7:$L1503,ROW()-1),1,0),
        "Y"
      )
      +
      (
        (C363 + IF(INDEX(Input!$L$7:$L1503,ROW()-1),1,0))
        -
        EDATE(
          B363 + IF(INDEX(Input!$K$7:$K1503,ROW()-1),0,1),
          12*DATEDIF(
            B363 + IF(INDEX(Input!$K$7:$K1503,ROW()-1),0,1),
            C363 + IF(INDEX(Input!$L$7:$L1503,ROW()-1),1,0),
            "Y"
          )
        )
      ) / 365,
    "Actual/Actual",
      YEARFRAC(
        B363 + IF(INDEX(Input!$K$7:$K1503,ROW()-1),0,1),
        C363 + IF(INDEX(Input!$L$7:$L1503,ROW()-1),1,0),
        1
      ),
      YEARFRAC(
        B363 + IF(INDEX(Input!$K$7:$K1503,ROW()-1),0,1),
        C363 + IF(INDEX(Input!$L$7:$L1503,ROW()-1),1,0),
        3
      )
  )
)</f>
        <v/>
      </c>
      <c r="S363" s="22" t="str">
        <f t="shared" si="4"/>
        <v/>
      </c>
      <c r="T363" s="6" t="str">
        <f t="array" ref="T363">IF(
  B363="",
  ,
  DATEDIF(
    B363 + IF(INDEX(Input!$K$7:$K1503,ROW()-1),0,1),
    C363 + IF(INDEX(Input!$L$7:$L1503,ROW()-1),1,0),
    "Y"
  )
)</f>
        <v/>
      </c>
      <c r="U363" s="6" t="str">
        <f t="array" ref="U363">IF(
  B363="",
  ,
  (C363 + IF(INDEX(Input!$L$7:$L1503,ROW()-1),1,0))
  - EDATE(
      B363 + IF(INDEX(Input!$K$7:$K1503,ROW()-1),0,1),
      12*S363
    )
)</f>
        <v/>
      </c>
      <c r="V363" s="6" t="str">
        <f t="shared" si="5"/>
        <v/>
      </c>
      <c r="W363" s="6" t="str">
        <f t="shared" si="6"/>
        <v/>
      </c>
    </row>
    <row r="364">
      <c r="A364" s="18"/>
      <c r="B364" s="18"/>
      <c r="C364" s="18"/>
      <c r="D364" s="18"/>
      <c r="E364" s="18"/>
      <c r="F364" s="18"/>
      <c r="G364" s="22"/>
      <c r="H364" s="18"/>
      <c r="I364" s="18">
        <v>0.0</v>
      </c>
      <c r="J364" s="18">
        <v>0.0</v>
      </c>
      <c r="K364" s="18"/>
      <c r="L364" s="18"/>
      <c r="M364" s="22" t="str">
        <f t="shared" si="1"/>
        <v/>
      </c>
      <c r="N364" s="18" t="str">
        <f>IF(A364="",,IF(ROW()=2, Input!$C$2 + I364, P363 + I364))</f>
        <v/>
      </c>
      <c r="O364" s="23" t="str">
        <f>IF(A364="",,
 IF(K364="Initial principal",
   Input!$C$2 * M364,
   N364 * M364
 )
)</f>
        <v/>
      </c>
      <c r="P364" s="18" t="str">
        <f t="shared" si="2"/>
        <v/>
      </c>
      <c r="Q364" s="18" t="str">
        <f t="shared" si="3"/>
        <v/>
      </c>
      <c r="R364" s="18" t="str">
        <f t="array" ref="R364">IF(
  B364="",
  ,
  SWITCH(
    Input!$C$4,
    "Actual/365 Fixed",
      YEARFRAC(
        B364 + IF(INDEX(Input!$K$7:$K1503,ROW()-1),0,1),
        C364 + IF(INDEX(Input!$L$7:$L1503,ROW()-1),1,0),
        3
      ),
    "Anniversary/365",
      DATEDIF(
        B364 + IF(INDEX(Input!$K$7:$K1503,ROW()-1),0,1),
        C364 + IF(INDEX(Input!$L$7:$L1503,ROW()-1),1,0),
        "Y"
      )
      +
      (
        (C364 + IF(INDEX(Input!$L$7:$L1503,ROW()-1),1,0))
        -
        EDATE(
          B364 + IF(INDEX(Input!$K$7:$K1503,ROW()-1),0,1),
          12*DATEDIF(
            B364 + IF(INDEX(Input!$K$7:$K1503,ROW()-1),0,1),
            C364 + IF(INDEX(Input!$L$7:$L1503,ROW()-1),1,0),
            "Y"
          )
        )
      ) / 365,
    "Actual/Actual",
      YEARFRAC(
        B364 + IF(INDEX(Input!$K$7:$K1503,ROW()-1),0,1),
        C364 + IF(INDEX(Input!$L$7:$L1503,ROW()-1),1,0),
        1
      ),
      YEARFRAC(
        B364 + IF(INDEX(Input!$K$7:$K1503,ROW()-1),0,1),
        C364 + IF(INDEX(Input!$L$7:$L1503,ROW()-1),1,0),
        3
      )
  )
)</f>
        <v/>
      </c>
      <c r="S364" s="22" t="str">
        <f t="shared" si="4"/>
        <v/>
      </c>
      <c r="T364" s="6" t="str">
        <f t="array" ref="T364">IF(
  B364="",
  ,
  DATEDIF(
    B364 + IF(INDEX(Input!$K$7:$K1503,ROW()-1),0,1),
    C364 + IF(INDEX(Input!$L$7:$L1503,ROW()-1),1,0),
    "Y"
  )
)</f>
        <v/>
      </c>
      <c r="U364" s="6" t="str">
        <f t="array" ref="U364">IF(
  B364="",
  ,
  (C364 + IF(INDEX(Input!$L$7:$L1503,ROW()-1),1,0))
  - EDATE(
      B364 + IF(INDEX(Input!$K$7:$K1503,ROW()-1),0,1),
      12*S364
    )
)</f>
        <v/>
      </c>
      <c r="V364" s="6" t="str">
        <f t="shared" si="5"/>
        <v/>
      </c>
      <c r="W364" s="6" t="str">
        <f t="shared" si="6"/>
        <v/>
      </c>
    </row>
    <row r="365">
      <c r="A365" s="18"/>
      <c r="B365" s="18"/>
      <c r="C365" s="18"/>
      <c r="D365" s="18"/>
      <c r="E365" s="18"/>
      <c r="F365" s="18"/>
      <c r="G365" s="22"/>
      <c r="H365" s="18"/>
      <c r="I365" s="18">
        <v>0.0</v>
      </c>
      <c r="J365" s="18">
        <v>0.0</v>
      </c>
      <c r="K365" s="18"/>
      <c r="L365" s="18"/>
      <c r="M365" s="22" t="str">
        <f t="shared" si="1"/>
        <v/>
      </c>
      <c r="N365" s="18" t="str">
        <f>IF(A365="",,IF(ROW()=2, Input!$C$2 + I365, P364 + I365))</f>
        <v/>
      </c>
      <c r="O365" s="23" t="str">
        <f>IF(A365="",,
 IF(K365="Initial principal",
   Input!$C$2 * M365,
   N365 * M365
 )
)</f>
        <v/>
      </c>
      <c r="P365" s="18" t="str">
        <f t="shared" si="2"/>
        <v/>
      </c>
      <c r="Q365" s="18" t="str">
        <f t="shared" si="3"/>
        <v/>
      </c>
      <c r="R365" s="18" t="str">
        <f t="array" ref="R365">IF(
  B365="",
  ,
  SWITCH(
    Input!$C$4,
    "Actual/365 Fixed",
      YEARFRAC(
        B365 + IF(INDEX(Input!$K$7:$K1503,ROW()-1),0,1),
        C365 + IF(INDEX(Input!$L$7:$L1503,ROW()-1),1,0),
        3
      ),
    "Anniversary/365",
      DATEDIF(
        B365 + IF(INDEX(Input!$K$7:$K1503,ROW()-1),0,1),
        C365 + IF(INDEX(Input!$L$7:$L1503,ROW()-1),1,0),
        "Y"
      )
      +
      (
        (C365 + IF(INDEX(Input!$L$7:$L1503,ROW()-1),1,0))
        -
        EDATE(
          B365 + IF(INDEX(Input!$K$7:$K1503,ROW()-1),0,1),
          12*DATEDIF(
            B365 + IF(INDEX(Input!$K$7:$K1503,ROW()-1),0,1),
            C365 + IF(INDEX(Input!$L$7:$L1503,ROW()-1),1,0),
            "Y"
          )
        )
      ) / 365,
    "Actual/Actual",
      YEARFRAC(
        B365 + IF(INDEX(Input!$K$7:$K1503,ROW()-1),0,1),
        C365 + IF(INDEX(Input!$L$7:$L1503,ROW()-1),1,0),
        1
      ),
      YEARFRAC(
        B365 + IF(INDEX(Input!$K$7:$K1503,ROW()-1),0,1),
        C365 + IF(INDEX(Input!$L$7:$L1503,ROW()-1),1,0),
        3
      )
  )
)</f>
        <v/>
      </c>
      <c r="S365" s="22" t="str">
        <f t="shared" si="4"/>
        <v/>
      </c>
      <c r="T365" s="6" t="str">
        <f t="array" ref="T365">IF(
  B365="",
  ,
  DATEDIF(
    B365 + IF(INDEX(Input!$K$7:$K1503,ROW()-1),0,1),
    C365 + IF(INDEX(Input!$L$7:$L1503,ROW()-1),1,0),
    "Y"
  )
)</f>
        <v/>
      </c>
      <c r="U365" s="6" t="str">
        <f t="array" ref="U365">IF(
  B365="",
  ,
  (C365 + IF(INDEX(Input!$L$7:$L1503,ROW()-1),1,0))
  - EDATE(
      B365 + IF(INDEX(Input!$K$7:$K1503,ROW()-1),0,1),
      12*S365
    )
)</f>
        <v/>
      </c>
      <c r="V365" s="6" t="str">
        <f t="shared" si="5"/>
        <v/>
      </c>
      <c r="W365" s="6" t="str">
        <f t="shared" si="6"/>
        <v/>
      </c>
    </row>
    <row r="366">
      <c r="A366" s="18"/>
      <c r="B366" s="18"/>
      <c r="C366" s="18"/>
      <c r="D366" s="18"/>
      <c r="E366" s="18"/>
      <c r="F366" s="18"/>
      <c r="G366" s="22"/>
      <c r="H366" s="18"/>
      <c r="I366" s="18">
        <v>0.0</v>
      </c>
      <c r="J366" s="18">
        <v>0.0</v>
      </c>
      <c r="K366" s="18"/>
      <c r="L366" s="18"/>
      <c r="M366" s="22" t="str">
        <f t="shared" si="1"/>
        <v/>
      </c>
      <c r="N366" s="18" t="str">
        <f>IF(A366="",,IF(ROW()=2, Input!$C$2 + I366, P365 + I366))</f>
        <v/>
      </c>
      <c r="O366" s="23" t="str">
        <f>IF(A366="",,
 IF(K366="Initial principal",
   Input!$C$2 * M366,
   N366 * M366
 )
)</f>
        <v/>
      </c>
      <c r="P366" s="18" t="str">
        <f t="shared" si="2"/>
        <v/>
      </c>
      <c r="Q366" s="18" t="str">
        <f t="shared" si="3"/>
        <v/>
      </c>
      <c r="R366" s="18" t="str">
        <f t="array" ref="R366">IF(
  B366="",
  ,
  SWITCH(
    Input!$C$4,
    "Actual/365 Fixed",
      YEARFRAC(
        B366 + IF(INDEX(Input!$K$7:$K1503,ROW()-1),0,1),
        C366 + IF(INDEX(Input!$L$7:$L1503,ROW()-1),1,0),
        3
      ),
    "Anniversary/365",
      DATEDIF(
        B366 + IF(INDEX(Input!$K$7:$K1503,ROW()-1),0,1),
        C366 + IF(INDEX(Input!$L$7:$L1503,ROW()-1),1,0),
        "Y"
      )
      +
      (
        (C366 + IF(INDEX(Input!$L$7:$L1503,ROW()-1),1,0))
        -
        EDATE(
          B366 + IF(INDEX(Input!$K$7:$K1503,ROW()-1),0,1),
          12*DATEDIF(
            B366 + IF(INDEX(Input!$K$7:$K1503,ROW()-1),0,1),
            C366 + IF(INDEX(Input!$L$7:$L1503,ROW()-1),1,0),
            "Y"
          )
        )
      ) / 365,
    "Actual/Actual",
      YEARFRAC(
        B366 + IF(INDEX(Input!$K$7:$K1503,ROW()-1),0,1),
        C366 + IF(INDEX(Input!$L$7:$L1503,ROW()-1),1,0),
        1
      ),
      YEARFRAC(
        B366 + IF(INDEX(Input!$K$7:$K1503,ROW()-1),0,1),
        C366 + IF(INDEX(Input!$L$7:$L1503,ROW()-1),1,0),
        3
      )
  )
)</f>
        <v/>
      </c>
      <c r="S366" s="22" t="str">
        <f t="shared" si="4"/>
        <v/>
      </c>
      <c r="T366" s="6" t="str">
        <f t="array" ref="T366">IF(
  B366="",
  ,
  DATEDIF(
    B366 + IF(INDEX(Input!$K$7:$K1503,ROW()-1),0,1),
    C366 + IF(INDEX(Input!$L$7:$L1503,ROW()-1),1,0),
    "Y"
  )
)</f>
        <v/>
      </c>
      <c r="U366" s="6" t="str">
        <f t="array" ref="U366">IF(
  B366="",
  ,
  (C366 + IF(INDEX(Input!$L$7:$L1503,ROW()-1),1,0))
  - EDATE(
      B366 + IF(INDEX(Input!$K$7:$K1503,ROW()-1),0,1),
      12*S366
    )
)</f>
        <v/>
      </c>
      <c r="V366" s="6" t="str">
        <f t="shared" si="5"/>
        <v/>
      </c>
      <c r="W366" s="6" t="str">
        <f t="shared" si="6"/>
        <v/>
      </c>
    </row>
    <row r="367">
      <c r="A367" s="18"/>
      <c r="B367" s="18"/>
      <c r="C367" s="18"/>
      <c r="D367" s="18"/>
      <c r="E367" s="18"/>
      <c r="F367" s="18"/>
      <c r="G367" s="22"/>
      <c r="H367" s="18"/>
      <c r="I367" s="18">
        <v>0.0</v>
      </c>
      <c r="J367" s="18">
        <v>0.0</v>
      </c>
      <c r="K367" s="18"/>
      <c r="L367" s="18"/>
      <c r="M367" s="22" t="str">
        <f t="shared" si="1"/>
        <v/>
      </c>
      <c r="N367" s="18" t="str">
        <f>IF(A367="",,IF(ROW()=2, Input!$C$2 + I367, P366 + I367))</f>
        <v/>
      </c>
      <c r="O367" s="23" t="str">
        <f>IF(A367="",,
 IF(K367="Initial principal",
   Input!$C$2 * M367,
   N367 * M367
 )
)</f>
        <v/>
      </c>
      <c r="P367" s="18" t="str">
        <f t="shared" si="2"/>
        <v/>
      </c>
      <c r="Q367" s="18" t="str">
        <f t="shared" si="3"/>
        <v/>
      </c>
      <c r="R367" s="18" t="str">
        <f t="array" ref="R367">IF(
  B367="",
  ,
  SWITCH(
    Input!$C$4,
    "Actual/365 Fixed",
      YEARFRAC(
        B367 + IF(INDEX(Input!$K$7:$K1503,ROW()-1),0,1),
        C367 + IF(INDEX(Input!$L$7:$L1503,ROW()-1),1,0),
        3
      ),
    "Anniversary/365",
      DATEDIF(
        B367 + IF(INDEX(Input!$K$7:$K1503,ROW()-1),0,1),
        C367 + IF(INDEX(Input!$L$7:$L1503,ROW()-1),1,0),
        "Y"
      )
      +
      (
        (C367 + IF(INDEX(Input!$L$7:$L1503,ROW()-1),1,0))
        -
        EDATE(
          B367 + IF(INDEX(Input!$K$7:$K1503,ROW()-1),0,1),
          12*DATEDIF(
            B367 + IF(INDEX(Input!$K$7:$K1503,ROW()-1),0,1),
            C367 + IF(INDEX(Input!$L$7:$L1503,ROW()-1),1,0),
            "Y"
          )
        )
      ) / 365,
    "Actual/Actual",
      YEARFRAC(
        B367 + IF(INDEX(Input!$K$7:$K1503,ROW()-1),0,1),
        C367 + IF(INDEX(Input!$L$7:$L1503,ROW()-1),1,0),
        1
      ),
      YEARFRAC(
        B367 + IF(INDEX(Input!$K$7:$K1503,ROW()-1),0,1),
        C367 + IF(INDEX(Input!$L$7:$L1503,ROW()-1),1,0),
        3
      )
  )
)</f>
        <v/>
      </c>
      <c r="S367" s="22" t="str">
        <f t="shared" si="4"/>
        <v/>
      </c>
      <c r="T367" s="6" t="str">
        <f t="array" ref="T367">IF(
  B367="",
  ,
  DATEDIF(
    B367 + IF(INDEX(Input!$K$7:$K1503,ROW()-1),0,1),
    C367 + IF(INDEX(Input!$L$7:$L1503,ROW()-1),1,0),
    "Y"
  )
)</f>
        <v/>
      </c>
      <c r="U367" s="6" t="str">
        <f t="array" ref="U367">IF(
  B367="",
  ,
  (C367 + IF(INDEX(Input!$L$7:$L1503,ROW()-1),1,0))
  - EDATE(
      B367 + IF(INDEX(Input!$K$7:$K1503,ROW()-1),0,1),
      12*S367
    )
)</f>
        <v/>
      </c>
      <c r="V367" s="6" t="str">
        <f t="shared" si="5"/>
        <v/>
      </c>
      <c r="W367" s="6" t="str">
        <f t="shared" si="6"/>
        <v/>
      </c>
    </row>
    <row r="368">
      <c r="A368" s="18"/>
      <c r="B368" s="18"/>
      <c r="C368" s="18"/>
      <c r="D368" s="18"/>
      <c r="E368" s="18"/>
      <c r="F368" s="18"/>
      <c r="G368" s="22"/>
      <c r="H368" s="18"/>
      <c r="I368" s="18">
        <v>0.0</v>
      </c>
      <c r="J368" s="18">
        <v>0.0</v>
      </c>
      <c r="K368" s="18"/>
      <c r="L368" s="18"/>
      <c r="M368" s="22" t="str">
        <f t="shared" si="1"/>
        <v/>
      </c>
      <c r="N368" s="18" t="str">
        <f>IF(A368="",,IF(ROW()=2, Input!$C$2 + I368, P367 + I368))</f>
        <v/>
      </c>
      <c r="O368" s="23" t="str">
        <f>IF(A368="",,
 IF(K368="Initial principal",
   Input!$C$2 * M368,
   N368 * M368
 )
)</f>
        <v/>
      </c>
      <c r="P368" s="18" t="str">
        <f t="shared" si="2"/>
        <v/>
      </c>
      <c r="Q368" s="18" t="str">
        <f t="shared" si="3"/>
        <v/>
      </c>
      <c r="R368" s="18" t="str">
        <f t="array" ref="R368">IF(
  B368="",
  ,
  SWITCH(
    Input!$C$4,
    "Actual/365 Fixed",
      YEARFRAC(
        B368 + IF(INDEX(Input!$K$7:$K1503,ROW()-1),0,1),
        C368 + IF(INDEX(Input!$L$7:$L1503,ROW()-1),1,0),
        3
      ),
    "Anniversary/365",
      DATEDIF(
        B368 + IF(INDEX(Input!$K$7:$K1503,ROW()-1),0,1),
        C368 + IF(INDEX(Input!$L$7:$L1503,ROW()-1),1,0),
        "Y"
      )
      +
      (
        (C368 + IF(INDEX(Input!$L$7:$L1503,ROW()-1),1,0))
        -
        EDATE(
          B368 + IF(INDEX(Input!$K$7:$K1503,ROW()-1),0,1),
          12*DATEDIF(
            B368 + IF(INDEX(Input!$K$7:$K1503,ROW()-1),0,1),
            C368 + IF(INDEX(Input!$L$7:$L1503,ROW()-1),1,0),
            "Y"
          )
        )
      ) / 365,
    "Actual/Actual",
      YEARFRAC(
        B368 + IF(INDEX(Input!$K$7:$K1503,ROW()-1),0,1),
        C368 + IF(INDEX(Input!$L$7:$L1503,ROW()-1),1,0),
        1
      ),
      YEARFRAC(
        B368 + IF(INDEX(Input!$K$7:$K1503,ROW()-1),0,1),
        C368 + IF(INDEX(Input!$L$7:$L1503,ROW()-1),1,0),
        3
      )
  )
)</f>
        <v/>
      </c>
      <c r="S368" s="22" t="str">
        <f t="shared" si="4"/>
        <v/>
      </c>
      <c r="T368" s="6" t="str">
        <f t="array" ref="T368">IF(
  B368="",
  ,
  DATEDIF(
    B368 + IF(INDEX(Input!$K$7:$K1503,ROW()-1),0,1),
    C368 + IF(INDEX(Input!$L$7:$L1503,ROW()-1),1,0),
    "Y"
  )
)</f>
        <v/>
      </c>
      <c r="U368" s="6" t="str">
        <f t="array" ref="U368">IF(
  B368="",
  ,
  (C368 + IF(INDEX(Input!$L$7:$L1503,ROW()-1),1,0))
  - EDATE(
      B368 + IF(INDEX(Input!$K$7:$K1503,ROW()-1),0,1),
      12*S368
    )
)</f>
        <v/>
      </c>
      <c r="V368" s="6" t="str">
        <f t="shared" si="5"/>
        <v/>
      </c>
      <c r="W368" s="6" t="str">
        <f t="shared" si="6"/>
        <v/>
      </c>
    </row>
    <row r="369">
      <c r="A369" s="18"/>
      <c r="B369" s="18"/>
      <c r="C369" s="18"/>
      <c r="D369" s="18"/>
      <c r="E369" s="18"/>
      <c r="F369" s="18"/>
      <c r="G369" s="22"/>
      <c r="H369" s="18"/>
      <c r="I369" s="18">
        <v>0.0</v>
      </c>
      <c r="J369" s="18">
        <v>0.0</v>
      </c>
      <c r="K369" s="18"/>
      <c r="L369" s="18"/>
      <c r="M369" s="22" t="str">
        <f t="shared" si="1"/>
        <v/>
      </c>
      <c r="N369" s="18" t="str">
        <f>IF(A369="",,IF(ROW()=2, Input!$C$2 + I369, P368 + I369))</f>
        <v/>
      </c>
      <c r="O369" s="23" t="str">
        <f>IF(A369="",,
 IF(K369="Initial principal",
   Input!$C$2 * M369,
   N369 * M369
 )
)</f>
        <v/>
      </c>
      <c r="P369" s="18" t="str">
        <f t="shared" si="2"/>
        <v/>
      </c>
      <c r="Q369" s="18" t="str">
        <f t="shared" si="3"/>
        <v/>
      </c>
      <c r="R369" s="18" t="str">
        <f t="array" ref="R369">IF(
  B369="",
  ,
  SWITCH(
    Input!$C$4,
    "Actual/365 Fixed",
      YEARFRAC(
        B369 + IF(INDEX(Input!$K$7:$K1503,ROW()-1),0,1),
        C369 + IF(INDEX(Input!$L$7:$L1503,ROW()-1),1,0),
        3
      ),
    "Anniversary/365",
      DATEDIF(
        B369 + IF(INDEX(Input!$K$7:$K1503,ROW()-1),0,1),
        C369 + IF(INDEX(Input!$L$7:$L1503,ROW()-1),1,0),
        "Y"
      )
      +
      (
        (C369 + IF(INDEX(Input!$L$7:$L1503,ROW()-1),1,0))
        -
        EDATE(
          B369 + IF(INDEX(Input!$K$7:$K1503,ROW()-1),0,1),
          12*DATEDIF(
            B369 + IF(INDEX(Input!$K$7:$K1503,ROW()-1),0,1),
            C369 + IF(INDEX(Input!$L$7:$L1503,ROW()-1),1,0),
            "Y"
          )
        )
      ) / 365,
    "Actual/Actual",
      YEARFRAC(
        B369 + IF(INDEX(Input!$K$7:$K1503,ROW()-1),0,1),
        C369 + IF(INDEX(Input!$L$7:$L1503,ROW()-1),1,0),
        1
      ),
      YEARFRAC(
        B369 + IF(INDEX(Input!$K$7:$K1503,ROW()-1),0,1),
        C369 + IF(INDEX(Input!$L$7:$L1503,ROW()-1),1,0),
        3
      )
  )
)</f>
        <v/>
      </c>
      <c r="S369" s="22" t="str">
        <f t="shared" si="4"/>
        <v/>
      </c>
      <c r="T369" s="6" t="str">
        <f t="array" ref="T369">IF(
  B369="",
  ,
  DATEDIF(
    B369 + IF(INDEX(Input!$K$7:$K1503,ROW()-1),0,1),
    C369 + IF(INDEX(Input!$L$7:$L1503,ROW()-1),1,0),
    "Y"
  )
)</f>
        <v/>
      </c>
      <c r="U369" s="6" t="str">
        <f t="array" ref="U369">IF(
  B369="",
  ,
  (C369 + IF(INDEX(Input!$L$7:$L1503,ROW()-1),1,0))
  - EDATE(
      B369 + IF(INDEX(Input!$K$7:$K1503,ROW()-1),0,1),
      12*S369
    )
)</f>
        <v/>
      </c>
      <c r="V369" s="6" t="str">
        <f t="shared" si="5"/>
        <v/>
      </c>
      <c r="W369" s="6" t="str">
        <f t="shared" si="6"/>
        <v/>
      </c>
    </row>
    <row r="370">
      <c r="A370" s="18"/>
      <c r="B370" s="18"/>
      <c r="C370" s="18"/>
      <c r="D370" s="18"/>
      <c r="E370" s="18"/>
      <c r="F370" s="18"/>
      <c r="G370" s="22"/>
      <c r="H370" s="18"/>
      <c r="I370" s="18">
        <v>0.0</v>
      </c>
      <c r="J370" s="18">
        <v>0.0</v>
      </c>
      <c r="K370" s="18"/>
      <c r="L370" s="18"/>
      <c r="M370" s="22" t="str">
        <f t="shared" si="1"/>
        <v/>
      </c>
      <c r="N370" s="18" t="str">
        <f>IF(A370="",,IF(ROW()=2, Input!$C$2 + I370, P369 + I370))</f>
        <v/>
      </c>
      <c r="O370" s="23" t="str">
        <f>IF(A370="",,
 IF(K370="Initial principal",
   Input!$C$2 * M370,
   N370 * M370
 )
)</f>
        <v/>
      </c>
      <c r="P370" s="18" t="str">
        <f t="shared" si="2"/>
        <v/>
      </c>
      <c r="Q370" s="18" t="str">
        <f t="shared" si="3"/>
        <v/>
      </c>
      <c r="R370" s="18" t="str">
        <f t="array" ref="R370">IF(
  B370="",
  ,
  SWITCH(
    Input!$C$4,
    "Actual/365 Fixed",
      YEARFRAC(
        B370 + IF(INDEX(Input!$K$7:$K1503,ROW()-1),0,1),
        C370 + IF(INDEX(Input!$L$7:$L1503,ROW()-1),1,0),
        3
      ),
    "Anniversary/365",
      DATEDIF(
        B370 + IF(INDEX(Input!$K$7:$K1503,ROW()-1),0,1),
        C370 + IF(INDEX(Input!$L$7:$L1503,ROW()-1),1,0),
        "Y"
      )
      +
      (
        (C370 + IF(INDEX(Input!$L$7:$L1503,ROW()-1),1,0))
        -
        EDATE(
          B370 + IF(INDEX(Input!$K$7:$K1503,ROW()-1),0,1),
          12*DATEDIF(
            B370 + IF(INDEX(Input!$K$7:$K1503,ROW()-1),0,1),
            C370 + IF(INDEX(Input!$L$7:$L1503,ROW()-1),1,0),
            "Y"
          )
        )
      ) / 365,
    "Actual/Actual",
      YEARFRAC(
        B370 + IF(INDEX(Input!$K$7:$K1503,ROW()-1),0,1),
        C370 + IF(INDEX(Input!$L$7:$L1503,ROW()-1),1,0),
        1
      ),
      YEARFRAC(
        B370 + IF(INDEX(Input!$K$7:$K1503,ROW()-1),0,1),
        C370 + IF(INDEX(Input!$L$7:$L1503,ROW()-1),1,0),
        3
      )
  )
)</f>
        <v/>
      </c>
      <c r="S370" s="22" t="str">
        <f t="shared" si="4"/>
        <v/>
      </c>
      <c r="T370" s="6" t="str">
        <f t="array" ref="T370">IF(
  B370="",
  ,
  DATEDIF(
    B370 + IF(INDEX(Input!$K$7:$K1503,ROW()-1),0,1),
    C370 + IF(INDEX(Input!$L$7:$L1503,ROW()-1),1,0),
    "Y"
  )
)</f>
        <v/>
      </c>
      <c r="U370" s="6" t="str">
        <f t="array" ref="U370">IF(
  B370="",
  ,
  (C370 + IF(INDEX(Input!$L$7:$L1503,ROW()-1),1,0))
  - EDATE(
      B370 + IF(INDEX(Input!$K$7:$K1503,ROW()-1),0,1),
      12*S370
    )
)</f>
        <v/>
      </c>
      <c r="V370" s="6" t="str">
        <f t="shared" si="5"/>
        <v/>
      </c>
      <c r="W370" s="6" t="str">
        <f t="shared" si="6"/>
        <v/>
      </c>
    </row>
    <row r="371">
      <c r="A371" s="18"/>
      <c r="B371" s="18"/>
      <c r="C371" s="18"/>
      <c r="D371" s="18"/>
      <c r="E371" s="18"/>
      <c r="F371" s="18"/>
      <c r="G371" s="22"/>
      <c r="H371" s="18"/>
      <c r="I371" s="18">
        <v>0.0</v>
      </c>
      <c r="J371" s="18">
        <v>0.0</v>
      </c>
      <c r="K371" s="18"/>
      <c r="L371" s="18"/>
      <c r="M371" s="22" t="str">
        <f t="shared" si="1"/>
        <v/>
      </c>
      <c r="N371" s="18" t="str">
        <f>IF(A371="",,IF(ROW()=2, Input!$C$2 + I371, P370 + I371))</f>
        <v/>
      </c>
      <c r="O371" s="23" t="str">
        <f>IF(A371="",,
 IF(K371="Initial principal",
   Input!$C$2 * M371,
   N371 * M371
 )
)</f>
        <v/>
      </c>
      <c r="P371" s="18" t="str">
        <f t="shared" si="2"/>
        <v/>
      </c>
      <c r="Q371" s="18" t="str">
        <f t="shared" si="3"/>
        <v/>
      </c>
      <c r="R371" s="18" t="str">
        <f t="array" ref="R371">IF(
  B371="",
  ,
  SWITCH(
    Input!$C$4,
    "Actual/365 Fixed",
      YEARFRAC(
        B371 + IF(INDEX(Input!$K$7:$K1503,ROW()-1),0,1),
        C371 + IF(INDEX(Input!$L$7:$L1503,ROW()-1),1,0),
        3
      ),
    "Anniversary/365",
      DATEDIF(
        B371 + IF(INDEX(Input!$K$7:$K1503,ROW()-1),0,1),
        C371 + IF(INDEX(Input!$L$7:$L1503,ROW()-1),1,0),
        "Y"
      )
      +
      (
        (C371 + IF(INDEX(Input!$L$7:$L1503,ROW()-1),1,0))
        -
        EDATE(
          B371 + IF(INDEX(Input!$K$7:$K1503,ROW()-1),0,1),
          12*DATEDIF(
            B371 + IF(INDEX(Input!$K$7:$K1503,ROW()-1),0,1),
            C371 + IF(INDEX(Input!$L$7:$L1503,ROW()-1),1,0),
            "Y"
          )
        )
      ) / 365,
    "Actual/Actual",
      YEARFRAC(
        B371 + IF(INDEX(Input!$K$7:$K1503,ROW()-1),0,1),
        C371 + IF(INDEX(Input!$L$7:$L1503,ROW()-1),1,0),
        1
      ),
      YEARFRAC(
        B371 + IF(INDEX(Input!$K$7:$K1503,ROW()-1),0,1),
        C371 + IF(INDEX(Input!$L$7:$L1503,ROW()-1),1,0),
        3
      )
  )
)</f>
        <v/>
      </c>
      <c r="S371" s="22" t="str">
        <f t="shared" si="4"/>
        <v/>
      </c>
      <c r="T371" s="6" t="str">
        <f t="array" ref="T371">IF(
  B371="",
  ,
  DATEDIF(
    B371 + IF(INDEX(Input!$K$7:$K1503,ROW()-1),0,1),
    C371 + IF(INDEX(Input!$L$7:$L1503,ROW()-1),1,0),
    "Y"
  )
)</f>
        <v/>
      </c>
      <c r="U371" s="6" t="str">
        <f t="array" ref="U371">IF(
  B371="",
  ,
  (C371 + IF(INDEX(Input!$L$7:$L1503,ROW()-1),1,0))
  - EDATE(
      B371 + IF(INDEX(Input!$K$7:$K1503,ROW()-1),0,1),
      12*S371
    )
)</f>
        <v/>
      </c>
      <c r="V371" s="6" t="str">
        <f t="shared" si="5"/>
        <v/>
      </c>
      <c r="W371" s="6" t="str">
        <f t="shared" si="6"/>
        <v/>
      </c>
    </row>
    <row r="372">
      <c r="A372" s="18"/>
      <c r="B372" s="18"/>
      <c r="C372" s="18"/>
      <c r="D372" s="18"/>
      <c r="E372" s="18"/>
      <c r="F372" s="18"/>
      <c r="G372" s="22"/>
      <c r="H372" s="18"/>
      <c r="I372" s="18">
        <v>0.0</v>
      </c>
      <c r="J372" s="18">
        <v>0.0</v>
      </c>
      <c r="K372" s="18"/>
      <c r="L372" s="18"/>
      <c r="M372" s="22" t="str">
        <f t="shared" si="1"/>
        <v/>
      </c>
      <c r="N372" s="18" t="str">
        <f>IF(A372="",,IF(ROW()=2, Input!$C$2 + I372, P371 + I372))</f>
        <v/>
      </c>
      <c r="O372" s="23" t="str">
        <f>IF(A372="",,
 IF(K372="Initial principal",
   Input!$C$2 * M372,
   N372 * M372
 )
)</f>
        <v/>
      </c>
      <c r="P372" s="18" t="str">
        <f t="shared" si="2"/>
        <v/>
      </c>
      <c r="Q372" s="18" t="str">
        <f t="shared" si="3"/>
        <v/>
      </c>
      <c r="R372" s="18" t="str">
        <f t="array" ref="R372">IF(
  B372="",
  ,
  SWITCH(
    Input!$C$4,
    "Actual/365 Fixed",
      YEARFRAC(
        B372 + IF(INDEX(Input!$K$7:$K1503,ROW()-1),0,1),
        C372 + IF(INDEX(Input!$L$7:$L1503,ROW()-1),1,0),
        3
      ),
    "Anniversary/365",
      DATEDIF(
        B372 + IF(INDEX(Input!$K$7:$K1503,ROW()-1),0,1),
        C372 + IF(INDEX(Input!$L$7:$L1503,ROW()-1),1,0),
        "Y"
      )
      +
      (
        (C372 + IF(INDEX(Input!$L$7:$L1503,ROW()-1),1,0))
        -
        EDATE(
          B372 + IF(INDEX(Input!$K$7:$K1503,ROW()-1),0,1),
          12*DATEDIF(
            B372 + IF(INDEX(Input!$K$7:$K1503,ROW()-1),0,1),
            C372 + IF(INDEX(Input!$L$7:$L1503,ROW()-1),1,0),
            "Y"
          )
        )
      ) / 365,
    "Actual/Actual",
      YEARFRAC(
        B372 + IF(INDEX(Input!$K$7:$K1503,ROW()-1),0,1),
        C372 + IF(INDEX(Input!$L$7:$L1503,ROW()-1),1,0),
        1
      ),
      YEARFRAC(
        B372 + IF(INDEX(Input!$K$7:$K1503,ROW()-1),0,1),
        C372 + IF(INDEX(Input!$L$7:$L1503,ROW()-1),1,0),
        3
      )
  )
)</f>
        <v/>
      </c>
      <c r="S372" s="22" t="str">
        <f t="shared" si="4"/>
        <v/>
      </c>
      <c r="T372" s="6" t="str">
        <f t="array" ref="T372">IF(
  B372="",
  ,
  DATEDIF(
    B372 + IF(INDEX(Input!$K$7:$K1503,ROW()-1),0,1),
    C372 + IF(INDEX(Input!$L$7:$L1503,ROW()-1),1,0),
    "Y"
  )
)</f>
        <v/>
      </c>
      <c r="U372" s="6" t="str">
        <f t="array" ref="U372">IF(
  B372="",
  ,
  (C372 + IF(INDEX(Input!$L$7:$L1503,ROW()-1),1,0))
  - EDATE(
      B372 + IF(INDEX(Input!$K$7:$K1503,ROW()-1),0,1),
      12*S372
    )
)</f>
        <v/>
      </c>
      <c r="V372" s="6" t="str">
        <f t="shared" si="5"/>
        <v/>
      </c>
      <c r="W372" s="6" t="str">
        <f t="shared" si="6"/>
        <v/>
      </c>
    </row>
    <row r="373">
      <c r="A373" s="18"/>
      <c r="B373" s="18"/>
      <c r="C373" s="18"/>
      <c r="D373" s="18"/>
      <c r="E373" s="18"/>
      <c r="F373" s="18"/>
      <c r="G373" s="22"/>
      <c r="H373" s="18"/>
      <c r="I373" s="18">
        <v>0.0</v>
      </c>
      <c r="J373" s="18">
        <v>0.0</v>
      </c>
      <c r="K373" s="18"/>
      <c r="L373" s="18"/>
      <c r="M373" s="22" t="str">
        <f t="shared" si="1"/>
        <v/>
      </c>
      <c r="N373" s="18" t="str">
        <f>IF(A373="",,IF(ROW()=2, Input!$C$2 + I373, P372 + I373))</f>
        <v/>
      </c>
      <c r="O373" s="23" t="str">
        <f>IF(A373="",,
 IF(K373="Initial principal",
   Input!$C$2 * M373,
   N373 * M373
 )
)</f>
        <v/>
      </c>
      <c r="P373" s="18" t="str">
        <f t="shared" si="2"/>
        <v/>
      </c>
      <c r="Q373" s="18" t="str">
        <f t="shared" si="3"/>
        <v/>
      </c>
      <c r="R373" s="18" t="str">
        <f t="array" ref="R373">IF(
  B373="",
  ,
  SWITCH(
    Input!$C$4,
    "Actual/365 Fixed",
      YEARFRAC(
        B373 + IF(INDEX(Input!$K$7:$K1503,ROW()-1),0,1),
        C373 + IF(INDEX(Input!$L$7:$L1503,ROW()-1),1,0),
        3
      ),
    "Anniversary/365",
      DATEDIF(
        B373 + IF(INDEX(Input!$K$7:$K1503,ROW()-1),0,1),
        C373 + IF(INDEX(Input!$L$7:$L1503,ROW()-1),1,0),
        "Y"
      )
      +
      (
        (C373 + IF(INDEX(Input!$L$7:$L1503,ROW()-1),1,0))
        -
        EDATE(
          B373 + IF(INDEX(Input!$K$7:$K1503,ROW()-1),0,1),
          12*DATEDIF(
            B373 + IF(INDEX(Input!$K$7:$K1503,ROW()-1),0,1),
            C373 + IF(INDEX(Input!$L$7:$L1503,ROW()-1),1,0),
            "Y"
          )
        )
      ) / 365,
    "Actual/Actual",
      YEARFRAC(
        B373 + IF(INDEX(Input!$K$7:$K1503,ROW()-1),0,1),
        C373 + IF(INDEX(Input!$L$7:$L1503,ROW()-1),1,0),
        1
      ),
      YEARFRAC(
        B373 + IF(INDEX(Input!$K$7:$K1503,ROW()-1),0,1),
        C373 + IF(INDEX(Input!$L$7:$L1503,ROW()-1),1,0),
        3
      )
  )
)</f>
        <v/>
      </c>
      <c r="S373" s="22" t="str">
        <f t="shared" si="4"/>
        <v/>
      </c>
      <c r="T373" s="6" t="str">
        <f t="array" ref="T373">IF(
  B373="",
  ,
  DATEDIF(
    B373 + IF(INDEX(Input!$K$7:$K1503,ROW()-1),0,1),
    C373 + IF(INDEX(Input!$L$7:$L1503,ROW()-1),1,0),
    "Y"
  )
)</f>
        <v/>
      </c>
      <c r="U373" s="6" t="str">
        <f t="array" ref="U373">IF(
  B373="",
  ,
  (C373 + IF(INDEX(Input!$L$7:$L1503,ROW()-1),1,0))
  - EDATE(
      B373 + IF(INDEX(Input!$K$7:$K1503,ROW()-1),0,1),
      12*S373
    )
)</f>
        <v/>
      </c>
      <c r="V373" s="6" t="str">
        <f t="shared" si="5"/>
        <v/>
      </c>
      <c r="W373" s="6" t="str">
        <f t="shared" si="6"/>
        <v/>
      </c>
    </row>
    <row r="374">
      <c r="A374" s="18"/>
      <c r="B374" s="18"/>
      <c r="C374" s="18"/>
      <c r="D374" s="18"/>
      <c r="E374" s="18"/>
      <c r="F374" s="18"/>
      <c r="G374" s="22"/>
      <c r="H374" s="18"/>
      <c r="I374" s="18">
        <v>0.0</v>
      </c>
      <c r="J374" s="18">
        <v>0.0</v>
      </c>
      <c r="K374" s="18"/>
      <c r="L374" s="18"/>
      <c r="M374" s="22" t="str">
        <f t="shared" si="1"/>
        <v/>
      </c>
      <c r="N374" s="18" t="str">
        <f>IF(A374="",,IF(ROW()=2, Input!$C$2 + I374, P373 + I374))</f>
        <v/>
      </c>
      <c r="O374" s="23" t="str">
        <f>IF(A374="",,
 IF(K374="Initial principal",
   Input!$C$2 * M374,
   N374 * M374
 )
)</f>
        <v/>
      </c>
      <c r="P374" s="18" t="str">
        <f t="shared" si="2"/>
        <v/>
      </c>
      <c r="Q374" s="18" t="str">
        <f t="shared" si="3"/>
        <v/>
      </c>
      <c r="R374" s="18" t="str">
        <f t="array" ref="R374">IF(
  B374="",
  ,
  SWITCH(
    Input!$C$4,
    "Actual/365 Fixed",
      YEARFRAC(
        B374 + IF(INDEX(Input!$K$7:$K1503,ROW()-1),0,1),
        C374 + IF(INDEX(Input!$L$7:$L1503,ROW()-1),1,0),
        3
      ),
    "Anniversary/365",
      DATEDIF(
        B374 + IF(INDEX(Input!$K$7:$K1503,ROW()-1),0,1),
        C374 + IF(INDEX(Input!$L$7:$L1503,ROW()-1),1,0),
        "Y"
      )
      +
      (
        (C374 + IF(INDEX(Input!$L$7:$L1503,ROW()-1),1,0))
        -
        EDATE(
          B374 + IF(INDEX(Input!$K$7:$K1503,ROW()-1),0,1),
          12*DATEDIF(
            B374 + IF(INDEX(Input!$K$7:$K1503,ROW()-1),0,1),
            C374 + IF(INDEX(Input!$L$7:$L1503,ROW()-1),1,0),
            "Y"
          )
        )
      ) / 365,
    "Actual/Actual",
      YEARFRAC(
        B374 + IF(INDEX(Input!$K$7:$K1503,ROW()-1),0,1),
        C374 + IF(INDEX(Input!$L$7:$L1503,ROW()-1),1,0),
        1
      ),
      YEARFRAC(
        B374 + IF(INDEX(Input!$K$7:$K1503,ROW()-1),0,1),
        C374 + IF(INDEX(Input!$L$7:$L1503,ROW()-1),1,0),
        3
      )
  )
)</f>
        <v/>
      </c>
      <c r="S374" s="22" t="str">
        <f t="shared" si="4"/>
        <v/>
      </c>
      <c r="T374" s="6" t="str">
        <f t="array" ref="T374">IF(
  B374="",
  ,
  DATEDIF(
    B374 + IF(INDEX(Input!$K$7:$K1503,ROW()-1),0,1),
    C374 + IF(INDEX(Input!$L$7:$L1503,ROW()-1),1,0),
    "Y"
  )
)</f>
        <v/>
      </c>
      <c r="U374" s="6" t="str">
        <f t="array" ref="U374">IF(
  B374="",
  ,
  (C374 + IF(INDEX(Input!$L$7:$L1503,ROW()-1),1,0))
  - EDATE(
      B374 + IF(INDEX(Input!$K$7:$K1503,ROW()-1),0,1),
      12*S374
    )
)</f>
        <v/>
      </c>
      <c r="V374" s="6" t="str">
        <f t="shared" si="5"/>
        <v/>
      </c>
      <c r="W374" s="6" t="str">
        <f t="shared" si="6"/>
        <v/>
      </c>
    </row>
    <row r="375">
      <c r="A375" s="18"/>
      <c r="B375" s="18"/>
      <c r="C375" s="18"/>
      <c r="D375" s="18"/>
      <c r="E375" s="18"/>
      <c r="F375" s="18"/>
      <c r="G375" s="22"/>
      <c r="H375" s="18"/>
      <c r="I375" s="18">
        <v>0.0</v>
      </c>
      <c r="J375" s="18">
        <v>0.0</v>
      </c>
      <c r="K375" s="18"/>
      <c r="L375" s="18"/>
      <c r="M375" s="22" t="str">
        <f t="shared" si="1"/>
        <v/>
      </c>
      <c r="N375" s="18" t="str">
        <f>IF(A375="",,IF(ROW()=2, Input!$C$2 + I375, P374 + I375))</f>
        <v/>
      </c>
      <c r="O375" s="23" t="str">
        <f>IF(A375="",,
 IF(K375="Initial principal",
   Input!$C$2 * M375,
   N375 * M375
 )
)</f>
        <v/>
      </c>
      <c r="P375" s="18" t="str">
        <f t="shared" si="2"/>
        <v/>
      </c>
      <c r="Q375" s="18" t="str">
        <f t="shared" si="3"/>
        <v/>
      </c>
      <c r="R375" s="18" t="str">
        <f t="array" ref="R375">IF(
  B375="",
  ,
  SWITCH(
    Input!$C$4,
    "Actual/365 Fixed",
      YEARFRAC(
        B375 + IF(INDEX(Input!$K$7:$K1503,ROW()-1),0,1),
        C375 + IF(INDEX(Input!$L$7:$L1503,ROW()-1),1,0),
        3
      ),
    "Anniversary/365",
      DATEDIF(
        B375 + IF(INDEX(Input!$K$7:$K1503,ROW()-1),0,1),
        C375 + IF(INDEX(Input!$L$7:$L1503,ROW()-1),1,0),
        "Y"
      )
      +
      (
        (C375 + IF(INDEX(Input!$L$7:$L1503,ROW()-1),1,0))
        -
        EDATE(
          B375 + IF(INDEX(Input!$K$7:$K1503,ROW()-1),0,1),
          12*DATEDIF(
            B375 + IF(INDEX(Input!$K$7:$K1503,ROW()-1),0,1),
            C375 + IF(INDEX(Input!$L$7:$L1503,ROW()-1),1,0),
            "Y"
          )
        )
      ) / 365,
    "Actual/Actual",
      YEARFRAC(
        B375 + IF(INDEX(Input!$K$7:$K1503,ROW()-1),0,1),
        C375 + IF(INDEX(Input!$L$7:$L1503,ROW()-1),1,0),
        1
      ),
      YEARFRAC(
        B375 + IF(INDEX(Input!$K$7:$K1503,ROW()-1),0,1),
        C375 + IF(INDEX(Input!$L$7:$L1503,ROW()-1),1,0),
        3
      )
  )
)</f>
        <v/>
      </c>
      <c r="S375" s="22" t="str">
        <f t="shared" si="4"/>
        <v/>
      </c>
      <c r="T375" s="6" t="str">
        <f t="array" ref="T375">IF(
  B375="",
  ,
  DATEDIF(
    B375 + IF(INDEX(Input!$K$7:$K1503,ROW()-1),0,1),
    C375 + IF(INDEX(Input!$L$7:$L1503,ROW()-1),1,0),
    "Y"
  )
)</f>
        <v/>
      </c>
      <c r="U375" s="6" t="str">
        <f t="array" ref="U375">IF(
  B375="",
  ,
  (C375 + IF(INDEX(Input!$L$7:$L1503,ROW()-1),1,0))
  - EDATE(
      B375 + IF(INDEX(Input!$K$7:$K1503,ROW()-1),0,1),
      12*S375
    )
)</f>
        <v/>
      </c>
      <c r="V375" s="6" t="str">
        <f t="shared" si="5"/>
        <v/>
      </c>
      <c r="W375" s="6" t="str">
        <f t="shared" si="6"/>
        <v/>
      </c>
    </row>
    <row r="376">
      <c r="A376" s="18"/>
      <c r="B376" s="18"/>
      <c r="C376" s="18"/>
      <c r="D376" s="18"/>
      <c r="E376" s="18"/>
      <c r="F376" s="18"/>
      <c r="G376" s="22"/>
      <c r="H376" s="18"/>
      <c r="I376" s="18">
        <v>0.0</v>
      </c>
      <c r="J376" s="18">
        <v>0.0</v>
      </c>
      <c r="K376" s="18"/>
      <c r="L376" s="18"/>
      <c r="M376" s="22" t="str">
        <f t="shared" si="1"/>
        <v/>
      </c>
      <c r="N376" s="18" t="str">
        <f>IF(A376="",,IF(ROW()=2, Input!$C$2 + I376, P375 + I376))</f>
        <v/>
      </c>
      <c r="O376" s="23" t="str">
        <f>IF(A376="",,
 IF(K376="Initial principal",
   Input!$C$2 * M376,
   N376 * M376
 )
)</f>
        <v/>
      </c>
      <c r="P376" s="18" t="str">
        <f t="shared" si="2"/>
        <v/>
      </c>
      <c r="Q376" s="18" t="str">
        <f t="shared" si="3"/>
        <v/>
      </c>
      <c r="R376" s="18" t="str">
        <f t="array" ref="R376">IF(
  B376="",
  ,
  SWITCH(
    Input!$C$4,
    "Actual/365 Fixed",
      YEARFRAC(
        B376 + IF(INDEX(Input!$K$7:$K1503,ROW()-1),0,1),
        C376 + IF(INDEX(Input!$L$7:$L1503,ROW()-1),1,0),
        3
      ),
    "Anniversary/365",
      DATEDIF(
        B376 + IF(INDEX(Input!$K$7:$K1503,ROW()-1),0,1),
        C376 + IF(INDEX(Input!$L$7:$L1503,ROW()-1),1,0),
        "Y"
      )
      +
      (
        (C376 + IF(INDEX(Input!$L$7:$L1503,ROW()-1),1,0))
        -
        EDATE(
          B376 + IF(INDEX(Input!$K$7:$K1503,ROW()-1),0,1),
          12*DATEDIF(
            B376 + IF(INDEX(Input!$K$7:$K1503,ROW()-1),0,1),
            C376 + IF(INDEX(Input!$L$7:$L1503,ROW()-1),1,0),
            "Y"
          )
        )
      ) / 365,
    "Actual/Actual",
      YEARFRAC(
        B376 + IF(INDEX(Input!$K$7:$K1503,ROW()-1),0,1),
        C376 + IF(INDEX(Input!$L$7:$L1503,ROW()-1),1,0),
        1
      ),
      YEARFRAC(
        B376 + IF(INDEX(Input!$K$7:$K1503,ROW()-1),0,1),
        C376 + IF(INDEX(Input!$L$7:$L1503,ROW()-1),1,0),
        3
      )
  )
)</f>
        <v/>
      </c>
      <c r="S376" s="22" t="str">
        <f t="shared" si="4"/>
        <v/>
      </c>
      <c r="T376" s="6" t="str">
        <f t="array" ref="T376">IF(
  B376="",
  ,
  DATEDIF(
    B376 + IF(INDEX(Input!$K$7:$K1503,ROW()-1),0,1),
    C376 + IF(INDEX(Input!$L$7:$L1503,ROW()-1),1,0),
    "Y"
  )
)</f>
        <v/>
      </c>
      <c r="U376" s="6" t="str">
        <f t="array" ref="U376">IF(
  B376="",
  ,
  (C376 + IF(INDEX(Input!$L$7:$L1503,ROW()-1),1,0))
  - EDATE(
      B376 + IF(INDEX(Input!$K$7:$K1503,ROW()-1),0,1),
      12*S376
    )
)</f>
        <v/>
      </c>
      <c r="V376" s="6" t="str">
        <f t="shared" si="5"/>
        <v/>
      </c>
      <c r="W376" s="6" t="str">
        <f t="shared" si="6"/>
        <v/>
      </c>
    </row>
    <row r="377">
      <c r="A377" s="18"/>
      <c r="B377" s="18"/>
      <c r="C377" s="18"/>
      <c r="D377" s="18"/>
      <c r="E377" s="18"/>
      <c r="F377" s="18"/>
      <c r="G377" s="22"/>
      <c r="H377" s="18"/>
      <c r="I377" s="18">
        <v>0.0</v>
      </c>
      <c r="J377" s="18">
        <v>0.0</v>
      </c>
      <c r="K377" s="18"/>
      <c r="L377" s="18"/>
      <c r="M377" s="22" t="str">
        <f t="shared" si="1"/>
        <v/>
      </c>
      <c r="N377" s="18" t="str">
        <f>IF(A377="",,IF(ROW()=2, Input!$C$2 + I377, P376 + I377))</f>
        <v/>
      </c>
      <c r="O377" s="23" t="str">
        <f>IF(A377="",,
 IF(K377="Initial principal",
   Input!$C$2 * M377,
   N377 * M377
 )
)</f>
        <v/>
      </c>
      <c r="P377" s="18" t="str">
        <f t="shared" si="2"/>
        <v/>
      </c>
      <c r="Q377" s="18" t="str">
        <f t="shared" si="3"/>
        <v/>
      </c>
      <c r="R377" s="18" t="str">
        <f t="array" ref="R377">IF(
  B377="",
  ,
  SWITCH(
    Input!$C$4,
    "Actual/365 Fixed",
      YEARFRAC(
        B377 + IF(INDEX(Input!$K$7:$K1503,ROW()-1),0,1),
        C377 + IF(INDEX(Input!$L$7:$L1503,ROW()-1),1,0),
        3
      ),
    "Anniversary/365",
      DATEDIF(
        B377 + IF(INDEX(Input!$K$7:$K1503,ROW()-1),0,1),
        C377 + IF(INDEX(Input!$L$7:$L1503,ROW()-1),1,0),
        "Y"
      )
      +
      (
        (C377 + IF(INDEX(Input!$L$7:$L1503,ROW()-1),1,0))
        -
        EDATE(
          B377 + IF(INDEX(Input!$K$7:$K1503,ROW()-1),0,1),
          12*DATEDIF(
            B377 + IF(INDEX(Input!$K$7:$K1503,ROW()-1),0,1),
            C377 + IF(INDEX(Input!$L$7:$L1503,ROW()-1),1,0),
            "Y"
          )
        )
      ) / 365,
    "Actual/Actual",
      YEARFRAC(
        B377 + IF(INDEX(Input!$K$7:$K1503,ROW()-1),0,1),
        C377 + IF(INDEX(Input!$L$7:$L1503,ROW()-1),1,0),
        1
      ),
      YEARFRAC(
        B377 + IF(INDEX(Input!$K$7:$K1503,ROW()-1),0,1),
        C377 + IF(INDEX(Input!$L$7:$L1503,ROW()-1),1,0),
        3
      )
  )
)</f>
        <v/>
      </c>
      <c r="S377" s="22" t="str">
        <f t="shared" si="4"/>
        <v/>
      </c>
      <c r="T377" s="6" t="str">
        <f t="array" ref="T377">IF(
  B377="",
  ,
  DATEDIF(
    B377 + IF(INDEX(Input!$K$7:$K1503,ROW()-1),0,1),
    C377 + IF(INDEX(Input!$L$7:$L1503,ROW()-1),1,0),
    "Y"
  )
)</f>
        <v/>
      </c>
      <c r="U377" s="6" t="str">
        <f t="array" ref="U377">IF(
  B377="",
  ,
  (C377 + IF(INDEX(Input!$L$7:$L1503,ROW()-1),1,0))
  - EDATE(
      B377 + IF(INDEX(Input!$K$7:$K1503,ROW()-1),0,1),
      12*S377
    )
)</f>
        <v/>
      </c>
      <c r="V377" s="6" t="str">
        <f t="shared" si="5"/>
        <v/>
      </c>
      <c r="W377" s="6" t="str">
        <f t="shared" si="6"/>
        <v/>
      </c>
    </row>
    <row r="378">
      <c r="A378" s="18"/>
      <c r="B378" s="18"/>
      <c r="C378" s="18"/>
      <c r="D378" s="18"/>
      <c r="E378" s="18"/>
      <c r="F378" s="18"/>
      <c r="G378" s="22"/>
      <c r="H378" s="18"/>
      <c r="I378" s="18">
        <v>0.0</v>
      </c>
      <c r="J378" s="18">
        <v>0.0</v>
      </c>
      <c r="K378" s="18"/>
      <c r="L378" s="18"/>
      <c r="M378" s="22" t="str">
        <f t="shared" si="1"/>
        <v/>
      </c>
      <c r="N378" s="18" t="str">
        <f>IF(A378="",,IF(ROW()=2, Input!$C$2 + I378, P377 + I378))</f>
        <v/>
      </c>
      <c r="O378" s="23" t="str">
        <f>IF(A378="",,
 IF(K378="Initial principal",
   Input!$C$2 * M378,
   N378 * M378
 )
)</f>
        <v/>
      </c>
      <c r="P378" s="18" t="str">
        <f t="shared" si="2"/>
        <v/>
      </c>
      <c r="Q378" s="18" t="str">
        <f t="shared" si="3"/>
        <v/>
      </c>
      <c r="R378" s="18" t="str">
        <f t="array" ref="R378">IF(
  B378="",
  ,
  SWITCH(
    Input!$C$4,
    "Actual/365 Fixed",
      YEARFRAC(
        B378 + IF(INDEX(Input!$K$7:$K1503,ROW()-1),0,1),
        C378 + IF(INDEX(Input!$L$7:$L1503,ROW()-1),1,0),
        3
      ),
    "Anniversary/365",
      DATEDIF(
        B378 + IF(INDEX(Input!$K$7:$K1503,ROW()-1),0,1),
        C378 + IF(INDEX(Input!$L$7:$L1503,ROW()-1),1,0),
        "Y"
      )
      +
      (
        (C378 + IF(INDEX(Input!$L$7:$L1503,ROW()-1),1,0))
        -
        EDATE(
          B378 + IF(INDEX(Input!$K$7:$K1503,ROW()-1),0,1),
          12*DATEDIF(
            B378 + IF(INDEX(Input!$K$7:$K1503,ROW()-1),0,1),
            C378 + IF(INDEX(Input!$L$7:$L1503,ROW()-1),1,0),
            "Y"
          )
        )
      ) / 365,
    "Actual/Actual",
      YEARFRAC(
        B378 + IF(INDEX(Input!$K$7:$K1503,ROW()-1),0,1),
        C378 + IF(INDEX(Input!$L$7:$L1503,ROW()-1),1,0),
        1
      ),
      YEARFRAC(
        B378 + IF(INDEX(Input!$K$7:$K1503,ROW()-1),0,1),
        C378 + IF(INDEX(Input!$L$7:$L1503,ROW()-1),1,0),
        3
      )
  )
)</f>
        <v/>
      </c>
      <c r="S378" s="22" t="str">
        <f t="shared" si="4"/>
        <v/>
      </c>
      <c r="T378" s="6" t="str">
        <f t="array" ref="T378">IF(
  B378="",
  ,
  DATEDIF(
    B378 + IF(INDEX(Input!$K$7:$K1503,ROW()-1),0,1),
    C378 + IF(INDEX(Input!$L$7:$L1503,ROW()-1),1,0),
    "Y"
  )
)</f>
        <v/>
      </c>
      <c r="U378" s="6" t="str">
        <f t="array" ref="U378">IF(
  B378="",
  ,
  (C378 + IF(INDEX(Input!$L$7:$L1503,ROW()-1),1,0))
  - EDATE(
      B378 + IF(INDEX(Input!$K$7:$K1503,ROW()-1),0,1),
      12*S378
    )
)</f>
        <v/>
      </c>
      <c r="V378" s="6" t="str">
        <f t="shared" si="5"/>
        <v/>
      </c>
      <c r="W378" s="6" t="str">
        <f t="shared" si="6"/>
        <v/>
      </c>
    </row>
    <row r="379">
      <c r="A379" s="18"/>
      <c r="B379" s="18"/>
      <c r="C379" s="18"/>
      <c r="D379" s="18"/>
      <c r="E379" s="18"/>
      <c r="F379" s="18"/>
      <c r="G379" s="22"/>
      <c r="H379" s="18"/>
      <c r="I379" s="18">
        <v>0.0</v>
      </c>
      <c r="J379" s="18">
        <v>0.0</v>
      </c>
      <c r="K379" s="18"/>
      <c r="L379" s="18"/>
      <c r="M379" s="22" t="str">
        <f t="shared" si="1"/>
        <v/>
      </c>
      <c r="N379" s="18" t="str">
        <f>IF(A379="",,IF(ROW()=2, Input!$C$2 + I379, P378 + I379))</f>
        <v/>
      </c>
      <c r="O379" s="23" t="str">
        <f>IF(A379="",,
 IF(K379="Initial principal",
   Input!$C$2 * M379,
   N379 * M379
 )
)</f>
        <v/>
      </c>
      <c r="P379" s="18" t="str">
        <f t="shared" si="2"/>
        <v/>
      </c>
      <c r="Q379" s="18" t="str">
        <f t="shared" si="3"/>
        <v/>
      </c>
      <c r="R379" s="18" t="str">
        <f t="array" ref="R379">IF(
  B379="",
  ,
  SWITCH(
    Input!$C$4,
    "Actual/365 Fixed",
      YEARFRAC(
        B379 + IF(INDEX(Input!$K$7:$K1503,ROW()-1),0,1),
        C379 + IF(INDEX(Input!$L$7:$L1503,ROW()-1),1,0),
        3
      ),
    "Anniversary/365",
      DATEDIF(
        B379 + IF(INDEX(Input!$K$7:$K1503,ROW()-1),0,1),
        C379 + IF(INDEX(Input!$L$7:$L1503,ROW()-1),1,0),
        "Y"
      )
      +
      (
        (C379 + IF(INDEX(Input!$L$7:$L1503,ROW()-1),1,0))
        -
        EDATE(
          B379 + IF(INDEX(Input!$K$7:$K1503,ROW()-1),0,1),
          12*DATEDIF(
            B379 + IF(INDEX(Input!$K$7:$K1503,ROW()-1),0,1),
            C379 + IF(INDEX(Input!$L$7:$L1503,ROW()-1),1,0),
            "Y"
          )
        )
      ) / 365,
    "Actual/Actual",
      YEARFRAC(
        B379 + IF(INDEX(Input!$K$7:$K1503,ROW()-1),0,1),
        C379 + IF(INDEX(Input!$L$7:$L1503,ROW()-1),1,0),
        1
      ),
      YEARFRAC(
        B379 + IF(INDEX(Input!$K$7:$K1503,ROW()-1),0,1),
        C379 + IF(INDEX(Input!$L$7:$L1503,ROW()-1),1,0),
        3
      )
  )
)</f>
        <v/>
      </c>
      <c r="S379" s="22" t="str">
        <f t="shared" si="4"/>
        <v/>
      </c>
      <c r="T379" s="6" t="str">
        <f t="array" ref="T379">IF(
  B379="",
  ,
  DATEDIF(
    B379 + IF(INDEX(Input!$K$7:$K1503,ROW()-1),0,1),
    C379 + IF(INDEX(Input!$L$7:$L1503,ROW()-1),1,0),
    "Y"
  )
)</f>
        <v/>
      </c>
      <c r="U379" s="6" t="str">
        <f t="array" ref="U379">IF(
  B379="",
  ,
  (C379 + IF(INDEX(Input!$L$7:$L1503,ROW()-1),1,0))
  - EDATE(
      B379 + IF(INDEX(Input!$K$7:$K1503,ROW()-1),0,1),
      12*S379
    )
)</f>
        <v/>
      </c>
      <c r="V379" s="6" t="str">
        <f t="shared" si="5"/>
        <v/>
      </c>
      <c r="W379" s="6" t="str">
        <f t="shared" si="6"/>
        <v/>
      </c>
    </row>
    <row r="380">
      <c r="A380" s="18"/>
      <c r="B380" s="18"/>
      <c r="C380" s="18"/>
      <c r="D380" s="18"/>
      <c r="E380" s="18"/>
      <c r="F380" s="18"/>
      <c r="G380" s="22"/>
      <c r="H380" s="18"/>
      <c r="I380" s="18">
        <v>0.0</v>
      </c>
      <c r="J380" s="18">
        <v>0.0</v>
      </c>
      <c r="K380" s="18"/>
      <c r="L380" s="18"/>
      <c r="M380" s="22" t="str">
        <f t="shared" si="1"/>
        <v/>
      </c>
      <c r="N380" s="18" t="str">
        <f>IF(A380="",,IF(ROW()=2, Input!$C$2 + I380, P379 + I380))</f>
        <v/>
      </c>
      <c r="O380" s="23" t="str">
        <f>IF(A380="",,
 IF(K380="Initial principal",
   Input!$C$2 * M380,
   N380 * M380
 )
)</f>
        <v/>
      </c>
      <c r="P380" s="18" t="str">
        <f t="shared" si="2"/>
        <v/>
      </c>
      <c r="Q380" s="18" t="str">
        <f t="shared" si="3"/>
        <v/>
      </c>
      <c r="R380" s="18" t="str">
        <f t="array" ref="R380">IF(
  B380="",
  ,
  SWITCH(
    Input!$C$4,
    "Actual/365 Fixed",
      YEARFRAC(
        B380 + IF(INDEX(Input!$K$7:$K1503,ROW()-1),0,1),
        C380 + IF(INDEX(Input!$L$7:$L1503,ROW()-1),1,0),
        3
      ),
    "Anniversary/365",
      DATEDIF(
        B380 + IF(INDEX(Input!$K$7:$K1503,ROW()-1),0,1),
        C380 + IF(INDEX(Input!$L$7:$L1503,ROW()-1),1,0),
        "Y"
      )
      +
      (
        (C380 + IF(INDEX(Input!$L$7:$L1503,ROW()-1),1,0))
        -
        EDATE(
          B380 + IF(INDEX(Input!$K$7:$K1503,ROW()-1),0,1),
          12*DATEDIF(
            B380 + IF(INDEX(Input!$K$7:$K1503,ROW()-1),0,1),
            C380 + IF(INDEX(Input!$L$7:$L1503,ROW()-1),1,0),
            "Y"
          )
        )
      ) / 365,
    "Actual/Actual",
      YEARFRAC(
        B380 + IF(INDEX(Input!$K$7:$K1503,ROW()-1),0,1),
        C380 + IF(INDEX(Input!$L$7:$L1503,ROW()-1),1,0),
        1
      ),
      YEARFRAC(
        B380 + IF(INDEX(Input!$K$7:$K1503,ROW()-1),0,1),
        C380 + IF(INDEX(Input!$L$7:$L1503,ROW()-1),1,0),
        3
      )
  )
)</f>
        <v/>
      </c>
      <c r="S380" s="22" t="str">
        <f t="shared" si="4"/>
        <v/>
      </c>
      <c r="T380" s="6" t="str">
        <f t="array" ref="T380">IF(
  B380="",
  ,
  DATEDIF(
    B380 + IF(INDEX(Input!$K$7:$K1503,ROW()-1),0,1),
    C380 + IF(INDEX(Input!$L$7:$L1503,ROW()-1),1,0),
    "Y"
  )
)</f>
        <v/>
      </c>
      <c r="U380" s="6" t="str">
        <f t="array" ref="U380">IF(
  B380="",
  ,
  (C380 + IF(INDEX(Input!$L$7:$L1503,ROW()-1),1,0))
  - EDATE(
      B380 + IF(INDEX(Input!$K$7:$K1503,ROW()-1),0,1),
      12*S380
    )
)</f>
        <v/>
      </c>
      <c r="V380" s="6" t="str">
        <f t="shared" si="5"/>
        <v/>
      </c>
      <c r="W380" s="6" t="str">
        <f t="shared" si="6"/>
        <v/>
      </c>
    </row>
    <row r="381">
      <c r="A381" s="18"/>
      <c r="B381" s="18"/>
      <c r="C381" s="18"/>
      <c r="D381" s="18"/>
      <c r="E381" s="18"/>
      <c r="F381" s="18"/>
      <c r="G381" s="22"/>
      <c r="H381" s="18"/>
      <c r="I381" s="18">
        <v>0.0</v>
      </c>
      <c r="J381" s="18">
        <v>0.0</v>
      </c>
      <c r="K381" s="18"/>
      <c r="L381" s="18"/>
      <c r="M381" s="22" t="str">
        <f t="shared" si="1"/>
        <v/>
      </c>
      <c r="N381" s="18" t="str">
        <f>IF(A381="",,IF(ROW()=2, Input!$C$2 + I381, P380 + I381))</f>
        <v/>
      </c>
      <c r="O381" s="23" t="str">
        <f>IF(A381="",,
 IF(K381="Initial principal",
   Input!$C$2 * M381,
   N381 * M381
 )
)</f>
        <v/>
      </c>
      <c r="P381" s="18" t="str">
        <f t="shared" si="2"/>
        <v/>
      </c>
      <c r="Q381" s="18" t="str">
        <f t="shared" si="3"/>
        <v/>
      </c>
      <c r="R381" s="18" t="str">
        <f t="array" ref="R381">IF(
  B381="",
  ,
  SWITCH(
    Input!$C$4,
    "Actual/365 Fixed",
      YEARFRAC(
        B381 + IF(INDEX(Input!$K$7:$K1503,ROW()-1),0,1),
        C381 + IF(INDEX(Input!$L$7:$L1503,ROW()-1),1,0),
        3
      ),
    "Anniversary/365",
      DATEDIF(
        B381 + IF(INDEX(Input!$K$7:$K1503,ROW()-1),0,1),
        C381 + IF(INDEX(Input!$L$7:$L1503,ROW()-1),1,0),
        "Y"
      )
      +
      (
        (C381 + IF(INDEX(Input!$L$7:$L1503,ROW()-1),1,0))
        -
        EDATE(
          B381 + IF(INDEX(Input!$K$7:$K1503,ROW()-1),0,1),
          12*DATEDIF(
            B381 + IF(INDEX(Input!$K$7:$K1503,ROW()-1),0,1),
            C381 + IF(INDEX(Input!$L$7:$L1503,ROW()-1),1,0),
            "Y"
          )
        )
      ) / 365,
    "Actual/Actual",
      YEARFRAC(
        B381 + IF(INDEX(Input!$K$7:$K1503,ROW()-1),0,1),
        C381 + IF(INDEX(Input!$L$7:$L1503,ROW()-1),1,0),
        1
      ),
      YEARFRAC(
        B381 + IF(INDEX(Input!$K$7:$K1503,ROW()-1),0,1),
        C381 + IF(INDEX(Input!$L$7:$L1503,ROW()-1),1,0),
        3
      )
  )
)</f>
        <v/>
      </c>
      <c r="S381" s="22" t="str">
        <f t="shared" si="4"/>
        <v/>
      </c>
      <c r="T381" s="6" t="str">
        <f t="array" ref="T381">IF(
  B381="",
  ,
  DATEDIF(
    B381 + IF(INDEX(Input!$K$7:$K1503,ROW()-1),0,1),
    C381 + IF(INDEX(Input!$L$7:$L1503,ROW()-1),1,0),
    "Y"
  )
)</f>
        <v/>
      </c>
      <c r="U381" s="6" t="str">
        <f t="array" ref="U381">IF(
  B381="",
  ,
  (C381 + IF(INDEX(Input!$L$7:$L1503,ROW()-1),1,0))
  - EDATE(
      B381 + IF(INDEX(Input!$K$7:$K1503,ROW()-1),0,1),
      12*S381
    )
)</f>
        <v/>
      </c>
      <c r="V381" s="6" t="str">
        <f t="shared" si="5"/>
        <v/>
      </c>
      <c r="W381" s="6" t="str">
        <f t="shared" si="6"/>
        <v/>
      </c>
    </row>
    <row r="382">
      <c r="A382" s="18"/>
      <c r="B382" s="18"/>
      <c r="C382" s="18"/>
      <c r="D382" s="18"/>
      <c r="E382" s="18"/>
      <c r="F382" s="18"/>
      <c r="G382" s="22"/>
      <c r="H382" s="18"/>
      <c r="I382" s="18">
        <v>0.0</v>
      </c>
      <c r="J382" s="18">
        <v>0.0</v>
      </c>
      <c r="K382" s="18"/>
      <c r="L382" s="18"/>
      <c r="M382" s="22" t="str">
        <f t="shared" si="1"/>
        <v/>
      </c>
      <c r="N382" s="18" t="str">
        <f>IF(A382="",,IF(ROW()=2, Input!$C$2 + I382, P381 + I382))</f>
        <v/>
      </c>
      <c r="O382" s="23" t="str">
        <f>IF(A382="",,
 IF(K382="Initial principal",
   Input!$C$2 * M382,
   N382 * M382
 )
)</f>
        <v/>
      </c>
      <c r="P382" s="18" t="str">
        <f t="shared" si="2"/>
        <v/>
      </c>
      <c r="Q382" s="18" t="str">
        <f t="shared" si="3"/>
        <v/>
      </c>
      <c r="R382" s="18" t="str">
        <f t="array" ref="R382">IF(
  B382="",
  ,
  SWITCH(
    Input!$C$4,
    "Actual/365 Fixed",
      YEARFRAC(
        B382 + IF(INDEX(Input!$K$7:$K1503,ROW()-1),0,1),
        C382 + IF(INDEX(Input!$L$7:$L1503,ROW()-1),1,0),
        3
      ),
    "Anniversary/365",
      DATEDIF(
        B382 + IF(INDEX(Input!$K$7:$K1503,ROW()-1),0,1),
        C382 + IF(INDEX(Input!$L$7:$L1503,ROW()-1),1,0),
        "Y"
      )
      +
      (
        (C382 + IF(INDEX(Input!$L$7:$L1503,ROW()-1),1,0))
        -
        EDATE(
          B382 + IF(INDEX(Input!$K$7:$K1503,ROW()-1),0,1),
          12*DATEDIF(
            B382 + IF(INDEX(Input!$K$7:$K1503,ROW()-1),0,1),
            C382 + IF(INDEX(Input!$L$7:$L1503,ROW()-1),1,0),
            "Y"
          )
        )
      ) / 365,
    "Actual/Actual",
      YEARFRAC(
        B382 + IF(INDEX(Input!$K$7:$K1503,ROW()-1),0,1),
        C382 + IF(INDEX(Input!$L$7:$L1503,ROW()-1),1,0),
        1
      ),
      YEARFRAC(
        B382 + IF(INDEX(Input!$K$7:$K1503,ROW()-1),0,1),
        C382 + IF(INDEX(Input!$L$7:$L1503,ROW()-1),1,0),
        3
      )
  )
)</f>
        <v/>
      </c>
      <c r="S382" s="22" t="str">
        <f t="shared" si="4"/>
        <v/>
      </c>
      <c r="T382" s="6" t="str">
        <f t="array" ref="T382">IF(
  B382="",
  ,
  DATEDIF(
    B382 + IF(INDEX(Input!$K$7:$K1503,ROW()-1),0,1),
    C382 + IF(INDEX(Input!$L$7:$L1503,ROW()-1),1,0),
    "Y"
  )
)</f>
        <v/>
      </c>
      <c r="U382" s="6" t="str">
        <f t="array" ref="U382">IF(
  B382="",
  ,
  (C382 + IF(INDEX(Input!$L$7:$L1503,ROW()-1),1,0))
  - EDATE(
      B382 + IF(INDEX(Input!$K$7:$K1503,ROW()-1),0,1),
      12*S382
    )
)</f>
        <v/>
      </c>
      <c r="V382" s="6" t="str">
        <f t="shared" si="5"/>
        <v/>
      </c>
      <c r="W382" s="6" t="str">
        <f t="shared" si="6"/>
        <v/>
      </c>
    </row>
    <row r="383">
      <c r="A383" s="18"/>
      <c r="B383" s="18"/>
      <c r="C383" s="18"/>
      <c r="D383" s="18"/>
      <c r="E383" s="18"/>
      <c r="F383" s="18"/>
      <c r="G383" s="22"/>
      <c r="H383" s="18"/>
      <c r="I383" s="18">
        <v>0.0</v>
      </c>
      <c r="J383" s="18">
        <v>0.0</v>
      </c>
      <c r="K383" s="18"/>
      <c r="L383" s="18"/>
      <c r="M383" s="22" t="str">
        <f t="shared" si="1"/>
        <v/>
      </c>
      <c r="N383" s="18" t="str">
        <f>IF(A383="",,IF(ROW()=2, Input!$C$2 + I383, P382 + I383))</f>
        <v/>
      </c>
      <c r="O383" s="23" t="str">
        <f>IF(A383="",,
 IF(K383="Initial principal",
   Input!$C$2 * M383,
   N383 * M383
 )
)</f>
        <v/>
      </c>
      <c r="P383" s="18" t="str">
        <f t="shared" si="2"/>
        <v/>
      </c>
      <c r="Q383" s="18" t="str">
        <f t="shared" si="3"/>
        <v/>
      </c>
      <c r="R383" s="18" t="str">
        <f t="array" ref="R383">IF(
  B383="",
  ,
  SWITCH(
    Input!$C$4,
    "Actual/365 Fixed",
      YEARFRAC(
        B383 + IF(INDEX(Input!$K$7:$K1503,ROW()-1),0,1),
        C383 + IF(INDEX(Input!$L$7:$L1503,ROW()-1),1,0),
        3
      ),
    "Anniversary/365",
      DATEDIF(
        B383 + IF(INDEX(Input!$K$7:$K1503,ROW()-1),0,1),
        C383 + IF(INDEX(Input!$L$7:$L1503,ROW()-1),1,0),
        "Y"
      )
      +
      (
        (C383 + IF(INDEX(Input!$L$7:$L1503,ROW()-1),1,0))
        -
        EDATE(
          B383 + IF(INDEX(Input!$K$7:$K1503,ROW()-1),0,1),
          12*DATEDIF(
            B383 + IF(INDEX(Input!$K$7:$K1503,ROW()-1),0,1),
            C383 + IF(INDEX(Input!$L$7:$L1503,ROW()-1),1,0),
            "Y"
          )
        )
      ) / 365,
    "Actual/Actual",
      YEARFRAC(
        B383 + IF(INDEX(Input!$K$7:$K1503,ROW()-1),0,1),
        C383 + IF(INDEX(Input!$L$7:$L1503,ROW()-1),1,0),
        1
      ),
      YEARFRAC(
        B383 + IF(INDEX(Input!$K$7:$K1503,ROW()-1),0,1),
        C383 + IF(INDEX(Input!$L$7:$L1503,ROW()-1),1,0),
        3
      )
  )
)</f>
        <v/>
      </c>
      <c r="S383" s="22" t="str">
        <f t="shared" si="4"/>
        <v/>
      </c>
      <c r="T383" s="6" t="str">
        <f t="array" ref="T383">IF(
  B383="",
  ,
  DATEDIF(
    B383 + IF(INDEX(Input!$K$7:$K1503,ROW()-1),0,1),
    C383 + IF(INDEX(Input!$L$7:$L1503,ROW()-1),1,0),
    "Y"
  )
)</f>
        <v/>
      </c>
      <c r="U383" s="6" t="str">
        <f t="array" ref="U383">IF(
  B383="",
  ,
  (C383 + IF(INDEX(Input!$L$7:$L1503,ROW()-1),1,0))
  - EDATE(
      B383 + IF(INDEX(Input!$K$7:$K1503,ROW()-1),0,1),
      12*S383
    )
)</f>
        <v/>
      </c>
      <c r="V383" s="6" t="str">
        <f t="shared" si="5"/>
        <v/>
      </c>
      <c r="W383" s="6" t="str">
        <f t="shared" si="6"/>
        <v/>
      </c>
    </row>
    <row r="384">
      <c r="A384" s="18"/>
      <c r="B384" s="18"/>
      <c r="C384" s="18"/>
      <c r="D384" s="18"/>
      <c r="E384" s="18"/>
      <c r="F384" s="18"/>
      <c r="G384" s="22"/>
      <c r="H384" s="18"/>
      <c r="I384" s="18">
        <v>0.0</v>
      </c>
      <c r="J384" s="18">
        <v>0.0</v>
      </c>
      <c r="K384" s="18"/>
      <c r="L384" s="18"/>
      <c r="M384" s="22" t="str">
        <f t="shared" si="1"/>
        <v/>
      </c>
      <c r="N384" s="18" t="str">
        <f>IF(A384="",,IF(ROW()=2, Input!$C$2 + I384, P383 + I384))</f>
        <v/>
      </c>
      <c r="O384" s="23" t="str">
        <f>IF(A384="",,
 IF(K384="Initial principal",
   Input!$C$2 * M384,
   N384 * M384
 )
)</f>
        <v/>
      </c>
      <c r="P384" s="18" t="str">
        <f t="shared" si="2"/>
        <v/>
      </c>
      <c r="Q384" s="18" t="str">
        <f t="shared" si="3"/>
        <v/>
      </c>
      <c r="R384" s="18" t="str">
        <f t="array" ref="R384">IF(
  B384="",
  ,
  SWITCH(
    Input!$C$4,
    "Actual/365 Fixed",
      YEARFRAC(
        B384 + IF(INDEX(Input!$K$7:$K1503,ROW()-1),0,1),
        C384 + IF(INDEX(Input!$L$7:$L1503,ROW()-1),1,0),
        3
      ),
    "Anniversary/365",
      DATEDIF(
        B384 + IF(INDEX(Input!$K$7:$K1503,ROW()-1),0,1),
        C384 + IF(INDEX(Input!$L$7:$L1503,ROW()-1),1,0),
        "Y"
      )
      +
      (
        (C384 + IF(INDEX(Input!$L$7:$L1503,ROW()-1),1,0))
        -
        EDATE(
          B384 + IF(INDEX(Input!$K$7:$K1503,ROW()-1),0,1),
          12*DATEDIF(
            B384 + IF(INDEX(Input!$K$7:$K1503,ROW()-1),0,1),
            C384 + IF(INDEX(Input!$L$7:$L1503,ROW()-1),1,0),
            "Y"
          )
        )
      ) / 365,
    "Actual/Actual",
      YEARFRAC(
        B384 + IF(INDEX(Input!$K$7:$K1503,ROW()-1),0,1),
        C384 + IF(INDEX(Input!$L$7:$L1503,ROW()-1),1,0),
        1
      ),
      YEARFRAC(
        B384 + IF(INDEX(Input!$K$7:$K1503,ROW()-1),0,1),
        C384 + IF(INDEX(Input!$L$7:$L1503,ROW()-1),1,0),
        3
      )
  )
)</f>
        <v/>
      </c>
      <c r="S384" s="22" t="str">
        <f t="shared" si="4"/>
        <v/>
      </c>
      <c r="T384" s="6" t="str">
        <f t="array" ref="T384">IF(
  B384="",
  ,
  DATEDIF(
    B384 + IF(INDEX(Input!$K$7:$K1503,ROW()-1),0,1),
    C384 + IF(INDEX(Input!$L$7:$L1503,ROW()-1),1,0),
    "Y"
  )
)</f>
        <v/>
      </c>
      <c r="U384" s="6" t="str">
        <f t="array" ref="U384">IF(
  B384="",
  ,
  (C384 + IF(INDEX(Input!$L$7:$L1503,ROW()-1),1,0))
  - EDATE(
      B384 + IF(INDEX(Input!$K$7:$K1503,ROW()-1),0,1),
      12*S384
    )
)</f>
        <v/>
      </c>
      <c r="V384" s="6" t="str">
        <f t="shared" si="5"/>
        <v/>
      </c>
      <c r="W384" s="6" t="str">
        <f t="shared" si="6"/>
        <v/>
      </c>
    </row>
    <row r="385">
      <c r="A385" s="18"/>
      <c r="B385" s="18"/>
      <c r="C385" s="18"/>
      <c r="D385" s="18"/>
      <c r="E385" s="18"/>
      <c r="F385" s="18"/>
      <c r="G385" s="22"/>
      <c r="H385" s="18"/>
      <c r="I385" s="18">
        <v>0.0</v>
      </c>
      <c r="J385" s="18">
        <v>0.0</v>
      </c>
      <c r="K385" s="18"/>
      <c r="L385" s="18"/>
      <c r="M385" s="22" t="str">
        <f t="shared" si="1"/>
        <v/>
      </c>
      <c r="N385" s="18" t="str">
        <f>IF(A385="",,IF(ROW()=2, Input!$C$2 + I385, P384 + I385))</f>
        <v/>
      </c>
      <c r="O385" s="23" t="str">
        <f>IF(A385="",,
 IF(K385="Initial principal",
   Input!$C$2 * M385,
   N385 * M385
 )
)</f>
        <v/>
      </c>
      <c r="P385" s="18" t="str">
        <f t="shared" si="2"/>
        <v/>
      </c>
      <c r="Q385" s="18" t="str">
        <f t="shared" si="3"/>
        <v/>
      </c>
      <c r="R385" s="18" t="str">
        <f t="array" ref="R385">IF(
  B385="",
  ,
  SWITCH(
    Input!$C$4,
    "Actual/365 Fixed",
      YEARFRAC(
        B385 + IF(INDEX(Input!$K$7:$K1503,ROW()-1),0,1),
        C385 + IF(INDEX(Input!$L$7:$L1503,ROW()-1),1,0),
        3
      ),
    "Anniversary/365",
      DATEDIF(
        B385 + IF(INDEX(Input!$K$7:$K1503,ROW()-1),0,1),
        C385 + IF(INDEX(Input!$L$7:$L1503,ROW()-1),1,0),
        "Y"
      )
      +
      (
        (C385 + IF(INDEX(Input!$L$7:$L1503,ROW()-1),1,0))
        -
        EDATE(
          B385 + IF(INDEX(Input!$K$7:$K1503,ROW()-1),0,1),
          12*DATEDIF(
            B385 + IF(INDEX(Input!$K$7:$K1503,ROW()-1),0,1),
            C385 + IF(INDEX(Input!$L$7:$L1503,ROW()-1),1,0),
            "Y"
          )
        )
      ) / 365,
    "Actual/Actual",
      YEARFRAC(
        B385 + IF(INDEX(Input!$K$7:$K1503,ROW()-1),0,1),
        C385 + IF(INDEX(Input!$L$7:$L1503,ROW()-1),1,0),
        1
      ),
      YEARFRAC(
        B385 + IF(INDEX(Input!$K$7:$K1503,ROW()-1),0,1),
        C385 + IF(INDEX(Input!$L$7:$L1503,ROW()-1),1,0),
        3
      )
  )
)</f>
        <v/>
      </c>
      <c r="S385" s="22" t="str">
        <f t="shared" si="4"/>
        <v/>
      </c>
      <c r="T385" s="6" t="str">
        <f t="array" ref="T385">IF(
  B385="",
  ,
  DATEDIF(
    B385 + IF(INDEX(Input!$K$7:$K1503,ROW()-1),0,1),
    C385 + IF(INDEX(Input!$L$7:$L1503,ROW()-1),1,0),
    "Y"
  )
)</f>
        <v/>
      </c>
      <c r="U385" s="6" t="str">
        <f t="array" ref="U385">IF(
  B385="",
  ,
  (C385 + IF(INDEX(Input!$L$7:$L1503,ROW()-1),1,0))
  - EDATE(
      B385 + IF(INDEX(Input!$K$7:$K1503,ROW()-1),0,1),
      12*S385
    )
)</f>
        <v/>
      </c>
      <c r="V385" s="6" t="str">
        <f t="shared" si="5"/>
        <v/>
      </c>
      <c r="W385" s="6" t="str">
        <f t="shared" si="6"/>
        <v/>
      </c>
    </row>
    <row r="386">
      <c r="A386" s="18"/>
      <c r="B386" s="18"/>
      <c r="C386" s="18"/>
      <c r="D386" s="18"/>
      <c r="E386" s="18"/>
      <c r="F386" s="18"/>
      <c r="G386" s="22"/>
      <c r="H386" s="18"/>
      <c r="I386" s="18">
        <v>0.0</v>
      </c>
      <c r="J386" s="18">
        <v>0.0</v>
      </c>
      <c r="K386" s="18"/>
      <c r="L386" s="18"/>
      <c r="M386" s="22" t="str">
        <f t="shared" si="1"/>
        <v/>
      </c>
      <c r="N386" s="18" t="str">
        <f>IF(A386="",,IF(ROW()=2, Input!$C$2 + I386, P385 + I386))</f>
        <v/>
      </c>
      <c r="O386" s="23" t="str">
        <f>IF(A386="",,
 IF(K386="Initial principal",
   Input!$C$2 * M386,
   N386 * M386
 )
)</f>
        <v/>
      </c>
      <c r="P386" s="18" t="str">
        <f t="shared" si="2"/>
        <v/>
      </c>
      <c r="Q386" s="18" t="str">
        <f t="shared" si="3"/>
        <v/>
      </c>
      <c r="R386" s="18" t="str">
        <f t="array" ref="R386">IF(
  B386="",
  ,
  SWITCH(
    Input!$C$4,
    "Actual/365 Fixed",
      YEARFRAC(
        B386 + IF(INDEX(Input!$K$7:$K1503,ROW()-1),0,1),
        C386 + IF(INDEX(Input!$L$7:$L1503,ROW()-1),1,0),
        3
      ),
    "Anniversary/365",
      DATEDIF(
        B386 + IF(INDEX(Input!$K$7:$K1503,ROW()-1),0,1),
        C386 + IF(INDEX(Input!$L$7:$L1503,ROW()-1),1,0),
        "Y"
      )
      +
      (
        (C386 + IF(INDEX(Input!$L$7:$L1503,ROW()-1),1,0))
        -
        EDATE(
          B386 + IF(INDEX(Input!$K$7:$K1503,ROW()-1),0,1),
          12*DATEDIF(
            B386 + IF(INDEX(Input!$K$7:$K1503,ROW()-1),0,1),
            C386 + IF(INDEX(Input!$L$7:$L1503,ROW()-1),1,0),
            "Y"
          )
        )
      ) / 365,
    "Actual/Actual",
      YEARFRAC(
        B386 + IF(INDEX(Input!$K$7:$K1503,ROW()-1),0,1),
        C386 + IF(INDEX(Input!$L$7:$L1503,ROW()-1),1,0),
        1
      ),
      YEARFRAC(
        B386 + IF(INDEX(Input!$K$7:$K1503,ROW()-1),0,1),
        C386 + IF(INDEX(Input!$L$7:$L1503,ROW()-1),1,0),
        3
      )
  )
)</f>
        <v/>
      </c>
      <c r="S386" s="22" t="str">
        <f t="shared" si="4"/>
        <v/>
      </c>
      <c r="T386" s="6" t="str">
        <f t="array" ref="T386">IF(
  B386="",
  ,
  DATEDIF(
    B386 + IF(INDEX(Input!$K$7:$K1503,ROW()-1),0,1),
    C386 + IF(INDEX(Input!$L$7:$L1503,ROW()-1),1,0),
    "Y"
  )
)</f>
        <v/>
      </c>
      <c r="U386" s="6" t="str">
        <f t="array" ref="U386">IF(
  B386="",
  ,
  (C386 + IF(INDEX(Input!$L$7:$L1503,ROW()-1),1,0))
  - EDATE(
      B386 + IF(INDEX(Input!$K$7:$K1503,ROW()-1),0,1),
      12*S386
    )
)</f>
        <v/>
      </c>
      <c r="V386" s="6" t="str">
        <f t="shared" si="5"/>
        <v/>
      </c>
      <c r="W386" s="6" t="str">
        <f t="shared" si="6"/>
        <v/>
      </c>
    </row>
    <row r="387">
      <c r="A387" s="18"/>
      <c r="B387" s="18"/>
      <c r="C387" s="18"/>
      <c r="D387" s="18"/>
      <c r="E387" s="18"/>
      <c r="F387" s="18"/>
      <c r="G387" s="22"/>
      <c r="H387" s="18"/>
      <c r="I387" s="18">
        <v>0.0</v>
      </c>
      <c r="J387" s="18">
        <v>0.0</v>
      </c>
      <c r="K387" s="18"/>
      <c r="L387" s="18"/>
      <c r="M387" s="22" t="str">
        <f t="shared" si="1"/>
        <v/>
      </c>
      <c r="N387" s="18" t="str">
        <f>IF(A387="",,IF(ROW()=2, Input!$C$2 + I387, P386 + I387))</f>
        <v/>
      </c>
      <c r="O387" s="23" t="str">
        <f>IF(A387="",,
 IF(K387="Initial principal",
   Input!$C$2 * M387,
   N387 * M387
 )
)</f>
        <v/>
      </c>
      <c r="P387" s="18" t="str">
        <f t="shared" si="2"/>
        <v/>
      </c>
      <c r="Q387" s="18" t="str">
        <f t="shared" si="3"/>
        <v/>
      </c>
      <c r="R387" s="18" t="str">
        <f t="array" ref="R387">IF(
  B387="",
  ,
  SWITCH(
    Input!$C$4,
    "Actual/365 Fixed",
      YEARFRAC(
        B387 + IF(INDEX(Input!$K$7:$K1503,ROW()-1),0,1),
        C387 + IF(INDEX(Input!$L$7:$L1503,ROW()-1),1,0),
        3
      ),
    "Anniversary/365",
      DATEDIF(
        B387 + IF(INDEX(Input!$K$7:$K1503,ROW()-1),0,1),
        C387 + IF(INDEX(Input!$L$7:$L1503,ROW()-1),1,0),
        "Y"
      )
      +
      (
        (C387 + IF(INDEX(Input!$L$7:$L1503,ROW()-1),1,0))
        -
        EDATE(
          B387 + IF(INDEX(Input!$K$7:$K1503,ROW()-1),0,1),
          12*DATEDIF(
            B387 + IF(INDEX(Input!$K$7:$K1503,ROW()-1),0,1),
            C387 + IF(INDEX(Input!$L$7:$L1503,ROW()-1),1,0),
            "Y"
          )
        )
      ) / 365,
    "Actual/Actual",
      YEARFRAC(
        B387 + IF(INDEX(Input!$K$7:$K1503,ROW()-1),0,1),
        C387 + IF(INDEX(Input!$L$7:$L1503,ROW()-1),1,0),
        1
      ),
      YEARFRAC(
        B387 + IF(INDEX(Input!$K$7:$K1503,ROW()-1),0,1),
        C387 + IF(INDEX(Input!$L$7:$L1503,ROW()-1),1,0),
        3
      )
  )
)</f>
        <v/>
      </c>
      <c r="S387" s="22" t="str">
        <f t="shared" si="4"/>
        <v/>
      </c>
      <c r="T387" s="6" t="str">
        <f t="array" ref="T387">IF(
  B387="",
  ,
  DATEDIF(
    B387 + IF(INDEX(Input!$K$7:$K1503,ROW()-1),0,1),
    C387 + IF(INDEX(Input!$L$7:$L1503,ROW()-1),1,0),
    "Y"
  )
)</f>
        <v/>
      </c>
      <c r="U387" s="6" t="str">
        <f t="array" ref="U387">IF(
  B387="",
  ,
  (C387 + IF(INDEX(Input!$L$7:$L1503,ROW()-1),1,0))
  - EDATE(
      B387 + IF(INDEX(Input!$K$7:$K1503,ROW()-1),0,1),
      12*S387
    )
)</f>
        <v/>
      </c>
      <c r="V387" s="6" t="str">
        <f t="shared" si="5"/>
        <v/>
      </c>
      <c r="W387" s="6" t="str">
        <f t="shared" si="6"/>
        <v/>
      </c>
    </row>
    <row r="388">
      <c r="A388" s="18"/>
      <c r="B388" s="18"/>
      <c r="C388" s="18"/>
      <c r="D388" s="18"/>
      <c r="E388" s="18"/>
      <c r="F388" s="18"/>
      <c r="G388" s="22"/>
      <c r="H388" s="18"/>
      <c r="I388" s="18">
        <v>0.0</v>
      </c>
      <c r="J388" s="18">
        <v>0.0</v>
      </c>
      <c r="K388" s="18"/>
      <c r="L388" s="18"/>
      <c r="M388" s="22" t="str">
        <f t="shared" si="1"/>
        <v/>
      </c>
      <c r="N388" s="18" t="str">
        <f>IF(A388="",,IF(ROW()=2, Input!$C$2 + I388, P387 + I388))</f>
        <v/>
      </c>
      <c r="O388" s="23" t="str">
        <f>IF(A388="",,
 IF(K388="Initial principal",
   Input!$C$2 * M388,
   N388 * M388
 )
)</f>
        <v/>
      </c>
      <c r="P388" s="18" t="str">
        <f t="shared" si="2"/>
        <v/>
      </c>
      <c r="Q388" s="18" t="str">
        <f t="shared" si="3"/>
        <v/>
      </c>
      <c r="R388" s="18" t="str">
        <f t="array" ref="R388">IF(
  B388="",
  ,
  SWITCH(
    Input!$C$4,
    "Actual/365 Fixed",
      YEARFRAC(
        B388 + IF(INDEX(Input!$K$7:$K1503,ROW()-1),0,1),
        C388 + IF(INDEX(Input!$L$7:$L1503,ROW()-1),1,0),
        3
      ),
    "Anniversary/365",
      DATEDIF(
        B388 + IF(INDEX(Input!$K$7:$K1503,ROW()-1),0,1),
        C388 + IF(INDEX(Input!$L$7:$L1503,ROW()-1),1,0),
        "Y"
      )
      +
      (
        (C388 + IF(INDEX(Input!$L$7:$L1503,ROW()-1),1,0))
        -
        EDATE(
          B388 + IF(INDEX(Input!$K$7:$K1503,ROW()-1),0,1),
          12*DATEDIF(
            B388 + IF(INDEX(Input!$K$7:$K1503,ROW()-1),0,1),
            C388 + IF(INDEX(Input!$L$7:$L1503,ROW()-1),1,0),
            "Y"
          )
        )
      ) / 365,
    "Actual/Actual",
      YEARFRAC(
        B388 + IF(INDEX(Input!$K$7:$K1503,ROW()-1),0,1),
        C388 + IF(INDEX(Input!$L$7:$L1503,ROW()-1),1,0),
        1
      ),
      YEARFRAC(
        B388 + IF(INDEX(Input!$K$7:$K1503,ROW()-1),0,1),
        C388 + IF(INDEX(Input!$L$7:$L1503,ROW()-1),1,0),
        3
      )
  )
)</f>
        <v/>
      </c>
      <c r="S388" s="22" t="str">
        <f t="shared" si="4"/>
        <v/>
      </c>
      <c r="T388" s="6" t="str">
        <f t="array" ref="T388">IF(
  B388="",
  ,
  DATEDIF(
    B388 + IF(INDEX(Input!$K$7:$K1503,ROW()-1),0,1),
    C388 + IF(INDEX(Input!$L$7:$L1503,ROW()-1),1,0),
    "Y"
  )
)</f>
        <v/>
      </c>
      <c r="U388" s="6" t="str">
        <f t="array" ref="U388">IF(
  B388="",
  ,
  (C388 + IF(INDEX(Input!$L$7:$L1503,ROW()-1),1,0))
  - EDATE(
      B388 + IF(INDEX(Input!$K$7:$K1503,ROW()-1),0,1),
      12*S388
    )
)</f>
        <v/>
      </c>
      <c r="V388" s="6" t="str">
        <f t="shared" si="5"/>
        <v/>
      </c>
      <c r="W388" s="6" t="str">
        <f t="shared" si="6"/>
        <v/>
      </c>
    </row>
    <row r="389">
      <c r="A389" s="18"/>
      <c r="B389" s="18"/>
      <c r="C389" s="18"/>
      <c r="D389" s="18"/>
      <c r="E389" s="18"/>
      <c r="F389" s="18"/>
      <c r="G389" s="22"/>
      <c r="H389" s="18"/>
      <c r="I389" s="18">
        <v>0.0</v>
      </c>
      <c r="J389" s="18">
        <v>0.0</v>
      </c>
      <c r="K389" s="18"/>
      <c r="L389" s="18"/>
      <c r="M389" s="22" t="str">
        <f t="shared" si="1"/>
        <v/>
      </c>
      <c r="N389" s="18" t="str">
        <f>IF(A389="",,IF(ROW()=2, Input!$C$2 + I389, P388 + I389))</f>
        <v/>
      </c>
      <c r="O389" s="23" t="str">
        <f>IF(A389="",,
 IF(K389="Initial principal",
   Input!$C$2 * M389,
   N389 * M389
 )
)</f>
        <v/>
      </c>
      <c r="P389" s="18" t="str">
        <f t="shared" si="2"/>
        <v/>
      </c>
      <c r="Q389" s="18" t="str">
        <f t="shared" si="3"/>
        <v/>
      </c>
      <c r="R389" s="18" t="str">
        <f t="array" ref="R389">IF(
  B389="",
  ,
  SWITCH(
    Input!$C$4,
    "Actual/365 Fixed",
      YEARFRAC(
        B389 + IF(INDEX(Input!$K$7:$K1503,ROW()-1),0,1),
        C389 + IF(INDEX(Input!$L$7:$L1503,ROW()-1),1,0),
        3
      ),
    "Anniversary/365",
      DATEDIF(
        B389 + IF(INDEX(Input!$K$7:$K1503,ROW()-1),0,1),
        C389 + IF(INDEX(Input!$L$7:$L1503,ROW()-1),1,0),
        "Y"
      )
      +
      (
        (C389 + IF(INDEX(Input!$L$7:$L1503,ROW()-1),1,0))
        -
        EDATE(
          B389 + IF(INDEX(Input!$K$7:$K1503,ROW()-1),0,1),
          12*DATEDIF(
            B389 + IF(INDEX(Input!$K$7:$K1503,ROW()-1),0,1),
            C389 + IF(INDEX(Input!$L$7:$L1503,ROW()-1),1,0),
            "Y"
          )
        )
      ) / 365,
    "Actual/Actual",
      YEARFRAC(
        B389 + IF(INDEX(Input!$K$7:$K1503,ROW()-1),0,1),
        C389 + IF(INDEX(Input!$L$7:$L1503,ROW()-1),1,0),
        1
      ),
      YEARFRAC(
        B389 + IF(INDEX(Input!$K$7:$K1503,ROW()-1),0,1),
        C389 + IF(INDEX(Input!$L$7:$L1503,ROW()-1),1,0),
        3
      )
  )
)</f>
        <v/>
      </c>
      <c r="S389" s="22" t="str">
        <f t="shared" si="4"/>
        <v/>
      </c>
      <c r="T389" s="6" t="str">
        <f t="array" ref="T389">IF(
  B389="",
  ,
  DATEDIF(
    B389 + IF(INDEX(Input!$K$7:$K1503,ROW()-1),0,1),
    C389 + IF(INDEX(Input!$L$7:$L1503,ROW()-1),1,0),
    "Y"
  )
)</f>
        <v/>
      </c>
      <c r="U389" s="6" t="str">
        <f t="array" ref="U389">IF(
  B389="",
  ,
  (C389 + IF(INDEX(Input!$L$7:$L1503,ROW()-1),1,0))
  - EDATE(
      B389 + IF(INDEX(Input!$K$7:$K1503,ROW()-1),0,1),
      12*S389
    )
)</f>
        <v/>
      </c>
      <c r="V389" s="6" t="str">
        <f t="shared" si="5"/>
        <v/>
      </c>
      <c r="W389" s="6" t="str">
        <f t="shared" si="6"/>
        <v/>
      </c>
    </row>
    <row r="390">
      <c r="A390" s="18"/>
      <c r="B390" s="18"/>
      <c r="C390" s="18"/>
      <c r="D390" s="18"/>
      <c r="E390" s="18"/>
      <c r="F390" s="18"/>
      <c r="G390" s="22"/>
      <c r="H390" s="18"/>
      <c r="I390" s="18">
        <v>0.0</v>
      </c>
      <c r="J390" s="18">
        <v>0.0</v>
      </c>
      <c r="K390" s="18"/>
      <c r="L390" s="18"/>
      <c r="M390" s="22" t="str">
        <f t="shared" si="1"/>
        <v/>
      </c>
      <c r="N390" s="18" t="str">
        <f>IF(A390="",,IF(ROW()=2, Input!$C$2 + I390, P389 + I390))</f>
        <v/>
      </c>
      <c r="O390" s="23" t="str">
        <f>IF(A390="",,
 IF(K390="Initial principal",
   Input!$C$2 * M390,
   N390 * M390
 )
)</f>
        <v/>
      </c>
      <c r="P390" s="18" t="str">
        <f t="shared" si="2"/>
        <v/>
      </c>
      <c r="Q390" s="18" t="str">
        <f t="shared" si="3"/>
        <v/>
      </c>
      <c r="R390" s="18" t="str">
        <f t="array" ref="R390">IF(
  B390="",
  ,
  SWITCH(
    Input!$C$4,
    "Actual/365 Fixed",
      YEARFRAC(
        B390 + IF(INDEX(Input!$K$7:$K1503,ROW()-1),0,1),
        C390 + IF(INDEX(Input!$L$7:$L1503,ROW()-1),1,0),
        3
      ),
    "Anniversary/365",
      DATEDIF(
        B390 + IF(INDEX(Input!$K$7:$K1503,ROW()-1),0,1),
        C390 + IF(INDEX(Input!$L$7:$L1503,ROW()-1),1,0),
        "Y"
      )
      +
      (
        (C390 + IF(INDEX(Input!$L$7:$L1503,ROW()-1),1,0))
        -
        EDATE(
          B390 + IF(INDEX(Input!$K$7:$K1503,ROW()-1),0,1),
          12*DATEDIF(
            B390 + IF(INDEX(Input!$K$7:$K1503,ROW()-1),0,1),
            C390 + IF(INDEX(Input!$L$7:$L1503,ROW()-1),1,0),
            "Y"
          )
        )
      ) / 365,
    "Actual/Actual",
      YEARFRAC(
        B390 + IF(INDEX(Input!$K$7:$K1503,ROW()-1),0,1),
        C390 + IF(INDEX(Input!$L$7:$L1503,ROW()-1),1,0),
        1
      ),
      YEARFRAC(
        B390 + IF(INDEX(Input!$K$7:$K1503,ROW()-1),0,1),
        C390 + IF(INDEX(Input!$L$7:$L1503,ROW()-1),1,0),
        3
      )
  )
)</f>
        <v/>
      </c>
      <c r="S390" s="22" t="str">
        <f t="shared" si="4"/>
        <v/>
      </c>
      <c r="T390" s="6" t="str">
        <f t="array" ref="T390">IF(
  B390="",
  ,
  DATEDIF(
    B390 + IF(INDEX(Input!$K$7:$K1503,ROW()-1),0,1),
    C390 + IF(INDEX(Input!$L$7:$L1503,ROW()-1),1,0),
    "Y"
  )
)</f>
        <v/>
      </c>
      <c r="U390" s="6" t="str">
        <f t="array" ref="U390">IF(
  B390="",
  ,
  (C390 + IF(INDEX(Input!$L$7:$L1503,ROW()-1),1,0))
  - EDATE(
      B390 + IF(INDEX(Input!$K$7:$K1503,ROW()-1),0,1),
      12*S390
    )
)</f>
        <v/>
      </c>
      <c r="V390" s="6" t="str">
        <f t="shared" si="5"/>
        <v/>
      </c>
      <c r="W390" s="6" t="str">
        <f t="shared" si="6"/>
        <v/>
      </c>
    </row>
    <row r="391">
      <c r="A391" s="18"/>
      <c r="B391" s="18"/>
      <c r="C391" s="18"/>
      <c r="D391" s="18"/>
      <c r="E391" s="18"/>
      <c r="F391" s="18"/>
      <c r="G391" s="22"/>
      <c r="H391" s="18"/>
      <c r="I391" s="18">
        <v>0.0</v>
      </c>
      <c r="J391" s="18">
        <v>0.0</v>
      </c>
      <c r="K391" s="18"/>
      <c r="L391" s="18"/>
      <c r="M391" s="22" t="str">
        <f t="shared" si="1"/>
        <v/>
      </c>
      <c r="N391" s="18" t="str">
        <f>IF(A391="",,IF(ROW()=2, Input!$C$2 + I391, P390 + I391))</f>
        <v/>
      </c>
      <c r="O391" s="23" t="str">
        <f>IF(A391="",,
 IF(K391="Initial principal",
   Input!$C$2 * M391,
   N391 * M391
 )
)</f>
        <v/>
      </c>
      <c r="P391" s="18" t="str">
        <f t="shared" si="2"/>
        <v/>
      </c>
      <c r="Q391" s="18" t="str">
        <f t="shared" si="3"/>
        <v/>
      </c>
      <c r="R391" s="18" t="str">
        <f t="array" ref="R391">IF(
  B391="",
  ,
  SWITCH(
    Input!$C$4,
    "Actual/365 Fixed",
      YEARFRAC(
        B391 + IF(INDEX(Input!$K$7:$K1503,ROW()-1),0,1),
        C391 + IF(INDEX(Input!$L$7:$L1503,ROW()-1),1,0),
        3
      ),
    "Anniversary/365",
      DATEDIF(
        B391 + IF(INDEX(Input!$K$7:$K1503,ROW()-1),0,1),
        C391 + IF(INDEX(Input!$L$7:$L1503,ROW()-1),1,0),
        "Y"
      )
      +
      (
        (C391 + IF(INDEX(Input!$L$7:$L1503,ROW()-1),1,0))
        -
        EDATE(
          B391 + IF(INDEX(Input!$K$7:$K1503,ROW()-1),0,1),
          12*DATEDIF(
            B391 + IF(INDEX(Input!$K$7:$K1503,ROW()-1),0,1),
            C391 + IF(INDEX(Input!$L$7:$L1503,ROW()-1),1,0),
            "Y"
          )
        )
      ) / 365,
    "Actual/Actual",
      YEARFRAC(
        B391 + IF(INDEX(Input!$K$7:$K1503,ROW()-1),0,1),
        C391 + IF(INDEX(Input!$L$7:$L1503,ROW()-1),1,0),
        1
      ),
      YEARFRAC(
        B391 + IF(INDEX(Input!$K$7:$K1503,ROW()-1),0,1),
        C391 + IF(INDEX(Input!$L$7:$L1503,ROW()-1),1,0),
        3
      )
  )
)</f>
        <v/>
      </c>
      <c r="S391" s="22" t="str">
        <f t="shared" si="4"/>
        <v/>
      </c>
      <c r="T391" s="6" t="str">
        <f t="array" ref="T391">IF(
  B391="",
  ,
  DATEDIF(
    B391 + IF(INDEX(Input!$K$7:$K1503,ROW()-1),0,1),
    C391 + IF(INDEX(Input!$L$7:$L1503,ROW()-1),1,0),
    "Y"
  )
)</f>
        <v/>
      </c>
      <c r="U391" s="6" t="str">
        <f t="array" ref="U391">IF(
  B391="",
  ,
  (C391 + IF(INDEX(Input!$L$7:$L1503,ROW()-1),1,0))
  - EDATE(
      B391 + IF(INDEX(Input!$K$7:$K1503,ROW()-1),0,1),
      12*S391
    )
)</f>
        <v/>
      </c>
      <c r="V391" s="6" t="str">
        <f t="shared" si="5"/>
        <v/>
      </c>
      <c r="W391" s="6" t="str">
        <f t="shared" si="6"/>
        <v/>
      </c>
    </row>
    <row r="392">
      <c r="A392" s="18"/>
      <c r="B392" s="18"/>
      <c r="C392" s="18"/>
      <c r="D392" s="18"/>
      <c r="E392" s="18"/>
      <c r="F392" s="18"/>
      <c r="G392" s="22"/>
      <c r="H392" s="18"/>
      <c r="I392" s="18">
        <v>0.0</v>
      </c>
      <c r="J392" s="18">
        <v>0.0</v>
      </c>
      <c r="K392" s="18"/>
      <c r="L392" s="18"/>
      <c r="M392" s="22" t="str">
        <f t="shared" si="1"/>
        <v/>
      </c>
      <c r="N392" s="18" t="str">
        <f>IF(A392="",,IF(ROW()=2, Input!$C$2 + I392, P391 + I392))</f>
        <v/>
      </c>
      <c r="O392" s="23" t="str">
        <f>IF(A392="",,
 IF(K392="Initial principal",
   Input!$C$2 * M392,
   N392 * M392
 )
)</f>
        <v/>
      </c>
      <c r="P392" s="18" t="str">
        <f t="shared" si="2"/>
        <v/>
      </c>
      <c r="Q392" s="18" t="str">
        <f t="shared" si="3"/>
        <v/>
      </c>
      <c r="R392" s="18" t="str">
        <f t="array" ref="R392">IF(
  B392="",
  ,
  SWITCH(
    Input!$C$4,
    "Actual/365 Fixed",
      YEARFRAC(
        B392 + IF(INDEX(Input!$K$7:$K1503,ROW()-1),0,1),
        C392 + IF(INDEX(Input!$L$7:$L1503,ROW()-1),1,0),
        3
      ),
    "Anniversary/365",
      DATEDIF(
        B392 + IF(INDEX(Input!$K$7:$K1503,ROW()-1),0,1),
        C392 + IF(INDEX(Input!$L$7:$L1503,ROW()-1),1,0),
        "Y"
      )
      +
      (
        (C392 + IF(INDEX(Input!$L$7:$L1503,ROW()-1),1,0))
        -
        EDATE(
          B392 + IF(INDEX(Input!$K$7:$K1503,ROW()-1),0,1),
          12*DATEDIF(
            B392 + IF(INDEX(Input!$K$7:$K1503,ROW()-1),0,1),
            C392 + IF(INDEX(Input!$L$7:$L1503,ROW()-1),1,0),
            "Y"
          )
        )
      ) / 365,
    "Actual/Actual",
      YEARFRAC(
        B392 + IF(INDEX(Input!$K$7:$K1503,ROW()-1),0,1),
        C392 + IF(INDEX(Input!$L$7:$L1503,ROW()-1),1,0),
        1
      ),
      YEARFRAC(
        B392 + IF(INDEX(Input!$K$7:$K1503,ROW()-1),0,1),
        C392 + IF(INDEX(Input!$L$7:$L1503,ROW()-1),1,0),
        3
      )
  )
)</f>
        <v/>
      </c>
      <c r="S392" s="22" t="str">
        <f t="shared" si="4"/>
        <v/>
      </c>
      <c r="T392" s="6" t="str">
        <f t="array" ref="T392">IF(
  B392="",
  ,
  DATEDIF(
    B392 + IF(INDEX(Input!$K$7:$K1503,ROW()-1),0,1),
    C392 + IF(INDEX(Input!$L$7:$L1503,ROW()-1),1,0),
    "Y"
  )
)</f>
        <v/>
      </c>
      <c r="U392" s="6" t="str">
        <f t="array" ref="U392">IF(
  B392="",
  ,
  (C392 + IF(INDEX(Input!$L$7:$L1503,ROW()-1),1,0))
  - EDATE(
      B392 + IF(INDEX(Input!$K$7:$K1503,ROW()-1),0,1),
      12*S392
    )
)</f>
        <v/>
      </c>
      <c r="V392" s="6" t="str">
        <f t="shared" si="5"/>
        <v/>
      </c>
      <c r="W392" s="6" t="str">
        <f t="shared" si="6"/>
        <v/>
      </c>
    </row>
    <row r="393">
      <c r="A393" s="18"/>
      <c r="B393" s="18"/>
      <c r="C393" s="18"/>
      <c r="D393" s="18"/>
      <c r="E393" s="18"/>
      <c r="F393" s="18"/>
      <c r="G393" s="22"/>
      <c r="H393" s="18"/>
      <c r="I393" s="18">
        <v>0.0</v>
      </c>
      <c r="J393" s="18">
        <v>0.0</v>
      </c>
      <c r="K393" s="18"/>
      <c r="L393" s="18"/>
      <c r="M393" s="22" t="str">
        <f t="shared" si="1"/>
        <v/>
      </c>
      <c r="N393" s="18" t="str">
        <f>IF(A393="",,IF(ROW()=2, Input!$C$2 + I393, P392 + I393))</f>
        <v/>
      </c>
      <c r="O393" s="23" t="str">
        <f>IF(A393="",,
 IF(K393="Initial principal",
   Input!$C$2 * M393,
   N393 * M393
 )
)</f>
        <v/>
      </c>
      <c r="P393" s="18" t="str">
        <f t="shared" si="2"/>
        <v/>
      </c>
      <c r="Q393" s="18" t="str">
        <f t="shared" si="3"/>
        <v/>
      </c>
      <c r="R393" s="18" t="str">
        <f t="array" ref="R393">IF(
  B393="",
  ,
  SWITCH(
    Input!$C$4,
    "Actual/365 Fixed",
      YEARFRAC(
        B393 + IF(INDEX(Input!$K$7:$K1503,ROW()-1),0,1),
        C393 + IF(INDEX(Input!$L$7:$L1503,ROW()-1),1,0),
        3
      ),
    "Anniversary/365",
      DATEDIF(
        B393 + IF(INDEX(Input!$K$7:$K1503,ROW()-1),0,1),
        C393 + IF(INDEX(Input!$L$7:$L1503,ROW()-1),1,0),
        "Y"
      )
      +
      (
        (C393 + IF(INDEX(Input!$L$7:$L1503,ROW()-1),1,0))
        -
        EDATE(
          B393 + IF(INDEX(Input!$K$7:$K1503,ROW()-1),0,1),
          12*DATEDIF(
            B393 + IF(INDEX(Input!$K$7:$K1503,ROW()-1),0,1),
            C393 + IF(INDEX(Input!$L$7:$L1503,ROW()-1),1,0),
            "Y"
          )
        )
      ) / 365,
    "Actual/Actual",
      YEARFRAC(
        B393 + IF(INDEX(Input!$K$7:$K1503,ROW()-1),0,1),
        C393 + IF(INDEX(Input!$L$7:$L1503,ROW()-1),1,0),
        1
      ),
      YEARFRAC(
        B393 + IF(INDEX(Input!$K$7:$K1503,ROW()-1),0,1),
        C393 + IF(INDEX(Input!$L$7:$L1503,ROW()-1),1,0),
        3
      )
  )
)</f>
        <v/>
      </c>
      <c r="S393" s="22" t="str">
        <f t="shared" si="4"/>
        <v/>
      </c>
      <c r="T393" s="6" t="str">
        <f t="array" ref="T393">IF(
  B393="",
  ,
  DATEDIF(
    B393 + IF(INDEX(Input!$K$7:$K1503,ROW()-1),0,1),
    C393 + IF(INDEX(Input!$L$7:$L1503,ROW()-1),1,0),
    "Y"
  )
)</f>
        <v/>
      </c>
      <c r="U393" s="6" t="str">
        <f t="array" ref="U393">IF(
  B393="",
  ,
  (C393 + IF(INDEX(Input!$L$7:$L1503,ROW()-1),1,0))
  - EDATE(
      B393 + IF(INDEX(Input!$K$7:$K1503,ROW()-1),0,1),
      12*S393
    )
)</f>
        <v/>
      </c>
      <c r="V393" s="6" t="str">
        <f t="shared" si="5"/>
        <v/>
      </c>
      <c r="W393" s="6" t="str">
        <f t="shared" si="6"/>
        <v/>
      </c>
    </row>
    <row r="394">
      <c r="A394" s="18"/>
      <c r="B394" s="18"/>
      <c r="C394" s="18"/>
      <c r="D394" s="18"/>
      <c r="E394" s="18"/>
      <c r="F394" s="18"/>
      <c r="G394" s="22"/>
      <c r="H394" s="18"/>
      <c r="I394" s="18">
        <v>0.0</v>
      </c>
      <c r="J394" s="18">
        <v>0.0</v>
      </c>
      <c r="K394" s="18"/>
      <c r="L394" s="18"/>
      <c r="M394" s="22" t="str">
        <f t="shared" si="1"/>
        <v/>
      </c>
      <c r="N394" s="18" t="str">
        <f>IF(A394="",,IF(ROW()=2, Input!$C$2 + I394, P393 + I394))</f>
        <v/>
      </c>
      <c r="O394" s="23" t="str">
        <f>IF(A394="",,
 IF(K394="Initial principal",
   Input!$C$2 * M394,
   N394 * M394
 )
)</f>
        <v/>
      </c>
      <c r="P394" s="18" t="str">
        <f t="shared" si="2"/>
        <v/>
      </c>
      <c r="Q394" s="18" t="str">
        <f t="shared" si="3"/>
        <v/>
      </c>
      <c r="R394" s="18" t="str">
        <f t="array" ref="R394">IF(
  B394="",
  ,
  SWITCH(
    Input!$C$4,
    "Actual/365 Fixed",
      YEARFRAC(
        B394 + IF(INDEX(Input!$K$7:$K1503,ROW()-1),0,1),
        C394 + IF(INDEX(Input!$L$7:$L1503,ROW()-1),1,0),
        3
      ),
    "Anniversary/365",
      DATEDIF(
        B394 + IF(INDEX(Input!$K$7:$K1503,ROW()-1),0,1),
        C394 + IF(INDEX(Input!$L$7:$L1503,ROW()-1),1,0),
        "Y"
      )
      +
      (
        (C394 + IF(INDEX(Input!$L$7:$L1503,ROW()-1),1,0))
        -
        EDATE(
          B394 + IF(INDEX(Input!$K$7:$K1503,ROW()-1),0,1),
          12*DATEDIF(
            B394 + IF(INDEX(Input!$K$7:$K1503,ROW()-1),0,1),
            C394 + IF(INDEX(Input!$L$7:$L1503,ROW()-1),1,0),
            "Y"
          )
        )
      ) / 365,
    "Actual/Actual",
      YEARFRAC(
        B394 + IF(INDEX(Input!$K$7:$K1503,ROW()-1),0,1),
        C394 + IF(INDEX(Input!$L$7:$L1503,ROW()-1),1,0),
        1
      ),
      YEARFRAC(
        B394 + IF(INDEX(Input!$K$7:$K1503,ROW()-1),0,1),
        C394 + IF(INDEX(Input!$L$7:$L1503,ROW()-1),1,0),
        3
      )
  )
)</f>
        <v/>
      </c>
      <c r="S394" s="22" t="str">
        <f t="shared" si="4"/>
        <v/>
      </c>
      <c r="T394" s="6" t="str">
        <f t="array" ref="T394">IF(
  B394="",
  ,
  DATEDIF(
    B394 + IF(INDEX(Input!$K$7:$K1503,ROW()-1),0,1),
    C394 + IF(INDEX(Input!$L$7:$L1503,ROW()-1),1,0),
    "Y"
  )
)</f>
        <v/>
      </c>
      <c r="U394" s="6" t="str">
        <f t="array" ref="U394">IF(
  B394="",
  ,
  (C394 + IF(INDEX(Input!$L$7:$L1503,ROW()-1),1,0))
  - EDATE(
      B394 + IF(INDEX(Input!$K$7:$K1503,ROW()-1),0,1),
      12*S394
    )
)</f>
        <v/>
      </c>
      <c r="V394" s="6" t="str">
        <f t="shared" si="5"/>
        <v/>
      </c>
      <c r="W394" s="6" t="str">
        <f t="shared" si="6"/>
        <v/>
      </c>
    </row>
    <row r="395">
      <c r="A395" s="18"/>
      <c r="B395" s="18"/>
      <c r="C395" s="18"/>
      <c r="D395" s="18"/>
      <c r="E395" s="18"/>
      <c r="F395" s="18"/>
      <c r="G395" s="22"/>
      <c r="H395" s="18"/>
      <c r="I395" s="18">
        <v>0.0</v>
      </c>
      <c r="J395" s="18">
        <v>0.0</v>
      </c>
      <c r="K395" s="18"/>
      <c r="L395" s="18"/>
      <c r="M395" s="22" t="str">
        <f t="shared" si="1"/>
        <v/>
      </c>
      <c r="N395" s="18" t="str">
        <f>IF(A395="",,IF(ROW()=2, Input!$C$2 + I395, P394 + I395))</f>
        <v/>
      </c>
      <c r="O395" s="23" t="str">
        <f>IF(A395="",,
 IF(K395="Initial principal",
   Input!$C$2 * M395,
   N395 * M395
 )
)</f>
        <v/>
      </c>
      <c r="P395" s="18" t="str">
        <f t="shared" si="2"/>
        <v/>
      </c>
      <c r="Q395" s="18" t="str">
        <f t="shared" si="3"/>
        <v/>
      </c>
      <c r="R395" s="18" t="str">
        <f t="array" ref="R395">IF(
  B395="",
  ,
  SWITCH(
    Input!$C$4,
    "Actual/365 Fixed",
      YEARFRAC(
        B395 + IF(INDEX(Input!$K$7:$K1503,ROW()-1),0,1),
        C395 + IF(INDEX(Input!$L$7:$L1503,ROW()-1),1,0),
        3
      ),
    "Anniversary/365",
      DATEDIF(
        B395 + IF(INDEX(Input!$K$7:$K1503,ROW()-1),0,1),
        C395 + IF(INDEX(Input!$L$7:$L1503,ROW()-1),1,0),
        "Y"
      )
      +
      (
        (C395 + IF(INDEX(Input!$L$7:$L1503,ROW()-1),1,0))
        -
        EDATE(
          B395 + IF(INDEX(Input!$K$7:$K1503,ROW()-1),0,1),
          12*DATEDIF(
            B395 + IF(INDEX(Input!$K$7:$K1503,ROW()-1),0,1),
            C395 + IF(INDEX(Input!$L$7:$L1503,ROW()-1),1,0),
            "Y"
          )
        )
      ) / 365,
    "Actual/Actual",
      YEARFRAC(
        B395 + IF(INDEX(Input!$K$7:$K1503,ROW()-1),0,1),
        C395 + IF(INDEX(Input!$L$7:$L1503,ROW()-1),1,0),
        1
      ),
      YEARFRAC(
        B395 + IF(INDEX(Input!$K$7:$K1503,ROW()-1),0,1),
        C395 + IF(INDEX(Input!$L$7:$L1503,ROW()-1),1,0),
        3
      )
  )
)</f>
        <v/>
      </c>
      <c r="S395" s="22" t="str">
        <f t="shared" si="4"/>
        <v/>
      </c>
      <c r="T395" s="6" t="str">
        <f t="array" ref="T395">IF(
  B395="",
  ,
  DATEDIF(
    B395 + IF(INDEX(Input!$K$7:$K1503,ROW()-1),0,1),
    C395 + IF(INDEX(Input!$L$7:$L1503,ROW()-1),1,0),
    "Y"
  )
)</f>
        <v/>
      </c>
      <c r="U395" s="6" t="str">
        <f t="array" ref="U395">IF(
  B395="",
  ,
  (C395 + IF(INDEX(Input!$L$7:$L1503,ROW()-1),1,0))
  - EDATE(
      B395 + IF(INDEX(Input!$K$7:$K1503,ROW()-1),0,1),
      12*S395
    )
)</f>
        <v/>
      </c>
      <c r="V395" s="6" t="str">
        <f t="shared" si="5"/>
        <v/>
      </c>
      <c r="W395" s="6" t="str">
        <f t="shared" si="6"/>
        <v/>
      </c>
    </row>
    <row r="396">
      <c r="A396" s="18"/>
      <c r="B396" s="18"/>
      <c r="C396" s="18"/>
      <c r="D396" s="18"/>
      <c r="E396" s="18"/>
      <c r="F396" s="18"/>
      <c r="G396" s="22"/>
      <c r="H396" s="18"/>
      <c r="I396" s="18">
        <v>0.0</v>
      </c>
      <c r="J396" s="18">
        <v>0.0</v>
      </c>
      <c r="K396" s="18"/>
      <c r="L396" s="18"/>
      <c r="M396" s="22" t="str">
        <f t="shared" si="1"/>
        <v/>
      </c>
      <c r="N396" s="18" t="str">
        <f>IF(A396="",,IF(ROW()=2, Input!$C$2 + I396, P395 + I396))</f>
        <v/>
      </c>
      <c r="O396" s="23" t="str">
        <f>IF(A396="",,
 IF(K396="Initial principal",
   Input!$C$2 * M396,
   N396 * M396
 )
)</f>
        <v/>
      </c>
      <c r="P396" s="18" t="str">
        <f t="shared" si="2"/>
        <v/>
      </c>
      <c r="Q396" s="18" t="str">
        <f t="shared" si="3"/>
        <v/>
      </c>
      <c r="R396" s="18" t="str">
        <f t="array" ref="R396">IF(
  B396="",
  ,
  SWITCH(
    Input!$C$4,
    "Actual/365 Fixed",
      YEARFRAC(
        B396 + IF(INDEX(Input!$K$7:$K1503,ROW()-1),0,1),
        C396 + IF(INDEX(Input!$L$7:$L1503,ROW()-1),1,0),
        3
      ),
    "Anniversary/365",
      DATEDIF(
        B396 + IF(INDEX(Input!$K$7:$K1503,ROW()-1),0,1),
        C396 + IF(INDEX(Input!$L$7:$L1503,ROW()-1),1,0),
        "Y"
      )
      +
      (
        (C396 + IF(INDEX(Input!$L$7:$L1503,ROW()-1),1,0))
        -
        EDATE(
          B396 + IF(INDEX(Input!$K$7:$K1503,ROW()-1),0,1),
          12*DATEDIF(
            B396 + IF(INDEX(Input!$K$7:$K1503,ROW()-1),0,1),
            C396 + IF(INDEX(Input!$L$7:$L1503,ROW()-1),1,0),
            "Y"
          )
        )
      ) / 365,
    "Actual/Actual",
      YEARFRAC(
        B396 + IF(INDEX(Input!$K$7:$K1503,ROW()-1),0,1),
        C396 + IF(INDEX(Input!$L$7:$L1503,ROW()-1),1,0),
        1
      ),
      YEARFRAC(
        B396 + IF(INDEX(Input!$K$7:$K1503,ROW()-1),0,1),
        C396 + IF(INDEX(Input!$L$7:$L1503,ROW()-1),1,0),
        3
      )
  )
)</f>
        <v/>
      </c>
      <c r="S396" s="22" t="str">
        <f t="shared" si="4"/>
        <v/>
      </c>
      <c r="T396" s="6" t="str">
        <f t="array" ref="T396">IF(
  B396="",
  ,
  DATEDIF(
    B396 + IF(INDEX(Input!$K$7:$K1503,ROW()-1),0,1),
    C396 + IF(INDEX(Input!$L$7:$L1503,ROW()-1),1,0),
    "Y"
  )
)</f>
        <v/>
      </c>
      <c r="U396" s="6" t="str">
        <f t="array" ref="U396">IF(
  B396="",
  ,
  (C396 + IF(INDEX(Input!$L$7:$L1503,ROW()-1),1,0))
  - EDATE(
      B396 + IF(INDEX(Input!$K$7:$K1503,ROW()-1),0,1),
      12*S396
    )
)</f>
        <v/>
      </c>
      <c r="V396" s="6" t="str">
        <f t="shared" si="5"/>
        <v/>
      </c>
      <c r="W396" s="6" t="str">
        <f t="shared" si="6"/>
        <v/>
      </c>
    </row>
    <row r="397">
      <c r="A397" s="18"/>
      <c r="B397" s="18"/>
      <c r="C397" s="18"/>
      <c r="D397" s="18"/>
      <c r="E397" s="18"/>
      <c r="F397" s="18"/>
      <c r="G397" s="22"/>
      <c r="H397" s="18"/>
      <c r="I397" s="18">
        <v>0.0</v>
      </c>
      <c r="J397" s="18">
        <v>0.0</v>
      </c>
      <c r="K397" s="18"/>
      <c r="L397" s="18"/>
      <c r="M397" s="22" t="str">
        <f t="shared" si="1"/>
        <v/>
      </c>
      <c r="N397" s="18" t="str">
        <f>IF(A397="",,IF(ROW()=2, Input!$C$2 + I397, P396 + I397))</f>
        <v/>
      </c>
      <c r="O397" s="23" t="str">
        <f>IF(A397="",,
 IF(K397="Initial principal",
   Input!$C$2 * M397,
   N397 * M397
 )
)</f>
        <v/>
      </c>
      <c r="P397" s="18" t="str">
        <f t="shared" si="2"/>
        <v/>
      </c>
      <c r="Q397" s="18" t="str">
        <f t="shared" si="3"/>
        <v/>
      </c>
      <c r="R397" s="18" t="str">
        <f t="array" ref="R397">IF(
  B397="",
  ,
  SWITCH(
    Input!$C$4,
    "Actual/365 Fixed",
      YEARFRAC(
        B397 + IF(INDEX(Input!$K$7:$K1503,ROW()-1),0,1),
        C397 + IF(INDEX(Input!$L$7:$L1503,ROW()-1),1,0),
        3
      ),
    "Anniversary/365",
      DATEDIF(
        B397 + IF(INDEX(Input!$K$7:$K1503,ROW()-1),0,1),
        C397 + IF(INDEX(Input!$L$7:$L1503,ROW()-1),1,0),
        "Y"
      )
      +
      (
        (C397 + IF(INDEX(Input!$L$7:$L1503,ROW()-1),1,0))
        -
        EDATE(
          B397 + IF(INDEX(Input!$K$7:$K1503,ROW()-1),0,1),
          12*DATEDIF(
            B397 + IF(INDEX(Input!$K$7:$K1503,ROW()-1),0,1),
            C397 + IF(INDEX(Input!$L$7:$L1503,ROW()-1),1,0),
            "Y"
          )
        )
      ) / 365,
    "Actual/Actual",
      YEARFRAC(
        B397 + IF(INDEX(Input!$K$7:$K1503,ROW()-1),0,1),
        C397 + IF(INDEX(Input!$L$7:$L1503,ROW()-1),1,0),
        1
      ),
      YEARFRAC(
        B397 + IF(INDEX(Input!$K$7:$K1503,ROW()-1),0,1),
        C397 + IF(INDEX(Input!$L$7:$L1503,ROW()-1),1,0),
        3
      )
  )
)</f>
        <v/>
      </c>
      <c r="S397" s="22" t="str">
        <f t="shared" si="4"/>
        <v/>
      </c>
      <c r="T397" s="6" t="str">
        <f t="array" ref="T397">IF(
  B397="",
  ,
  DATEDIF(
    B397 + IF(INDEX(Input!$K$7:$K1503,ROW()-1),0,1),
    C397 + IF(INDEX(Input!$L$7:$L1503,ROW()-1),1,0),
    "Y"
  )
)</f>
        <v/>
      </c>
      <c r="U397" s="6" t="str">
        <f t="array" ref="U397">IF(
  B397="",
  ,
  (C397 + IF(INDEX(Input!$L$7:$L1503,ROW()-1),1,0))
  - EDATE(
      B397 + IF(INDEX(Input!$K$7:$K1503,ROW()-1),0,1),
      12*S397
    )
)</f>
        <v/>
      </c>
      <c r="V397" s="6" t="str">
        <f t="shared" si="5"/>
        <v/>
      </c>
      <c r="W397" s="6" t="str">
        <f t="shared" si="6"/>
        <v/>
      </c>
    </row>
    <row r="398">
      <c r="A398" s="18"/>
      <c r="B398" s="18"/>
      <c r="C398" s="18"/>
      <c r="D398" s="18"/>
      <c r="E398" s="18"/>
      <c r="F398" s="18"/>
      <c r="G398" s="22"/>
      <c r="H398" s="18"/>
      <c r="I398" s="18">
        <v>0.0</v>
      </c>
      <c r="J398" s="18">
        <v>0.0</v>
      </c>
      <c r="K398" s="18"/>
      <c r="L398" s="18"/>
      <c r="M398" s="22" t="str">
        <f t="shared" si="1"/>
        <v/>
      </c>
      <c r="N398" s="18" t="str">
        <f>IF(A398="",,IF(ROW()=2, Input!$C$2 + I398, P397 + I398))</f>
        <v/>
      </c>
      <c r="O398" s="23" t="str">
        <f>IF(A398="",,
 IF(K398="Initial principal",
   Input!$C$2 * M398,
   N398 * M398
 )
)</f>
        <v/>
      </c>
      <c r="P398" s="18" t="str">
        <f t="shared" si="2"/>
        <v/>
      </c>
      <c r="Q398" s="18" t="str">
        <f t="shared" si="3"/>
        <v/>
      </c>
      <c r="R398" s="18" t="str">
        <f t="array" ref="R398">IF(
  B398="",
  ,
  SWITCH(
    Input!$C$4,
    "Actual/365 Fixed",
      YEARFRAC(
        B398 + IF(INDEX(Input!$K$7:$K1503,ROW()-1),0,1),
        C398 + IF(INDEX(Input!$L$7:$L1503,ROW()-1),1,0),
        3
      ),
    "Anniversary/365",
      DATEDIF(
        B398 + IF(INDEX(Input!$K$7:$K1503,ROW()-1),0,1),
        C398 + IF(INDEX(Input!$L$7:$L1503,ROW()-1),1,0),
        "Y"
      )
      +
      (
        (C398 + IF(INDEX(Input!$L$7:$L1503,ROW()-1),1,0))
        -
        EDATE(
          B398 + IF(INDEX(Input!$K$7:$K1503,ROW()-1),0,1),
          12*DATEDIF(
            B398 + IF(INDEX(Input!$K$7:$K1503,ROW()-1),0,1),
            C398 + IF(INDEX(Input!$L$7:$L1503,ROW()-1),1,0),
            "Y"
          )
        )
      ) / 365,
    "Actual/Actual",
      YEARFRAC(
        B398 + IF(INDEX(Input!$K$7:$K1503,ROW()-1),0,1),
        C398 + IF(INDEX(Input!$L$7:$L1503,ROW()-1),1,0),
        1
      ),
      YEARFRAC(
        B398 + IF(INDEX(Input!$K$7:$K1503,ROW()-1),0,1),
        C398 + IF(INDEX(Input!$L$7:$L1503,ROW()-1),1,0),
        3
      )
  )
)</f>
        <v/>
      </c>
      <c r="S398" s="22" t="str">
        <f t="shared" si="4"/>
        <v/>
      </c>
      <c r="T398" s="6" t="str">
        <f t="array" ref="T398">IF(
  B398="",
  ,
  DATEDIF(
    B398 + IF(INDEX(Input!$K$7:$K1503,ROW()-1),0,1),
    C398 + IF(INDEX(Input!$L$7:$L1503,ROW()-1),1,0),
    "Y"
  )
)</f>
        <v/>
      </c>
      <c r="U398" s="6" t="str">
        <f t="array" ref="U398">IF(
  B398="",
  ,
  (C398 + IF(INDEX(Input!$L$7:$L1503,ROW()-1),1,0))
  - EDATE(
      B398 + IF(INDEX(Input!$K$7:$K1503,ROW()-1),0,1),
      12*S398
    )
)</f>
        <v/>
      </c>
      <c r="V398" s="6" t="str">
        <f t="shared" si="5"/>
        <v/>
      </c>
      <c r="W398" s="6" t="str">
        <f t="shared" si="6"/>
        <v/>
      </c>
    </row>
    <row r="399">
      <c r="A399" s="18"/>
      <c r="B399" s="18"/>
      <c r="C399" s="18"/>
      <c r="D399" s="18"/>
      <c r="E399" s="18"/>
      <c r="F399" s="18"/>
      <c r="G399" s="22"/>
      <c r="H399" s="18"/>
      <c r="I399" s="18">
        <v>0.0</v>
      </c>
      <c r="J399" s="18">
        <v>0.0</v>
      </c>
      <c r="K399" s="18"/>
      <c r="L399" s="18"/>
      <c r="M399" s="22" t="str">
        <f t="shared" si="1"/>
        <v/>
      </c>
      <c r="N399" s="18" t="str">
        <f>IF(A399="",,IF(ROW()=2, Input!$C$2 + I399, P398 + I399))</f>
        <v/>
      </c>
      <c r="O399" s="23" t="str">
        <f>IF(A399="",,
 IF(K399="Initial principal",
   Input!$C$2 * M399,
   N399 * M399
 )
)</f>
        <v/>
      </c>
      <c r="P399" s="18" t="str">
        <f t="shared" si="2"/>
        <v/>
      </c>
      <c r="Q399" s="18" t="str">
        <f t="shared" si="3"/>
        <v/>
      </c>
      <c r="R399" s="18" t="str">
        <f t="array" ref="R399">IF(
  B399="",
  ,
  SWITCH(
    Input!$C$4,
    "Actual/365 Fixed",
      YEARFRAC(
        B399 + IF(INDEX(Input!$K$7:$K1503,ROW()-1),0,1),
        C399 + IF(INDEX(Input!$L$7:$L1503,ROW()-1),1,0),
        3
      ),
    "Anniversary/365",
      DATEDIF(
        B399 + IF(INDEX(Input!$K$7:$K1503,ROW()-1),0,1),
        C399 + IF(INDEX(Input!$L$7:$L1503,ROW()-1),1,0),
        "Y"
      )
      +
      (
        (C399 + IF(INDEX(Input!$L$7:$L1503,ROW()-1),1,0))
        -
        EDATE(
          B399 + IF(INDEX(Input!$K$7:$K1503,ROW()-1),0,1),
          12*DATEDIF(
            B399 + IF(INDEX(Input!$K$7:$K1503,ROW()-1),0,1),
            C399 + IF(INDEX(Input!$L$7:$L1503,ROW()-1),1,0),
            "Y"
          )
        )
      ) / 365,
    "Actual/Actual",
      YEARFRAC(
        B399 + IF(INDEX(Input!$K$7:$K1503,ROW()-1),0,1),
        C399 + IF(INDEX(Input!$L$7:$L1503,ROW()-1),1,0),
        1
      ),
      YEARFRAC(
        B399 + IF(INDEX(Input!$K$7:$K1503,ROW()-1),0,1),
        C399 + IF(INDEX(Input!$L$7:$L1503,ROW()-1),1,0),
        3
      )
  )
)</f>
        <v/>
      </c>
      <c r="S399" s="22" t="str">
        <f t="shared" si="4"/>
        <v/>
      </c>
      <c r="T399" s="6" t="str">
        <f t="array" ref="T399">IF(
  B399="",
  ,
  DATEDIF(
    B399 + IF(INDEX(Input!$K$7:$K1503,ROW()-1),0,1),
    C399 + IF(INDEX(Input!$L$7:$L1503,ROW()-1),1,0),
    "Y"
  )
)</f>
        <v/>
      </c>
      <c r="U399" s="6" t="str">
        <f t="array" ref="U399">IF(
  B399="",
  ,
  (C399 + IF(INDEX(Input!$L$7:$L1503,ROW()-1),1,0))
  - EDATE(
      B399 + IF(INDEX(Input!$K$7:$K1503,ROW()-1),0,1),
      12*S399
    )
)</f>
        <v/>
      </c>
      <c r="V399" s="6" t="str">
        <f t="shared" si="5"/>
        <v/>
      </c>
      <c r="W399" s="6" t="str">
        <f t="shared" si="6"/>
        <v/>
      </c>
    </row>
    <row r="400">
      <c r="A400" s="18"/>
      <c r="B400" s="18"/>
      <c r="C400" s="18"/>
      <c r="D400" s="18"/>
      <c r="E400" s="18"/>
      <c r="F400" s="18"/>
      <c r="G400" s="22"/>
      <c r="H400" s="18"/>
      <c r="I400" s="18">
        <v>0.0</v>
      </c>
      <c r="J400" s="18">
        <v>0.0</v>
      </c>
      <c r="K400" s="18"/>
      <c r="L400" s="18"/>
      <c r="M400" s="22" t="str">
        <f t="shared" si="1"/>
        <v/>
      </c>
      <c r="N400" s="18" t="str">
        <f>IF(A400="",,IF(ROW()=2, Input!$C$2 + I400, P399 + I400))</f>
        <v/>
      </c>
      <c r="O400" s="23" t="str">
        <f>IF(A400="",,
 IF(K400="Initial principal",
   Input!$C$2 * M400,
   N400 * M400
 )
)</f>
        <v/>
      </c>
      <c r="P400" s="18" t="str">
        <f t="shared" si="2"/>
        <v/>
      </c>
      <c r="Q400" s="18" t="str">
        <f t="shared" si="3"/>
        <v/>
      </c>
      <c r="R400" s="18" t="str">
        <f t="array" ref="R400">IF(
  B400="",
  ,
  SWITCH(
    Input!$C$4,
    "Actual/365 Fixed",
      YEARFRAC(
        B400 + IF(INDEX(Input!$K$7:$K1503,ROW()-1),0,1),
        C400 + IF(INDEX(Input!$L$7:$L1503,ROW()-1),1,0),
        3
      ),
    "Anniversary/365",
      DATEDIF(
        B400 + IF(INDEX(Input!$K$7:$K1503,ROW()-1),0,1),
        C400 + IF(INDEX(Input!$L$7:$L1503,ROW()-1),1,0),
        "Y"
      )
      +
      (
        (C400 + IF(INDEX(Input!$L$7:$L1503,ROW()-1),1,0))
        -
        EDATE(
          B400 + IF(INDEX(Input!$K$7:$K1503,ROW()-1),0,1),
          12*DATEDIF(
            B400 + IF(INDEX(Input!$K$7:$K1503,ROW()-1),0,1),
            C400 + IF(INDEX(Input!$L$7:$L1503,ROW()-1),1,0),
            "Y"
          )
        )
      ) / 365,
    "Actual/Actual",
      YEARFRAC(
        B400 + IF(INDEX(Input!$K$7:$K1503,ROW()-1),0,1),
        C400 + IF(INDEX(Input!$L$7:$L1503,ROW()-1),1,0),
        1
      ),
      YEARFRAC(
        B400 + IF(INDEX(Input!$K$7:$K1503,ROW()-1),0,1),
        C400 + IF(INDEX(Input!$L$7:$L1503,ROW()-1),1,0),
        3
      )
  )
)</f>
        <v/>
      </c>
      <c r="S400" s="22" t="str">
        <f t="shared" si="4"/>
        <v/>
      </c>
      <c r="T400" s="6" t="str">
        <f t="array" ref="T400">IF(
  B400="",
  ,
  DATEDIF(
    B400 + IF(INDEX(Input!$K$7:$K1503,ROW()-1),0,1),
    C400 + IF(INDEX(Input!$L$7:$L1503,ROW()-1),1,0),
    "Y"
  )
)</f>
        <v/>
      </c>
      <c r="U400" s="6" t="str">
        <f t="array" ref="U400">IF(
  B400="",
  ,
  (C400 + IF(INDEX(Input!$L$7:$L1503,ROW()-1),1,0))
  - EDATE(
      B400 + IF(INDEX(Input!$K$7:$K1503,ROW()-1),0,1),
      12*S400
    )
)</f>
        <v/>
      </c>
      <c r="V400" s="6" t="str">
        <f t="shared" si="5"/>
        <v/>
      </c>
      <c r="W400" s="6" t="str">
        <f t="shared" si="6"/>
        <v/>
      </c>
    </row>
    <row r="401">
      <c r="A401" s="18"/>
      <c r="B401" s="18"/>
      <c r="C401" s="18"/>
      <c r="D401" s="18"/>
      <c r="E401" s="18"/>
      <c r="F401" s="18"/>
      <c r="G401" s="22"/>
      <c r="H401" s="18"/>
      <c r="I401" s="18">
        <v>0.0</v>
      </c>
      <c r="J401" s="18">
        <v>0.0</v>
      </c>
      <c r="K401" s="18"/>
      <c r="L401" s="18"/>
      <c r="M401" s="22" t="str">
        <f t="shared" si="1"/>
        <v/>
      </c>
      <c r="N401" s="18" t="str">
        <f>IF(A401="",,IF(ROW()=2, Input!$C$2 + I401, P400 + I401))</f>
        <v/>
      </c>
      <c r="O401" s="23" t="str">
        <f>IF(A401="",,
 IF(K401="Initial principal",
   Input!$C$2 * M401,
   N401 * M401
 )
)</f>
        <v/>
      </c>
      <c r="P401" s="18" t="str">
        <f t="shared" si="2"/>
        <v/>
      </c>
      <c r="Q401" s="18" t="str">
        <f t="shared" si="3"/>
        <v/>
      </c>
      <c r="R401" s="18" t="str">
        <f t="array" ref="R401">IF(
  B401="",
  ,
  SWITCH(
    Input!$C$4,
    "Actual/365 Fixed",
      YEARFRAC(
        B401 + IF(INDEX(Input!$K$7:$K1503,ROW()-1),0,1),
        C401 + IF(INDEX(Input!$L$7:$L1503,ROW()-1),1,0),
        3
      ),
    "Anniversary/365",
      DATEDIF(
        B401 + IF(INDEX(Input!$K$7:$K1503,ROW()-1),0,1),
        C401 + IF(INDEX(Input!$L$7:$L1503,ROW()-1),1,0),
        "Y"
      )
      +
      (
        (C401 + IF(INDEX(Input!$L$7:$L1503,ROW()-1),1,0))
        -
        EDATE(
          B401 + IF(INDEX(Input!$K$7:$K1503,ROW()-1),0,1),
          12*DATEDIF(
            B401 + IF(INDEX(Input!$K$7:$K1503,ROW()-1),0,1),
            C401 + IF(INDEX(Input!$L$7:$L1503,ROW()-1),1,0),
            "Y"
          )
        )
      ) / 365,
    "Actual/Actual",
      YEARFRAC(
        B401 + IF(INDEX(Input!$K$7:$K1503,ROW()-1),0,1),
        C401 + IF(INDEX(Input!$L$7:$L1503,ROW()-1),1,0),
        1
      ),
      YEARFRAC(
        B401 + IF(INDEX(Input!$K$7:$K1503,ROW()-1),0,1),
        C401 + IF(INDEX(Input!$L$7:$L1503,ROW()-1),1,0),
        3
      )
  )
)</f>
        <v/>
      </c>
      <c r="S401" s="22" t="str">
        <f t="shared" si="4"/>
        <v/>
      </c>
      <c r="T401" s="6" t="str">
        <f t="array" ref="T401">IF(
  B401="",
  ,
  DATEDIF(
    B401 + IF(INDEX(Input!$K$7:$K1503,ROW()-1),0,1),
    C401 + IF(INDEX(Input!$L$7:$L1503,ROW()-1),1,0),
    "Y"
  )
)</f>
        <v/>
      </c>
      <c r="U401" s="6" t="str">
        <f t="array" ref="U401">IF(
  B401="",
  ,
  (C401 + IF(INDEX(Input!$L$7:$L1503,ROW()-1),1,0))
  - EDATE(
      B401 + IF(INDEX(Input!$K$7:$K1503,ROW()-1),0,1),
      12*S401
    )
)</f>
        <v/>
      </c>
      <c r="V401" s="6" t="str">
        <f t="shared" si="5"/>
        <v/>
      </c>
      <c r="W401" s="6" t="str">
        <f t="shared" si="6"/>
        <v/>
      </c>
    </row>
    <row r="402">
      <c r="A402" s="18"/>
      <c r="B402" s="18"/>
      <c r="C402" s="18"/>
      <c r="D402" s="18"/>
      <c r="E402" s="18"/>
      <c r="F402" s="18"/>
      <c r="G402" s="22"/>
      <c r="H402" s="18"/>
      <c r="I402" s="18">
        <v>0.0</v>
      </c>
      <c r="J402" s="18">
        <v>0.0</v>
      </c>
      <c r="K402" s="18"/>
      <c r="L402" s="18"/>
      <c r="M402" s="22" t="str">
        <f t="shared" si="1"/>
        <v/>
      </c>
      <c r="N402" s="18" t="str">
        <f>IF(A402="",,IF(ROW()=2, Input!$C$2 + I402, P401 + I402))</f>
        <v/>
      </c>
      <c r="O402" s="23" t="str">
        <f>IF(A402="",,
 IF(K402="Initial principal",
   Input!$C$2 * M402,
   N402 * M402
 )
)</f>
        <v/>
      </c>
      <c r="P402" s="18" t="str">
        <f t="shared" si="2"/>
        <v/>
      </c>
      <c r="Q402" s="18" t="str">
        <f t="shared" si="3"/>
        <v/>
      </c>
      <c r="R402" s="18" t="str">
        <f t="array" ref="R402">IF(
  B402="",
  ,
  SWITCH(
    Input!$C$4,
    "Actual/365 Fixed",
      YEARFRAC(
        B402 + IF(INDEX(Input!$K$7:$K1503,ROW()-1),0,1),
        C402 + IF(INDEX(Input!$L$7:$L1503,ROW()-1),1,0),
        3
      ),
    "Anniversary/365",
      DATEDIF(
        B402 + IF(INDEX(Input!$K$7:$K1503,ROW()-1),0,1),
        C402 + IF(INDEX(Input!$L$7:$L1503,ROW()-1),1,0),
        "Y"
      )
      +
      (
        (C402 + IF(INDEX(Input!$L$7:$L1503,ROW()-1),1,0))
        -
        EDATE(
          B402 + IF(INDEX(Input!$K$7:$K1503,ROW()-1),0,1),
          12*DATEDIF(
            B402 + IF(INDEX(Input!$K$7:$K1503,ROW()-1),0,1),
            C402 + IF(INDEX(Input!$L$7:$L1503,ROW()-1),1,0),
            "Y"
          )
        )
      ) / 365,
    "Actual/Actual",
      YEARFRAC(
        B402 + IF(INDEX(Input!$K$7:$K1503,ROW()-1),0,1),
        C402 + IF(INDEX(Input!$L$7:$L1503,ROW()-1),1,0),
        1
      ),
      YEARFRAC(
        B402 + IF(INDEX(Input!$K$7:$K1503,ROW()-1),0,1),
        C402 + IF(INDEX(Input!$L$7:$L1503,ROW()-1),1,0),
        3
      )
  )
)</f>
        <v/>
      </c>
      <c r="S402" s="22" t="str">
        <f t="shared" si="4"/>
        <v/>
      </c>
      <c r="T402" s="6" t="str">
        <f t="array" ref="T402">IF(
  B402="",
  ,
  DATEDIF(
    B402 + IF(INDEX(Input!$K$7:$K1503,ROW()-1),0,1),
    C402 + IF(INDEX(Input!$L$7:$L1503,ROW()-1),1,0),
    "Y"
  )
)</f>
        <v/>
      </c>
      <c r="U402" s="6" t="str">
        <f t="array" ref="U402">IF(
  B402="",
  ,
  (C402 + IF(INDEX(Input!$L$7:$L1503,ROW()-1),1,0))
  - EDATE(
      B402 + IF(INDEX(Input!$K$7:$K1503,ROW()-1),0,1),
      12*S402
    )
)</f>
        <v/>
      </c>
      <c r="V402" s="6" t="str">
        <f t="shared" si="5"/>
        <v/>
      </c>
      <c r="W402" s="6" t="str">
        <f t="shared" si="6"/>
        <v/>
      </c>
    </row>
    <row r="403">
      <c r="A403" s="18"/>
      <c r="B403" s="18"/>
      <c r="C403" s="18"/>
      <c r="D403" s="18"/>
      <c r="E403" s="18"/>
      <c r="F403" s="18"/>
      <c r="G403" s="22"/>
      <c r="H403" s="18"/>
      <c r="I403" s="18">
        <v>0.0</v>
      </c>
      <c r="J403" s="18">
        <v>0.0</v>
      </c>
      <c r="K403" s="18"/>
      <c r="L403" s="18"/>
      <c r="M403" s="22" t="str">
        <f t="shared" si="1"/>
        <v/>
      </c>
      <c r="N403" s="18" t="str">
        <f>IF(A403="",,IF(ROW()=2, Input!$C$2 + I403, P402 + I403))</f>
        <v/>
      </c>
      <c r="O403" s="23" t="str">
        <f>IF(A403="",,
 IF(K403="Initial principal",
   Input!$C$2 * M403,
   N403 * M403
 )
)</f>
        <v/>
      </c>
      <c r="P403" s="18" t="str">
        <f t="shared" si="2"/>
        <v/>
      </c>
      <c r="Q403" s="18" t="str">
        <f t="shared" si="3"/>
        <v/>
      </c>
      <c r="R403" s="18" t="str">
        <f t="array" ref="R403">IF(
  B403="",
  ,
  SWITCH(
    Input!$C$4,
    "Actual/365 Fixed",
      YEARFRAC(
        B403 + IF(INDEX(Input!$K$7:$K1503,ROW()-1),0,1),
        C403 + IF(INDEX(Input!$L$7:$L1503,ROW()-1),1,0),
        3
      ),
    "Anniversary/365",
      DATEDIF(
        B403 + IF(INDEX(Input!$K$7:$K1503,ROW()-1),0,1),
        C403 + IF(INDEX(Input!$L$7:$L1503,ROW()-1),1,0),
        "Y"
      )
      +
      (
        (C403 + IF(INDEX(Input!$L$7:$L1503,ROW()-1),1,0))
        -
        EDATE(
          B403 + IF(INDEX(Input!$K$7:$K1503,ROW()-1),0,1),
          12*DATEDIF(
            B403 + IF(INDEX(Input!$K$7:$K1503,ROW()-1),0,1),
            C403 + IF(INDEX(Input!$L$7:$L1503,ROW()-1),1,0),
            "Y"
          )
        )
      ) / 365,
    "Actual/Actual",
      YEARFRAC(
        B403 + IF(INDEX(Input!$K$7:$K1503,ROW()-1),0,1),
        C403 + IF(INDEX(Input!$L$7:$L1503,ROW()-1),1,0),
        1
      ),
      YEARFRAC(
        B403 + IF(INDEX(Input!$K$7:$K1503,ROW()-1),0,1),
        C403 + IF(INDEX(Input!$L$7:$L1503,ROW()-1),1,0),
        3
      )
  )
)</f>
        <v/>
      </c>
      <c r="S403" s="22" t="str">
        <f t="shared" si="4"/>
        <v/>
      </c>
      <c r="T403" s="6" t="str">
        <f t="array" ref="T403">IF(
  B403="",
  ,
  DATEDIF(
    B403 + IF(INDEX(Input!$K$7:$K1503,ROW()-1),0,1),
    C403 + IF(INDEX(Input!$L$7:$L1503,ROW()-1),1,0),
    "Y"
  )
)</f>
        <v/>
      </c>
      <c r="U403" s="6" t="str">
        <f t="array" ref="U403">IF(
  B403="",
  ,
  (C403 + IF(INDEX(Input!$L$7:$L1503,ROW()-1),1,0))
  - EDATE(
      B403 + IF(INDEX(Input!$K$7:$K1503,ROW()-1),0,1),
      12*S403
    )
)</f>
        <v/>
      </c>
      <c r="V403" s="6" t="str">
        <f t="shared" si="5"/>
        <v/>
      </c>
      <c r="W403" s="6" t="str">
        <f t="shared" si="6"/>
        <v/>
      </c>
    </row>
    <row r="404">
      <c r="A404" s="18"/>
      <c r="B404" s="18"/>
      <c r="C404" s="18"/>
      <c r="D404" s="18"/>
      <c r="E404" s="18"/>
      <c r="F404" s="18"/>
      <c r="G404" s="22"/>
      <c r="H404" s="18"/>
      <c r="I404" s="18">
        <v>0.0</v>
      </c>
      <c r="J404" s="18">
        <v>0.0</v>
      </c>
      <c r="K404" s="18"/>
      <c r="L404" s="18"/>
      <c r="M404" s="22" t="str">
        <f t="shared" si="1"/>
        <v/>
      </c>
      <c r="N404" s="18" t="str">
        <f>IF(A404="",,IF(ROW()=2, Input!$C$2 + I404, P403 + I404))</f>
        <v/>
      </c>
      <c r="O404" s="23" t="str">
        <f>IF(A404="",,
 IF(K404="Initial principal",
   Input!$C$2 * M404,
   N404 * M404
 )
)</f>
        <v/>
      </c>
      <c r="P404" s="18" t="str">
        <f t="shared" si="2"/>
        <v/>
      </c>
      <c r="Q404" s="18" t="str">
        <f t="shared" si="3"/>
        <v/>
      </c>
      <c r="R404" s="18" t="str">
        <f t="array" ref="R404">IF(
  B404="",
  ,
  SWITCH(
    Input!$C$4,
    "Actual/365 Fixed",
      YEARFRAC(
        B404 + IF(INDEX(Input!$K$7:$K1503,ROW()-1),0,1),
        C404 + IF(INDEX(Input!$L$7:$L1503,ROW()-1),1,0),
        3
      ),
    "Anniversary/365",
      DATEDIF(
        B404 + IF(INDEX(Input!$K$7:$K1503,ROW()-1),0,1),
        C404 + IF(INDEX(Input!$L$7:$L1503,ROW()-1),1,0),
        "Y"
      )
      +
      (
        (C404 + IF(INDEX(Input!$L$7:$L1503,ROW()-1),1,0))
        -
        EDATE(
          B404 + IF(INDEX(Input!$K$7:$K1503,ROW()-1),0,1),
          12*DATEDIF(
            B404 + IF(INDEX(Input!$K$7:$K1503,ROW()-1),0,1),
            C404 + IF(INDEX(Input!$L$7:$L1503,ROW()-1),1,0),
            "Y"
          )
        )
      ) / 365,
    "Actual/Actual",
      YEARFRAC(
        B404 + IF(INDEX(Input!$K$7:$K1503,ROW()-1),0,1),
        C404 + IF(INDEX(Input!$L$7:$L1503,ROW()-1),1,0),
        1
      ),
      YEARFRAC(
        B404 + IF(INDEX(Input!$K$7:$K1503,ROW()-1),0,1),
        C404 + IF(INDEX(Input!$L$7:$L1503,ROW()-1),1,0),
        3
      )
  )
)</f>
        <v/>
      </c>
      <c r="S404" s="22" t="str">
        <f t="shared" si="4"/>
        <v/>
      </c>
      <c r="T404" s="6" t="str">
        <f t="array" ref="T404">IF(
  B404="",
  ,
  DATEDIF(
    B404 + IF(INDEX(Input!$K$7:$K1503,ROW()-1),0,1),
    C404 + IF(INDEX(Input!$L$7:$L1503,ROW()-1),1,0),
    "Y"
  )
)</f>
        <v/>
      </c>
      <c r="U404" s="6" t="str">
        <f t="array" ref="U404">IF(
  B404="",
  ,
  (C404 + IF(INDEX(Input!$L$7:$L1503,ROW()-1),1,0))
  - EDATE(
      B404 + IF(INDEX(Input!$K$7:$K1503,ROW()-1),0,1),
      12*S404
    )
)</f>
        <v/>
      </c>
      <c r="V404" s="6" t="str">
        <f t="shared" si="5"/>
        <v/>
      </c>
      <c r="W404" s="6" t="str">
        <f t="shared" si="6"/>
        <v/>
      </c>
    </row>
    <row r="405">
      <c r="A405" s="18"/>
      <c r="B405" s="18"/>
      <c r="C405" s="18"/>
      <c r="D405" s="18"/>
      <c r="E405" s="18"/>
      <c r="F405" s="18"/>
      <c r="G405" s="22"/>
      <c r="H405" s="18"/>
      <c r="I405" s="18">
        <v>0.0</v>
      </c>
      <c r="J405" s="18">
        <v>0.0</v>
      </c>
      <c r="K405" s="18"/>
      <c r="L405" s="18"/>
      <c r="M405" s="22" t="str">
        <f t="shared" si="1"/>
        <v/>
      </c>
      <c r="N405" s="18" t="str">
        <f>IF(A405="",,IF(ROW()=2, Input!$C$2 + I405, P404 + I405))</f>
        <v/>
      </c>
      <c r="O405" s="23" t="str">
        <f>IF(A405="",,
 IF(K405="Initial principal",
   Input!$C$2 * M405,
   N405 * M405
 )
)</f>
        <v/>
      </c>
      <c r="P405" s="18" t="str">
        <f t="shared" si="2"/>
        <v/>
      </c>
      <c r="Q405" s="18" t="str">
        <f t="shared" si="3"/>
        <v/>
      </c>
      <c r="R405" s="18" t="str">
        <f t="array" ref="R405">IF(
  B405="",
  ,
  SWITCH(
    Input!$C$4,
    "Actual/365 Fixed",
      YEARFRAC(
        B405 + IF(INDEX(Input!$K$7:$K1503,ROW()-1),0,1),
        C405 + IF(INDEX(Input!$L$7:$L1503,ROW()-1),1,0),
        3
      ),
    "Anniversary/365",
      DATEDIF(
        B405 + IF(INDEX(Input!$K$7:$K1503,ROW()-1),0,1),
        C405 + IF(INDEX(Input!$L$7:$L1503,ROW()-1),1,0),
        "Y"
      )
      +
      (
        (C405 + IF(INDEX(Input!$L$7:$L1503,ROW()-1),1,0))
        -
        EDATE(
          B405 + IF(INDEX(Input!$K$7:$K1503,ROW()-1),0,1),
          12*DATEDIF(
            B405 + IF(INDEX(Input!$K$7:$K1503,ROW()-1),0,1),
            C405 + IF(INDEX(Input!$L$7:$L1503,ROW()-1),1,0),
            "Y"
          )
        )
      ) / 365,
    "Actual/Actual",
      YEARFRAC(
        B405 + IF(INDEX(Input!$K$7:$K1503,ROW()-1),0,1),
        C405 + IF(INDEX(Input!$L$7:$L1503,ROW()-1),1,0),
        1
      ),
      YEARFRAC(
        B405 + IF(INDEX(Input!$K$7:$K1503,ROW()-1),0,1),
        C405 + IF(INDEX(Input!$L$7:$L1503,ROW()-1),1,0),
        3
      )
  )
)</f>
        <v/>
      </c>
      <c r="S405" s="22" t="str">
        <f t="shared" si="4"/>
        <v/>
      </c>
      <c r="T405" s="6" t="str">
        <f t="array" ref="T405">IF(
  B405="",
  ,
  DATEDIF(
    B405 + IF(INDEX(Input!$K$7:$K1503,ROW()-1),0,1),
    C405 + IF(INDEX(Input!$L$7:$L1503,ROW()-1),1,0),
    "Y"
  )
)</f>
        <v/>
      </c>
      <c r="U405" s="6" t="str">
        <f t="array" ref="U405">IF(
  B405="",
  ,
  (C405 + IF(INDEX(Input!$L$7:$L1503,ROW()-1),1,0))
  - EDATE(
      B405 + IF(INDEX(Input!$K$7:$K1503,ROW()-1),0,1),
      12*S405
    )
)</f>
        <v/>
      </c>
      <c r="V405" s="6" t="str">
        <f t="shared" si="5"/>
        <v/>
      </c>
      <c r="W405" s="6" t="str">
        <f t="shared" si="6"/>
        <v/>
      </c>
    </row>
    <row r="406">
      <c r="A406" s="18"/>
      <c r="B406" s="18"/>
      <c r="C406" s="18"/>
      <c r="D406" s="18"/>
      <c r="E406" s="18"/>
      <c r="F406" s="18"/>
      <c r="G406" s="22"/>
      <c r="H406" s="18"/>
      <c r="I406" s="18">
        <v>0.0</v>
      </c>
      <c r="J406" s="18">
        <v>0.0</v>
      </c>
      <c r="K406" s="18"/>
      <c r="L406" s="18"/>
      <c r="M406" s="22" t="str">
        <f t="shared" si="1"/>
        <v/>
      </c>
      <c r="N406" s="18" t="str">
        <f>IF(A406="",,IF(ROW()=2, Input!$C$2 + I406, P405 + I406))</f>
        <v/>
      </c>
      <c r="O406" s="23" t="str">
        <f>IF(A406="",,
 IF(K406="Initial principal",
   Input!$C$2 * M406,
   N406 * M406
 )
)</f>
        <v/>
      </c>
      <c r="P406" s="18" t="str">
        <f t="shared" si="2"/>
        <v/>
      </c>
      <c r="Q406" s="18" t="str">
        <f t="shared" si="3"/>
        <v/>
      </c>
      <c r="R406" s="18" t="str">
        <f t="array" ref="R406">IF(
  B406="",
  ,
  SWITCH(
    Input!$C$4,
    "Actual/365 Fixed",
      YEARFRAC(
        B406 + IF(INDEX(Input!$K$7:$K1503,ROW()-1),0,1),
        C406 + IF(INDEX(Input!$L$7:$L1503,ROW()-1),1,0),
        3
      ),
    "Anniversary/365",
      DATEDIF(
        B406 + IF(INDEX(Input!$K$7:$K1503,ROW()-1),0,1),
        C406 + IF(INDEX(Input!$L$7:$L1503,ROW()-1),1,0),
        "Y"
      )
      +
      (
        (C406 + IF(INDEX(Input!$L$7:$L1503,ROW()-1),1,0))
        -
        EDATE(
          B406 + IF(INDEX(Input!$K$7:$K1503,ROW()-1),0,1),
          12*DATEDIF(
            B406 + IF(INDEX(Input!$K$7:$K1503,ROW()-1),0,1),
            C406 + IF(INDEX(Input!$L$7:$L1503,ROW()-1),1,0),
            "Y"
          )
        )
      ) / 365,
    "Actual/Actual",
      YEARFRAC(
        B406 + IF(INDEX(Input!$K$7:$K1503,ROW()-1),0,1),
        C406 + IF(INDEX(Input!$L$7:$L1503,ROW()-1),1,0),
        1
      ),
      YEARFRAC(
        B406 + IF(INDEX(Input!$K$7:$K1503,ROW()-1),0,1),
        C406 + IF(INDEX(Input!$L$7:$L1503,ROW()-1),1,0),
        3
      )
  )
)</f>
        <v/>
      </c>
      <c r="S406" s="22" t="str">
        <f t="shared" si="4"/>
        <v/>
      </c>
      <c r="T406" s="6" t="str">
        <f t="array" ref="T406">IF(
  B406="",
  ,
  DATEDIF(
    B406 + IF(INDEX(Input!$K$7:$K1503,ROW()-1),0,1),
    C406 + IF(INDEX(Input!$L$7:$L1503,ROW()-1),1,0),
    "Y"
  )
)</f>
        <v/>
      </c>
      <c r="U406" s="6" t="str">
        <f t="array" ref="U406">IF(
  B406="",
  ,
  (C406 + IF(INDEX(Input!$L$7:$L1503,ROW()-1),1,0))
  - EDATE(
      B406 + IF(INDEX(Input!$K$7:$K1503,ROW()-1),0,1),
      12*S406
    )
)</f>
        <v/>
      </c>
      <c r="V406" s="6" t="str">
        <f t="shared" si="5"/>
        <v/>
      </c>
      <c r="W406" s="6" t="str">
        <f t="shared" si="6"/>
        <v/>
      </c>
    </row>
    <row r="407">
      <c r="A407" s="18"/>
      <c r="B407" s="18"/>
      <c r="C407" s="18"/>
      <c r="D407" s="18"/>
      <c r="E407" s="18"/>
      <c r="F407" s="18"/>
      <c r="G407" s="22"/>
      <c r="H407" s="18"/>
      <c r="I407" s="18">
        <v>0.0</v>
      </c>
      <c r="J407" s="18">
        <v>0.0</v>
      </c>
      <c r="K407" s="18"/>
      <c r="L407" s="18"/>
      <c r="M407" s="22" t="str">
        <f t="shared" si="1"/>
        <v/>
      </c>
      <c r="N407" s="18" t="str">
        <f>IF(A407="",,IF(ROW()=2, Input!$C$2 + I407, P406 + I407))</f>
        <v/>
      </c>
      <c r="O407" s="23" t="str">
        <f>IF(A407="",,
 IF(K407="Initial principal",
   Input!$C$2 * M407,
   N407 * M407
 )
)</f>
        <v/>
      </c>
      <c r="P407" s="18" t="str">
        <f t="shared" si="2"/>
        <v/>
      </c>
      <c r="Q407" s="18" t="str">
        <f t="shared" si="3"/>
        <v/>
      </c>
      <c r="R407" s="18" t="str">
        <f t="array" ref="R407">IF(
  B407="",
  ,
  SWITCH(
    Input!$C$4,
    "Actual/365 Fixed",
      YEARFRAC(
        B407 + IF(INDEX(Input!$K$7:$K1503,ROW()-1),0,1),
        C407 + IF(INDEX(Input!$L$7:$L1503,ROW()-1),1,0),
        3
      ),
    "Anniversary/365",
      DATEDIF(
        B407 + IF(INDEX(Input!$K$7:$K1503,ROW()-1),0,1),
        C407 + IF(INDEX(Input!$L$7:$L1503,ROW()-1),1,0),
        "Y"
      )
      +
      (
        (C407 + IF(INDEX(Input!$L$7:$L1503,ROW()-1),1,0))
        -
        EDATE(
          B407 + IF(INDEX(Input!$K$7:$K1503,ROW()-1),0,1),
          12*DATEDIF(
            B407 + IF(INDEX(Input!$K$7:$K1503,ROW()-1),0,1),
            C407 + IF(INDEX(Input!$L$7:$L1503,ROW()-1),1,0),
            "Y"
          )
        )
      ) / 365,
    "Actual/Actual",
      YEARFRAC(
        B407 + IF(INDEX(Input!$K$7:$K1503,ROW()-1),0,1),
        C407 + IF(INDEX(Input!$L$7:$L1503,ROW()-1),1,0),
        1
      ),
      YEARFRAC(
        B407 + IF(INDEX(Input!$K$7:$K1503,ROW()-1),0,1),
        C407 + IF(INDEX(Input!$L$7:$L1503,ROW()-1),1,0),
        3
      )
  )
)</f>
        <v/>
      </c>
      <c r="S407" s="22" t="str">
        <f t="shared" si="4"/>
        <v/>
      </c>
      <c r="T407" s="6" t="str">
        <f t="array" ref="T407">IF(
  B407="",
  ,
  DATEDIF(
    B407 + IF(INDEX(Input!$K$7:$K1503,ROW()-1),0,1),
    C407 + IF(INDEX(Input!$L$7:$L1503,ROW()-1),1,0),
    "Y"
  )
)</f>
        <v/>
      </c>
      <c r="U407" s="6" t="str">
        <f t="array" ref="U407">IF(
  B407="",
  ,
  (C407 + IF(INDEX(Input!$L$7:$L1503,ROW()-1),1,0))
  - EDATE(
      B407 + IF(INDEX(Input!$K$7:$K1503,ROW()-1),0,1),
      12*S407
    )
)</f>
        <v/>
      </c>
      <c r="V407" s="6" t="str">
        <f t="shared" si="5"/>
        <v/>
      </c>
      <c r="W407" s="6" t="str">
        <f t="shared" si="6"/>
        <v/>
      </c>
    </row>
    <row r="408">
      <c r="A408" s="18"/>
      <c r="B408" s="18"/>
      <c r="C408" s="18"/>
      <c r="D408" s="18"/>
      <c r="E408" s="18"/>
      <c r="F408" s="18"/>
      <c r="G408" s="22"/>
      <c r="H408" s="18"/>
      <c r="I408" s="18">
        <v>0.0</v>
      </c>
      <c r="J408" s="18">
        <v>0.0</v>
      </c>
      <c r="K408" s="18"/>
      <c r="L408" s="18"/>
      <c r="M408" s="22" t="str">
        <f t="shared" si="1"/>
        <v/>
      </c>
      <c r="N408" s="18" t="str">
        <f>IF(A408="",,IF(ROW()=2, Input!$C$2 + I408, P407 + I408))</f>
        <v/>
      </c>
      <c r="O408" s="23" t="str">
        <f>IF(A408="",,
 IF(K408="Initial principal",
   Input!$C$2 * M408,
   N408 * M408
 )
)</f>
        <v/>
      </c>
      <c r="P408" s="18" t="str">
        <f t="shared" si="2"/>
        <v/>
      </c>
      <c r="Q408" s="18" t="str">
        <f t="shared" si="3"/>
        <v/>
      </c>
      <c r="R408" s="18" t="str">
        <f t="array" ref="R408">IF(
  B408="",
  ,
  SWITCH(
    Input!$C$4,
    "Actual/365 Fixed",
      YEARFRAC(
        B408 + IF(INDEX(Input!$K$7:$K1503,ROW()-1),0,1),
        C408 + IF(INDEX(Input!$L$7:$L1503,ROW()-1),1,0),
        3
      ),
    "Anniversary/365",
      DATEDIF(
        B408 + IF(INDEX(Input!$K$7:$K1503,ROW()-1),0,1),
        C408 + IF(INDEX(Input!$L$7:$L1503,ROW()-1),1,0),
        "Y"
      )
      +
      (
        (C408 + IF(INDEX(Input!$L$7:$L1503,ROW()-1),1,0))
        -
        EDATE(
          B408 + IF(INDEX(Input!$K$7:$K1503,ROW()-1),0,1),
          12*DATEDIF(
            B408 + IF(INDEX(Input!$K$7:$K1503,ROW()-1),0,1),
            C408 + IF(INDEX(Input!$L$7:$L1503,ROW()-1),1,0),
            "Y"
          )
        )
      ) / 365,
    "Actual/Actual",
      YEARFRAC(
        B408 + IF(INDEX(Input!$K$7:$K1503,ROW()-1),0,1),
        C408 + IF(INDEX(Input!$L$7:$L1503,ROW()-1),1,0),
        1
      ),
      YEARFRAC(
        B408 + IF(INDEX(Input!$K$7:$K1503,ROW()-1),0,1),
        C408 + IF(INDEX(Input!$L$7:$L1503,ROW()-1),1,0),
        3
      )
  )
)</f>
        <v/>
      </c>
      <c r="S408" s="22" t="str">
        <f t="shared" si="4"/>
        <v/>
      </c>
      <c r="T408" s="6" t="str">
        <f t="array" ref="T408">IF(
  B408="",
  ,
  DATEDIF(
    B408 + IF(INDEX(Input!$K$7:$K1503,ROW()-1),0,1),
    C408 + IF(INDEX(Input!$L$7:$L1503,ROW()-1),1,0),
    "Y"
  )
)</f>
        <v/>
      </c>
      <c r="U408" s="6" t="str">
        <f t="array" ref="U408">IF(
  B408="",
  ,
  (C408 + IF(INDEX(Input!$L$7:$L1503,ROW()-1),1,0))
  - EDATE(
      B408 + IF(INDEX(Input!$K$7:$K1503,ROW()-1),0,1),
      12*S408
    )
)</f>
        <v/>
      </c>
      <c r="V408" s="6" t="str">
        <f t="shared" si="5"/>
        <v/>
      </c>
      <c r="W408" s="6" t="str">
        <f t="shared" si="6"/>
        <v/>
      </c>
    </row>
    <row r="409">
      <c r="A409" s="18"/>
      <c r="B409" s="18"/>
      <c r="C409" s="18"/>
      <c r="D409" s="18"/>
      <c r="E409" s="18"/>
      <c r="F409" s="18"/>
      <c r="G409" s="22"/>
      <c r="H409" s="18"/>
      <c r="I409" s="18">
        <v>0.0</v>
      </c>
      <c r="J409" s="18">
        <v>0.0</v>
      </c>
      <c r="K409" s="18"/>
      <c r="L409" s="18"/>
      <c r="M409" s="22" t="str">
        <f t="shared" si="1"/>
        <v/>
      </c>
      <c r="N409" s="18" t="str">
        <f>IF(A409="",,IF(ROW()=2, Input!$C$2 + I409, P408 + I409))</f>
        <v/>
      </c>
      <c r="O409" s="23" t="str">
        <f>IF(A409="",,
 IF(K409="Initial principal",
   Input!$C$2 * M409,
   N409 * M409
 )
)</f>
        <v/>
      </c>
      <c r="P409" s="18" t="str">
        <f t="shared" si="2"/>
        <v/>
      </c>
      <c r="Q409" s="18" t="str">
        <f t="shared" si="3"/>
        <v/>
      </c>
      <c r="R409" s="18" t="str">
        <f t="array" ref="R409">IF(
  B409="",
  ,
  SWITCH(
    Input!$C$4,
    "Actual/365 Fixed",
      YEARFRAC(
        B409 + IF(INDEX(Input!$K$7:$K1503,ROW()-1),0,1),
        C409 + IF(INDEX(Input!$L$7:$L1503,ROW()-1),1,0),
        3
      ),
    "Anniversary/365",
      DATEDIF(
        B409 + IF(INDEX(Input!$K$7:$K1503,ROW()-1),0,1),
        C409 + IF(INDEX(Input!$L$7:$L1503,ROW()-1),1,0),
        "Y"
      )
      +
      (
        (C409 + IF(INDEX(Input!$L$7:$L1503,ROW()-1),1,0))
        -
        EDATE(
          B409 + IF(INDEX(Input!$K$7:$K1503,ROW()-1),0,1),
          12*DATEDIF(
            B409 + IF(INDEX(Input!$K$7:$K1503,ROW()-1),0,1),
            C409 + IF(INDEX(Input!$L$7:$L1503,ROW()-1),1,0),
            "Y"
          )
        )
      ) / 365,
    "Actual/Actual",
      YEARFRAC(
        B409 + IF(INDEX(Input!$K$7:$K1503,ROW()-1),0,1),
        C409 + IF(INDEX(Input!$L$7:$L1503,ROW()-1),1,0),
        1
      ),
      YEARFRAC(
        B409 + IF(INDEX(Input!$K$7:$K1503,ROW()-1),0,1),
        C409 + IF(INDEX(Input!$L$7:$L1503,ROW()-1),1,0),
        3
      )
  )
)</f>
        <v/>
      </c>
      <c r="S409" s="22" t="str">
        <f t="shared" si="4"/>
        <v/>
      </c>
      <c r="T409" s="6" t="str">
        <f t="array" ref="T409">IF(
  B409="",
  ,
  DATEDIF(
    B409 + IF(INDEX(Input!$K$7:$K1503,ROW()-1),0,1),
    C409 + IF(INDEX(Input!$L$7:$L1503,ROW()-1),1,0),
    "Y"
  )
)</f>
        <v/>
      </c>
      <c r="U409" s="6" t="str">
        <f t="array" ref="U409">IF(
  B409="",
  ,
  (C409 + IF(INDEX(Input!$L$7:$L1503,ROW()-1),1,0))
  - EDATE(
      B409 + IF(INDEX(Input!$K$7:$K1503,ROW()-1),0,1),
      12*S409
    )
)</f>
        <v/>
      </c>
      <c r="V409" s="6" t="str">
        <f t="shared" si="5"/>
        <v/>
      </c>
      <c r="W409" s="6" t="str">
        <f t="shared" si="6"/>
        <v/>
      </c>
    </row>
    <row r="410">
      <c r="A410" s="18"/>
      <c r="B410" s="18"/>
      <c r="C410" s="18"/>
      <c r="D410" s="18"/>
      <c r="E410" s="18"/>
      <c r="F410" s="18"/>
      <c r="G410" s="22"/>
      <c r="H410" s="18"/>
      <c r="I410" s="18">
        <v>0.0</v>
      </c>
      <c r="J410" s="18">
        <v>0.0</v>
      </c>
      <c r="K410" s="18"/>
      <c r="L410" s="18"/>
      <c r="M410" s="22" t="str">
        <f t="shared" si="1"/>
        <v/>
      </c>
      <c r="N410" s="18" t="str">
        <f>IF(A410="",,IF(ROW()=2, Input!$C$2 + I410, P409 + I410))</f>
        <v/>
      </c>
      <c r="O410" s="23" t="str">
        <f>IF(A410="",,
 IF(K410="Initial principal",
   Input!$C$2 * M410,
   N410 * M410
 )
)</f>
        <v/>
      </c>
      <c r="P410" s="18" t="str">
        <f t="shared" si="2"/>
        <v/>
      </c>
      <c r="Q410" s="18" t="str">
        <f t="shared" si="3"/>
        <v/>
      </c>
      <c r="R410" s="18" t="str">
        <f t="array" ref="R410">IF(
  B410="",
  ,
  SWITCH(
    Input!$C$4,
    "Actual/365 Fixed",
      YEARFRAC(
        B410 + IF(INDEX(Input!$K$7:$K1503,ROW()-1),0,1),
        C410 + IF(INDEX(Input!$L$7:$L1503,ROW()-1),1,0),
        3
      ),
    "Anniversary/365",
      DATEDIF(
        B410 + IF(INDEX(Input!$K$7:$K1503,ROW()-1),0,1),
        C410 + IF(INDEX(Input!$L$7:$L1503,ROW()-1),1,0),
        "Y"
      )
      +
      (
        (C410 + IF(INDEX(Input!$L$7:$L1503,ROW()-1),1,0))
        -
        EDATE(
          B410 + IF(INDEX(Input!$K$7:$K1503,ROW()-1),0,1),
          12*DATEDIF(
            B410 + IF(INDEX(Input!$K$7:$K1503,ROW()-1),0,1),
            C410 + IF(INDEX(Input!$L$7:$L1503,ROW()-1),1,0),
            "Y"
          )
        )
      ) / 365,
    "Actual/Actual",
      YEARFRAC(
        B410 + IF(INDEX(Input!$K$7:$K1503,ROW()-1),0,1),
        C410 + IF(INDEX(Input!$L$7:$L1503,ROW()-1),1,0),
        1
      ),
      YEARFRAC(
        B410 + IF(INDEX(Input!$K$7:$K1503,ROW()-1),0,1),
        C410 + IF(INDEX(Input!$L$7:$L1503,ROW()-1),1,0),
        3
      )
  )
)</f>
        <v/>
      </c>
      <c r="S410" s="22" t="str">
        <f t="shared" si="4"/>
        <v/>
      </c>
      <c r="T410" s="6" t="str">
        <f t="array" ref="T410">IF(
  B410="",
  ,
  DATEDIF(
    B410 + IF(INDEX(Input!$K$7:$K1503,ROW()-1),0,1),
    C410 + IF(INDEX(Input!$L$7:$L1503,ROW()-1),1,0),
    "Y"
  )
)</f>
        <v/>
      </c>
      <c r="U410" s="6" t="str">
        <f t="array" ref="U410">IF(
  B410="",
  ,
  (C410 + IF(INDEX(Input!$L$7:$L1503,ROW()-1),1,0))
  - EDATE(
      B410 + IF(INDEX(Input!$K$7:$K1503,ROW()-1),0,1),
      12*S410
    )
)</f>
        <v/>
      </c>
      <c r="V410" s="6" t="str">
        <f t="shared" si="5"/>
        <v/>
      </c>
      <c r="W410" s="6" t="str">
        <f t="shared" si="6"/>
        <v/>
      </c>
    </row>
    <row r="411">
      <c r="A411" s="18"/>
      <c r="B411" s="18"/>
      <c r="C411" s="18"/>
      <c r="D411" s="18"/>
      <c r="E411" s="18"/>
      <c r="F411" s="18"/>
      <c r="G411" s="22"/>
      <c r="H411" s="18"/>
      <c r="I411" s="18">
        <v>0.0</v>
      </c>
      <c r="J411" s="18">
        <v>0.0</v>
      </c>
      <c r="K411" s="18"/>
      <c r="L411" s="18"/>
      <c r="M411" s="22" t="str">
        <f t="shared" si="1"/>
        <v/>
      </c>
      <c r="N411" s="18" t="str">
        <f>IF(A411="",,IF(ROW()=2, Input!$C$2 + I411, P410 + I411))</f>
        <v/>
      </c>
      <c r="O411" s="23" t="str">
        <f>IF(A411="",,
 IF(K411="Initial principal",
   Input!$C$2 * M411,
   N411 * M411
 )
)</f>
        <v/>
      </c>
      <c r="P411" s="18" t="str">
        <f t="shared" si="2"/>
        <v/>
      </c>
      <c r="Q411" s="18" t="str">
        <f t="shared" si="3"/>
        <v/>
      </c>
      <c r="R411" s="18" t="str">
        <f t="array" ref="R411">IF(
  B411="",
  ,
  SWITCH(
    Input!$C$4,
    "Actual/365 Fixed",
      YEARFRAC(
        B411 + IF(INDEX(Input!$K$7:$K1503,ROW()-1),0,1),
        C411 + IF(INDEX(Input!$L$7:$L1503,ROW()-1),1,0),
        3
      ),
    "Anniversary/365",
      DATEDIF(
        B411 + IF(INDEX(Input!$K$7:$K1503,ROW()-1),0,1),
        C411 + IF(INDEX(Input!$L$7:$L1503,ROW()-1),1,0),
        "Y"
      )
      +
      (
        (C411 + IF(INDEX(Input!$L$7:$L1503,ROW()-1),1,0))
        -
        EDATE(
          B411 + IF(INDEX(Input!$K$7:$K1503,ROW()-1),0,1),
          12*DATEDIF(
            B411 + IF(INDEX(Input!$K$7:$K1503,ROW()-1),0,1),
            C411 + IF(INDEX(Input!$L$7:$L1503,ROW()-1),1,0),
            "Y"
          )
        )
      ) / 365,
    "Actual/Actual",
      YEARFRAC(
        B411 + IF(INDEX(Input!$K$7:$K1503,ROW()-1),0,1),
        C411 + IF(INDEX(Input!$L$7:$L1503,ROW()-1),1,0),
        1
      ),
      YEARFRAC(
        B411 + IF(INDEX(Input!$K$7:$K1503,ROW()-1),0,1),
        C411 + IF(INDEX(Input!$L$7:$L1503,ROW()-1),1,0),
        3
      )
  )
)</f>
        <v/>
      </c>
      <c r="S411" s="22" t="str">
        <f t="shared" si="4"/>
        <v/>
      </c>
      <c r="T411" s="6" t="str">
        <f t="array" ref="T411">IF(
  B411="",
  ,
  DATEDIF(
    B411 + IF(INDEX(Input!$K$7:$K1503,ROW()-1),0,1),
    C411 + IF(INDEX(Input!$L$7:$L1503,ROW()-1),1,0),
    "Y"
  )
)</f>
        <v/>
      </c>
      <c r="U411" s="6" t="str">
        <f t="array" ref="U411">IF(
  B411="",
  ,
  (C411 + IF(INDEX(Input!$L$7:$L1503,ROW()-1),1,0))
  - EDATE(
      B411 + IF(INDEX(Input!$K$7:$K1503,ROW()-1),0,1),
      12*S411
    )
)</f>
        <v/>
      </c>
      <c r="V411" s="6" t="str">
        <f t="shared" si="5"/>
        <v/>
      </c>
      <c r="W411" s="6" t="str">
        <f t="shared" si="6"/>
        <v/>
      </c>
    </row>
    <row r="412">
      <c r="A412" s="18"/>
      <c r="B412" s="18"/>
      <c r="C412" s="18"/>
      <c r="D412" s="18"/>
      <c r="E412" s="18"/>
      <c r="F412" s="18"/>
      <c r="G412" s="22"/>
      <c r="H412" s="18"/>
      <c r="I412" s="18">
        <v>0.0</v>
      </c>
      <c r="J412" s="18">
        <v>0.0</v>
      </c>
      <c r="K412" s="18"/>
      <c r="L412" s="18"/>
      <c r="M412" s="22" t="str">
        <f t="shared" si="1"/>
        <v/>
      </c>
      <c r="N412" s="18" t="str">
        <f>IF(A412="",,IF(ROW()=2, Input!$C$2 + I412, P411 + I412))</f>
        <v/>
      </c>
      <c r="O412" s="23" t="str">
        <f>IF(A412="",,
 IF(K412="Initial principal",
   Input!$C$2 * M412,
   N412 * M412
 )
)</f>
        <v/>
      </c>
      <c r="P412" s="18" t="str">
        <f t="shared" si="2"/>
        <v/>
      </c>
      <c r="Q412" s="18" t="str">
        <f t="shared" si="3"/>
        <v/>
      </c>
      <c r="R412" s="18" t="str">
        <f t="array" ref="R412">IF(
  B412="",
  ,
  SWITCH(
    Input!$C$4,
    "Actual/365 Fixed",
      YEARFRAC(
        B412 + IF(INDEX(Input!$K$7:$K1503,ROW()-1),0,1),
        C412 + IF(INDEX(Input!$L$7:$L1503,ROW()-1),1,0),
        3
      ),
    "Anniversary/365",
      DATEDIF(
        B412 + IF(INDEX(Input!$K$7:$K1503,ROW()-1),0,1),
        C412 + IF(INDEX(Input!$L$7:$L1503,ROW()-1),1,0),
        "Y"
      )
      +
      (
        (C412 + IF(INDEX(Input!$L$7:$L1503,ROW()-1),1,0))
        -
        EDATE(
          B412 + IF(INDEX(Input!$K$7:$K1503,ROW()-1),0,1),
          12*DATEDIF(
            B412 + IF(INDEX(Input!$K$7:$K1503,ROW()-1),0,1),
            C412 + IF(INDEX(Input!$L$7:$L1503,ROW()-1),1,0),
            "Y"
          )
        )
      ) / 365,
    "Actual/Actual",
      YEARFRAC(
        B412 + IF(INDEX(Input!$K$7:$K1503,ROW()-1),0,1),
        C412 + IF(INDEX(Input!$L$7:$L1503,ROW()-1),1,0),
        1
      ),
      YEARFRAC(
        B412 + IF(INDEX(Input!$K$7:$K1503,ROW()-1),0,1),
        C412 + IF(INDEX(Input!$L$7:$L1503,ROW()-1),1,0),
        3
      )
  )
)</f>
        <v/>
      </c>
      <c r="S412" s="22" t="str">
        <f t="shared" si="4"/>
        <v/>
      </c>
      <c r="T412" s="6" t="str">
        <f t="array" ref="T412">IF(
  B412="",
  ,
  DATEDIF(
    B412 + IF(INDEX(Input!$K$7:$K1503,ROW()-1),0,1),
    C412 + IF(INDEX(Input!$L$7:$L1503,ROW()-1),1,0),
    "Y"
  )
)</f>
        <v/>
      </c>
      <c r="U412" s="6" t="str">
        <f t="array" ref="U412">IF(
  B412="",
  ,
  (C412 + IF(INDEX(Input!$L$7:$L1503,ROW()-1),1,0))
  - EDATE(
      B412 + IF(INDEX(Input!$K$7:$K1503,ROW()-1),0,1),
      12*S412
    )
)</f>
        <v/>
      </c>
      <c r="V412" s="6" t="str">
        <f t="shared" si="5"/>
        <v/>
      </c>
      <c r="W412" s="6" t="str">
        <f t="shared" si="6"/>
        <v/>
      </c>
    </row>
    <row r="413">
      <c r="A413" s="18"/>
      <c r="B413" s="18"/>
      <c r="C413" s="18"/>
      <c r="D413" s="18"/>
      <c r="E413" s="18"/>
      <c r="F413" s="18"/>
      <c r="G413" s="22"/>
      <c r="H413" s="18"/>
      <c r="I413" s="18">
        <v>0.0</v>
      </c>
      <c r="J413" s="18">
        <v>0.0</v>
      </c>
      <c r="K413" s="18"/>
      <c r="L413" s="18"/>
      <c r="M413" s="22" t="str">
        <f t="shared" si="1"/>
        <v/>
      </c>
      <c r="N413" s="18" t="str">
        <f>IF(A413="",,IF(ROW()=2, Input!$C$2 + I413, P412 + I413))</f>
        <v/>
      </c>
      <c r="O413" s="23" t="str">
        <f>IF(A413="",,
 IF(K413="Initial principal",
   Input!$C$2 * M413,
   N413 * M413
 )
)</f>
        <v/>
      </c>
      <c r="P413" s="18" t="str">
        <f t="shared" si="2"/>
        <v/>
      </c>
      <c r="Q413" s="18" t="str">
        <f t="shared" si="3"/>
        <v/>
      </c>
      <c r="R413" s="18" t="str">
        <f t="array" ref="R413">IF(
  B413="",
  ,
  SWITCH(
    Input!$C$4,
    "Actual/365 Fixed",
      YEARFRAC(
        B413 + IF(INDEX(Input!$K$7:$K1503,ROW()-1),0,1),
        C413 + IF(INDEX(Input!$L$7:$L1503,ROW()-1),1,0),
        3
      ),
    "Anniversary/365",
      DATEDIF(
        B413 + IF(INDEX(Input!$K$7:$K1503,ROW()-1),0,1),
        C413 + IF(INDEX(Input!$L$7:$L1503,ROW()-1),1,0),
        "Y"
      )
      +
      (
        (C413 + IF(INDEX(Input!$L$7:$L1503,ROW()-1),1,0))
        -
        EDATE(
          B413 + IF(INDEX(Input!$K$7:$K1503,ROW()-1),0,1),
          12*DATEDIF(
            B413 + IF(INDEX(Input!$K$7:$K1503,ROW()-1),0,1),
            C413 + IF(INDEX(Input!$L$7:$L1503,ROW()-1),1,0),
            "Y"
          )
        )
      ) / 365,
    "Actual/Actual",
      YEARFRAC(
        B413 + IF(INDEX(Input!$K$7:$K1503,ROW()-1),0,1),
        C413 + IF(INDEX(Input!$L$7:$L1503,ROW()-1),1,0),
        1
      ),
      YEARFRAC(
        B413 + IF(INDEX(Input!$K$7:$K1503,ROW()-1),0,1),
        C413 + IF(INDEX(Input!$L$7:$L1503,ROW()-1),1,0),
        3
      )
  )
)</f>
        <v/>
      </c>
      <c r="S413" s="22" t="str">
        <f t="shared" si="4"/>
        <v/>
      </c>
      <c r="T413" s="6" t="str">
        <f t="array" ref="T413">IF(
  B413="",
  ,
  DATEDIF(
    B413 + IF(INDEX(Input!$K$7:$K1503,ROW()-1),0,1),
    C413 + IF(INDEX(Input!$L$7:$L1503,ROW()-1),1,0),
    "Y"
  )
)</f>
        <v/>
      </c>
      <c r="U413" s="6" t="str">
        <f t="array" ref="U413">IF(
  B413="",
  ,
  (C413 + IF(INDEX(Input!$L$7:$L1503,ROW()-1),1,0))
  - EDATE(
      B413 + IF(INDEX(Input!$K$7:$K1503,ROW()-1),0,1),
      12*S413
    )
)</f>
        <v/>
      </c>
      <c r="V413" s="6" t="str">
        <f t="shared" si="5"/>
        <v/>
      </c>
      <c r="W413" s="6" t="str">
        <f t="shared" si="6"/>
        <v/>
      </c>
    </row>
    <row r="414">
      <c r="A414" s="18"/>
      <c r="B414" s="18"/>
      <c r="C414" s="18"/>
      <c r="D414" s="18"/>
      <c r="E414" s="18"/>
      <c r="F414" s="18"/>
      <c r="G414" s="22"/>
      <c r="H414" s="18"/>
      <c r="I414" s="18">
        <v>0.0</v>
      </c>
      <c r="J414" s="18">
        <v>0.0</v>
      </c>
      <c r="K414" s="18"/>
      <c r="L414" s="18"/>
      <c r="M414" s="22" t="str">
        <f t="shared" si="1"/>
        <v/>
      </c>
      <c r="N414" s="18" t="str">
        <f>IF(A414="",,IF(ROW()=2, Input!$C$2 + I414, P413 + I414))</f>
        <v/>
      </c>
      <c r="O414" s="23" t="str">
        <f>IF(A414="",,
 IF(K414="Initial principal",
   Input!$C$2 * M414,
   N414 * M414
 )
)</f>
        <v/>
      </c>
      <c r="P414" s="18" t="str">
        <f t="shared" si="2"/>
        <v/>
      </c>
      <c r="Q414" s="18" t="str">
        <f t="shared" si="3"/>
        <v/>
      </c>
      <c r="R414" s="18" t="str">
        <f t="array" ref="R414">IF(
  B414="",
  ,
  SWITCH(
    Input!$C$4,
    "Actual/365 Fixed",
      YEARFRAC(
        B414 + IF(INDEX(Input!$K$7:$K1503,ROW()-1),0,1),
        C414 + IF(INDEX(Input!$L$7:$L1503,ROW()-1),1,0),
        3
      ),
    "Anniversary/365",
      DATEDIF(
        B414 + IF(INDEX(Input!$K$7:$K1503,ROW()-1),0,1),
        C414 + IF(INDEX(Input!$L$7:$L1503,ROW()-1),1,0),
        "Y"
      )
      +
      (
        (C414 + IF(INDEX(Input!$L$7:$L1503,ROW()-1),1,0))
        -
        EDATE(
          B414 + IF(INDEX(Input!$K$7:$K1503,ROW()-1),0,1),
          12*DATEDIF(
            B414 + IF(INDEX(Input!$K$7:$K1503,ROW()-1),0,1),
            C414 + IF(INDEX(Input!$L$7:$L1503,ROW()-1),1,0),
            "Y"
          )
        )
      ) / 365,
    "Actual/Actual",
      YEARFRAC(
        B414 + IF(INDEX(Input!$K$7:$K1503,ROW()-1),0,1),
        C414 + IF(INDEX(Input!$L$7:$L1503,ROW()-1),1,0),
        1
      ),
      YEARFRAC(
        B414 + IF(INDEX(Input!$K$7:$K1503,ROW()-1),0,1),
        C414 + IF(INDEX(Input!$L$7:$L1503,ROW()-1),1,0),
        3
      )
  )
)</f>
        <v/>
      </c>
      <c r="S414" s="22" t="str">
        <f t="shared" si="4"/>
        <v/>
      </c>
      <c r="T414" s="6" t="str">
        <f t="array" ref="T414">IF(
  B414="",
  ,
  DATEDIF(
    B414 + IF(INDEX(Input!$K$7:$K1503,ROW()-1),0,1),
    C414 + IF(INDEX(Input!$L$7:$L1503,ROW()-1),1,0),
    "Y"
  )
)</f>
        <v/>
      </c>
      <c r="U414" s="6" t="str">
        <f t="array" ref="U414">IF(
  B414="",
  ,
  (C414 + IF(INDEX(Input!$L$7:$L1503,ROW()-1),1,0))
  - EDATE(
      B414 + IF(INDEX(Input!$K$7:$K1503,ROW()-1),0,1),
      12*S414
    )
)</f>
        <v/>
      </c>
      <c r="V414" s="6" t="str">
        <f t="shared" si="5"/>
        <v/>
      </c>
      <c r="W414" s="6" t="str">
        <f t="shared" si="6"/>
        <v/>
      </c>
    </row>
    <row r="415">
      <c r="A415" s="18"/>
      <c r="B415" s="18"/>
      <c r="C415" s="18"/>
      <c r="D415" s="18"/>
      <c r="E415" s="18"/>
      <c r="F415" s="18"/>
      <c r="G415" s="22"/>
      <c r="H415" s="18"/>
      <c r="I415" s="18">
        <v>0.0</v>
      </c>
      <c r="J415" s="18">
        <v>0.0</v>
      </c>
      <c r="K415" s="18"/>
      <c r="L415" s="18"/>
      <c r="M415" s="22" t="str">
        <f t="shared" si="1"/>
        <v/>
      </c>
      <c r="N415" s="18" t="str">
        <f>IF(A415="",,IF(ROW()=2, Input!$C$2 + I415, P414 + I415))</f>
        <v/>
      </c>
      <c r="O415" s="23" t="str">
        <f>IF(A415="",,
 IF(K415="Initial principal",
   Input!$C$2 * M415,
   N415 * M415
 )
)</f>
        <v/>
      </c>
      <c r="P415" s="18" t="str">
        <f t="shared" si="2"/>
        <v/>
      </c>
      <c r="Q415" s="18" t="str">
        <f t="shared" si="3"/>
        <v/>
      </c>
      <c r="R415" s="18" t="str">
        <f t="array" ref="R415">IF(
  B415="",
  ,
  SWITCH(
    Input!$C$4,
    "Actual/365 Fixed",
      YEARFRAC(
        B415 + IF(INDEX(Input!$K$7:$K1503,ROW()-1),0,1),
        C415 + IF(INDEX(Input!$L$7:$L1503,ROW()-1),1,0),
        3
      ),
    "Anniversary/365",
      DATEDIF(
        B415 + IF(INDEX(Input!$K$7:$K1503,ROW()-1),0,1),
        C415 + IF(INDEX(Input!$L$7:$L1503,ROW()-1),1,0),
        "Y"
      )
      +
      (
        (C415 + IF(INDEX(Input!$L$7:$L1503,ROW()-1),1,0))
        -
        EDATE(
          B415 + IF(INDEX(Input!$K$7:$K1503,ROW()-1),0,1),
          12*DATEDIF(
            B415 + IF(INDEX(Input!$K$7:$K1503,ROW()-1),0,1),
            C415 + IF(INDEX(Input!$L$7:$L1503,ROW()-1),1,0),
            "Y"
          )
        )
      ) / 365,
    "Actual/Actual",
      YEARFRAC(
        B415 + IF(INDEX(Input!$K$7:$K1503,ROW()-1),0,1),
        C415 + IF(INDEX(Input!$L$7:$L1503,ROW()-1),1,0),
        1
      ),
      YEARFRAC(
        B415 + IF(INDEX(Input!$K$7:$K1503,ROW()-1),0,1),
        C415 + IF(INDEX(Input!$L$7:$L1503,ROW()-1),1,0),
        3
      )
  )
)</f>
        <v/>
      </c>
      <c r="S415" s="22" t="str">
        <f t="shared" si="4"/>
        <v/>
      </c>
      <c r="T415" s="6" t="str">
        <f t="array" ref="T415">IF(
  B415="",
  ,
  DATEDIF(
    B415 + IF(INDEX(Input!$K$7:$K1503,ROW()-1),0,1),
    C415 + IF(INDEX(Input!$L$7:$L1503,ROW()-1),1,0),
    "Y"
  )
)</f>
        <v/>
      </c>
      <c r="U415" s="6" t="str">
        <f t="array" ref="U415">IF(
  B415="",
  ,
  (C415 + IF(INDEX(Input!$L$7:$L1503,ROW()-1),1,0))
  - EDATE(
      B415 + IF(INDEX(Input!$K$7:$K1503,ROW()-1),0,1),
      12*S415
    )
)</f>
        <v/>
      </c>
      <c r="V415" s="6" t="str">
        <f t="shared" si="5"/>
        <v/>
      </c>
      <c r="W415" s="6" t="str">
        <f t="shared" si="6"/>
        <v/>
      </c>
    </row>
    <row r="416">
      <c r="A416" s="18"/>
      <c r="B416" s="18"/>
      <c r="C416" s="18"/>
      <c r="D416" s="18"/>
      <c r="E416" s="18"/>
      <c r="F416" s="18"/>
      <c r="G416" s="22"/>
      <c r="H416" s="18"/>
      <c r="I416" s="18">
        <v>0.0</v>
      </c>
      <c r="J416" s="18">
        <v>0.0</v>
      </c>
      <c r="K416" s="18"/>
      <c r="L416" s="18"/>
      <c r="M416" s="22" t="str">
        <f t="shared" si="1"/>
        <v/>
      </c>
      <c r="N416" s="18" t="str">
        <f>IF(A416="",,IF(ROW()=2, Input!$C$2 + I416, P415 + I416))</f>
        <v/>
      </c>
      <c r="O416" s="23" t="str">
        <f>IF(A416="",,
 IF(K416="Initial principal",
   Input!$C$2 * M416,
   N416 * M416
 )
)</f>
        <v/>
      </c>
      <c r="P416" s="18" t="str">
        <f t="shared" si="2"/>
        <v/>
      </c>
      <c r="Q416" s="18" t="str">
        <f t="shared" si="3"/>
        <v/>
      </c>
      <c r="R416" s="18" t="str">
        <f t="array" ref="R416">IF(
  B416="",
  ,
  SWITCH(
    Input!$C$4,
    "Actual/365 Fixed",
      YEARFRAC(
        B416 + IF(INDEX(Input!$K$7:$K1503,ROW()-1),0,1),
        C416 + IF(INDEX(Input!$L$7:$L1503,ROW()-1),1,0),
        3
      ),
    "Anniversary/365",
      DATEDIF(
        B416 + IF(INDEX(Input!$K$7:$K1503,ROW()-1),0,1),
        C416 + IF(INDEX(Input!$L$7:$L1503,ROW()-1),1,0),
        "Y"
      )
      +
      (
        (C416 + IF(INDEX(Input!$L$7:$L1503,ROW()-1),1,0))
        -
        EDATE(
          B416 + IF(INDEX(Input!$K$7:$K1503,ROW()-1),0,1),
          12*DATEDIF(
            B416 + IF(INDEX(Input!$K$7:$K1503,ROW()-1),0,1),
            C416 + IF(INDEX(Input!$L$7:$L1503,ROW()-1),1,0),
            "Y"
          )
        )
      ) / 365,
    "Actual/Actual",
      YEARFRAC(
        B416 + IF(INDEX(Input!$K$7:$K1503,ROW()-1),0,1),
        C416 + IF(INDEX(Input!$L$7:$L1503,ROW()-1),1,0),
        1
      ),
      YEARFRAC(
        B416 + IF(INDEX(Input!$K$7:$K1503,ROW()-1),0,1),
        C416 + IF(INDEX(Input!$L$7:$L1503,ROW()-1),1,0),
        3
      )
  )
)</f>
        <v/>
      </c>
      <c r="S416" s="22" t="str">
        <f t="shared" si="4"/>
        <v/>
      </c>
      <c r="T416" s="6" t="str">
        <f t="array" ref="T416">IF(
  B416="",
  ,
  DATEDIF(
    B416 + IF(INDEX(Input!$K$7:$K1503,ROW()-1),0,1),
    C416 + IF(INDEX(Input!$L$7:$L1503,ROW()-1),1,0),
    "Y"
  )
)</f>
        <v/>
      </c>
      <c r="U416" s="6" t="str">
        <f t="array" ref="U416">IF(
  B416="",
  ,
  (C416 + IF(INDEX(Input!$L$7:$L1503,ROW()-1),1,0))
  - EDATE(
      B416 + IF(INDEX(Input!$K$7:$K1503,ROW()-1),0,1),
      12*S416
    )
)</f>
        <v/>
      </c>
      <c r="V416" s="6" t="str">
        <f t="shared" si="5"/>
        <v/>
      </c>
      <c r="W416" s="6" t="str">
        <f t="shared" si="6"/>
        <v/>
      </c>
    </row>
    <row r="417">
      <c r="A417" s="18"/>
      <c r="B417" s="18"/>
      <c r="C417" s="18"/>
      <c r="D417" s="18"/>
      <c r="E417" s="18"/>
      <c r="F417" s="18"/>
      <c r="G417" s="22"/>
      <c r="H417" s="18"/>
      <c r="I417" s="18">
        <v>0.0</v>
      </c>
      <c r="J417" s="18">
        <v>0.0</v>
      </c>
      <c r="K417" s="18"/>
      <c r="L417" s="18"/>
      <c r="M417" s="22" t="str">
        <f t="shared" si="1"/>
        <v/>
      </c>
      <c r="N417" s="18" t="str">
        <f>IF(A417="",,IF(ROW()=2, Input!$C$2 + I417, P416 + I417))</f>
        <v/>
      </c>
      <c r="O417" s="23" t="str">
        <f>IF(A417="",,
 IF(K417="Initial principal",
   Input!$C$2 * M417,
   N417 * M417
 )
)</f>
        <v/>
      </c>
      <c r="P417" s="18" t="str">
        <f t="shared" si="2"/>
        <v/>
      </c>
      <c r="Q417" s="18" t="str">
        <f t="shared" si="3"/>
        <v/>
      </c>
      <c r="R417" s="18" t="str">
        <f t="array" ref="R417">IF(
  B417="",
  ,
  SWITCH(
    Input!$C$4,
    "Actual/365 Fixed",
      YEARFRAC(
        B417 + IF(INDEX(Input!$K$7:$K1503,ROW()-1),0,1),
        C417 + IF(INDEX(Input!$L$7:$L1503,ROW()-1),1,0),
        3
      ),
    "Anniversary/365",
      DATEDIF(
        B417 + IF(INDEX(Input!$K$7:$K1503,ROW()-1),0,1),
        C417 + IF(INDEX(Input!$L$7:$L1503,ROW()-1),1,0),
        "Y"
      )
      +
      (
        (C417 + IF(INDEX(Input!$L$7:$L1503,ROW()-1),1,0))
        -
        EDATE(
          B417 + IF(INDEX(Input!$K$7:$K1503,ROW()-1),0,1),
          12*DATEDIF(
            B417 + IF(INDEX(Input!$K$7:$K1503,ROW()-1),0,1),
            C417 + IF(INDEX(Input!$L$7:$L1503,ROW()-1),1,0),
            "Y"
          )
        )
      ) / 365,
    "Actual/Actual",
      YEARFRAC(
        B417 + IF(INDEX(Input!$K$7:$K1503,ROW()-1),0,1),
        C417 + IF(INDEX(Input!$L$7:$L1503,ROW()-1),1,0),
        1
      ),
      YEARFRAC(
        B417 + IF(INDEX(Input!$K$7:$K1503,ROW()-1),0,1),
        C417 + IF(INDEX(Input!$L$7:$L1503,ROW()-1),1,0),
        3
      )
  )
)</f>
        <v/>
      </c>
      <c r="S417" s="22" t="str">
        <f t="shared" si="4"/>
        <v/>
      </c>
      <c r="T417" s="6" t="str">
        <f t="array" ref="T417">IF(
  B417="",
  ,
  DATEDIF(
    B417 + IF(INDEX(Input!$K$7:$K1503,ROW()-1),0,1),
    C417 + IF(INDEX(Input!$L$7:$L1503,ROW()-1),1,0),
    "Y"
  )
)</f>
        <v/>
      </c>
      <c r="U417" s="6" t="str">
        <f t="array" ref="U417">IF(
  B417="",
  ,
  (C417 + IF(INDEX(Input!$L$7:$L1503,ROW()-1),1,0))
  - EDATE(
      B417 + IF(INDEX(Input!$K$7:$K1503,ROW()-1),0,1),
      12*S417
    )
)</f>
        <v/>
      </c>
      <c r="V417" s="6" t="str">
        <f t="shared" si="5"/>
        <v/>
      </c>
      <c r="W417" s="6" t="str">
        <f t="shared" si="6"/>
        <v/>
      </c>
    </row>
    <row r="418">
      <c r="A418" s="18"/>
      <c r="B418" s="18"/>
      <c r="C418" s="18"/>
      <c r="D418" s="18"/>
      <c r="E418" s="18"/>
      <c r="F418" s="18"/>
      <c r="G418" s="22"/>
      <c r="H418" s="18"/>
      <c r="I418" s="18">
        <v>0.0</v>
      </c>
      <c r="J418" s="18">
        <v>0.0</v>
      </c>
      <c r="K418" s="18"/>
      <c r="L418" s="18"/>
      <c r="M418" s="22" t="str">
        <f t="shared" si="1"/>
        <v/>
      </c>
      <c r="N418" s="18" t="str">
        <f>IF(A418="",,IF(ROW()=2, Input!$C$2 + I418, P417 + I418))</f>
        <v/>
      </c>
      <c r="O418" s="23" t="str">
        <f>IF(A418="",,
 IF(K418="Initial principal",
   Input!$C$2 * M418,
   N418 * M418
 )
)</f>
        <v/>
      </c>
      <c r="P418" s="18" t="str">
        <f t="shared" si="2"/>
        <v/>
      </c>
      <c r="Q418" s="18" t="str">
        <f t="shared" si="3"/>
        <v/>
      </c>
      <c r="R418" s="18" t="str">
        <f t="array" ref="R418">IF(
  B418="",
  ,
  SWITCH(
    Input!$C$4,
    "Actual/365 Fixed",
      YEARFRAC(
        B418 + IF(INDEX(Input!$K$7:$K1503,ROW()-1),0,1),
        C418 + IF(INDEX(Input!$L$7:$L1503,ROW()-1),1,0),
        3
      ),
    "Anniversary/365",
      DATEDIF(
        B418 + IF(INDEX(Input!$K$7:$K1503,ROW()-1),0,1),
        C418 + IF(INDEX(Input!$L$7:$L1503,ROW()-1),1,0),
        "Y"
      )
      +
      (
        (C418 + IF(INDEX(Input!$L$7:$L1503,ROW()-1),1,0))
        -
        EDATE(
          B418 + IF(INDEX(Input!$K$7:$K1503,ROW()-1),0,1),
          12*DATEDIF(
            B418 + IF(INDEX(Input!$K$7:$K1503,ROW()-1),0,1),
            C418 + IF(INDEX(Input!$L$7:$L1503,ROW()-1),1,0),
            "Y"
          )
        )
      ) / 365,
    "Actual/Actual",
      YEARFRAC(
        B418 + IF(INDEX(Input!$K$7:$K1503,ROW()-1),0,1),
        C418 + IF(INDEX(Input!$L$7:$L1503,ROW()-1),1,0),
        1
      ),
      YEARFRAC(
        B418 + IF(INDEX(Input!$K$7:$K1503,ROW()-1),0,1),
        C418 + IF(INDEX(Input!$L$7:$L1503,ROW()-1),1,0),
        3
      )
  )
)</f>
        <v/>
      </c>
      <c r="S418" s="22" t="str">
        <f t="shared" si="4"/>
        <v/>
      </c>
      <c r="T418" s="6" t="str">
        <f t="array" ref="T418">IF(
  B418="",
  ,
  DATEDIF(
    B418 + IF(INDEX(Input!$K$7:$K1503,ROW()-1),0,1),
    C418 + IF(INDEX(Input!$L$7:$L1503,ROW()-1),1,0),
    "Y"
  )
)</f>
        <v/>
      </c>
      <c r="U418" s="6" t="str">
        <f t="array" ref="U418">IF(
  B418="",
  ,
  (C418 + IF(INDEX(Input!$L$7:$L1503,ROW()-1),1,0))
  - EDATE(
      B418 + IF(INDEX(Input!$K$7:$K1503,ROW()-1),0,1),
      12*S418
    )
)</f>
        <v/>
      </c>
      <c r="V418" s="6" t="str">
        <f t="shared" si="5"/>
        <v/>
      </c>
      <c r="W418" s="6" t="str">
        <f t="shared" si="6"/>
        <v/>
      </c>
    </row>
    <row r="419">
      <c r="A419" s="18"/>
      <c r="B419" s="18"/>
      <c r="C419" s="18"/>
      <c r="D419" s="18"/>
      <c r="E419" s="18"/>
      <c r="F419" s="18"/>
      <c r="G419" s="22"/>
      <c r="H419" s="18"/>
      <c r="I419" s="18">
        <v>0.0</v>
      </c>
      <c r="J419" s="18">
        <v>0.0</v>
      </c>
      <c r="K419" s="18"/>
      <c r="L419" s="18"/>
      <c r="M419" s="22" t="str">
        <f t="shared" si="1"/>
        <v/>
      </c>
      <c r="N419" s="18" t="str">
        <f>IF(A419="",,IF(ROW()=2, Input!$C$2 + I419, P418 + I419))</f>
        <v/>
      </c>
      <c r="O419" s="23" t="str">
        <f>IF(A419="",,
 IF(K419="Initial principal",
   Input!$C$2 * M419,
   N419 * M419
 )
)</f>
        <v/>
      </c>
      <c r="P419" s="18" t="str">
        <f t="shared" si="2"/>
        <v/>
      </c>
      <c r="Q419" s="18" t="str">
        <f t="shared" si="3"/>
        <v/>
      </c>
      <c r="R419" s="18" t="str">
        <f t="array" ref="R419">IF(
  B419="",
  ,
  SWITCH(
    Input!$C$4,
    "Actual/365 Fixed",
      YEARFRAC(
        B419 + IF(INDEX(Input!$K$7:$K1503,ROW()-1),0,1),
        C419 + IF(INDEX(Input!$L$7:$L1503,ROW()-1),1,0),
        3
      ),
    "Anniversary/365",
      DATEDIF(
        B419 + IF(INDEX(Input!$K$7:$K1503,ROW()-1),0,1),
        C419 + IF(INDEX(Input!$L$7:$L1503,ROW()-1),1,0),
        "Y"
      )
      +
      (
        (C419 + IF(INDEX(Input!$L$7:$L1503,ROW()-1),1,0))
        -
        EDATE(
          B419 + IF(INDEX(Input!$K$7:$K1503,ROW()-1),0,1),
          12*DATEDIF(
            B419 + IF(INDEX(Input!$K$7:$K1503,ROW()-1),0,1),
            C419 + IF(INDEX(Input!$L$7:$L1503,ROW()-1),1,0),
            "Y"
          )
        )
      ) / 365,
    "Actual/Actual",
      YEARFRAC(
        B419 + IF(INDEX(Input!$K$7:$K1503,ROW()-1),0,1),
        C419 + IF(INDEX(Input!$L$7:$L1503,ROW()-1),1,0),
        1
      ),
      YEARFRAC(
        B419 + IF(INDEX(Input!$K$7:$K1503,ROW()-1),0,1),
        C419 + IF(INDEX(Input!$L$7:$L1503,ROW()-1),1,0),
        3
      )
  )
)</f>
        <v/>
      </c>
      <c r="S419" s="22" t="str">
        <f t="shared" si="4"/>
        <v/>
      </c>
      <c r="T419" s="6" t="str">
        <f t="array" ref="T419">IF(
  B419="",
  ,
  DATEDIF(
    B419 + IF(INDEX(Input!$K$7:$K1503,ROW()-1),0,1),
    C419 + IF(INDEX(Input!$L$7:$L1503,ROW()-1),1,0),
    "Y"
  )
)</f>
        <v/>
      </c>
      <c r="U419" s="6" t="str">
        <f t="array" ref="U419">IF(
  B419="",
  ,
  (C419 + IF(INDEX(Input!$L$7:$L1503,ROW()-1),1,0))
  - EDATE(
      B419 + IF(INDEX(Input!$K$7:$K1503,ROW()-1),0,1),
      12*S419
    )
)</f>
        <v/>
      </c>
      <c r="V419" s="6" t="str">
        <f t="shared" si="5"/>
        <v/>
      </c>
      <c r="W419" s="6" t="str">
        <f t="shared" si="6"/>
        <v/>
      </c>
    </row>
    <row r="420">
      <c r="A420" s="18"/>
      <c r="B420" s="18"/>
      <c r="C420" s="18"/>
      <c r="D420" s="18"/>
      <c r="E420" s="18"/>
      <c r="F420" s="18"/>
      <c r="G420" s="22"/>
      <c r="H420" s="18"/>
      <c r="I420" s="18">
        <v>0.0</v>
      </c>
      <c r="J420" s="18">
        <v>0.0</v>
      </c>
      <c r="K420" s="18"/>
      <c r="L420" s="18"/>
      <c r="M420" s="22" t="str">
        <f t="shared" si="1"/>
        <v/>
      </c>
      <c r="N420" s="18" t="str">
        <f>IF(A420="",,IF(ROW()=2, Input!$C$2 + I420, P419 + I420))</f>
        <v/>
      </c>
      <c r="O420" s="23" t="str">
        <f>IF(A420="",,
 IF(K420="Initial principal",
   Input!$C$2 * M420,
   N420 * M420
 )
)</f>
        <v/>
      </c>
      <c r="P420" s="18" t="str">
        <f t="shared" si="2"/>
        <v/>
      </c>
      <c r="Q420" s="18" t="str">
        <f t="shared" si="3"/>
        <v/>
      </c>
      <c r="R420" s="18" t="str">
        <f t="array" ref="R420">IF(
  B420="",
  ,
  SWITCH(
    Input!$C$4,
    "Actual/365 Fixed",
      YEARFRAC(
        B420 + IF(INDEX(Input!$K$7:$K1503,ROW()-1),0,1),
        C420 + IF(INDEX(Input!$L$7:$L1503,ROW()-1),1,0),
        3
      ),
    "Anniversary/365",
      DATEDIF(
        B420 + IF(INDEX(Input!$K$7:$K1503,ROW()-1),0,1),
        C420 + IF(INDEX(Input!$L$7:$L1503,ROW()-1),1,0),
        "Y"
      )
      +
      (
        (C420 + IF(INDEX(Input!$L$7:$L1503,ROW()-1),1,0))
        -
        EDATE(
          B420 + IF(INDEX(Input!$K$7:$K1503,ROW()-1),0,1),
          12*DATEDIF(
            B420 + IF(INDEX(Input!$K$7:$K1503,ROW()-1),0,1),
            C420 + IF(INDEX(Input!$L$7:$L1503,ROW()-1),1,0),
            "Y"
          )
        )
      ) / 365,
    "Actual/Actual",
      YEARFRAC(
        B420 + IF(INDEX(Input!$K$7:$K1503,ROW()-1),0,1),
        C420 + IF(INDEX(Input!$L$7:$L1503,ROW()-1),1,0),
        1
      ),
      YEARFRAC(
        B420 + IF(INDEX(Input!$K$7:$K1503,ROW()-1),0,1),
        C420 + IF(INDEX(Input!$L$7:$L1503,ROW()-1),1,0),
        3
      )
  )
)</f>
        <v/>
      </c>
      <c r="S420" s="22" t="str">
        <f t="shared" si="4"/>
        <v/>
      </c>
      <c r="T420" s="6" t="str">
        <f t="array" ref="T420">IF(
  B420="",
  ,
  DATEDIF(
    B420 + IF(INDEX(Input!$K$7:$K1503,ROW()-1),0,1),
    C420 + IF(INDEX(Input!$L$7:$L1503,ROW()-1),1,0),
    "Y"
  )
)</f>
        <v/>
      </c>
      <c r="U420" s="6" t="str">
        <f t="array" ref="U420">IF(
  B420="",
  ,
  (C420 + IF(INDEX(Input!$L$7:$L1503,ROW()-1),1,0))
  - EDATE(
      B420 + IF(INDEX(Input!$K$7:$K1503,ROW()-1),0,1),
      12*S420
    )
)</f>
        <v/>
      </c>
      <c r="V420" s="6" t="str">
        <f t="shared" si="5"/>
        <v/>
      </c>
      <c r="W420" s="6" t="str">
        <f t="shared" si="6"/>
        <v/>
      </c>
    </row>
    <row r="421">
      <c r="A421" s="18"/>
      <c r="B421" s="18"/>
      <c r="C421" s="18"/>
      <c r="D421" s="18"/>
      <c r="E421" s="18"/>
      <c r="F421" s="18"/>
      <c r="G421" s="22"/>
      <c r="H421" s="18"/>
      <c r="I421" s="18">
        <v>0.0</v>
      </c>
      <c r="J421" s="18">
        <v>0.0</v>
      </c>
      <c r="K421" s="18"/>
      <c r="L421" s="18"/>
      <c r="M421" s="22" t="str">
        <f t="shared" si="1"/>
        <v/>
      </c>
      <c r="N421" s="18" t="str">
        <f>IF(A421="",,IF(ROW()=2, Input!$C$2 + I421, P420 + I421))</f>
        <v/>
      </c>
      <c r="O421" s="23" t="str">
        <f>IF(A421="",,
 IF(K421="Initial principal",
   Input!$C$2 * M421,
   N421 * M421
 )
)</f>
        <v/>
      </c>
      <c r="P421" s="18" t="str">
        <f t="shared" si="2"/>
        <v/>
      </c>
      <c r="Q421" s="18" t="str">
        <f t="shared" si="3"/>
        <v/>
      </c>
      <c r="R421" s="18" t="str">
        <f t="array" ref="R421">IF(
  B421="",
  ,
  SWITCH(
    Input!$C$4,
    "Actual/365 Fixed",
      YEARFRAC(
        B421 + IF(INDEX(Input!$K$7:$K1503,ROW()-1),0,1),
        C421 + IF(INDEX(Input!$L$7:$L1503,ROW()-1),1,0),
        3
      ),
    "Anniversary/365",
      DATEDIF(
        B421 + IF(INDEX(Input!$K$7:$K1503,ROW()-1),0,1),
        C421 + IF(INDEX(Input!$L$7:$L1503,ROW()-1),1,0),
        "Y"
      )
      +
      (
        (C421 + IF(INDEX(Input!$L$7:$L1503,ROW()-1),1,0))
        -
        EDATE(
          B421 + IF(INDEX(Input!$K$7:$K1503,ROW()-1),0,1),
          12*DATEDIF(
            B421 + IF(INDEX(Input!$K$7:$K1503,ROW()-1),0,1),
            C421 + IF(INDEX(Input!$L$7:$L1503,ROW()-1),1,0),
            "Y"
          )
        )
      ) / 365,
    "Actual/Actual",
      YEARFRAC(
        B421 + IF(INDEX(Input!$K$7:$K1503,ROW()-1),0,1),
        C421 + IF(INDEX(Input!$L$7:$L1503,ROW()-1),1,0),
        1
      ),
      YEARFRAC(
        B421 + IF(INDEX(Input!$K$7:$K1503,ROW()-1),0,1),
        C421 + IF(INDEX(Input!$L$7:$L1503,ROW()-1),1,0),
        3
      )
  )
)</f>
        <v/>
      </c>
      <c r="S421" s="22" t="str">
        <f t="shared" si="4"/>
        <v/>
      </c>
      <c r="T421" s="6" t="str">
        <f t="array" ref="T421">IF(
  B421="",
  ,
  DATEDIF(
    B421 + IF(INDEX(Input!$K$7:$K1503,ROW()-1),0,1),
    C421 + IF(INDEX(Input!$L$7:$L1503,ROW()-1),1,0),
    "Y"
  )
)</f>
        <v/>
      </c>
      <c r="U421" s="6" t="str">
        <f t="array" ref="U421">IF(
  B421="",
  ,
  (C421 + IF(INDEX(Input!$L$7:$L1503,ROW()-1),1,0))
  - EDATE(
      B421 + IF(INDEX(Input!$K$7:$K1503,ROW()-1),0,1),
      12*S421
    )
)</f>
        <v/>
      </c>
      <c r="V421" s="6" t="str">
        <f t="shared" si="5"/>
        <v/>
      </c>
      <c r="W421" s="6" t="str">
        <f t="shared" si="6"/>
        <v/>
      </c>
    </row>
    <row r="422">
      <c r="A422" s="18"/>
      <c r="B422" s="18"/>
      <c r="C422" s="18"/>
      <c r="D422" s="18"/>
      <c r="E422" s="18"/>
      <c r="F422" s="18"/>
      <c r="G422" s="22"/>
      <c r="H422" s="18"/>
      <c r="I422" s="18">
        <v>0.0</v>
      </c>
      <c r="J422" s="18">
        <v>0.0</v>
      </c>
      <c r="K422" s="18"/>
      <c r="L422" s="18"/>
      <c r="M422" s="22" t="str">
        <f t="shared" si="1"/>
        <v/>
      </c>
      <c r="N422" s="18" t="str">
        <f>IF(A422="",,IF(ROW()=2, Input!$C$2 + I422, P421 + I422))</f>
        <v/>
      </c>
      <c r="O422" s="23" t="str">
        <f>IF(A422="",,
 IF(K422="Initial principal",
   Input!$C$2 * M422,
   N422 * M422
 )
)</f>
        <v/>
      </c>
      <c r="P422" s="18" t="str">
        <f t="shared" si="2"/>
        <v/>
      </c>
      <c r="Q422" s="18" t="str">
        <f t="shared" si="3"/>
        <v/>
      </c>
      <c r="R422" s="18" t="str">
        <f t="array" ref="R422">IF(
  B422="",
  ,
  SWITCH(
    Input!$C$4,
    "Actual/365 Fixed",
      YEARFRAC(
        B422 + IF(INDEX(Input!$K$7:$K1503,ROW()-1),0,1),
        C422 + IF(INDEX(Input!$L$7:$L1503,ROW()-1),1,0),
        3
      ),
    "Anniversary/365",
      DATEDIF(
        B422 + IF(INDEX(Input!$K$7:$K1503,ROW()-1),0,1),
        C422 + IF(INDEX(Input!$L$7:$L1503,ROW()-1),1,0),
        "Y"
      )
      +
      (
        (C422 + IF(INDEX(Input!$L$7:$L1503,ROW()-1),1,0))
        -
        EDATE(
          B422 + IF(INDEX(Input!$K$7:$K1503,ROW()-1),0,1),
          12*DATEDIF(
            B422 + IF(INDEX(Input!$K$7:$K1503,ROW()-1),0,1),
            C422 + IF(INDEX(Input!$L$7:$L1503,ROW()-1),1,0),
            "Y"
          )
        )
      ) / 365,
    "Actual/Actual",
      YEARFRAC(
        B422 + IF(INDEX(Input!$K$7:$K1503,ROW()-1),0,1),
        C422 + IF(INDEX(Input!$L$7:$L1503,ROW()-1),1,0),
        1
      ),
      YEARFRAC(
        B422 + IF(INDEX(Input!$K$7:$K1503,ROW()-1),0,1),
        C422 + IF(INDEX(Input!$L$7:$L1503,ROW()-1),1,0),
        3
      )
  )
)</f>
        <v/>
      </c>
      <c r="S422" s="22" t="str">
        <f t="shared" si="4"/>
        <v/>
      </c>
      <c r="T422" s="6" t="str">
        <f t="array" ref="T422">IF(
  B422="",
  ,
  DATEDIF(
    B422 + IF(INDEX(Input!$K$7:$K1503,ROW()-1),0,1),
    C422 + IF(INDEX(Input!$L$7:$L1503,ROW()-1),1,0),
    "Y"
  )
)</f>
        <v/>
      </c>
      <c r="U422" s="6" t="str">
        <f t="array" ref="U422">IF(
  B422="",
  ,
  (C422 + IF(INDEX(Input!$L$7:$L1503,ROW()-1),1,0))
  - EDATE(
      B422 + IF(INDEX(Input!$K$7:$K1503,ROW()-1),0,1),
      12*S422
    )
)</f>
        <v/>
      </c>
      <c r="V422" s="6" t="str">
        <f t="shared" si="5"/>
        <v/>
      </c>
      <c r="W422" s="6" t="str">
        <f t="shared" si="6"/>
        <v/>
      </c>
    </row>
    <row r="423">
      <c r="A423" s="18"/>
      <c r="B423" s="18"/>
      <c r="C423" s="18"/>
      <c r="D423" s="18"/>
      <c r="E423" s="18"/>
      <c r="F423" s="18"/>
      <c r="G423" s="22"/>
      <c r="H423" s="18"/>
      <c r="I423" s="18">
        <v>0.0</v>
      </c>
      <c r="J423" s="18">
        <v>0.0</v>
      </c>
      <c r="K423" s="18"/>
      <c r="L423" s="18"/>
      <c r="M423" s="22" t="str">
        <f t="shared" si="1"/>
        <v/>
      </c>
      <c r="N423" s="18" t="str">
        <f>IF(A423="",,IF(ROW()=2, Input!$C$2 + I423, P422 + I423))</f>
        <v/>
      </c>
      <c r="O423" s="23" t="str">
        <f>IF(A423="",,
 IF(K423="Initial principal",
   Input!$C$2 * M423,
   N423 * M423
 )
)</f>
        <v/>
      </c>
      <c r="P423" s="18" t="str">
        <f t="shared" si="2"/>
        <v/>
      </c>
      <c r="Q423" s="18" t="str">
        <f t="shared" si="3"/>
        <v/>
      </c>
      <c r="R423" s="18" t="str">
        <f t="array" ref="R423">IF(
  B423="",
  ,
  SWITCH(
    Input!$C$4,
    "Actual/365 Fixed",
      YEARFRAC(
        B423 + IF(INDEX(Input!$K$7:$K1503,ROW()-1),0,1),
        C423 + IF(INDEX(Input!$L$7:$L1503,ROW()-1),1,0),
        3
      ),
    "Anniversary/365",
      DATEDIF(
        B423 + IF(INDEX(Input!$K$7:$K1503,ROW()-1),0,1),
        C423 + IF(INDEX(Input!$L$7:$L1503,ROW()-1),1,0),
        "Y"
      )
      +
      (
        (C423 + IF(INDEX(Input!$L$7:$L1503,ROW()-1),1,0))
        -
        EDATE(
          B423 + IF(INDEX(Input!$K$7:$K1503,ROW()-1),0,1),
          12*DATEDIF(
            B423 + IF(INDEX(Input!$K$7:$K1503,ROW()-1),0,1),
            C423 + IF(INDEX(Input!$L$7:$L1503,ROW()-1),1,0),
            "Y"
          )
        )
      ) / 365,
    "Actual/Actual",
      YEARFRAC(
        B423 + IF(INDEX(Input!$K$7:$K1503,ROW()-1),0,1),
        C423 + IF(INDEX(Input!$L$7:$L1503,ROW()-1),1,0),
        1
      ),
      YEARFRAC(
        B423 + IF(INDEX(Input!$K$7:$K1503,ROW()-1),0,1),
        C423 + IF(INDEX(Input!$L$7:$L1503,ROW()-1),1,0),
        3
      )
  )
)</f>
        <v/>
      </c>
      <c r="S423" s="22" t="str">
        <f t="shared" si="4"/>
        <v/>
      </c>
      <c r="T423" s="6" t="str">
        <f t="array" ref="T423">IF(
  B423="",
  ,
  DATEDIF(
    B423 + IF(INDEX(Input!$K$7:$K1503,ROW()-1),0,1),
    C423 + IF(INDEX(Input!$L$7:$L1503,ROW()-1),1,0),
    "Y"
  )
)</f>
        <v/>
      </c>
      <c r="U423" s="6" t="str">
        <f t="array" ref="U423">IF(
  B423="",
  ,
  (C423 + IF(INDEX(Input!$L$7:$L1503,ROW()-1),1,0))
  - EDATE(
      B423 + IF(INDEX(Input!$K$7:$K1503,ROW()-1),0,1),
      12*S423
    )
)</f>
        <v/>
      </c>
      <c r="V423" s="6" t="str">
        <f t="shared" si="5"/>
        <v/>
      </c>
      <c r="W423" s="6" t="str">
        <f t="shared" si="6"/>
        <v/>
      </c>
    </row>
    <row r="424">
      <c r="A424" s="18"/>
      <c r="B424" s="18"/>
      <c r="C424" s="18"/>
      <c r="D424" s="18"/>
      <c r="E424" s="18"/>
      <c r="F424" s="18"/>
      <c r="G424" s="22"/>
      <c r="H424" s="18"/>
      <c r="I424" s="18">
        <v>0.0</v>
      </c>
      <c r="J424" s="18">
        <v>0.0</v>
      </c>
      <c r="K424" s="18"/>
      <c r="L424" s="18"/>
      <c r="M424" s="22" t="str">
        <f t="shared" si="1"/>
        <v/>
      </c>
      <c r="N424" s="18" t="str">
        <f>IF(A424="",,IF(ROW()=2, Input!$C$2 + I424, P423 + I424))</f>
        <v/>
      </c>
      <c r="O424" s="23" t="str">
        <f>IF(A424="",,
 IF(K424="Initial principal",
   Input!$C$2 * M424,
   N424 * M424
 )
)</f>
        <v/>
      </c>
      <c r="P424" s="18" t="str">
        <f t="shared" si="2"/>
        <v/>
      </c>
      <c r="Q424" s="18" t="str">
        <f t="shared" si="3"/>
        <v/>
      </c>
      <c r="R424" s="18" t="str">
        <f t="array" ref="R424">IF(
  B424="",
  ,
  SWITCH(
    Input!$C$4,
    "Actual/365 Fixed",
      YEARFRAC(
        B424 + IF(INDEX(Input!$K$7:$K1503,ROW()-1),0,1),
        C424 + IF(INDEX(Input!$L$7:$L1503,ROW()-1),1,0),
        3
      ),
    "Anniversary/365",
      DATEDIF(
        B424 + IF(INDEX(Input!$K$7:$K1503,ROW()-1),0,1),
        C424 + IF(INDEX(Input!$L$7:$L1503,ROW()-1),1,0),
        "Y"
      )
      +
      (
        (C424 + IF(INDEX(Input!$L$7:$L1503,ROW()-1),1,0))
        -
        EDATE(
          B424 + IF(INDEX(Input!$K$7:$K1503,ROW()-1),0,1),
          12*DATEDIF(
            B424 + IF(INDEX(Input!$K$7:$K1503,ROW()-1),0,1),
            C424 + IF(INDEX(Input!$L$7:$L1503,ROW()-1),1,0),
            "Y"
          )
        )
      ) / 365,
    "Actual/Actual",
      YEARFRAC(
        B424 + IF(INDEX(Input!$K$7:$K1503,ROW()-1),0,1),
        C424 + IF(INDEX(Input!$L$7:$L1503,ROW()-1),1,0),
        1
      ),
      YEARFRAC(
        B424 + IF(INDEX(Input!$K$7:$K1503,ROW()-1),0,1),
        C424 + IF(INDEX(Input!$L$7:$L1503,ROW()-1),1,0),
        3
      )
  )
)</f>
        <v/>
      </c>
      <c r="S424" s="22" t="str">
        <f t="shared" si="4"/>
        <v/>
      </c>
      <c r="T424" s="6" t="str">
        <f t="array" ref="T424">IF(
  B424="",
  ,
  DATEDIF(
    B424 + IF(INDEX(Input!$K$7:$K1503,ROW()-1),0,1),
    C424 + IF(INDEX(Input!$L$7:$L1503,ROW()-1),1,0),
    "Y"
  )
)</f>
        <v/>
      </c>
      <c r="U424" s="6" t="str">
        <f t="array" ref="U424">IF(
  B424="",
  ,
  (C424 + IF(INDEX(Input!$L$7:$L1503,ROW()-1),1,0))
  - EDATE(
      B424 + IF(INDEX(Input!$K$7:$K1503,ROW()-1),0,1),
      12*S424
    )
)</f>
        <v/>
      </c>
      <c r="V424" s="6" t="str">
        <f t="shared" si="5"/>
        <v/>
      </c>
      <c r="W424" s="6" t="str">
        <f t="shared" si="6"/>
        <v/>
      </c>
    </row>
    <row r="425">
      <c r="A425" s="18"/>
      <c r="B425" s="18"/>
      <c r="C425" s="18"/>
      <c r="D425" s="18"/>
      <c r="E425" s="18"/>
      <c r="F425" s="18"/>
      <c r="G425" s="22"/>
      <c r="H425" s="18"/>
      <c r="I425" s="18">
        <v>0.0</v>
      </c>
      <c r="J425" s="18">
        <v>0.0</v>
      </c>
      <c r="K425" s="18"/>
      <c r="L425" s="18"/>
      <c r="M425" s="22" t="str">
        <f t="shared" si="1"/>
        <v/>
      </c>
      <c r="N425" s="18" t="str">
        <f>IF(A425="",,IF(ROW()=2, Input!$C$2 + I425, P424 + I425))</f>
        <v/>
      </c>
      <c r="O425" s="23" t="str">
        <f>IF(A425="",,
 IF(K425="Initial principal",
   Input!$C$2 * M425,
   N425 * M425
 )
)</f>
        <v/>
      </c>
      <c r="P425" s="18" t="str">
        <f t="shared" si="2"/>
        <v/>
      </c>
      <c r="Q425" s="18" t="str">
        <f t="shared" si="3"/>
        <v/>
      </c>
      <c r="R425" s="18" t="str">
        <f t="array" ref="R425">IF(
  B425="",
  ,
  SWITCH(
    Input!$C$4,
    "Actual/365 Fixed",
      YEARFRAC(
        B425 + IF(INDEX(Input!$K$7:$K1503,ROW()-1),0,1),
        C425 + IF(INDEX(Input!$L$7:$L1503,ROW()-1),1,0),
        3
      ),
    "Anniversary/365",
      DATEDIF(
        B425 + IF(INDEX(Input!$K$7:$K1503,ROW()-1),0,1),
        C425 + IF(INDEX(Input!$L$7:$L1503,ROW()-1),1,0),
        "Y"
      )
      +
      (
        (C425 + IF(INDEX(Input!$L$7:$L1503,ROW()-1),1,0))
        -
        EDATE(
          B425 + IF(INDEX(Input!$K$7:$K1503,ROW()-1),0,1),
          12*DATEDIF(
            B425 + IF(INDEX(Input!$K$7:$K1503,ROW()-1),0,1),
            C425 + IF(INDEX(Input!$L$7:$L1503,ROW()-1),1,0),
            "Y"
          )
        )
      ) / 365,
    "Actual/Actual",
      YEARFRAC(
        B425 + IF(INDEX(Input!$K$7:$K1503,ROW()-1),0,1),
        C425 + IF(INDEX(Input!$L$7:$L1503,ROW()-1),1,0),
        1
      ),
      YEARFRAC(
        B425 + IF(INDEX(Input!$K$7:$K1503,ROW()-1),0,1),
        C425 + IF(INDEX(Input!$L$7:$L1503,ROW()-1),1,0),
        3
      )
  )
)</f>
        <v/>
      </c>
      <c r="S425" s="22" t="str">
        <f t="shared" si="4"/>
        <v/>
      </c>
      <c r="T425" s="6" t="str">
        <f t="array" ref="T425">IF(
  B425="",
  ,
  DATEDIF(
    B425 + IF(INDEX(Input!$K$7:$K1503,ROW()-1),0,1),
    C425 + IF(INDEX(Input!$L$7:$L1503,ROW()-1),1,0),
    "Y"
  )
)</f>
        <v/>
      </c>
      <c r="U425" s="6" t="str">
        <f t="array" ref="U425">IF(
  B425="",
  ,
  (C425 + IF(INDEX(Input!$L$7:$L1503,ROW()-1),1,0))
  - EDATE(
      B425 + IF(INDEX(Input!$K$7:$K1503,ROW()-1),0,1),
      12*S425
    )
)</f>
        <v/>
      </c>
      <c r="V425" s="6" t="str">
        <f t="shared" si="5"/>
        <v/>
      </c>
      <c r="W425" s="6" t="str">
        <f t="shared" si="6"/>
        <v/>
      </c>
    </row>
    <row r="426">
      <c r="A426" s="18"/>
      <c r="B426" s="18"/>
      <c r="C426" s="18"/>
      <c r="D426" s="18"/>
      <c r="E426" s="18"/>
      <c r="F426" s="18"/>
      <c r="G426" s="22"/>
      <c r="H426" s="18"/>
      <c r="I426" s="18">
        <v>0.0</v>
      </c>
      <c r="J426" s="18">
        <v>0.0</v>
      </c>
      <c r="K426" s="18"/>
      <c r="L426" s="18"/>
      <c r="M426" s="22" t="str">
        <f t="shared" si="1"/>
        <v/>
      </c>
      <c r="N426" s="18" t="str">
        <f>IF(A426="",,IF(ROW()=2, Input!$C$2 + I426, P425 + I426))</f>
        <v/>
      </c>
      <c r="O426" s="23" t="str">
        <f>IF(A426="",,
 IF(K426="Initial principal",
   Input!$C$2 * M426,
   N426 * M426
 )
)</f>
        <v/>
      </c>
      <c r="P426" s="18" t="str">
        <f t="shared" si="2"/>
        <v/>
      </c>
      <c r="Q426" s="18" t="str">
        <f t="shared" si="3"/>
        <v/>
      </c>
      <c r="R426" s="18" t="str">
        <f t="array" ref="R426">IF(
  B426="",
  ,
  SWITCH(
    Input!$C$4,
    "Actual/365 Fixed",
      YEARFRAC(
        B426 + IF(INDEX(Input!$K$7:$K1503,ROW()-1),0,1),
        C426 + IF(INDEX(Input!$L$7:$L1503,ROW()-1),1,0),
        3
      ),
    "Anniversary/365",
      DATEDIF(
        B426 + IF(INDEX(Input!$K$7:$K1503,ROW()-1),0,1),
        C426 + IF(INDEX(Input!$L$7:$L1503,ROW()-1),1,0),
        "Y"
      )
      +
      (
        (C426 + IF(INDEX(Input!$L$7:$L1503,ROW()-1),1,0))
        -
        EDATE(
          B426 + IF(INDEX(Input!$K$7:$K1503,ROW()-1),0,1),
          12*DATEDIF(
            B426 + IF(INDEX(Input!$K$7:$K1503,ROW()-1),0,1),
            C426 + IF(INDEX(Input!$L$7:$L1503,ROW()-1),1,0),
            "Y"
          )
        )
      ) / 365,
    "Actual/Actual",
      YEARFRAC(
        B426 + IF(INDEX(Input!$K$7:$K1503,ROW()-1),0,1),
        C426 + IF(INDEX(Input!$L$7:$L1503,ROW()-1),1,0),
        1
      ),
      YEARFRAC(
        B426 + IF(INDEX(Input!$K$7:$K1503,ROW()-1),0,1),
        C426 + IF(INDEX(Input!$L$7:$L1503,ROW()-1),1,0),
        3
      )
  )
)</f>
        <v/>
      </c>
      <c r="S426" s="22" t="str">
        <f t="shared" si="4"/>
        <v/>
      </c>
      <c r="T426" s="6" t="str">
        <f t="array" ref="T426">IF(
  B426="",
  ,
  DATEDIF(
    B426 + IF(INDEX(Input!$K$7:$K1503,ROW()-1),0,1),
    C426 + IF(INDEX(Input!$L$7:$L1503,ROW()-1),1,0),
    "Y"
  )
)</f>
        <v/>
      </c>
      <c r="U426" s="6" t="str">
        <f t="array" ref="U426">IF(
  B426="",
  ,
  (C426 + IF(INDEX(Input!$L$7:$L1503,ROW()-1),1,0))
  - EDATE(
      B426 + IF(INDEX(Input!$K$7:$K1503,ROW()-1),0,1),
      12*S426
    )
)</f>
        <v/>
      </c>
      <c r="V426" s="6" t="str">
        <f t="shared" si="5"/>
        <v/>
      </c>
      <c r="W426" s="6" t="str">
        <f t="shared" si="6"/>
        <v/>
      </c>
    </row>
    <row r="427">
      <c r="A427" s="18"/>
      <c r="B427" s="18"/>
      <c r="C427" s="18"/>
      <c r="D427" s="18"/>
      <c r="E427" s="18"/>
      <c r="F427" s="18"/>
      <c r="G427" s="22"/>
      <c r="H427" s="18"/>
      <c r="I427" s="18">
        <v>0.0</v>
      </c>
      <c r="J427" s="18">
        <v>0.0</v>
      </c>
      <c r="K427" s="18"/>
      <c r="L427" s="18"/>
      <c r="M427" s="22" t="str">
        <f t="shared" si="1"/>
        <v/>
      </c>
      <c r="N427" s="18" t="str">
        <f>IF(A427="",,IF(ROW()=2, Input!$C$2 + I427, P426 + I427))</f>
        <v/>
      </c>
      <c r="O427" s="23" t="str">
        <f>IF(A427="",,
 IF(K427="Initial principal",
   Input!$C$2 * M427,
   N427 * M427
 )
)</f>
        <v/>
      </c>
      <c r="P427" s="18" t="str">
        <f t="shared" si="2"/>
        <v/>
      </c>
      <c r="Q427" s="18" t="str">
        <f t="shared" si="3"/>
        <v/>
      </c>
      <c r="R427" s="18" t="str">
        <f t="array" ref="R427">IF(
  B427="",
  ,
  SWITCH(
    Input!$C$4,
    "Actual/365 Fixed",
      YEARFRAC(
        B427 + IF(INDEX(Input!$K$7:$K1503,ROW()-1),0,1),
        C427 + IF(INDEX(Input!$L$7:$L1503,ROW()-1),1,0),
        3
      ),
    "Anniversary/365",
      DATEDIF(
        B427 + IF(INDEX(Input!$K$7:$K1503,ROW()-1),0,1),
        C427 + IF(INDEX(Input!$L$7:$L1503,ROW()-1),1,0),
        "Y"
      )
      +
      (
        (C427 + IF(INDEX(Input!$L$7:$L1503,ROW()-1),1,0))
        -
        EDATE(
          B427 + IF(INDEX(Input!$K$7:$K1503,ROW()-1),0,1),
          12*DATEDIF(
            B427 + IF(INDEX(Input!$K$7:$K1503,ROW()-1),0,1),
            C427 + IF(INDEX(Input!$L$7:$L1503,ROW()-1),1,0),
            "Y"
          )
        )
      ) / 365,
    "Actual/Actual",
      YEARFRAC(
        B427 + IF(INDEX(Input!$K$7:$K1503,ROW()-1),0,1),
        C427 + IF(INDEX(Input!$L$7:$L1503,ROW()-1),1,0),
        1
      ),
      YEARFRAC(
        B427 + IF(INDEX(Input!$K$7:$K1503,ROW()-1),0,1),
        C427 + IF(INDEX(Input!$L$7:$L1503,ROW()-1),1,0),
        3
      )
  )
)</f>
        <v/>
      </c>
      <c r="S427" s="22" t="str">
        <f t="shared" si="4"/>
        <v/>
      </c>
      <c r="T427" s="6" t="str">
        <f t="array" ref="T427">IF(
  B427="",
  ,
  DATEDIF(
    B427 + IF(INDEX(Input!$K$7:$K1503,ROW()-1),0,1),
    C427 + IF(INDEX(Input!$L$7:$L1503,ROW()-1),1,0),
    "Y"
  )
)</f>
        <v/>
      </c>
      <c r="U427" s="6" t="str">
        <f t="array" ref="U427">IF(
  B427="",
  ,
  (C427 + IF(INDEX(Input!$L$7:$L1503,ROW()-1),1,0))
  - EDATE(
      B427 + IF(INDEX(Input!$K$7:$K1503,ROW()-1),0,1),
      12*S427
    )
)</f>
        <v/>
      </c>
      <c r="V427" s="6" t="str">
        <f t="shared" si="5"/>
        <v/>
      </c>
      <c r="W427" s="6" t="str">
        <f t="shared" si="6"/>
        <v/>
      </c>
    </row>
    <row r="428">
      <c r="A428" s="18"/>
      <c r="B428" s="18"/>
      <c r="C428" s="18"/>
      <c r="D428" s="18"/>
      <c r="E428" s="18"/>
      <c r="F428" s="18"/>
      <c r="G428" s="22"/>
      <c r="H428" s="18"/>
      <c r="I428" s="18">
        <v>0.0</v>
      </c>
      <c r="J428" s="18">
        <v>0.0</v>
      </c>
      <c r="K428" s="18"/>
      <c r="L428" s="18"/>
      <c r="M428" s="22" t="str">
        <f t="shared" si="1"/>
        <v/>
      </c>
      <c r="N428" s="18" t="str">
        <f>IF(A428="",,IF(ROW()=2, Input!$C$2 + I428, P427 + I428))</f>
        <v/>
      </c>
      <c r="O428" s="23" t="str">
        <f>IF(A428="",,
 IF(K428="Initial principal",
   Input!$C$2 * M428,
   N428 * M428
 )
)</f>
        <v/>
      </c>
      <c r="P428" s="18" t="str">
        <f t="shared" si="2"/>
        <v/>
      </c>
      <c r="Q428" s="18" t="str">
        <f t="shared" si="3"/>
        <v/>
      </c>
      <c r="R428" s="18" t="str">
        <f t="array" ref="R428">IF(
  B428="",
  ,
  SWITCH(
    Input!$C$4,
    "Actual/365 Fixed",
      YEARFRAC(
        B428 + IF(INDEX(Input!$K$7:$K1503,ROW()-1),0,1),
        C428 + IF(INDEX(Input!$L$7:$L1503,ROW()-1),1,0),
        3
      ),
    "Anniversary/365",
      DATEDIF(
        B428 + IF(INDEX(Input!$K$7:$K1503,ROW()-1),0,1),
        C428 + IF(INDEX(Input!$L$7:$L1503,ROW()-1),1,0),
        "Y"
      )
      +
      (
        (C428 + IF(INDEX(Input!$L$7:$L1503,ROW()-1),1,0))
        -
        EDATE(
          B428 + IF(INDEX(Input!$K$7:$K1503,ROW()-1),0,1),
          12*DATEDIF(
            B428 + IF(INDEX(Input!$K$7:$K1503,ROW()-1),0,1),
            C428 + IF(INDEX(Input!$L$7:$L1503,ROW()-1),1,0),
            "Y"
          )
        )
      ) / 365,
    "Actual/Actual",
      YEARFRAC(
        B428 + IF(INDEX(Input!$K$7:$K1503,ROW()-1),0,1),
        C428 + IF(INDEX(Input!$L$7:$L1503,ROW()-1),1,0),
        1
      ),
      YEARFRAC(
        B428 + IF(INDEX(Input!$K$7:$K1503,ROW()-1),0,1),
        C428 + IF(INDEX(Input!$L$7:$L1503,ROW()-1),1,0),
        3
      )
  )
)</f>
        <v/>
      </c>
      <c r="S428" s="22" t="str">
        <f t="shared" si="4"/>
        <v/>
      </c>
      <c r="T428" s="6" t="str">
        <f t="array" ref="T428">IF(
  B428="",
  ,
  DATEDIF(
    B428 + IF(INDEX(Input!$K$7:$K1503,ROW()-1),0,1),
    C428 + IF(INDEX(Input!$L$7:$L1503,ROW()-1),1,0),
    "Y"
  )
)</f>
        <v/>
      </c>
      <c r="U428" s="6" t="str">
        <f t="array" ref="U428">IF(
  B428="",
  ,
  (C428 + IF(INDEX(Input!$L$7:$L1503,ROW()-1),1,0))
  - EDATE(
      B428 + IF(INDEX(Input!$K$7:$K1503,ROW()-1),0,1),
      12*S428
    )
)</f>
        <v/>
      </c>
      <c r="V428" s="6" t="str">
        <f t="shared" si="5"/>
        <v/>
      </c>
      <c r="W428" s="6" t="str">
        <f t="shared" si="6"/>
        <v/>
      </c>
    </row>
    <row r="429">
      <c r="A429" s="18"/>
      <c r="B429" s="18"/>
      <c r="C429" s="18"/>
      <c r="D429" s="18"/>
      <c r="E429" s="18"/>
      <c r="F429" s="18"/>
      <c r="G429" s="22"/>
      <c r="H429" s="18"/>
      <c r="I429" s="18">
        <v>0.0</v>
      </c>
      <c r="J429" s="18">
        <v>0.0</v>
      </c>
      <c r="K429" s="18"/>
      <c r="L429" s="18"/>
      <c r="M429" s="22" t="str">
        <f t="shared" si="1"/>
        <v/>
      </c>
      <c r="N429" s="18" t="str">
        <f>IF(A429="",,IF(ROW()=2, Input!$C$2 + I429, P428 + I429))</f>
        <v/>
      </c>
      <c r="O429" s="23" t="str">
        <f>IF(A429="",,
 IF(K429="Initial principal",
   Input!$C$2 * M429,
   N429 * M429
 )
)</f>
        <v/>
      </c>
      <c r="P429" s="18" t="str">
        <f t="shared" si="2"/>
        <v/>
      </c>
      <c r="Q429" s="18" t="str">
        <f t="shared" si="3"/>
        <v/>
      </c>
      <c r="R429" s="18" t="str">
        <f t="array" ref="R429">IF(
  B429="",
  ,
  SWITCH(
    Input!$C$4,
    "Actual/365 Fixed",
      YEARFRAC(
        B429 + IF(INDEX(Input!$K$7:$K1503,ROW()-1),0,1),
        C429 + IF(INDEX(Input!$L$7:$L1503,ROW()-1),1,0),
        3
      ),
    "Anniversary/365",
      DATEDIF(
        B429 + IF(INDEX(Input!$K$7:$K1503,ROW()-1),0,1),
        C429 + IF(INDEX(Input!$L$7:$L1503,ROW()-1),1,0),
        "Y"
      )
      +
      (
        (C429 + IF(INDEX(Input!$L$7:$L1503,ROW()-1),1,0))
        -
        EDATE(
          B429 + IF(INDEX(Input!$K$7:$K1503,ROW()-1),0,1),
          12*DATEDIF(
            B429 + IF(INDEX(Input!$K$7:$K1503,ROW()-1),0,1),
            C429 + IF(INDEX(Input!$L$7:$L1503,ROW()-1),1,0),
            "Y"
          )
        )
      ) / 365,
    "Actual/Actual",
      YEARFRAC(
        B429 + IF(INDEX(Input!$K$7:$K1503,ROW()-1),0,1),
        C429 + IF(INDEX(Input!$L$7:$L1503,ROW()-1),1,0),
        1
      ),
      YEARFRAC(
        B429 + IF(INDEX(Input!$K$7:$K1503,ROW()-1),0,1),
        C429 + IF(INDEX(Input!$L$7:$L1503,ROW()-1),1,0),
        3
      )
  )
)</f>
        <v/>
      </c>
      <c r="S429" s="22" t="str">
        <f t="shared" si="4"/>
        <v/>
      </c>
      <c r="T429" s="6" t="str">
        <f t="array" ref="T429">IF(
  B429="",
  ,
  DATEDIF(
    B429 + IF(INDEX(Input!$K$7:$K1503,ROW()-1),0,1),
    C429 + IF(INDEX(Input!$L$7:$L1503,ROW()-1),1,0),
    "Y"
  )
)</f>
        <v/>
      </c>
      <c r="U429" s="6" t="str">
        <f t="array" ref="U429">IF(
  B429="",
  ,
  (C429 + IF(INDEX(Input!$L$7:$L1503,ROW()-1),1,0))
  - EDATE(
      B429 + IF(INDEX(Input!$K$7:$K1503,ROW()-1),0,1),
      12*S429
    )
)</f>
        <v/>
      </c>
      <c r="V429" s="6" t="str">
        <f t="shared" si="5"/>
        <v/>
      </c>
      <c r="W429" s="6" t="str">
        <f t="shared" si="6"/>
        <v/>
      </c>
    </row>
    <row r="430">
      <c r="A430" s="18"/>
      <c r="B430" s="18"/>
      <c r="C430" s="18"/>
      <c r="D430" s="18"/>
      <c r="E430" s="18"/>
      <c r="F430" s="18"/>
      <c r="G430" s="22"/>
      <c r="H430" s="18"/>
      <c r="I430" s="18">
        <v>0.0</v>
      </c>
      <c r="J430" s="18">
        <v>0.0</v>
      </c>
      <c r="K430" s="18"/>
      <c r="L430" s="18"/>
      <c r="M430" s="22" t="str">
        <f t="shared" si="1"/>
        <v/>
      </c>
      <c r="N430" s="18" t="str">
        <f>IF(A430="",,IF(ROW()=2, Input!$C$2 + I430, P429 + I430))</f>
        <v/>
      </c>
      <c r="O430" s="23" t="str">
        <f>IF(A430="",,
 IF(K430="Initial principal",
   Input!$C$2 * M430,
   N430 * M430
 )
)</f>
        <v/>
      </c>
      <c r="P430" s="18" t="str">
        <f t="shared" si="2"/>
        <v/>
      </c>
      <c r="Q430" s="18" t="str">
        <f t="shared" si="3"/>
        <v/>
      </c>
      <c r="R430" s="18" t="str">
        <f t="array" ref="R430">IF(
  B430="",
  ,
  SWITCH(
    Input!$C$4,
    "Actual/365 Fixed",
      YEARFRAC(
        B430 + IF(INDEX(Input!$K$7:$K1503,ROW()-1),0,1),
        C430 + IF(INDEX(Input!$L$7:$L1503,ROW()-1),1,0),
        3
      ),
    "Anniversary/365",
      DATEDIF(
        B430 + IF(INDEX(Input!$K$7:$K1503,ROW()-1),0,1),
        C430 + IF(INDEX(Input!$L$7:$L1503,ROW()-1),1,0),
        "Y"
      )
      +
      (
        (C430 + IF(INDEX(Input!$L$7:$L1503,ROW()-1),1,0))
        -
        EDATE(
          B430 + IF(INDEX(Input!$K$7:$K1503,ROW()-1),0,1),
          12*DATEDIF(
            B430 + IF(INDEX(Input!$K$7:$K1503,ROW()-1),0,1),
            C430 + IF(INDEX(Input!$L$7:$L1503,ROW()-1),1,0),
            "Y"
          )
        )
      ) / 365,
    "Actual/Actual",
      YEARFRAC(
        B430 + IF(INDEX(Input!$K$7:$K1503,ROW()-1),0,1),
        C430 + IF(INDEX(Input!$L$7:$L1503,ROW()-1),1,0),
        1
      ),
      YEARFRAC(
        B430 + IF(INDEX(Input!$K$7:$K1503,ROW()-1),0,1),
        C430 + IF(INDEX(Input!$L$7:$L1503,ROW()-1),1,0),
        3
      )
  )
)</f>
        <v/>
      </c>
      <c r="S430" s="22" t="str">
        <f t="shared" si="4"/>
        <v/>
      </c>
      <c r="T430" s="6" t="str">
        <f t="array" ref="T430">IF(
  B430="",
  ,
  DATEDIF(
    B430 + IF(INDEX(Input!$K$7:$K1503,ROW()-1),0,1),
    C430 + IF(INDEX(Input!$L$7:$L1503,ROW()-1),1,0),
    "Y"
  )
)</f>
        <v/>
      </c>
      <c r="U430" s="6" t="str">
        <f t="array" ref="U430">IF(
  B430="",
  ,
  (C430 + IF(INDEX(Input!$L$7:$L1503,ROW()-1),1,0))
  - EDATE(
      B430 + IF(INDEX(Input!$K$7:$K1503,ROW()-1),0,1),
      12*S430
    )
)</f>
        <v/>
      </c>
      <c r="V430" s="6" t="str">
        <f t="shared" si="5"/>
        <v/>
      </c>
      <c r="W430" s="6" t="str">
        <f t="shared" si="6"/>
        <v/>
      </c>
    </row>
    <row r="431">
      <c r="A431" s="18"/>
      <c r="B431" s="18"/>
      <c r="C431" s="18"/>
      <c r="D431" s="18"/>
      <c r="E431" s="18"/>
      <c r="F431" s="18"/>
      <c r="G431" s="22"/>
      <c r="H431" s="18"/>
      <c r="I431" s="18">
        <v>0.0</v>
      </c>
      <c r="J431" s="18">
        <v>0.0</v>
      </c>
      <c r="K431" s="18"/>
      <c r="L431" s="18"/>
      <c r="M431" s="22" t="str">
        <f t="shared" si="1"/>
        <v/>
      </c>
      <c r="N431" s="18" t="str">
        <f>IF(A431="",,IF(ROW()=2, Input!$C$2 + I431, P430 + I431))</f>
        <v/>
      </c>
      <c r="O431" s="23" t="str">
        <f>IF(A431="",,
 IF(K431="Initial principal",
   Input!$C$2 * M431,
   N431 * M431
 )
)</f>
        <v/>
      </c>
      <c r="P431" s="18" t="str">
        <f t="shared" si="2"/>
        <v/>
      </c>
      <c r="Q431" s="18" t="str">
        <f t="shared" si="3"/>
        <v/>
      </c>
      <c r="R431" s="18" t="str">
        <f t="array" ref="R431">IF(
  B431="",
  ,
  SWITCH(
    Input!$C$4,
    "Actual/365 Fixed",
      YEARFRAC(
        B431 + IF(INDEX(Input!$K$7:$K1503,ROW()-1),0,1),
        C431 + IF(INDEX(Input!$L$7:$L1503,ROW()-1),1,0),
        3
      ),
    "Anniversary/365",
      DATEDIF(
        B431 + IF(INDEX(Input!$K$7:$K1503,ROW()-1),0,1),
        C431 + IF(INDEX(Input!$L$7:$L1503,ROW()-1),1,0),
        "Y"
      )
      +
      (
        (C431 + IF(INDEX(Input!$L$7:$L1503,ROW()-1),1,0))
        -
        EDATE(
          B431 + IF(INDEX(Input!$K$7:$K1503,ROW()-1),0,1),
          12*DATEDIF(
            B431 + IF(INDEX(Input!$K$7:$K1503,ROW()-1),0,1),
            C431 + IF(INDEX(Input!$L$7:$L1503,ROW()-1),1,0),
            "Y"
          )
        )
      ) / 365,
    "Actual/Actual",
      YEARFRAC(
        B431 + IF(INDEX(Input!$K$7:$K1503,ROW()-1),0,1),
        C431 + IF(INDEX(Input!$L$7:$L1503,ROW()-1),1,0),
        1
      ),
      YEARFRAC(
        B431 + IF(INDEX(Input!$K$7:$K1503,ROW()-1),0,1),
        C431 + IF(INDEX(Input!$L$7:$L1503,ROW()-1),1,0),
        3
      )
  )
)</f>
        <v/>
      </c>
      <c r="S431" s="22" t="str">
        <f t="shared" si="4"/>
        <v/>
      </c>
      <c r="T431" s="6" t="str">
        <f t="array" ref="T431">IF(
  B431="",
  ,
  DATEDIF(
    B431 + IF(INDEX(Input!$K$7:$K1503,ROW()-1),0,1),
    C431 + IF(INDEX(Input!$L$7:$L1503,ROW()-1),1,0),
    "Y"
  )
)</f>
        <v/>
      </c>
      <c r="U431" s="6" t="str">
        <f t="array" ref="U431">IF(
  B431="",
  ,
  (C431 + IF(INDEX(Input!$L$7:$L1503,ROW()-1),1,0))
  - EDATE(
      B431 + IF(INDEX(Input!$K$7:$K1503,ROW()-1),0,1),
      12*S431
    )
)</f>
        <v/>
      </c>
      <c r="V431" s="6" t="str">
        <f t="shared" si="5"/>
        <v/>
      </c>
      <c r="W431" s="6" t="str">
        <f t="shared" si="6"/>
        <v/>
      </c>
    </row>
    <row r="432">
      <c r="A432" s="18"/>
      <c r="B432" s="18"/>
      <c r="C432" s="18"/>
      <c r="D432" s="18"/>
      <c r="E432" s="18"/>
      <c r="F432" s="18"/>
      <c r="G432" s="22"/>
      <c r="H432" s="18"/>
      <c r="I432" s="18">
        <v>0.0</v>
      </c>
      <c r="J432" s="18">
        <v>0.0</v>
      </c>
      <c r="K432" s="18"/>
      <c r="L432" s="18"/>
      <c r="M432" s="22" t="str">
        <f t="shared" si="1"/>
        <v/>
      </c>
      <c r="N432" s="18" t="str">
        <f>IF(A432="",,IF(ROW()=2, Input!$C$2 + I432, P431 + I432))</f>
        <v/>
      </c>
      <c r="O432" s="23" t="str">
        <f>IF(A432="",,
 IF(K432="Initial principal",
   Input!$C$2 * M432,
   N432 * M432
 )
)</f>
        <v/>
      </c>
      <c r="P432" s="18" t="str">
        <f t="shared" si="2"/>
        <v/>
      </c>
      <c r="Q432" s="18" t="str">
        <f t="shared" si="3"/>
        <v/>
      </c>
      <c r="R432" s="18" t="str">
        <f t="array" ref="R432">IF(
  B432="",
  ,
  SWITCH(
    Input!$C$4,
    "Actual/365 Fixed",
      YEARFRAC(
        B432 + IF(INDEX(Input!$K$7:$K1503,ROW()-1),0,1),
        C432 + IF(INDEX(Input!$L$7:$L1503,ROW()-1),1,0),
        3
      ),
    "Anniversary/365",
      DATEDIF(
        B432 + IF(INDEX(Input!$K$7:$K1503,ROW()-1),0,1),
        C432 + IF(INDEX(Input!$L$7:$L1503,ROW()-1),1,0),
        "Y"
      )
      +
      (
        (C432 + IF(INDEX(Input!$L$7:$L1503,ROW()-1),1,0))
        -
        EDATE(
          B432 + IF(INDEX(Input!$K$7:$K1503,ROW()-1),0,1),
          12*DATEDIF(
            B432 + IF(INDEX(Input!$K$7:$K1503,ROW()-1),0,1),
            C432 + IF(INDEX(Input!$L$7:$L1503,ROW()-1),1,0),
            "Y"
          )
        )
      ) / 365,
    "Actual/Actual",
      YEARFRAC(
        B432 + IF(INDEX(Input!$K$7:$K1503,ROW()-1),0,1),
        C432 + IF(INDEX(Input!$L$7:$L1503,ROW()-1),1,0),
        1
      ),
      YEARFRAC(
        B432 + IF(INDEX(Input!$K$7:$K1503,ROW()-1),0,1),
        C432 + IF(INDEX(Input!$L$7:$L1503,ROW()-1),1,0),
        3
      )
  )
)</f>
        <v/>
      </c>
      <c r="S432" s="22" t="str">
        <f t="shared" si="4"/>
        <v/>
      </c>
      <c r="T432" s="6" t="str">
        <f t="array" ref="T432">IF(
  B432="",
  ,
  DATEDIF(
    B432 + IF(INDEX(Input!$K$7:$K1503,ROW()-1),0,1),
    C432 + IF(INDEX(Input!$L$7:$L1503,ROW()-1),1,0),
    "Y"
  )
)</f>
        <v/>
      </c>
      <c r="U432" s="6" t="str">
        <f t="array" ref="U432">IF(
  B432="",
  ,
  (C432 + IF(INDEX(Input!$L$7:$L1503,ROW()-1),1,0))
  - EDATE(
      B432 + IF(INDEX(Input!$K$7:$K1503,ROW()-1),0,1),
      12*S432
    )
)</f>
        <v/>
      </c>
      <c r="V432" s="6" t="str">
        <f t="shared" si="5"/>
        <v/>
      </c>
      <c r="W432" s="6" t="str">
        <f t="shared" si="6"/>
        <v/>
      </c>
    </row>
    <row r="433">
      <c r="A433" s="18"/>
      <c r="B433" s="18"/>
      <c r="C433" s="18"/>
      <c r="D433" s="18"/>
      <c r="E433" s="18"/>
      <c r="F433" s="18"/>
      <c r="G433" s="22"/>
      <c r="H433" s="18"/>
      <c r="I433" s="18">
        <v>0.0</v>
      </c>
      <c r="J433" s="18">
        <v>0.0</v>
      </c>
      <c r="K433" s="18"/>
      <c r="L433" s="18"/>
      <c r="M433" s="22" t="str">
        <f t="shared" si="1"/>
        <v/>
      </c>
      <c r="N433" s="18" t="str">
        <f>IF(A433="",,IF(ROW()=2, Input!$C$2 + I433, P432 + I433))</f>
        <v/>
      </c>
      <c r="O433" s="23" t="str">
        <f>IF(A433="",,
 IF(K433="Initial principal",
   Input!$C$2 * M433,
   N433 * M433
 )
)</f>
        <v/>
      </c>
      <c r="P433" s="18" t="str">
        <f t="shared" si="2"/>
        <v/>
      </c>
      <c r="Q433" s="18" t="str">
        <f t="shared" si="3"/>
        <v/>
      </c>
      <c r="R433" s="18" t="str">
        <f t="array" ref="R433">IF(
  B433="",
  ,
  SWITCH(
    Input!$C$4,
    "Actual/365 Fixed",
      YEARFRAC(
        B433 + IF(INDEX(Input!$K$7:$K1503,ROW()-1),0,1),
        C433 + IF(INDEX(Input!$L$7:$L1503,ROW()-1),1,0),
        3
      ),
    "Anniversary/365",
      DATEDIF(
        B433 + IF(INDEX(Input!$K$7:$K1503,ROW()-1),0,1),
        C433 + IF(INDEX(Input!$L$7:$L1503,ROW()-1),1,0),
        "Y"
      )
      +
      (
        (C433 + IF(INDEX(Input!$L$7:$L1503,ROW()-1),1,0))
        -
        EDATE(
          B433 + IF(INDEX(Input!$K$7:$K1503,ROW()-1),0,1),
          12*DATEDIF(
            B433 + IF(INDEX(Input!$K$7:$K1503,ROW()-1),0,1),
            C433 + IF(INDEX(Input!$L$7:$L1503,ROW()-1),1,0),
            "Y"
          )
        )
      ) / 365,
    "Actual/Actual",
      YEARFRAC(
        B433 + IF(INDEX(Input!$K$7:$K1503,ROW()-1),0,1),
        C433 + IF(INDEX(Input!$L$7:$L1503,ROW()-1),1,0),
        1
      ),
      YEARFRAC(
        B433 + IF(INDEX(Input!$K$7:$K1503,ROW()-1),0,1),
        C433 + IF(INDEX(Input!$L$7:$L1503,ROW()-1),1,0),
        3
      )
  )
)</f>
        <v/>
      </c>
      <c r="S433" s="22" t="str">
        <f t="shared" si="4"/>
        <v/>
      </c>
      <c r="T433" s="6" t="str">
        <f t="array" ref="T433">IF(
  B433="",
  ,
  DATEDIF(
    B433 + IF(INDEX(Input!$K$7:$K1503,ROW()-1),0,1),
    C433 + IF(INDEX(Input!$L$7:$L1503,ROW()-1),1,0),
    "Y"
  )
)</f>
        <v/>
      </c>
      <c r="U433" s="6" t="str">
        <f t="array" ref="U433">IF(
  B433="",
  ,
  (C433 + IF(INDEX(Input!$L$7:$L1503,ROW()-1),1,0))
  - EDATE(
      B433 + IF(INDEX(Input!$K$7:$K1503,ROW()-1),0,1),
      12*S433
    )
)</f>
        <v/>
      </c>
      <c r="V433" s="6" t="str">
        <f t="shared" si="5"/>
        <v/>
      </c>
      <c r="W433" s="6" t="str">
        <f t="shared" si="6"/>
        <v/>
      </c>
    </row>
    <row r="434">
      <c r="A434" s="18"/>
      <c r="B434" s="18"/>
      <c r="C434" s="18"/>
      <c r="D434" s="18"/>
      <c r="E434" s="18"/>
      <c r="F434" s="18"/>
      <c r="G434" s="22"/>
      <c r="H434" s="18"/>
      <c r="I434" s="18">
        <v>0.0</v>
      </c>
      <c r="J434" s="18">
        <v>0.0</v>
      </c>
      <c r="K434" s="18"/>
      <c r="L434" s="18"/>
      <c r="M434" s="22" t="str">
        <f t="shared" si="1"/>
        <v/>
      </c>
      <c r="N434" s="18" t="str">
        <f>IF(A434="",,IF(ROW()=2, Input!$C$2 + I434, P433 + I434))</f>
        <v/>
      </c>
      <c r="O434" s="23" t="str">
        <f>IF(A434="",,
 IF(K434="Initial principal",
   Input!$C$2 * M434,
   N434 * M434
 )
)</f>
        <v/>
      </c>
      <c r="P434" s="18" t="str">
        <f t="shared" si="2"/>
        <v/>
      </c>
      <c r="Q434" s="18" t="str">
        <f t="shared" si="3"/>
        <v/>
      </c>
      <c r="R434" s="18" t="str">
        <f t="array" ref="R434">IF(
  B434="",
  ,
  SWITCH(
    Input!$C$4,
    "Actual/365 Fixed",
      YEARFRAC(
        B434 + IF(INDEX(Input!$K$7:$K1503,ROW()-1),0,1),
        C434 + IF(INDEX(Input!$L$7:$L1503,ROW()-1),1,0),
        3
      ),
    "Anniversary/365",
      DATEDIF(
        B434 + IF(INDEX(Input!$K$7:$K1503,ROW()-1),0,1),
        C434 + IF(INDEX(Input!$L$7:$L1503,ROW()-1),1,0),
        "Y"
      )
      +
      (
        (C434 + IF(INDEX(Input!$L$7:$L1503,ROW()-1),1,0))
        -
        EDATE(
          B434 + IF(INDEX(Input!$K$7:$K1503,ROW()-1),0,1),
          12*DATEDIF(
            B434 + IF(INDEX(Input!$K$7:$K1503,ROW()-1),0,1),
            C434 + IF(INDEX(Input!$L$7:$L1503,ROW()-1),1,0),
            "Y"
          )
        )
      ) / 365,
    "Actual/Actual",
      YEARFRAC(
        B434 + IF(INDEX(Input!$K$7:$K1503,ROW()-1),0,1),
        C434 + IF(INDEX(Input!$L$7:$L1503,ROW()-1),1,0),
        1
      ),
      YEARFRAC(
        B434 + IF(INDEX(Input!$K$7:$K1503,ROW()-1),0,1),
        C434 + IF(INDEX(Input!$L$7:$L1503,ROW()-1),1,0),
        3
      )
  )
)</f>
        <v/>
      </c>
      <c r="S434" s="22" t="str">
        <f t="shared" si="4"/>
        <v/>
      </c>
      <c r="T434" s="6" t="str">
        <f t="array" ref="T434">IF(
  B434="",
  ,
  DATEDIF(
    B434 + IF(INDEX(Input!$K$7:$K1503,ROW()-1),0,1),
    C434 + IF(INDEX(Input!$L$7:$L1503,ROW()-1),1,0),
    "Y"
  )
)</f>
        <v/>
      </c>
      <c r="U434" s="6" t="str">
        <f t="array" ref="U434">IF(
  B434="",
  ,
  (C434 + IF(INDEX(Input!$L$7:$L1503,ROW()-1),1,0))
  - EDATE(
      B434 + IF(INDEX(Input!$K$7:$K1503,ROW()-1),0,1),
      12*S434
    )
)</f>
        <v/>
      </c>
      <c r="V434" s="6" t="str">
        <f t="shared" si="5"/>
        <v/>
      </c>
      <c r="W434" s="6" t="str">
        <f t="shared" si="6"/>
        <v/>
      </c>
    </row>
    <row r="435">
      <c r="A435" s="18"/>
      <c r="B435" s="18"/>
      <c r="C435" s="18"/>
      <c r="D435" s="18"/>
      <c r="E435" s="18"/>
      <c r="F435" s="18"/>
      <c r="G435" s="22"/>
      <c r="H435" s="18"/>
      <c r="I435" s="18">
        <v>0.0</v>
      </c>
      <c r="J435" s="18">
        <v>0.0</v>
      </c>
      <c r="K435" s="18"/>
      <c r="L435" s="18"/>
      <c r="M435" s="22" t="str">
        <f t="shared" si="1"/>
        <v/>
      </c>
      <c r="N435" s="18" t="str">
        <f>IF(A435="",,IF(ROW()=2, Input!$C$2 + I435, P434 + I435))</f>
        <v/>
      </c>
      <c r="O435" s="23" t="str">
        <f>IF(A435="",,
 IF(K435="Initial principal",
   Input!$C$2 * M435,
   N435 * M435
 )
)</f>
        <v/>
      </c>
      <c r="P435" s="18" t="str">
        <f t="shared" si="2"/>
        <v/>
      </c>
      <c r="Q435" s="18" t="str">
        <f t="shared" si="3"/>
        <v/>
      </c>
      <c r="R435" s="18" t="str">
        <f t="array" ref="R435">IF(
  B435="",
  ,
  SWITCH(
    Input!$C$4,
    "Actual/365 Fixed",
      YEARFRAC(
        B435 + IF(INDEX(Input!$K$7:$K1503,ROW()-1),0,1),
        C435 + IF(INDEX(Input!$L$7:$L1503,ROW()-1),1,0),
        3
      ),
    "Anniversary/365",
      DATEDIF(
        B435 + IF(INDEX(Input!$K$7:$K1503,ROW()-1),0,1),
        C435 + IF(INDEX(Input!$L$7:$L1503,ROW()-1),1,0),
        "Y"
      )
      +
      (
        (C435 + IF(INDEX(Input!$L$7:$L1503,ROW()-1),1,0))
        -
        EDATE(
          B435 + IF(INDEX(Input!$K$7:$K1503,ROW()-1),0,1),
          12*DATEDIF(
            B435 + IF(INDEX(Input!$K$7:$K1503,ROW()-1),0,1),
            C435 + IF(INDEX(Input!$L$7:$L1503,ROW()-1),1,0),
            "Y"
          )
        )
      ) / 365,
    "Actual/Actual",
      YEARFRAC(
        B435 + IF(INDEX(Input!$K$7:$K1503,ROW()-1),0,1),
        C435 + IF(INDEX(Input!$L$7:$L1503,ROW()-1),1,0),
        1
      ),
      YEARFRAC(
        B435 + IF(INDEX(Input!$K$7:$K1503,ROW()-1),0,1),
        C435 + IF(INDEX(Input!$L$7:$L1503,ROW()-1),1,0),
        3
      )
  )
)</f>
        <v/>
      </c>
      <c r="S435" s="22" t="str">
        <f t="shared" si="4"/>
        <v/>
      </c>
      <c r="T435" s="6" t="str">
        <f t="array" ref="T435">IF(
  B435="",
  ,
  DATEDIF(
    B435 + IF(INDEX(Input!$K$7:$K1503,ROW()-1),0,1),
    C435 + IF(INDEX(Input!$L$7:$L1503,ROW()-1),1,0),
    "Y"
  )
)</f>
        <v/>
      </c>
      <c r="U435" s="6" t="str">
        <f t="array" ref="U435">IF(
  B435="",
  ,
  (C435 + IF(INDEX(Input!$L$7:$L1503,ROW()-1),1,0))
  - EDATE(
      B435 + IF(INDEX(Input!$K$7:$K1503,ROW()-1),0,1),
      12*S435
    )
)</f>
        <v/>
      </c>
      <c r="V435" s="6" t="str">
        <f t="shared" si="5"/>
        <v/>
      </c>
      <c r="W435" s="6" t="str">
        <f t="shared" si="6"/>
        <v/>
      </c>
    </row>
    <row r="436">
      <c r="A436" s="18"/>
      <c r="B436" s="18"/>
      <c r="C436" s="18"/>
      <c r="D436" s="18"/>
      <c r="E436" s="18"/>
      <c r="F436" s="18"/>
      <c r="G436" s="22"/>
      <c r="H436" s="18"/>
      <c r="I436" s="18">
        <v>0.0</v>
      </c>
      <c r="J436" s="18">
        <v>0.0</v>
      </c>
      <c r="K436" s="18"/>
      <c r="L436" s="18"/>
      <c r="M436" s="22" t="str">
        <f t="shared" si="1"/>
        <v/>
      </c>
      <c r="N436" s="18" t="str">
        <f>IF(A436="",,IF(ROW()=2, Input!$C$2 + I436, P435 + I436))</f>
        <v/>
      </c>
      <c r="O436" s="23" t="str">
        <f>IF(A436="",,
 IF(K436="Initial principal",
   Input!$C$2 * M436,
   N436 * M436
 )
)</f>
        <v/>
      </c>
      <c r="P436" s="18" t="str">
        <f t="shared" si="2"/>
        <v/>
      </c>
      <c r="Q436" s="18" t="str">
        <f t="shared" si="3"/>
        <v/>
      </c>
      <c r="R436" s="18" t="str">
        <f t="array" ref="R436">IF(
  B436="",
  ,
  SWITCH(
    Input!$C$4,
    "Actual/365 Fixed",
      YEARFRAC(
        B436 + IF(INDEX(Input!$K$7:$K1503,ROW()-1),0,1),
        C436 + IF(INDEX(Input!$L$7:$L1503,ROW()-1),1,0),
        3
      ),
    "Anniversary/365",
      DATEDIF(
        B436 + IF(INDEX(Input!$K$7:$K1503,ROW()-1),0,1),
        C436 + IF(INDEX(Input!$L$7:$L1503,ROW()-1),1,0),
        "Y"
      )
      +
      (
        (C436 + IF(INDEX(Input!$L$7:$L1503,ROW()-1),1,0))
        -
        EDATE(
          B436 + IF(INDEX(Input!$K$7:$K1503,ROW()-1),0,1),
          12*DATEDIF(
            B436 + IF(INDEX(Input!$K$7:$K1503,ROW()-1),0,1),
            C436 + IF(INDEX(Input!$L$7:$L1503,ROW()-1),1,0),
            "Y"
          )
        )
      ) / 365,
    "Actual/Actual",
      YEARFRAC(
        B436 + IF(INDEX(Input!$K$7:$K1503,ROW()-1),0,1),
        C436 + IF(INDEX(Input!$L$7:$L1503,ROW()-1),1,0),
        1
      ),
      YEARFRAC(
        B436 + IF(INDEX(Input!$K$7:$K1503,ROW()-1),0,1),
        C436 + IF(INDEX(Input!$L$7:$L1503,ROW()-1),1,0),
        3
      )
  )
)</f>
        <v/>
      </c>
      <c r="S436" s="22" t="str">
        <f t="shared" si="4"/>
        <v/>
      </c>
      <c r="T436" s="6" t="str">
        <f t="array" ref="T436">IF(
  B436="",
  ,
  DATEDIF(
    B436 + IF(INDEX(Input!$K$7:$K1503,ROW()-1),0,1),
    C436 + IF(INDEX(Input!$L$7:$L1503,ROW()-1),1,0),
    "Y"
  )
)</f>
        <v/>
      </c>
      <c r="U436" s="6" t="str">
        <f t="array" ref="U436">IF(
  B436="",
  ,
  (C436 + IF(INDEX(Input!$L$7:$L1503,ROW()-1),1,0))
  - EDATE(
      B436 + IF(INDEX(Input!$K$7:$K1503,ROW()-1),0,1),
      12*S436
    )
)</f>
        <v/>
      </c>
      <c r="V436" s="6" t="str">
        <f t="shared" si="5"/>
        <v/>
      </c>
      <c r="W436" s="6" t="str">
        <f t="shared" si="6"/>
        <v/>
      </c>
    </row>
    <row r="437">
      <c r="A437" s="18"/>
      <c r="B437" s="18"/>
      <c r="C437" s="18"/>
      <c r="D437" s="18"/>
      <c r="E437" s="18"/>
      <c r="F437" s="18"/>
      <c r="G437" s="22"/>
      <c r="H437" s="18"/>
      <c r="I437" s="18">
        <v>0.0</v>
      </c>
      <c r="J437" s="18">
        <v>0.0</v>
      </c>
      <c r="K437" s="18"/>
      <c r="L437" s="18"/>
      <c r="M437" s="22" t="str">
        <f t="shared" si="1"/>
        <v/>
      </c>
      <c r="N437" s="18" t="str">
        <f>IF(A437="",,IF(ROW()=2, Input!$C$2 + I437, P436 + I437))</f>
        <v/>
      </c>
      <c r="O437" s="23" t="str">
        <f>IF(A437="",,
 IF(K437="Initial principal",
   Input!$C$2 * M437,
   N437 * M437
 )
)</f>
        <v/>
      </c>
      <c r="P437" s="18" t="str">
        <f t="shared" si="2"/>
        <v/>
      </c>
      <c r="Q437" s="18" t="str">
        <f t="shared" si="3"/>
        <v/>
      </c>
      <c r="R437" s="18" t="str">
        <f t="array" ref="R437">IF(
  B437="",
  ,
  SWITCH(
    Input!$C$4,
    "Actual/365 Fixed",
      YEARFRAC(
        B437 + IF(INDEX(Input!$K$7:$K1503,ROW()-1),0,1),
        C437 + IF(INDEX(Input!$L$7:$L1503,ROW()-1),1,0),
        3
      ),
    "Anniversary/365",
      DATEDIF(
        B437 + IF(INDEX(Input!$K$7:$K1503,ROW()-1),0,1),
        C437 + IF(INDEX(Input!$L$7:$L1503,ROW()-1),1,0),
        "Y"
      )
      +
      (
        (C437 + IF(INDEX(Input!$L$7:$L1503,ROW()-1),1,0))
        -
        EDATE(
          B437 + IF(INDEX(Input!$K$7:$K1503,ROW()-1),0,1),
          12*DATEDIF(
            B437 + IF(INDEX(Input!$K$7:$K1503,ROW()-1),0,1),
            C437 + IF(INDEX(Input!$L$7:$L1503,ROW()-1),1,0),
            "Y"
          )
        )
      ) / 365,
    "Actual/Actual",
      YEARFRAC(
        B437 + IF(INDEX(Input!$K$7:$K1503,ROW()-1),0,1),
        C437 + IF(INDEX(Input!$L$7:$L1503,ROW()-1),1,0),
        1
      ),
      YEARFRAC(
        B437 + IF(INDEX(Input!$K$7:$K1503,ROW()-1),0,1),
        C437 + IF(INDEX(Input!$L$7:$L1503,ROW()-1),1,0),
        3
      )
  )
)</f>
        <v/>
      </c>
      <c r="S437" s="22" t="str">
        <f t="shared" si="4"/>
        <v/>
      </c>
      <c r="T437" s="6" t="str">
        <f t="array" ref="T437">IF(
  B437="",
  ,
  DATEDIF(
    B437 + IF(INDEX(Input!$K$7:$K1503,ROW()-1),0,1),
    C437 + IF(INDEX(Input!$L$7:$L1503,ROW()-1),1,0),
    "Y"
  )
)</f>
        <v/>
      </c>
      <c r="U437" s="6" t="str">
        <f t="array" ref="U437">IF(
  B437="",
  ,
  (C437 + IF(INDEX(Input!$L$7:$L1503,ROW()-1),1,0))
  - EDATE(
      B437 + IF(INDEX(Input!$K$7:$K1503,ROW()-1),0,1),
      12*S437
    )
)</f>
        <v/>
      </c>
      <c r="V437" s="6" t="str">
        <f t="shared" si="5"/>
        <v/>
      </c>
      <c r="W437" s="6" t="str">
        <f t="shared" si="6"/>
        <v/>
      </c>
    </row>
    <row r="438">
      <c r="A438" s="18"/>
      <c r="B438" s="18"/>
      <c r="C438" s="18"/>
      <c r="D438" s="18"/>
      <c r="E438" s="18"/>
      <c r="F438" s="18"/>
      <c r="G438" s="22"/>
      <c r="H438" s="18"/>
      <c r="I438" s="18">
        <v>0.0</v>
      </c>
      <c r="J438" s="18">
        <v>0.0</v>
      </c>
      <c r="K438" s="18"/>
      <c r="L438" s="18"/>
      <c r="M438" s="22" t="str">
        <f t="shared" si="1"/>
        <v/>
      </c>
      <c r="N438" s="18" t="str">
        <f>IF(A438="",,IF(ROW()=2, Input!$C$2 + I438, P437 + I438))</f>
        <v/>
      </c>
      <c r="O438" s="23" t="str">
        <f>IF(A438="",,
 IF(K438="Initial principal",
   Input!$C$2 * M438,
   N438 * M438
 )
)</f>
        <v/>
      </c>
      <c r="P438" s="18" t="str">
        <f t="shared" si="2"/>
        <v/>
      </c>
      <c r="Q438" s="18" t="str">
        <f t="shared" si="3"/>
        <v/>
      </c>
      <c r="R438" s="18" t="str">
        <f t="array" ref="R438">IF(
  B438="",
  ,
  SWITCH(
    Input!$C$4,
    "Actual/365 Fixed",
      YEARFRAC(
        B438 + IF(INDEX(Input!$K$7:$K1503,ROW()-1),0,1),
        C438 + IF(INDEX(Input!$L$7:$L1503,ROW()-1),1,0),
        3
      ),
    "Anniversary/365",
      DATEDIF(
        B438 + IF(INDEX(Input!$K$7:$K1503,ROW()-1),0,1),
        C438 + IF(INDEX(Input!$L$7:$L1503,ROW()-1),1,0),
        "Y"
      )
      +
      (
        (C438 + IF(INDEX(Input!$L$7:$L1503,ROW()-1),1,0))
        -
        EDATE(
          B438 + IF(INDEX(Input!$K$7:$K1503,ROW()-1),0,1),
          12*DATEDIF(
            B438 + IF(INDEX(Input!$K$7:$K1503,ROW()-1),0,1),
            C438 + IF(INDEX(Input!$L$7:$L1503,ROW()-1),1,0),
            "Y"
          )
        )
      ) / 365,
    "Actual/Actual",
      YEARFRAC(
        B438 + IF(INDEX(Input!$K$7:$K1503,ROW()-1),0,1),
        C438 + IF(INDEX(Input!$L$7:$L1503,ROW()-1),1,0),
        1
      ),
      YEARFRAC(
        B438 + IF(INDEX(Input!$K$7:$K1503,ROW()-1),0,1),
        C438 + IF(INDEX(Input!$L$7:$L1503,ROW()-1),1,0),
        3
      )
  )
)</f>
        <v/>
      </c>
      <c r="S438" s="22" t="str">
        <f t="shared" si="4"/>
        <v/>
      </c>
      <c r="T438" s="6" t="str">
        <f t="array" ref="T438">IF(
  B438="",
  ,
  DATEDIF(
    B438 + IF(INDEX(Input!$K$7:$K1503,ROW()-1),0,1),
    C438 + IF(INDEX(Input!$L$7:$L1503,ROW()-1),1,0),
    "Y"
  )
)</f>
        <v/>
      </c>
      <c r="U438" s="6" t="str">
        <f t="array" ref="U438">IF(
  B438="",
  ,
  (C438 + IF(INDEX(Input!$L$7:$L1503,ROW()-1),1,0))
  - EDATE(
      B438 + IF(INDEX(Input!$K$7:$K1503,ROW()-1),0,1),
      12*S438
    )
)</f>
        <v/>
      </c>
      <c r="V438" s="6" t="str">
        <f t="shared" si="5"/>
        <v/>
      </c>
      <c r="W438" s="6" t="str">
        <f t="shared" si="6"/>
        <v/>
      </c>
    </row>
    <row r="439">
      <c r="A439" s="18"/>
      <c r="B439" s="18"/>
      <c r="C439" s="18"/>
      <c r="D439" s="18"/>
      <c r="E439" s="18"/>
      <c r="F439" s="18"/>
      <c r="G439" s="22"/>
      <c r="H439" s="18"/>
      <c r="I439" s="18">
        <v>0.0</v>
      </c>
      <c r="J439" s="18">
        <v>0.0</v>
      </c>
      <c r="K439" s="18"/>
      <c r="L439" s="18"/>
      <c r="M439" s="22" t="str">
        <f t="shared" si="1"/>
        <v/>
      </c>
      <c r="N439" s="18" t="str">
        <f>IF(A439="",,IF(ROW()=2, Input!$C$2 + I439, P438 + I439))</f>
        <v/>
      </c>
      <c r="O439" s="23" t="str">
        <f>IF(A439="",,
 IF(K439="Initial principal",
   Input!$C$2 * M439,
   N439 * M439
 )
)</f>
        <v/>
      </c>
      <c r="P439" s="18" t="str">
        <f t="shared" si="2"/>
        <v/>
      </c>
      <c r="Q439" s="18" t="str">
        <f t="shared" si="3"/>
        <v/>
      </c>
      <c r="R439" s="18" t="str">
        <f t="array" ref="R439">IF(
  B439="",
  ,
  SWITCH(
    Input!$C$4,
    "Actual/365 Fixed",
      YEARFRAC(
        B439 + IF(INDEX(Input!$K$7:$K1503,ROW()-1),0,1),
        C439 + IF(INDEX(Input!$L$7:$L1503,ROW()-1),1,0),
        3
      ),
    "Anniversary/365",
      DATEDIF(
        B439 + IF(INDEX(Input!$K$7:$K1503,ROW()-1),0,1),
        C439 + IF(INDEX(Input!$L$7:$L1503,ROW()-1),1,0),
        "Y"
      )
      +
      (
        (C439 + IF(INDEX(Input!$L$7:$L1503,ROW()-1),1,0))
        -
        EDATE(
          B439 + IF(INDEX(Input!$K$7:$K1503,ROW()-1),0,1),
          12*DATEDIF(
            B439 + IF(INDEX(Input!$K$7:$K1503,ROW()-1),0,1),
            C439 + IF(INDEX(Input!$L$7:$L1503,ROW()-1),1,0),
            "Y"
          )
        )
      ) / 365,
    "Actual/Actual",
      YEARFRAC(
        B439 + IF(INDEX(Input!$K$7:$K1503,ROW()-1),0,1),
        C439 + IF(INDEX(Input!$L$7:$L1503,ROW()-1),1,0),
        1
      ),
      YEARFRAC(
        B439 + IF(INDEX(Input!$K$7:$K1503,ROW()-1),0,1),
        C439 + IF(INDEX(Input!$L$7:$L1503,ROW()-1),1,0),
        3
      )
  )
)</f>
        <v/>
      </c>
      <c r="S439" s="22" t="str">
        <f t="shared" si="4"/>
        <v/>
      </c>
      <c r="T439" s="6" t="str">
        <f t="array" ref="T439">IF(
  B439="",
  ,
  DATEDIF(
    B439 + IF(INDEX(Input!$K$7:$K1503,ROW()-1),0,1),
    C439 + IF(INDEX(Input!$L$7:$L1503,ROW()-1),1,0),
    "Y"
  )
)</f>
        <v/>
      </c>
      <c r="U439" s="6" t="str">
        <f t="array" ref="U439">IF(
  B439="",
  ,
  (C439 + IF(INDEX(Input!$L$7:$L1503,ROW()-1),1,0))
  - EDATE(
      B439 + IF(INDEX(Input!$K$7:$K1503,ROW()-1),0,1),
      12*S439
    )
)</f>
        <v/>
      </c>
      <c r="V439" s="6" t="str">
        <f t="shared" si="5"/>
        <v/>
      </c>
      <c r="W439" s="6" t="str">
        <f t="shared" si="6"/>
        <v/>
      </c>
    </row>
    <row r="440">
      <c r="A440" s="18"/>
      <c r="B440" s="18"/>
      <c r="C440" s="18"/>
      <c r="D440" s="18"/>
      <c r="E440" s="18"/>
      <c r="F440" s="18"/>
      <c r="G440" s="22"/>
      <c r="H440" s="18"/>
      <c r="I440" s="18">
        <v>0.0</v>
      </c>
      <c r="J440" s="18">
        <v>0.0</v>
      </c>
      <c r="K440" s="18"/>
      <c r="L440" s="18"/>
      <c r="M440" s="22" t="str">
        <f t="shared" si="1"/>
        <v/>
      </c>
      <c r="N440" s="18" t="str">
        <f>IF(A440="",,IF(ROW()=2, Input!$C$2 + I440, P439 + I440))</f>
        <v/>
      </c>
      <c r="O440" s="23" t="str">
        <f>IF(A440="",,
 IF(K440="Initial principal",
   Input!$C$2 * M440,
   N440 * M440
 )
)</f>
        <v/>
      </c>
      <c r="P440" s="18" t="str">
        <f t="shared" si="2"/>
        <v/>
      </c>
      <c r="Q440" s="18" t="str">
        <f t="shared" si="3"/>
        <v/>
      </c>
      <c r="R440" s="18" t="str">
        <f t="array" ref="R440">IF(
  B440="",
  ,
  SWITCH(
    Input!$C$4,
    "Actual/365 Fixed",
      YEARFRAC(
        B440 + IF(INDEX(Input!$K$7:$K1503,ROW()-1),0,1),
        C440 + IF(INDEX(Input!$L$7:$L1503,ROW()-1),1,0),
        3
      ),
    "Anniversary/365",
      DATEDIF(
        B440 + IF(INDEX(Input!$K$7:$K1503,ROW()-1),0,1),
        C440 + IF(INDEX(Input!$L$7:$L1503,ROW()-1),1,0),
        "Y"
      )
      +
      (
        (C440 + IF(INDEX(Input!$L$7:$L1503,ROW()-1),1,0))
        -
        EDATE(
          B440 + IF(INDEX(Input!$K$7:$K1503,ROW()-1),0,1),
          12*DATEDIF(
            B440 + IF(INDEX(Input!$K$7:$K1503,ROW()-1),0,1),
            C440 + IF(INDEX(Input!$L$7:$L1503,ROW()-1),1,0),
            "Y"
          )
        )
      ) / 365,
    "Actual/Actual",
      YEARFRAC(
        B440 + IF(INDEX(Input!$K$7:$K1503,ROW()-1),0,1),
        C440 + IF(INDEX(Input!$L$7:$L1503,ROW()-1),1,0),
        1
      ),
      YEARFRAC(
        B440 + IF(INDEX(Input!$K$7:$K1503,ROW()-1),0,1),
        C440 + IF(INDEX(Input!$L$7:$L1503,ROW()-1),1,0),
        3
      )
  )
)</f>
        <v/>
      </c>
      <c r="S440" s="22" t="str">
        <f t="shared" si="4"/>
        <v/>
      </c>
      <c r="T440" s="6" t="str">
        <f t="array" ref="T440">IF(
  B440="",
  ,
  DATEDIF(
    B440 + IF(INDEX(Input!$K$7:$K1503,ROW()-1),0,1),
    C440 + IF(INDEX(Input!$L$7:$L1503,ROW()-1),1,0),
    "Y"
  )
)</f>
        <v/>
      </c>
      <c r="U440" s="6" t="str">
        <f t="array" ref="U440">IF(
  B440="",
  ,
  (C440 + IF(INDEX(Input!$L$7:$L1503,ROW()-1),1,0))
  - EDATE(
      B440 + IF(INDEX(Input!$K$7:$K1503,ROW()-1),0,1),
      12*S440
    )
)</f>
        <v/>
      </c>
      <c r="V440" s="6" t="str">
        <f t="shared" si="5"/>
        <v/>
      </c>
      <c r="W440" s="6" t="str">
        <f t="shared" si="6"/>
        <v/>
      </c>
    </row>
    <row r="441">
      <c r="A441" s="18"/>
      <c r="B441" s="18"/>
      <c r="C441" s="18"/>
      <c r="D441" s="18"/>
      <c r="E441" s="18"/>
      <c r="F441" s="18"/>
      <c r="G441" s="22"/>
      <c r="H441" s="18"/>
      <c r="I441" s="18">
        <v>0.0</v>
      </c>
      <c r="J441" s="18">
        <v>0.0</v>
      </c>
      <c r="K441" s="18"/>
      <c r="L441" s="18"/>
      <c r="M441" s="22" t="str">
        <f t="shared" si="1"/>
        <v/>
      </c>
      <c r="N441" s="18" t="str">
        <f>IF(A441="",,IF(ROW()=2, Input!$C$2 + I441, P440 + I441))</f>
        <v/>
      </c>
      <c r="O441" s="23" t="str">
        <f>IF(A441="",,
 IF(K441="Initial principal",
   Input!$C$2 * M441,
   N441 * M441
 )
)</f>
        <v/>
      </c>
      <c r="P441" s="18" t="str">
        <f t="shared" si="2"/>
        <v/>
      </c>
      <c r="Q441" s="18" t="str">
        <f t="shared" si="3"/>
        <v/>
      </c>
      <c r="R441" s="18" t="str">
        <f t="array" ref="R441">IF(
  B441="",
  ,
  SWITCH(
    Input!$C$4,
    "Actual/365 Fixed",
      YEARFRAC(
        B441 + IF(INDEX(Input!$K$7:$K1503,ROW()-1),0,1),
        C441 + IF(INDEX(Input!$L$7:$L1503,ROW()-1),1,0),
        3
      ),
    "Anniversary/365",
      DATEDIF(
        B441 + IF(INDEX(Input!$K$7:$K1503,ROW()-1),0,1),
        C441 + IF(INDEX(Input!$L$7:$L1503,ROW()-1),1,0),
        "Y"
      )
      +
      (
        (C441 + IF(INDEX(Input!$L$7:$L1503,ROW()-1),1,0))
        -
        EDATE(
          B441 + IF(INDEX(Input!$K$7:$K1503,ROW()-1),0,1),
          12*DATEDIF(
            B441 + IF(INDEX(Input!$K$7:$K1503,ROW()-1),0,1),
            C441 + IF(INDEX(Input!$L$7:$L1503,ROW()-1),1,0),
            "Y"
          )
        )
      ) / 365,
    "Actual/Actual",
      YEARFRAC(
        B441 + IF(INDEX(Input!$K$7:$K1503,ROW()-1),0,1),
        C441 + IF(INDEX(Input!$L$7:$L1503,ROW()-1),1,0),
        1
      ),
      YEARFRAC(
        B441 + IF(INDEX(Input!$K$7:$K1503,ROW()-1),0,1),
        C441 + IF(INDEX(Input!$L$7:$L1503,ROW()-1),1,0),
        3
      )
  )
)</f>
        <v/>
      </c>
      <c r="S441" s="22" t="str">
        <f t="shared" si="4"/>
        <v/>
      </c>
      <c r="T441" s="6" t="str">
        <f t="array" ref="T441">IF(
  B441="",
  ,
  DATEDIF(
    B441 + IF(INDEX(Input!$K$7:$K1503,ROW()-1),0,1),
    C441 + IF(INDEX(Input!$L$7:$L1503,ROW()-1),1,0),
    "Y"
  )
)</f>
        <v/>
      </c>
      <c r="U441" s="6" t="str">
        <f t="array" ref="U441">IF(
  B441="",
  ,
  (C441 + IF(INDEX(Input!$L$7:$L1503,ROW()-1),1,0))
  - EDATE(
      B441 + IF(INDEX(Input!$K$7:$K1503,ROW()-1),0,1),
      12*S441
    )
)</f>
        <v/>
      </c>
      <c r="V441" s="6" t="str">
        <f t="shared" si="5"/>
        <v/>
      </c>
      <c r="W441" s="6" t="str">
        <f t="shared" si="6"/>
        <v/>
      </c>
    </row>
    <row r="442">
      <c r="A442" s="18"/>
      <c r="B442" s="18"/>
      <c r="C442" s="18"/>
      <c r="D442" s="18"/>
      <c r="E442" s="18"/>
      <c r="F442" s="18"/>
      <c r="G442" s="22"/>
      <c r="H442" s="18"/>
      <c r="I442" s="18">
        <v>0.0</v>
      </c>
      <c r="J442" s="18">
        <v>0.0</v>
      </c>
      <c r="K442" s="18"/>
      <c r="L442" s="18"/>
      <c r="M442" s="22" t="str">
        <f t="shared" si="1"/>
        <v/>
      </c>
      <c r="N442" s="18" t="str">
        <f>IF(A442="",,IF(ROW()=2, Input!$C$2 + I442, P441 + I442))</f>
        <v/>
      </c>
      <c r="O442" s="23" t="str">
        <f>IF(A442="",,
 IF(K442="Initial principal",
   Input!$C$2 * M442,
   N442 * M442
 )
)</f>
        <v/>
      </c>
      <c r="P442" s="18" t="str">
        <f t="shared" si="2"/>
        <v/>
      </c>
      <c r="Q442" s="18" t="str">
        <f t="shared" si="3"/>
        <v/>
      </c>
      <c r="R442" s="18" t="str">
        <f t="array" ref="R442">IF(
  B442="",
  ,
  SWITCH(
    Input!$C$4,
    "Actual/365 Fixed",
      YEARFRAC(
        B442 + IF(INDEX(Input!$K$7:$K1503,ROW()-1),0,1),
        C442 + IF(INDEX(Input!$L$7:$L1503,ROW()-1),1,0),
        3
      ),
    "Anniversary/365",
      DATEDIF(
        B442 + IF(INDEX(Input!$K$7:$K1503,ROW()-1),0,1),
        C442 + IF(INDEX(Input!$L$7:$L1503,ROW()-1),1,0),
        "Y"
      )
      +
      (
        (C442 + IF(INDEX(Input!$L$7:$L1503,ROW()-1),1,0))
        -
        EDATE(
          B442 + IF(INDEX(Input!$K$7:$K1503,ROW()-1),0,1),
          12*DATEDIF(
            B442 + IF(INDEX(Input!$K$7:$K1503,ROW()-1),0,1),
            C442 + IF(INDEX(Input!$L$7:$L1503,ROW()-1),1,0),
            "Y"
          )
        )
      ) / 365,
    "Actual/Actual",
      YEARFRAC(
        B442 + IF(INDEX(Input!$K$7:$K1503,ROW()-1),0,1),
        C442 + IF(INDEX(Input!$L$7:$L1503,ROW()-1),1,0),
        1
      ),
      YEARFRAC(
        B442 + IF(INDEX(Input!$K$7:$K1503,ROW()-1),0,1),
        C442 + IF(INDEX(Input!$L$7:$L1503,ROW()-1),1,0),
        3
      )
  )
)</f>
        <v/>
      </c>
      <c r="S442" s="22" t="str">
        <f t="shared" si="4"/>
        <v/>
      </c>
      <c r="T442" s="6" t="str">
        <f t="array" ref="T442">IF(
  B442="",
  ,
  DATEDIF(
    B442 + IF(INDEX(Input!$K$7:$K1503,ROW()-1),0,1),
    C442 + IF(INDEX(Input!$L$7:$L1503,ROW()-1),1,0),
    "Y"
  )
)</f>
        <v/>
      </c>
      <c r="U442" s="6" t="str">
        <f t="array" ref="U442">IF(
  B442="",
  ,
  (C442 + IF(INDEX(Input!$L$7:$L1503,ROW()-1),1,0))
  - EDATE(
      B442 + IF(INDEX(Input!$K$7:$K1503,ROW()-1),0,1),
      12*S442
    )
)</f>
        <v/>
      </c>
      <c r="V442" s="6" t="str">
        <f t="shared" si="5"/>
        <v/>
      </c>
      <c r="W442" s="6" t="str">
        <f t="shared" si="6"/>
        <v/>
      </c>
    </row>
    <row r="443">
      <c r="A443" s="18"/>
      <c r="B443" s="18"/>
      <c r="C443" s="18"/>
      <c r="D443" s="18"/>
      <c r="E443" s="18"/>
      <c r="F443" s="18"/>
      <c r="G443" s="22"/>
      <c r="H443" s="18"/>
      <c r="I443" s="18">
        <v>0.0</v>
      </c>
      <c r="J443" s="18">
        <v>0.0</v>
      </c>
      <c r="K443" s="18"/>
      <c r="L443" s="18"/>
      <c r="M443" s="22" t="str">
        <f t="shared" si="1"/>
        <v/>
      </c>
      <c r="N443" s="18" t="str">
        <f>IF(A443="",,IF(ROW()=2, Input!$C$2 + I443, P442 + I443))</f>
        <v/>
      </c>
      <c r="O443" s="23" t="str">
        <f>IF(A443="",,
 IF(K443="Initial principal",
   Input!$C$2 * M443,
   N443 * M443
 )
)</f>
        <v/>
      </c>
      <c r="P443" s="18" t="str">
        <f t="shared" si="2"/>
        <v/>
      </c>
      <c r="Q443" s="18" t="str">
        <f t="shared" si="3"/>
        <v/>
      </c>
      <c r="R443" s="18" t="str">
        <f t="array" ref="R443">IF(
  B443="",
  ,
  SWITCH(
    Input!$C$4,
    "Actual/365 Fixed",
      YEARFRAC(
        B443 + IF(INDEX(Input!$K$7:$K1503,ROW()-1),0,1),
        C443 + IF(INDEX(Input!$L$7:$L1503,ROW()-1),1,0),
        3
      ),
    "Anniversary/365",
      DATEDIF(
        B443 + IF(INDEX(Input!$K$7:$K1503,ROW()-1),0,1),
        C443 + IF(INDEX(Input!$L$7:$L1503,ROW()-1),1,0),
        "Y"
      )
      +
      (
        (C443 + IF(INDEX(Input!$L$7:$L1503,ROW()-1),1,0))
        -
        EDATE(
          B443 + IF(INDEX(Input!$K$7:$K1503,ROW()-1),0,1),
          12*DATEDIF(
            B443 + IF(INDEX(Input!$K$7:$K1503,ROW()-1),0,1),
            C443 + IF(INDEX(Input!$L$7:$L1503,ROW()-1),1,0),
            "Y"
          )
        )
      ) / 365,
    "Actual/Actual",
      YEARFRAC(
        B443 + IF(INDEX(Input!$K$7:$K1503,ROW()-1),0,1),
        C443 + IF(INDEX(Input!$L$7:$L1503,ROW()-1),1,0),
        1
      ),
      YEARFRAC(
        B443 + IF(INDEX(Input!$K$7:$K1503,ROW()-1),0,1),
        C443 + IF(INDEX(Input!$L$7:$L1503,ROW()-1),1,0),
        3
      )
  )
)</f>
        <v/>
      </c>
      <c r="S443" s="22" t="str">
        <f t="shared" si="4"/>
        <v/>
      </c>
      <c r="T443" s="6" t="str">
        <f t="array" ref="T443">IF(
  B443="",
  ,
  DATEDIF(
    B443 + IF(INDEX(Input!$K$7:$K1503,ROW()-1),0,1),
    C443 + IF(INDEX(Input!$L$7:$L1503,ROW()-1),1,0),
    "Y"
  )
)</f>
        <v/>
      </c>
      <c r="U443" s="6" t="str">
        <f t="array" ref="U443">IF(
  B443="",
  ,
  (C443 + IF(INDEX(Input!$L$7:$L1503,ROW()-1),1,0))
  - EDATE(
      B443 + IF(INDEX(Input!$K$7:$K1503,ROW()-1),0,1),
      12*S443
    )
)</f>
        <v/>
      </c>
      <c r="V443" s="6" t="str">
        <f t="shared" si="5"/>
        <v/>
      </c>
      <c r="W443" s="6" t="str">
        <f t="shared" si="6"/>
        <v/>
      </c>
    </row>
    <row r="444">
      <c r="A444" s="18"/>
      <c r="B444" s="18"/>
      <c r="C444" s="18"/>
      <c r="D444" s="18"/>
      <c r="E444" s="18"/>
      <c r="F444" s="18"/>
      <c r="G444" s="22"/>
      <c r="H444" s="18"/>
      <c r="I444" s="18">
        <v>0.0</v>
      </c>
      <c r="J444" s="18">
        <v>0.0</v>
      </c>
      <c r="K444" s="18"/>
      <c r="L444" s="18"/>
      <c r="M444" s="22" t="str">
        <f t="shared" si="1"/>
        <v/>
      </c>
      <c r="N444" s="18" t="str">
        <f>IF(A444="",,IF(ROW()=2, Input!$C$2 + I444, P443 + I444))</f>
        <v/>
      </c>
      <c r="O444" s="23" t="str">
        <f>IF(A444="",,
 IF(K444="Initial principal",
   Input!$C$2 * M444,
   N444 * M444
 )
)</f>
        <v/>
      </c>
      <c r="P444" s="18" t="str">
        <f t="shared" si="2"/>
        <v/>
      </c>
      <c r="Q444" s="18" t="str">
        <f t="shared" si="3"/>
        <v/>
      </c>
      <c r="R444" s="18" t="str">
        <f t="array" ref="R444">IF(
  B444="",
  ,
  SWITCH(
    Input!$C$4,
    "Actual/365 Fixed",
      YEARFRAC(
        B444 + IF(INDEX(Input!$K$7:$K1503,ROW()-1),0,1),
        C444 + IF(INDEX(Input!$L$7:$L1503,ROW()-1),1,0),
        3
      ),
    "Anniversary/365",
      DATEDIF(
        B444 + IF(INDEX(Input!$K$7:$K1503,ROW()-1),0,1),
        C444 + IF(INDEX(Input!$L$7:$L1503,ROW()-1),1,0),
        "Y"
      )
      +
      (
        (C444 + IF(INDEX(Input!$L$7:$L1503,ROW()-1),1,0))
        -
        EDATE(
          B444 + IF(INDEX(Input!$K$7:$K1503,ROW()-1),0,1),
          12*DATEDIF(
            B444 + IF(INDEX(Input!$K$7:$K1503,ROW()-1),0,1),
            C444 + IF(INDEX(Input!$L$7:$L1503,ROW()-1),1,0),
            "Y"
          )
        )
      ) / 365,
    "Actual/Actual",
      YEARFRAC(
        B444 + IF(INDEX(Input!$K$7:$K1503,ROW()-1),0,1),
        C444 + IF(INDEX(Input!$L$7:$L1503,ROW()-1),1,0),
        1
      ),
      YEARFRAC(
        B444 + IF(INDEX(Input!$K$7:$K1503,ROW()-1),0,1),
        C444 + IF(INDEX(Input!$L$7:$L1503,ROW()-1),1,0),
        3
      )
  )
)</f>
        <v/>
      </c>
      <c r="S444" s="22" t="str">
        <f t="shared" si="4"/>
        <v/>
      </c>
      <c r="T444" s="6" t="str">
        <f t="array" ref="T444">IF(
  B444="",
  ,
  DATEDIF(
    B444 + IF(INDEX(Input!$K$7:$K1503,ROW()-1),0,1),
    C444 + IF(INDEX(Input!$L$7:$L1503,ROW()-1),1,0),
    "Y"
  )
)</f>
        <v/>
      </c>
      <c r="U444" s="6" t="str">
        <f t="array" ref="U444">IF(
  B444="",
  ,
  (C444 + IF(INDEX(Input!$L$7:$L1503,ROW()-1),1,0))
  - EDATE(
      B444 + IF(INDEX(Input!$K$7:$K1503,ROW()-1),0,1),
      12*S444
    )
)</f>
        <v/>
      </c>
      <c r="V444" s="6" t="str">
        <f t="shared" si="5"/>
        <v/>
      </c>
      <c r="W444" s="6" t="str">
        <f t="shared" si="6"/>
        <v/>
      </c>
    </row>
    <row r="445">
      <c r="A445" s="18"/>
      <c r="B445" s="18"/>
      <c r="C445" s="18"/>
      <c r="D445" s="18"/>
      <c r="E445" s="18"/>
      <c r="F445" s="18"/>
      <c r="G445" s="22"/>
      <c r="H445" s="18"/>
      <c r="I445" s="18">
        <v>0.0</v>
      </c>
      <c r="J445" s="18">
        <v>0.0</v>
      </c>
      <c r="K445" s="18"/>
      <c r="L445" s="18"/>
      <c r="M445" s="22" t="str">
        <f t="shared" si="1"/>
        <v/>
      </c>
      <c r="N445" s="18" t="str">
        <f>IF(A445="",,IF(ROW()=2, Input!$C$2 + I445, P444 + I445))</f>
        <v/>
      </c>
      <c r="O445" s="23" t="str">
        <f>IF(A445="",,
 IF(K445="Initial principal",
   Input!$C$2 * M445,
   N445 * M445
 )
)</f>
        <v/>
      </c>
      <c r="P445" s="18" t="str">
        <f t="shared" si="2"/>
        <v/>
      </c>
      <c r="Q445" s="18" t="str">
        <f t="shared" si="3"/>
        <v/>
      </c>
      <c r="R445" s="18" t="str">
        <f t="array" ref="R445">IF(
  B445="",
  ,
  SWITCH(
    Input!$C$4,
    "Actual/365 Fixed",
      YEARFRAC(
        B445 + IF(INDEX(Input!$K$7:$K1503,ROW()-1),0,1),
        C445 + IF(INDEX(Input!$L$7:$L1503,ROW()-1),1,0),
        3
      ),
    "Anniversary/365",
      DATEDIF(
        B445 + IF(INDEX(Input!$K$7:$K1503,ROW()-1),0,1),
        C445 + IF(INDEX(Input!$L$7:$L1503,ROW()-1),1,0),
        "Y"
      )
      +
      (
        (C445 + IF(INDEX(Input!$L$7:$L1503,ROW()-1),1,0))
        -
        EDATE(
          B445 + IF(INDEX(Input!$K$7:$K1503,ROW()-1),0,1),
          12*DATEDIF(
            B445 + IF(INDEX(Input!$K$7:$K1503,ROW()-1),0,1),
            C445 + IF(INDEX(Input!$L$7:$L1503,ROW()-1),1,0),
            "Y"
          )
        )
      ) / 365,
    "Actual/Actual",
      YEARFRAC(
        B445 + IF(INDEX(Input!$K$7:$K1503,ROW()-1),0,1),
        C445 + IF(INDEX(Input!$L$7:$L1503,ROW()-1),1,0),
        1
      ),
      YEARFRAC(
        B445 + IF(INDEX(Input!$K$7:$K1503,ROW()-1),0,1),
        C445 + IF(INDEX(Input!$L$7:$L1503,ROW()-1),1,0),
        3
      )
  )
)</f>
        <v/>
      </c>
      <c r="S445" s="22" t="str">
        <f t="shared" si="4"/>
        <v/>
      </c>
      <c r="T445" s="6" t="str">
        <f t="array" ref="T445">IF(
  B445="",
  ,
  DATEDIF(
    B445 + IF(INDEX(Input!$K$7:$K1503,ROW()-1),0,1),
    C445 + IF(INDEX(Input!$L$7:$L1503,ROW()-1),1,0),
    "Y"
  )
)</f>
        <v/>
      </c>
      <c r="U445" s="6" t="str">
        <f t="array" ref="U445">IF(
  B445="",
  ,
  (C445 + IF(INDEX(Input!$L$7:$L1503,ROW()-1),1,0))
  - EDATE(
      B445 + IF(INDEX(Input!$K$7:$K1503,ROW()-1),0,1),
      12*S445
    )
)</f>
        <v/>
      </c>
      <c r="V445" s="6" t="str">
        <f t="shared" si="5"/>
        <v/>
      </c>
      <c r="W445" s="6" t="str">
        <f t="shared" si="6"/>
        <v/>
      </c>
    </row>
    <row r="446">
      <c r="A446" s="18"/>
      <c r="B446" s="18"/>
      <c r="C446" s="18"/>
      <c r="D446" s="18"/>
      <c r="E446" s="18"/>
      <c r="F446" s="18"/>
      <c r="G446" s="22"/>
      <c r="H446" s="18"/>
      <c r="I446" s="18">
        <v>0.0</v>
      </c>
      <c r="J446" s="18">
        <v>0.0</v>
      </c>
      <c r="K446" s="18"/>
      <c r="L446" s="18"/>
      <c r="M446" s="22" t="str">
        <f t="shared" si="1"/>
        <v/>
      </c>
      <c r="N446" s="18" t="str">
        <f>IF(A446="",,IF(ROW()=2, Input!$C$2 + I446, P445 + I446))</f>
        <v/>
      </c>
      <c r="O446" s="23" t="str">
        <f>IF(A446="",,
 IF(K446="Initial principal",
   Input!$C$2 * M446,
   N446 * M446
 )
)</f>
        <v/>
      </c>
      <c r="P446" s="18" t="str">
        <f t="shared" si="2"/>
        <v/>
      </c>
      <c r="Q446" s="18" t="str">
        <f t="shared" si="3"/>
        <v/>
      </c>
      <c r="R446" s="18" t="str">
        <f t="array" ref="R446">IF(
  B446="",
  ,
  SWITCH(
    Input!$C$4,
    "Actual/365 Fixed",
      YEARFRAC(
        B446 + IF(INDEX(Input!$K$7:$K1503,ROW()-1),0,1),
        C446 + IF(INDEX(Input!$L$7:$L1503,ROW()-1),1,0),
        3
      ),
    "Anniversary/365",
      DATEDIF(
        B446 + IF(INDEX(Input!$K$7:$K1503,ROW()-1),0,1),
        C446 + IF(INDEX(Input!$L$7:$L1503,ROW()-1),1,0),
        "Y"
      )
      +
      (
        (C446 + IF(INDEX(Input!$L$7:$L1503,ROW()-1),1,0))
        -
        EDATE(
          B446 + IF(INDEX(Input!$K$7:$K1503,ROW()-1),0,1),
          12*DATEDIF(
            B446 + IF(INDEX(Input!$K$7:$K1503,ROW()-1),0,1),
            C446 + IF(INDEX(Input!$L$7:$L1503,ROW()-1),1,0),
            "Y"
          )
        )
      ) / 365,
    "Actual/Actual",
      YEARFRAC(
        B446 + IF(INDEX(Input!$K$7:$K1503,ROW()-1),0,1),
        C446 + IF(INDEX(Input!$L$7:$L1503,ROW()-1),1,0),
        1
      ),
      YEARFRAC(
        B446 + IF(INDEX(Input!$K$7:$K1503,ROW()-1),0,1),
        C446 + IF(INDEX(Input!$L$7:$L1503,ROW()-1),1,0),
        3
      )
  )
)</f>
        <v/>
      </c>
      <c r="S446" s="22" t="str">
        <f t="shared" si="4"/>
        <v/>
      </c>
      <c r="T446" s="6" t="str">
        <f t="array" ref="T446">IF(
  B446="",
  ,
  DATEDIF(
    B446 + IF(INDEX(Input!$K$7:$K1503,ROW()-1),0,1),
    C446 + IF(INDEX(Input!$L$7:$L1503,ROW()-1),1,0),
    "Y"
  )
)</f>
        <v/>
      </c>
      <c r="U446" s="6" t="str">
        <f t="array" ref="U446">IF(
  B446="",
  ,
  (C446 + IF(INDEX(Input!$L$7:$L1503,ROW()-1),1,0))
  - EDATE(
      B446 + IF(INDEX(Input!$K$7:$K1503,ROW()-1),0,1),
      12*S446
    )
)</f>
        <v/>
      </c>
      <c r="V446" s="6" t="str">
        <f t="shared" si="5"/>
        <v/>
      </c>
      <c r="W446" s="6" t="str">
        <f t="shared" si="6"/>
        <v/>
      </c>
    </row>
    <row r="447">
      <c r="A447" s="18"/>
      <c r="B447" s="18"/>
      <c r="C447" s="18"/>
      <c r="D447" s="18"/>
      <c r="E447" s="18"/>
      <c r="F447" s="18"/>
      <c r="G447" s="22"/>
      <c r="H447" s="18"/>
      <c r="I447" s="18">
        <v>0.0</v>
      </c>
      <c r="J447" s="18">
        <v>0.0</v>
      </c>
      <c r="K447" s="18"/>
      <c r="L447" s="18"/>
      <c r="M447" s="22" t="str">
        <f t="shared" si="1"/>
        <v/>
      </c>
      <c r="N447" s="18" t="str">
        <f>IF(A447="",,IF(ROW()=2, Input!$C$2 + I447, P446 + I447))</f>
        <v/>
      </c>
      <c r="O447" s="23" t="str">
        <f>IF(A447="",,
 IF(K447="Initial principal",
   Input!$C$2 * M447,
   N447 * M447
 )
)</f>
        <v/>
      </c>
      <c r="P447" s="18" t="str">
        <f t="shared" si="2"/>
        <v/>
      </c>
      <c r="Q447" s="18" t="str">
        <f t="shared" si="3"/>
        <v/>
      </c>
      <c r="R447" s="18" t="str">
        <f t="array" ref="R447">IF(
  B447="",
  ,
  SWITCH(
    Input!$C$4,
    "Actual/365 Fixed",
      YEARFRAC(
        B447 + IF(INDEX(Input!$K$7:$K1503,ROW()-1),0,1),
        C447 + IF(INDEX(Input!$L$7:$L1503,ROW()-1),1,0),
        3
      ),
    "Anniversary/365",
      DATEDIF(
        B447 + IF(INDEX(Input!$K$7:$K1503,ROW()-1),0,1),
        C447 + IF(INDEX(Input!$L$7:$L1503,ROW()-1),1,0),
        "Y"
      )
      +
      (
        (C447 + IF(INDEX(Input!$L$7:$L1503,ROW()-1),1,0))
        -
        EDATE(
          B447 + IF(INDEX(Input!$K$7:$K1503,ROW()-1),0,1),
          12*DATEDIF(
            B447 + IF(INDEX(Input!$K$7:$K1503,ROW()-1),0,1),
            C447 + IF(INDEX(Input!$L$7:$L1503,ROW()-1),1,0),
            "Y"
          )
        )
      ) / 365,
    "Actual/Actual",
      YEARFRAC(
        B447 + IF(INDEX(Input!$K$7:$K1503,ROW()-1),0,1),
        C447 + IF(INDEX(Input!$L$7:$L1503,ROW()-1),1,0),
        1
      ),
      YEARFRAC(
        B447 + IF(INDEX(Input!$K$7:$K1503,ROW()-1),0,1),
        C447 + IF(INDEX(Input!$L$7:$L1503,ROW()-1),1,0),
        3
      )
  )
)</f>
        <v/>
      </c>
      <c r="S447" s="22" t="str">
        <f t="shared" si="4"/>
        <v/>
      </c>
      <c r="T447" s="6" t="str">
        <f t="array" ref="T447">IF(
  B447="",
  ,
  DATEDIF(
    B447 + IF(INDEX(Input!$K$7:$K1503,ROW()-1),0,1),
    C447 + IF(INDEX(Input!$L$7:$L1503,ROW()-1),1,0),
    "Y"
  )
)</f>
        <v/>
      </c>
      <c r="U447" s="6" t="str">
        <f t="array" ref="U447">IF(
  B447="",
  ,
  (C447 + IF(INDEX(Input!$L$7:$L1503,ROW()-1),1,0))
  - EDATE(
      B447 + IF(INDEX(Input!$K$7:$K1503,ROW()-1),0,1),
      12*S447
    )
)</f>
        <v/>
      </c>
      <c r="V447" s="6" t="str">
        <f t="shared" si="5"/>
        <v/>
      </c>
      <c r="W447" s="6" t="str">
        <f t="shared" si="6"/>
        <v/>
      </c>
    </row>
    <row r="448">
      <c r="A448" s="18"/>
      <c r="B448" s="18"/>
      <c r="C448" s="18"/>
      <c r="D448" s="18"/>
      <c r="E448" s="18"/>
      <c r="F448" s="18"/>
      <c r="G448" s="22"/>
      <c r="H448" s="18"/>
      <c r="I448" s="18">
        <v>0.0</v>
      </c>
      <c r="J448" s="18">
        <v>0.0</v>
      </c>
      <c r="K448" s="18"/>
      <c r="L448" s="18"/>
      <c r="M448" s="22" t="str">
        <f t="shared" si="1"/>
        <v/>
      </c>
      <c r="N448" s="18" t="str">
        <f>IF(A448="",,IF(ROW()=2, Input!$C$2 + I448, P447 + I448))</f>
        <v/>
      </c>
      <c r="O448" s="23" t="str">
        <f>IF(A448="",,
 IF(K448="Initial principal",
   Input!$C$2 * M448,
   N448 * M448
 )
)</f>
        <v/>
      </c>
      <c r="P448" s="18" t="str">
        <f t="shared" si="2"/>
        <v/>
      </c>
      <c r="Q448" s="18" t="str">
        <f t="shared" si="3"/>
        <v/>
      </c>
      <c r="R448" s="18" t="str">
        <f t="array" ref="R448">IF(
  B448="",
  ,
  SWITCH(
    Input!$C$4,
    "Actual/365 Fixed",
      YEARFRAC(
        B448 + IF(INDEX(Input!$K$7:$K1503,ROW()-1),0,1),
        C448 + IF(INDEX(Input!$L$7:$L1503,ROW()-1),1,0),
        3
      ),
    "Anniversary/365",
      DATEDIF(
        B448 + IF(INDEX(Input!$K$7:$K1503,ROW()-1),0,1),
        C448 + IF(INDEX(Input!$L$7:$L1503,ROW()-1),1,0),
        "Y"
      )
      +
      (
        (C448 + IF(INDEX(Input!$L$7:$L1503,ROW()-1),1,0))
        -
        EDATE(
          B448 + IF(INDEX(Input!$K$7:$K1503,ROW()-1),0,1),
          12*DATEDIF(
            B448 + IF(INDEX(Input!$K$7:$K1503,ROW()-1),0,1),
            C448 + IF(INDEX(Input!$L$7:$L1503,ROW()-1),1,0),
            "Y"
          )
        )
      ) / 365,
    "Actual/Actual",
      YEARFRAC(
        B448 + IF(INDEX(Input!$K$7:$K1503,ROW()-1),0,1),
        C448 + IF(INDEX(Input!$L$7:$L1503,ROW()-1),1,0),
        1
      ),
      YEARFRAC(
        B448 + IF(INDEX(Input!$K$7:$K1503,ROW()-1),0,1),
        C448 + IF(INDEX(Input!$L$7:$L1503,ROW()-1),1,0),
        3
      )
  )
)</f>
        <v/>
      </c>
      <c r="S448" s="22" t="str">
        <f t="shared" si="4"/>
        <v/>
      </c>
      <c r="T448" s="6" t="str">
        <f t="array" ref="T448">IF(
  B448="",
  ,
  DATEDIF(
    B448 + IF(INDEX(Input!$K$7:$K1503,ROW()-1),0,1),
    C448 + IF(INDEX(Input!$L$7:$L1503,ROW()-1),1,0),
    "Y"
  )
)</f>
        <v/>
      </c>
      <c r="U448" s="6" t="str">
        <f t="array" ref="U448">IF(
  B448="",
  ,
  (C448 + IF(INDEX(Input!$L$7:$L1503,ROW()-1),1,0))
  - EDATE(
      B448 + IF(INDEX(Input!$K$7:$K1503,ROW()-1),0,1),
      12*S448
    )
)</f>
        <v/>
      </c>
      <c r="V448" s="6" t="str">
        <f t="shared" si="5"/>
        <v/>
      </c>
      <c r="W448" s="6" t="str">
        <f t="shared" si="6"/>
        <v/>
      </c>
    </row>
    <row r="449">
      <c r="A449" s="18"/>
      <c r="B449" s="18"/>
      <c r="C449" s="18"/>
      <c r="D449" s="18"/>
      <c r="E449" s="18"/>
      <c r="F449" s="18"/>
      <c r="G449" s="22"/>
      <c r="H449" s="18"/>
      <c r="I449" s="18">
        <v>0.0</v>
      </c>
      <c r="J449" s="18">
        <v>0.0</v>
      </c>
      <c r="K449" s="18"/>
      <c r="L449" s="18"/>
      <c r="M449" s="22" t="str">
        <f t="shared" si="1"/>
        <v/>
      </c>
      <c r="N449" s="18" t="str">
        <f>IF(A449="",,IF(ROW()=2, Input!$C$2 + I449, P448 + I449))</f>
        <v/>
      </c>
      <c r="O449" s="23" t="str">
        <f>IF(A449="",,
 IF(K449="Initial principal",
   Input!$C$2 * M449,
   N449 * M449
 )
)</f>
        <v/>
      </c>
      <c r="P449" s="18" t="str">
        <f t="shared" si="2"/>
        <v/>
      </c>
      <c r="Q449" s="18" t="str">
        <f t="shared" si="3"/>
        <v/>
      </c>
      <c r="R449" s="18" t="str">
        <f t="array" ref="R449">IF(
  B449="",
  ,
  SWITCH(
    Input!$C$4,
    "Actual/365 Fixed",
      YEARFRAC(
        B449 + IF(INDEX(Input!$K$7:$K1503,ROW()-1),0,1),
        C449 + IF(INDEX(Input!$L$7:$L1503,ROW()-1),1,0),
        3
      ),
    "Anniversary/365",
      DATEDIF(
        B449 + IF(INDEX(Input!$K$7:$K1503,ROW()-1),0,1),
        C449 + IF(INDEX(Input!$L$7:$L1503,ROW()-1),1,0),
        "Y"
      )
      +
      (
        (C449 + IF(INDEX(Input!$L$7:$L1503,ROW()-1),1,0))
        -
        EDATE(
          B449 + IF(INDEX(Input!$K$7:$K1503,ROW()-1),0,1),
          12*DATEDIF(
            B449 + IF(INDEX(Input!$K$7:$K1503,ROW()-1),0,1),
            C449 + IF(INDEX(Input!$L$7:$L1503,ROW()-1),1,0),
            "Y"
          )
        )
      ) / 365,
    "Actual/Actual",
      YEARFRAC(
        B449 + IF(INDEX(Input!$K$7:$K1503,ROW()-1),0,1),
        C449 + IF(INDEX(Input!$L$7:$L1503,ROW()-1),1,0),
        1
      ),
      YEARFRAC(
        B449 + IF(INDEX(Input!$K$7:$K1503,ROW()-1),0,1),
        C449 + IF(INDEX(Input!$L$7:$L1503,ROW()-1),1,0),
        3
      )
  )
)</f>
        <v/>
      </c>
      <c r="S449" s="22" t="str">
        <f t="shared" si="4"/>
        <v/>
      </c>
      <c r="T449" s="6" t="str">
        <f t="array" ref="T449">IF(
  B449="",
  ,
  DATEDIF(
    B449 + IF(INDEX(Input!$K$7:$K1503,ROW()-1),0,1),
    C449 + IF(INDEX(Input!$L$7:$L1503,ROW()-1),1,0),
    "Y"
  )
)</f>
        <v/>
      </c>
      <c r="U449" s="6" t="str">
        <f t="array" ref="U449">IF(
  B449="",
  ,
  (C449 + IF(INDEX(Input!$L$7:$L1503,ROW()-1),1,0))
  - EDATE(
      B449 + IF(INDEX(Input!$K$7:$K1503,ROW()-1),0,1),
      12*S449
    )
)</f>
        <v/>
      </c>
      <c r="V449" s="6" t="str">
        <f t="shared" si="5"/>
        <v/>
      </c>
      <c r="W449" s="6" t="str">
        <f t="shared" si="6"/>
        <v/>
      </c>
    </row>
    <row r="450">
      <c r="A450" s="18"/>
      <c r="B450" s="18"/>
      <c r="C450" s="18"/>
      <c r="D450" s="18"/>
      <c r="E450" s="18"/>
      <c r="F450" s="18"/>
      <c r="G450" s="22"/>
      <c r="H450" s="18"/>
      <c r="I450" s="18">
        <v>0.0</v>
      </c>
      <c r="J450" s="18">
        <v>0.0</v>
      </c>
      <c r="K450" s="18"/>
      <c r="L450" s="18"/>
      <c r="M450" s="22" t="str">
        <f t="shared" si="1"/>
        <v/>
      </c>
      <c r="N450" s="18" t="str">
        <f>IF(A450="",,IF(ROW()=2, Input!$C$2 + I450, P449 + I450))</f>
        <v/>
      </c>
      <c r="O450" s="23" t="str">
        <f>IF(A450="",,
 IF(K450="Initial principal",
   Input!$C$2 * M450,
   N450 * M450
 )
)</f>
        <v/>
      </c>
      <c r="P450" s="18" t="str">
        <f t="shared" si="2"/>
        <v/>
      </c>
      <c r="Q450" s="18" t="str">
        <f t="shared" si="3"/>
        <v/>
      </c>
      <c r="R450" s="18" t="str">
        <f t="array" ref="R450">IF(
  B450="",
  ,
  SWITCH(
    Input!$C$4,
    "Actual/365 Fixed",
      YEARFRAC(
        B450 + IF(INDEX(Input!$K$7:$K1503,ROW()-1),0,1),
        C450 + IF(INDEX(Input!$L$7:$L1503,ROW()-1),1,0),
        3
      ),
    "Anniversary/365",
      DATEDIF(
        B450 + IF(INDEX(Input!$K$7:$K1503,ROW()-1),0,1),
        C450 + IF(INDEX(Input!$L$7:$L1503,ROW()-1),1,0),
        "Y"
      )
      +
      (
        (C450 + IF(INDEX(Input!$L$7:$L1503,ROW()-1),1,0))
        -
        EDATE(
          B450 + IF(INDEX(Input!$K$7:$K1503,ROW()-1),0,1),
          12*DATEDIF(
            B450 + IF(INDEX(Input!$K$7:$K1503,ROW()-1),0,1),
            C450 + IF(INDEX(Input!$L$7:$L1503,ROW()-1),1,0),
            "Y"
          )
        )
      ) / 365,
    "Actual/Actual",
      YEARFRAC(
        B450 + IF(INDEX(Input!$K$7:$K1503,ROW()-1),0,1),
        C450 + IF(INDEX(Input!$L$7:$L1503,ROW()-1),1,0),
        1
      ),
      YEARFRAC(
        B450 + IF(INDEX(Input!$K$7:$K1503,ROW()-1),0,1),
        C450 + IF(INDEX(Input!$L$7:$L1503,ROW()-1),1,0),
        3
      )
  )
)</f>
        <v/>
      </c>
      <c r="S450" s="22" t="str">
        <f t="shared" si="4"/>
        <v/>
      </c>
      <c r="T450" s="6" t="str">
        <f t="array" ref="T450">IF(
  B450="",
  ,
  DATEDIF(
    B450 + IF(INDEX(Input!$K$7:$K1503,ROW()-1),0,1),
    C450 + IF(INDEX(Input!$L$7:$L1503,ROW()-1),1,0),
    "Y"
  )
)</f>
        <v/>
      </c>
      <c r="U450" s="6" t="str">
        <f t="array" ref="U450">IF(
  B450="",
  ,
  (C450 + IF(INDEX(Input!$L$7:$L1503,ROW()-1),1,0))
  - EDATE(
      B450 + IF(INDEX(Input!$K$7:$K1503,ROW()-1),0,1),
      12*S450
    )
)</f>
        <v/>
      </c>
      <c r="V450" s="6" t="str">
        <f t="shared" si="5"/>
        <v/>
      </c>
      <c r="W450" s="6" t="str">
        <f t="shared" si="6"/>
        <v/>
      </c>
    </row>
    <row r="451">
      <c r="A451" s="18"/>
      <c r="B451" s="18"/>
      <c r="C451" s="18"/>
      <c r="D451" s="18"/>
      <c r="E451" s="18"/>
      <c r="F451" s="18"/>
      <c r="G451" s="22"/>
      <c r="H451" s="18"/>
      <c r="I451" s="18">
        <v>0.0</v>
      </c>
      <c r="J451" s="18">
        <v>0.0</v>
      </c>
      <c r="K451" s="18"/>
      <c r="L451" s="18"/>
      <c r="M451" s="22" t="str">
        <f t="shared" si="1"/>
        <v/>
      </c>
      <c r="N451" s="18" t="str">
        <f>IF(A451="",,IF(ROW()=2, Input!$C$2 + I451, P450 + I451))</f>
        <v/>
      </c>
      <c r="O451" s="23" t="str">
        <f>IF(A451="",,
 IF(K451="Initial principal",
   Input!$C$2 * M451,
   N451 * M451
 )
)</f>
        <v/>
      </c>
      <c r="P451" s="18" t="str">
        <f t="shared" si="2"/>
        <v/>
      </c>
      <c r="Q451" s="18" t="str">
        <f t="shared" si="3"/>
        <v/>
      </c>
      <c r="R451" s="18" t="str">
        <f t="array" ref="R451">IF(
  B451="",
  ,
  SWITCH(
    Input!$C$4,
    "Actual/365 Fixed",
      YEARFRAC(
        B451 + IF(INDEX(Input!$K$7:$K1503,ROW()-1),0,1),
        C451 + IF(INDEX(Input!$L$7:$L1503,ROW()-1),1,0),
        3
      ),
    "Anniversary/365",
      DATEDIF(
        B451 + IF(INDEX(Input!$K$7:$K1503,ROW()-1),0,1),
        C451 + IF(INDEX(Input!$L$7:$L1503,ROW()-1),1,0),
        "Y"
      )
      +
      (
        (C451 + IF(INDEX(Input!$L$7:$L1503,ROW()-1),1,0))
        -
        EDATE(
          B451 + IF(INDEX(Input!$K$7:$K1503,ROW()-1),0,1),
          12*DATEDIF(
            B451 + IF(INDEX(Input!$K$7:$K1503,ROW()-1),0,1),
            C451 + IF(INDEX(Input!$L$7:$L1503,ROW()-1),1,0),
            "Y"
          )
        )
      ) / 365,
    "Actual/Actual",
      YEARFRAC(
        B451 + IF(INDEX(Input!$K$7:$K1503,ROW()-1),0,1),
        C451 + IF(INDEX(Input!$L$7:$L1503,ROW()-1),1,0),
        1
      ),
      YEARFRAC(
        B451 + IF(INDEX(Input!$K$7:$K1503,ROW()-1),0,1),
        C451 + IF(INDEX(Input!$L$7:$L1503,ROW()-1),1,0),
        3
      )
  )
)</f>
        <v/>
      </c>
      <c r="S451" s="22" t="str">
        <f t="shared" si="4"/>
        <v/>
      </c>
      <c r="T451" s="6" t="str">
        <f t="array" ref="T451">IF(
  B451="",
  ,
  DATEDIF(
    B451 + IF(INDEX(Input!$K$7:$K1503,ROW()-1),0,1),
    C451 + IF(INDEX(Input!$L$7:$L1503,ROW()-1),1,0),
    "Y"
  )
)</f>
        <v/>
      </c>
      <c r="U451" s="6" t="str">
        <f t="array" ref="U451">IF(
  B451="",
  ,
  (C451 + IF(INDEX(Input!$L$7:$L1503,ROW()-1),1,0))
  - EDATE(
      B451 + IF(INDEX(Input!$K$7:$K1503,ROW()-1),0,1),
      12*S451
    )
)</f>
        <v/>
      </c>
      <c r="V451" s="6" t="str">
        <f t="shared" si="5"/>
        <v/>
      </c>
      <c r="W451" s="6" t="str">
        <f t="shared" si="6"/>
        <v/>
      </c>
    </row>
    <row r="452">
      <c r="A452" s="18"/>
      <c r="B452" s="18"/>
      <c r="C452" s="18"/>
      <c r="D452" s="18"/>
      <c r="E452" s="18"/>
      <c r="F452" s="18"/>
      <c r="G452" s="22"/>
      <c r="H452" s="18"/>
      <c r="I452" s="18">
        <v>0.0</v>
      </c>
      <c r="J452" s="18">
        <v>0.0</v>
      </c>
      <c r="K452" s="18"/>
      <c r="L452" s="18"/>
      <c r="M452" s="22" t="str">
        <f t="shared" si="1"/>
        <v/>
      </c>
      <c r="N452" s="18" t="str">
        <f>IF(A452="",,IF(ROW()=2, Input!$C$2 + I452, P451 + I452))</f>
        <v/>
      </c>
      <c r="O452" s="23" t="str">
        <f>IF(A452="",,
 IF(K452="Initial principal",
   Input!$C$2 * M452,
   N452 * M452
 )
)</f>
        <v/>
      </c>
      <c r="P452" s="18" t="str">
        <f t="shared" si="2"/>
        <v/>
      </c>
      <c r="Q452" s="18" t="str">
        <f t="shared" si="3"/>
        <v/>
      </c>
      <c r="R452" s="18" t="str">
        <f t="array" ref="R452">IF(
  B452="",
  ,
  SWITCH(
    Input!$C$4,
    "Actual/365 Fixed",
      YEARFRAC(
        B452 + IF(INDEX(Input!$K$7:$K1503,ROW()-1),0,1),
        C452 + IF(INDEX(Input!$L$7:$L1503,ROW()-1),1,0),
        3
      ),
    "Anniversary/365",
      DATEDIF(
        B452 + IF(INDEX(Input!$K$7:$K1503,ROW()-1),0,1),
        C452 + IF(INDEX(Input!$L$7:$L1503,ROW()-1),1,0),
        "Y"
      )
      +
      (
        (C452 + IF(INDEX(Input!$L$7:$L1503,ROW()-1),1,0))
        -
        EDATE(
          B452 + IF(INDEX(Input!$K$7:$K1503,ROW()-1),0,1),
          12*DATEDIF(
            B452 + IF(INDEX(Input!$K$7:$K1503,ROW()-1),0,1),
            C452 + IF(INDEX(Input!$L$7:$L1503,ROW()-1),1,0),
            "Y"
          )
        )
      ) / 365,
    "Actual/Actual",
      YEARFRAC(
        B452 + IF(INDEX(Input!$K$7:$K1503,ROW()-1),0,1),
        C452 + IF(INDEX(Input!$L$7:$L1503,ROW()-1),1,0),
        1
      ),
      YEARFRAC(
        B452 + IF(INDEX(Input!$K$7:$K1503,ROW()-1),0,1),
        C452 + IF(INDEX(Input!$L$7:$L1503,ROW()-1),1,0),
        3
      )
  )
)</f>
        <v/>
      </c>
      <c r="S452" s="22" t="str">
        <f t="shared" si="4"/>
        <v/>
      </c>
      <c r="T452" s="6" t="str">
        <f t="array" ref="T452">IF(
  B452="",
  ,
  DATEDIF(
    B452 + IF(INDEX(Input!$K$7:$K1503,ROW()-1),0,1),
    C452 + IF(INDEX(Input!$L$7:$L1503,ROW()-1),1,0),
    "Y"
  )
)</f>
        <v/>
      </c>
      <c r="U452" s="6" t="str">
        <f t="array" ref="U452">IF(
  B452="",
  ,
  (C452 + IF(INDEX(Input!$L$7:$L1503,ROW()-1),1,0))
  - EDATE(
      B452 + IF(INDEX(Input!$K$7:$K1503,ROW()-1),0,1),
      12*S452
    )
)</f>
        <v/>
      </c>
      <c r="V452" s="6" t="str">
        <f t="shared" si="5"/>
        <v/>
      </c>
      <c r="W452" s="6" t="str">
        <f t="shared" si="6"/>
        <v/>
      </c>
    </row>
    <row r="453">
      <c r="A453" s="18"/>
      <c r="B453" s="18"/>
      <c r="C453" s="18"/>
      <c r="D453" s="18"/>
      <c r="E453" s="18"/>
      <c r="F453" s="18"/>
      <c r="G453" s="22"/>
      <c r="H453" s="18"/>
      <c r="I453" s="18">
        <v>0.0</v>
      </c>
      <c r="J453" s="18">
        <v>0.0</v>
      </c>
      <c r="K453" s="18"/>
      <c r="L453" s="18"/>
      <c r="M453" s="22" t="str">
        <f t="shared" si="1"/>
        <v/>
      </c>
      <c r="N453" s="18" t="str">
        <f>IF(A453="",,IF(ROW()=2, Input!$C$2 + I453, P452 + I453))</f>
        <v/>
      </c>
      <c r="O453" s="23" t="str">
        <f>IF(A453="",,
 IF(K453="Initial principal",
   Input!$C$2 * M453,
   N453 * M453
 )
)</f>
        <v/>
      </c>
      <c r="P453" s="18" t="str">
        <f t="shared" si="2"/>
        <v/>
      </c>
      <c r="Q453" s="18" t="str">
        <f t="shared" si="3"/>
        <v/>
      </c>
      <c r="R453" s="18" t="str">
        <f t="array" ref="R453">IF(
  B453="",
  ,
  SWITCH(
    Input!$C$4,
    "Actual/365 Fixed",
      YEARFRAC(
        B453 + IF(INDEX(Input!$K$7:$K1503,ROW()-1),0,1),
        C453 + IF(INDEX(Input!$L$7:$L1503,ROW()-1),1,0),
        3
      ),
    "Anniversary/365",
      DATEDIF(
        B453 + IF(INDEX(Input!$K$7:$K1503,ROW()-1),0,1),
        C453 + IF(INDEX(Input!$L$7:$L1503,ROW()-1),1,0),
        "Y"
      )
      +
      (
        (C453 + IF(INDEX(Input!$L$7:$L1503,ROW()-1),1,0))
        -
        EDATE(
          B453 + IF(INDEX(Input!$K$7:$K1503,ROW()-1),0,1),
          12*DATEDIF(
            B453 + IF(INDEX(Input!$K$7:$K1503,ROW()-1),0,1),
            C453 + IF(INDEX(Input!$L$7:$L1503,ROW()-1),1,0),
            "Y"
          )
        )
      ) / 365,
    "Actual/Actual",
      YEARFRAC(
        B453 + IF(INDEX(Input!$K$7:$K1503,ROW()-1),0,1),
        C453 + IF(INDEX(Input!$L$7:$L1503,ROW()-1),1,0),
        1
      ),
      YEARFRAC(
        B453 + IF(INDEX(Input!$K$7:$K1503,ROW()-1),0,1),
        C453 + IF(INDEX(Input!$L$7:$L1503,ROW()-1),1,0),
        3
      )
  )
)</f>
        <v/>
      </c>
      <c r="S453" s="22" t="str">
        <f t="shared" si="4"/>
        <v/>
      </c>
      <c r="T453" s="6" t="str">
        <f t="array" ref="T453">IF(
  B453="",
  ,
  DATEDIF(
    B453 + IF(INDEX(Input!$K$7:$K1503,ROW()-1),0,1),
    C453 + IF(INDEX(Input!$L$7:$L1503,ROW()-1),1,0),
    "Y"
  )
)</f>
        <v/>
      </c>
      <c r="U453" s="6" t="str">
        <f t="array" ref="U453">IF(
  B453="",
  ,
  (C453 + IF(INDEX(Input!$L$7:$L1503,ROW()-1),1,0))
  - EDATE(
      B453 + IF(INDEX(Input!$K$7:$K1503,ROW()-1),0,1),
      12*S453
    )
)</f>
        <v/>
      </c>
      <c r="V453" s="6" t="str">
        <f t="shared" si="5"/>
        <v/>
      </c>
      <c r="W453" s="6" t="str">
        <f t="shared" si="6"/>
        <v/>
      </c>
    </row>
    <row r="454">
      <c r="A454" s="18"/>
      <c r="B454" s="18"/>
      <c r="C454" s="18"/>
      <c r="D454" s="18"/>
      <c r="E454" s="18"/>
      <c r="F454" s="18"/>
      <c r="G454" s="22"/>
      <c r="H454" s="18"/>
      <c r="I454" s="18">
        <v>0.0</v>
      </c>
      <c r="J454" s="18">
        <v>0.0</v>
      </c>
      <c r="K454" s="18"/>
      <c r="L454" s="18"/>
      <c r="M454" s="22" t="str">
        <f t="shared" si="1"/>
        <v/>
      </c>
      <c r="N454" s="18" t="str">
        <f>IF(A454="",,IF(ROW()=2, Input!$C$2 + I454, P453 + I454))</f>
        <v/>
      </c>
      <c r="O454" s="23" t="str">
        <f>IF(A454="",,
 IF(K454="Initial principal",
   Input!$C$2 * M454,
   N454 * M454
 )
)</f>
        <v/>
      </c>
      <c r="P454" s="18" t="str">
        <f t="shared" si="2"/>
        <v/>
      </c>
      <c r="Q454" s="18" t="str">
        <f t="shared" si="3"/>
        <v/>
      </c>
      <c r="R454" s="18" t="str">
        <f t="array" ref="R454">IF(
  B454="",
  ,
  SWITCH(
    Input!$C$4,
    "Actual/365 Fixed",
      YEARFRAC(
        B454 + IF(INDEX(Input!$K$7:$K1503,ROW()-1),0,1),
        C454 + IF(INDEX(Input!$L$7:$L1503,ROW()-1),1,0),
        3
      ),
    "Anniversary/365",
      DATEDIF(
        B454 + IF(INDEX(Input!$K$7:$K1503,ROW()-1),0,1),
        C454 + IF(INDEX(Input!$L$7:$L1503,ROW()-1),1,0),
        "Y"
      )
      +
      (
        (C454 + IF(INDEX(Input!$L$7:$L1503,ROW()-1),1,0))
        -
        EDATE(
          B454 + IF(INDEX(Input!$K$7:$K1503,ROW()-1),0,1),
          12*DATEDIF(
            B454 + IF(INDEX(Input!$K$7:$K1503,ROW()-1),0,1),
            C454 + IF(INDEX(Input!$L$7:$L1503,ROW()-1),1,0),
            "Y"
          )
        )
      ) / 365,
    "Actual/Actual",
      YEARFRAC(
        B454 + IF(INDEX(Input!$K$7:$K1503,ROW()-1),0,1),
        C454 + IF(INDEX(Input!$L$7:$L1503,ROW()-1),1,0),
        1
      ),
      YEARFRAC(
        B454 + IF(INDEX(Input!$K$7:$K1503,ROW()-1),0,1),
        C454 + IF(INDEX(Input!$L$7:$L1503,ROW()-1),1,0),
        3
      )
  )
)</f>
        <v/>
      </c>
      <c r="S454" s="22" t="str">
        <f t="shared" si="4"/>
        <v/>
      </c>
      <c r="T454" s="6" t="str">
        <f t="array" ref="T454">IF(
  B454="",
  ,
  DATEDIF(
    B454 + IF(INDEX(Input!$K$7:$K1503,ROW()-1),0,1),
    C454 + IF(INDEX(Input!$L$7:$L1503,ROW()-1),1,0),
    "Y"
  )
)</f>
        <v/>
      </c>
      <c r="U454" s="6" t="str">
        <f t="array" ref="U454">IF(
  B454="",
  ,
  (C454 + IF(INDEX(Input!$L$7:$L1503,ROW()-1),1,0))
  - EDATE(
      B454 + IF(INDEX(Input!$K$7:$K1503,ROW()-1),0,1),
      12*S454
    )
)</f>
        <v/>
      </c>
      <c r="V454" s="6" t="str">
        <f t="shared" si="5"/>
        <v/>
      </c>
      <c r="W454" s="6" t="str">
        <f t="shared" si="6"/>
        <v/>
      </c>
    </row>
    <row r="455">
      <c r="A455" s="18"/>
      <c r="B455" s="18"/>
      <c r="C455" s="18"/>
      <c r="D455" s="18"/>
      <c r="E455" s="18"/>
      <c r="F455" s="18"/>
      <c r="G455" s="22"/>
      <c r="H455" s="18"/>
      <c r="I455" s="18">
        <v>0.0</v>
      </c>
      <c r="J455" s="18">
        <v>0.0</v>
      </c>
      <c r="K455" s="18"/>
      <c r="L455" s="18"/>
      <c r="M455" s="22" t="str">
        <f t="shared" si="1"/>
        <v/>
      </c>
      <c r="N455" s="18" t="str">
        <f>IF(A455="",,IF(ROW()=2, Input!$C$2 + I455, P454 + I455))</f>
        <v/>
      </c>
      <c r="O455" s="23" t="str">
        <f>IF(A455="",,
 IF(K455="Initial principal",
   Input!$C$2 * M455,
   N455 * M455
 )
)</f>
        <v/>
      </c>
      <c r="P455" s="18" t="str">
        <f t="shared" si="2"/>
        <v/>
      </c>
      <c r="Q455" s="18" t="str">
        <f t="shared" si="3"/>
        <v/>
      </c>
      <c r="R455" s="18" t="str">
        <f t="array" ref="R455">IF(
  B455="",
  ,
  SWITCH(
    Input!$C$4,
    "Actual/365 Fixed",
      YEARFRAC(
        B455 + IF(INDEX(Input!$K$7:$K1503,ROW()-1),0,1),
        C455 + IF(INDEX(Input!$L$7:$L1503,ROW()-1),1,0),
        3
      ),
    "Anniversary/365",
      DATEDIF(
        B455 + IF(INDEX(Input!$K$7:$K1503,ROW()-1),0,1),
        C455 + IF(INDEX(Input!$L$7:$L1503,ROW()-1),1,0),
        "Y"
      )
      +
      (
        (C455 + IF(INDEX(Input!$L$7:$L1503,ROW()-1),1,0))
        -
        EDATE(
          B455 + IF(INDEX(Input!$K$7:$K1503,ROW()-1),0,1),
          12*DATEDIF(
            B455 + IF(INDEX(Input!$K$7:$K1503,ROW()-1),0,1),
            C455 + IF(INDEX(Input!$L$7:$L1503,ROW()-1),1,0),
            "Y"
          )
        )
      ) / 365,
    "Actual/Actual",
      YEARFRAC(
        B455 + IF(INDEX(Input!$K$7:$K1503,ROW()-1),0,1),
        C455 + IF(INDEX(Input!$L$7:$L1503,ROW()-1),1,0),
        1
      ),
      YEARFRAC(
        B455 + IF(INDEX(Input!$K$7:$K1503,ROW()-1),0,1),
        C455 + IF(INDEX(Input!$L$7:$L1503,ROW()-1),1,0),
        3
      )
  )
)</f>
        <v/>
      </c>
      <c r="S455" s="22" t="str">
        <f t="shared" si="4"/>
        <v/>
      </c>
      <c r="T455" s="6" t="str">
        <f t="array" ref="T455">IF(
  B455="",
  ,
  DATEDIF(
    B455 + IF(INDEX(Input!$K$7:$K1503,ROW()-1),0,1),
    C455 + IF(INDEX(Input!$L$7:$L1503,ROW()-1),1,0),
    "Y"
  )
)</f>
        <v/>
      </c>
      <c r="U455" s="6" t="str">
        <f t="array" ref="U455">IF(
  B455="",
  ,
  (C455 + IF(INDEX(Input!$L$7:$L1503,ROW()-1),1,0))
  - EDATE(
      B455 + IF(INDEX(Input!$K$7:$K1503,ROW()-1),0,1),
      12*S455
    )
)</f>
        <v/>
      </c>
      <c r="V455" s="6" t="str">
        <f t="shared" si="5"/>
        <v/>
      </c>
      <c r="W455" s="6" t="str">
        <f t="shared" si="6"/>
        <v/>
      </c>
    </row>
    <row r="456">
      <c r="A456" s="18"/>
      <c r="B456" s="18"/>
      <c r="C456" s="18"/>
      <c r="D456" s="18"/>
      <c r="E456" s="18"/>
      <c r="F456" s="18"/>
      <c r="G456" s="22"/>
      <c r="H456" s="18"/>
      <c r="I456" s="18">
        <v>0.0</v>
      </c>
      <c r="J456" s="18">
        <v>0.0</v>
      </c>
      <c r="K456" s="18"/>
      <c r="L456" s="18"/>
      <c r="M456" s="22" t="str">
        <f t="shared" si="1"/>
        <v/>
      </c>
      <c r="N456" s="18" t="str">
        <f>IF(A456="",,IF(ROW()=2, Input!$C$2 + I456, P455 + I456))</f>
        <v/>
      </c>
      <c r="O456" s="23" t="str">
        <f>IF(A456="",,
 IF(K456="Initial principal",
   Input!$C$2 * M456,
   N456 * M456
 )
)</f>
        <v/>
      </c>
      <c r="P456" s="18" t="str">
        <f t="shared" si="2"/>
        <v/>
      </c>
      <c r="Q456" s="18" t="str">
        <f t="shared" si="3"/>
        <v/>
      </c>
      <c r="R456" s="18" t="str">
        <f t="array" ref="R456">IF(
  B456="",
  ,
  SWITCH(
    Input!$C$4,
    "Actual/365 Fixed",
      YEARFRAC(
        B456 + IF(INDEX(Input!$K$7:$K1503,ROW()-1),0,1),
        C456 + IF(INDEX(Input!$L$7:$L1503,ROW()-1),1,0),
        3
      ),
    "Anniversary/365",
      DATEDIF(
        B456 + IF(INDEX(Input!$K$7:$K1503,ROW()-1),0,1),
        C456 + IF(INDEX(Input!$L$7:$L1503,ROW()-1),1,0),
        "Y"
      )
      +
      (
        (C456 + IF(INDEX(Input!$L$7:$L1503,ROW()-1),1,0))
        -
        EDATE(
          B456 + IF(INDEX(Input!$K$7:$K1503,ROW()-1),0,1),
          12*DATEDIF(
            B456 + IF(INDEX(Input!$K$7:$K1503,ROW()-1),0,1),
            C456 + IF(INDEX(Input!$L$7:$L1503,ROW()-1),1,0),
            "Y"
          )
        )
      ) / 365,
    "Actual/Actual",
      YEARFRAC(
        B456 + IF(INDEX(Input!$K$7:$K1503,ROW()-1),0,1),
        C456 + IF(INDEX(Input!$L$7:$L1503,ROW()-1),1,0),
        1
      ),
      YEARFRAC(
        B456 + IF(INDEX(Input!$K$7:$K1503,ROW()-1),0,1),
        C456 + IF(INDEX(Input!$L$7:$L1503,ROW()-1),1,0),
        3
      )
  )
)</f>
        <v/>
      </c>
      <c r="S456" s="22" t="str">
        <f t="shared" si="4"/>
        <v/>
      </c>
      <c r="T456" s="6" t="str">
        <f t="array" ref="T456">IF(
  B456="",
  ,
  DATEDIF(
    B456 + IF(INDEX(Input!$K$7:$K1503,ROW()-1),0,1),
    C456 + IF(INDEX(Input!$L$7:$L1503,ROW()-1),1,0),
    "Y"
  )
)</f>
        <v/>
      </c>
      <c r="U456" s="6" t="str">
        <f t="array" ref="U456">IF(
  B456="",
  ,
  (C456 + IF(INDEX(Input!$L$7:$L1503,ROW()-1),1,0))
  - EDATE(
      B456 + IF(INDEX(Input!$K$7:$K1503,ROW()-1),0,1),
      12*S456
    )
)</f>
        <v/>
      </c>
      <c r="V456" s="6" t="str">
        <f t="shared" si="5"/>
        <v/>
      </c>
      <c r="W456" s="6" t="str">
        <f t="shared" si="6"/>
        <v/>
      </c>
    </row>
    <row r="457">
      <c r="A457" s="18"/>
      <c r="B457" s="18"/>
      <c r="C457" s="18"/>
      <c r="D457" s="18"/>
      <c r="E457" s="18"/>
      <c r="F457" s="18"/>
      <c r="G457" s="22"/>
      <c r="H457" s="18"/>
      <c r="I457" s="18">
        <v>0.0</v>
      </c>
      <c r="J457" s="18">
        <v>0.0</v>
      </c>
      <c r="K457" s="18"/>
      <c r="L457" s="18"/>
      <c r="M457" s="22" t="str">
        <f t="shared" si="1"/>
        <v/>
      </c>
      <c r="N457" s="18" t="str">
        <f>IF(A457="",,IF(ROW()=2, Input!$C$2 + I457, P456 + I457))</f>
        <v/>
      </c>
      <c r="O457" s="23" t="str">
        <f>IF(A457="",,
 IF(K457="Initial principal",
   Input!$C$2 * M457,
   N457 * M457
 )
)</f>
        <v/>
      </c>
      <c r="P457" s="18" t="str">
        <f t="shared" si="2"/>
        <v/>
      </c>
      <c r="Q457" s="18" t="str">
        <f t="shared" si="3"/>
        <v/>
      </c>
      <c r="R457" s="18" t="str">
        <f t="array" ref="R457">IF(
  B457="",
  ,
  SWITCH(
    Input!$C$4,
    "Actual/365 Fixed",
      YEARFRAC(
        B457 + IF(INDEX(Input!$K$7:$K1503,ROW()-1),0,1),
        C457 + IF(INDEX(Input!$L$7:$L1503,ROW()-1),1,0),
        3
      ),
    "Anniversary/365",
      DATEDIF(
        B457 + IF(INDEX(Input!$K$7:$K1503,ROW()-1),0,1),
        C457 + IF(INDEX(Input!$L$7:$L1503,ROW()-1),1,0),
        "Y"
      )
      +
      (
        (C457 + IF(INDEX(Input!$L$7:$L1503,ROW()-1),1,0))
        -
        EDATE(
          B457 + IF(INDEX(Input!$K$7:$K1503,ROW()-1),0,1),
          12*DATEDIF(
            B457 + IF(INDEX(Input!$K$7:$K1503,ROW()-1),0,1),
            C457 + IF(INDEX(Input!$L$7:$L1503,ROW()-1),1,0),
            "Y"
          )
        )
      ) / 365,
    "Actual/Actual",
      YEARFRAC(
        B457 + IF(INDEX(Input!$K$7:$K1503,ROW()-1),0,1),
        C457 + IF(INDEX(Input!$L$7:$L1503,ROW()-1),1,0),
        1
      ),
      YEARFRAC(
        B457 + IF(INDEX(Input!$K$7:$K1503,ROW()-1),0,1),
        C457 + IF(INDEX(Input!$L$7:$L1503,ROW()-1),1,0),
        3
      )
  )
)</f>
        <v/>
      </c>
      <c r="S457" s="22" t="str">
        <f t="shared" si="4"/>
        <v/>
      </c>
      <c r="T457" s="6" t="str">
        <f t="array" ref="T457">IF(
  B457="",
  ,
  DATEDIF(
    B457 + IF(INDEX(Input!$K$7:$K1503,ROW()-1),0,1),
    C457 + IF(INDEX(Input!$L$7:$L1503,ROW()-1),1,0),
    "Y"
  )
)</f>
        <v/>
      </c>
      <c r="U457" s="6" t="str">
        <f t="array" ref="U457">IF(
  B457="",
  ,
  (C457 + IF(INDEX(Input!$L$7:$L1503,ROW()-1),1,0))
  - EDATE(
      B457 + IF(INDEX(Input!$K$7:$K1503,ROW()-1),0,1),
      12*S457
    )
)</f>
        <v/>
      </c>
      <c r="V457" s="6" t="str">
        <f t="shared" si="5"/>
        <v/>
      </c>
      <c r="W457" s="6" t="str">
        <f t="shared" si="6"/>
        <v/>
      </c>
    </row>
    <row r="458">
      <c r="A458" s="18"/>
      <c r="B458" s="18"/>
      <c r="C458" s="18"/>
      <c r="D458" s="18"/>
      <c r="E458" s="18"/>
      <c r="F458" s="18"/>
      <c r="G458" s="22"/>
      <c r="H458" s="18"/>
      <c r="I458" s="18">
        <v>0.0</v>
      </c>
      <c r="J458" s="18">
        <v>0.0</v>
      </c>
      <c r="K458" s="18"/>
      <c r="L458" s="18"/>
      <c r="M458" s="22" t="str">
        <f t="shared" si="1"/>
        <v/>
      </c>
      <c r="N458" s="18" t="str">
        <f>IF(A458="",,IF(ROW()=2, Input!$C$2 + I458, P457 + I458))</f>
        <v/>
      </c>
      <c r="O458" s="23" t="str">
        <f>IF(A458="",,
 IF(K458="Initial principal",
   Input!$C$2 * M458,
   N458 * M458
 )
)</f>
        <v/>
      </c>
      <c r="P458" s="18" t="str">
        <f t="shared" si="2"/>
        <v/>
      </c>
      <c r="Q458" s="18" t="str">
        <f t="shared" si="3"/>
        <v/>
      </c>
      <c r="R458" s="18" t="str">
        <f t="array" ref="R458">IF(
  B458="",
  ,
  SWITCH(
    Input!$C$4,
    "Actual/365 Fixed",
      YEARFRAC(
        B458 + IF(INDEX(Input!$K$7:$K1503,ROW()-1),0,1),
        C458 + IF(INDEX(Input!$L$7:$L1503,ROW()-1),1,0),
        3
      ),
    "Anniversary/365",
      DATEDIF(
        B458 + IF(INDEX(Input!$K$7:$K1503,ROW()-1),0,1),
        C458 + IF(INDEX(Input!$L$7:$L1503,ROW()-1),1,0),
        "Y"
      )
      +
      (
        (C458 + IF(INDEX(Input!$L$7:$L1503,ROW()-1),1,0))
        -
        EDATE(
          B458 + IF(INDEX(Input!$K$7:$K1503,ROW()-1),0,1),
          12*DATEDIF(
            B458 + IF(INDEX(Input!$K$7:$K1503,ROW()-1),0,1),
            C458 + IF(INDEX(Input!$L$7:$L1503,ROW()-1),1,0),
            "Y"
          )
        )
      ) / 365,
    "Actual/Actual",
      YEARFRAC(
        B458 + IF(INDEX(Input!$K$7:$K1503,ROW()-1),0,1),
        C458 + IF(INDEX(Input!$L$7:$L1503,ROW()-1),1,0),
        1
      ),
      YEARFRAC(
        B458 + IF(INDEX(Input!$K$7:$K1503,ROW()-1),0,1),
        C458 + IF(INDEX(Input!$L$7:$L1503,ROW()-1),1,0),
        3
      )
  )
)</f>
        <v/>
      </c>
      <c r="S458" s="22" t="str">
        <f t="shared" si="4"/>
        <v/>
      </c>
      <c r="T458" s="6" t="str">
        <f t="array" ref="T458">IF(
  B458="",
  ,
  DATEDIF(
    B458 + IF(INDEX(Input!$K$7:$K1503,ROW()-1),0,1),
    C458 + IF(INDEX(Input!$L$7:$L1503,ROW()-1),1,0),
    "Y"
  )
)</f>
        <v/>
      </c>
      <c r="U458" s="6" t="str">
        <f t="array" ref="U458">IF(
  B458="",
  ,
  (C458 + IF(INDEX(Input!$L$7:$L1503,ROW()-1),1,0))
  - EDATE(
      B458 + IF(INDEX(Input!$K$7:$K1503,ROW()-1),0,1),
      12*S458
    )
)</f>
        <v/>
      </c>
      <c r="V458" s="6" t="str">
        <f t="shared" si="5"/>
        <v/>
      </c>
      <c r="W458" s="6" t="str">
        <f t="shared" si="6"/>
        <v/>
      </c>
    </row>
    <row r="459">
      <c r="A459" s="18"/>
      <c r="B459" s="18"/>
      <c r="C459" s="18"/>
      <c r="D459" s="18"/>
      <c r="E459" s="18"/>
      <c r="F459" s="18"/>
      <c r="G459" s="22"/>
      <c r="H459" s="18"/>
      <c r="I459" s="18">
        <v>0.0</v>
      </c>
      <c r="J459" s="18">
        <v>0.0</v>
      </c>
      <c r="K459" s="18"/>
      <c r="L459" s="18"/>
      <c r="M459" s="22" t="str">
        <f t="shared" si="1"/>
        <v/>
      </c>
      <c r="N459" s="18" t="str">
        <f>IF(A459="",,IF(ROW()=2, Input!$C$2 + I459, P458 + I459))</f>
        <v/>
      </c>
      <c r="O459" s="23" t="str">
        <f>IF(A459="",,
 IF(K459="Initial principal",
   Input!$C$2 * M459,
   N459 * M459
 )
)</f>
        <v/>
      </c>
      <c r="P459" s="18" t="str">
        <f t="shared" si="2"/>
        <v/>
      </c>
      <c r="Q459" s="18" t="str">
        <f t="shared" si="3"/>
        <v/>
      </c>
      <c r="R459" s="18" t="str">
        <f t="array" ref="R459">IF(
  B459="",
  ,
  SWITCH(
    Input!$C$4,
    "Actual/365 Fixed",
      YEARFRAC(
        B459 + IF(INDEX(Input!$K$7:$K1503,ROW()-1),0,1),
        C459 + IF(INDEX(Input!$L$7:$L1503,ROW()-1),1,0),
        3
      ),
    "Anniversary/365",
      DATEDIF(
        B459 + IF(INDEX(Input!$K$7:$K1503,ROW()-1),0,1),
        C459 + IF(INDEX(Input!$L$7:$L1503,ROW()-1),1,0),
        "Y"
      )
      +
      (
        (C459 + IF(INDEX(Input!$L$7:$L1503,ROW()-1),1,0))
        -
        EDATE(
          B459 + IF(INDEX(Input!$K$7:$K1503,ROW()-1),0,1),
          12*DATEDIF(
            B459 + IF(INDEX(Input!$K$7:$K1503,ROW()-1),0,1),
            C459 + IF(INDEX(Input!$L$7:$L1503,ROW()-1),1,0),
            "Y"
          )
        )
      ) / 365,
    "Actual/Actual",
      YEARFRAC(
        B459 + IF(INDEX(Input!$K$7:$K1503,ROW()-1),0,1),
        C459 + IF(INDEX(Input!$L$7:$L1503,ROW()-1),1,0),
        1
      ),
      YEARFRAC(
        B459 + IF(INDEX(Input!$K$7:$K1503,ROW()-1),0,1),
        C459 + IF(INDEX(Input!$L$7:$L1503,ROW()-1),1,0),
        3
      )
  )
)</f>
        <v/>
      </c>
      <c r="S459" s="22" t="str">
        <f t="shared" si="4"/>
        <v/>
      </c>
      <c r="T459" s="6" t="str">
        <f t="array" ref="T459">IF(
  B459="",
  ,
  DATEDIF(
    B459 + IF(INDEX(Input!$K$7:$K1503,ROW()-1),0,1),
    C459 + IF(INDEX(Input!$L$7:$L1503,ROW()-1),1,0),
    "Y"
  )
)</f>
        <v/>
      </c>
      <c r="U459" s="6" t="str">
        <f t="array" ref="U459">IF(
  B459="",
  ,
  (C459 + IF(INDEX(Input!$L$7:$L1503,ROW()-1),1,0))
  - EDATE(
      B459 + IF(INDEX(Input!$K$7:$K1503,ROW()-1),0,1),
      12*S459
    )
)</f>
        <v/>
      </c>
      <c r="V459" s="6" t="str">
        <f t="shared" si="5"/>
        <v/>
      </c>
      <c r="W459" s="6" t="str">
        <f t="shared" si="6"/>
        <v/>
      </c>
    </row>
    <row r="460">
      <c r="A460" s="18"/>
      <c r="B460" s="18"/>
      <c r="C460" s="18"/>
      <c r="D460" s="18"/>
      <c r="E460" s="18"/>
      <c r="F460" s="18"/>
      <c r="G460" s="22"/>
      <c r="H460" s="18"/>
      <c r="I460" s="18">
        <v>0.0</v>
      </c>
      <c r="J460" s="18">
        <v>0.0</v>
      </c>
      <c r="K460" s="18"/>
      <c r="L460" s="18"/>
      <c r="M460" s="22" t="str">
        <f t="shared" si="1"/>
        <v/>
      </c>
      <c r="N460" s="18" t="str">
        <f>IF(A460="",,IF(ROW()=2, Input!$C$2 + I460, P459 + I460))</f>
        <v/>
      </c>
      <c r="O460" s="23" t="str">
        <f>IF(A460="",,
 IF(K460="Initial principal",
   Input!$C$2 * M460,
   N460 * M460
 )
)</f>
        <v/>
      </c>
      <c r="P460" s="18" t="str">
        <f t="shared" si="2"/>
        <v/>
      </c>
      <c r="Q460" s="18" t="str">
        <f t="shared" si="3"/>
        <v/>
      </c>
      <c r="R460" s="18" t="str">
        <f t="array" ref="R460">IF(
  B460="",
  ,
  SWITCH(
    Input!$C$4,
    "Actual/365 Fixed",
      YEARFRAC(
        B460 + IF(INDEX(Input!$K$7:$K1503,ROW()-1),0,1),
        C460 + IF(INDEX(Input!$L$7:$L1503,ROW()-1),1,0),
        3
      ),
    "Anniversary/365",
      DATEDIF(
        B460 + IF(INDEX(Input!$K$7:$K1503,ROW()-1),0,1),
        C460 + IF(INDEX(Input!$L$7:$L1503,ROW()-1),1,0),
        "Y"
      )
      +
      (
        (C460 + IF(INDEX(Input!$L$7:$L1503,ROW()-1),1,0))
        -
        EDATE(
          B460 + IF(INDEX(Input!$K$7:$K1503,ROW()-1),0,1),
          12*DATEDIF(
            B460 + IF(INDEX(Input!$K$7:$K1503,ROW()-1),0,1),
            C460 + IF(INDEX(Input!$L$7:$L1503,ROW()-1),1,0),
            "Y"
          )
        )
      ) / 365,
    "Actual/Actual",
      YEARFRAC(
        B460 + IF(INDEX(Input!$K$7:$K1503,ROW()-1),0,1),
        C460 + IF(INDEX(Input!$L$7:$L1503,ROW()-1),1,0),
        1
      ),
      YEARFRAC(
        B460 + IF(INDEX(Input!$K$7:$K1503,ROW()-1),0,1),
        C460 + IF(INDEX(Input!$L$7:$L1503,ROW()-1),1,0),
        3
      )
  )
)</f>
        <v/>
      </c>
      <c r="S460" s="22" t="str">
        <f t="shared" si="4"/>
        <v/>
      </c>
      <c r="T460" s="6" t="str">
        <f t="array" ref="T460">IF(
  B460="",
  ,
  DATEDIF(
    B460 + IF(INDEX(Input!$K$7:$K1503,ROW()-1),0,1),
    C460 + IF(INDEX(Input!$L$7:$L1503,ROW()-1),1,0),
    "Y"
  )
)</f>
        <v/>
      </c>
      <c r="U460" s="6" t="str">
        <f t="array" ref="U460">IF(
  B460="",
  ,
  (C460 + IF(INDEX(Input!$L$7:$L1503,ROW()-1),1,0))
  - EDATE(
      B460 + IF(INDEX(Input!$K$7:$K1503,ROW()-1),0,1),
      12*S460
    )
)</f>
        <v/>
      </c>
      <c r="V460" s="6" t="str">
        <f t="shared" si="5"/>
        <v/>
      </c>
      <c r="W460" s="6" t="str">
        <f t="shared" si="6"/>
        <v/>
      </c>
    </row>
    <row r="461">
      <c r="A461" s="18"/>
      <c r="B461" s="18"/>
      <c r="C461" s="18"/>
      <c r="D461" s="18"/>
      <c r="E461" s="18"/>
      <c r="F461" s="18"/>
      <c r="G461" s="22"/>
      <c r="H461" s="18"/>
      <c r="I461" s="18">
        <v>0.0</v>
      </c>
      <c r="J461" s="18">
        <v>0.0</v>
      </c>
      <c r="K461" s="18"/>
      <c r="L461" s="18"/>
      <c r="M461" s="22" t="str">
        <f t="shared" si="1"/>
        <v/>
      </c>
      <c r="N461" s="18" t="str">
        <f>IF(A461="",,IF(ROW()=2, Input!$C$2 + I461, P460 + I461))</f>
        <v/>
      </c>
      <c r="O461" s="23" t="str">
        <f>IF(A461="",,
 IF(K461="Initial principal",
   Input!$C$2 * M461,
   N461 * M461
 )
)</f>
        <v/>
      </c>
      <c r="P461" s="18" t="str">
        <f t="shared" si="2"/>
        <v/>
      </c>
      <c r="Q461" s="18" t="str">
        <f t="shared" si="3"/>
        <v/>
      </c>
      <c r="R461" s="18" t="str">
        <f t="array" ref="R461">IF(
  B461="",
  ,
  SWITCH(
    Input!$C$4,
    "Actual/365 Fixed",
      YEARFRAC(
        B461 + IF(INDEX(Input!$K$7:$K1503,ROW()-1),0,1),
        C461 + IF(INDEX(Input!$L$7:$L1503,ROW()-1),1,0),
        3
      ),
    "Anniversary/365",
      DATEDIF(
        B461 + IF(INDEX(Input!$K$7:$K1503,ROW()-1),0,1),
        C461 + IF(INDEX(Input!$L$7:$L1503,ROW()-1),1,0),
        "Y"
      )
      +
      (
        (C461 + IF(INDEX(Input!$L$7:$L1503,ROW()-1),1,0))
        -
        EDATE(
          B461 + IF(INDEX(Input!$K$7:$K1503,ROW()-1),0,1),
          12*DATEDIF(
            B461 + IF(INDEX(Input!$K$7:$K1503,ROW()-1),0,1),
            C461 + IF(INDEX(Input!$L$7:$L1503,ROW()-1),1,0),
            "Y"
          )
        )
      ) / 365,
    "Actual/Actual",
      YEARFRAC(
        B461 + IF(INDEX(Input!$K$7:$K1503,ROW()-1),0,1),
        C461 + IF(INDEX(Input!$L$7:$L1503,ROW()-1),1,0),
        1
      ),
      YEARFRAC(
        B461 + IF(INDEX(Input!$K$7:$K1503,ROW()-1),0,1),
        C461 + IF(INDEX(Input!$L$7:$L1503,ROW()-1),1,0),
        3
      )
  )
)</f>
        <v/>
      </c>
      <c r="S461" s="22" t="str">
        <f t="shared" si="4"/>
        <v/>
      </c>
      <c r="T461" s="6" t="str">
        <f t="array" ref="T461">IF(
  B461="",
  ,
  DATEDIF(
    B461 + IF(INDEX(Input!$K$7:$K1503,ROW()-1),0,1),
    C461 + IF(INDEX(Input!$L$7:$L1503,ROW()-1),1,0),
    "Y"
  )
)</f>
        <v/>
      </c>
      <c r="U461" s="6" t="str">
        <f t="array" ref="U461">IF(
  B461="",
  ,
  (C461 + IF(INDEX(Input!$L$7:$L1503,ROW()-1),1,0))
  - EDATE(
      B461 + IF(INDEX(Input!$K$7:$K1503,ROW()-1),0,1),
      12*S461
    )
)</f>
        <v/>
      </c>
      <c r="V461" s="6" t="str">
        <f t="shared" si="5"/>
        <v/>
      </c>
      <c r="W461" s="6" t="str">
        <f t="shared" si="6"/>
        <v/>
      </c>
    </row>
    <row r="462">
      <c r="A462" s="18"/>
      <c r="B462" s="18"/>
      <c r="C462" s="18"/>
      <c r="D462" s="18"/>
      <c r="E462" s="18"/>
      <c r="F462" s="18"/>
      <c r="G462" s="22"/>
      <c r="H462" s="18"/>
      <c r="I462" s="18">
        <v>0.0</v>
      </c>
      <c r="J462" s="18">
        <v>0.0</v>
      </c>
      <c r="K462" s="18"/>
      <c r="L462" s="18"/>
      <c r="M462" s="22" t="str">
        <f t="shared" si="1"/>
        <v/>
      </c>
      <c r="N462" s="18" t="str">
        <f>IF(A462="",,IF(ROW()=2, Input!$C$2 + I462, P461 + I462))</f>
        <v/>
      </c>
      <c r="O462" s="23" t="str">
        <f>IF(A462="",,
 IF(K462="Initial principal",
   Input!$C$2 * M462,
   N462 * M462
 )
)</f>
        <v/>
      </c>
      <c r="P462" s="18" t="str">
        <f t="shared" si="2"/>
        <v/>
      </c>
      <c r="Q462" s="18" t="str">
        <f t="shared" si="3"/>
        <v/>
      </c>
      <c r="R462" s="18" t="str">
        <f t="array" ref="R462">IF(
  B462="",
  ,
  SWITCH(
    Input!$C$4,
    "Actual/365 Fixed",
      YEARFRAC(
        B462 + IF(INDEX(Input!$K$7:$K1503,ROW()-1),0,1),
        C462 + IF(INDEX(Input!$L$7:$L1503,ROW()-1),1,0),
        3
      ),
    "Anniversary/365",
      DATEDIF(
        B462 + IF(INDEX(Input!$K$7:$K1503,ROW()-1),0,1),
        C462 + IF(INDEX(Input!$L$7:$L1503,ROW()-1),1,0),
        "Y"
      )
      +
      (
        (C462 + IF(INDEX(Input!$L$7:$L1503,ROW()-1),1,0))
        -
        EDATE(
          B462 + IF(INDEX(Input!$K$7:$K1503,ROW()-1),0,1),
          12*DATEDIF(
            B462 + IF(INDEX(Input!$K$7:$K1503,ROW()-1),0,1),
            C462 + IF(INDEX(Input!$L$7:$L1503,ROW()-1),1,0),
            "Y"
          )
        )
      ) / 365,
    "Actual/Actual",
      YEARFRAC(
        B462 + IF(INDEX(Input!$K$7:$K1503,ROW()-1),0,1),
        C462 + IF(INDEX(Input!$L$7:$L1503,ROW()-1),1,0),
        1
      ),
      YEARFRAC(
        B462 + IF(INDEX(Input!$K$7:$K1503,ROW()-1),0,1),
        C462 + IF(INDEX(Input!$L$7:$L1503,ROW()-1),1,0),
        3
      )
  )
)</f>
        <v/>
      </c>
      <c r="S462" s="22" t="str">
        <f t="shared" si="4"/>
        <v/>
      </c>
      <c r="T462" s="6" t="str">
        <f t="array" ref="T462">IF(
  B462="",
  ,
  DATEDIF(
    B462 + IF(INDEX(Input!$K$7:$K1503,ROW()-1),0,1),
    C462 + IF(INDEX(Input!$L$7:$L1503,ROW()-1),1,0),
    "Y"
  )
)</f>
        <v/>
      </c>
      <c r="U462" s="6" t="str">
        <f t="array" ref="U462">IF(
  B462="",
  ,
  (C462 + IF(INDEX(Input!$L$7:$L1503,ROW()-1),1,0))
  - EDATE(
      B462 + IF(INDEX(Input!$K$7:$K1503,ROW()-1),0,1),
      12*S462
    )
)</f>
        <v/>
      </c>
      <c r="V462" s="6" t="str">
        <f t="shared" si="5"/>
        <v/>
      </c>
      <c r="W462" s="6" t="str">
        <f t="shared" si="6"/>
        <v/>
      </c>
    </row>
    <row r="463">
      <c r="A463" s="18"/>
      <c r="B463" s="18"/>
      <c r="C463" s="18"/>
      <c r="D463" s="18"/>
      <c r="E463" s="18"/>
      <c r="F463" s="18"/>
      <c r="G463" s="22"/>
      <c r="H463" s="18"/>
      <c r="I463" s="18">
        <v>0.0</v>
      </c>
      <c r="J463" s="18">
        <v>0.0</v>
      </c>
      <c r="K463" s="18"/>
      <c r="L463" s="18"/>
      <c r="M463" s="22" t="str">
        <f t="shared" si="1"/>
        <v/>
      </c>
      <c r="N463" s="18" t="str">
        <f>IF(A463="",,IF(ROW()=2, Input!$C$2 + I463, P462 + I463))</f>
        <v/>
      </c>
      <c r="O463" s="23" t="str">
        <f>IF(A463="",,
 IF(K463="Initial principal",
   Input!$C$2 * M463,
   N463 * M463
 )
)</f>
        <v/>
      </c>
      <c r="P463" s="18" t="str">
        <f t="shared" si="2"/>
        <v/>
      </c>
      <c r="Q463" s="18" t="str">
        <f t="shared" si="3"/>
        <v/>
      </c>
      <c r="R463" s="18" t="str">
        <f t="array" ref="R463">IF(
  B463="",
  ,
  SWITCH(
    Input!$C$4,
    "Actual/365 Fixed",
      YEARFRAC(
        B463 + IF(INDEX(Input!$K$7:$K1503,ROW()-1),0,1),
        C463 + IF(INDEX(Input!$L$7:$L1503,ROW()-1),1,0),
        3
      ),
    "Anniversary/365",
      DATEDIF(
        B463 + IF(INDEX(Input!$K$7:$K1503,ROW()-1),0,1),
        C463 + IF(INDEX(Input!$L$7:$L1503,ROW()-1),1,0),
        "Y"
      )
      +
      (
        (C463 + IF(INDEX(Input!$L$7:$L1503,ROW()-1),1,0))
        -
        EDATE(
          B463 + IF(INDEX(Input!$K$7:$K1503,ROW()-1),0,1),
          12*DATEDIF(
            B463 + IF(INDEX(Input!$K$7:$K1503,ROW()-1),0,1),
            C463 + IF(INDEX(Input!$L$7:$L1503,ROW()-1),1,0),
            "Y"
          )
        )
      ) / 365,
    "Actual/Actual",
      YEARFRAC(
        B463 + IF(INDEX(Input!$K$7:$K1503,ROW()-1),0,1),
        C463 + IF(INDEX(Input!$L$7:$L1503,ROW()-1),1,0),
        1
      ),
      YEARFRAC(
        B463 + IF(INDEX(Input!$K$7:$K1503,ROW()-1),0,1),
        C463 + IF(INDEX(Input!$L$7:$L1503,ROW()-1),1,0),
        3
      )
  )
)</f>
        <v/>
      </c>
      <c r="S463" s="22" t="str">
        <f t="shared" si="4"/>
        <v/>
      </c>
      <c r="T463" s="6" t="str">
        <f t="array" ref="T463">IF(
  B463="",
  ,
  DATEDIF(
    B463 + IF(INDEX(Input!$K$7:$K1503,ROW()-1),0,1),
    C463 + IF(INDEX(Input!$L$7:$L1503,ROW()-1),1,0),
    "Y"
  )
)</f>
        <v/>
      </c>
      <c r="U463" s="6" t="str">
        <f t="array" ref="U463">IF(
  B463="",
  ,
  (C463 + IF(INDEX(Input!$L$7:$L1503,ROW()-1),1,0))
  - EDATE(
      B463 + IF(INDEX(Input!$K$7:$K1503,ROW()-1),0,1),
      12*S463
    )
)</f>
        <v/>
      </c>
      <c r="V463" s="6" t="str">
        <f t="shared" si="5"/>
        <v/>
      </c>
      <c r="W463" s="6" t="str">
        <f t="shared" si="6"/>
        <v/>
      </c>
    </row>
    <row r="464">
      <c r="A464" s="18"/>
      <c r="B464" s="18"/>
      <c r="C464" s="18"/>
      <c r="D464" s="18"/>
      <c r="E464" s="18"/>
      <c r="F464" s="18"/>
      <c r="G464" s="22"/>
      <c r="H464" s="18"/>
      <c r="I464" s="18">
        <v>0.0</v>
      </c>
      <c r="J464" s="18">
        <v>0.0</v>
      </c>
      <c r="K464" s="18"/>
      <c r="L464" s="18"/>
      <c r="M464" s="22" t="str">
        <f t="shared" si="1"/>
        <v/>
      </c>
      <c r="N464" s="18" t="str">
        <f>IF(A464="",,IF(ROW()=2, Input!$C$2 + I464, P463 + I464))</f>
        <v/>
      </c>
      <c r="O464" s="23" t="str">
        <f>IF(A464="",,
 IF(K464="Initial principal",
   Input!$C$2 * M464,
   N464 * M464
 )
)</f>
        <v/>
      </c>
      <c r="P464" s="18" t="str">
        <f t="shared" si="2"/>
        <v/>
      </c>
      <c r="Q464" s="18" t="str">
        <f t="shared" si="3"/>
        <v/>
      </c>
      <c r="R464" s="18" t="str">
        <f t="array" ref="R464">IF(
  B464="",
  ,
  SWITCH(
    Input!$C$4,
    "Actual/365 Fixed",
      YEARFRAC(
        B464 + IF(INDEX(Input!$K$7:$K1503,ROW()-1),0,1),
        C464 + IF(INDEX(Input!$L$7:$L1503,ROW()-1),1,0),
        3
      ),
    "Anniversary/365",
      DATEDIF(
        B464 + IF(INDEX(Input!$K$7:$K1503,ROW()-1),0,1),
        C464 + IF(INDEX(Input!$L$7:$L1503,ROW()-1),1,0),
        "Y"
      )
      +
      (
        (C464 + IF(INDEX(Input!$L$7:$L1503,ROW()-1),1,0))
        -
        EDATE(
          B464 + IF(INDEX(Input!$K$7:$K1503,ROW()-1),0,1),
          12*DATEDIF(
            B464 + IF(INDEX(Input!$K$7:$K1503,ROW()-1),0,1),
            C464 + IF(INDEX(Input!$L$7:$L1503,ROW()-1),1,0),
            "Y"
          )
        )
      ) / 365,
    "Actual/Actual",
      YEARFRAC(
        B464 + IF(INDEX(Input!$K$7:$K1503,ROW()-1),0,1),
        C464 + IF(INDEX(Input!$L$7:$L1503,ROW()-1),1,0),
        1
      ),
      YEARFRAC(
        B464 + IF(INDEX(Input!$K$7:$K1503,ROW()-1),0,1),
        C464 + IF(INDEX(Input!$L$7:$L1503,ROW()-1),1,0),
        3
      )
  )
)</f>
        <v/>
      </c>
      <c r="S464" s="22" t="str">
        <f t="shared" si="4"/>
        <v/>
      </c>
      <c r="T464" s="6" t="str">
        <f t="array" ref="T464">IF(
  B464="",
  ,
  DATEDIF(
    B464 + IF(INDEX(Input!$K$7:$K1503,ROW()-1),0,1),
    C464 + IF(INDEX(Input!$L$7:$L1503,ROW()-1),1,0),
    "Y"
  )
)</f>
        <v/>
      </c>
      <c r="U464" s="6" t="str">
        <f t="array" ref="U464">IF(
  B464="",
  ,
  (C464 + IF(INDEX(Input!$L$7:$L1503,ROW()-1),1,0))
  - EDATE(
      B464 + IF(INDEX(Input!$K$7:$K1503,ROW()-1),0,1),
      12*S464
    )
)</f>
        <v/>
      </c>
      <c r="V464" s="6" t="str">
        <f t="shared" si="5"/>
        <v/>
      </c>
      <c r="W464" s="6" t="str">
        <f t="shared" si="6"/>
        <v/>
      </c>
    </row>
    <row r="465">
      <c r="A465" s="18"/>
      <c r="B465" s="18"/>
      <c r="C465" s="18"/>
      <c r="D465" s="18"/>
      <c r="E465" s="18"/>
      <c r="F465" s="18"/>
      <c r="G465" s="22"/>
      <c r="H465" s="18"/>
      <c r="I465" s="18">
        <v>0.0</v>
      </c>
      <c r="J465" s="18">
        <v>0.0</v>
      </c>
      <c r="K465" s="18"/>
      <c r="L465" s="18"/>
      <c r="M465" s="22" t="str">
        <f t="shared" si="1"/>
        <v/>
      </c>
      <c r="N465" s="18" t="str">
        <f>IF(A465="",,IF(ROW()=2, Input!$C$2 + I465, P464 + I465))</f>
        <v/>
      </c>
      <c r="O465" s="23" t="str">
        <f>IF(A465="",,
 IF(K465="Initial principal",
   Input!$C$2 * M465,
   N465 * M465
 )
)</f>
        <v/>
      </c>
      <c r="P465" s="18" t="str">
        <f t="shared" si="2"/>
        <v/>
      </c>
      <c r="Q465" s="18" t="str">
        <f t="shared" si="3"/>
        <v/>
      </c>
      <c r="R465" s="18" t="str">
        <f t="array" ref="R465">IF(
  B465="",
  ,
  SWITCH(
    Input!$C$4,
    "Actual/365 Fixed",
      YEARFRAC(
        B465 + IF(INDEX(Input!$K$7:$K1503,ROW()-1),0,1),
        C465 + IF(INDEX(Input!$L$7:$L1503,ROW()-1),1,0),
        3
      ),
    "Anniversary/365",
      DATEDIF(
        B465 + IF(INDEX(Input!$K$7:$K1503,ROW()-1),0,1),
        C465 + IF(INDEX(Input!$L$7:$L1503,ROW()-1),1,0),
        "Y"
      )
      +
      (
        (C465 + IF(INDEX(Input!$L$7:$L1503,ROW()-1),1,0))
        -
        EDATE(
          B465 + IF(INDEX(Input!$K$7:$K1503,ROW()-1),0,1),
          12*DATEDIF(
            B465 + IF(INDEX(Input!$K$7:$K1503,ROW()-1),0,1),
            C465 + IF(INDEX(Input!$L$7:$L1503,ROW()-1),1,0),
            "Y"
          )
        )
      ) / 365,
    "Actual/Actual",
      YEARFRAC(
        B465 + IF(INDEX(Input!$K$7:$K1503,ROW()-1),0,1),
        C465 + IF(INDEX(Input!$L$7:$L1503,ROW()-1),1,0),
        1
      ),
      YEARFRAC(
        B465 + IF(INDEX(Input!$K$7:$K1503,ROW()-1),0,1),
        C465 + IF(INDEX(Input!$L$7:$L1503,ROW()-1),1,0),
        3
      )
  )
)</f>
        <v/>
      </c>
      <c r="S465" s="22" t="str">
        <f t="shared" si="4"/>
        <v/>
      </c>
      <c r="T465" s="6" t="str">
        <f t="array" ref="T465">IF(
  B465="",
  ,
  DATEDIF(
    B465 + IF(INDEX(Input!$K$7:$K1503,ROW()-1),0,1),
    C465 + IF(INDEX(Input!$L$7:$L1503,ROW()-1),1,0),
    "Y"
  )
)</f>
        <v/>
      </c>
      <c r="U465" s="6" t="str">
        <f t="array" ref="U465">IF(
  B465="",
  ,
  (C465 + IF(INDEX(Input!$L$7:$L1503,ROW()-1),1,0))
  - EDATE(
      B465 + IF(INDEX(Input!$K$7:$K1503,ROW()-1),0,1),
      12*S465
    )
)</f>
        <v/>
      </c>
      <c r="V465" s="6" t="str">
        <f t="shared" si="5"/>
        <v/>
      </c>
      <c r="W465" s="6" t="str">
        <f t="shared" si="6"/>
        <v/>
      </c>
    </row>
    <row r="466">
      <c r="A466" s="18"/>
      <c r="B466" s="18"/>
      <c r="C466" s="18"/>
      <c r="D466" s="18"/>
      <c r="E466" s="18"/>
      <c r="F466" s="18"/>
      <c r="G466" s="22"/>
      <c r="H466" s="18"/>
      <c r="I466" s="18">
        <v>0.0</v>
      </c>
      <c r="J466" s="18">
        <v>0.0</v>
      </c>
      <c r="K466" s="18"/>
      <c r="L466" s="18"/>
      <c r="M466" s="22" t="str">
        <f t="shared" si="1"/>
        <v/>
      </c>
      <c r="N466" s="18" t="str">
        <f>IF(A466="",,IF(ROW()=2, Input!$C$2 + I466, P465 + I466))</f>
        <v/>
      </c>
      <c r="O466" s="23" t="str">
        <f>IF(A466="",,
 IF(K466="Initial principal",
   Input!$C$2 * M466,
   N466 * M466
 )
)</f>
        <v/>
      </c>
      <c r="P466" s="18" t="str">
        <f t="shared" si="2"/>
        <v/>
      </c>
      <c r="Q466" s="18" t="str">
        <f t="shared" si="3"/>
        <v/>
      </c>
      <c r="R466" s="18" t="str">
        <f t="array" ref="R466">IF(
  B466="",
  ,
  SWITCH(
    Input!$C$4,
    "Actual/365 Fixed",
      YEARFRAC(
        B466 + IF(INDEX(Input!$K$7:$K1503,ROW()-1),0,1),
        C466 + IF(INDEX(Input!$L$7:$L1503,ROW()-1),1,0),
        3
      ),
    "Anniversary/365",
      DATEDIF(
        B466 + IF(INDEX(Input!$K$7:$K1503,ROW()-1),0,1),
        C466 + IF(INDEX(Input!$L$7:$L1503,ROW()-1),1,0),
        "Y"
      )
      +
      (
        (C466 + IF(INDEX(Input!$L$7:$L1503,ROW()-1),1,0))
        -
        EDATE(
          B466 + IF(INDEX(Input!$K$7:$K1503,ROW()-1),0,1),
          12*DATEDIF(
            B466 + IF(INDEX(Input!$K$7:$K1503,ROW()-1),0,1),
            C466 + IF(INDEX(Input!$L$7:$L1503,ROW()-1),1,0),
            "Y"
          )
        )
      ) / 365,
    "Actual/Actual",
      YEARFRAC(
        B466 + IF(INDEX(Input!$K$7:$K1503,ROW()-1),0,1),
        C466 + IF(INDEX(Input!$L$7:$L1503,ROW()-1),1,0),
        1
      ),
      YEARFRAC(
        B466 + IF(INDEX(Input!$K$7:$K1503,ROW()-1),0,1),
        C466 + IF(INDEX(Input!$L$7:$L1503,ROW()-1),1,0),
        3
      )
  )
)</f>
        <v/>
      </c>
      <c r="S466" s="22" t="str">
        <f t="shared" si="4"/>
        <v/>
      </c>
      <c r="T466" s="6" t="str">
        <f t="array" ref="T466">IF(
  B466="",
  ,
  DATEDIF(
    B466 + IF(INDEX(Input!$K$7:$K1503,ROW()-1),0,1),
    C466 + IF(INDEX(Input!$L$7:$L1503,ROW()-1),1,0),
    "Y"
  )
)</f>
        <v/>
      </c>
      <c r="U466" s="6" t="str">
        <f t="array" ref="U466">IF(
  B466="",
  ,
  (C466 + IF(INDEX(Input!$L$7:$L1503,ROW()-1),1,0))
  - EDATE(
      B466 + IF(INDEX(Input!$K$7:$K1503,ROW()-1),0,1),
      12*S466
    )
)</f>
        <v/>
      </c>
      <c r="V466" s="6" t="str">
        <f t="shared" si="5"/>
        <v/>
      </c>
      <c r="W466" s="6" t="str">
        <f t="shared" si="6"/>
        <v/>
      </c>
    </row>
    <row r="467">
      <c r="A467" s="18"/>
      <c r="B467" s="18"/>
      <c r="C467" s="18"/>
      <c r="D467" s="18"/>
      <c r="E467" s="18"/>
      <c r="F467" s="18"/>
      <c r="G467" s="22"/>
      <c r="H467" s="18"/>
      <c r="I467" s="18">
        <v>0.0</v>
      </c>
      <c r="J467" s="18">
        <v>0.0</v>
      </c>
      <c r="K467" s="18"/>
      <c r="L467" s="18"/>
      <c r="M467" s="22" t="str">
        <f t="shared" si="1"/>
        <v/>
      </c>
      <c r="N467" s="18" t="str">
        <f>IF(A467="",,IF(ROW()=2, Input!$C$2 + I467, P466 + I467))</f>
        <v/>
      </c>
      <c r="O467" s="23" t="str">
        <f>IF(A467="",,
 IF(K467="Initial principal",
   Input!$C$2 * M467,
   N467 * M467
 )
)</f>
        <v/>
      </c>
      <c r="P467" s="18" t="str">
        <f t="shared" si="2"/>
        <v/>
      </c>
      <c r="Q467" s="18" t="str">
        <f t="shared" si="3"/>
        <v/>
      </c>
      <c r="R467" s="18" t="str">
        <f t="array" ref="R467">IF(
  B467="",
  ,
  SWITCH(
    Input!$C$4,
    "Actual/365 Fixed",
      YEARFRAC(
        B467 + IF(INDEX(Input!$K$7:$K1503,ROW()-1),0,1),
        C467 + IF(INDEX(Input!$L$7:$L1503,ROW()-1),1,0),
        3
      ),
    "Anniversary/365",
      DATEDIF(
        B467 + IF(INDEX(Input!$K$7:$K1503,ROW()-1),0,1),
        C467 + IF(INDEX(Input!$L$7:$L1503,ROW()-1),1,0),
        "Y"
      )
      +
      (
        (C467 + IF(INDEX(Input!$L$7:$L1503,ROW()-1),1,0))
        -
        EDATE(
          B467 + IF(INDEX(Input!$K$7:$K1503,ROW()-1),0,1),
          12*DATEDIF(
            B467 + IF(INDEX(Input!$K$7:$K1503,ROW()-1),0,1),
            C467 + IF(INDEX(Input!$L$7:$L1503,ROW()-1),1,0),
            "Y"
          )
        )
      ) / 365,
    "Actual/Actual",
      YEARFRAC(
        B467 + IF(INDEX(Input!$K$7:$K1503,ROW()-1),0,1),
        C467 + IF(INDEX(Input!$L$7:$L1503,ROW()-1),1,0),
        1
      ),
      YEARFRAC(
        B467 + IF(INDEX(Input!$K$7:$K1503,ROW()-1),0,1),
        C467 + IF(INDEX(Input!$L$7:$L1503,ROW()-1),1,0),
        3
      )
  )
)</f>
        <v/>
      </c>
      <c r="S467" s="22" t="str">
        <f t="shared" si="4"/>
        <v/>
      </c>
      <c r="T467" s="6" t="str">
        <f t="array" ref="T467">IF(
  B467="",
  ,
  DATEDIF(
    B467 + IF(INDEX(Input!$K$7:$K1503,ROW()-1),0,1),
    C467 + IF(INDEX(Input!$L$7:$L1503,ROW()-1),1,0),
    "Y"
  )
)</f>
        <v/>
      </c>
      <c r="U467" s="6" t="str">
        <f t="array" ref="U467">IF(
  B467="",
  ,
  (C467 + IF(INDEX(Input!$L$7:$L1503,ROW()-1),1,0))
  - EDATE(
      B467 + IF(INDEX(Input!$K$7:$K1503,ROW()-1),0,1),
      12*S467
    )
)</f>
        <v/>
      </c>
      <c r="V467" s="6" t="str">
        <f t="shared" si="5"/>
        <v/>
      </c>
      <c r="W467" s="6" t="str">
        <f t="shared" si="6"/>
        <v/>
      </c>
    </row>
    <row r="468">
      <c r="A468" s="18"/>
      <c r="B468" s="18"/>
      <c r="C468" s="18"/>
      <c r="D468" s="18"/>
      <c r="E468" s="18"/>
      <c r="F468" s="18"/>
      <c r="G468" s="22"/>
      <c r="H468" s="18"/>
      <c r="I468" s="18">
        <v>0.0</v>
      </c>
      <c r="J468" s="18">
        <v>0.0</v>
      </c>
      <c r="K468" s="18"/>
      <c r="L468" s="18"/>
      <c r="M468" s="22" t="str">
        <f t="shared" si="1"/>
        <v/>
      </c>
      <c r="N468" s="18" t="str">
        <f>IF(A468="",,IF(ROW()=2, Input!$C$2 + I468, P467 + I468))</f>
        <v/>
      </c>
      <c r="O468" s="23" t="str">
        <f>IF(A468="",,
 IF(K468="Initial principal",
   Input!$C$2 * M468,
   N468 * M468
 )
)</f>
        <v/>
      </c>
      <c r="P468" s="18" t="str">
        <f t="shared" si="2"/>
        <v/>
      </c>
      <c r="Q468" s="18" t="str">
        <f t="shared" si="3"/>
        <v/>
      </c>
      <c r="R468" s="18" t="str">
        <f t="array" ref="R468">IF(
  B468="",
  ,
  SWITCH(
    Input!$C$4,
    "Actual/365 Fixed",
      YEARFRAC(
        B468 + IF(INDEX(Input!$K$7:$K1503,ROW()-1),0,1),
        C468 + IF(INDEX(Input!$L$7:$L1503,ROW()-1),1,0),
        3
      ),
    "Anniversary/365",
      DATEDIF(
        B468 + IF(INDEX(Input!$K$7:$K1503,ROW()-1),0,1),
        C468 + IF(INDEX(Input!$L$7:$L1503,ROW()-1),1,0),
        "Y"
      )
      +
      (
        (C468 + IF(INDEX(Input!$L$7:$L1503,ROW()-1),1,0))
        -
        EDATE(
          B468 + IF(INDEX(Input!$K$7:$K1503,ROW()-1),0,1),
          12*DATEDIF(
            B468 + IF(INDEX(Input!$K$7:$K1503,ROW()-1),0,1),
            C468 + IF(INDEX(Input!$L$7:$L1503,ROW()-1),1,0),
            "Y"
          )
        )
      ) / 365,
    "Actual/Actual",
      YEARFRAC(
        B468 + IF(INDEX(Input!$K$7:$K1503,ROW()-1),0,1),
        C468 + IF(INDEX(Input!$L$7:$L1503,ROW()-1),1,0),
        1
      ),
      YEARFRAC(
        B468 + IF(INDEX(Input!$K$7:$K1503,ROW()-1),0,1),
        C468 + IF(INDEX(Input!$L$7:$L1503,ROW()-1),1,0),
        3
      )
  )
)</f>
        <v/>
      </c>
      <c r="S468" s="22" t="str">
        <f t="shared" si="4"/>
        <v/>
      </c>
      <c r="T468" s="6" t="str">
        <f t="array" ref="T468">IF(
  B468="",
  ,
  DATEDIF(
    B468 + IF(INDEX(Input!$K$7:$K1503,ROW()-1),0,1),
    C468 + IF(INDEX(Input!$L$7:$L1503,ROW()-1),1,0),
    "Y"
  )
)</f>
        <v/>
      </c>
      <c r="U468" s="6" t="str">
        <f t="array" ref="U468">IF(
  B468="",
  ,
  (C468 + IF(INDEX(Input!$L$7:$L1503,ROW()-1),1,0))
  - EDATE(
      B468 + IF(INDEX(Input!$K$7:$K1503,ROW()-1),0,1),
      12*S468
    )
)</f>
        <v/>
      </c>
      <c r="V468" s="6" t="str">
        <f t="shared" si="5"/>
        <v/>
      </c>
      <c r="W468" s="6" t="str">
        <f t="shared" si="6"/>
        <v/>
      </c>
    </row>
    <row r="469">
      <c r="A469" s="18"/>
      <c r="B469" s="18"/>
      <c r="C469" s="18"/>
      <c r="D469" s="18"/>
      <c r="E469" s="18"/>
      <c r="F469" s="18"/>
      <c r="G469" s="22"/>
      <c r="H469" s="18"/>
      <c r="I469" s="18">
        <v>0.0</v>
      </c>
      <c r="J469" s="18">
        <v>0.0</v>
      </c>
      <c r="K469" s="18"/>
      <c r="L469" s="18"/>
      <c r="M469" s="22" t="str">
        <f t="shared" si="1"/>
        <v/>
      </c>
      <c r="N469" s="18" t="str">
        <f>IF(A469="",,IF(ROW()=2, Input!$C$2 + I469, P468 + I469))</f>
        <v/>
      </c>
      <c r="O469" s="23" t="str">
        <f>IF(A469="",,
 IF(K469="Initial principal",
   Input!$C$2 * M469,
   N469 * M469
 )
)</f>
        <v/>
      </c>
      <c r="P469" s="18" t="str">
        <f t="shared" si="2"/>
        <v/>
      </c>
      <c r="Q469" s="18" t="str">
        <f t="shared" si="3"/>
        <v/>
      </c>
      <c r="R469" s="18" t="str">
        <f t="array" ref="R469">IF(
  B469="",
  ,
  SWITCH(
    Input!$C$4,
    "Actual/365 Fixed",
      YEARFRAC(
        B469 + IF(INDEX(Input!$K$7:$K1503,ROW()-1),0,1),
        C469 + IF(INDEX(Input!$L$7:$L1503,ROW()-1),1,0),
        3
      ),
    "Anniversary/365",
      DATEDIF(
        B469 + IF(INDEX(Input!$K$7:$K1503,ROW()-1),0,1),
        C469 + IF(INDEX(Input!$L$7:$L1503,ROW()-1),1,0),
        "Y"
      )
      +
      (
        (C469 + IF(INDEX(Input!$L$7:$L1503,ROW()-1),1,0))
        -
        EDATE(
          B469 + IF(INDEX(Input!$K$7:$K1503,ROW()-1),0,1),
          12*DATEDIF(
            B469 + IF(INDEX(Input!$K$7:$K1503,ROW()-1),0,1),
            C469 + IF(INDEX(Input!$L$7:$L1503,ROW()-1),1,0),
            "Y"
          )
        )
      ) / 365,
    "Actual/Actual",
      YEARFRAC(
        B469 + IF(INDEX(Input!$K$7:$K1503,ROW()-1),0,1),
        C469 + IF(INDEX(Input!$L$7:$L1503,ROW()-1),1,0),
        1
      ),
      YEARFRAC(
        B469 + IF(INDEX(Input!$K$7:$K1503,ROW()-1),0,1),
        C469 + IF(INDEX(Input!$L$7:$L1503,ROW()-1),1,0),
        3
      )
  )
)</f>
        <v/>
      </c>
      <c r="S469" s="22" t="str">
        <f t="shared" si="4"/>
        <v/>
      </c>
      <c r="T469" s="6" t="str">
        <f t="array" ref="T469">IF(
  B469="",
  ,
  DATEDIF(
    B469 + IF(INDEX(Input!$K$7:$K1503,ROW()-1),0,1),
    C469 + IF(INDEX(Input!$L$7:$L1503,ROW()-1),1,0),
    "Y"
  )
)</f>
        <v/>
      </c>
      <c r="U469" s="6" t="str">
        <f t="array" ref="U469">IF(
  B469="",
  ,
  (C469 + IF(INDEX(Input!$L$7:$L1503,ROW()-1),1,0))
  - EDATE(
      B469 + IF(INDEX(Input!$K$7:$K1503,ROW()-1),0,1),
      12*S469
    )
)</f>
        <v/>
      </c>
      <c r="V469" s="6" t="str">
        <f t="shared" si="5"/>
        <v/>
      </c>
      <c r="W469" s="6" t="str">
        <f t="shared" si="6"/>
        <v/>
      </c>
    </row>
    <row r="470">
      <c r="A470" s="18"/>
      <c r="B470" s="18"/>
      <c r="C470" s="18"/>
      <c r="D470" s="18"/>
      <c r="E470" s="18"/>
      <c r="F470" s="18"/>
      <c r="G470" s="22"/>
      <c r="H470" s="18"/>
      <c r="I470" s="18">
        <v>0.0</v>
      </c>
      <c r="J470" s="18">
        <v>0.0</v>
      </c>
      <c r="K470" s="18"/>
      <c r="L470" s="18"/>
      <c r="M470" s="22" t="str">
        <f t="shared" si="1"/>
        <v/>
      </c>
      <c r="N470" s="18" t="str">
        <f>IF(A470="",,IF(ROW()=2, Input!$C$2 + I470, P469 + I470))</f>
        <v/>
      </c>
      <c r="O470" s="23" t="str">
        <f>IF(A470="",,
 IF(K470="Initial principal",
   Input!$C$2 * M470,
   N470 * M470
 )
)</f>
        <v/>
      </c>
      <c r="P470" s="18" t="str">
        <f t="shared" si="2"/>
        <v/>
      </c>
      <c r="Q470" s="18" t="str">
        <f t="shared" si="3"/>
        <v/>
      </c>
      <c r="R470" s="18" t="str">
        <f t="array" ref="R470">IF(
  B470="",
  ,
  SWITCH(
    Input!$C$4,
    "Actual/365 Fixed",
      YEARFRAC(
        B470 + IF(INDEX(Input!$K$7:$K1503,ROW()-1),0,1),
        C470 + IF(INDEX(Input!$L$7:$L1503,ROW()-1),1,0),
        3
      ),
    "Anniversary/365",
      DATEDIF(
        B470 + IF(INDEX(Input!$K$7:$K1503,ROW()-1),0,1),
        C470 + IF(INDEX(Input!$L$7:$L1503,ROW()-1),1,0),
        "Y"
      )
      +
      (
        (C470 + IF(INDEX(Input!$L$7:$L1503,ROW()-1),1,0))
        -
        EDATE(
          B470 + IF(INDEX(Input!$K$7:$K1503,ROW()-1),0,1),
          12*DATEDIF(
            B470 + IF(INDEX(Input!$K$7:$K1503,ROW()-1),0,1),
            C470 + IF(INDEX(Input!$L$7:$L1503,ROW()-1),1,0),
            "Y"
          )
        )
      ) / 365,
    "Actual/Actual",
      YEARFRAC(
        B470 + IF(INDEX(Input!$K$7:$K1503,ROW()-1),0,1),
        C470 + IF(INDEX(Input!$L$7:$L1503,ROW()-1),1,0),
        1
      ),
      YEARFRAC(
        B470 + IF(INDEX(Input!$K$7:$K1503,ROW()-1),0,1),
        C470 + IF(INDEX(Input!$L$7:$L1503,ROW()-1),1,0),
        3
      )
  )
)</f>
        <v/>
      </c>
      <c r="S470" s="22" t="str">
        <f t="shared" si="4"/>
        <v/>
      </c>
      <c r="T470" s="6" t="str">
        <f t="array" ref="T470">IF(
  B470="",
  ,
  DATEDIF(
    B470 + IF(INDEX(Input!$K$7:$K1503,ROW()-1),0,1),
    C470 + IF(INDEX(Input!$L$7:$L1503,ROW()-1),1,0),
    "Y"
  )
)</f>
        <v/>
      </c>
      <c r="U470" s="6" t="str">
        <f t="array" ref="U470">IF(
  B470="",
  ,
  (C470 + IF(INDEX(Input!$L$7:$L1503,ROW()-1),1,0))
  - EDATE(
      B470 + IF(INDEX(Input!$K$7:$K1503,ROW()-1),0,1),
      12*S470
    )
)</f>
        <v/>
      </c>
      <c r="V470" s="6" t="str">
        <f t="shared" si="5"/>
        <v/>
      </c>
      <c r="W470" s="6" t="str">
        <f t="shared" si="6"/>
        <v/>
      </c>
    </row>
    <row r="471">
      <c r="A471" s="18"/>
      <c r="B471" s="18"/>
      <c r="C471" s="18"/>
      <c r="D471" s="18"/>
      <c r="E471" s="18"/>
      <c r="F471" s="18"/>
      <c r="G471" s="22"/>
      <c r="H471" s="18"/>
      <c r="I471" s="18">
        <v>0.0</v>
      </c>
      <c r="J471" s="18">
        <v>0.0</v>
      </c>
      <c r="K471" s="18"/>
      <c r="L471" s="18"/>
      <c r="M471" s="22" t="str">
        <f t="shared" si="1"/>
        <v/>
      </c>
      <c r="N471" s="18" t="str">
        <f>IF(A471="",,IF(ROW()=2, Input!$C$2 + I471, P470 + I471))</f>
        <v/>
      </c>
      <c r="O471" s="23" t="str">
        <f>IF(A471="",,
 IF(K471="Initial principal",
   Input!$C$2 * M471,
   N471 * M471
 )
)</f>
        <v/>
      </c>
      <c r="P471" s="18" t="str">
        <f t="shared" si="2"/>
        <v/>
      </c>
      <c r="Q471" s="18" t="str">
        <f t="shared" si="3"/>
        <v/>
      </c>
      <c r="R471" s="18" t="str">
        <f t="array" ref="R471">IF(
  B471="",
  ,
  SWITCH(
    Input!$C$4,
    "Actual/365 Fixed",
      YEARFRAC(
        B471 + IF(INDEX(Input!$K$7:$K1503,ROW()-1),0,1),
        C471 + IF(INDEX(Input!$L$7:$L1503,ROW()-1),1,0),
        3
      ),
    "Anniversary/365",
      DATEDIF(
        B471 + IF(INDEX(Input!$K$7:$K1503,ROW()-1),0,1),
        C471 + IF(INDEX(Input!$L$7:$L1503,ROW()-1),1,0),
        "Y"
      )
      +
      (
        (C471 + IF(INDEX(Input!$L$7:$L1503,ROW()-1),1,0))
        -
        EDATE(
          B471 + IF(INDEX(Input!$K$7:$K1503,ROW()-1),0,1),
          12*DATEDIF(
            B471 + IF(INDEX(Input!$K$7:$K1503,ROW()-1),0,1),
            C471 + IF(INDEX(Input!$L$7:$L1503,ROW()-1),1,0),
            "Y"
          )
        )
      ) / 365,
    "Actual/Actual",
      YEARFRAC(
        B471 + IF(INDEX(Input!$K$7:$K1503,ROW()-1),0,1),
        C471 + IF(INDEX(Input!$L$7:$L1503,ROW()-1),1,0),
        1
      ),
      YEARFRAC(
        B471 + IF(INDEX(Input!$K$7:$K1503,ROW()-1),0,1),
        C471 + IF(INDEX(Input!$L$7:$L1503,ROW()-1),1,0),
        3
      )
  )
)</f>
        <v/>
      </c>
      <c r="S471" s="22" t="str">
        <f t="shared" si="4"/>
        <v/>
      </c>
      <c r="T471" s="6" t="str">
        <f t="array" ref="T471">IF(
  B471="",
  ,
  DATEDIF(
    B471 + IF(INDEX(Input!$K$7:$K1503,ROW()-1),0,1),
    C471 + IF(INDEX(Input!$L$7:$L1503,ROW()-1),1,0),
    "Y"
  )
)</f>
        <v/>
      </c>
      <c r="U471" s="6" t="str">
        <f t="array" ref="U471">IF(
  B471="",
  ,
  (C471 + IF(INDEX(Input!$L$7:$L1503,ROW()-1),1,0))
  - EDATE(
      B471 + IF(INDEX(Input!$K$7:$K1503,ROW()-1),0,1),
      12*S471
    )
)</f>
        <v/>
      </c>
      <c r="V471" s="6" t="str">
        <f t="shared" si="5"/>
        <v/>
      </c>
      <c r="W471" s="6" t="str">
        <f t="shared" si="6"/>
        <v/>
      </c>
    </row>
    <row r="472">
      <c r="A472" s="18"/>
      <c r="B472" s="18"/>
      <c r="C472" s="18"/>
      <c r="D472" s="18"/>
      <c r="E472" s="18"/>
      <c r="F472" s="18"/>
      <c r="G472" s="22"/>
      <c r="H472" s="18"/>
      <c r="I472" s="18">
        <v>0.0</v>
      </c>
      <c r="J472" s="18">
        <v>0.0</v>
      </c>
      <c r="K472" s="18"/>
      <c r="L472" s="18"/>
      <c r="M472" s="22" t="str">
        <f t="shared" si="1"/>
        <v/>
      </c>
      <c r="N472" s="18" t="str">
        <f>IF(A472="",,IF(ROW()=2, Input!$C$2 + I472, P471 + I472))</f>
        <v/>
      </c>
      <c r="O472" s="23" t="str">
        <f>IF(A472="",,
 IF(K472="Initial principal",
   Input!$C$2 * M472,
   N472 * M472
 )
)</f>
        <v/>
      </c>
      <c r="P472" s="18" t="str">
        <f t="shared" si="2"/>
        <v/>
      </c>
      <c r="Q472" s="18" t="str">
        <f t="shared" si="3"/>
        <v/>
      </c>
      <c r="R472" s="18" t="str">
        <f t="array" ref="R472">IF(
  B472="",
  ,
  SWITCH(
    Input!$C$4,
    "Actual/365 Fixed",
      YEARFRAC(
        B472 + IF(INDEX(Input!$K$7:$K1503,ROW()-1),0,1),
        C472 + IF(INDEX(Input!$L$7:$L1503,ROW()-1),1,0),
        3
      ),
    "Anniversary/365",
      DATEDIF(
        B472 + IF(INDEX(Input!$K$7:$K1503,ROW()-1),0,1),
        C472 + IF(INDEX(Input!$L$7:$L1503,ROW()-1),1,0),
        "Y"
      )
      +
      (
        (C472 + IF(INDEX(Input!$L$7:$L1503,ROW()-1),1,0))
        -
        EDATE(
          B472 + IF(INDEX(Input!$K$7:$K1503,ROW()-1),0,1),
          12*DATEDIF(
            B472 + IF(INDEX(Input!$K$7:$K1503,ROW()-1),0,1),
            C472 + IF(INDEX(Input!$L$7:$L1503,ROW()-1),1,0),
            "Y"
          )
        )
      ) / 365,
    "Actual/Actual",
      YEARFRAC(
        B472 + IF(INDEX(Input!$K$7:$K1503,ROW()-1),0,1),
        C472 + IF(INDEX(Input!$L$7:$L1503,ROW()-1),1,0),
        1
      ),
      YEARFRAC(
        B472 + IF(INDEX(Input!$K$7:$K1503,ROW()-1),0,1),
        C472 + IF(INDEX(Input!$L$7:$L1503,ROW()-1),1,0),
        3
      )
  )
)</f>
        <v/>
      </c>
      <c r="S472" s="22" t="str">
        <f t="shared" si="4"/>
        <v/>
      </c>
      <c r="T472" s="6" t="str">
        <f t="array" ref="T472">IF(
  B472="",
  ,
  DATEDIF(
    B472 + IF(INDEX(Input!$K$7:$K1503,ROW()-1),0,1),
    C472 + IF(INDEX(Input!$L$7:$L1503,ROW()-1),1,0),
    "Y"
  )
)</f>
        <v/>
      </c>
      <c r="U472" s="6" t="str">
        <f t="array" ref="U472">IF(
  B472="",
  ,
  (C472 + IF(INDEX(Input!$L$7:$L1503,ROW()-1),1,0))
  - EDATE(
      B472 + IF(INDEX(Input!$K$7:$K1503,ROW()-1),0,1),
      12*S472
    )
)</f>
        <v/>
      </c>
      <c r="V472" s="6" t="str">
        <f t="shared" si="5"/>
        <v/>
      </c>
      <c r="W472" s="6" t="str">
        <f t="shared" si="6"/>
        <v/>
      </c>
    </row>
    <row r="473">
      <c r="A473" s="18"/>
      <c r="B473" s="18"/>
      <c r="C473" s="18"/>
      <c r="D473" s="18"/>
      <c r="E473" s="18"/>
      <c r="F473" s="18"/>
      <c r="G473" s="22"/>
      <c r="H473" s="18"/>
      <c r="I473" s="18">
        <v>0.0</v>
      </c>
      <c r="J473" s="18">
        <v>0.0</v>
      </c>
      <c r="K473" s="18"/>
      <c r="L473" s="18"/>
      <c r="M473" s="22" t="str">
        <f t="shared" si="1"/>
        <v/>
      </c>
      <c r="N473" s="18" t="str">
        <f>IF(A473="",,IF(ROW()=2, Input!$C$2 + I473, P472 + I473))</f>
        <v/>
      </c>
      <c r="O473" s="23" t="str">
        <f>IF(A473="",,
 IF(K473="Initial principal",
   Input!$C$2 * M473,
   N473 * M473
 )
)</f>
        <v/>
      </c>
      <c r="P473" s="18" t="str">
        <f t="shared" si="2"/>
        <v/>
      </c>
      <c r="Q473" s="18" t="str">
        <f t="shared" si="3"/>
        <v/>
      </c>
      <c r="R473" s="18" t="str">
        <f t="array" ref="R473">IF(
  B473="",
  ,
  SWITCH(
    Input!$C$4,
    "Actual/365 Fixed",
      YEARFRAC(
        B473 + IF(INDEX(Input!$K$7:$K1503,ROW()-1),0,1),
        C473 + IF(INDEX(Input!$L$7:$L1503,ROW()-1),1,0),
        3
      ),
    "Anniversary/365",
      DATEDIF(
        B473 + IF(INDEX(Input!$K$7:$K1503,ROW()-1),0,1),
        C473 + IF(INDEX(Input!$L$7:$L1503,ROW()-1),1,0),
        "Y"
      )
      +
      (
        (C473 + IF(INDEX(Input!$L$7:$L1503,ROW()-1),1,0))
        -
        EDATE(
          B473 + IF(INDEX(Input!$K$7:$K1503,ROW()-1),0,1),
          12*DATEDIF(
            B473 + IF(INDEX(Input!$K$7:$K1503,ROW()-1),0,1),
            C473 + IF(INDEX(Input!$L$7:$L1503,ROW()-1),1,0),
            "Y"
          )
        )
      ) / 365,
    "Actual/Actual",
      YEARFRAC(
        B473 + IF(INDEX(Input!$K$7:$K1503,ROW()-1),0,1),
        C473 + IF(INDEX(Input!$L$7:$L1503,ROW()-1),1,0),
        1
      ),
      YEARFRAC(
        B473 + IF(INDEX(Input!$K$7:$K1503,ROW()-1),0,1),
        C473 + IF(INDEX(Input!$L$7:$L1503,ROW()-1),1,0),
        3
      )
  )
)</f>
        <v/>
      </c>
      <c r="S473" s="22" t="str">
        <f t="shared" si="4"/>
        <v/>
      </c>
      <c r="T473" s="6" t="str">
        <f t="array" ref="T473">IF(
  B473="",
  ,
  DATEDIF(
    B473 + IF(INDEX(Input!$K$7:$K1503,ROW()-1),0,1),
    C473 + IF(INDEX(Input!$L$7:$L1503,ROW()-1),1,0),
    "Y"
  )
)</f>
        <v/>
      </c>
      <c r="U473" s="6" t="str">
        <f t="array" ref="U473">IF(
  B473="",
  ,
  (C473 + IF(INDEX(Input!$L$7:$L1503,ROW()-1),1,0))
  - EDATE(
      B473 + IF(INDEX(Input!$K$7:$K1503,ROW()-1),0,1),
      12*S473
    )
)</f>
        <v/>
      </c>
      <c r="V473" s="6" t="str">
        <f t="shared" si="5"/>
        <v/>
      </c>
      <c r="W473" s="6" t="str">
        <f t="shared" si="6"/>
        <v/>
      </c>
    </row>
    <row r="474">
      <c r="A474" s="18"/>
      <c r="B474" s="18"/>
      <c r="C474" s="18"/>
      <c r="D474" s="18"/>
      <c r="E474" s="18"/>
      <c r="F474" s="18"/>
      <c r="G474" s="22"/>
      <c r="H474" s="18"/>
      <c r="I474" s="18">
        <v>0.0</v>
      </c>
      <c r="J474" s="18">
        <v>0.0</v>
      </c>
      <c r="K474" s="18"/>
      <c r="L474" s="18"/>
      <c r="M474" s="22" t="str">
        <f t="shared" si="1"/>
        <v/>
      </c>
      <c r="N474" s="18" t="str">
        <f>IF(A474="",,IF(ROW()=2, Input!$C$2 + I474, P473 + I474))</f>
        <v/>
      </c>
      <c r="O474" s="23" t="str">
        <f>IF(A474="",,
 IF(K474="Initial principal",
   Input!$C$2 * M474,
   N474 * M474
 )
)</f>
        <v/>
      </c>
      <c r="P474" s="18" t="str">
        <f t="shared" si="2"/>
        <v/>
      </c>
      <c r="Q474" s="18" t="str">
        <f t="shared" si="3"/>
        <v/>
      </c>
      <c r="R474" s="18" t="str">
        <f t="array" ref="R474">IF(
  B474="",
  ,
  SWITCH(
    Input!$C$4,
    "Actual/365 Fixed",
      YEARFRAC(
        B474 + IF(INDEX(Input!$K$7:$K1503,ROW()-1),0,1),
        C474 + IF(INDEX(Input!$L$7:$L1503,ROW()-1),1,0),
        3
      ),
    "Anniversary/365",
      DATEDIF(
        B474 + IF(INDEX(Input!$K$7:$K1503,ROW()-1),0,1),
        C474 + IF(INDEX(Input!$L$7:$L1503,ROW()-1),1,0),
        "Y"
      )
      +
      (
        (C474 + IF(INDEX(Input!$L$7:$L1503,ROW()-1),1,0))
        -
        EDATE(
          B474 + IF(INDEX(Input!$K$7:$K1503,ROW()-1),0,1),
          12*DATEDIF(
            B474 + IF(INDEX(Input!$K$7:$K1503,ROW()-1),0,1),
            C474 + IF(INDEX(Input!$L$7:$L1503,ROW()-1),1,0),
            "Y"
          )
        )
      ) / 365,
    "Actual/Actual",
      YEARFRAC(
        B474 + IF(INDEX(Input!$K$7:$K1503,ROW()-1),0,1),
        C474 + IF(INDEX(Input!$L$7:$L1503,ROW()-1),1,0),
        1
      ),
      YEARFRAC(
        B474 + IF(INDEX(Input!$K$7:$K1503,ROW()-1),0,1),
        C474 + IF(INDEX(Input!$L$7:$L1503,ROW()-1),1,0),
        3
      )
  )
)</f>
        <v/>
      </c>
      <c r="S474" s="22" t="str">
        <f t="shared" si="4"/>
        <v/>
      </c>
      <c r="T474" s="6" t="str">
        <f t="array" ref="T474">IF(
  B474="",
  ,
  DATEDIF(
    B474 + IF(INDEX(Input!$K$7:$K1503,ROW()-1),0,1),
    C474 + IF(INDEX(Input!$L$7:$L1503,ROW()-1),1,0),
    "Y"
  )
)</f>
        <v/>
      </c>
      <c r="U474" s="6" t="str">
        <f t="array" ref="U474">IF(
  B474="",
  ,
  (C474 + IF(INDEX(Input!$L$7:$L1503,ROW()-1),1,0))
  - EDATE(
      B474 + IF(INDEX(Input!$K$7:$K1503,ROW()-1),0,1),
      12*S474
    )
)</f>
        <v/>
      </c>
      <c r="V474" s="6" t="str">
        <f t="shared" si="5"/>
        <v/>
      </c>
      <c r="W474" s="6" t="str">
        <f t="shared" si="6"/>
        <v/>
      </c>
    </row>
    <row r="475">
      <c r="A475" s="18"/>
      <c r="B475" s="18"/>
      <c r="C475" s="18"/>
      <c r="D475" s="18"/>
      <c r="E475" s="18"/>
      <c r="F475" s="18"/>
      <c r="G475" s="22"/>
      <c r="H475" s="18"/>
      <c r="I475" s="18">
        <v>0.0</v>
      </c>
      <c r="J475" s="18">
        <v>0.0</v>
      </c>
      <c r="K475" s="18"/>
      <c r="L475" s="18"/>
      <c r="M475" s="22" t="str">
        <f t="shared" si="1"/>
        <v/>
      </c>
      <c r="N475" s="18" t="str">
        <f>IF(A475="",,IF(ROW()=2, Input!$C$2 + I475, P474 + I475))</f>
        <v/>
      </c>
      <c r="O475" s="23" t="str">
        <f>IF(A475="",,
 IF(K475="Initial principal",
   Input!$C$2 * M475,
   N475 * M475
 )
)</f>
        <v/>
      </c>
      <c r="P475" s="18" t="str">
        <f t="shared" si="2"/>
        <v/>
      </c>
      <c r="Q475" s="18" t="str">
        <f t="shared" si="3"/>
        <v/>
      </c>
      <c r="R475" s="18" t="str">
        <f t="array" ref="R475">IF(
  B475="",
  ,
  SWITCH(
    Input!$C$4,
    "Actual/365 Fixed",
      YEARFRAC(
        B475 + IF(INDEX(Input!$K$7:$K1503,ROW()-1),0,1),
        C475 + IF(INDEX(Input!$L$7:$L1503,ROW()-1),1,0),
        3
      ),
    "Anniversary/365",
      DATEDIF(
        B475 + IF(INDEX(Input!$K$7:$K1503,ROW()-1),0,1),
        C475 + IF(INDEX(Input!$L$7:$L1503,ROW()-1),1,0),
        "Y"
      )
      +
      (
        (C475 + IF(INDEX(Input!$L$7:$L1503,ROW()-1),1,0))
        -
        EDATE(
          B475 + IF(INDEX(Input!$K$7:$K1503,ROW()-1),0,1),
          12*DATEDIF(
            B475 + IF(INDEX(Input!$K$7:$K1503,ROW()-1),0,1),
            C475 + IF(INDEX(Input!$L$7:$L1503,ROW()-1),1,0),
            "Y"
          )
        )
      ) / 365,
    "Actual/Actual",
      YEARFRAC(
        B475 + IF(INDEX(Input!$K$7:$K1503,ROW()-1),0,1),
        C475 + IF(INDEX(Input!$L$7:$L1503,ROW()-1),1,0),
        1
      ),
      YEARFRAC(
        B475 + IF(INDEX(Input!$K$7:$K1503,ROW()-1),0,1),
        C475 + IF(INDEX(Input!$L$7:$L1503,ROW()-1),1,0),
        3
      )
  )
)</f>
        <v/>
      </c>
      <c r="S475" s="22" t="str">
        <f t="shared" si="4"/>
        <v/>
      </c>
      <c r="T475" s="6" t="str">
        <f t="array" ref="T475">IF(
  B475="",
  ,
  DATEDIF(
    B475 + IF(INDEX(Input!$K$7:$K1503,ROW()-1),0,1),
    C475 + IF(INDEX(Input!$L$7:$L1503,ROW()-1),1,0),
    "Y"
  )
)</f>
        <v/>
      </c>
      <c r="U475" s="6" t="str">
        <f t="array" ref="U475">IF(
  B475="",
  ,
  (C475 + IF(INDEX(Input!$L$7:$L1503,ROW()-1),1,0))
  - EDATE(
      B475 + IF(INDEX(Input!$K$7:$K1503,ROW()-1),0,1),
      12*S475
    )
)</f>
        <v/>
      </c>
      <c r="V475" s="6" t="str">
        <f t="shared" si="5"/>
        <v/>
      </c>
      <c r="W475" s="6" t="str">
        <f t="shared" si="6"/>
        <v/>
      </c>
    </row>
    <row r="476">
      <c r="A476" s="18"/>
      <c r="B476" s="18"/>
      <c r="C476" s="18"/>
      <c r="D476" s="18"/>
      <c r="E476" s="18"/>
      <c r="F476" s="18"/>
      <c r="G476" s="22"/>
      <c r="H476" s="18"/>
      <c r="I476" s="18">
        <v>0.0</v>
      </c>
      <c r="J476" s="18">
        <v>0.0</v>
      </c>
      <c r="K476" s="18"/>
      <c r="L476" s="18"/>
      <c r="M476" s="22" t="str">
        <f t="shared" si="1"/>
        <v/>
      </c>
      <c r="N476" s="18" t="str">
        <f>IF(A476="",,IF(ROW()=2, Input!$C$2 + I476, P475 + I476))</f>
        <v/>
      </c>
      <c r="O476" s="23" t="str">
        <f>IF(A476="",,
 IF(K476="Initial principal",
   Input!$C$2 * M476,
   N476 * M476
 )
)</f>
        <v/>
      </c>
      <c r="P476" s="18" t="str">
        <f t="shared" si="2"/>
        <v/>
      </c>
      <c r="Q476" s="18" t="str">
        <f t="shared" si="3"/>
        <v/>
      </c>
      <c r="R476" s="18" t="str">
        <f t="array" ref="R476">IF(
  B476="",
  ,
  SWITCH(
    Input!$C$4,
    "Actual/365 Fixed",
      YEARFRAC(
        B476 + IF(INDEX(Input!$K$7:$K1503,ROW()-1),0,1),
        C476 + IF(INDEX(Input!$L$7:$L1503,ROW()-1),1,0),
        3
      ),
    "Anniversary/365",
      DATEDIF(
        B476 + IF(INDEX(Input!$K$7:$K1503,ROW()-1),0,1),
        C476 + IF(INDEX(Input!$L$7:$L1503,ROW()-1),1,0),
        "Y"
      )
      +
      (
        (C476 + IF(INDEX(Input!$L$7:$L1503,ROW()-1),1,0))
        -
        EDATE(
          B476 + IF(INDEX(Input!$K$7:$K1503,ROW()-1),0,1),
          12*DATEDIF(
            B476 + IF(INDEX(Input!$K$7:$K1503,ROW()-1),0,1),
            C476 + IF(INDEX(Input!$L$7:$L1503,ROW()-1),1,0),
            "Y"
          )
        )
      ) / 365,
    "Actual/Actual",
      YEARFRAC(
        B476 + IF(INDEX(Input!$K$7:$K1503,ROW()-1),0,1),
        C476 + IF(INDEX(Input!$L$7:$L1503,ROW()-1),1,0),
        1
      ),
      YEARFRAC(
        B476 + IF(INDEX(Input!$K$7:$K1503,ROW()-1),0,1),
        C476 + IF(INDEX(Input!$L$7:$L1503,ROW()-1),1,0),
        3
      )
  )
)</f>
        <v/>
      </c>
      <c r="S476" s="22" t="str">
        <f t="shared" si="4"/>
        <v/>
      </c>
      <c r="T476" s="6" t="str">
        <f t="array" ref="T476">IF(
  B476="",
  ,
  DATEDIF(
    B476 + IF(INDEX(Input!$K$7:$K1503,ROW()-1),0,1),
    C476 + IF(INDEX(Input!$L$7:$L1503,ROW()-1),1,0),
    "Y"
  )
)</f>
        <v/>
      </c>
      <c r="U476" s="6" t="str">
        <f t="array" ref="U476">IF(
  B476="",
  ,
  (C476 + IF(INDEX(Input!$L$7:$L1503,ROW()-1),1,0))
  - EDATE(
      B476 + IF(INDEX(Input!$K$7:$K1503,ROW()-1),0,1),
      12*S476
    )
)</f>
        <v/>
      </c>
      <c r="V476" s="6" t="str">
        <f t="shared" si="5"/>
        <v/>
      </c>
      <c r="W476" s="6" t="str">
        <f t="shared" si="6"/>
        <v/>
      </c>
    </row>
    <row r="477">
      <c r="A477" s="18"/>
      <c r="B477" s="18"/>
      <c r="C477" s="18"/>
      <c r="D477" s="18"/>
      <c r="E477" s="18"/>
      <c r="F477" s="18"/>
      <c r="G477" s="22"/>
      <c r="H477" s="18"/>
      <c r="I477" s="18">
        <v>0.0</v>
      </c>
      <c r="J477" s="18">
        <v>0.0</v>
      </c>
      <c r="K477" s="18"/>
      <c r="L477" s="18"/>
      <c r="M477" s="22" t="str">
        <f t="shared" si="1"/>
        <v/>
      </c>
      <c r="N477" s="18" t="str">
        <f>IF(A477="",,IF(ROW()=2, Input!$C$2 + I477, P476 + I477))</f>
        <v/>
      </c>
      <c r="O477" s="23" t="str">
        <f>IF(A477="",,
 IF(K477="Initial principal",
   Input!$C$2 * M477,
   N477 * M477
 )
)</f>
        <v/>
      </c>
      <c r="P477" s="18" t="str">
        <f t="shared" si="2"/>
        <v/>
      </c>
      <c r="Q477" s="18" t="str">
        <f t="shared" si="3"/>
        <v/>
      </c>
      <c r="R477" s="18" t="str">
        <f t="array" ref="R477">IF(
  B477="",
  ,
  SWITCH(
    Input!$C$4,
    "Actual/365 Fixed",
      YEARFRAC(
        B477 + IF(INDEX(Input!$K$7:$K1503,ROW()-1),0,1),
        C477 + IF(INDEX(Input!$L$7:$L1503,ROW()-1),1,0),
        3
      ),
    "Anniversary/365",
      DATEDIF(
        B477 + IF(INDEX(Input!$K$7:$K1503,ROW()-1),0,1),
        C477 + IF(INDEX(Input!$L$7:$L1503,ROW()-1),1,0),
        "Y"
      )
      +
      (
        (C477 + IF(INDEX(Input!$L$7:$L1503,ROW()-1),1,0))
        -
        EDATE(
          B477 + IF(INDEX(Input!$K$7:$K1503,ROW()-1),0,1),
          12*DATEDIF(
            B477 + IF(INDEX(Input!$K$7:$K1503,ROW()-1),0,1),
            C477 + IF(INDEX(Input!$L$7:$L1503,ROW()-1),1,0),
            "Y"
          )
        )
      ) / 365,
    "Actual/Actual",
      YEARFRAC(
        B477 + IF(INDEX(Input!$K$7:$K1503,ROW()-1),0,1),
        C477 + IF(INDEX(Input!$L$7:$L1503,ROW()-1),1,0),
        1
      ),
      YEARFRAC(
        B477 + IF(INDEX(Input!$K$7:$K1503,ROW()-1),0,1),
        C477 + IF(INDEX(Input!$L$7:$L1503,ROW()-1),1,0),
        3
      )
  )
)</f>
        <v/>
      </c>
      <c r="S477" s="22" t="str">
        <f t="shared" si="4"/>
        <v/>
      </c>
      <c r="T477" s="6" t="str">
        <f t="array" ref="T477">IF(
  B477="",
  ,
  DATEDIF(
    B477 + IF(INDEX(Input!$K$7:$K1503,ROW()-1),0,1),
    C477 + IF(INDEX(Input!$L$7:$L1503,ROW()-1),1,0),
    "Y"
  )
)</f>
        <v/>
      </c>
      <c r="U477" s="6" t="str">
        <f t="array" ref="U477">IF(
  B477="",
  ,
  (C477 + IF(INDEX(Input!$L$7:$L1503,ROW()-1),1,0))
  - EDATE(
      B477 + IF(INDEX(Input!$K$7:$K1503,ROW()-1),0,1),
      12*S477
    )
)</f>
        <v/>
      </c>
      <c r="V477" s="6" t="str">
        <f t="shared" si="5"/>
        <v/>
      </c>
      <c r="W477" s="6" t="str">
        <f t="shared" si="6"/>
        <v/>
      </c>
    </row>
    <row r="478">
      <c r="A478" s="18"/>
      <c r="B478" s="18"/>
      <c r="C478" s="18"/>
      <c r="D478" s="18"/>
      <c r="E478" s="18"/>
      <c r="F478" s="18"/>
      <c r="G478" s="22"/>
      <c r="H478" s="18"/>
      <c r="I478" s="18">
        <v>0.0</v>
      </c>
      <c r="J478" s="18">
        <v>0.0</v>
      </c>
      <c r="K478" s="18"/>
      <c r="L478" s="18"/>
      <c r="M478" s="22" t="str">
        <f t="shared" si="1"/>
        <v/>
      </c>
      <c r="N478" s="18" t="str">
        <f>IF(A478="",,IF(ROW()=2, Input!$C$2 + I478, P477 + I478))</f>
        <v/>
      </c>
      <c r="O478" s="23" t="str">
        <f>IF(A478="",,
 IF(K478="Initial principal",
   Input!$C$2 * M478,
   N478 * M478
 )
)</f>
        <v/>
      </c>
      <c r="P478" s="18" t="str">
        <f t="shared" si="2"/>
        <v/>
      </c>
      <c r="Q478" s="18" t="str">
        <f t="shared" si="3"/>
        <v/>
      </c>
      <c r="R478" s="18" t="str">
        <f t="array" ref="R478">IF(
  B478="",
  ,
  SWITCH(
    Input!$C$4,
    "Actual/365 Fixed",
      YEARFRAC(
        B478 + IF(INDEX(Input!$K$7:$K1503,ROW()-1),0,1),
        C478 + IF(INDEX(Input!$L$7:$L1503,ROW()-1),1,0),
        3
      ),
    "Anniversary/365",
      DATEDIF(
        B478 + IF(INDEX(Input!$K$7:$K1503,ROW()-1),0,1),
        C478 + IF(INDEX(Input!$L$7:$L1503,ROW()-1),1,0),
        "Y"
      )
      +
      (
        (C478 + IF(INDEX(Input!$L$7:$L1503,ROW()-1),1,0))
        -
        EDATE(
          B478 + IF(INDEX(Input!$K$7:$K1503,ROW()-1),0,1),
          12*DATEDIF(
            B478 + IF(INDEX(Input!$K$7:$K1503,ROW()-1),0,1),
            C478 + IF(INDEX(Input!$L$7:$L1503,ROW()-1),1,0),
            "Y"
          )
        )
      ) / 365,
    "Actual/Actual",
      YEARFRAC(
        B478 + IF(INDEX(Input!$K$7:$K1503,ROW()-1),0,1),
        C478 + IF(INDEX(Input!$L$7:$L1503,ROW()-1),1,0),
        1
      ),
      YEARFRAC(
        B478 + IF(INDEX(Input!$K$7:$K1503,ROW()-1),0,1),
        C478 + IF(INDEX(Input!$L$7:$L1503,ROW()-1),1,0),
        3
      )
  )
)</f>
        <v/>
      </c>
      <c r="S478" s="22" t="str">
        <f t="shared" si="4"/>
        <v/>
      </c>
      <c r="T478" s="6" t="str">
        <f t="array" ref="T478">IF(
  B478="",
  ,
  DATEDIF(
    B478 + IF(INDEX(Input!$K$7:$K1503,ROW()-1),0,1),
    C478 + IF(INDEX(Input!$L$7:$L1503,ROW()-1),1,0),
    "Y"
  )
)</f>
        <v/>
      </c>
      <c r="U478" s="6" t="str">
        <f t="array" ref="U478">IF(
  B478="",
  ,
  (C478 + IF(INDEX(Input!$L$7:$L1503,ROW()-1),1,0))
  - EDATE(
      B478 + IF(INDEX(Input!$K$7:$K1503,ROW()-1),0,1),
      12*S478
    )
)</f>
        <v/>
      </c>
      <c r="V478" s="6" t="str">
        <f t="shared" si="5"/>
        <v/>
      </c>
      <c r="W478" s="6" t="str">
        <f t="shared" si="6"/>
        <v/>
      </c>
    </row>
    <row r="479">
      <c r="A479" s="18"/>
      <c r="B479" s="18"/>
      <c r="C479" s="18"/>
      <c r="D479" s="18"/>
      <c r="E479" s="18"/>
      <c r="F479" s="18"/>
      <c r="G479" s="22"/>
      <c r="H479" s="18"/>
      <c r="I479" s="18">
        <v>0.0</v>
      </c>
      <c r="J479" s="18">
        <v>0.0</v>
      </c>
      <c r="K479" s="18"/>
      <c r="L479" s="18"/>
      <c r="M479" s="22" t="str">
        <f t="shared" si="1"/>
        <v/>
      </c>
      <c r="N479" s="18" t="str">
        <f>IF(A479="",,IF(ROW()=2, Input!$C$2 + I479, P478 + I479))</f>
        <v/>
      </c>
      <c r="O479" s="23" t="str">
        <f>IF(A479="",,
 IF(K479="Initial principal",
   Input!$C$2 * M479,
   N479 * M479
 )
)</f>
        <v/>
      </c>
      <c r="P479" s="18" t="str">
        <f t="shared" si="2"/>
        <v/>
      </c>
      <c r="Q479" s="18" t="str">
        <f t="shared" si="3"/>
        <v/>
      </c>
      <c r="R479" s="18" t="str">
        <f t="array" ref="R479">IF(
  B479="",
  ,
  SWITCH(
    Input!$C$4,
    "Actual/365 Fixed",
      YEARFRAC(
        B479 + IF(INDEX(Input!$K$7:$K1503,ROW()-1),0,1),
        C479 + IF(INDEX(Input!$L$7:$L1503,ROW()-1),1,0),
        3
      ),
    "Anniversary/365",
      DATEDIF(
        B479 + IF(INDEX(Input!$K$7:$K1503,ROW()-1),0,1),
        C479 + IF(INDEX(Input!$L$7:$L1503,ROW()-1),1,0),
        "Y"
      )
      +
      (
        (C479 + IF(INDEX(Input!$L$7:$L1503,ROW()-1),1,0))
        -
        EDATE(
          B479 + IF(INDEX(Input!$K$7:$K1503,ROW()-1),0,1),
          12*DATEDIF(
            B479 + IF(INDEX(Input!$K$7:$K1503,ROW()-1),0,1),
            C479 + IF(INDEX(Input!$L$7:$L1503,ROW()-1),1,0),
            "Y"
          )
        )
      ) / 365,
    "Actual/Actual",
      YEARFRAC(
        B479 + IF(INDEX(Input!$K$7:$K1503,ROW()-1),0,1),
        C479 + IF(INDEX(Input!$L$7:$L1503,ROW()-1),1,0),
        1
      ),
      YEARFRAC(
        B479 + IF(INDEX(Input!$K$7:$K1503,ROW()-1),0,1),
        C479 + IF(INDEX(Input!$L$7:$L1503,ROW()-1),1,0),
        3
      )
  )
)</f>
        <v/>
      </c>
      <c r="S479" s="22" t="str">
        <f t="shared" si="4"/>
        <v/>
      </c>
      <c r="T479" s="6" t="str">
        <f t="array" ref="T479">IF(
  B479="",
  ,
  DATEDIF(
    B479 + IF(INDEX(Input!$K$7:$K1503,ROW()-1),0,1),
    C479 + IF(INDEX(Input!$L$7:$L1503,ROW()-1),1,0),
    "Y"
  )
)</f>
        <v/>
      </c>
      <c r="U479" s="6" t="str">
        <f t="array" ref="U479">IF(
  B479="",
  ,
  (C479 + IF(INDEX(Input!$L$7:$L1503,ROW()-1),1,0))
  - EDATE(
      B479 + IF(INDEX(Input!$K$7:$K1503,ROW()-1),0,1),
      12*S479
    )
)</f>
        <v/>
      </c>
      <c r="V479" s="6" t="str">
        <f t="shared" si="5"/>
        <v/>
      </c>
      <c r="W479" s="6" t="str">
        <f t="shared" si="6"/>
        <v/>
      </c>
    </row>
    <row r="480">
      <c r="A480" s="18"/>
      <c r="B480" s="18"/>
      <c r="C480" s="18"/>
      <c r="D480" s="18"/>
      <c r="E480" s="18"/>
      <c r="F480" s="18"/>
      <c r="G480" s="22"/>
      <c r="H480" s="18"/>
      <c r="I480" s="18">
        <v>0.0</v>
      </c>
      <c r="J480" s="18">
        <v>0.0</v>
      </c>
      <c r="K480" s="18"/>
      <c r="L480" s="18"/>
      <c r="M480" s="22" t="str">
        <f t="shared" si="1"/>
        <v/>
      </c>
      <c r="N480" s="18" t="str">
        <f>IF(A480="",,IF(ROW()=2, Input!$C$2 + I480, P479 + I480))</f>
        <v/>
      </c>
      <c r="O480" s="23" t="str">
        <f>IF(A480="",,
 IF(K480="Initial principal",
   Input!$C$2 * M480,
   N480 * M480
 )
)</f>
        <v/>
      </c>
      <c r="P480" s="18" t="str">
        <f t="shared" si="2"/>
        <v/>
      </c>
      <c r="Q480" s="18" t="str">
        <f t="shared" si="3"/>
        <v/>
      </c>
      <c r="R480" s="18" t="str">
        <f t="array" ref="R480">IF(
  B480="",
  ,
  SWITCH(
    Input!$C$4,
    "Actual/365 Fixed",
      YEARFRAC(
        B480 + IF(INDEX(Input!$K$7:$K1503,ROW()-1),0,1),
        C480 + IF(INDEX(Input!$L$7:$L1503,ROW()-1),1,0),
        3
      ),
    "Anniversary/365",
      DATEDIF(
        B480 + IF(INDEX(Input!$K$7:$K1503,ROW()-1),0,1),
        C480 + IF(INDEX(Input!$L$7:$L1503,ROW()-1),1,0),
        "Y"
      )
      +
      (
        (C480 + IF(INDEX(Input!$L$7:$L1503,ROW()-1),1,0))
        -
        EDATE(
          B480 + IF(INDEX(Input!$K$7:$K1503,ROW()-1),0,1),
          12*DATEDIF(
            B480 + IF(INDEX(Input!$K$7:$K1503,ROW()-1),0,1),
            C480 + IF(INDEX(Input!$L$7:$L1503,ROW()-1),1,0),
            "Y"
          )
        )
      ) / 365,
    "Actual/Actual",
      YEARFRAC(
        B480 + IF(INDEX(Input!$K$7:$K1503,ROW()-1),0,1),
        C480 + IF(INDEX(Input!$L$7:$L1503,ROW()-1),1,0),
        1
      ),
      YEARFRAC(
        B480 + IF(INDEX(Input!$K$7:$K1503,ROW()-1),0,1),
        C480 + IF(INDEX(Input!$L$7:$L1503,ROW()-1),1,0),
        3
      )
  )
)</f>
        <v/>
      </c>
      <c r="S480" s="22" t="str">
        <f t="shared" si="4"/>
        <v/>
      </c>
      <c r="T480" s="6" t="str">
        <f t="array" ref="T480">IF(
  B480="",
  ,
  DATEDIF(
    B480 + IF(INDEX(Input!$K$7:$K1503,ROW()-1),0,1),
    C480 + IF(INDEX(Input!$L$7:$L1503,ROW()-1),1,0),
    "Y"
  )
)</f>
        <v/>
      </c>
      <c r="U480" s="6" t="str">
        <f t="array" ref="U480">IF(
  B480="",
  ,
  (C480 + IF(INDEX(Input!$L$7:$L1503,ROW()-1),1,0))
  - EDATE(
      B480 + IF(INDEX(Input!$K$7:$K1503,ROW()-1),0,1),
      12*S480
    )
)</f>
        <v/>
      </c>
      <c r="V480" s="6" t="str">
        <f t="shared" si="5"/>
        <v/>
      </c>
      <c r="W480" s="6" t="str">
        <f t="shared" si="6"/>
        <v/>
      </c>
    </row>
    <row r="481">
      <c r="A481" s="18"/>
      <c r="B481" s="18"/>
      <c r="C481" s="18"/>
      <c r="D481" s="18"/>
      <c r="E481" s="18"/>
      <c r="F481" s="18"/>
      <c r="G481" s="22"/>
      <c r="H481" s="18"/>
      <c r="I481" s="18">
        <v>0.0</v>
      </c>
      <c r="J481" s="18">
        <v>0.0</v>
      </c>
      <c r="K481" s="18"/>
      <c r="L481" s="18"/>
      <c r="M481" s="22" t="str">
        <f t="shared" si="1"/>
        <v/>
      </c>
      <c r="N481" s="18" t="str">
        <f>IF(A481="",,IF(ROW()=2, Input!$C$2 + I481, P480 + I481))</f>
        <v/>
      </c>
      <c r="O481" s="23" t="str">
        <f>IF(A481="",,
 IF(K481="Initial principal",
   Input!$C$2 * M481,
   N481 * M481
 )
)</f>
        <v/>
      </c>
      <c r="P481" s="18" t="str">
        <f t="shared" si="2"/>
        <v/>
      </c>
      <c r="Q481" s="18" t="str">
        <f t="shared" si="3"/>
        <v/>
      </c>
      <c r="R481" s="18" t="str">
        <f t="array" ref="R481">IF(
  B481="",
  ,
  SWITCH(
    Input!$C$4,
    "Actual/365 Fixed",
      YEARFRAC(
        B481 + IF(INDEX(Input!$K$7:$K1503,ROW()-1),0,1),
        C481 + IF(INDEX(Input!$L$7:$L1503,ROW()-1),1,0),
        3
      ),
    "Anniversary/365",
      DATEDIF(
        B481 + IF(INDEX(Input!$K$7:$K1503,ROW()-1),0,1),
        C481 + IF(INDEX(Input!$L$7:$L1503,ROW()-1),1,0),
        "Y"
      )
      +
      (
        (C481 + IF(INDEX(Input!$L$7:$L1503,ROW()-1),1,0))
        -
        EDATE(
          B481 + IF(INDEX(Input!$K$7:$K1503,ROW()-1),0,1),
          12*DATEDIF(
            B481 + IF(INDEX(Input!$K$7:$K1503,ROW()-1),0,1),
            C481 + IF(INDEX(Input!$L$7:$L1503,ROW()-1),1,0),
            "Y"
          )
        )
      ) / 365,
    "Actual/Actual",
      YEARFRAC(
        B481 + IF(INDEX(Input!$K$7:$K1503,ROW()-1),0,1),
        C481 + IF(INDEX(Input!$L$7:$L1503,ROW()-1),1,0),
        1
      ),
      YEARFRAC(
        B481 + IF(INDEX(Input!$K$7:$K1503,ROW()-1),0,1),
        C481 + IF(INDEX(Input!$L$7:$L1503,ROW()-1),1,0),
        3
      )
  )
)</f>
        <v/>
      </c>
      <c r="S481" s="22" t="str">
        <f t="shared" si="4"/>
        <v/>
      </c>
      <c r="T481" s="6" t="str">
        <f t="array" ref="T481">IF(
  B481="",
  ,
  DATEDIF(
    B481 + IF(INDEX(Input!$K$7:$K1503,ROW()-1),0,1),
    C481 + IF(INDEX(Input!$L$7:$L1503,ROW()-1),1,0),
    "Y"
  )
)</f>
        <v/>
      </c>
      <c r="U481" s="6" t="str">
        <f t="array" ref="U481">IF(
  B481="",
  ,
  (C481 + IF(INDEX(Input!$L$7:$L1503,ROW()-1),1,0))
  - EDATE(
      B481 + IF(INDEX(Input!$K$7:$K1503,ROW()-1),0,1),
      12*S481
    )
)</f>
        <v/>
      </c>
      <c r="V481" s="6" t="str">
        <f t="shared" si="5"/>
        <v/>
      </c>
      <c r="W481" s="6" t="str">
        <f t="shared" si="6"/>
        <v/>
      </c>
    </row>
    <row r="482">
      <c r="A482" s="18"/>
      <c r="B482" s="18"/>
      <c r="C482" s="18"/>
      <c r="D482" s="18"/>
      <c r="E482" s="18"/>
      <c r="F482" s="18"/>
      <c r="G482" s="22"/>
      <c r="H482" s="18"/>
      <c r="I482" s="18">
        <v>0.0</v>
      </c>
      <c r="J482" s="18">
        <v>0.0</v>
      </c>
      <c r="K482" s="18"/>
      <c r="L482" s="18"/>
      <c r="M482" s="22" t="str">
        <f t="shared" si="1"/>
        <v/>
      </c>
      <c r="N482" s="18" t="str">
        <f>IF(A482="",,IF(ROW()=2, Input!$C$2 + I482, P481 + I482))</f>
        <v/>
      </c>
      <c r="O482" s="23" t="str">
        <f>IF(A482="",,
 IF(K482="Initial principal",
   Input!$C$2 * M482,
   N482 * M482
 )
)</f>
        <v/>
      </c>
      <c r="P482" s="18" t="str">
        <f t="shared" si="2"/>
        <v/>
      </c>
      <c r="Q482" s="18" t="str">
        <f t="shared" si="3"/>
        <v/>
      </c>
      <c r="R482" s="18" t="str">
        <f t="array" ref="R482">IF(
  B482="",
  ,
  SWITCH(
    Input!$C$4,
    "Actual/365 Fixed",
      YEARFRAC(
        B482 + IF(INDEX(Input!$K$7:$K1503,ROW()-1),0,1),
        C482 + IF(INDEX(Input!$L$7:$L1503,ROW()-1),1,0),
        3
      ),
    "Anniversary/365",
      DATEDIF(
        B482 + IF(INDEX(Input!$K$7:$K1503,ROW()-1),0,1),
        C482 + IF(INDEX(Input!$L$7:$L1503,ROW()-1),1,0),
        "Y"
      )
      +
      (
        (C482 + IF(INDEX(Input!$L$7:$L1503,ROW()-1),1,0))
        -
        EDATE(
          B482 + IF(INDEX(Input!$K$7:$K1503,ROW()-1),0,1),
          12*DATEDIF(
            B482 + IF(INDEX(Input!$K$7:$K1503,ROW()-1),0,1),
            C482 + IF(INDEX(Input!$L$7:$L1503,ROW()-1),1,0),
            "Y"
          )
        )
      ) / 365,
    "Actual/Actual",
      YEARFRAC(
        B482 + IF(INDEX(Input!$K$7:$K1503,ROW()-1),0,1),
        C482 + IF(INDEX(Input!$L$7:$L1503,ROW()-1),1,0),
        1
      ),
      YEARFRAC(
        B482 + IF(INDEX(Input!$K$7:$K1503,ROW()-1),0,1),
        C482 + IF(INDEX(Input!$L$7:$L1503,ROW()-1),1,0),
        3
      )
  )
)</f>
        <v/>
      </c>
      <c r="S482" s="22" t="str">
        <f t="shared" si="4"/>
        <v/>
      </c>
      <c r="T482" s="6" t="str">
        <f t="array" ref="T482">IF(
  B482="",
  ,
  DATEDIF(
    B482 + IF(INDEX(Input!$K$7:$K1503,ROW()-1),0,1),
    C482 + IF(INDEX(Input!$L$7:$L1503,ROW()-1),1,0),
    "Y"
  )
)</f>
        <v/>
      </c>
      <c r="U482" s="6" t="str">
        <f t="array" ref="U482">IF(
  B482="",
  ,
  (C482 + IF(INDEX(Input!$L$7:$L1503,ROW()-1),1,0))
  - EDATE(
      B482 + IF(INDEX(Input!$K$7:$K1503,ROW()-1),0,1),
      12*S482
    )
)</f>
        <v/>
      </c>
      <c r="V482" s="6" t="str">
        <f t="shared" si="5"/>
        <v/>
      </c>
      <c r="W482" s="6" t="str">
        <f t="shared" si="6"/>
        <v/>
      </c>
    </row>
    <row r="483">
      <c r="A483" s="18"/>
      <c r="B483" s="18"/>
      <c r="C483" s="18"/>
      <c r="D483" s="18"/>
      <c r="E483" s="18"/>
      <c r="F483" s="18"/>
      <c r="G483" s="22"/>
      <c r="H483" s="18"/>
      <c r="I483" s="18">
        <v>0.0</v>
      </c>
      <c r="J483" s="18">
        <v>0.0</v>
      </c>
      <c r="K483" s="18"/>
      <c r="L483" s="18"/>
      <c r="M483" s="22" t="str">
        <f t="shared" si="1"/>
        <v/>
      </c>
      <c r="N483" s="18" t="str">
        <f>IF(A483="",,IF(ROW()=2, Input!$C$2 + I483, P482 + I483))</f>
        <v/>
      </c>
      <c r="O483" s="23" t="str">
        <f>IF(A483="",,
 IF(K483="Initial principal",
   Input!$C$2 * M483,
   N483 * M483
 )
)</f>
        <v/>
      </c>
      <c r="P483" s="18" t="str">
        <f t="shared" si="2"/>
        <v/>
      </c>
      <c r="Q483" s="18" t="str">
        <f t="shared" si="3"/>
        <v/>
      </c>
      <c r="R483" s="18" t="str">
        <f t="array" ref="R483">IF(
  B483="",
  ,
  SWITCH(
    Input!$C$4,
    "Actual/365 Fixed",
      YEARFRAC(
        B483 + IF(INDEX(Input!$K$7:$K1503,ROW()-1),0,1),
        C483 + IF(INDEX(Input!$L$7:$L1503,ROW()-1),1,0),
        3
      ),
    "Anniversary/365",
      DATEDIF(
        B483 + IF(INDEX(Input!$K$7:$K1503,ROW()-1),0,1),
        C483 + IF(INDEX(Input!$L$7:$L1503,ROW()-1),1,0),
        "Y"
      )
      +
      (
        (C483 + IF(INDEX(Input!$L$7:$L1503,ROW()-1),1,0))
        -
        EDATE(
          B483 + IF(INDEX(Input!$K$7:$K1503,ROW()-1),0,1),
          12*DATEDIF(
            B483 + IF(INDEX(Input!$K$7:$K1503,ROW()-1),0,1),
            C483 + IF(INDEX(Input!$L$7:$L1503,ROW()-1),1,0),
            "Y"
          )
        )
      ) / 365,
    "Actual/Actual",
      YEARFRAC(
        B483 + IF(INDEX(Input!$K$7:$K1503,ROW()-1),0,1),
        C483 + IF(INDEX(Input!$L$7:$L1503,ROW()-1),1,0),
        1
      ),
      YEARFRAC(
        B483 + IF(INDEX(Input!$K$7:$K1503,ROW()-1),0,1),
        C483 + IF(INDEX(Input!$L$7:$L1503,ROW()-1),1,0),
        3
      )
  )
)</f>
        <v/>
      </c>
      <c r="S483" s="22" t="str">
        <f t="shared" si="4"/>
        <v/>
      </c>
      <c r="T483" s="6" t="str">
        <f t="array" ref="T483">IF(
  B483="",
  ,
  DATEDIF(
    B483 + IF(INDEX(Input!$K$7:$K1503,ROW()-1),0,1),
    C483 + IF(INDEX(Input!$L$7:$L1503,ROW()-1),1,0),
    "Y"
  )
)</f>
        <v/>
      </c>
      <c r="U483" s="6" t="str">
        <f t="array" ref="U483">IF(
  B483="",
  ,
  (C483 + IF(INDEX(Input!$L$7:$L1503,ROW()-1),1,0))
  - EDATE(
      B483 + IF(INDEX(Input!$K$7:$K1503,ROW()-1),0,1),
      12*S483
    )
)</f>
        <v/>
      </c>
      <c r="V483" s="6" t="str">
        <f t="shared" si="5"/>
        <v/>
      </c>
      <c r="W483" s="6" t="str">
        <f t="shared" si="6"/>
        <v/>
      </c>
    </row>
    <row r="484">
      <c r="A484" s="18"/>
      <c r="B484" s="18"/>
      <c r="C484" s="18"/>
      <c r="D484" s="18"/>
      <c r="E484" s="18"/>
      <c r="F484" s="18"/>
      <c r="G484" s="22"/>
      <c r="H484" s="18"/>
      <c r="I484" s="18">
        <v>0.0</v>
      </c>
      <c r="J484" s="18">
        <v>0.0</v>
      </c>
      <c r="K484" s="18"/>
      <c r="L484" s="18"/>
      <c r="M484" s="22" t="str">
        <f t="shared" si="1"/>
        <v/>
      </c>
      <c r="N484" s="18" t="str">
        <f>IF(A484="",,IF(ROW()=2, Input!$C$2 + I484, P483 + I484))</f>
        <v/>
      </c>
      <c r="O484" s="23" t="str">
        <f>IF(A484="",,
 IF(K484="Initial principal",
   Input!$C$2 * M484,
   N484 * M484
 )
)</f>
        <v/>
      </c>
      <c r="P484" s="18" t="str">
        <f t="shared" si="2"/>
        <v/>
      </c>
      <c r="Q484" s="18" t="str">
        <f t="shared" si="3"/>
        <v/>
      </c>
      <c r="R484" s="18" t="str">
        <f t="array" ref="R484">IF(
  B484="",
  ,
  SWITCH(
    Input!$C$4,
    "Actual/365 Fixed",
      YEARFRAC(
        B484 + IF(INDEX(Input!$K$7:$K1503,ROW()-1),0,1),
        C484 + IF(INDEX(Input!$L$7:$L1503,ROW()-1),1,0),
        3
      ),
    "Anniversary/365",
      DATEDIF(
        B484 + IF(INDEX(Input!$K$7:$K1503,ROW()-1),0,1),
        C484 + IF(INDEX(Input!$L$7:$L1503,ROW()-1),1,0),
        "Y"
      )
      +
      (
        (C484 + IF(INDEX(Input!$L$7:$L1503,ROW()-1),1,0))
        -
        EDATE(
          B484 + IF(INDEX(Input!$K$7:$K1503,ROW()-1),0,1),
          12*DATEDIF(
            B484 + IF(INDEX(Input!$K$7:$K1503,ROW()-1),0,1),
            C484 + IF(INDEX(Input!$L$7:$L1503,ROW()-1),1,0),
            "Y"
          )
        )
      ) / 365,
    "Actual/Actual",
      YEARFRAC(
        B484 + IF(INDEX(Input!$K$7:$K1503,ROW()-1),0,1),
        C484 + IF(INDEX(Input!$L$7:$L1503,ROW()-1),1,0),
        1
      ),
      YEARFRAC(
        B484 + IF(INDEX(Input!$K$7:$K1503,ROW()-1),0,1),
        C484 + IF(INDEX(Input!$L$7:$L1503,ROW()-1),1,0),
        3
      )
  )
)</f>
        <v/>
      </c>
      <c r="S484" s="22" t="str">
        <f t="shared" si="4"/>
        <v/>
      </c>
      <c r="T484" s="6" t="str">
        <f t="array" ref="T484">IF(
  B484="",
  ,
  DATEDIF(
    B484 + IF(INDEX(Input!$K$7:$K1503,ROW()-1),0,1),
    C484 + IF(INDEX(Input!$L$7:$L1503,ROW()-1),1,0),
    "Y"
  )
)</f>
        <v/>
      </c>
      <c r="U484" s="6" t="str">
        <f t="array" ref="U484">IF(
  B484="",
  ,
  (C484 + IF(INDEX(Input!$L$7:$L1503,ROW()-1),1,0))
  - EDATE(
      B484 + IF(INDEX(Input!$K$7:$K1503,ROW()-1),0,1),
      12*S484
    )
)</f>
        <v/>
      </c>
      <c r="V484" s="6" t="str">
        <f t="shared" si="5"/>
        <v/>
      </c>
      <c r="W484" s="6" t="str">
        <f t="shared" si="6"/>
        <v/>
      </c>
    </row>
    <row r="485">
      <c r="A485" s="18"/>
      <c r="B485" s="18"/>
      <c r="C485" s="18"/>
      <c r="D485" s="18"/>
      <c r="E485" s="18"/>
      <c r="F485" s="18"/>
      <c r="G485" s="22"/>
      <c r="H485" s="18"/>
      <c r="I485" s="18">
        <v>0.0</v>
      </c>
      <c r="J485" s="18">
        <v>0.0</v>
      </c>
      <c r="K485" s="18"/>
      <c r="L485" s="18"/>
      <c r="M485" s="22" t="str">
        <f t="shared" si="1"/>
        <v/>
      </c>
      <c r="N485" s="18" t="str">
        <f>IF(A485="",,IF(ROW()=2, Input!$C$2 + I485, P484 + I485))</f>
        <v/>
      </c>
      <c r="O485" s="23" t="str">
        <f>IF(A485="",,
 IF(K485="Initial principal",
   Input!$C$2 * M485,
   N485 * M485
 )
)</f>
        <v/>
      </c>
      <c r="P485" s="18" t="str">
        <f t="shared" si="2"/>
        <v/>
      </c>
      <c r="Q485" s="18" t="str">
        <f t="shared" si="3"/>
        <v/>
      </c>
      <c r="R485" s="18" t="str">
        <f t="array" ref="R485">IF(
  B485="",
  ,
  SWITCH(
    Input!$C$4,
    "Actual/365 Fixed",
      YEARFRAC(
        B485 + IF(INDEX(Input!$K$7:$K1503,ROW()-1),0,1),
        C485 + IF(INDEX(Input!$L$7:$L1503,ROW()-1),1,0),
        3
      ),
    "Anniversary/365",
      DATEDIF(
        B485 + IF(INDEX(Input!$K$7:$K1503,ROW()-1),0,1),
        C485 + IF(INDEX(Input!$L$7:$L1503,ROW()-1),1,0),
        "Y"
      )
      +
      (
        (C485 + IF(INDEX(Input!$L$7:$L1503,ROW()-1),1,0))
        -
        EDATE(
          B485 + IF(INDEX(Input!$K$7:$K1503,ROW()-1),0,1),
          12*DATEDIF(
            B485 + IF(INDEX(Input!$K$7:$K1503,ROW()-1),0,1),
            C485 + IF(INDEX(Input!$L$7:$L1503,ROW()-1),1,0),
            "Y"
          )
        )
      ) / 365,
    "Actual/Actual",
      YEARFRAC(
        B485 + IF(INDEX(Input!$K$7:$K1503,ROW()-1),0,1),
        C485 + IF(INDEX(Input!$L$7:$L1503,ROW()-1),1,0),
        1
      ),
      YEARFRAC(
        B485 + IF(INDEX(Input!$K$7:$K1503,ROW()-1),0,1),
        C485 + IF(INDEX(Input!$L$7:$L1503,ROW()-1),1,0),
        3
      )
  )
)</f>
        <v/>
      </c>
      <c r="S485" s="22" t="str">
        <f t="shared" si="4"/>
        <v/>
      </c>
      <c r="T485" s="6" t="str">
        <f t="array" ref="T485">IF(
  B485="",
  ,
  DATEDIF(
    B485 + IF(INDEX(Input!$K$7:$K1503,ROW()-1),0,1),
    C485 + IF(INDEX(Input!$L$7:$L1503,ROW()-1),1,0),
    "Y"
  )
)</f>
        <v/>
      </c>
      <c r="U485" s="6" t="str">
        <f t="array" ref="U485">IF(
  B485="",
  ,
  (C485 + IF(INDEX(Input!$L$7:$L1503,ROW()-1),1,0))
  - EDATE(
      B485 + IF(INDEX(Input!$K$7:$K1503,ROW()-1),0,1),
      12*S485
    )
)</f>
        <v/>
      </c>
      <c r="V485" s="6" t="str">
        <f t="shared" si="5"/>
        <v/>
      </c>
      <c r="W485" s="6" t="str">
        <f t="shared" si="6"/>
        <v/>
      </c>
    </row>
    <row r="486">
      <c r="A486" s="18"/>
      <c r="B486" s="18"/>
      <c r="C486" s="18"/>
      <c r="D486" s="18"/>
      <c r="E486" s="18"/>
      <c r="F486" s="18"/>
      <c r="G486" s="22"/>
      <c r="H486" s="18"/>
      <c r="I486" s="18">
        <v>0.0</v>
      </c>
      <c r="J486" s="18">
        <v>0.0</v>
      </c>
      <c r="K486" s="18"/>
      <c r="L486" s="18"/>
      <c r="M486" s="22" t="str">
        <f t="shared" si="1"/>
        <v/>
      </c>
      <c r="N486" s="18" t="str">
        <f>IF(A486="",,IF(ROW()=2, Input!$C$2 + I486, P485 + I486))</f>
        <v/>
      </c>
      <c r="O486" s="23" t="str">
        <f>IF(A486="",,
 IF(K486="Initial principal",
   Input!$C$2 * M486,
   N486 * M486
 )
)</f>
        <v/>
      </c>
      <c r="P486" s="18" t="str">
        <f t="shared" si="2"/>
        <v/>
      </c>
      <c r="Q486" s="18" t="str">
        <f t="shared" si="3"/>
        <v/>
      </c>
      <c r="R486" s="18" t="str">
        <f t="array" ref="R486">IF(
  B486="",
  ,
  SWITCH(
    Input!$C$4,
    "Actual/365 Fixed",
      YEARFRAC(
        B486 + IF(INDEX(Input!$K$7:$K1503,ROW()-1),0,1),
        C486 + IF(INDEX(Input!$L$7:$L1503,ROW()-1),1,0),
        3
      ),
    "Anniversary/365",
      DATEDIF(
        B486 + IF(INDEX(Input!$K$7:$K1503,ROW()-1),0,1),
        C486 + IF(INDEX(Input!$L$7:$L1503,ROW()-1),1,0),
        "Y"
      )
      +
      (
        (C486 + IF(INDEX(Input!$L$7:$L1503,ROW()-1),1,0))
        -
        EDATE(
          B486 + IF(INDEX(Input!$K$7:$K1503,ROW()-1),0,1),
          12*DATEDIF(
            B486 + IF(INDEX(Input!$K$7:$K1503,ROW()-1),0,1),
            C486 + IF(INDEX(Input!$L$7:$L1503,ROW()-1),1,0),
            "Y"
          )
        )
      ) / 365,
    "Actual/Actual",
      YEARFRAC(
        B486 + IF(INDEX(Input!$K$7:$K1503,ROW()-1),0,1),
        C486 + IF(INDEX(Input!$L$7:$L1503,ROW()-1),1,0),
        1
      ),
      YEARFRAC(
        B486 + IF(INDEX(Input!$K$7:$K1503,ROW()-1),0,1),
        C486 + IF(INDEX(Input!$L$7:$L1503,ROW()-1),1,0),
        3
      )
  )
)</f>
        <v/>
      </c>
      <c r="S486" s="22" t="str">
        <f t="shared" si="4"/>
        <v/>
      </c>
      <c r="T486" s="6" t="str">
        <f t="array" ref="T486">IF(
  B486="",
  ,
  DATEDIF(
    B486 + IF(INDEX(Input!$K$7:$K1503,ROW()-1),0,1),
    C486 + IF(INDEX(Input!$L$7:$L1503,ROW()-1),1,0),
    "Y"
  )
)</f>
        <v/>
      </c>
      <c r="U486" s="6" t="str">
        <f t="array" ref="U486">IF(
  B486="",
  ,
  (C486 + IF(INDEX(Input!$L$7:$L1503,ROW()-1),1,0))
  - EDATE(
      B486 + IF(INDEX(Input!$K$7:$K1503,ROW()-1),0,1),
      12*S486
    )
)</f>
        <v/>
      </c>
      <c r="V486" s="6" t="str">
        <f t="shared" si="5"/>
        <v/>
      </c>
      <c r="W486" s="6" t="str">
        <f t="shared" si="6"/>
        <v/>
      </c>
    </row>
    <row r="487">
      <c r="A487" s="18"/>
      <c r="B487" s="18"/>
      <c r="C487" s="18"/>
      <c r="D487" s="18"/>
      <c r="E487" s="18"/>
      <c r="F487" s="18"/>
      <c r="G487" s="22"/>
      <c r="H487" s="18"/>
      <c r="I487" s="18">
        <v>0.0</v>
      </c>
      <c r="J487" s="18">
        <v>0.0</v>
      </c>
      <c r="K487" s="18"/>
      <c r="L487" s="18"/>
      <c r="M487" s="22" t="str">
        <f t="shared" si="1"/>
        <v/>
      </c>
      <c r="N487" s="18" t="str">
        <f>IF(A487="",,IF(ROW()=2, Input!$C$2 + I487, P486 + I487))</f>
        <v/>
      </c>
      <c r="O487" s="23" t="str">
        <f>IF(A487="",,
 IF(K487="Initial principal",
   Input!$C$2 * M487,
   N487 * M487
 )
)</f>
        <v/>
      </c>
      <c r="P487" s="18" t="str">
        <f t="shared" si="2"/>
        <v/>
      </c>
      <c r="Q487" s="18" t="str">
        <f t="shared" si="3"/>
        <v/>
      </c>
      <c r="R487" s="18" t="str">
        <f t="array" ref="R487">IF(
  B487="",
  ,
  SWITCH(
    Input!$C$4,
    "Actual/365 Fixed",
      YEARFRAC(
        B487 + IF(INDEX(Input!$K$7:$K1503,ROW()-1),0,1),
        C487 + IF(INDEX(Input!$L$7:$L1503,ROW()-1),1,0),
        3
      ),
    "Anniversary/365",
      DATEDIF(
        B487 + IF(INDEX(Input!$K$7:$K1503,ROW()-1),0,1),
        C487 + IF(INDEX(Input!$L$7:$L1503,ROW()-1),1,0),
        "Y"
      )
      +
      (
        (C487 + IF(INDEX(Input!$L$7:$L1503,ROW()-1),1,0))
        -
        EDATE(
          B487 + IF(INDEX(Input!$K$7:$K1503,ROW()-1),0,1),
          12*DATEDIF(
            B487 + IF(INDEX(Input!$K$7:$K1503,ROW()-1),0,1),
            C487 + IF(INDEX(Input!$L$7:$L1503,ROW()-1),1,0),
            "Y"
          )
        )
      ) / 365,
    "Actual/Actual",
      YEARFRAC(
        B487 + IF(INDEX(Input!$K$7:$K1503,ROW()-1),0,1),
        C487 + IF(INDEX(Input!$L$7:$L1503,ROW()-1),1,0),
        1
      ),
      YEARFRAC(
        B487 + IF(INDEX(Input!$K$7:$K1503,ROW()-1),0,1),
        C487 + IF(INDEX(Input!$L$7:$L1503,ROW()-1),1,0),
        3
      )
  )
)</f>
        <v/>
      </c>
      <c r="S487" s="22" t="str">
        <f t="shared" si="4"/>
        <v/>
      </c>
      <c r="T487" s="6" t="str">
        <f t="array" ref="T487">IF(
  B487="",
  ,
  DATEDIF(
    B487 + IF(INDEX(Input!$K$7:$K1503,ROW()-1),0,1),
    C487 + IF(INDEX(Input!$L$7:$L1503,ROW()-1),1,0),
    "Y"
  )
)</f>
        <v/>
      </c>
      <c r="U487" s="6" t="str">
        <f t="array" ref="U487">IF(
  B487="",
  ,
  (C487 + IF(INDEX(Input!$L$7:$L1503,ROW()-1),1,0))
  - EDATE(
      B487 + IF(INDEX(Input!$K$7:$K1503,ROW()-1),0,1),
      12*S487
    )
)</f>
        <v/>
      </c>
      <c r="V487" s="6" t="str">
        <f t="shared" si="5"/>
        <v/>
      </c>
      <c r="W487" s="6" t="str">
        <f t="shared" si="6"/>
        <v/>
      </c>
    </row>
    <row r="488">
      <c r="A488" s="18"/>
      <c r="B488" s="18"/>
      <c r="C488" s="18"/>
      <c r="D488" s="18"/>
      <c r="E488" s="18"/>
      <c r="F488" s="18"/>
      <c r="G488" s="22"/>
      <c r="H488" s="18"/>
      <c r="I488" s="18">
        <v>0.0</v>
      </c>
      <c r="J488" s="18">
        <v>0.0</v>
      </c>
      <c r="K488" s="18"/>
      <c r="L488" s="18"/>
      <c r="M488" s="22" t="str">
        <f t="shared" si="1"/>
        <v/>
      </c>
      <c r="N488" s="18" t="str">
        <f>IF(A488="",,IF(ROW()=2, Input!$C$2 + I488, P487 + I488))</f>
        <v/>
      </c>
      <c r="O488" s="23" t="str">
        <f>IF(A488="",,
 IF(K488="Initial principal",
   Input!$C$2 * M488,
   N488 * M488
 )
)</f>
        <v/>
      </c>
      <c r="P488" s="18" t="str">
        <f t="shared" si="2"/>
        <v/>
      </c>
      <c r="Q488" s="18" t="str">
        <f t="shared" si="3"/>
        <v/>
      </c>
      <c r="R488" s="18" t="str">
        <f t="array" ref="R488">IF(
  B488="",
  ,
  SWITCH(
    Input!$C$4,
    "Actual/365 Fixed",
      YEARFRAC(
        B488 + IF(INDEX(Input!$K$7:$K1503,ROW()-1),0,1),
        C488 + IF(INDEX(Input!$L$7:$L1503,ROW()-1),1,0),
        3
      ),
    "Anniversary/365",
      DATEDIF(
        B488 + IF(INDEX(Input!$K$7:$K1503,ROW()-1),0,1),
        C488 + IF(INDEX(Input!$L$7:$L1503,ROW()-1),1,0),
        "Y"
      )
      +
      (
        (C488 + IF(INDEX(Input!$L$7:$L1503,ROW()-1),1,0))
        -
        EDATE(
          B488 + IF(INDEX(Input!$K$7:$K1503,ROW()-1),0,1),
          12*DATEDIF(
            B488 + IF(INDEX(Input!$K$7:$K1503,ROW()-1),0,1),
            C488 + IF(INDEX(Input!$L$7:$L1503,ROW()-1),1,0),
            "Y"
          )
        )
      ) / 365,
    "Actual/Actual",
      YEARFRAC(
        B488 + IF(INDEX(Input!$K$7:$K1503,ROW()-1),0,1),
        C488 + IF(INDEX(Input!$L$7:$L1503,ROW()-1),1,0),
        1
      ),
      YEARFRAC(
        B488 + IF(INDEX(Input!$K$7:$K1503,ROW()-1),0,1),
        C488 + IF(INDEX(Input!$L$7:$L1503,ROW()-1),1,0),
        3
      )
  )
)</f>
        <v/>
      </c>
      <c r="S488" s="22" t="str">
        <f t="shared" si="4"/>
        <v/>
      </c>
      <c r="T488" s="6" t="str">
        <f t="array" ref="T488">IF(
  B488="",
  ,
  DATEDIF(
    B488 + IF(INDEX(Input!$K$7:$K1503,ROW()-1),0,1),
    C488 + IF(INDEX(Input!$L$7:$L1503,ROW()-1),1,0),
    "Y"
  )
)</f>
        <v/>
      </c>
      <c r="U488" s="6" t="str">
        <f t="array" ref="U488">IF(
  B488="",
  ,
  (C488 + IF(INDEX(Input!$L$7:$L1503,ROW()-1),1,0))
  - EDATE(
      B488 + IF(INDEX(Input!$K$7:$K1503,ROW()-1),0,1),
      12*S488
    )
)</f>
        <v/>
      </c>
      <c r="V488" s="6" t="str">
        <f t="shared" si="5"/>
        <v/>
      </c>
      <c r="W488" s="6" t="str">
        <f t="shared" si="6"/>
        <v/>
      </c>
    </row>
    <row r="489">
      <c r="A489" s="18"/>
      <c r="B489" s="18"/>
      <c r="C489" s="18"/>
      <c r="D489" s="18"/>
      <c r="E489" s="18"/>
      <c r="F489" s="18"/>
      <c r="G489" s="22"/>
      <c r="H489" s="18"/>
      <c r="I489" s="18">
        <v>0.0</v>
      </c>
      <c r="J489" s="18">
        <v>0.0</v>
      </c>
      <c r="K489" s="18"/>
      <c r="L489" s="18"/>
      <c r="M489" s="22" t="str">
        <f t="shared" si="1"/>
        <v/>
      </c>
      <c r="N489" s="18" t="str">
        <f>IF(A489="",,IF(ROW()=2, Input!$C$2 + I489, P488 + I489))</f>
        <v/>
      </c>
      <c r="O489" s="23" t="str">
        <f>IF(A489="",,
 IF(K489="Initial principal",
   Input!$C$2 * M489,
   N489 * M489
 )
)</f>
        <v/>
      </c>
      <c r="P489" s="18" t="str">
        <f t="shared" si="2"/>
        <v/>
      </c>
      <c r="Q489" s="18" t="str">
        <f t="shared" si="3"/>
        <v/>
      </c>
      <c r="R489" s="18" t="str">
        <f t="array" ref="R489">IF(
  B489="",
  ,
  SWITCH(
    Input!$C$4,
    "Actual/365 Fixed",
      YEARFRAC(
        B489 + IF(INDEX(Input!$K$7:$K1503,ROW()-1),0,1),
        C489 + IF(INDEX(Input!$L$7:$L1503,ROW()-1),1,0),
        3
      ),
    "Anniversary/365",
      DATEDIF(
        B489 + IF(INDEX(Input!$K$7:$K1503,ROW()-1),0,1),
        C489 + IF(INDEX(Input!$L$7:$L1503,ROW()-1),1,0),
        "Y"
      )
      +
      (
        (C489 + IF(INDEX(Input!$L$7:$L1503,ROW()-1),1,0))
        -
        EDATE(
          B489 + IF(INDEX(Input!$K$7:$K1503,ROW()-1),0,1),
          12*DATEDIF(
            B489 + IF(INDEX(Input!$K$7:$K1503,ROW()-1),0,1),
            C489 + IF(INDEX(Input!$L$7:$L1503,ROW()-1),1,0),
            "Y"
          )
        )
      ) / 365,
    "Actual/Actual",
      YEARFRAC(
        B489 + IF(INDEX(Input!$K$7:$K1503,ROW()-1),0,1),
        C489 + IF(INDEX(Input!$L$7:$L1503,ROW()-1),1,0),
        1
      ),
      YEARFRAC(
        B489 + IF(INDEX(Input!$K$7:$K1503,ROW()-1),0,1),
        C489 + IF(INDEX(Input!$L$7:$L1503,ROW()-1),1,0),
        3
      )
  )
)</f>
        <v/>
      </c>
      <c r="S489" s="22" t="str">
        <f t="shared" si="4"/>
        <v/>
      </c>
      <c r="T489" s="6" t="str">
        <f t="array" ref="T489">IF(
  B489="",
  ,
  DATEDIF(
    B489 + IF(INDEX(Input!$K$7:$K1503,ROW()-1),0,1),
    C489 + IF(INDEX(Input!$L$7:$L1503,ROW()-1),1,0),
    "Y"
  )
)</f>
        <v/>
      </c>
      <c r="U489" s="6" t="str">
        <f t="array" ref="U489">IF(
  B489="",
  ,
  (C489 + IF(INDEX(Input!$L$7:$L1503,ROW()-1),1,0))
  - EDATE(
      B489 + IF(INDEX(Input!$K$7:$K1503,ROW()-1),0,1),
      12*S489
    )
)</f>
        <v/>
      </c>
      <c r="V489" s="6" t="str">
        <f t="shared" si="5"/>
        <v/>
      </c>
      <c r="W489" s="6" t="str">
        <f t="shared" si="6"/>
        <v/>
      </c>
    </row>
    <row r="490">
      <c r="A490" s="18"/>
      <c r="B490" s="18"/>
      <c r="C490" s="18"/>
      <c r="D490" s="18"/>
      <c r="E490" s="18"/>
      <c r="F490" s="18"/>
      <c r="G490" s="22"/>
      <c r="H490" s="18"/>
      <c r="I490" s="18">
        <v>0.0</v>
      </c>
      <c r="J490" s="18">
        <v>0.0</v>
      </c>
      <c r="K490" s="18"/>
      <c r="L490" s="18"/>
      <c r="M490" s="22" t="str">
        <f t="shared" si="1"/>
        <v/>
      </c>
      <c r="N490" s="18" t="str">
        <f>IF(A490="",,IF(ROW()=2, Input!$C$2 + I490, P489 + I490))</f>
        <v/>
      </c>
      <c r="O490" s="23" t="str">
        <f>IF(A490="",,
 IF(K490="Initial principal",
   Input!$C$2 * M490,
   N490 * M490
 )
)</f>
        <v/>
      </c>
      <c r="P490" s="18" t="str">
        <f t="shared" si="2"/>
        <v/>
      </c>
      <c r="Q490" s="18" t="str">
        <f t="shared" si="3"/>
        <v/>
      </c>
      <c r="R490" s="18" t="str">
        <f t="array" ref="R490">IF(
  B490="",
  ,
  SWITCH(
    Input!$C$4,
    "Actual/365 Fixed",
      YEARFRAC(
        B490 + IF(INDEX(Input!$K$7:$K1503,ROW()-1),0,1),
        C490 + IF(INDEX(Input!$L$7:$L1503,ROW()-1),1,0),
        3
      ),
    "Anniversary/365",
      DATEDIF(
        B490 + IF(INDEX(Input!$K$7:$K1503,ROW()-1),0,1),
        C490 + IF(INDEX(Input!$L$7:$L1503,ROW()-1),1,0),
        "Y"
      )
      +
      (
        (C490 + IF(INDEX(Input!$L$7:$L1503,ROW()-1),1,0))
        -
        EDATE(
          B490 + IF(INDEX(Input!$K$7:$K1503,ROW()-1),0,1),
          12*DATEDIF(
            B490 + IF(INDEX(Input!$K$7:$K1503,ROW()-1),0,1),
            C490 + IF(INDEX(Input!$L$7:$L1503,ROW()-1),1,0),
            "Y"
          )
        )
      ) / 365,
    "Actual/Actual",
      YEARFRAC(
        B490 + IF(INDEX(Input!$K$7:$K1503,ROW()-1),0,1),
        C490 + IF(INDEX(Input!$L$7:$L1503,ROW()-1),1,0),
        1
      ),
      YEARFRAC(
        B490 + IF(INDEX(Input!$K$7:$K1503,ROW()-1),0,1),
        C490 + IF(INDEX(Input!$L$7:$L1503,ROW()-1),1,0),
        3
      )
  )
)</f>
        <v/>
      </c>
      <c r="S490" s="22" t="str">
        <f t="shared" si="4"/>
        <v/>
      </c>
      <c r="T490" s="6" t="str">
        <f t="array" ref="T490">IF(
  B490="",
  ,
  DATEDIF(
    B490 + IF(INDEX(Input!$K$7:$K1503,ROW()-1),0,1),
    C490 + IF(INDEX(Input!$L$7:$L1503,ROW()-1),1,0),
    "Y"
  )
)</f>
        <v/>
      </c>
      <c r="U490" s="6" t="str">
        <f t="array" ref="U490">IF(
  B490="",
  ,
  (C490 + IF(INDEX(Input!$L$7:$L1503,ROW()-1),1,0))
  - EDATE(
      B490 + IF(INDEX(Input!$K$7:$K1503,ROW()-1),0,1),
      12*S490
    )
)</f>
        <v/>
      </c>
      <c r="V490" s="6" t="str">
        <f t="shared" si="5"/>
        <v/>
      </c>
      <c r="W490" s="6" t="str">
        <f t="shared" si="6"/>
        <v/>
      </c>
    </row>
    <row r="491">
      <c r="A491" s="18"/>
      <c r="B491" s="18"/>
      <c r="C491" s="18"/>
      <c r="D491" s="18"/>
      <c r="E491" s="18"/>
      <c r="F491" s="18"/>
      <c r="G491" s="22"/>
      <c r="H491" s="18"/>
      <c r="I491" s="18">
        <v>0.0</v>
      </c>
      <c r="J491" s="18">
        <v>0.0</v>
      </c>
      <c r="K491" s="18"/>
      <c r="L491" s="18"/>
      <c r="M491" s="22" t="str">
        <f t="shared" si="1"/>
        <v/>
      </c>
      <c r="N491" s="18" t="str">
        <f>IF(A491="",,IF(ROW()=2, Input!$C$2 + I491, P490 + I491))</f>
        <v/>
      </c>
      <c r="O491" s="23" t="str">
        <f>IF(A491="",,
 IF(K491="Initial principal",
   Input!$C$2 * M491,
   N491 * M491
 )
)</f>
        <v/>
      </c>
      <c r="P491" s="18" t="str">
        <f t="shared" si="2"/>
        <v/>
      </c>
      <c r="Q491" s="18" t="str">
        <f t="shared" si="3"/>
        <v/>
      </c>
      <c r="R491" s="18" t="str">
        <f t="array" ref="R491">IF(
  B491="",
  ,
  SWITCH(
    Input!$C$4,
    "Actual/365 Fixed",
      YEARFRAC(
        B491 + IF(INDEX(Input!$K$7:$K1503,ROW()-1),0,1),
        C491 + IF(INDEX(Input!$L$7:$L1503,ROW()-1),1,0),
        3
      ),
    "Anniversary/365",
      DATEDIF(
        B491 + IF(INDEX(Input!$K$7:$K1503,ROW()-1),0,1),
        C491 + IF(INDEX(Input!$L$7:$L1503,ROW()-1),1,0),
        "Y"
      )
      +
      (
        (C491 + IF(INDEX(Input!$L$7:$L1503,ROW()-1),1,0))
        -
        EDATE(
          B491 + IF(INDEX(Input!$K$7:$K1503,ROW()-1),0,1),
          12*DATEDIF(
            B491 + IF(INDEX(Input!$K$7:$K1503,ROW()-1),0,1),
            C491 + IF(INDEX(Input!$L$7:$L1503,ROW()-1),1,0),
            "Y"
          )
        )
      ) / 365,
    "Actual/Actual",
      YEARFRAC(
        B491 + IF(INDEX(Input!$K$7:$K1503,ROW()-1),0,1),
        C491 + IF(INDEX(Input!$L$7:$L1503,ROW()-1),1,0),
        1
      ),
      YEARFRAC(
        B491 + IF(INDEX(Input!$K$7:$K1503,ROW()-1),0,1),
        C491 + IF(INDEX(Input!$L$7:$L1503,ROW()-1),1,0),
        3
      )
  )
)</f>
        <v/>
      </c>
      <c r="S491" s="22" t="str">
        <f t="shared" si="4"/>
        <v/>
      </c>
      <c r="T491" s="6" t="str">
        <f t="array" ref="T491">IF(
  B491="",
  ,
  DATEDIF(
    B491 + IF(INDEX(Input!$K$7:$K1503,ROW()-1),0,1),
    C491 + IF(INDEX(Input!$L$7:$L1503,ROW()-1),1,0),
    "Y"
  )
)</f>
        <v/>
      </c>
      <c r="U491" s="6" t="str">
        <f t="array" ref="U491">IF(
  B491="",
  ,
  (C491 + IF(INDEX(Input!$L$7:$L1503,ROW()-1),1,0))
  - EDATE(
      B491 + IF(INDEX(Input!$K$7:$K1503,ROW()-1),0,1),
      12*S491
    )
)</f>
        <v/>
      </c>
      <c r="V491" s="6" t="str">
        <f t="shared" si="5"/>
        <v/>
      </c>
      <c r="W491" s="6" t="str">
        <f t="shared" si="6"/>
        <v/>
      </c>
    </row>
    <row r="492">
      <c r="A492" s="18"/>
      <c r="B492" s="18"/>
      <c r="C492" s="18"/>
      <c r="D492" s="18"/>
      <c r="E492" s="18"/>
      <c r="F492" s="18"/>
      <c r="G492" s="22"/>
      <c r="H492" s="18"/>
      <c r="I492" s="18">
        <v>0.0</v>
      </c>
      <c r="J492" s="18">
        <v>0.0</v>
      </c>
      <c r="K492" s="18"/>
      <c r="L492" s="18"/>
      <c r="M492" s="22" t="str">
        <f t="shared" si="1"/>
        <v/>
      </c>
      <c r="N492" s="18" t="str">
        <f>IF(A492="",,IF(ROW()=2, Input!$C$2 + I492, P491 + I492))</f>
        <v/>
      </c>
      <c r="O492" s="23" t="str">
        <f>IF(A492="",,
 IF(K492="Initial principal",
   Input!$C$2 * M492,
   N492 * M492
 )
)</f>
        <v/>
      </c>
      <c r="P492" s="18" t="str">
        <f t="shared" si="2"/>
        <v/>
      </c>
      <c r="Q492" s="18" t="str">
        <f t="shared" si="3"/>
        <v/>
      </c>
      <c r="R492" s="18" t="str">
        <f t="array" ref="R492">IF(
  B492="",
  ,
  SWITCH(
    Input!$C$4,
    "Actual/365 Fixed",
      YEARFRAC(
        B492 + IF(INDEX(Input!$K$7:$K1503,ROW()-1),0,1),
        C492 + IF(INDEX(Input!$L$7:$L1503,ROW()-1),1,0),
        3
      ),
    "Anniversary/365",
      DATEDIF(
        B492 + IF(INDEX(Input!$K$7:$K1503,ROW()-1),0,1),
        C492 + IF(INDEX(Input!$L$7:$L1503,ROW()-1),1,0),
        "Y"
      )
      +
      (
        (C492 + IF(INDEX(Input!$L$7:$L1503,ROW()-1),1,0))
        -
        EDATE(
          B492 + IF(INDEX(Input!$K$7:$K1503,ROW()-1),0,1),
          12*DATEDIF(
            B492 + IF(INDEX(Input!$K$7:$K1503,ROW()-1),0,1),
            C492 + IF(INDEX(Input!$L$7:$L1503,ROW()-1),1,0),
            "Y"
          )
        )
      ) / 365,
    "Actual/Actual",
      YEARFRAC(
        B492 + IF(INDEX(Input!$K$7:$K1503,ROW()-1),0,1),
        C492 + IF(INDEX(Input!$L$7:$L1503,ROW()-1),1,0),
        1
      ),
      YEARFRAC(
        B492 + IF(INDEX(Input!$K$7:$K1503,ROW()-1),0,1),
        C492 + IF(INDEX(Input!$L$7:$L1503,ROW()-1),1,0),
        3
      )
  )
)</f>
        <v/>
      </c>
      <c r="S492" s="22" t="str">
        <f t="shared" si="4"/>
        <v/>
      </c>
      <c r="T492" s="6" t="str">
        <f t="array" ref="T492">IF(
  B492="",
  ,
  DATEDIF(
    B492 + IF(INDEX(Input!$K$7:$K1503,ROW()-1),0,1),
    C492 + IF(INDEX(Input!$L$7:$L1503,ROW()-1),1,0),
    "Y"
  )
)</f>
        <v/>
      </c>
      <c r="U492" s="6" t="str">
        <f t="array" ref="U492">IF(
  B492="",
  ,
  (C492 + IF(INDEX(Input!$L$7:$L1503,ROW()-1),1,0))
  - EDATE(
      B492 + IF(INDEX(Input!$K$7:$K1503,ROW()-1),0,1),
      12*S492
    )
)</f>
        <v/>
      </c>
      <c r="V492" s="6" t="str">
        <f t="shared" si="5"/>
        <v/>
      </c>
      <c r="W492" s="6" t="str">
        <f t="shared" si="6"/>
        <v/>
      </c>
    </row>
    <row r="493">
      <c r="A493" s="18"/>
      <c r="B493" s="18"/>
      <c r="C493" s="18"/>
      <c r="D493" s="18"/>
      <c r="E493" s="18"/>
      <c r="F493" s="18"/>
      <c r="G493" s="22"/>
      <c r="H493" s="18"/>
      <c r="I493" s="18">
        <v>0.0</v>
      </c>
      <c r="J493" s="18">
        <v>0.0</v>
      </c>
      <c r="K493" s="18"/>
      <c r="L493" s="18"/>
      <c r="M493" s="22" t="str">
        <f t="shared" si="1"/>
        <v/>
      </c>
      <c r="N493" s="18" t="str">
        <f>IF(A493="",,IF(ROW()=2, Input!$C$2 + I493, P492 + I493))</f>
        <v/>
      </c>
      <c r="O493" s="23" t="str">
        <f>IF(A493="",,
 IF(K493="Initial principal",
   Input!$C$2 * M493,
   N493 * M493
 )
)</f>
        <v/>
      </c>
      <c r="P493" s="18" t="str">
        <f t="shared" si="2"/>
        <v/>
      </c>
      <c r="Q493" s="18" t="str">
        <f t="shared" si="3"/>
        <v/>
      </c>
      <c r="R493" s="18" t="str">
        <f t="array" ref="R493">IF(
  B493="",
  ,
  SWITCH(
    Input!$C$4,
    "Actual/365 Fixed",
      YEARFRAC(
        B493 + IF(INDEX(Input!$K$7:$K1503,ROW()-1),0,1),
        C493 + IF(INDEX(Input!$L$7:$L1503,ROW()-1),1,0),
        3
      ),
    "Anniversary/365",
      DATEDIF(
        B493 + IF(INDEX(Input!$K$7:$K1503,ROW()-1),0,1),
        C493 + IF(INDEX(Input!$L$7:$L1503,ROW()-1),1,0),
        "Y"
      )
      +
      (
        (C493 + IF(INDEX(Input!$L$7:$L1503,ROW()-1),1,0))
        -
        EDATE(
          B493 + IF(INDEX(Input!$K$7:$K1503,ROW()-1),0,1),
          12*DATEDIF(
            B493 + IF(INDEX(Input!$K$7:$K1503,ROW()-1),0,1),
            C493 + IF(INDEX(Input!$L$7:$L1503,ROW()-1),1,0),
            "Y"
          )
        )
      ) / 365,
    "Actual/Actual",
      YEARFRAC(
        B493 + IF(INDEX(Input!$K$7:$K1503,ROW()-1),0,1),
        C493 + IF(INDEX(Input!$L$7:$L1503,ROW()-1),1,0),
        1
      ),
      YEARFRAC(
        B493 + IF(INDEX(Input!$K$7:$K1503,ROW()-1),0,1),
        C493 + IF(INDEX(Input!$L$7:$L1503,ROW()-1),1,0),
        3
      )
  )
)</f>
        <v/>
      </c>
      <c r="S493" s="22" t="str">
        <f t="shared" si="4"/>
        <v/>
      </c>
      <c r="T493" s="6" t="str">
        <f t="array" ref="T493">IF(
  B493="",
  ,
  DATEDIF(
    B493 + IF(INDEX(Input!$K$7:$K1503,ROW()-1),0,1),
    C493 + IF(INDEX(Input!$L$7:$L1503,ROW()-1),1,0),
    "Y"
  )
)</f>
        <v/>
      </c>
      <c r="U493" s="6" t="str">
        <f t="array" ref="U493">IF(
  B493="",
  ,
  (C493 + IF(INDEX(Input!$L$7:$L1503,ROW()-1),1,0))
  - EDATE(
      B493 + IF(INDEX(Input!$K$7:$K1503,ROW()-1),0,1),
      12*S493
    )
)</f>
        <v/>
      </c>
      <c r="V493" s="6" t="str">
        <f t="shared" si="5"/>
        <v/>
      </c>
      <c r="W493" s="6" t="str">
        <f t="shared" si="6"/>
        <v/>
      </c>
    </row>
    <row r="494">
      <c r="A494" s="18"/>
      <c r="B494" s="18"/>
      <c r="C494" s="18"/>
      <c r="D494" s="18"/>
      <c r="E494" s="18"/>
      <c r="F494" s="18"/>
      <c r="G494" s="22"/>
      <c r="H494" s="18"/>
      <c r="I494" s="18">
        <v>0.0</v>
      </c>
      <c r="J494" s="18">
        <v>0.0</v>
      </c>
      <c r="K494" s="18"/>
      <c r="L494" s="18"/>
      <c r="M494" s="22" t="str">
        <f t="shared" si="1"/>
        <v/>
      </c>
      <c r="N494" s="18" t="str">
        <f>IF(A494="",,IF(ROW()=2, Input!$C$2 + I494, P493 + I494))</f>
        <v/>
      </c>
      <c r="O494" s="23" t="str">
        <f>IF(A494="",,
 IF(K494="Initial principal",
   Input!$C$2 * M494,
   N494 * M494
 )
)</f>
        <v/>
      </c>
      <c r="P494" s="18" t="str">
        <f t="shared" si="2"/>
        <v/>
      </c>
      <c r="Q494" s="18" t="str">
        <f t="shared" si="3"/>
        <v/>
      </c>
      <c r="R494" s="18" t="str">
        <f t="array" ref="R494">IF(
  B494="",
  ,
  SWITCH(
    Input!$C$4,
    "Actual/365 Fixed",
      YEARFRAC(
        B494 + IF(INDEX(Input!$K$7:$K1503,ROW()-1),0,1),
        C494 + IF(INDEX(Input!$L$7:$L1503,ROW()-1),1,0),
        3
      ),
    "Anniversary/365",
      DATEDIF(
        B494 + IF(INDEX(Input!$K$7:$K1503,ROW()-1),0,1),
        C494 + IF(INDEX(Input!$L$7:$L1503,ROW()-1),1,0),
        "Y"
      )
      +
      (
        (C494 + IF(INDEX(Input!$L$7:$L1503,ROW()-1),1,0))
        -
        EDATE(
          B494 + IF(INDEX(Input!$K$7:$K1503,ROW()-1),0,1),
          12*DATEDIF(
            B494 + IF(INDEX(Input!$K$7:$K1503,ROW()-1),0,1),
            C494 + IF(INDEX(Input!$L$7:$L1503,ROW()-1),1,0),
            "Y"
          )
        )
      ) / 365,
    "Actual/Actual",
      YEARFRAC(
        B494 + IF(INDEX(Input!$K$7:$K1503,ROW()-1),0,1),
        C494 + IF(INDEX(Input!$L$7:$L1503,ROW()-1),1,0),
        1
      ),
      YEARFRAC(
        B494 + IF(INDEX(Input!$K$7:$K1503,ROW()-1),0,1),
        C494 + IF(INDEX(Input!$L$7:$L1503,ROW()-1),1,0),
        3
      )
  )
)</f>
        <v/>
      </c>
      <c r="S494" s="22" t="str">
        <f t="shared" si="4"/>
        <v/>
      </c>
      <c r="T494" s="6" t="str">
        <f t="array" ref="T494">IF(
  B494="",
  ,
  DATEDIF(
    B494 + IF(INDEX(Input!$K$7:$K1503,ROW()-1),0,1),
    C494 + IF(INDEX(Input!$L$7:$L1503,ROW()-1),1,0),
    "Y"
  )
)</f>
        <v/>
      </c>
      <c r="U494" s="6" t="str">
        <f t="array" ref="U494">IF(
  B494="",
  ,
  (C494 + IF(INDEX(Input!$L$7:$L1503,ROW()-1),1,0))
  - EDATE(
      B494 + IF(INDEX(Input!$K$7:$K1503,ROW()-1),0,1),
      12*S494
    )
)</f>
        <v/>
      </c>
      <c r="V494" s="6" t="str">
        <f t="shared" si="5"/>
        <v/>
      </c>
      <c r="W494" s="6" t="str">
        <f t="shared" si="6"/>
        <v/>
      </c>
    </row>
    <row r="495">
      <c r="A495" s="18"/>
      <c r="B495" s="18"/>
      <c r="C495" s="18"/>
      <c r="D495" s="18"/>
      <c r="E495" s="18"/>
      <c r="F495" s="18"/>
      <c r="G495" s="22"/>
      <c r="H495" s="18"/>
      <c r="I495" s="18">
        <v>0.0</v>
      </c>
      <c r="J495" s="18">
        <v>0.0</v>
      </c>
      <c r="K495" s="18"/>
      <c r="L495" s="18"/>
      <c r="M495" s="22" t="str">
        <f t="shared" si="1"/>
        <v/>
      </c>
      <c r="N495" s="18" t="str">
        <f>IF(A495="",,IF(ROW()=2, Input!$C$2 + I495, P494 + I495))</f>
        <v/>
      </c>
      <c r="O495" s="23" t="str">
        <f>IF(A495="",,
 IF(K495="Initial principal",
   Input!$C$2 * M495,
   N495 * M495
 )
)</f>
        <v/>
      </c>
      <c r="P495" s="18" t="str">
        <f t="shared" si="2"/>
        <v/>
      </c>
      <c r="Q495" s="18" t="str">
        <f t="shared" si="3"/>
        <v/>
      </c>
      <c r="R495" s="18" t="str">
        <f t="array" ref="R495">IF(
  B495="",
  ,
  SWITCH(
    Input!$C$4,
    "Actual/365 Fixed",
      YEARFRAC(
        B495 + IF(INDEX(Input!$K$7:$K1503,ROW()-1),0,1),
        C495 + IF(INDEX(Input!$L$7:$L1503,ROW()-1),1,0),
        3
      ),
    "Anniversary/365",
      DATEDIF(
        B495 + IF(INDEX(Input!$K$7:$K1503,ROW()-1),0,1),
        C495 + IF(INDEX(Input!$L$7:$L1503,ROW()-1),1,0),
        "Y"
      )
      +
      (
        (C495 + IF(INDEX(Input!$L$7:$L1503,ROW()-1),1,0))
        -
        EDATE(
          B495 + IF(INDEX(Input!$K$7:$K1503,ROW()-1),0,1),
          12*DATEDIF(
            B495 + IF(INDEX(Input!$K$7:$K1503,ROW()-1),0,1),
            C495 + IF(INDEX(Input!$L$7:$L1503,ROW()-1),1,0),
            "Y"
          )
        )
      ) / 365,
    "Actual/Actual",
      YEARFRAC(
        B495 + IF(INDEX(Input!$K$7:$K1503,ROW()-1),0,1),
        C495 + IF(INDEX(Input!$L$7:$L1503,ROW()-1),1,0),
        1
      ),
      YEARFRAC(
        B495 + IF(INDEX(Input!$K$7:$K1503,ROW()-1),0,1),
        C495 + IF(INDEX(Input!$L$7:$L1503,ROW()-1),1,0),
        3
      )
  )
)</f>
        <v/>
      </c>
      <c r="S495" s="22" t="str">
        <f t="shared" si="4"/>
        <v/>
      </c>
      <c r="T495" s="6" t="str">
        <f t="array" ref="T495">IF(
  B495="",
  ,
  DATEDIF(
    B495 + IF(INDEX(Input!$K$7:$K1503,ROW()-1),0,1),
    C495 + IF(INDEX(Input!$L$7:$L1503,ROW()-1),1,0),
    "Y"
  )
)</f>
        <v/>
      </c>
      <c r="U495" s="6" t="str">
        <f t="array" ref="U495">IF(
  B495="",
  ,
  (C495 + IF(INDEX(Input!$L$7:$L1503,ROW()-1),1,0))
  - EDATE(
      B495 + IF(INDEX(Input!$K$7:$K1503,ROW()-1),0,1),
      12*S495
    )
)</f>
        <v/>
      </c>
      <c r="V495" s="6" t="str">
        <f t="shared" si="5"/>
        <v/>
      </c>
      <c r="W495" s="6" t="str">
        <f t="shared" si="6"/>
        <v/>
      </c>
    </row>
    <row r="496">
      <c r="A496" s="18"/>
      <c r="B496" s="18"/>
      <c r="C496" s="18"/>
      <c r="D496" s="18"/>
      <c r="E496" s="18"/>
      <c r="F496" s="18"/>
      <c r="G496" s="22"/>
      <c r="H496" s="18"/>
      <c r="I496" s="18">
        <v>0.0</v>
      </c>
      <c r="J496" s="18">
        <v>0.0</v>
      </c>
      <c r="K496" s="18"/>
      <c r="L496" s="18"/>
      <c r="M496" s="22" t="str">
        <f t="shared" si="1"/>
        <v/>
      </c>
      <c r="N496" s="18" t="str">
        <f>IF(A496="",,IF(ROW()=2, Input!$C$2 + I496, P495 + I496))</f>
        <v/>
      </c>
      <c r="O496" s="23" t="str">
        <f>IF(A496="",,
 IF(K496="Initial principal",
   Input!$C$2 * M496,
   N496 * M496
 )
)</f>
        <v/>
      </c>
      <c r="P496" s="18" t="str">
        <f t="shared" si="2"/>
        <v/>
      </c>
      <c r="Q496" s="18" t="str">
        <f t="shared" si="3"/>
        <v/>
      </c>
      <c r="R496" s="18" t="str">
        <f t="array" ref="R496">IF(
  B496="",
  ,
  SWITCH(
    Input!$C$4,
    "Actual/365 Fixed",
      YEARFRAC(
        B496 + IF(INDEX(Input!$K$7:$K1503,ROW()-1),0,1),
        C496 + IF(INDEX(Input!$L$7:$L1503,ROW()-1),1,0),
        3
      ),
    "Anniversary/365",
      DATEDIF(
        B496 + IF(INDEX(Input!$K$7:$K1503,ROW()-1),0,1),
        C496 + IF(INDEX(Input!$L$7:$L1503,ROW()-1),1,0),
        "Y"
      )
      +
      (
        (C496 + IF(INDEX(Input!$L$7:$L1503,ROW()-1),1,0))
        -
        EDATE(
          B496 + IF(INDEX(Input!$K$7:$K1503,ROW()-1),0,1),
          12*DATEDIF(
            B496 + IF(INDEX(Input!$K$7:$K1503,ROW()-1),0,1),
            C496 + IF(INDEX(Input!$L$7:$L1503,ROW()-1),1,0),
            "Y"
          )
        )
      ) / 365,
    "Actual/Actual",
      YEARFRAC(
        B496 + IF(INDEX(Input!$K$7:$K1503,ROW()-1),0,1),
        C496 + IF(INDEX(Input!$L$7:$L1503,ROW()-1),1,0),
        1
      ),
      YEARFRAC(
        B496 + IF(INDEX(Input!$K$7:$K1503,ROW()-1),0,1),
        C496 + IF(INDEX(Input!$L$7:$L1503,ROW()-1),1,0),
        3
      )
  )
)</f>
        <v/>
      </c>
      <c r="S496" s="22" t="str">
        <f t="shared" si="4"/>
        <v/>
      </c>
      <c r="T496" s="6" t="str">
        <f t="array" ref="T496">IF(
  B496="",
  ,
  DATEDIF(
    B496 + IF(INDEX(Input!$K$7:$K1503,ROW()-1),0,1),
    C496 + IF(INDEX(Input!$L$7:$L1503,ROW()-1),1,0),
    "Y"
  )
)</f>
        <v/>
      </c>
      <c r="U496" s="6" t="str">
        <f t="array" ref="U496">IF(
  B496="",
  ,
  (C496 + IF(INDEX(Input!$L$7:$L1503,ROW()-1),1,0))
  - EDATE(
      B496 + IF(INDEX(Input!$K$7:$K1503,ROW()-1),0,1),
      12*S496
    )
)</f>
        <v/>
      </c>
      <c r="V496" s="6" t="str">
        <f t="shared" si="5"/>
        <v/>
      </c>
      <c r="W496" s="6" t="str">
        <f t="shared" si="6"/>
        <v/>
      </c>
    </row>
    <row r="497">
      <c r="A497" s="18"/>
      <c r="B497" s="18"/>
      <c r="C497" s="18"/>
      <c r="D497" s="18"/>
      <c r="E497" s="18"/>
      <c r="F497" s="18"/>
      <c r="G497" s="22"/>
      <c r="H497" s="18"/>
      <c r="I497" s="18">
        <v>0.0</v>
      </c>
      <c r="J497" s="18">
        <v>0.0</v>
      </c>
      <c r="K497" s="18"/>
      <c r="L497" s="18"/>
      <c r="M497" s="22" t="str">
        <f t="shared" si="1"/>
        <v/>
      </c>
      <c r="N497" s="18" t="str">
        <f>IF(A497="",,IF(ROW()=2, Input!$C$2 + I497, P496 + I497))</f>
        <v/>
      </c>
      <c r="O497" s="23" t="str">
        <f>IF(A497="",,
 IF(K497="Initial principal",
   Input!$C$2 * M497,
   N497 * M497
 )
)</f>
        <v/>
      </c>
      <c r="P497" s="18" t="str">
        <f t="shared" si="2"/>
        <v/>
      </c>
      <c r="Q497" s="18" t="str">
        <f t="shared" si="3"/>
        <v/>
      </c>
      <c r="R497" s="18" t="str">
        <f t="array" ref="R497">IF(
  B497="",
  ,
  SWITCH(
    Input!$C$4,
    "Actual/365 Fixed",
      YEARFRAC(
        B497 + IF(INDEX(Input!$K$7:$K1503,ROW()-1),0,1),
        C497 + IF(INDEX(Input!$L$7:$L1503,ROW()-1),1,0),
        3
      ),
    "Anniversary/365",
      DATEDIF(
        B497 + IF(INDEX(Input!$K$7:$K1503,ROW()-1),0,1),
        C497 + IF(INDEX(Input!$L$7:$L1503,ROW()-1),1,0),
        "Y"
      )
      +
      (
        (C497 + IF(INDEX(Input!$L$7:$L1503,ROW()-1),1,0))
        -
        EDATE(
          B497 + IF(INDEX(Input!$K$7:$K1503,ROW()-1),0,1),
          12*DATEDIF(
            B497 + IF(INDEX(Input!$K$7:$K1503,ROW()-1),0,1),
            C497 + IF(INDEX(Input!$L$7:$L1503,ROW()-1),1,0),
            "Y"
          )
        )
      ) / 365,
    "Actual/Actual",
      YEARFRAC(
        B497 + IF(INDEX(Input!$K$7:$K1503,ROW()-1),0,1),
        C497 + IF(INDEX(Input!$L$7:$L1503,ROW()-1),1,0),
        1
      ),
      YEARFRAC(
        B497 + IF(INDEX(Input!$K$7:$K1503,ROW()-1),0,1),
        C497 + IF(INDEX(Input!$L$7:$L1503,ROW()-1),1,0),
        3
      )
  )
)</f>
        <v/>
      </c>
      <c r="S497" s="22" t="str">
        <f t="shared" si="4"/>
        <v/>
      </c>
      <c r="T497" s="6" t="str">
        <f t="array" ref="T497">IF(
  B497="",
  ,
  DATEDIF(
    B497 + IF(INDEX(Input!$K$7:$K1503,ROW()-1),0,1),
    C497 + IF(INDEX(Input!$L$7:$L1503,ROW()-1),1,0),
    "Y"
  )
)</f>
        <v/>
      </c>
      <c r="U497" s="6" t="str">
        <f t="array" ref="U497">IF(
  B497="",
  ,
  (C497 + IF(INDEX(Input!$L$7:$L1503,ROW()-1),1,0))
  - EDATE(
      B497 + IF(INDEX(Input!$K$7:$K1503,ROW()-1),0,1),
      12*S497
    )
)</f>
        <v/>
      </c>
      <c r="V497" s="6" t="str">
        <f t="shared" si="5"/>
        <v/>
      </c>
      <c r="W497" s="6" t="str">
        <f t="shared" si="6"/>
        <v/>
      </c>
    </row>
    <row r="498">
      <c r="A498" s="18"/>
      <c r="B498" s="18"/>
      <c r="C498" s="18"/>
      <c r="D498" s="18"/>
      <c r="E498" s="18"/>
      <c r="F498" s="18"/>
      <c r="G498" s="22"/>
      <c r="H498" s="18"/>
      <c r="I498" s="18">
        <v>0.0</v>
      </c>
      <c r="J498" s="18">
        <v>0.0</v>
      </c>
      <c r="K498" s="18"/>
      <c r="L498" s="18"/>
      <c r="M498" s="22" t="str">
        <f t="shared" si="1"/>
        <v/>
      </c>
      <c r="N498" s="18" t="str">
        <f>IF(A498="",,IF(ROW()=2, Input!$C$2 + I498, P497 + I498))</f>
        <v/>
      </c>
      <c r="O498" s="23" t="str">
        <f>IF(A498="",,
 IF(K498="Initial principal",
   Input!$C$2 * M498,
   N498 * M498
 )
)</f>
        <v/>
      </c>
      <c r="P498" s="18" t="str">
        <f t="shared" si="2"/>
        <v/>
      </c>
      <c r="Q498" s="18" t="str">
        <f t="shared" si="3"/>
        <v/>
      </c>
      <c r="R498" s="18" t="str">
        <f t="array" ref="R498">IF(
  B498="",
  ,
  SWITCH(
    Input!$C$4,
    "Actual/365 Fixed",
      YEARFRAC(
        B498 + IF(INDEX(Input!$K$7:$K1503,ROW()-1),0,1),
        C498 + IF(INDEX(Input!$L$7:$L1503,ROW()-1),1,0),
        3
      ),
    "Anniversary/365",
      DATEDIF(
        B498 + IF(INDEX(Input!$K$7:$K1503,ROW()-1),0,1),
        C498 + IF(INDEX(Input!$L$7:$L1503,ROW()-1),1,0),
        "Y"
      )
      +
      (
        (C498 + IF(INDEX(Input!$L$7:$L1503,ROW()-1),1,0))
        -
        EDATE(
          B498 + IF(INDEX(Input!$K$7:$K1503,ROW()-1),0,1),
          12*DATEDIF(
            B498 + IF(INDEX(Input!$K$7:$K1503,ROW()-1),0,1),
            C498 + IF(INDEX(Input!$L$7:$L1503,ROW()-1),1,0),
            "Y"
          )
        )
      ) / 365,
    "Actual/Actual",
      YEARFRAC(
        B498 + IF(INDEX(Input!$K$7:$K1503,ROW()-1),0,1),
        C498 + IF(INDEX(Input!$L$7:$L1503,ROW()-1),1,0),
        1
      ),
      YEARFRAC(
        B498 + IF(INDEX(Input!$K$7:$K1503,ROW()-1),0,1),
        C498 + IF(INDEX(Input!$L$7:$L1503,ROW()-1),1,0),
        3
      )
  )
)</f>
        <v/>
      </c>
      <c r="S498" s="22" t="str">
        <f t="shared" si="4"/>
        <v/>
      </c>
      <c r="T498" s="6" t="str">
        <f t="array" ref="T498">IF(
  B498="",
  ,
  DATEDIF(
    B498 + IF(INDEX(Input!$K$7:$K1503,ROW()-1),0,1),
    C498 + IF(INDEX(Input!$L$7:$L1503,ROW()-1),1,0),
    "Y"
  )
)</f>
        <v/>
      </c>
      <c r="U498" s="6" t="str">
        <f t="array" ref="U498">IF(
  B498="",
  ,
  (C498 + IF(INDEX(Input!$L$7:$L1503,ROW()-1),1,0))
  - EDATE(
      B498 + IF(INDEX(Input!$K$7:$K1503,ROW()-1),0,1),
      12*S498
    )
)</f>
        <v/>
      </c>
      <c r="V498" s="6" t="str">
        <f t="shared" si="5"/>
        <v/>
      </c>
      <c r="W498" s="6" t="str">
        <f t="shared" si="6"/>
        <v/>
      </c>
    </row>
    <row r="499">
      <c r="A499" s="18"/>
      <c r="B499" s="18"/>
      <c r="C499" s="18"/>
      <c r="D499" s="18"/>
      <c r="E499" s="18"/>
      <c r="F499" s="18"/>
      <c r="G499" s="22"/>
      <c r="H499" s="18"/>
      <c r="I499" s="18">
        <v>0.0</v>
      </c>
      <c r="J499" s="18">
        <v>0.0</v>
      </c>
      <c r="K499" s="18"/>
      <c r="L499" s="18"/>
      <c r="M499" s="22" t="str">
        <f t="shared" si="1"/>
        <v/>
      </c>
      <c r="N499" s="18" t="str">
        <f>IF(A499="",,IF(ROW()=2, Input!$C$2 + I499, P498 + I499))</f>
        <v/>
      </c>
      <c r="O499" s="23" t="str">
        <f>IF(A499="",,
 IF(K499="Initial principal",
   Input!$C$2 * M499,
   N499 * M499
 )
)</f>
        <v/>
      </c>
      <c r="P499" s="18" t="str">
        <f t="shared" si="2"/>
        <v/>
      </c>
      <c r="Q499" s="18" t="str">
        <f t="shared" si="3"/>
        <v/>
      </c>
      <c r="R499" s="18" t="str">
        <f t="array" ref="R499">IF(
  B499="",
  ,
  SWITCH(
    Input!$C$4,
    "Actual/365 Fixed",
      YEARFRAC(
        B499 + IF(INDEX(Input!$K$7:$K1503,ROW()-1),0,1),
        C499 + IF(INDEX(Input!$L$7:$L1503,ROW()-1),1,0),
        3
      ),
    "Anniversary/365",
      DATEDIF(
        B499 + IF(INDEX(Input!$K$7:$K1503,ROW()-1),0,1),
        C499 + IF(INDEX(Input!$L$7:$L1503,ROW()-1),1,0),
        "Y"
      )
      +
      (
        (C499 + IF(INDEX(Input!$L$7:$L1503,ROW()-1),1,0))
        -
        EDATE(
          B499 + IF(INDEX(Input!$K$7:$K1503,ROW()-1),0,1),
          12*DATEDIF(
            B499 + IF(INDEX(Input!$K$7:$K1503,ROW()-1),0,1),
            C499 + IF(INDEX(Input!$L$7:$L1503,ROW()-1),1,0),
            "Y"
          )
        )
      ) / 365,
    "Actual/Actual",
      YEARFRAC(
        B499 + IF(INDEX(Input!$K$7:$K1503,ROW()-1),0,1),
        C499 + IF(INDEX(Input!$L$7:$L1503,ROW()-1),1,0),
        1
      ),
      YEARFRAC(
        B499 + IF(INDEX(Input!$K$7:$K1503,ROW()-1),0,1),
        C499 + IF(INDEX(Input!$L$7:$L1503,ROW()-1),1,0),
        3
      )
  )
)</f>
        <v/>
      </c>
      <c r="S499" s="22" t="str">
        <f t="shared" si="4"/>
        <v/>
      </c>
      <c r="T499" s="6" t="str">
        <f t="array" ref="T499">IF(
  B499="",
  ,
  DATEDIF(
    B499 + IF(INDEX(Input!$K$7:$K1503,ROW()-1),0,1),
    C499 + IF(INDEX(Input!$L$7:$L1503,ROW()-1),1,0),
    "Y"
  )
)</f>
        <v/>
      </c>
      <c r="U499" s="6" t="str">
        <f t="array" ref="U499">IF(
  B499="",
  ,
  (C499 + IF(INDEX(Input!$L$7:$L1503,ROW()-1),1,0))
  - EDATE(
      B499 + IF(INDEX(Input!$K$7:$K1503,ROW()-1),0,1),
      12*S499
    )
)</f>
        <v/>
      </c>
      <c r="V499" s="6" t="str">
        <f t="shared" si="5"/>
        <v/>
      </c>
      <c r="W499" s="6" t="str">
        <f t="shared" si="6"/>
        <v/>
      </c>
    </row>
    <row r="500">
      <c r="A500" s="18"/>
      <c r="B500" s="18"/>
      <c r="C500" s="18"/>
      <c r="D500" s="18"/>
      <c r="E500" s="18"/>
      <c r="F500" s="18"/>
      <c r="G500" s="22"/>
      <c r="H500" s="18"/>
      <c r="I500" s="18">
        <v>0.0</v>
      </c>
      <c r="J500" s="18">
        <v>0.0</v>
      </c>
      <c r="K500" s="18"/>
      <c r="L500" s="18"/>
      <c r="M500" s="22" t="str">
        <f t="shared" si="1"/>
        <v/>
      </c>
      <c r="N500" s="18" t="str">
        <f>IF(A500="",,IF(ROW()=2, Input!$C$2 + I500, P499 + I500))</f>
        <v/>
      </c>
      <c r="O500" s="23" t="str">
        <f>IF(A500="",,
 IF(K500="Initial principal",
   Input!$C$2 * M500,
   N500 * M500
 )
)</f>
        <v/>
      </c>
      <c r="P500" s="18" t="str">
        <f t="shared" si="2"/>
        <v/>
      </c>
      <c r="Q500" s="18" t="str">
        <f t="shared" si="3"/>
        <v/>
      </c>
      <c r="R500" s="18" t="str">
        <f t="array" ref="R500">IF(
  B500="",
  ,
  SWITCH(
    Input!$C$4,
    "Actual/365 Fixed",
      YEARFRAC(
        B500 + IF(INDEX(Input!$K$7:$K1503,ROW()-1),0,1),
        C500 + IF(INDEX(Input!$L$7:$L1503,ROW()-1),1,0),
        3
      ),
    "Anniversary/365",
      DATEDIF(
        B500 + IF(INDEX(Input!$K$7:$K1503,ROW()-1),0,1),
        C500 + IF(INDEX(Input!$L$7:$L1503,ROW()-1),1,0),
        "Y"
      )
      +
      (
        (C500 + IF(INDEX(Input!$L$7:$L1503,ROW()-1),1,0))
        -
        EDATE(
          B500 + IF(INDEX(Input!$K$7:$K1503,ROW()-1),0,1),
          12*DATEDIF(
            B500 + IF(INDEX(Input!$K$7:$K1503,ROW()-1),0,1),
            C500 + IF(INDEX(Input!$L$7:$L1503,ROW()-1),1,0),
            "Y"
          )
        )
      ) / 365,
    "Actual/Actual",
      YEARFRAC(
        B500 + IF(INDEX(Input!$K$7:$K1503,ROW()-1),0,1),
        C500 + IF(INDEX(Input!$L$7:$L1503,ROW()-1),1,0),
        1
      ),
      YEARFRAC(
        B500 + IF(INDEX(Input!$K$7:$K1503,ROW()-1),0,1),
        C500 + IF(INDEX(Input!$L$7:$L1503,ROW()-1),1,0),
        3
      )
  )
)</f>
        <v/>
      </c>
      <c r="S500" s="22" t="str">
        <f t="shared" si="4"/>
        <v/>
      </c>
      <c r="T500" s="6" t="str">
        <f t="array" ref="T500">IF(
  B500="",
  ,
  DATEDIF(
    B500 + IF(INDEX(Input!$K$7:$K1503,ROW()-1),0,1),
    C500 + IF(INDEX(Input!$L$7:$L1503,ROW()-1),1,0),
    "Y"
  )
)</f>
        <v/>
      </c>
      <c r="U500" s="6" t="str">
        <f t="array" ref="U500">IF(
  B500="",
  ,
  (C500 + IF(INDEX(Input!$L$7:$L1503,ROW()-1),1,0))
  - EDATE(
      B500 + IF(INDEX(Input!$K$7:$K1503,ROW()-1),0,1),
      12*S500
    )
)</f>
        <v/>
      </c>
      <c r="V500" s="6" t="str">
        <f t="shared" si="5"/>
        <v/>
      </c>
      <c r="W500" s="6" t="str">
        <f t="shared" si="6"/>
        <v/>
      </c>
    </row>
    <row r="501">
      <c r="A501" s="18"/>
      <c r="B501" s="18"/>
      <c r="C501" s="18"/>
      <c r="D501" s="18"/>
      <c r="E501" s="18"/>
      <c r="F501" s="18"/>
      <c r="G501" s="22"/>
      <c r="H501" s="18"/>
      <c r="I501" s="18">
        <v>0.0</v>
      </c>
      <c r="J501" s="18">
        <v>0.0</v>
      </c>
      <c r="K501" s="18"/>
      <c r="L501" s="18"/>
      <c r="M501" s="22" t="str">
        <f t="shared" si="1"/>
        <v/>
      </c>
      <c r="N501" s="18" t="str">
        <f>IF(A501="",,IF(ROW()=2, Input!$C$2 + I501, P500 + I501))</f>
        <v/>
      </c>
      <c r="O501" s="23" t="str">
        <f>IF(A501="",,
 IF(K501="Initial principal",
   Input!$C$2 * M501,
   N501 * M501
 )
)</f>
        <v/>
      </c>
      <c r="P501" s="18" t="str">
        <f t="shared" si="2"/>
        <v/>
      </c>
      <c r="Q501" s="18" t="str">
        <f t="shared" si="3"/>
        <v/>
      </c>
      <c r="R501" s="18" t="str">
        <f t="array" ref="R501">IF(
  B501="",
  ,
  SWITCH(
    Input!$C$4,
    "Actual/365 Fixed",
      YEARFRAC(
        B501 + IF(INDEX(Input!$K$7:$K1503,ROW()-1),0,1),
        C501 + IF(INDEX(Input!$L$7:$L1503,ROW()-1),1,0),
        3
      ),
    "Anniversary/365",
      DATEDIF(
        B501 + IF(INDEX(Input!$K$7:$K1503,ROW()-1),0,1),
        C501 + IF(INDEX(Input!$L$7:$L1503,ROW()-1),1,0),
        "Y"
      )
      +
      (
        (C501 + IF(INDEX(Input!$L$7:$L1503,ROW()-1),1,0))
        -
        EDATE(
          B501 + IF(INDEX(Input!$K$7:$K1503,ROW()-1),0,1),
          12*DATEDIF(
            B501 + IF(INDEX(Input!$K$7:$K1503,ROW()-1),0,1),
            C501 + IF(INDEX(Input!$L$7:$L1503,ROW()-1),1,0),
            "Y"
          )
        )
      ) / 365,
    "Actual/Actual",
      YEARFRAC(
        B501 + IF(INDEX(Input!$K$7:$K1503,ROW()-1),0,1),
        C501 + IF(INDEX(Input!$L$7:$L1503,ROW()-1),1,0),
        1
      ),
      YEARFRAC(
        B501 + IF(INDEX(Input!$K$7:$K1503,ROW()-1),0,1),
        C501 + IF(INDEX(Input!$L$7:$L1503,ROW()-1),1,0),
        3
      )
  )
)</f>
        <v/>
      </c>
      <c r="S501" s="22" t="str">
        <f t="shared" si="4"/>
        <v/>
      </c>
      <c r="T501" s="6" t="str">
        <f t="array" ref="T501">IF(
  B501="",
  ,
  DATEDIF(
    B501 + IF(INDEX(Input!$K$7:$K1503,ROW()-1),0,1),
    C501 + IF(INDEX(Input!$L$7:$L1503,ROW()-1),1,0),
    "Y"
  )
)</f>
        <v/>
      </c>
      <c r="U501" s="6" t="str">
        <f t="array" ref="U501">IF(
  B501="",
  ,
  (C501 + IF(INDEX(Input!$L$7:$L1503,ROW()-1),1,0))
  - EDATE(
      B501 + IF(INDEX(Input!$K$7:$K1503,ROW()-1),0,1),
      12*S501
    )
)</f>
        <v/>
      </c>
      <c r="V501" s="6" t="str">
        <f t="shared" si="5"/>
        <v/>
      </c>
      <c r="W501" s="6" t="str">
        <f t="shared" si="6"/>
        <v/>
      </c>
    </row>
    <row r="502">
      <c r="A502" s="18"/>
      <c r="B502" s="18"/>
      <c r="C502" s="18"/>
      <c r="D502" s="18"/>
      <c r="E502" s="18"/>
      <c r="F502" s="18"/>
      <c r="G502" s="22"/>
      <c r="H502" s="18"/>
      <c r="I502" s="18">
        <v>0.0</v>
      </c>
      <c r="J502" s="18">
        <v>0.0</v>
      </c>
      <c r="K502" s="18"/>
      <c r="L502" s="18"/>
      <c r="M502" s="22" t="str">
        <f t="shared" si="1"/>
        <v/>
      </c>
      <c r="N502" s="18" t="str">
        <f>IF(A502="",,IF(ROW()=2, Input!$C$2 + I502, P501 + I502))</f>
        <v/>
      </c>
      <c r="O502" s="23" t="str">
        <f>IF(A502="",,
 IF(K502="Initial principal",
   Input!$C$2 * M502,
   N502 * M502
 )
)</f>
        <v/>
      </c>
      <c r="P502" s="18" t="str">
        <f t="shared" si="2"/>
        <v/>
      </c>
      <c r="Q502" s="18" t="str">
        <f t="shared" si="3"/>
        <v/>
      </c>
      <c r="R502" s="18" t="str">
        <f t="array" ref="R502">IF(
  B502="",
  ,
  SWITCH(
    Input!$C$4,
    "Actual/365 Fixed",
      YEARFRAC(
        B502 + IF(INDEX(Input!$K$7:$K1503,ROW()-1),0,1),
        C502 + IF(INDEX(Input!$L$7:$L1503,ROW()-1),1,0),
        3
      ),
    "Anniversary/365",
      DATEDIF(
        B502 + IF(INDEX(Input!$K$7:$K1503,ROW()-1),0,1),
        C502 + IF(INDEX(Input!$L$7:$L1503,ROW()-1),1,0),
        "Y"
      )
      +
      (
        (C502 + IF(INDEX(Input!$L$7:$L1503,ROW()-1),1,0))
        -
        EDATE(
          B502 + IF(INDEX(Input!$K$7:$K1503,ROW()-1),0,1),
          12*DATEDIF(
            B502 + IF(INDEX(Input!$K$7:$K1503,ROW()-1),0,1),
            C502 + IF(INDEX(Input!$L$7:$L1503,ROW()-1),1,0),
            "Y"
          )
        )
      ) / 365,
    "Actual/Actual",
      YEARFRAC(
        B502 + IF(INDEX(Input!$K$7:$K1503,ROW()-1),0,1),
        C502 + IF(INDEX(Input!$L$7:$L1503,ROW()-1),1,0),
        1
      ),
      YEARFRAC(
        B502 + IF(INDEX(Input!$K$7:$K1503,ROW()-1),0,1),
        C502 + IF(INDEX(Input!$L$7:$L1503,ROW()-1),1,0),
        3
      )
  )
)</f>
        <v/>
      </c>
      <c r="S502" s="22" t="str">
        <f t="shared" si="4"/>
        <v/>
      </c>
      <c r="T502" s="6" t="str">
        <f t="array" ref="T502">IF(
  B502="",
  ,
  DATEDIF(
    B502 + IF(INDEX(Input!$K$7:$K1503,ROW()-1),0,1),
    C502 + IF(INDEX(Input!$L$7:$L1503,ROW()-1),1,0),
    "Y"
  )
)</f>
        <v/>
      </c>
      <c r="U502" s="6" t="str">
        <f t="array" ref="U502">IF(
  B502="",
  ,
  (C502 + IF(INDEX(Input!$L$7:$L1503,ROW()-1),1,0))
  - EDATE(
      B502 + IF(INDEX(Input!$K$7:$K1503,ROW()-1),0,1),
      12*S502
    )
)</f>
        <v/>
      </c>
      <c r="V502" s="6" t="str">
        <f t="shared" si="5"/>
        <v/>
      </c>
      <c r="W502" s="6" t="str">
        <f t="shared" si="6"/>
        <v/>
      </c>
    </row>
    <row r="503">
      <c r="A503" s="18"/>
      <c r="B503" s="18"/>
      <c r="C503" s="18"/>
      <c r="D503" s="18"/>
      <c r="E503" s="18"/>
      <c r="F503" s="18"/>
      <c r="G503" s="22"/>
      <c r="H503" s="18"/>
      <c r="I503" s="18">
        <v>0.0</v>
      </c>
      <c r="J503" s="18">
        <v>0.0</v>
      </c>
      <c r="K503" s="18"/>
      <c r="L503" s="18"/>
      <c r="M503" s="22" t="str">
        <f t="shared" si="1"/>
        <v/>
      </c>
      <c r="N503" s="18" t="str">
        <f>IF(A503="",,IF(ROW()=2, Input!$C$2 + I503, P502 + I503))</f>
        <v/>
      </c>
      <c r="O503" s="23" t="str">
        <f>IF(A503="",,
 IF(K503="Initial principal",
   Input!$C$2 * M503,
   N503 * M503
 )
)</f>
        <v/>
      </c>
      <c r="P503" s="18" t="str">
        <f t="shared" si="2"/>
        <v/>
      </c>
      <c r="Q503" s="18" t="str">
        <f t="shared" si="3"/>
        <v/>
      </c>
      <c r="R503" s="18" t="str">
        <f t="array" ref="R503">IF(
  B503="",
  ,
  SWITCH(
    Input!$C$4,
    "Actual/365 Fixed",
      YEARFRAC(
        B503 + IF(INDEX(Input!$K$7:$K1503,ROW()-1),0,1),
        C503 + IF(INDEX(Input!$L$7:$L1503,ROW()-1),1,0),
        3
      ),
    "Anniversary/365",
      DATEDIF(
        B503 + IF(INDEX(Input!$K$7:$K1503,ROW()-1),0,1),
        C503 + IF(INDEX(Input!$L$7:$L1503,ROW()-1),1,0),
        "Y"
      )
      +
      (
        (C503 + IF(INDEX(Input!$L$7:$L1503,ROW()-1),1,0))
        -
        EDATE(
          B503 + IF(INDEX(Input!$K$7:$K1503,ROW()-1),0,1),
          12*DATEDIF(
            B503 + IF(INDEX(Input!$K$7:$K1503,ROW()-1),0,1),
            C503 + IF(INDEX(Input!$L$7:$L1503,ROW()-1),1,0),
            "Y"
          )
        )
      ) / 365,
    "Actual/Actual",
      YEARFRAC(
        B503 + IF(INDEX(Input!$K$7:$K1503,ROW()-1),0,1),
        C503 + IF(INDEX(Input!$L$7:$L1503,ROW()-1),1,0),
        1
      ),
      YEARFRAC(
        B503 + IF(INDEX(Input!$K$7:$K1503,ROW()-1),0,1),
        C503 + IF(INDEX(Input!$L$7:$L1503,ROW()-1),1,0),
        3
      )
  )
)</f>
        <v/>
      </c>
      <c r="S503" s="22" t="str">
        <f t="shared" si="4"/>
        <v/>
      </c>
      <c r="T503" s="6" t="str">
        <f t="array" ref="T503">IF(
  B503="",
  ,
  DATEDIF(
    B503 + IF(INDEX(Input!$K$7:$K1503,ROW()-1),0,1),
    C503 + IF(INDEX(Input!$L$7:$L1503,ROW()-1),1,0),
    "Y"
  )
)</f>
        <v/>
      </c>
      <c r="U503" s="6" t="str">
        <f t="array" ref="U503">IF(
  B503="",
  ,
  (C503 + IF(INDEX(Input!$L$7:$L1503,ROW()-1),1,0))
  - EDATE(
      B503 + IF(INDEX(Input!$K$7:$K1503,ROW()-1),0,1),
      12*S503
    )
)</f>
        <v/>
      </c>
      <c r="V503" s="6" t="str">
        <f t="shared" si="5"/>
        <v/>
      </c>
      <c r="W503" s="6" t="str">
        <f t="shared" si="6"/>
        <v/>
      </c>
    </row>
    <row r="504">
      <c r="A504" s="18"/>
      <c r="B504" s="18"/>
      <c r="C504" s="18"/>
      <c r="D504" s="18"/>
      <c r="E504" s="18"/>
      <c r="F504" s="18"/>
      <c r="G504" s="22"/>
      <c r="H504" s="18"/>
      <c r="I504" s="18">
        <v>0.0</v>
      </c>
      <c r="J504" s="18">
        <v>0.0</v>
      </c>
      <c r="K504" s="18"/>
      <c r="L504" s="18"/>
      <c r="M504" s="22" t="str">
        <f t="shared" si="1"/>
        <v/>
      </c>
      <c r="N504" s="18" t="str">
        <f>IF(A504="",,IF(ROW()=2, Input!$C$2 + I504, P503 + I504))</f>
        <v/>
      </c>
      <c r="O504" s="23" t="str">
        <f>IF(A504="",,
 IF(K504="Initial principal",
   Input!$C$2 * M504,
   N504 * M504
 )
)</f>
        <v/>
      </c>
      <c r="P504" s="18" t="str">
        <f t="shared" si="2"/>
        <v/>
      </c>
      <c r="Q504" s="18" t="str">
        <f t="shared" si="3"/>
        <v/>
      </c>
      <c r="R504" s="18" t="str">
        <f t="array" ref="R504">IF(
  B504="",
  ,
  SWITCH(
    Input!$C$4,
    "Actual/365 Fixed",
      YEARFRAC(
        B504 + IF(INDEX(Input!$K$7:$K1503,ROW()-1),0,1),
        C504 + IF(INDEX(Input!$L$7:$L1503,ROW()-1),1,0),
        3
      ),
    "Anniversary/365",
      DATEDIF(
        B504 + IF(INDEX(Input!$K$7:$K1503,ROW()-1),0,1),
        C504 + IF(INDEX(Input!$L$7:$L1503,ROW()-1),1,0),
        "Y"
      )
      +
      (
        (C504 + IF(INDEX(Input!$L$7:$L1503,ROW()-1),1,0))
        -
        EDATE(
          B504 + IF(INDEX(Input!$K$7:$K1503,ROW()-1),0,1),
          12*DATEDIF(
            B504 + IF(INDEX(Input!$K$7:$K1503,ROW()-1),0,1),
            C504 + IF(INDEX(Input!$L$7:$L1503,ROW()-1),1,0),
            "Y"
          )
        )
      ) / 365,
    "Actual/Actual",
      YEARFRAC(
        B504 + IF(INDEX(Input!$K$7:$K1503,ROW()-1),0,1),
        C504 + IF(INDEX(Input!$L$7:$L1503,ROW()-1),1,0),
        1
      ),
      YEARFRAC(
        B504 + IF(INDEX(Input!$K$7:$K1503,ROW()-1),0,1),
        C504 + IF(INDEX(Input!$L$7:$L1503,ROW()-1),1,0),
        3
      )
  )
)</f>
        <v/>
      </c>
      <c r="S504" s="22" t="str">
        <f t="shared" si="4"/>
        <v/>
      </c>
      <c r="T504" s="6" t="str">
        <f t="array" ref="T504">IF(
  B504="",
  ,
  DATEDIF(
    B504 + IF(INDEX(Input!$K$7:$K1503,ROW()-1),0,1),
    C504 + IF(INDEX(Input!$L$7:$L1503,ROW()-1),1,0),
    "Y"
  )
)</f>
        <v/>
      </c>
      <c r="U504" s="6" t="str">
        <f t="array" ref="U504">IF(
  B504="",
  ,
  (C504 + IF(INDEX(Input!$L$7:$L1503,ROW()-1),1,0))
  - EDATE(
      B504 + IF(INDEX(Input!$K$7:$K1503,ROW()-1),0,1),
      12*S504
    )
)</f>
        <v/>
      </c>
      <c r="V504" s="6" t="str">
        <f t="shared" si="5"/>
        <v/>
      </c>
      <c r="W504" s="6" t="str">
        <f t="shared" si="6"/>
        <v/>
      </c>
    </row>
    <row r="505">
      <c r="A505" s="18"/>
      <c r="B505" s="18"/>
      <c r="C505" s="18"/>
      <c r="D505" s="18"/>
      <c r="E505" s="18"/>
      <c r="F505" s="18"/>
      <c r="G505" s="22"/>
      <c r="H505" s="18"/>
      <c r="I505" s="18">
        <v>0.0</v>
      </c>
      <c r="J505" s="18">
        <v>0.0</v>
      </c>
      <c r="K505" s="18"/>
      <c r="L505" s="18"/>
      <c r="M505" s="22" t="str">
        <f t="shared" si="1"/>
        <v/>
      </c>
      <c r="N505" s="18" t="str">
        <f>IF(A505="",,IF(ROW()=2, Input!$C$2 + I505, P504 + I505))</f>
        <v/>
      </c>
      <c r="O505" s="23" t="str">
        <f>IF(A505="",,
 IF(K505="Initial principal",
   Input!$C$2 * M505,
   N505 * M505
 )
)</f>
        <v/>
      </c>
      <c r="P505" s="18" t="str">
        <f t="shared" si="2"/>
        <v/>
      </c>
      <c r="Q505" s="18" t="str">
        <f t="shared" si="3"/>
        <v/>
      </c>
      <c r="R505" s="18" t="str">
        <f t="array" ref="R505">IF(
  B505="",
  ,
  SWITCH(
    Input!$C$4,
    "Actual/365 Fixed",
      YEARFRAC(
        B505 + IF(INDEX(Input!$K$7:$K1503,ROW()-1),0,1),
        C505 + IF(INDEX(Input!$L$7:$L1503,ROW()-1),1,0),
        3
      ),
    "Anniversary/365",
      DATEDIF(
        B505 + IF(INDEX(Input!$K$7:$K1503,ROW()-1),0,1),
        C505 + IF(INDEX(Input!$L$7:$L1503,ROW()-1),1,0),
        "Y"
      )
      +
      (
        (C505 + IF(INDEX(Input!$L$7:$L1503,ROW()-1),1,0))
        -
        EDATE(
          B505 + IF(INDEX(Input!$K$7:$K1503,ROW()-1),0,1),
          12*DATEDIF(
            B505 + IF(INDEX(Input!$K$7:$K1503,ROW()-1),0,1),
            C505 + IF(INDEX(Input!$L$7:$L1503,ROW()-1),1,0),
            "Y"
          )
        )
      ) / 365,
    "Actual/Actual",
      YEARFRAC(
        B505 + IF(INDEX(Input!$K$7:$K1503,ROW()-1),0,1),
        C505 + IF(INDEX(Input!$L$7:$L1503,ROW()-1),1,0),
        1
      ),
      YEARFRAC(
        B505 + IF(INDEX(Input!$K$7:$K1503,ROW()-1),0,1),
        C505 + IF(INDEX(Input!$L$7:$L1503,ROW()-1),1,0),
        3
      )
  )
)</f>
        <v/>
      </c>
      <c r="S505" s="22" t="str">
        <f t="shared" si="4"/>
        <v/>
      </c>
      <c r="T505" s="6" t="str">
        <f t="array" ref="T505">IF(
  B505="",
  ,
  DATEDIF(
    B505 + IF(INDEX(Input!$K$7:$K1503,ROW()-1),0,1),
    C505 + IF(INDEX(Input!$L$7:$L1503,ROW()-1),1,0),
    "Y"
  )
)</f>
        <v/>
      </c>
      <c r="U505" s="6" t="str">
        <f t="array" ref="U505">IF(
  B505="",
  ,
  (C505 + IF(INDEX(Input!$L$7:$L1503,ROW()-1),1,0))
  - EDATE(
      B505 + IF(INDEX(Input!$K$7:$K1503,ROW()-1),0,1),
      12*S505
    )
)</f>
        <v/>
      </c>
      <c r="V505" s="6" t="str">
        <f t="shared" si="5"/>
        <v/>
      </c>
      <c r="W505" s="6" t="str">
        <f t="shared" si="6"/>
        <v/>
      </c>
    </row>
    <row r="506">
      <c r="A506" s="18"/>
      <c r="B506" s="18"/>
      <c r="C506" s="18"/>
      <c r="D506" s="18"/>
      <c r="E506" s="18"/>
      <c r="F506" s="18"/>
      <c r="G506" s="22"/>
      <c r="H506" s="18"/>
      <c r="I506" s="18">
        <v>0.0</v>
      </c>
      <c r="J506" s="18">
        <v>0.0</v>
      </c>
      <c r="K506" s="18"/>
      <c r="L506" s="18"/>
      <c r="M506" s="22" t="str">
        <f t="shared" si="1"/>
        <v/>
      </c>
      <c r="N506" s="18" t="str">
        <f>IF(A506="",,IF(ROW()=2, Input!$C$2 + I506, P505 + I506))</f>
        <v/>
      </c>
      <c r="O506" s="23" t="str">
        <f>IF(A506="",,
 IF(K506="Initial principal",
   Input!$C$2 * M506,
   N506 * M506
 )
)</f>
        <v/>
      </c>
      <c r="P506" s="18" t="str">
        <f t="shared" si="2"/>
        <v/>
      </c>
      <c r="Q506" s="18" t="str">
        <f t="shared" si="3"/>
        <v/>
      </c>
      <c r="R506" s="18" t="str">
        <f t="array" ref="R506">IF(
  B506="",
  ,
  SWITCH(
    Input!$C$4,
    "Actual/365 Fixed",
      YEARFRAC(
        B506 + IF(INDEX(Input!$K$7:$K1503,ROW()-1),0,1),
        C506 + IF(INDEX(Input!$L$7:$L1503,ROW()-1),1,0),
        3
      ),
    "Anniversary/365",
      DATEDIF(
        B506 + IF(INDEX(Input!$K$7:$K1503,ROW()-1),0,1),
        C506 + IF(INDEX(Input!$L$7:$L1503,ROW()-1),1,0),
        "Y"
      )
      +
      (
        (C506 + IF(INDEX(Input!$L$7:$L1503,ROW()-1),1,0))
        -
        EDATE(
          B506 + IF(INDEX(Input!$K$7:$K1503,ROW()-1),0,1),
          12*DATEDIF(
            B506 + IF(INDEX(Input!$K$7:$K1503,ROW()-1),0,1),
            C506 + IF(INDEX(Input!$L$7:$L1503,ROW()-1),1,0),
            "Y"
          )
        )
      ) / 365,
    "Actual/Actual",
      YEARFRAC(
        B506 + IF(INDEX(Input!$K$7:$K1503,ROW()-1),0,1),
        C506 + IF(INDEX(Input!$L$7:$L1503,ROW()-1),1,0),
        1
      ),
      YEARFRAC(
        B506 + IF(INDEX(Input!$K$7:$K1503,ROW()-1),0,1),
        C506 + IF(INDEX(Input!$L$7:$L1503,ROW()-1),1,0),
        3
      )
  )
)</f>
        <v/>
      </c>
      <c r="S506" s="22" t="str">
        <f t="shared" si="4"/>
        <v/>
      </c>
      <c r="T506" s="6" t="str">
        <f t="array" ref="T506">IF(
  B506="",
  ,
  DATEDIF(
    B506 + IF(INDEX(Input!$K$7:$K1503,ROW()-1),0,1),
    C506 + IF(INDEX(Input!$L$7:$L1503,ROW()-1),1,0),
    "Y"
  )
)</f>
        <v/>
      </c>
      <c r="U506" s="6" t="str">
        <f t="array" ref="U506">IF(
  B506="",
  ,
  (C506 + IF(INDEX(Input!$L$7:$L1503,ROW()-1),1,0))
  - EDATE(
      B506 + IF(INDEX(Input!$K$7:$K1503,ROW()-1),0,1),
      12*S506
    )
)</f>
        <v/>
      </c>
      <c r="V506" s="6" t="str">
        <f t="shared" si="5"/>
        <v/>
      </c>
      <c r="W506" s="6" t="str">
        <f t="shared" si="6"/>
        <v/>
      </c>
    </row>
    <row r="507">
      <c r="A507" s="18"/>
      <c r="B507" s="18"/>
      <c r="C507" s="18"/>
      <c r="D507" s="18"/>
      <c r="E507" s="18"/>
      <c r="F507" s="18"/>
      <c r="G507" s="22"/>
      <c r="H507" s="18"/>
      <c r="I507" s="18">
        <v>0.0</v>
      </c>
      <c r="J507" s="18">
        <v>0.0</v>
      </c>
      <c r="K507" s="18"/>
      <c r="L507" s="18"/>
      <c r="M507" s="22" t="str">
        <f t="shared" si="1"/>
        <v/>
      </c>
      <c r="N507" s="18" t="str">
        <f>IF(A507="",,IF(ROW()=2, Input!$C$2 + I507, P506 + I507))</f>
        <v/>
      </c>
      <c r="O507" s="23" t="str">
        <f>IF(A507="",,
 IF(K507="Initial principal",
   Input!$C$2 * M507,
   N507 * M507
 )
)</f>
        <v/>
      </c>
      <c r="P507" s="18" t="str">
        <f t="shared" si="2"/>
        <v/>
      </c>
      <c r="Q507" s="18" t="str">
        <f t="shared" si="3"/>
        <v/>
      </c>
      <c r="R507" s="18" t="str">
        <f t="array" ref="R507">IF(
  B507="",
  ,
  SWITCH(
    Input!$C$4,
    "Actual/365 Fixed",
      YEARFRAC(
        B507 + IF(INDEX(Input!$K$7:$K1503,ROW()-1),0,1),
        C507 + IF(INDEX(Input!$L$7:$L1503,ROW()-1),1,0),
        3
      ),
    "Anniversary/365",
      DATEDIF(
        B507 + IF(INDEX(Input!$K$7:$K1503,ROW()-1),0,1),
        C507 + IF(INDEX(Input!$L$7:$L1503,ROW()-1),1,0),
        "Y"
      )
      +
      (
        (C507 + IF(INDEX(Input!$L$7:$L1503,ROW()-1),1,0))
        -
        EDATE(
          B507 + IF(INDEX(Input!$K$7:$K1503,ROW()-1),0,1),
          12*DATEDIF(
            B507 + IF(INDEX(Input!$K$7:$K1503,ROW()-1),0,1),
            C507 + IF(INDEX(Input!$L$7:$L1503,ROW()-1),1,0),
            "Y"
          )
        )
      ) / 365,
    "Actual/Actual",
      YEARFRAC(
        B507 + IF(INDEX(Input!$K$7:$K1503,ROW()-1),0,1),
        C507 + IF(INDEX(Input!$L$7:$L1503,ROW()-1),1,0),
        1
      ),
      YEARFRAC(
        B507 + IF(INDEX(Input!$K$7:$K1503,ROW()-1),0,1),
        C507 + IF(INDEX(Input!$L$7:$L1503,ROW()-1),1,0),
        3
      )
  )
)</f>
        <v/>
      </c>
      <c r="S507" s="22" t="str">
        <f t="shared" si="4"/>
        <v/>
      </c>
      <c r="T507" s="6" t="str">
        <f t="array" ref="T507">IF(
  B507="",
  ,
  DATEDIF(
    B507 + IF(INDEX(Input!$K$7:$K1503,ROW()-1),0,1),
    C507 + IF(INDEX(Input!$L$7:$L1503,ROW()-1),1,0),
    "Y"
  )
)</f>
        <v/>
      </c>
      <c r="U507" s="6" t="str">
        <f t="array" ref="U507">IF(
  B507="",
  ,
  (C507 + IF(INDEX(Input!$L$7:$L1503,ROW()-1),1,0))
  - EDATE(
      B507 + IF(INDEX(Input!$K$7:$K1503,ROW()-1),0,1),
      12*S507
    )
)</f>
        <v/>
      </c>
      <c r="V507" s="6" t="str">
        <f t="shared" si="5"/>
        <v/>
      </c>
      <c r="W507" s="6" t="str">
        <f t="shared" si="6"/>
        <v/>
      </c>
    </row>
    <row r="508">
      <c r="A508" s="18"/>
      <c r="B508" s="18"/>
      <c r="C508" s="18"/>
      <c r="D508" s="18"/>
      <c r="E508" s="18"/>
      <c r="F508" s="18"/>
      <c r="G508" s="22"/>
      <c r="H508" s="18"/>
      <c r="I508" s="18">
        <v>0.0</v>
      </c>
      <c r="J508" s="18">
        <v>0.0</v>
      </c>
      <c r="K508" s="18"/>
      <c r="L508" s="18"/>
      <c r="M508" s="22" t="str">
        <f t="shared" si="1"/>
        <v/>
      </c>
      <c r="N508" s="18" t="str">
        <f>IF(A508="",,IF(ROW()=2, Input!$C$2 + I508, P507 + I508))</f>
        <v/>
      </c>
      <c r="O508" s="23" t="str">
        <f>IF(A508="",,
 IF(K508="Initial principal",
   Input!$C$2 * M508,
   N508 * M508
 )
)</f>
        <v/>
      </c>
      <c r="P508" s="18" t="str">
        <f t="shared" si="2"/>
        <v/>
      </c>
      <c r="Q508" s="18" t="str">
        <f t="shared" si="3"/>
        <v/>
      </c>
      <c r="R508" s="18" t="str">
        <f t="array" ref="R508">IF(
  B508="",
  ,
  SWITCH(
    Input!$C$4,
    "Actual/365 Fixed",
      YEARFRAC(
        B508 + IF(INDEX(Input!$K$7:$K1503,ROW()-1),0,1),
        C508 + IF(INDEX(Input!$L$7:$L1503,ROW()-1),1,0),
        3
      ),
    "Anniversary/365",
      DATEDIF(
        B508 + IF(INDEX(Input!$K$7:$K1503,ROW()-1),0,1),
        C508 + IF(INDEX(Input!$L$7:$L1503,ROW()-1),1,0),
        "Y"
      )
      +
      (
        (C508 + IF(INDEX(Input!$L$7:$L1503,ROW()-1),1,0))
        -
        EDATE(
          B508 + IF(INDEX(Input!$K$7:$K1503,ROW()-1),0,1),
          12*DATEDIF(
            B508 + IF(INDEX(Input!$K$7:$K1503,ROW()-1),0,1),
            C508 + IF(INDEX(Input!$L$7:$L1503,ROW()-1),1,0),
            "Y"
          )
        )
      ) / 365,
    "Actual/Actual",
      YEARFRAC(
        B508 + IF(INDEX(Input!$K$7:$K1503,ROW()-1),0,1),
        C508 + IF(INDEX(Input!$L$7:$L1503,ROW()-1),1,0),
        1
      ),
      YEARFRAC(
        B508 + IF(INDEX(Input!$K$7:$K1503,ROW()-1),0,1),
        C508 + IF(INDEX(Input!$L$7:$L1503,ROW()-1),1,0),
        3
      )
  )
)</f>
        <v/>
      </c>
      <c r="S508" s="22" t="str">
        <f t="shared" si="4"/>
        <v/>
      </c>
      <c r="T508" s="6" t="str">
        <f t="array" ref="T508">IF(
  B508="",
  ,
  DATEDIF(
    B508 + IF(INDEX(Input!$K$7:$K1503,ROW()-1),0,1),
    C508 + IF(INDEX(Input!$L$7:$L1503,ROW()-1),1,0),
    "Y"
  )
)</f>
        <v/>
      </c>
      <c r="U508" s="6" t="str">
        <f t="array" ref="U508">IF(
  B508="",
  ,
  (C508 + IF(INDEX(Input!$L$7:$L1503,ROW()-1),1,0))
  - EDATE(
      B508 + IF(INDEX(Input!$K$7:$K1503,ROW()-1),0,1),
      12*S508
    )
)</f>
        <v/>
      </c>
      <c r="V508" s="6" t="str">
        <f t="shared" si="5"/>
        <v/>
      </c>
      <c r="W508" s="6" t="str">
        <f t="shared" si="6"/>
        <v/>
      </c>
    </row>
    <row r="509">
      <c r="A509" s="18"/>
      <c r="B509" s="18"/>
      <c r="C509" s="18"/>
      <c r="D509" s="18"/>
      <c r="E509" s="18"/>
      <c r="F509" s="18"/>
      <c r="G509" s="22"/>
      <c r="H509" s="18"/>
      <c r="I509" s="18">
        <v>0.0</v>
      </c>
      <c r="J509" s="18">
        <v>0.0</v>
      </c>
      <c r="K509" s="18"/>
      <c r="L509" s="18"/>
      <c r="M509" s="22" t="str">
        <f t="shared" si="1"/>
        <v/>
      </c>
      <c r="N509" s="18" t="str">
        <f>IF(A509="",,IF(ROW()=2, Input!$C$2 + I509, P508 + I509))</f>
        <v/>
      </c>
      <c r="O509" s="23" t="str">
        <f>IF(A509="",,
 IF(K509="Initial principal",
   Input!$C$2 * M509,
   N509 * M509
 )
)</f>
        <v/>
      </c>
      <c r="P509" s="18" t="str">
        <f t="shared" si="2"/>
        <v/>
      </c>
      <c r="Q509" s="18" t="str">
        <f t="shared" si="3"/>
        <v/>
      </c>
      <c r="R509" s="18" t="str">
        <f t="array" ref="R509">IF(
  B509="",
  ,
  SWITCH(
    Input!$C$4,
    "Actual/365 Fixed",
      YEARFRAC(
        B509 + IF(INDEX(Input!$K$7:$K1503,ROW()-1),0,1),
        C509 + IF(INDEX(Input!$L$7:$L1503,ROW()-1),1,0),
        3
      ),
    "Anniversary/365",
      DATEDIF(
        B509 + IF(INDEX(Input!$K$7:$K1503,ROW()-1),0,1),
        C509 + IF(INDEX(Input!$L$7:$L1503,ROW()-1),1,0),
        "Y"
      )
      +
      (
        (C509 + IF(INDEX(Input!$L$7:$L1503,ROW()-1),1,0))
        -
        EDATE(
          B509 + IF(INDEX(Input!$K$7:$K1503,ROW()-1),0,1),
          12*DATEDIF(
            B509 + IF(INDEX(Input!$K$7:$K1503,ROW()-1),0,1),
            C509 + IF(INDEX(Input!$L$7:$L1503,ROW()-1),1,0),
            "Y"
          )
        )
      ) / 365,
    "Actual/Actual",
      YEARFRAC(
        B509 + IF(INDEX(Input!$K$7:$K1503,ROW()-1),0,1),
        C509 + IF(INDEX(Input!$L$7:$L1503,ROW()-1),1,0),
        1
      ),
      YEARFRAC(
        B509 + IF(INDEX(Input!$K$7:$K1503,ROW()-1),0,1),
        C509 + IF(INDEX(Input!$L$7:$L1503,ROW()-1),1,0),
        3
      )
  )
)</f>
        <v/>
      </c>
      <c r="S509" s="22" t="str">
        <f t="shared" si="4"/>
        <v/>
      </c>
      <c r="T509" s="6" t="str">
        <f t="array" ref="T509">IF(
  B509="",
  ,
  DATEDIF(
    B509 + IF(INDEX(Input!$K$7:$K1503,ROW()-1),0,1),
    C509 + IF(INDEX(Input!$L$7:$L1503,ROW()-1),1,0),
    "Y"
  )
)</f>
        <v/>
      </c>
      <c r="U509" s="6" t="str">
        <f t="array" ref="U509">IF(
  B509="",
  ,
  (C509 + IF(INDEX(Input!$L$7:$L1503,ROW()-1),1,0))
  - EDATE(
      B509 + IF(INDEX(Input!$K$7:$K1503,ROW()-1),0,1),
      12*S509
    )
)</f>
        <v/>
      </c>
      <c r="V509" s="6" t="str">
        <f t="shared" si="5"/>
        <v/>
      </c>
      <c r="W509" s="6" t="str">
        <f t="shared" si="6"/>
        <v/>
      </c>
    </row>
    <row r="510">
      <c r="A510" s="18"/>
      <c r="B510" s="18"/>
      <c r="C510" s="18"/>
      <c r="D510" s="18"/>
      <c r="E510" s="18"/>
      <c r="F510" s="18"/>
      <c r="G510" s="22"/>
      <c r="H510" s="18"/>
      <c r="I510" s="18">
        <v>0.0</v>
      </c>
      <c r="J510" s="18">
        <v>0.0</v>
      </c>
      <c r="K510" s="18"/>
      <c r="L510" s="18"/>
      <c r="M510" s="22" t="str">
        <f t="shared" si="1"/>
        <v/>
      </c>
      <c r="N510" s="18" t="str">
        <f>IF(A510="",,IF(ROW()=2, Input!$C$2 + I510, P509 + I510))</f>
        <v/>
      </c>
      <c r="O510" s="23" t="str">
        <f>IF(A510="",,
 IF(K510="Initial principal",
   Input!$C$2 * M510,
   N510 * M510
 )
)</f>
        <v/>
      </c>
      <c r="P510" s="18" t="str">
        <f t="shared" si="2"/>
        <v/>
      </c>
      <c r="Q510" s="18" t="str">
        <f t="shared" si="3"/>
        <v/>
      </c>
      <c r="R510" s="18" t="str">
        <f t="array" ref="R510">IF(
  B510="",
  ,
  SWITCH(
    Input!$C$4,
    "Actual/365 Fixed",
      YEARFRAC(
        B510 + IF(INDEX(Input!$K$7:$K1503,ROW()-1),0,1),
        C510 + IF(INDEX(Input!$L$7:$L1503,ROW()-1),1,0),
        3
      ),
    "Anniversary/365",
      DATEDIF(
        B510 + IF(INDEX(Input!$K$7:$K1503,ROW()-1),0,1),
        C510 + IF(INDEX(Input!$L$7:$L1503,ROW()-1),1,0),
        "Y"
      )
      +
      (
        (C510 + IF(INDEX(Input!$L$7:$L1503,ROW()-1),1,0))
        -
        EDATE(
          B510 + IF(INDEX(Input!$K$7:$K1503,ROW()-1),0,1),
          12*DATEDIF(
            B510 + IF(INDEX(Input!$K$7:$K1503,ROW()-1),0,1),
            C510 + IF(INDEX(Input!$L$7:$L1503,ROW()-1),1,0),
            "Y"
          )
        )
      ) / 365,
    "Actual/Actual",
      YEARFRAC(
        B510 + IF(INDEX(Input!$K$7:$K1503,ROW()-1),0,1),
        C510 + IF(INDEX(Input!$L$7:$L1503,ROW()-1),1,0),
        1
      ),
      YEARFRAC(
        B510 + IF(INDEX(Input!$K$7:$K1503,ROW()-1),0,1),
        C510 + IF(INDEX(Input!$L$7:$L1503,ROW()-1),1,0),
        3
      )
  )
)</f>
        <v/>
      </c>
      <c r="S510" s="22" t="str">
        <f t="shared" si="4"/>
        <v/>
      </c>
      <c r="T510" s="6" t="str">
        <f t="array" ref="T510">IF(
  B510="",
  ,
  DATEDIF(
    B510 + IF(INDEX(Input!$K$7:$K1503,ROW()-1),0,1),
    C510 + IF(INDEX(Input!$L$7:$L1503,ROW()-1),1,0),
    "Y"
  )
)</f>
        <v/>
      </c>
      <c r="U510" s="6" t="str">
        <f t="array" ref="U510">IF(
  B510="",
  ,
  (C510 + IF(INDEX(Input!$L$7:$L1503,ROW()-1),1,0))
  - EDATE(
      B510 + IF(INDEX(Input!$K$7:$K1503,ROW()-1),0,1),
      12*S510
    )
)</f>
        <v/>
      </c>
      <c r="V510" s="6" t="str">
        <f t="shared" si="5"/>
        <v/>
      </c>
      <c r="W510" s="6" t="str">
        <f t="shared" si="6"/>
        <v/>
      </c>
    </row>
    <row r="511">
      <c r="A511" s="18"/>
      <c r="B511" s="18"/>
      <c r="C511" s="18"/>
      <c r="D511" s="18"/>
      <c r="E511" s="18"/>
      <c r="F511" s="18"/>
      <c r="G511" s="22"/>
      <c r="H511" s="18"/>
      <c r="I511" s="18">
        <v>0.0</v>
      </c>
      <c r="J511" s="18">
        <v>0.0</v>
      </c>
      <c r="K511" s="18"/>
      <c r="L511" s="18"/>
      <c r="M511" s="22" t="str">
        <f t="shared" si="1"/>
        <v/>
      </c>
      <c r="N511" s="18" t="str">
        <f>IF(A511="",,IF(ROW()=2, Input!$C$2 + I511, P510 + I511))</f>
        <v/>
      </c>
      <c r="O511" s="23" t="str">
        <f>IF(A511="",,
 IF(K511="Initial principal",
   Input!$C$2 * M511,
   N511 * M511
 )
)</f>
        <v/>
      </c>
      <c r="P511" s="18" t="str">
        <f t="shared" si="2"/>
        <v/>
      </c>
      <c r="Q511" s="18" t="str">
        <f t="shared" si="3"/>
        <v/>
      </c>
      <c r="R511" s="18" t="str">
        <f t="array" ref="R511">IF(
  B511="",
  ,
  SWITCH(
    Input!$C$4,
    "Actual/365 Fixed",
      YEARFRAC(
        B511 + IF(INDEX(Input!$K$7:$K1503,ROW()-1),0,1),
        C511 + IF(INDEX(Input!$L$7:$L1503,ROW()-1),1,0),
        3
      ),
    "Anniversary/365",
      DATEDIF(
        B511 + IF(INDEX(Input!$K$7:$K1503,ROW()-1),0,1),
        C511 + IF(INDEX(Input!$L$7:$L1503,ROW()-1),1,0),
        "Y"
      )
      +
      (
        (C511 + IF(INDEX(Input!$L$7:$L1503,ROW()-1),1,0))
        -
        EDATE(
          B511 + IF(INDEX(Input!$K$7:$K1503,ROW()-1),0,1),
          12*DATEDIF(
            B511 + IF(INDEX(Input!$K$7:$K1503,ROW()-1),0,1),
            C511 + IF(INDEX(Input!$L$7:$L1503,ROW()-1),1,0),
            "Y"
          )
        )
      ) / 365,
    "Actual/Actual",
      YEARFRAC(
        B511 + IF(INDEX(Input!$K$7:$K1503,ROW()-1),0,1),
        C511 + IF(INDEX(Input!$L$7:$L1503,ROW()-1),1,0),
        1
      ),
      YEARFRAC(
        B511 + IF(INDEX(Input!$K$7:$K1503,ROW()-1),0,1),
        C511 + IF(INDEX(Input!$L$7:$L1503,ROW()-1),1,0),
        3
      )
  )
)</f>
        <v/>
      </c>
      <c r="S511" s="22" t="str">
        <f t="shared" si="4"/>
        <v/>
      </c>
      <c r="T511" s="6" t="str">
        <f t="array" ref="T511">IF(
  B511="",
  ,
  DATEDIF(
    B511 + IF(INDEX(Input!$K$7:$K1503,ROW()-1),0,1),
    C511 + IF(INDEX(Input!$L$7:$L1503,ROW()-1),1,0),
    "Y"
  )
)</f>
        <v/>
      </c>
      <c r="U511" s="6" t="str">
        <f t="array" ref="U511">IF(
  B511="",
  ,
  (C511 + IF(INDEX(Input!$L$7:$L1503,ROW()-1),1,0))
  - EDATE(
      B511 + IF(INDEX(Input!$K$7:$K1503,ROW()-1),0,1),
      12*S511
    )
)</f>
        <v/>
      </c>
      <c r="V511" s="6" t="str">
        <f t="shared" si="5"/>
        <v/>
      </c>
      <c r="W511" s="6" t="str">
        <f t="shared" si="6"/>
        <v/>
      </c>
    </row>
    <row r="512">
      <c r="A512" s="18"/>
      <c r="B512" s="18"/>
      <c r="C512" s="18"/>
      <c r="D512" s="18"/>
      <c r="E512" s="18"/>
      <c r="F512" s="18"/>
      <c r="G512" s="22"/>
      <c r="H512" s="18"/>
      <c r="I512" s="18">
        <v>0.0</v>
      </c>
      <c r="J512" s="18">
        <v>0.0</v>
      </c>
      <c r="K512" s="18"/>
      <c r="L512" s="18"/>
      <c r="M512" s="22" t="str">
        <f t="shared" si="1"/>
        <v/>
      </c>
      <c r="N512" s="18" t="str">
        <f>IF(A512="",,IF(ROW()=2, Input!$C$2 + I512, P511 + I512))</f>
        <v/>
      </c>
      <c r="O512" s="23" t="str">
        <f>IF(A512="",,
 IF(K512="Initial principal",
   Input!$C$2 * M512,
   N512 * M512
 )
)</f>
        <v/>
      </c>
      <c r="P512" s="18" t="str">
        <f t="shared" si="2"/>
        <v/>
      </c>
      <c r="Q512" s="18" t="str">
        <f t="shared" si="3"/>
        <v/>
      </c>
      <c r="R512" s="18" t="str">
        <f t="array" ref="R512">IF(
  B512="",
  ,
  SWITCH(
    Input!$C$4,
    "Actual/365 Fixed",
      YEARFRAC(
        B512 + IF(INDEX(Input!$K$7:$K1503,ROW()-1),0,1),
        C512 + IF(INDEX(Input!$L$7:$L1503,ROW()-1),1,0),
        3
      ),
    "Anniversary/365",
      DATEDIF(
        B512 + IF(INDEX(Input!$K$7:$K1503,ROW()-1),0,1),
        C512 + IF(INDEX(Input!$L$7:$L1503,ROW()-1),1,0),
        "Y"
      )
      +
      (
        (C512 + IF(INDEX(Input!$L$7:$L1503,ROW()-1),1,0))
        -
        EDATE(
          B512 + IF(INDEX(Input!$K$7:$K1503,ROW()-1),0,1),
          12*DATEDIF(
            B512 + IF(INDEX(Input!$K$7:$K1503,ROW()-1),0,1),
            C512 + IF(INDEX(Input!$L$7:$L1503,ROW()-1),1,0),
            "Y"
          )
        )
      ) / 365,
    "Actual/Actual",
      YEARFRAC(
        B512 + IF(INDEX(Input!$K$7:$K1503,ROW()-1),0,1),
        C512 + IF(INDEX(Input!$L$7:$L1503,ROW()-1),1,0),
        1
      ),
      YEARFRAC(
        B512 + IF(INDEX(Input!$K$7:$K1503,ROW()-1),0,1),
        C512 + IF(INDEX(Input!$L$7:$L1503,ROW()-1),1,0),
        3
      )
  )
)</f>
        <v/>
      </c>
      <c r="S512" s="22" t="str">
        <f t="shared" si="4"/>
        <v/>
      </c>
      <c r="T512" s="6" t="str">
        <f t="array" ref="T512">IF(
  B512="",
  ,
  DATEDIF(
    B512 + IF(INDEX(Input!$K$7:$K1503,ROW()-1),0,1),
    C512 + IF(INDEX(Input!$L$7:$L1503,ROW()-1),1,0),
    "Y"
  )
)</f>
        <v/>
      </c>
      <c r="U512" s="6" t="str">
        <f t="array" ref="U512">IF(
  B512="",
  ,
  (C512 + IF(INDEX(Input!$L$7:$L1503,ROW()-1),1,0))
  - EDATE(
      B512 + IF(INDEX(Input!$K$7:$K1503,ROW()-1),0,1),
      12*S512
    )
)</f>
        <v/>
      </c>
      <c r="V512" s="6" t="str">
        <f t="shared" si="5"/>
        <v/>
      </c>
      <c r="W512" s="6" t="str">
        <f t="shared" si="6"/>
        <v/>
      </c>
    </row>
    <row r="513">
      <c r="A513" s="18"/>
      <c r="B513" s="18"/>
      <c r="C513" s="18"/>
      <c r="D513" s="18"/>
      <c r="E513" s="18"/>
      <c r="F513" s="18"/>
      <c r="G513" s="22"/>
      <c r="H513" s="18"/>
      <c r="I513" s="18">
        <v>0.0</v>
      </c>
      <c r="J513" s="18">
        <v>0.0</v>
      </c>
      <c r="K513" s="18"/>
      <c r="L513" s="18"/>
      <c r="M513" s="22" t="str">
        <f t="shared" si="1"/>
        <v/>
      </c>
      <c r="N513" s="18" t="str">
        <f>IF(A513="",,IF(ROW()=2, Input!$C$2 + I513, P512 + I513))</f>
        <v/>
      </c>
      <c r="O513" s="23" t="str">
        <f>IF(A513="",,
 IF(K513="Initial principal",
   Input!$C$2 * M513,
   N513 * M513
 )
)</f>
        <v/>
      </c>
      <c r="P513" s="18" t="str">
        <f t="shared" si="2"/>
        <v/>
      </c>
      <c r="Q513" s="18" t="str">
        <f t="shared" si="3"/>
        <v/>
      </c>
      <c r="R513" s="18" t="str">
        <f t="array" ref="R513">IF(
  B513="",
  ,
  SWITCH(
    Input!$C$4,
    "Actual/365 Fixed",
      YEARFRAC(
        B513 + IF(INDEX(Input!$K$7:$K1503,ROW()-1),0,1),
        C513 + IF(INDEX(Input!$L$7:$L1503,ROW()-1),1,0),
        3
      ),
    "Anniversary/365",
      DATEDIF(
        B513 + IF(INDEX(Input!$K$7:$K1503,ROW()-1),0,1),
        C513 + IF(INDEX(Input!$L$7:$L1503,ROW()-1),1,0),
        "Y"
      )
      +
      (
        (C513 + IF(INDEX(Input!$L$7:$L1503,ROW()-1),1,0))
        -
        EDATE(
          B513 + IF(INDEX(Input!$K$7:$K1503,ROW()-1),0,1),
          12*DATEDIF(
            B513 + IF(INDEX(Input!$K$7:$K1503,ROW()-1),0,1),
            C513 + IF(INDEX(Input!$L$7:$L1503,ROW()-1),1,0),
            "Y"
          )
        )
      ) / 365,
    "Actual/Actual",
      YEARFRAC(
        B513 + IF(INDEX(Input!$K$7:$K1503,ROW()-1),0,1),
        C513 + IF(INDEX(Input!$L$7:$L1503,ROW()-1),1,0),
        1
      ),
      YEARFRAC(
        B513 + IF(INDEX(Input!$K$7:$K1503,ROW()-1),0,1),
        C513 + IF(INDEX(Input!$L$7:$L1503,ROW()-1),1,0),
        3
      )
  )
)</f>
        <v/>
      </c>
      <c r="S513" s="22" t="str">
        <f t="shared" si="4"/>
        <v/>
      </c>
      <c r="T513" s="6" t="str">
        <f t="array" ref="T513">IF(
  B513="",
  ,
  DATEDIF(
    B513 + IF(INDEX(Input!$K$7:$K1503,ROW()-1),0,1),
    C513 + IF(INDEX(Input!$L$7:$L1503,ROW()-1),1,0),
    "Y"
  )
)</f>
        <v/>
      </c>
      <c r="U513" s="6" t="str">
        <f t="array" ref="U513">IF(
  B513="",
  ,
  (C513 + IF(INDEX(Input!$L$7:$L1503,ROW()-1),1,0))
  - EDATE(
      B513 + IF(INDEX(Input!$K$7:$K1503,ROW()-1),0,1),
      12*S513
    )
)</f>
        <v/>
      </c>
      <c r="V513" s="6" t="str">
        <f t="shared" si="5"/>
        <v/>
      </c>
      <c r="W513" s="6" t="str">
        <f t="shared" si="6"/>
        <v/>
      </c>
    </row>
    <row r="514">
      <c r="A514" s="18"/>
      <c r="B514" s="18"/>
      <c r="C514" s="18"/>
      <c r="D514" s="18"/>
      <c r="E514" s="18"/>
      <c r="F514" s="18"/>
      <c r="G514" s="22"/>
      <c r="H514" s="18"/>
      <c r="I514" s="18">
        <v>0.0</v>
      </c>
      <c r="J514" s="18">
        <v>0.0</v>
      </c>
      <c r="K514" s="18"/>
      <c r="L514" s="18"/>
      <c r="M514" s="22" t="str">
        <f t="shared" si="1"/>
        <v/>
      </c>
      <c r="N514" s="18" t="str">
        <f>IF(A514="",,IF(ROW()=2, Input!$C$2 + I514, P513 + I514))</f>
        <v/>
      </c>
      <c r="O514" s="23" t="str">
        <f>IF(A514="",,
 IF(K514="Initial principal",
   Input!$C$2 * M514,
   N514 * M514
 )
)</f>
        <v/>
      </c>
      <c r="P514" s="18" t="str">
        <f t="shared" si="2"/>
        <v/>
      </c>
      <c r="Q514" s="18" t="str">
        <f t="shared" si="3"/>
        <v/>
      </c>
      <c r="R514" s="18" t="str">
        <f t="array" ref="R514">IF(
  B514="",
  ,
  SWITCH(
    Input!$C$4,
    "Actual/365 Fixed",
      YEARFRAC(
        B514 + IF(INDEX(Input!$K$7:$K1503,ROW()-1),0,1),
        C514 + IF(INDEX(Input!$L$7:$L1503,ROW()-1),1,0),
        3
      ),
    "Anniversary/365",
      DATEDIF(
        B514 + IF(INDEX(Input!$K$7:$K1503,ROW()-1),0,1),
        C514 + IF(INDEX(Input!$L$7:$L1503,ROW()-1),1,0),
        "Y"
      )
      +
      (
        (C514 + IF(INDEX(Input!$L$7:$L1503,ROW()-1),1,0))
        -
        EDATE(
          B514 + IF(INDEX(Input!$K$7:$K1503,ROW()-1),0,1),
          12*DATEDIF(
            B514 + IF(INDEX(Input!$K$7:$K1503,ROW()-1),0,1),
            C514 + IF(INDEX(Input!$L$7:$L1503,ROW()-1),1,0),
            "Y"
          )
        )
      ) / 365,
    "Actual/Actual",
      YEARFRAC(
        B514 + IF(INDEX(Input!$K$7:$K1503,ROW()-1),0,1),
        C514 + IF(INDEX(Input!$L$7:$L1503,ROW()-1),1,0),
        1
      ),
      YEARFRAC(
        B514 + IF(INDEX(Input!$K$7:$K1503,ROW()-1),0,1),
        C514 + IF(INDEX(Input!$L$7:$L1503,ROW()-1),1,0),
        3
      )
  )
)</f>
        <v/>
      </c>
      <c r="S514" s="22" t="str">
        <f t="shared" si="4"/>
        <v/>
      </c>
      <c r="T514" s="6" t="str">
        <f t="array" ref="T514">IF(
  B514="",
  ,
  DATEDIF(
    B514 + IF(INDEX(Input!$K$7:$K1503,ROW()-1),0,1),
    C514 + IF(INDEX(Input!$L$7:$L1503,ROW()-1),1,0),
    "Y"
  )
)</f>
        <v/>
      </c>
      <c r="U514" s="6" t="str">
        <f t="array" ref="U514">IF(
  B514="",
  ,
  (C514 + IF(INDEX(Input!$L$7:$L1503,ROW()-1),1,0))
  - EDATE(
      B514 + IF(INDEX(Input!$K$7:$K1503,ROW()-1),0,1),
      12*S514
    )
)</f>
        <v/>
      </c>
      <c r="V514" s="6" t="str">
        <f t="shared" si="5"/>
        <v/>
      </c>
      <c r="W514" s="6" t="str">
        <f t="shared" si="6"/>
        <v/>
      </c>
    </row>
    <row r="515">
      <c r="A515" s="18"/>
      <c r="B515" s="18"/>
      <c r="C515" s="18"/>
      <c r="D515" s="18"/>
      <c r="E515" s="18"/>
      <c r="F515" s="18"/>
      <c r="G515" s="22"/>
      <c r="H515" s="18"/>
      <c r="I515" s="18">
        <v>0.0</v>
      </c>
      <c r="J515" s="18">
        <v>0.0</v>
      </c>
      <c r="K515" s="18"/>
      <c r="L515" s="18"/>
      <c r="M515" s="22" t="str">
        <f t="shared" si="1"/>
        <v/>
      </c>
      <c r="N515" s="18" t="str">
        <f>IF(A515="",,IF(ROW()=2, Input!$C$2 + I515, P514 + I515))</f>
        <v/>
      </c>
      <c r="O515" s="23" t="str">
        <f>IF(A515="",,
 IF(K515="Initial principal",
   Input!$C$2 * M515,
   N515 * M515
 )
)</f>
        <v/>
      </c>
      <c r="P515" s="18" t="str">
        <f t="shared" si="2"/>
        <v/>
      </c>
      <c r="Q515" s="18" t="str">
        <f t="shared" si="3"/>
        <v/>
      </c>
      <c r="R515" s="18" t="str">
        <f t="array" ref="R515">IF(
  B515="",
  ,
  SWITCH(
    Input!$C$4,
    "Actual/365 Fixed",
      YEARFRAC(
        B515 + IF(INDEX(Input!$K$7:$K1503,ROW()-1),0,1),
        C515 + IF(INDEX(Input!$L$7:$L1503,ROW()-1),1,0),
        3
      ),
    "Anniversary/365",
      DATEDIF(
        B515 + IF(INDEX(Input!$K$7:$K1503,ROW()-1),0,1),
        C515 + IF(INDEX(Input!$L$7:$L1503,ROW()-1),1,0),
        "Y"
      )
      +
      (
        (C515 + IF(INDEX(Input!$L$7:$L1503,ROW()-1),1,0))
        -
        EDATE(
          B515 + IF(INDEX(Input!$K$7:$K1503,ROW()-1),0,1),
          12*DATEDIF(
            B515 + IF(INDEX(Input!$K$7:$K1503,ROW()-1),0,1),
            C515 + IF(INDEX(Input!$L$7:$L1503,ROW()-1),1,0),
            "Y"
          )
        )
      ) / 365,
    "Actual/Actual",
      YEARFRAC(
        B515 + IF(INDEX(Input!$K$7:$K1503,ROW()-1),0,1),
        C515 + IF(INDEX(Input!$L$7:$L1503,ROW()-1),1,0),
        1
      ),
      YEARFRAC(
        B515 + IF(INDEX(Input!$K$7:$K1503,ROW()-1),0,1),
        C515 + IF(INDEX(Input!$L$7:$L1503,ROW()-1),1,0),
        3
      )
  )
)</f>
        <v/>
      </c>
      <c r="S515" s="22" t="str">
        <f t="shared" si="4"/>
        <v/>
      </c>
      <c r="T515" s="6" t="str">
        <f t="array" ref="T515">IF(
  B515="",
  ,
  DATEDIF(
    B515 + IF(INDEX(Input!$K$7:$K1503,ROW()-1),0,1),
    C515 + IF(INDEX(Input!$L$7:$L1503,ROW()-1),1,0),
    "Y"
  )
)</f>
        <v/>
      </c>
      <c r="U515" s="6" t="str">
        <f t="array" ref="U515">IF(
  B515="",
  ,
  (C515 + IF(INDEX(Input!$L$7:$L1503,ROW()-1),1,0))
  - EDATE(
      B515 + IF(INDEX(Input!$K$7:$K1503,ROW()-1),0,1),
      12*S515
    )
)</f>
        <v/>
      </c>
      <c r="V515" s="6" t="str">
        <f t="shared" si="5"/>
        <v/>
      </c>
      <c r="W515" s="6" t="str">
        <f t="shared" si="6"/>
        <v/>
      </c>
    </row>
    <row r="516">
      <c r="A516" s="18"/>
      <c r="B516" s="18"/>
      <c r="C516" s="18"/>
      <c r="D516" s="18"/>
      <c r="E516" s="18"/>
      <c r="F516" s="18"/>
      <c r="G516" s="22"/>
      <c r="H516" s="18"/>
      <c r="I516" s="18">
        <v>0.0</v>
      </c>
      <c r="J516" s="18">
        <v>0.0</v>
      </c>
      <c r="K516" s="18"/>
      <c r="L516" s="18"/>
      <c r="M516" s="22" t="str">
        <f t="shared" si="1"/>
        <v/>
      </c>
      <c r="N516" s="18" t="str">
        <f>IF(A516="",,IF(ROW()=2, Input!$C$2 + I516, P515 + I516))</f>
        <v/>
      </c>
      <c r="O516" s="23" t="str">
        <f>IF(A516="",,
 IF(K516="Initial principal",
   Input!$C$2 * M516,
   N516 * M516
 )
)</f>
        <v/>
      </c>
      <c r="P516" s="18" t="str">
        <f t="shared" si="2"/>
        <v/>
      </c>
      <c r="Q516" s="18" t="str">
        <f t="shared" si="3"/>
        <v/>
      </c>
      <c r="R516" s="18" t="str">
        <f t="array" ref="R516">IF(
  B516="",
  ,
  SWITCH(
    Input!$C$4,
    "Actual/365 Fixed",
      YEARFRAC(
        B516 + IF(INDEX(Input!$K$7:$K1503,ROW()-1),0,1),
        C516 + IF(INDEX(Input!$L$7:$L1503,ROW()-1),1,0),
        3
      ),
    "Anniversary/365",
      DATEDIF(
        B516 + IF(INDEX(Input!$K$7:$K1503,ROW()-1),0,1),
        C516 + IF(INDEX(Input!$L$7:$L1503,ROW()-1),1,0),
        "Y"
      )
      +
      (
        (C516 + IF(INDEX(Input!$L$7:$L1503,ROW()-1),1,0))
        -
        EDATE(
          B516 + IF(INDEX(Input!$K$7:$K1503,ROW()-1),0,1),
          12*DATEDIF(
            B516 + IF(INDEX(Input!$K$7:$K1503,ROW()-1),0,1),
            C516 + IF(INDEX(Input!$L$7:$L1503,ROW()-1),1,0),
            "Y"
          )
        )
      ) / 365,
    "Actual/Actual",
      YEARFRAC(
        B516 + IF(INDEX(Input!$K$7:$K1503,ROW()-1),0,1),
        C516 + IF(INDEX(Input!$L$7:$L1503,ROW()-1),1,0),
        1
      ),
      YEARFRAC(
        B516 + IF(INDEX(Input!$K$7:$K1503,ROW()-1),0,1),
        C516 + IF(INDEX(Input!$L$7:$L1503,ROW()-1),1,0),
        3
      )
  )
)</f>
        <v/>
      </c>
      <c r="S516" s="22" t="str">
        <f t="shared" si="4"/>
        <v/>
      </c>
      <c r="T516" s="6" t="str">
        <f t="array" ref="T516">IF(
  B516="",
  ,
  DATEDIF(
    B516 + IF(INDEX(Input!$K$7:$K1503,ROW()-1),0,1),
    C516 + IF(INDEX(Input!$L$7:$L1503,ROW()-1),1,0),
    "Y"
  )
)</f>
        <v/>
      </c>
      <c r="U516" s="6" t="str">
        <f t="array" ref="U516">IF(
  B516="",
  ,
  (C516 + IF(INDEX(Input!$L$7:$L1503,ROW()-1),1,0))
  - EDATE(
      B516 + IF(INDEX(Input!$K$7:$K1503,ROW()-1),0,1),
      12*S516
    )
)</f>
        <v/>
      </c>
      <c r="V516" s="6" t="str">
        <f t="shared" si="5"/>
        <v/>
      </c>
      <c r="W516" s="6" t="str">
        <f t="shared" si="6"/>
        <v/>
      </c>
    </row>
    <row r="517">
      <c r="A517" s="18"/>
      <c r="B517" s="18"/>
      <c r="C517" s="18"/>
      <c r="D517" s="18"/>
      <c r="E517" s="18"/>
      <c r="F517" s="18"/>
      <c r="G517" s="22"/>
      <c r="H517" s="18"/>
      <c r="I517" s="18">
        <v>0.0</v>
      </c>
      <c r="J517" s="18">
        <v>0.0</v>
      </c>
      <c r="K517" s="18"/>
      <c r="L517" s="18"/>
      <c r="M517" s="22" t="str">
        <f t="shared" si="1"/>
        <v/>
      </c>
      <c r="N517" s="18" t="str">
        <f>IF(A517="",,IF(ROW()=2, Input!$C$2 + I517, P516 + I517))</f>
        <v/>
      </c>
      <c r="O517" s="23" t="str">
        <f>IF(A517="",,
 IF(K517="Initial principal",
   Input!$C$2 * M517,
   N517 * M517
 )
)</f>
        <v/>
      </c>
      <c r="P517" s="18" t="str">
        <f t="shared" si="2"/>
        <v/>
      </c>
      <c r="Q517" s="18" t="str">
        <f t="shared" si="3"/>
        <v/>
      </c>
      <c r="R517" s="18" t="str">
        <f t="array" ref="R517">IF(
  B517="",
  ,
  SWITCH(
    Input!$C$4,
    "Actual/365 Fixed",
      YEARFRAC(
        B517 + IF(INDEX(Input!$K$7:$K1503,ROW()-1),0,1),
        C517 + IF(INDEX(Input!$L$7:$L1503,ROW()-1),1,0),
        3
      ),
    "Anniversary/365",
      DATEDIF(
        B517 + IF(INDEX(Input!$K$7:$K1503,ROW()-1),0,1),
        C517 + IF(INDEX(Input!$L$7:$L1503,ROW()-1),1,0),
        "Y"
      )
      +
      (
        (C517 + IF(INDEX(Input!$L$7:$L1503,ROW()-1),1,0))
        -
        EDATE(
          B517 + IF(INDEX(Input!$K$7:$K1503,ROW()-1),0,1),
          12*DATEDIF(
            B517 + IF(INDEX(Input!$K$7:$K1503,ROW()-1),0,1),
            C517 + IF(INDEX(Input!$L$7:$L1503,ROW()-1),1,0),
            "Y"
          )
        )
      ) / 365,
    "Actual/Actual",
      YEARFRAC(
        B517 + IF(INDEX(Input!$K$7:$K1503,ROW()-1),0,1),
        C517 + IF(INDEX(Input!$L$7:$L1503,ROW()-1),1,0),
        1
      ),
      YEARFRAC(
        B517 + IF(INDEX(Input!$K$7:$K1503,ROW()-1),0,1),
        C517 + IF(INDEX(Input!$L$7:$L1503,ROW()-1),1,0),
        3
      )
  )
)</f>
        <v/>
      </c>
      <c r="S517" s="22" t="str">
        <f t="shared" si="4"/>
        <v/>
      </c>
      <c r="T517" s="6" t="str">
        <f t="array" ref="T517">IF(
  B517="",
  ,
  DATEDIF(
    B517 + IF(INDEX(Input!$K$7:$K1503,ROW()-1),0,1),
    C517 + IF(INDEX(Input!$L$7:$L1503,ROW()-1),1,0),
    "Y"
  )
)</f>
        <v/>
      </c>
      <c r="U517" s="6" t="str">
        <f t="array" ref="U517">IF(
  B517="",
  ,
  (C517 + IF(INDEX(Input!$L$7:$L1503,ROW()-1),1,0))
  - EDATE(
      B517 + IF(INDEX(Input!$K$7:$K1503,ROW()-1),0,1),
      12*S517
    )
)</f>
        <v/>
      </c>
      <c r="V517" s="6" t="str">
        <f t="shared" si="5"/>
        <v/>
      </c>
      <c r="W517" s="6" t="str">
        <f t="shared" si="6"/>
        <v/>
      </c>
    </row>
    <row r="518">
      <c r="A518" s="18"/>
      <c r="B518" s="18"/>
      <c r="C518" s="18"/>
      <c r="D518" s="18"/>
      <c r="E518" s="18"/>
      <c r="F518" s="18"/>
      <c r="G518" s="22"/>
      <c r="H518" s="18"/>
      <c r="I518" s="18">
        <v>0.0</v>
      </c>
      <c r="J518" s="18">
        <v>0.0</v>
      </c>
      <c r="K518" s="18"/>
      <c r="L518" s="18"/>
      <c r="M518" s="22" t="str">
        <f t="shared" si="1"/>
        <v/>
      </c>
      <c r="N518" s="18" t="str">
        <f>IF(A518="",,IF(ROW()=2, Input!$C$2 + I518, P517 + I518))</f>
        <v/>
      </c>
      <c r="O518" s="23" t="str">
        <f>IF(A518="",,
 IF(K518="Initial principal",
   Input!$C$2 * M518,
   N518 * M518
 )
)</f>
        <v/>
      </c>
      <c r="P518" s="18" t="str">
        <f t="shared" si="2"/>
        <v/>
      </c>
      <c r="Q518" s="18" t="str">
        <f t="shared" si="3"/>
        <v/>
      </c>
      <c r="R518" s="18" t="str">
        <f t="array" ref="R518">IF(
  B518="",
  ,
  SWITCH(
    Input!$C$4,
    "Actual/365 Fixed",
      YEARFRAC(
        B518 + IF(INDEX(Input!$K$7:$K1503,ROW()-1),0,1),
        C518 + IF(INDEX(Input!$L$7:$L1503,ROW()-1),1,0),
        3
      ),
    "Anniversary/365",
      DATEDIF(
        B518 + IF(INDEX(Input!$K$7:$K1503,ROW()-1),0,1),
        C518 + IF(INDEX(Input!$L$7:$L1503,ROW()-1),1,0),
        "Y"
      )
      +
      (
        (C518 + IF(INDEX(Input!$L$7:$L1503,ROW()-1),1,0))
        -
        EDATE(
          B518 + IF(INDEX(Input!$K$7:$K1503,ROW()-1),0,1),
          12*DATEDIF(
            B518 + IF(INDEX(Input!$K$7:$K1503,ROW()-1),0,1),
            C518 + IF(INDEX(Input!$L$7:$L1503,ROW()-1),1,0),
            "Y"
          )
        )
      ) / 365,
    "Actual/Actual",
      YEARFRAC(
        B518 + IF(INDEX(Input!$K$7:$K1503,ROW()-1),0,1),
        C518 + IF(INDEX(Input!$L$7:$L1503,ROW()-1),1,0),
        1
      ),
      YEARFRAC(
        B518 + IF(INDEX(Input!$K$7:$K1503,ROW()-1),0,1),
        C518 + IF(INDEX(Input!$L$7:$L1503,ROW()-1),1,0),
        3
      )
  )
)</f>
        <v/>
      </c>
      <c r="S518" s="22" t="str">
        <f t="shared" si="4"/>
        <v/>
      </c>
      <c r="T518" s="6" t="str">
        <f t="array" ref="T518">IF(
  B518="",
  ,
  DATEDIF(
    B518 + IF(INDEX(Input!$K$7:$K1503,ROW()-1),0,1),
    C518 + IF(INDEX(Input!$L$7:$L1503,ROW()-1),1,0),
    "Y"
  )
)</f>
        <v/>
      </c>
      <c r="U518" s="6" t="str">
        <f t="array" ref="U518">IF(
  B518="",
  ,
  (C518 + IF(INDEX(Input!$L$7:$L1503,ROW()-1),1,0))
  - EDATE(
      B518 + IF(INDEX(Input!$K$7:$K1503,ROW()-1),0,1),
      12*S518
    )
)</f>
        <v/>
      </c>
      <c r="V518" s="6" t="str">
        <f t="shared" si="5"/>
        <v/>
      </c>
      <c r="W518" s="6" t="str">
        <f t="shared" si="6"/>
        <v/>
      </c>
    </row>
    <row r="519">
      <c r="A519" s="18"/>
      <c r="B519" s="18"/>
      <c r="C519" s="18"/>
      <c r="D519" s="18"/>
      <c r="E519" s="18"/>
      <c r="F519" s="18"/>
      <c r="G519" s="22"/>
      <c r="H519" s="18"/>
      <c r="I519" s="18">
        <v>0.0</v>
      </c>
      <c r="J519" s="18">
        <v>0.0</v>
      </c>
      <c r="K519" s="18"/>
      <c r="L519" s="18"/>
      <c r="M519" s="22" t="str">
        <f t="shared" si="1"/>
        <v/>
      </c>
      <c r="N519" s="18" t="str">
        <f>IF(A519="",,IF(ROW()=2, Input!$C$2 + I519, P518 + I519))</f>
        <v/>
      </c>
      <c r="O519" s="23" t="str">
        <f>IF(A519="",,
 IF(K519="Initial principal",
   Input!$C$2 * M519,
   N519 * M519
 )
)</f>
        <v/>
      </c>
      <c r="P519" s="18" t="str">
        <f t="shared" si="2"/>
        <v/>
      </c>
      <c r="Q519" s="18" t="str">
        <f t="shared" si="3"/>
        <v/>
      </c>
      <c r="R519" s="18" t="str">
        <f t="array" ref="R519">IF(
  B519="",
  ,
  SWITCH(
    Input!$C$4,
    "Actual/365 Fixed",
      YEARFRAC(
        B519 + IF(INDEX(Input!$K$7:$K1503,ROW()-1),0,1),
        C519 + IF(INDEX(Input!$L$7:$L1503,ROW()-1),1,0),
        3
      ),
    "Anniversary/365",
      DATEDIF(
        B519 + IF(INDEX(Input!$K$7:$K1503,ROW()-1),0,1),
        C519 + IF(INDEX(Input!$L$7:$L1503,ROW()-1),1,0),
        "Y"
      )
      +
      (
        (C519 + IF(INDEX(Input!$L$7:$L1503,ROW()-1),1,0))
        -
        EDATE(
          B519 + IF(INDEX(Input!$K$7:$K1503,ROW()-1),0,1),
          12*DATEDIF(
            B519 + IF(INDEX(Input!$K$7:$K1503,ROW()-1),0,1),
            C519 + IF(INDEX(Input!$L$7:$L1503,ROW()-1),1,0),
            "Y"
          )
        )
      ) / 365,
    "Actual/Actual",
      YEARFRAC(
        B519 + IF(INDEX(Input!$K$7:$K1503,ROW()-1),0,1),
        C519 + IF(INDEX(Input!$L$7:$L1503,ROW()-1),1,0),
        1
      ),
      YEARFRAC(
        B519 + IF(INDEX(Input!$K$7:$K1503,ROW()-1),0,1),
        C519 + IF(INDEX(Input!$L$7:$L1503,ROW()-1),1,0),
        3
      )
  )
)</f>
        <v/>
      </c>
      <c r="S519" s="22" t="str">
        <f t="shared" si="4"/>
        <v/>
      </c>
      <c r="T519" s="6" t="str">
        <f t="array" ref="T519">IF(
  B519="",
  ,
  DATEDIF(
    B519 + IF(INDEX(Input!$K$7:$K1503,ROW()-1),0,1),
    C519 + IF(INDEX(Input!$L$7:$L1503,ROW()-1),1,0),
    "Y"
  )
)</f>
        <v/>
      </c>
      <c r="U519" s="6" t="str">
        <f t="array" ref="U519">IF(
  B519="",
  ,
  (C519 + IF(INDEX(Input!$L$7:$L1503,ROW()-1),1,0))
  - EDATE(
      B519 + IF(INDEX(Input!$K$7:$K1503,ROW()-1),0,1),
      12*S519
    )
)</f>
        <v/>
      </c>
      <c r="V519" s="6" t="str">
        <f t="shared" si="5"/>
        <v/>
      </c>
      <c r="W519" s="6" t="str">
        <f t="shared" si="6"/>
        <v/>
      </c>
    </row>
    <row r="520">
      <c r="A520" s="18"/>
      <c r="B520" s="18"/>
      <c r="C520" s="18"/>
      <c r="D520" s="18"/>
      <c r="E520" s="18"/>
      <c r="F520" s="18"/>
      <c r="G520" s="22"/>
      <c r="H520" s="18"/>
      <c r="I520" s="18">
        <v>0.0</v>
      </c>
      <c r="J520" s="18">
        <v>0.0</v>
      </c>
      <c r="K520" s="18"/>
      <c r="L520" s="18"/>
      <c r="M520" s="22" t="str">
        <f t="shared" si="1"/>
        <v/>
      </c>
      <c r="N520" s="18" t="str">
        <f>IF(A520="",,IF(ROW()=2, Input!$C$2 + I520, P519 + I520))</f>
        <v/>
      </c>
      <c r="O520" s="23" t="str">
        <f>IF(A520="",,
 IF(K520="Initial principal",
   Input!$C$2 * M520,
   N520 * M520
 )
)</f>
        <v/>
      </c>
      <c r="P520" s="18" t="str">
        <f t="shared" si="2"/>
        <v/>
      </c>
      <c r="Q520" s="18" t="str">
        <f t="shared" si="3"/>
        <v/>
      </c>
      <c r="R520" s="18" t="str">
        <f t="array" ref="R520">IF(
  B520="",
  ,
  SWITCH(
    Input!$C$4,
    "Actual/365 Fixed",
      YEARFRAC(
        B520 + IF(INDEX(Input!$K$7:$K1503,ROW()-1),0,1),
        C520 + IF(INDEX(Input!$L$7:$L1503,ROW()-1),1,0),
        3
      ),
    "Anniversary/365",
      DATEDIF(
        B520 + IF(INDEX(Input!$K$7:$K1503,ROW()-1),0,1),
        C520 + IF(INDEX(Input!$L$7:$L1503,ROW()-1),1,0),
        "Y"
      )
      +
      (
        (C520 + IF(INDEX(Input!$L$7:$L1503,ROW()-1),1,0))
        -
        EDATE(
          B520 + IF(INDEX(Input!$K$7:$K1503,ROW()-1),0,1),
          12*DATEDIF(
            B520 + IF(INDEX(Input!$K$7:$K1503,ROW()-1),0,1),
            C520 + IF(INDEX(Input!$L$7:$L1503,ROW()-1),1,0),
            "Y"
          )
        )
      ) / 365,
    "Actual/Actual",
      YEARFRAC(
        B520 + IF(INDEX(Input!$K$7:$K1503,ROW()-1),0,1),
        C520 + IF(INDEX(Input!$L$7:$L1503,ROW()-1),1,0),
        1
      ),
      YEARFRAC(
        B520 + IF(INDEX(Input!$K$7:$K1503,ROW()-1),0,1),
        C520 + IF(INDEX(Input!$L$7:$L1503,ROW()-1),1,0),
        3
      )
  )
)</f>
        <v/>
      </c>
      <c r="S520" s="22" t="str">
        <f t="shared" si="4"/>
        <v/>
      </c>
      <c r="T520" s="6" t="str">
        <f t="array" ref="T520">IF(
  B520="",
  ,
  DATEDIF(
    B520 + IF(INDEX(Input!$K$7:$K1503,ROW()-1),0,1),
    C520 + IF(INDEX(Input!$L$7:$L1503,ROW()-1),1,0),
    "Y"
  )
)</f>
        <v/>
      </c>
      <c r="U520" s="6" t="str">
        <f t="array" ref="U520">IF(
  B520="",
  ,
  (C520 + IF(INDEX(Input!$L$7:$L1503,ROW()-1),1,0))
  - EDATE(
      B520 + IF(INDEX(Input!$K$7:$K1503,ROW()-1),0,1),
      12*S520
    )
)</f>
        <v/>
      </c>
      <c r="V520" s="6" t="str">
        <f t="shared" si="5"/>
        <v/>
      </c>
      <c r="W520" s="6" t="str">
        <f t="shared" si="6"/>
        <v/>
      </c>
    </row>
    <row r="521">
      <c r="A521" s="18"/>
      <c r="B521" s="18"/>
      <c r="C521" s="18"/>
      <c r="D521" s="18"/>
      <c r="E521" s="18"/>
      <c r="F521" s="18"/>
      <c r="G521" s="22"/>
      <c r="H521" s="18"/>
      <c r="I521" s="18">
        <v>0.0</v>
      </c>
      <c r="J521" s="18">
        <v>0.0</v>
      </c>
      <c r="K521" s="18"/>
      <c r="L521" s="18"/>
      <c r="M521" s="22" t="str">
        <f t="shared" si="1"/>
        <v/>
      </c>
      <c r="N521" s="18" t="str">
        <f>IF(A521="",,IF(ROW()=2, Input!$C$2 + I521, P520 + I521))</f>
        <v/>
      </c>
      <c r="O521" s="23" t="str">
        <f>IF(A521="",,
 IF(K521="Initial principal",
   Input!$C$2 * M521,
   N521 * M521
 )
)</f>
        <v/>
      </c>
      <c r="P521" s="18" t="str">
        <f t="shared" si="2"/>
        <v/>
      </c>
      <c r="Q521" s="18" t="str">
        <f t="shared" si="3"/>
        <v/>
      </c>
      <c r="R521" s="18" t="str">
        <f t="array" ref="R521">IF(
  B521="",
  ,
  SWITCH(
    Input!$C$4,
    "Actual/365 Fixed",
      YEARFRAC(
        B521 + IF(INDEX(Input!$K$7:$K1503,ROW()-1),0,1),
        C521 + IF(INDEX(Input!$L$7:$L1503,ROW()-1),1,0),
        3
      ),
    "Anniversary/365",
      DATEDIF(
        B521 + IF(INDEX(Input!$K$7:$K1503,ROW()-1),0,1),
        C521 + IF(INDEX(Input!$L$7:$L1503,ROW()-1),1,0),
        "Y"
      )
      +
      (
        (C521 + IF(INDEX(Input!$L$7:$L1503,ROW()-1),1,0))
        -
        EDATE(
          B521 + IF(INDEX(Input!$K$7:$K1503,ROW()-1),0,1),
          12*DATEDIF(
            B521 + IF(INDEX(Input!$K$7:$K1503,ROW()-1),0,1),
            C521 + IF(INDEX(Input!$L$7:$L1503,ROW()-1),1,0),
            "Y"
          )
        )
      ) / 365,
    "Actual/Actual",
      YEARFRAC(
        B521 + IF(INDEX(Input!$K$7:$K1503,ROW()-1),0,1),
        C521 + IF(INDEX(Input!$L$7:$L1503,ROW()-1),1,0),
        1
      ),
      YEARFRAC(
        B521 + IF(INDEX(Input!$K$7:$K1503,ROW()-1),0,1),
        C521 + IF(INDEX(Input!$L$7:$L1503,ROW()-1),1,0),
        3
      )
  )
)</f>
        <v/>
      </c>
      <c r="S521" s="22" t="str">
        <f t="shared" si="4"/>
        <v/>
      </c>
      <c r="T521" s="6" t="str">
        <f t="array" ref="T521">IF(
  B521="",
  ,
  DATEDIF(
    B521 + IF(INDEX(Input!$K$7:$K1503,ROW()-1),0,1),
    C521 + IF(INDEX(Input!$L$7:$L1503,ROW()-1),1,0),
    "Y"
  )
)</f>
        <v/>
      </c>
      <c r="U521" s="6" t="str">
        <f t="array" ref="U521">IF(
  B521="",
  ,
  (C521 + IF(INDEX(Input!$L$7:$L1503,ROW()-1),1,0))
  - EDATE(
      B521 + IF(INDEX(Input!$K$7:$K1503,ROW()-1),0,1),
      12*S521
    )
)</f>
        <v/>
      </c>
      <c r="V521" s="6" t="str">
        <f t="shared" si="5"/>
        <v/>
      </c>
      <c r="W521" s="6" t="str">
        <f t="shared" si="6"/>
        <v/>
      </c>
    </row>
    <row r="522">
      <c r="A522" s="18"/>
      <c r="B522" s="18"/>
      <c r="C522" s="18"/>
      <c r="D522" s="18"/>
      <c r="E522" s="18"/>
      <c r="F522" s="18"/>
      <c r="G522" s="22"/>
      <c r="H522" s="18"/>
      <c r="I522" s="18">
        <v>0.0</v>
      </c>
      <c r="J522" s="18">
        <v>0.0</v>
      </c>
      <c r="K522" s="18"/>
      <c r="L522" s="18"/>
      <c r="M522" s="22" t="str">
        <f t="shared" si="1"/>
        <v/>
      </c>
      <c r="N522" s="18" t="str">
        <f>IF(A522="",,IF(ROW()=2, Input!$C$2 + I522, P521 + I522))</f>
        <v/>
      </c>
      <c r="O522" s="23" t="str">
        <f>IF(A522="",,
 IF(K522="Initial principal",
   Input!$C$2 * M522,
   N522 * M522
 )
)</f>
        <v/>
      </c>
      <c r="P522" s="18" t="str">
        <f t="shared" si="2"/>
        <v/>
      </c>
      <c r="Q522" s="18" t="str">
        <f t="shared" si="3"/>
        <v/>
      </c>
      <c r="R522" s="18" t="str">
        <f t="array" ref="R522">IF(
  B522="",
  ,
  SWITCH(
    Input!$C$4,
    "Actual/365 Fixed",
      YEARFRAC(
        B522 + IF(INDEX(Input!$K$7:$K1503,ROW()-1),0,1),
        C522 + IF(INDEX(Input!$L$7:$L1503,ROW()-1),1,0),
        3
      ),
    "Anniversary/365",
      DATEDIF(
        B522 + IF(INDEX(Input!$K$7:$K1503,ROW()-1),0,1),
        C522 + IF(INDEX(Input!$L$7:$L1503,ROW()-1),1,0),
        "Y"
      )
      +
      (
        (C522 + IF(INDEX(Input!$L$7:$L1503,ROW()-1),1,0))
        -
        EDATE(
          B522 + IF(INDEX(Input!$K$7:$K1503,ROW()-1),0,1),
          12*DATEDIF(
            B522 + IF(INDEX(Input!$K$7:$K1503,ROW()-1),0,1),
            C522 + IF(INDEX(Input!$L$7:$L1503,ROW()-1),1,0),
            "Y"
          )
        )
      ) / 365,
    "Actual/Actual",
      YEARFRAC(
        B522 + IF(INDEX(Input!$K$7:$K1503,ROW()-1),0,1),
        C522 + IF(INDEX(Input!$L$7:$L1503,ROW()-1),1,0),
        1
      ),
      YEARFRAC(
        B522 + IF(INDEX(Input!$K$7:$K1503,ROW()-1),0,1),
        C522 + IF(INDEX(Input!$L$7:$L1503,ROW()-1),1,0),
        3
      )
  )
)</f>
        <v/>
      </c>
      <c r="S522" s="22" t="str">
        <f t="shared" si="4"/>
        <v/>
      </c>
      <c r="T522" s="6" t="str">
        <f t="array" ref="T522">IF(
  B522="",
  ,
  DATEDIF(
    B522 + IF(INDEX(Input!$K$7:$K1503,ROW()-1),0,1),
    C522 + IF(INDEX(Input!$L$7:$L1503,ROW()-1),1,0),
    "Y"
  )
)</f>
        <v/>
      </c>
      <c r="U522" s="6" t="str">
        <f t="array" ref="U522">IF(
  B522="",
  ,
  (C522 + IF(INDEX(Input!$L$7:$L1503,ROW()-1),1,0))
  - EDATE(
      B522 + IF(INDEX(Input!$K$7:$K1503,ROW()-1),0,1),
      12*S522
    )
)</f>
        <v/>
      </c>
      <c r="V522" s="6" t="str">
        <f t="shared" si="5"/>
        <v/>
      </c>
      <c r="W522" s="6" t="str">
        <f t="shared" si="6"/>
        <v/>
      </c>
    </row>
    <row r="523">
      <c r="A523" s="18"/>
      <c r="B523" s="18"/>
      <c r="C523" s="18"/>
      <c r="D523" s="18"/>
      <c r="E523" s="18"/>
      <c r="F523" s="18"/>
      <c r="G523" s="22"/>
      <c r="H523" s="18"/>
      <c r="I523" s="18">
        <v>0.0</v>
      </c>
      <c r="J523" s="18">
        <v>0.0</v>
      </c>
      <c r="K523" s="18"/>
      <c r="L523" s="18"/>
      <c r="M523" s="22" t="str">
        <f t="shared" si="1"/>
        <v/>
      </c>
      <c r="N523" s="18" t="str">
        <f>IF(A523="",,IF(ROW()=2, Input!$C$2 + I523, P522 + I523))</f>
        <v/>
      </c>
      <c r="O523" s="23" t="str">
        <f>IF(A523="",,
 IF(K523="Initial principal",
   Input!$C$2 * M523,
   N523 * M523
 )
)</f>
        <v/>
      </c>
      <c r="P523" s="18" t="str">
        <f t="shared" si="2"/>
        <v/>
      </c>
      <c r="Q523" s="18" t="str">
        <f t="shared" si="3"/>
        <v/>
      </c>
      <c r="R523" s="18" t="str">
        <f t="array" ref="R523">IF(
  B523="",
  ,
  SWITCH(
    Input!$C$4,
    "Actual/365 Fixed",
      YEARFRAC(
        B523 + IF(INDEX(Input!$K$7:$K1503,ROW()-1),0,1),
        C523 + IF(INDEX(Input!$L$7:$L1503,ROW()-1),1,0),
        3
      ),
    "Anniversary/365",
      DATEDIF(
        B523 + IF(INDEX(Input!$K$7:$K1503,ROW()-1),0,1),
        C523 + IF(INDEX(Input!$L$7:$L1503,ROW()-1),1,0),
        "Y"
      )
      +
      (
        (C523 + IF(INDEX(Input!$L$7:$L1503,ROW()-1),1,0))
        -
        EDATE(
          B523 + IF(INDEX(Input!$K$7:$K1503,ROW()-1),0,1),
          12*DATEDIF(
            B523 + IF(INDEX(Input!$K$7:$K1503,ROW()-1),0,1),
            C523 + IF(INDEX(Input!$L$7:$L1503,ROW()-1),1,0),
            "Y"
          )
        )
      ) / 365,
    "Actual/Actual",
      YEARFRAC(
        B523 + IF(INDEX(Input!$K$7:$K1503,ROW()-1),0,1),
        C523 + IF(INDEX(Input!$L$7:$L1503,ROW()-1),1,0),
        1
      ),
      YEARFRAC(
        B523 + IF(INDEX(Input!$K$7:$K1503,ROW()-1),0,1),
        C523 + IF(INDEX(Input!$L$7:$L1503,ROW()-1),1,0),
        3
      )
  )
)</f>
        <v/>
      </c>
      <c r="S523" s="22" t="str">
        <f t="shared" si="4"/>
        <v/>
      </c>
      <c r="T523" s="6" t="str">
        <f t="array" ref="T523">IF(
  B523="",
  ,
  DATEDIF(
    B523 + IF(INDEX(Input!$K$7:$K1503,ROW()-1),0,1),
    C523 + IF(INDEX(Input!$L$7:$L1503,ROW()-1),1,0),
    "Y"
  )
)</f>
        <v/>
      </c>
      <c r="U523" s="6" t="str">
        <f t="array" ref="U523">IF(
  B523="",
  ,
  (C523 + IF(INDEX(Input!$L$7:$L1503,ROW()-1),1,0))
  - EDATE(
      B523 + IF(INDEX(Input!$K$7:$K1503,ROW()-1),0,1),
      12*S523
    )
)</f>
        <v/>
      </c>
      <c r="V523" s="6" t="str">
        <f t="shared" si="5"/>
        <v/>
      </c>
      <c r="W523" s="6" t="str">
        <f t="shared" si="6"/>
        <v/>
      </c>
    </row>
    <row r="524">
      <c r="A524" s="18"/>
      <c r="B524" s="18"/>
      <c r="C524" s="18"/>
      <c r="D524" s="18"/>
      <c r="E524" s="18"/>
      <c r="F524" s="18"/>
      <c r="G524" s="22"/>
      <c r="H524" s="18"/>
      <c r="I524" s="18">
        <v>0.0</v>
      </c>
      <c r="J524" s="18">
        <v>0.0</v>
      </c>
      <c r="K524" s="18"/>
      <c r="L524" s="18"/>
      <c r="M524" s="22" t="str">
        <f t="shared" si="1"/>
        <v/>
      </c>
      <c r="N524" s="18" t="str">
        <f>IF(A524="",,IF(ROW()=2, Input!$C$2 + I524, P523 + I524))</f>
        <v/>
      </c>
      <c r="O524" s="23" t="str">
        <f>IF(A524="",,
 IF(K524="Initial principal",
   Input!$C$2 * M524,
   N524 * M524
 )
)</f>
        <v/>
      </c>
      <c r="P524" s="18" t="str">
        <f t="shared" si="2"/>
        <v/>
      </c>
      <c r="Q524" s="18" t="str">
        <f t="shared" si="3"/>
        <v/>
      </c>
      <c r="R524" s="18" t="str">
        <f t="array" ref="R524">IF(
  B524="",
  ,
  SWITCH(
    Input!$C$4,
    "Actual/365 Fixed",
      YEARFRAC(
        B524 + IF(INDEX(Input!$K$7:$K1503,ROW()-1),0,1),
        C524 + IF(INDEX(Input!$L$7:$L1503,ROW()-1),1,0),
        3
      ),
    "Anniversary/365",
      DATEDIF(
        B524 + IF(INDEX(Input!$K$7:$K1503,ROW()-1),0,1),
        C524 + IF(INDEX(Input!$L$7:$L1503,ROW()-1),1,0),
        "Y"
      )
      +
      (
        (C524 + IF(INDEX(Input!$L$7:$L1503,ROW()-1),1,0))
        -
        EDATE(
          B524 + IF(INDEX(Input!$K$7:$K1503,ROW()-1),0,1),
          12*DATEDIF(
            B524 + IF(INDEX(Input!$K$7:$K1503,ROW()-1),0,1),
            C524 + IF(INDEX(Input!$L$7:$L1503,ROW()-1),1,0),
            "Y"
          )
        )
      ) / 365,
    "Actual/Actual",
      YEARFRAC(
        B524 + IF(INDEX(Input!$K$7:$K1503,ROW()-1),0,1),
        C524 + IF(INDEX(Input!$L$7:$L1503,ROW()-1),1,0),
        1
      ),
      YEARFRAC(
        B524 + IF(INDEX(Input!$K$7:$K1503,ROW()-1),0,1),
        C524 + IF(INDEX(Input!$L$7:$L1503,ROW()-1),1,0),
        3
      )
  )
)</f>
        <v/>
      </c>
      <c r="S524" s="22" t="str">
        <f t="shared" si="4"/>
        <v/>
      </c>
      <c r="T524" s="6" t="str">
        <f t="array" ref="T524">IF(
  B524="",
  ,
  DATEDIF(
    B524 + IF(INDEX(Input!$K$7:$K1503,ROW()-1),0,1),
    C524 + IF(INDEX(Input!$L$7:$L1503,ROW()-1),1,0),
    "Y"
  )
)</f>
        <v/>
      </c>
      <c r="U524" s="6" t="str">
        <f t="array" ref="U524">IF(
  B524="",
  ,
  (C524 + IF(INDEX(Input!$L$7:$L1503,ROW()-1),1,0))
  - EDATE(
      B524 + IF(INDEX(Input!$K$7:$K1503,ROW()-1),0,1),
      12*S524
    )
)</f>
        <v/>
      </c>
      <c r="V524" s="6" t="str">
        <f t="shared" si="5"/>
        <v/>
      </c>
      <c r="W524" s="6" t="str">
        <f t="shared" si="6"/>
        <v/>
      </c>
    </row>
    <row r="525">
      <c r="A525" s="18"/>
      <c r="B525" s="18"/>
      <c r="C525" s="18"/>
      <c r="D525" s="18"/>
      <c r="E525" s="18"/>
      <c r="F525" s="18"/>
      <c r="G525" s="22"/>
      <c r="H525" s="18"/>
      <c r="I525" s="18">
        <v>0.0</v>
      </c>
      <c r="J525" s="18">
        <v>0.0</v>
      </c>
      <c r="K525" s="18"/>
      <c r="L525" s="18"/>
      <c r="M525" s="22" t="str">
        <f t="shared" si="1"/>
        <v/>
      </c>
      <c r="N525" s="18" t="str">
        <f>IF(A525="",,IF(ROW()=2, Input!$C$2 + I525, P524 + I525))</f>
        <v/>
      </c>
      <c r="O525" s="23" t="str">
        <f>IF(A525="",,
 IF(K525="Initial principal",
   Input!$C$2 * M525,
   N525 * M525
 )
)</f>
        <v/>
      </c>
      <c r="P525" s="18" t="str">
        <f t="shared" si="2"/>
        <v/>
      </c>
      <c r="Q525" s="18" t="str">
        <f t="shared" si="3"/>
        <v/>
      </c>
      <c r="R525" s="18" t="str">
        <f t="array" ref="R525">IF(
  B525="",
  ,
  SWITCH(
    Input!$C$4,
    "Actual/365 Fixed",
      YEARFRAC(
        B525 + IF(INDEX(Input!$K$7:$K1503,ROW()-1),0,1),
        C525 + IF(INDEX(Input!$L$7:$L1503,ROW()-1),1,0),
        3
      ),
    "Anniversary/365",
      DATEDIF(
        B525 + IF(INDEX(Input!$K$7:$K1503,ROW()-1),0,1),
        C525 + IF(INDEX(Input!$L$7:$L1503,ROW()-1),1,0),
        "Y"
      )
      +
      (
        (C525 + IF(INDEX(Input!$L$7:$L1503,ROW()-1),1,0))
        -
        EDATE(
          B525 + IF(INDEX(Input!$K$7:$K1503,ROW()-1),0,1),
          12*DATEDIF(
            B525 + IF(INDEX(Input!$K$7:$K1503,ROW()-1),0,1),
            C525 + IF(INDEX(Input!$L$7:$L1503,ROW()-1),1,0),
            "Y"
          )
        )
      ) / 365,
    "Actual/Actual",
      YEARFRAC(
        B525 + IF(INDEX(Input!$K$7:$K1503,ROW()-1),0,1),
        C525 + IF(INDEX(Input!$L$7:$L1503,ROW()-1),1,0),
        1
      ),
      YEARFRAC(
        B525 + IF(INDEX(Input!$K$7:$K1503,ROW()-1),0,1),
        C525 + IF(INDEX(Input!$L$7:$L1503,ROW()-1),1,0),
        3
      )
  )
)</f>
        <v/>
      </c>
      <c r="S525" s="22" t="str">
        <f t="shared" si="4"/>
        <v/>
      </c>
      <c r="T525" s="6" t="str">
        <f t="array" ref="T525">IF(
  B525="",
  ,
  DATEDIF(
    B525 + IF(INDEX(Input!$K$7:$K1503,ROW()-1),0,1),
    C525 + IF(INDEX(Input!$L$7:$L1503,ROW()-1),1,0),
    "Y"
  )
)</f>
        <v/>
      </c>
      <c r="U525" s="6" t="str">
        <f t="array" ref="U525">IF(
  B525="",
  ,
  (C525 + IF(INDEX(Input!$L$7:$L1503,ROW()-1),1,0))
  - EDATE(
      B525 + IF(INDEX(Input!$K$7:$K1503,ROW()-1),0,1),
      12*S525
    )
)</f>
        <v/>
      </c>
      <c r="V525" s="6" t="str">
        <f t="shared" si="5"/>
        <v/>
      </c>
      <c r="W525" s="6" t="str">
        <f t="shared" si="6"/>
        <v/>
      </c>
    </row>
    <row r="526">
      <c r="A526" s="18"/>
      <c r="B526" s="18"/>
      <c r="C526" s="18"/>
      <c r="D526" s="18"/>
      <c r="E526" s="18"/>
      <c r="F526" s="18"/>
      <c r="G526" s="22"/>
      <c r="H526" s="18"/>
      <c r="I526" s="18">
        <v>0.0</v>
      </c>
      <c r="J526" s="18">
        <v>0.0</v>
      </c>
      <c r="K526" s="18"/>
      <c r="L526" s="18"/>
      <c r="M526" s="22" t="str">
        <f t="shared" si="1"/>
        <v/>
      </c>
      <c r="N526" s="18" t="str">
        <f>IF(A526="",,IF(ROW()=2, Input!$C$2 + I526, P525 + I526))</f>
        <v/>
      </c>
      <c r="O526" s="23" t="str">
        <f>IF(A526="",,
 IF(K526="Initial principal",
   Input!$C$2 * M526,
   N526 * M526
 )
)</f>
        <v/>
      </c>
      <c r="P526" s="18" t="str">
        <f t="shared" si="2"/>
        <v/>
      </c>
      <c r="Q526" s="18" t="str">
        <f t="shared" si="3"/>
        <v/>
      </c>
      <c r="R526" s="18" t="str">
        <f t="array" ref="R526">IF(
  B526="",
  ,
  SWITCH(
    Input!$C$4,
    "Actual/365 Fixed",
      YEARFRAC(
        B526 + IF(INDEX(Input!$K$7:$K1503,ROW()-1),0,1),
        C526 + IF(INDEX(Input!$L$7:$L1503,ROW()-1),1,0),
        3
      ),
    "Anniversary/365",
      DATEDIF(
        B526 + IF(INDEX(Input!$K$7:$K1503,ROW()-1),0,1),
        C526 + IF(INDEX(Input!$L$7:$L1503,ROW()-1),1,0),
        "Y"
      )
      +
      (
        (C526 + IF(INDEX(Input!$L$7:$L1503,ROW()-1),1,0))
        -
        EDATE(
          B526 + IF(INDEX(Input!$K$7:$K1503,ROW()-1),0,1),
          12*DATEDIF(
            B526 + IF(INDEX(Input!$K$7:$K1503,ROW()-1),0,1),
            C526 + IF(INDEX(Input!$L$7:$L1503,ROW()-1),1,0),
            "Y"
          )
        )
      ) / 365,
    "Actual/Actual",
      YEARFRAC(
        B526 + IF(INDEX(Input!$K$7:$K1503,ROW()-1),0,1),
        C526 + IF(INDEX(Input!$L$7:$L1503,ROW()-1),1,0),
        1
      ),
      YEARFRAC(
        B526 + IF(INDEX(Input!$K$7:$K1503,ROW()-1),0,1),
        C526 + IF(INDEX(Input!$L$7:$L1503,ROW()-1),1,0),
        3
      )
  )
)</f>
        <v/>
      </c>
      <c r="S526" s="22" t="str">
        <f t="shared" si="4"/>
        <v/>
      </c>
      <c r="T526" s="6" t="str">
        <f t="array" ref="T526">IF(
  B526="",
  ,
  DATEDIF(
    B526 + IF(INDEX(Input!$K$7:$K1503,ROW()-1),0,1),
    C526 + IF(INDEX(Input!$L$7:$L1503,ROW()-1),1,0),
    "Y"
  )
)</f>
        <v/>
      </c>
      <c r="U526" s="6" t="str">
        <f t="array" ref="U526">IF(
  B526="",
  ,
  (C526 + IF(INDEX(Input!$L$7:$L1503,ROW()-1),1,0))
  - EDATE(
      B526 + IF(INDEX(Input!$K$7:$K1503,ROW()-1),0,1),
      12*S526
    )
)</f>
        <v/>
      </c>
      <c r="V526" s="6" t="str">
        <f t="shared" si="5"/>
        <v/>
      </c>
      <c r="W526" s="6" t="str">
        <f t="shared" si="6"/>
        <v/>
      </c>
    </row>
    <row r="527">
      <c r="A527" s="18"/>
      <c r="B527" s="18"/>
      <c r="C527" s="18"/>
      <c r="D527" s="18"/>
      <c r="E527" s="18"/>
      <c r="F527" s="18"/>
      <c r="G527" s="22"/>
      <c r="H527" s="18"/>
      <c r="I527" s="18">
        <v>0.0</v>
      </c>
      <c r="J527" s="18">
        <v>0.0</v>
      </c>
      <c r="K527" s="18"/>
      <c r="L527" s="18"/>
      <c r="M527" s="22" t="str">
        <f t="shared" si="1"/>
        <v/>
      </c>
      <c r="N527" s="18" t="str">
        <f>IF(A527="",,IF(ROW()=2, Input!$C$2 + I527, P526 + I527))</f>
        <v/>
      </c>
      <c r="O527" s="23" t="str">
        <f>IF(A527="",,
 IF(K527="Initial principal",
   Input!$C$2 * M527,
   N527 * M527
 )
)</f>
        <v/>
      </c>
      <c r="P527" s="18" t="str">
        <f t="shared" si="2"/>
        <v/>
      </c>
      <c r="Q527" s="18" t="str">
        <f t="shared" si="3"/>
        <v/>
      </c>
      <c r="R527" s="18" t="str">
        <f t="array" ref="R527">IF(
  B527="",
  ,
  SWITCH(
    Input!$C$4,
    "Actual/365 Fixed",
      YEARFRAC(
        B527 + IF(INDEX(Input!$K$7:$K1503,ROW()-1),0,1),
        C527 + IF(INDEX(Input!$L$7:$L1503,ROW()-1),1,0),
        3
      ),
    "Anniversary/365",
      DATEDIF(
        B527 + IF(INDEX(Input!$K$7:$K1503,ROW()-1),0,1),
        C527 + IF(INDEX(Input!$L$7:$L1503,ROW()-1),1,0),
        "Y"
      )
      +
      (
        (C527 + IF(INDEX(Input!$L$7:$L1503,ROW()-1),1,0))
        -
        EDATE(
          B527 + IF(INDEX(Input!$K$7:$K1503,ROW()-1),0,1),
          12*DATEDIF(
            B527 + IF(INDEX(Input!$K$7:$K1503,ROW()-1),0,1),
            C527 + IF(INDEX(Input!$L$7:$L1503,ROW()-1),1,0),
            "Y"
          )
        )
      ) / 365,
    "Actual/Actual",
      YEARFRAC(
        B527 + IF(INDEX(Input!$K$7:$K1503,ROW()-1),0,1),
        C527 + IF(INDEX(Input!$L$7:$L1503,ROW()-1),1,0),
        1
      ),
      YEARFRAC(
        B527 + IF(INDEX(Input!$K$7:$K1503,ROW()-1),0,1),
        C527 + IF(INDEX(Input!$L$7:$L1503,ROW()-1),1,0),
        3
      )
  )
)</f>
        <v/>
      </c>
      <c r="S527" s="22" t="str">
        <f t="shared" si="4"/>
        <v/>
      </c>
      <c r="T527" s="6" t="str">
        <f t="array" ref="T527">IF(
  B527="",
  ,
  DATEDIF(
    B527 + IF(INDEX(Input!$K$7:$K1503,ROW()-1),0,1),
    C527 + IF(INDEX(Input!$L$7:$L1503,ROW()-1),1,0),
    "Y"
  )
)</f>
        <v/>
      </c>
      <c r="U527" s="6" t="str">
        <f t="array" ref="U527">IF(
  B527="",
  ,
  (C527 + IF(INDEX(Input!$L$7:$L1503,ROW()-1),1,0))
  - EDATE(
      B527 + IF(INDEX(Input!$K$7:$K1503,ROW()-1),0,1),
      12*S527
    )
)</f>
        <v/>
      </c>
      <c r="V527" s="6" t="str">
        <f t="shared" si="5"/>
        <v/>
      </c>
      <c r="W527" s="6" t="str">
        <f t="shared" si="6"/>
        <v/>
      </c>
    </row>
    <row r="528">
      <c r="A528" s="18"/>
      <c r="B528" s="18"/>
      <c r="C528" s="18"/>
      <c r="D528" s="18"/>
      <c r="E528" s="18"/>
      <c r="F528" s="18"/>
      <c r="G528" s="22"/>
      <c r="H528" s="18"/>
      <c r="I528" s="18">
        <v>0.0</v>
      </c>
      <c r="J528" s="18">
        <v>0.0</v>
      </c>
      <c r="K528" s="18"/>
      <c r="L528" s="18"/>
      <c r="M528" s="22" t="str">
        <f t="shared" si="1"/>
        <v/>
      </c>
      <c r="N528" s="18" t="str">
        <f>IF(A528="",,IF(ROW()=2, Input!$C$2 + I528, P527 + I528))</f>
        <v/>
      </c>
      <c r="O528" s="23" t="str">
        <f>IF(A528="",,
 IF(K528="Initial principal",
   Input!$C$2 * M528,
   N528 * M528
 )
)</f>
        <v/>
      </c>
      <c r="P528" s="18" t="str">
        <f t="shared" si="2"/>
        <v/>
      </c>
      <c r="Q528" s="18" t="str">
        <f t="shared" si="3"/>
        <v/>
      </c>
      <c r="R528" s="18" t="str">
        <f t="array" ref="R528">IF(
  B528="",
  ,
  SWITCH(
    Input!$C$4,
    "Actual/365 Fixed",
      YEARFRAC(
        B528 + IF(INDEX(Input!$K$7:$K1503,ROW()-1),0,1),
        C528 + IF(INDEX(Input!$L$7:$L1503,ROW()-1),1,0),
        3
      ),
    "Anniversary/365",
      DATEDIF(
        B528 + IF(INDEX(Input!$K$7:$K1503,ROW()-1),0,1),
        C528 + IF(INDEX(Input!$L$7:$L1503,ROW()-1),1,0),
        "Y"
      )
      +
      (
        (C528 + IF(INDEX(Input!$L$7:$L1503,ROW()-1),1,0))
        -
        EDATE(
          B528 + IF(INDEX(Input!$K$7:$K1503,ROW()-1),0,1),
          12*DATEDIF(
            B528 + IF(INDEX(Input!$K$7:$K1503,ROW()-1),0,1),
            C528 + IF(INDEX(Input!$L$7:$L1503,ROW()-1),1,0),
            "Y"
          )
        )
      ) / 365,
    "Actual/Actual",
      YEARFRAC(
        B528 + IF(INDEX(Input!$K$7:$K1503,ROW()-1),0,1),
        C528 + IF(INDEX(Input!$L$7:$L1503,ROW()-1),1,0),
        1
      ),
      YEARFRAC(
        B528 + IF(INDEX(Input!$K$7:$K1503,ROW()-1),0,1),
        C528 + IF(INDEX(Input!$L$7:$L1503,ROW()-1),1,0),
        3
      )
  )
)</f>
        <v/>
      </c>
      <c r="S528" s="22" t="str">
        <f t="shared" si="4"/>
        <v/>
      </c>
      <c r="T528" s="6" t="str">
        <f t="array" ref="T528">IF(
  B528="",
  ,
  DATEDIF(
    B528 + IF(INDEX(Input!$K$7:$K1503,ROW()-1),0,1),
    C528 + IF(INDEX(Input!$L$7:$L1503,ROW()-1),1,0),
    "Y"
  )
)</f>
        <v/>
      </c>
      <c r="U528" s="6" t="str">
        <f t="array" ref="U528">IF(
  B528="",
  ,
  (C528 + IF(INDEX(Input!$L$7:$L1503,ROW()-1),1,0))
  - EDATE(
      B528 + IF(INDEX(Input!$K$7:$K1503,ROW()-1),0,1),
      12*S528
    )
)</f>
        <v/>
      </c>
      <c r="V528" s="6" t="str">
        <f t="shared" si="5"/>
        <v/>
      </c>
      <c r="W528" s="6" t="str">
        <f t="shared" si="6"/>
        <v/>
      </c>
    </row>
    <row r="529">
      <c r="A529" s="18"/>
      <c r="B529" s="18"/>
      <c r="C529" s="18"/>
      <c r="D529" s="18"/>
      <c r="E529" s="18"/>
      <c r="F529" s="18"/>
      <c r="G529" s="22"/>
      <c r="H529" s="18"/>
      <c r="I529" s="18">
        <v>0.0</v>
      </c>
      <c r="J529" s="18">
        <v>0.0</v>
      </c>
      <c r="K529" s="18"/>
      <c r="L529" s="18"/>
      <c r="M529" s="22" t="str">
        <f t="shared" si="1"/>
        <v/>
      </c>
      <c r="N529" s="18" t="str">
        <f>IF(A529="",,IF(ROW()=2, Input!$C$2 + I529, P528 + I529))</f>
        <v/>
      </c>
      <c r="O529" s="23" t="str">
        <f>IF(A529="",,
 IF(K529="Initial principal",
   Input!$C$2 * M529,
   N529 * M529
 )
)</f>
        <v/>
      </c>
      <c r="P529" s="18" t="str">
        <f t="shared" si="2"/>
        <v/>
      </c>
      <c r="Q529" s="18" t="str">
        <f t="shared" si="3"/>
        <v/>
      </c>
      <c r="R529" s="18" t="str">
        <f t="array" ref="R529">IF(
  B529="",
  ,
  SWITCH(
    Input!$C$4,
    "Actual/365 Fixed",
      YEARFRAC(
        B529 + IF(INDEX(Input!$K$7:$K1503,ROW()-1),0,1),
        C529 + IF(INDEX(Input!$L$7:$L1503,ROW()-1),1,0),
        3
      ),
    "Anniversary/365",
      DATEDIF(
        B529 + IF(INDEX(Input!$K$7:$K1503,ROW()-1),0,1),
        C529 + IF(INDEX(Input!$L$7:$L1503,ROW()-1),1,0),
        "Y"
      )
      +
      (
        (C529 + IF(INDEX(Input!$L$7:$L1503,ROW()-1),1,0))
        -
        EDATE(
          B529 + IF(INDEX(Input!$K$7:$K1503,ROW()-1),0,1),
          12*DATEDIF(
            B529 + IF(INDEX(Input!$K$7:$K1503,ROW()-1),0,1),
            C529 + IF(INDEX(Input!$L$7:$L1503,ROW()-1),1,0),
            "Y"
          )
        )
      ) / 365,
    "Actual/Actual",
      YEARFRAC(
        B529 + IF(INDEX(Input!$K$7:$K1503,ROW()-1),0,1),
        C529 + IF(INDEX(Input!$L$7:$L1503,ROW()-1),1,0),
        1
      ),
      YEARFRAC(
        B529 + IF(INDEX(Input!$K$7:$K1503,ROW()-1),0,1),
        C529 + IF(INDEX(Input!$L$7:$L1503,ROW()-1),1,0),
        3
      )
  )
)</f>
        <v/>
      </c>
      <c r="S529" s="22" t="str">
        <f t="shared" si="4"/>
        <v/>
      </c>
      <c r="T529" s="6" t="str">
        <f t="array" ref="T529">IF(
  B529="",
  ,
  DATEDIF(
    B529 + IF(INDEX(Input!$K$7:$K1503,ROW()-1),0,1),
    C529 + IF(INDEX(Input!$L$7:$L1503,ROW()-1),1,0),
    "Y"
  )
)</f>
        <v/>
      </c>
      <c r="U529" s="6" t="str">
        <f t="array" ref="U529">IF(
  B529="",
  ,
  (C529 + IF(INDEX(Input!$L$7:$L1503,ROW()-1),1,0))
  - EDATE(
      B529 + IF(INDEX(Input!$K$7:$K1503,ROW()-1),0,1),
      12*S529
    )
)</f>
        <v/>
      </c>
      <c r="V529" s="6" t="str">
        <f t="shared" si="5"/>
        <v/>
      </c>
      <c r="W529" s="6" t="str">
        <f t="shared" si="6"/>
        <v/>
      </c>
    </row>
    <row r="530">
      <c r="A530" s="18"/>
      <c r="B530" s="18"/>
      <c r="C530" s="18"/>
      <c r="D530" s="18"/>
      <c r="E530" s="18"/>
      <c r="F530" s="18"/>
      <c r="G530" s="22"/>
      <c r="H530" s="18"/>
      <c r="I530" s="18">
        <v>0.0</v>
      </c>
      <c r="J530" s="18">
        <v>0.0</v>
      </c>
      <c r="K530" s="18"/>
      <c r="L530" s="18"/>
      <c r="M530" s="22" t="str">
        <f t="shared" si="1"/>
        <v/>
      </c>
      <c r="N530" s="18" t="str">
        <f>IF(A530="",,IF(ROW()=2, Input!$C$2 + I530, P529 + I530))</f>
        <v/>
      </c>
      <c r="O530" s="23" t="str">
        <f>IF(A530="",,
 IF(K530="Initial principal",
   Input!$C$2 * M530,
   N530 * M530
 )
)</f>
        <v/>
      </c>
      <c r="P530" s="18" t="str">
        <f t="shared" si="2"/>
        <v/>
      </c>
      <c r="Q530" s="18" t="str">
        <f t="shared" si="3"/>
        <v/>
      </c>
      <c r="R530" s="18" t="str">
        <f t="array" ref="R530">IF(
  B530="",
  ,
  SWITCH(
    Input!$C$4,
    "Actual/365 Fixed",
      YEARFRAC(
        B530 + IF(INDEX(Input!$K$7:$K1503,ROW()-1),0,1),
        C530 + IF(INDEX(Input!$L$7:$L1503,ROW()-1),1,0),
        3
      ),
    "Anniversary/365",
      DATEDIF(
        B530 + IF(INDEX(Input!$K$7:$K1503,ROW()-1),0,1),
        C530 + IF(INDEX(Input!$L$7:$L1503,ROW()-1),1,0),
        "Y"
      )
      +
      (
        (C530 + IF(INDEX(Input!$L$7:$L1503,ROW()-1),1,0))
        -
        EDATE(
          B530 + IF(INDEX(Input!$K$7:$K1503,ROW()-1),0,1),
          12*DATEDIF(
            B530 + IF(INDEX(Input!$K$7:$K1503,ROW()-1),0,1),
            C530 + IF(INDEX(Input!$L$7:$L1503,ROW()-1),1,0),
            "Y"
          )
        )
      ) / 365,
    "Actual/Actual",
      YEARFRAC(
        B530 + IF(INDEX(Input!$K$7:$K1503,ROW()-1),0,1),
        C530 + IF(INDEX(Input!$L$7:$L1503,ROW()-1),1,0),
        1
      ),
      YEARFRAC(
        B530 + IF(INDEX(Input!$K$7:$K1503,ROW()-1),0,1),
        C530 + IF(INDEX(Input!$L$7:$L1503,ROW()-1),1,0),
        3
      )
  )
)</f>
        <v/>
      </c>
      <c r="S530" s="22" t="str">
        <f t="shared" si="4"/>
        <v/>
      </c>
      <c r="T530" s="6" t="str">
        <f t="array" ref="T530">IF(
  B530="",
  ,
  DATEDIF(
    B530 + IF(INDEX(Input!$K$7:$K1503,ROW()-1),0,1),
    C530 + IF(INDEX(Input!$L$7:$L1503,ROW()-1),1,0),
    "Y"
  )
)</f>
        <v/>
      </c>
      <c r="U530" s="6" t="str">
        <f t="array" ref="U530">IF(
  B530="",
  ,
  (C530 + IF(INDEX(Input!$L$7:$L1503,ROW()-1),1,0))
  - EDATE(
      B530 + IF(INDEX(Input!$K$7:$K1503,ROW()-1),0,1),
      12*S530
    )
)</f>
        <v/>
      </c>
      <c r="V530" s="6" t="str">
        <f t="shared" si="5"/>
        <v/>
      </c>
      <c r="W530" s="6" t="str">
        <f t="shared" si="6"/>
        <v/>
      </c>
    </row>
    <row r="531">
      <c r="A531" s="18"/>
      <c r="B531" s="18"/>
      <c r="C531" s="18"/>
      <c r="D531" s="18"/>
      <c r="E531" s="18"/>
      <c r="F531" s="18"/>
      <c r="G531" s="22"/>
      <c r="H531" s="18"/>
      <c r="I531" s="18">
        <v>0.0</v>
      </c>
      <c r="J531" s="18">
        <v>0.0</v>
      </c>
      <c r="K531" s="18"/>
      <c r="L531" s="18"/>
      <c r="M531" s="22" t="str">
        <f t="shared" si="1"/>
        <v/>
      </c>
      <c r="N531" s="18" t="str">
        <f>IF(A531="",,IF(ROW()=2, Input!$C$2 + I531, P530 + I531))</f>
        <v/>
      </c>
      <c r="O531" s="23" t="str">
        <f>IF(A531="",,
 IF(K531="Initial principal",
   Input!$C$2 * M531,
   N531 * M531
 )
)</f>
        <v/>
      </c>
      <c r="P531" s="18" t="str">
        <f t="shared" si="2"/>
        <v/>
      </c>
      <c r="Q531" s="18" t="str">
        <f t="shared" si="3"/>
        <v/>
      </c>
      <c r="R531" s="18" t="str">
        <f t="array" ref="R531">IF(
  B531="",
  ,
  SWITCH(
    Input!$C$4,
    "Actual/365 Fixed",
      YEARFRAC(
        B531 + IF(INDEX(Input!$K$7:$K1503,ROW()-1),0,1),
        C531 + IF(INDEX(Input!$L$7:$L1503,ROW()-1),1,0),
        3
      ),
    "Anniversary/365",
      DATEDIF(
        B531 + IF(INDEX(Input!$K$7:$K1503,ROW()-1),0,1),
        C531 + IF(INDEX(Input!$L$7:$L1503,ROW()-1),1,0),
        "Y"
      )
      +
      (
        (C531 + IF(INDEX(Input!$L$7:$L1503,ROW()-1),1,0))
        -
        EDATE(
          B531 + IF(INDEX(Input!$K$7:$K1503,ROW()-1),0,1),
          12*DATEDIF(
            B531 + IF(INDEX(Input!$K$7:$K1503,ROW()-1),0,1),
            C531 + IF(INDEX(Input!$L$7:$L1503,ROW()-1),1,0),
            "Y"
          )
        )
      ) / 365,
    "Actual/Actual",
      YEARFRAC(
        B531 + IF(INDEX(Input!$K$7:$K1503,ROW()-1),0,1),
        C531 + IF(INDEX(Input!$L$7:$L1503,ROW()-1),1,0),
        1
      ),
      YEARFRAC(
        B531 + IF(INDEX(Input!$K$7:$K1503,ROW()-1),0,1),
        C531 + IF(INDEX(Input!$L$7:$L1503,ROW()-1),1,0),
        3
      )
  )
)</f>
        <v/>
      </c>
      <c r="S531" s="22" t="str">
        <f t="shared" si="4"/>
        <v/>
      </c>
      <c r="T531" s="6" t="str">
        <f t="array" ref="T531">IF(
  B531="",
  ,
  DATEDIF(
    B531 + IF(INDEX(Input!$K$7:$K1503,ROW()-1),0,1),
    C531 + IF(INDEX(Input!$L$7:$L1503,ROW()-1),1,0),
    "Y"
  )
)</f>
        <v/>
      </c>
      <c r="U531" s="6" t="str">
        <f t="array" ref="U531">IF(
  B531="",
  ,
  (C531 + IF(INDEX(Input!$L$7:$L1503,ROW()-1),1,0))
  - EDATE(
      B531 + IF(INDEX(Input!$K$7:$K1503,ROW()-1),0,1),
      12*S531
    )
)</f>
        <v/>
      </c>
      <c r="V531" s="6" t="str">
        <f t="shared" si="5"/>
        <v/>
      </c>
      <c r="W531" s="6" t="str">
        <f t="shared" si="6"/>
        <v/>
      </c>
    </row>
    <row r="532">
      <c r="A532" s="18"/>
      <c r="B532" s="18"/>
      <c r="C532" s="18"/>
      <c r="D532" s="18"/>
      <c r="E532" s="18"/>
      <c r="F532" s="18"/>
      <c r="G532" s="22"/>
      <c r="H532" s="18"/>
      <c r="I532" s="18">
        <v>0.0</v>
      </c>
      <c r="J532" s="18">
        <v>0.0</v>
      </c>
      <c r="K532" s="18"/>
      <c r="L532" s="18"/>
      <c r="M532" s="22" t="str">
        <f t="shared" si="1"/>
        <v/>
      </c>
      <c r="N532" s="18" t="str">
        <f>IF(A532="",,IF(ROW()=2, Input!$C$2 + I532, P531 + I532))</f>
        <v/>
      </c>
      <c r="O532" s="23" t="str">
        <f>IF(A532="",,
 IF(K532="Initial principal",
   Input!$C$2 * M532,
   N532 * M532
 )
)</f>
        <v/>
      </c>
      <c r="P532" s="18" t="str">
        <f t="shared" si="2"/>
        <v/>
      </c>
      <c r="Q532" s="18" t="str">
        <f t="shared" si="3"/>
        <v/>
      </c>
      <c r="R532" s="18" t="str">
        <f t="array" ref="R532">IF(
  B532="",
  ,
  SWITCH(
    Input!$C$4,
    "Actual/365 Fixed",
      YEARFRAC(
        B532 + IF(INDEX(Input!$K$7:$K1503,ROW()-1),0,1),
        C532 + IF(INDEX(Input!$L$7:$L1503,ROW()-1),1,0),
        3
      ),
    "Anniversary/365",
      DATEDIF(
        B532 + IF(INDEX(Input!$K$7:$K1503,ROW()-1),0,1),
        C532 + IF(INDEX(Input!$L$7:$L1503,ROW()-1),1,0),
        "Y"
      )
      +
      (
        (C532 + IF(INDEX(Input!$L$7:$L1503,ROW()-1),1,0))
        -
        EDATE(
          B532 + IF(INDEX(Input!$K$7:$K1503,ROW()-1),0,1),
          12*DATEDIF(
            B532 + IF(INDEX(Input!$K$7:$K1503,ROW()-1),0,1),
            C532 + IF(INDEX(Input!$L$7:$L1503,ROW()-1),1,0),
            "Y"
          )
        )
      ) / 365,
    "Actual/Actual",
      YEARFRAC(
        B532 + IF(INDEX(Input!$K$7:$K1503,ROW()-1),0,1),
        C532 + IF(INDEX(Input!$L$7:$L1503,ROW()-1),1,0),
        1
      ),
      YEARFRAC(
        B532 + IF(INDEX(Input!$K$7:$K1503,ROW()-1),0,1),
        C532 + IF(INDEX(Input!$L$7:$L1503,ROW()-1),1,0),
        3
      )
  )
)</f>
        <v/>
      </c>
      <c r="S532" s="22" t="str">
        <f t="shared" si="4"/>
        <v/>
      </c>
      <c r="T532" s="6" t="str">
        <f t="array" ref="T532">IF(
  B532="",
  ,
  DATEDIF(
    B532 + IF(INDEX(Input!$K$7:$K1503,ROW()-1),0,1),
    C532 + IF(INDEX(Input!$L$7:$L1503,ROW()-1),1,0),
    "Y"
  )
)</f>
        <v/>
      </c>
      <c r="U532" s="6" t="str">
        <f t="array" ref="U532">IF(
  B532="",
  ,
  (C532 + IF(INDEX(Input!$L$7:$L1503,ROW()-1),1,0))
  - EDATE(
      B532 + IF(INDEX(Input!$K$7:$K1503,ROW()-1),0,1),
      12*S532
    )
)</f>
        <v/>
      </c>
      <c r="V532" s="6" t="str">
        <f t="shared" si="5"/>
        <v/>
      </c>
      <c r="W532" s="6" t="str">
        <f t="shared" si="6"/>
        <v/>
      </c>
    </row>
    <row r="533">
      <c r="A533" s="18"/>
      <c r="B533" s="18"/>
      <c r="C533" s="18"/>
      <c r="D533" s="18"/>
      <c r="E533" s="18"/>
      <c r="F533" s="18"/>
      <c r="G533" s="22"/>
      <c r="H533" s="18"/>
      <c r="I533" s="18">
        <v>0.0</v>
      </c>
      <c r="J533" s="18">
        <v>0.0</v>
      </c>
      <c r="K533" s="18"/>
      <c r="L533" s="18"/>
      <c r="M533" s="22" t="str">
        <f t="shared" si="1"/>
        <v/>
      </c>
      <c r="N533" s="18" t="str">
        <f>IF(A533="",,IF(ROW()=2, Input!$C$2 + I533, P532 + I533))</f>
        <v/>
      </c>
      <c r="O533" s="23" t="str">
        <f>IF(A533="",,
 IF(K533="Initial principal",
   Input!$C$2 * M533,
   N533 * M533
 )
)</f>
        <v/>
      </c>
      <c r="P533" s="18" t="str">
        <f t="shared" si="2"/>
        <v/>
      </c>
      <c r="Q533" s="18" t="str">
        <f t="shared" si="3"/>
        <v/>
      </c>
      <c r="R533" s="18" t="str">
        <f t="array" ref="R533">IF(
  B533="",
  ,
  SWITCH(
    Input!$C$4,
    "Actual/365 Fixed",
      YEARFRAC(
        B533 + IF(INDEX(Input!$K$7:$K1503,ROW()-1),0,1),
        C533 + IF(INDEX(Input!$L$7:$L1503,ROW()-1),1,0),
        3
      ),
    "Anniversary/365",
      DATEDIF(
        B533 + IF(INDEX(Input!$K$7:$K1503,ROW()-1),0,1),
        C533 + IF(INDEX(Input!$L$7:$L1503,ROW()-1),1,0),
        "Y"
      )
      +
      (
        (C533 + IF(INDEX(Input!$L$7:$L1503,ROW()-1),1,0))
        -
        EDATE(
          B533 + IF(INDEX(Input!$K$7:$K1503,ROW()-1),0,1),
          12*DATEDIF(
            B533 + IF(INDEX(Input!$K$7:$K1503,ROW()-1),0,1),
            C533 + IF(INDEX(Input!$L$7:$L1503,ROW()-1),1,0),
            "Y"
          )
        )
      ) / 365,
    "Actual/Actual",
      YEARFRAC(
        B533 + IF(INDEX(Input!$K$7:$K1503,ROW()-1),0,1),
        C533 + IF(INDEX(Input!$L$7:$L1503,ROW()-1),1,0),
        1
      ),
      YEARFRAC(
        B533 + IF(INDEX(Input!$K$7:$K1503,ROW()-1),0,1),
        C533 + IF(INDEX(Input!$L$7:$L1503,ROW()-1),1,0),
        3
      )
  )
)</f>
        <v/>
      </c>
      <c r="S533" s="22" t="str">
        <f t="shared" si="4"/>
        <v/>
      </c>
      <c r="T533" s="6" t="str">
        <f t="array" ref="T533">IF(
  B533="",
  ,
  DATEDIF(
    B533 + IF(INDEX(Input!$K$7:$K1503,ROW()-1),0,1),
    C533 + IF(INDEX(Input!$L$7:$L1503,ROW()-1),1,0),
    "Y"
  )
)</f>
        <v/>
      </c>
      <c r="U533" s="6" t="str">
        <f t="array" ref="U533">IF(
  B533="",
  ,
  (C533 + IF(INDEX(Input!$L$7:$L1503,ROW()-1),1,0))
  - EDATE(
      B533 + IF(INDEX(Input!$K$7:$K1503,ROW()-1),0,1),
      12*S533
    )
)</f>
        <v/>
      </c>
      <c r="V533" s="6" t="str">
        <f t="shared" si="5"/>
        <v/>
      </c>
      <c r="W533" s="6" t="str">
        <f t="shared" si="6"/>
        <v/>
      </c>
    </row>
    <row r="534">
      <c r="A534" s="18"/>
      <c r="B534" s="18"/>
      <c r="C534" s="18"/>
      <c r="D534" s="18"/>
      <c r="E534" s="18"/>
      <c r="F534" s="18"/>
      <c r="G534" s="22"/>
      <c r="H534" s="18"/>
      <c r="I534" s="18">
        <v>0.0</v>
      </c>
      <c r="J534" s="18">
        <v>0.0</v>
      </c>
      <c r="K534" s="18"/>
      <c r="L534" s="18"/>
      <c r="M534" s="22" t="str">
        <f t="shared" si="1"/>
        <v/>
      </c>
      <c r="N534" s="18" t="str">
        <f>IF(A534="",,IF(ROW()=2, Input!$C$2 + I534, P533 + I534))</f>
        <v/>
      </c>
      <c r="O534" s="23" t="str">
        <f>IF(A534="",,
 IF(K534="Initial principal",
   Input!$C$2 * M534,
   N534 * M534
 )
)</f>
        <v/>
      </c>
      <c r="P534" s="18" t="str">
        <f t="shared" si="2"/>
        <v/>
      </c>
      <c r="Q534" s="18" t="str">
        <f t="shared" si="3"/>
        <v/>
      </c>
      <c r="R534" s="18" t="str">
        <f t="array" ref="R534">IF(
  B534="",
  ,
  SWITCH(
    Input!$C$4,
    "Actual/365 Fixed",
      YEARFRAC(
        B534 + IF(INDEX(Input!$K$7:$K1503,ROW()-1),0,1),
        C534 + IF(INDEX(Input!$L$7:$L1503,ROW()-1),1,0),
        3
      ),
    "Anniversary/365",
      DATEDIF(
        B534 + IF(INDEX(Input!$K$7:$K1503,ROW()-1),0,1),
        C534 + IF(INDEX(Input!$L$7:$L1503,ROW()-1),1,0),
        "Y"
      )
      +
      (
        (C534 + IF(INDEX(Input!$L$7:$L1503,ROW()-1),1,0))
        -
        EDATE(
          B534 + IF(INDEX(Input!$K$7:$K1503,ROW()-1),0,1),
          12*DATEDIF(
            B534 + IF(INDEX(Input!$K$7:$K1503,ROW()-1),0,1),
            C534 + IF(INDEX(Input!$L$7:$L1503,ROW()-1),1,0),
            "Y"
          )
        )
      ) / 365,
    "Actual/Actual",
      YEARFRAC(
        B534 + IF(INDEX(Input!$K$7:$K1503,ROW()-1),0,1),
        C534 + IF(INDEX(Input!$L$7:$L1503,ROW()-1),1,0),
        1
      ),
      YEARFRAC(
        B534 + IF(INDEX(Input!$K$7:$K1503,ROW()-1),0,1),
        C534 + IF(INDEX(Input!$L$7:$L1503,ROW()-1),1,0),
        3
      )
  )
)</f>
        <v/>
      </c>
      <c r="S534" s="22" t="str">
        <f t="shared" si="4"/>
        <v/>
      </c>
      <c r="T534" s="6" t="str">
        <f t="array" ref="T534">IF(
  B534="",
  ,
  DATEDIF(
    B534 + IF(INDEX(Input!$K$7:$K1503,ROW()-1),0,1),
    C534 + IF(INDEX(Input!$L$7:$L1503,ROW()-1),1,0),
    "Y"
  )
)</f>
        <v/>
      </c>
      <c r="U534" s="6" t="str">
        <f t="array" ref="U534">IF(
  B534="",
  ,
  (C534 + IF(INDEX(Input!$L$7:$L1503,ROW()-1),1,0))
  - EDATE(
      B534 + IF(INDEX(Input!$K$7:$K1503,ROW()-1),0,1),
      12*S534
    )
)</f>
        <v/>
      </c>
      <c r="V534" s="6" t="str">
        <f t="shared" si="5"/>
        <v/>
      </c>
      <c r="W534" s="6" t="str">
        <f t="shared" si="6"/>
        <v/>
      </c>
    </row>
    <row r="535">
      <c r="A535" s="18"/>
      <c r="B535" s="18"/>
      <c r="C535" s="18"/>
      <c r="D535" s="18"/>
      <c r="E535" s="18"/>
      <c r="F535" s="18"/>
      <c r="G535" s="22"/>
      <c r="H535" s="18"/>
      <c r="I535" s="18">
        <v>0.0</v>
      </c>
      <c r="J535" s="18">
        <v>0.0</v>
      </c>
      <c r="K535" s="18"/>
      <c r="L535" s="18"/>
      <c r="M535" s="22" t="str">
        <f t="shared" si="1"/>
        <v/>
      </c>
      <c r="N535" s="18" t="str">
        <f>IF(A535="",,IF(ROW()=2, Input!$C$2 + I535, P534 + I535))</f>
        <v/>
      </c>
      <c r="O535" s="23" t="str">
        <f>IF(A535="",,
 IF(K535="Initial principal",
   Input!$C$2 * M535,
   N535 * M535
 )
)</f>
        <v/>
      </c>
      <c r="P535" s="18" t="str">
        <f t="shared" si="2"/>
        <v/>
      </c>
      <c r="Q535" s="18" t="str">
        <f t="shared" si="3"/>
        <v/>
      </c>
      <c r="R535" s="18" t="str">
        <f t="array" ref="R535">IF(
  B535="",
  ,
  SWITCH(
    Input!$C$4,
    "Actual/365 Fixed",
      YEARFRAC(
        B535 + IF(INDEX(Input!$K$7:$K1503,ROW()-1),0,1),
        C535 + IF(INDEX(Input!$L$7:$L1503,ROW()-1),1,0),
        3
      ),
    "Anniversary/365",
      DATEDIF(
        B535 + IF(INDEX(Input!$K$7:$K1503,ROW()-1),0,1),
        C535 + IF(INDEX(Input!$L$7:$L1503,ROW()-1),1,0),
        "Y"
      )
      +
      (
        (C535 + IF(INDEX(Input!$L$7:$L1503,ROW()-1),1,0))
        -
        EDATE(
          B535 + IF(INDEX(Input!$K$7:$K1503,ROW()-1),0,1),
          12*DATEDIF(
            B535 + IF(INDEX(Input!$K$7:$K1503,ROW()-1),0,1),
            C535 + IF(INDEX(Input!$L$7:$L1503,ROW()-1),1,0),
            "Y"
          )
        )
      ) / 365,
    "Actual/Actual",
      YEARFRAC(
        B535 + IF(INDEX(Input!$K$7:$K1503,ROW()-1),0,1),
        C535 + IF(INDEX(Input!$L$7:$L1503,ROW()-1),1,0),
        1
      ),
      YEARFRAC(
        B535 + IF(INDEX(Input!$K$7:$K1503,ROW()-1),0,1),
        C535 + IF(INDEX(Input!$L$7:$L1503,ROW()-1),1,0),
        3
      )
  )
)</f>
        <v/>
      </c>
      <c r="S535" s="22" t="str">
        <f t="shared" si="4"/>
        <v/>
      </c>
      <c r="T535" s="6" t="str">
        <f t="array" ref="T535">IF(
  B535="",
  ,
  DATEDIF(
    B535 + IF(INDEX(Input!$K$7:$K1503,ROW()-1),0,1),
    C535 + IF(INDEX(Input!$L$7:$L1503,ROW()-1),1,0),
    "Y"
  )
)</f>
        <v/>
      </c>
      <c r="U535" s="6" t="str">
        <f t="array" ref="U535">IF(
  B535="",
  ,
  (C535 + IF(INDEX(Input!$L$7:$L1503,ROW()-1),1,0))
  - EDATE(
      B535 + IF(INDEX(Input!$K$7:$K1503,ROW()-1),0,1),
      12*S535
    )
)</f>
        <v/>
      </c>
      <c r="V535" s="6" t="str">
        <f t="shared" si="5"/>
        <v/>
      </c>
      <c r="W535" s="6" t="str">
        <f t="shared" si="6"/>
        <v/>
      </c>
    </row>
    <row r="536">
      <c r="A536" s="18"/>
      <c r="B536" s="18"/>
      <c r="C536" s="18"/>
      <c r="D536" s="18"/>
      <c r="E536" s="18"/>
      <c r="F536" s="18"/>
      <c r="G536" s="22"/>
      <c r="H536" s="18"/>
      <c r="I536" s="18">
        <v>0.0</v>
      </c>
      <c r="J536" s="18">
        <v>0.0</v>
      </c>
      <c r="K536" s="18"/>
      <c r="L536" s="18"/>
      <c r="M536" s="22" t="str">
        <f t="shared" si="1"/>
        <v/>
      </c>
      <c r="N536" s="18" t="str">
        <f>IF(A536="",,IF(ROW()=2, Input!$C$2 + I536, P535 + I536))</f>
        <v/>
      </c>
      <c r="O536" s="23" t="str">
        <f>IF(A536="",,
 IF(K536="Initial principal",
   Input!$C$2 * M536,
   N536 * M536
 )
)</f>
        <v/>
      </c>
      <c r="P536" s="18" t="str">
        <f t="shared" si="2"/>
        <v/>
      </c>
      <c r="Q536" s="18" t="str">
        <f t="shared" si="3"/>
        <v/>
      </c>
      <c r="R536" s="18" t="str">
        <f t="array" ref="R536">IF(
  B536="",
  ,
  SWITCH(
    Input!$C$4,
    "Actual/365 Fixed",
      YEARFRAC(
        B536 + IF(INDEX(Input!$K$7:$K1503,ROW()-1),0,1),
        C536 + IF(INDEX(Input!$L$7:$L1503,ROW()-1),1,0),
        3
      ),
    "Anniversary/365",
      DATEDIF(
        B536 + IF(INDEX(Input!$K$7:$K1503,ROW()-1),0,1),
        C536 + IF(INDEX(Input!$L$7:$L1503,ROW()-1),1,0),
        "Y"
      )
      +
      (
        (C536 + IF(INDEX(Input!$L$7:$L1503,ROW()-1),1,0))
        -
        EDATE(
          B536 + IF(INDEX(Input!$K$7:$K1503,ROW()-1),0,1),
          12*DATEDIF(
            B536 + IF(INDEX(Input!$K$7:$K1503,ROW()-1),0,1),
            C536 + IF(INDEX(Input!$L$7:$L1503,ROW()-1),1,0),
            "Y"
          )
        )
      ) / 365,
    "Actual/Actual",
      YEARFRAC(
        B536 + IF(INDEX(Input!$K$7:$K1503,ROW()-1),0,1),
        C536 + IF(INDEX(Input!$L$7:$L1503,ROW()-1),1,0),
        1
      ),
      YEARFRAC(
        B536 + IF(INDEX(Input!$K$7:$K1503,ROW()-1),0,1),
        C536 + IF(INDEX(Input!$L$7:$L1503,ROW()-1),1,0),
        3
      )
  )
)</f>
        <v/>
      </c>
      <c r="S536" s="22" t="str">
        <f t="shared" si="4"/>
        <v/>
      </c>
      <c r="T536" s="6" t="str">
        <f t="array" ref="T536">IF(
  B536="",
  ,
  DATEDIF(
    B536 + IF(INDEX(Input!$K$7:$K1503,ROW()-1),0,1),
    C536 + IF(INDEX(Input!$L$7:$L1503,ROW()-1),1,0),
    "Y"
  )
)</f>
        <v/>
      </c>
      <c r="U536" s="6" t="str">
        <f t="array" ref="U536">IF(
  B536="",
  ,
  (C536 + IF(INDEX(Input!$L$7:$L1503,ROW()-1),1,0))
  - EDATE(
      B536 + IF(INDEX(Input!$K$7:$K1503,ROW()-1),0,1),
      12*S536
    )
)</f>
        <v/>
      </c>
      <c r="V536" s="6" t="str">
        <f t="shared" si="5"/>
        <v/>
      </c>
      <c r="W536" s="6" t="str">
        <f t="shared" si="6"/>
        <v/>
      </c>
    </row>
    <row r="537">
      <c r="A537" s="18"/>
      <c r="B537" s="18"/>
      <c r="C537" s="18"/>
      <c r="D537" s="18"/>
      <c r="E537" s="18"/>
      <c r="F537" s="18"/>
      <c r="G537" s="22"/>
      <c r="H537" s="18"/>
      <c r="I537" s="18">
        <v>0.0</v>
      </c>
      <c r="J537" s="18">
        <v>0.0</v>
      </c>
      <c r="K537" s="18"/>
      <c r="L537" s="18"/>
      <c r="M537" s="22" t="str">
        <f t="shared" si="1"/>
        <v/>
      </c>
      <c r="N537" s="18" t="str">
        <f>IF(A537="",,IF(ROW()=2, Input!$C$2 + I537, P536 + I537))</f>
        <v/>
      </c>
      <c r="O537" s="23" t="str">
        <f>IF(A537="",,
 IF(K537="Initial principal",
   Input!$C$2 * M537,
   N537 * M537
 )
)</f>
        <v/>
      </c>
      <c r="P537" s="18" t="str">
        <f t="shared" si="2"/>
        <v/>
      </c>
      <c r="Q537" s="18" t="str">
        <f t="shared" si="3"/>
        <v/>
      </c>
      <c r="R537" s="18" t="str">
        <f t="array" ref="R537">IF(
  B537="",
  ,
  SWITCH(
    Input!$C$4,
    "Actual/365 Fixed",
      YEARFRAC(
        B537 + IF(INDEX(Input!$K$7:$K1503,ROW()-1),0,1),
        C537 + IF(INDEX(Input!$L$7:$L1503,ROW()-1),1,0),
        3
      ),
    "Anniversary/365",
      DATEDIF(
        B537 + IF(INDEX(Input!$K$7:$K1503,ROW()-1),0,1),
        C537 + IF(INDEX(Input!$L$7:$L1503,ROW()-1),1,0),
        "Y"
      )
      +
      (
        (C537 + IF(INDEX(Input!$L$7:$L1503,ROW()-1),1,0))
        -
        EDATE(
          B537 + IF(INDEX(Input!$K$7:$K1503,ROW()-1),0,1),
          12*DATEDIF(
            B537 + IF(INDEX(Input!$K$7:$K1503,ROW()-1),0,1),
            C537 + IF(INDEX(Input!$L$7:$L1503,ROW()-1),1,0),
            "Y"
          )
        )
      ) / 365,
    "Actual/Actual",
      YEARFRAC(
        B537 + IF(INDEX(Input!$K$7:$K1503,ROW()-1),0,1),
        C537 + IF(INDEX(Input!$L$7:$L1503,ROW()-1),1,0),
        1
      ),
      YEARFRAC(
        B537 + IF(INDEX(Input!$K$7:$K1503,ROW()-1),0,1),
        C537 + IF(INDEX(Input!$L$7:$L1503,ROW()-1),1,0),
        3
      )
  )
)</f>
        <v/>
      </c>
      <c r="S537" s="22" t="str">
        <f t="shared" si="4"/>
        <v/>
      </c>
      <c r="T537" s="6" t="str">
        <f t="array" ref="T537">IF(
  B537="",
  ,
  DATEDIF(
    B537 + IF(INDEX(Input!$K$7:$K1503,ROW()-1),0,1),
    C537 + IF(INDEX(Input!$L$7:$L1503,ROW()-1),1,0),
    "Y"
  )
)</f>
        <v/>
      </c>
      <c r="U537" s="6" t="str">
        <f t="array" ref="U537">IF(
  B537="",
  ,
  (C537 + IF(INDEX(Input!$L$7:$L1503,ROW()-1),1,0))
  - EDATE(
      B537 + IF(INDEX(Input!$K$7:$K1503,ROW()-1),0,1),
      12*S537
    )
)</f>
        <v/>
      </c>
      <c r="V537" s="6" t="str">
        <f t="shared" si="5"/>
        <v/>
      </c>
      <c r="W537" s="6" t="str">
        <f t="shared" si="6"/>
        <v/>
      </c>
    </row>
    <row r="538">
      <c r="A538" s="18"/>
      <c r="B538" s="18"/>
      <c r="C538" s="18"/>
      <c r="D538" s="18"/>
      <c r="E538" s="18"/>
      <c r="F538" s="18"/>
      <c r="G538" s="22"/>
      <c r="H538" s="18"/>
      <c r="I538" s="18">
        <v>0.0</v>
      </c>
      <c r="J538" s="18">
        <v>0.0</v>
      </c>
      <c r="K538" s="18"/>
      <c r="L538" s="18"/>
      <c r="M538" s="22" t="str">
        <f t="shared" si="1"/>
        <v/>
      </c>
      <c r="N538" s="18" t="str">
        <f>IF(A538="",,IF(ROW()=2, Input!$C$2 + I538, P537 + I538))</f>
        <v/>
      </c>
      <c r="O538" s="23" t="str">
        <f>IF(A538="",,
 IF(K538="Initial principal",
   Input!$C$2 * M538,
   N538 * M538
 )
)</f>
        <v/>
      </c>
      <c r="P538" s="18" t="str">
        <f t="shared" si="2"/>
        <v/>
      </c>
      <c r="Q538" s="18" t="str">
        <f t="shared" si="3"/>
        <v/>
      </c>
      <c r="R538" s="18" t="str">
        <f t="array" ref="R538">IF(
  B538="",
  ,
  SWITCH(
    Input!$C$4,
    "Actual/365 Fixed",
      YEARFRAC(
        B538 + IF(INDEX(Input!$K$7:$K1503,ROW()-1),0,1),
        C538 + IF(INDEX(Input!$L$7:$L1503,ROW()-1),1,0),
        3
      ),
    "Anniversary/365",
      DATEDIF(
        B538 + IF(INDEX(Input!$K$7:$K1503,ROW()-1),0,1),
        C538 + IF(INDEX(Input!$L$7:$L1503,ROW()-1),1,0),
        "Y"
      )
      +
      (
        (C538 + IF(INDEX(Input!$L$7:$L1503,ROW()-1),1,0))
        -
        EDATE(
          B538 + IF(INDEX(Input!$K$7:$K1503,ROW()-1),0,1),
          12*DATEDIF(
            B538 + IF(INDEX(Input!$K$7:$K1503,ROW()-1),0,1),
            C538 + IF(INDEX(Input!$L$7:$L1503,ROW()-1),1,0),
            "Y"
          )
        )
      ) / 365,
    "Actual/Actual",
      YEARFRAC(
        B538 + IF(INDEX(Input!$K$7:$K1503,ROW()-1),0,1),
        C538 + IF(INDEX(Input!$L$7:$L1503,ROW()-1),1,0),
        1
      ),
      YEARFRAC(
        B538 + IF(INDEX(Input!$K$7:$K1503,ROW()-1),0,1),
        C538 + IF(INDEX(Input!$L$7:$L1503,ROW()-1),1,0),
        3
      )
  )
)</f>
        <v/>
      </c>
      <c r="S538" s="22" t="str">
        <f t="shared" si="4"/>
        <v/>
      </c>
      <c r="T538" s="6" t="str">
        <f t="array" ref="T538">IF(
  B538="",
  ,
  DATEDIF(
    B538 + IF(INDEX(Input!$K$7:$K1503,ROW()-1),0,1),
    C538 + IF(INDEX(Input!$L$7:$L1503,ROW()-1),1,0),
    "Y"
  )
)</f>
        <v/>
      </c>
      <c r="U538" s="6" t="str">
        <f t="array" ref="U538">IF(
  B538="",
  ,
  (C538 + IF(INDEX(Input!$L$7:$L1503,ROW()-1),1,0))
  - EDATE(
      B538 + IF(INDEX(Input!$K$7:$K1503,ROW()-1),0,1),
      12*S538
    )
)</f>
        <v/>
      </c>
      <c r="V538" s="6" t="str">
        <f t="shared" si="5"/>
        <v/>
      </c>
      <c r="W538" s="6" t="str">
        <f t="shared" si="6"/>
        <v/>
      </c>
    </row>
    <row r="539">
      <c r="A539" s="18"/>
      <c r="B539" s="18"/>
      <c r="C539" s="18"/>
      <c r="D539" s="18"/>
      <c r="E539" s="18"/>
      <c r="F539" s="18"/>
      <c r="G539" s="22"/>
      <c r="H539" s="18"/>
      <c r="I539" s="18">
        <v>0.0</v>
      </c>
      <c r="J539" s="18">
        <v>0.0</v>
      </c>
      <c r="K539" s="18"/>
      <c r="L539" s="18"/>
      <c r="M539" s="22" t="str">
        <f t="shared" si="1"/>
        <v/>
      </c>
      <c r="N539" s="18" t="str">
        <f>IF(A539="",,IF(ROW()=2, Input!$C$2 + I539, P538 + I539))</f>
        <v/>
      </c>
      <c r="O539" s="23" t="str">
        <f>IF(A539="",,
 IF(K539="Initial principal",
   Input!$C$2 * M539,
   N539 * M539
 )
)</f>
        <v/>
      </c>
      <c r="P539" s="18" t="str">
        <f t="shared" si="2"/>
        <v/>
      </c>
      <c r="Q539" s="18" t="str">
        <f t="shared" si="3"/>
        <v/>
      </c>
      <c r="R539" s="18" t="str">
        <f t="array" ref="R539">IF(
  B539="",
  ,
  SWITCH(
    Input!$C$4,
    "Actual/365 Fixed",
      YEARFRAC(
        B539 + IF(INDEX(Input!$K$7:$K1503,ROW()-1),0,1),
        C539 + IF(INDEX(Input!$L$7:$L1503,ROW()-1),1,0),
        3
      ),
    "Anniversary/365",
      DATEDIF(
        B539 + IF(INDEX(Input!$K$7:$K1503,ROW()-1),0,1),
        C539 + IF(INDEX(Input!$L$7:$L1503,ROW()-1),1,0),
        "Y"
      )
      +
      (
        (C539 + IF(INDEX(Input!$L$7:$L1503,ROW()-1),1,0))
        -
        EDATE(
          B539 + IF(INDEX(Input!$K$7:$K1503,ROW()-1),0,1),
          12*DATEDIF(
            B539 + IF(INDEX(Input!$K$7:$K1503,ROW()-1),0,1),
            C539 + IF(INDEX(Input!$L$7:$L1503,ROW()-1),1,0),
            "Y"
          )
        )
      ) / 365,
    "Actual/Actual",
      YEARFRAC(
        B539 + IF(INDEX(Input!$K$7:$K1503,ROW()-1),0,1),
        C539 + IF(INDEX(Input!$L$7:$L1503,ROW()-1),1,0),
        1
      ),
      YEARFRAC(
        B539 + IF(INDEX(Input!$K$7:$K1503,ROW()-1),0,1),
        C539 + IF(INDEX(Input!$L$7:$L1503,ROW()-1),1,0),
        3
      )
  )
)</f>
        <v/>
      </c>
      <c r="S539" s="22" t="str">
        <f t="shared" si="4"/>
        <v/>
      </c>
      <c r="T539" s="6" t="str">
        <f t="array" ref="T539">IF(
  B539="",
  ,
  DATEDIF(
    B539 + IF(INDEX(Input!$K$7:$K1503,ROW()-1),0,1),
    C539 + IF(INDEX(Input!$L$7:$L1503,ROW()-1),1,0),
    "Y"
  )
)</f>
        <v/>
      </c>
      <c r="U539" s="6" t="str">
        <f t="array" ref="U539">IF(
  B539="",
  ,
  (C539 + IF(INDEX(Input!$L$7:$L1503,ROW()-1),1,0))
  - EDATE(
      B539 + IF(INDEX(Input!$K$7:$K1503,ROW()-1),0,1),
      12*S539
    )
)</f>
        <v/>
      </c>
      <c r="V539" s="6" t="str">
        <f t="shared" si="5"/>
        <v/>
      </c>
      <c r="W539" s="6" t="str">
        <f t="shared" si="6"/>
        <v/>
      </c>
    </row>
    <row r="540">
      <c r="A540" s="18"/>
      <c r="B540" s="18"/>
      <c r="C540" s="18"/>
      <c r="D540" s="18"/>
      <c r="E540" s="18"/>
      <c r="F540" s="18"/>
      <c r="G540" s="22"/>
      <c r="H540" s="18"/>
      <c r="I540" s="18">
        <v>0.0</v>
      </c>
      <c r="J540" s="18">
        <v>0.0</v>
      </c>
      <c r="K540" s="18"/>
      <c r="L540" s="18"/>
      <c r="M540" s="22" t="str">
        <f t="shared" si="1"/>
        <v/>
      </c>
      <c r="N540" s="18" t="str">
        <f>IF(A540="",,IF(ROW()=2, Input!$C$2 + I540, P539 + I540))</f>
        <v/>
      </c>
      <c r="O540" s="23" t="str">
        <f>IF(A540="",,
 IF(K540="Initial principal",
   Input!$C$2 * M540,
   N540 * M540
 )
)</f>
        <v/>
      </c>
      <c r="P540" s="18" t="str">
        <f t="shared" si="2"/>
        <v/>
      </c>
      <c r="Q540" s="18" t="str">
        <f t="shared" si="3"/>
        <v/>
      </c>
      <c r="R540" s="18" t="str">
        <f t="array" ref="R540">IF(
  B540="",
  ,
  SWITCH(
    Input!$C$4,
    "Actual/365 Fixed",
      YEARFRAC(
        B540 + IF(INDEX(Input!$K$7:$K1503,ROW()-1),0,1),
        C540 + IF(INDEX(Input!$L$7:$L1503,ROW()-1),1,0),
        3
      ),
    "Anniversary/365",
      DATEDIF(
        B540 + IF(INDEX(Input!$K$7:$K1503,ROW()-1),0,1),
        C540 + IF(INDEX(Input!$L$7:$L1503,ROW()-1),1,0),
        "Y"
      )
      +
      (
        (C540 + IF(INDEX(Input!$L$7:$L1503,ROW()-1),1,0))
        -
        EDATE(
          B540 + IF(INDEX(Input!$K$7:$K1503,ROW()-1),0,1),
          12*DATEDIF(
            B540 + IF(INDEX(Input!$K$7:$K1503,ROW()-1),0,1),
            C540 + IF(INDEX(Input!$L$7:$L1503,ROW()-1),1,0),
            "Y"
          )
        )
      ) / 365,
    "Actual/Actual",
      YEARFRAC(
        B540 + IF(INDEX(Input!$K$7:$K1503,ROW()-1),0,1),
        C540 + IF(INDEX(Input!$L$7:$L1503,ROW()-1),1,0),
        1
      ),
      YEARFRAC(
        B540 + IF(INDEX(Input!$K$7:$K1503,ROW()-1),0,1),
        C540 + IF(INDEX(Input!$L$7:$L1503,ROW()-1),1,0),
        3
      )
  )
)</f>
        <v/>
      </c>
      <c r="S540" s="22" t="str">
        <f t="shared" si="4"/>
        <v/>
      </c>
      <c r="T540" s="6" t="str">
        <f t="array" ref="T540">IF(
  B540="",
  ,
  DATEDIF(
    B540 + IF(INDEX(Input!$K$7:$K1503,ROW()-1),0,1),
    C540 + IF(INDEX(Input!$L$7:$L1503,ROW()-1),1,0),
    "Y"
  )
)</f>
        <v/>
      </c>
      <c r="U540" s="6" t="str">
        <f t="array" ref="U540">IF(
  B540="",
  ,
  (C540 + IF(INDEX(Input!$L$7:$L1503,ROW()-1),1,0))
  - EDATE(
      B540 + IF(INDEX(Input!$K$7:$K1503,ROW()-1),0,1),
      12*S540
    )
)</f>
        <v/>
      </c>
      <c r="V540" s="6" t="str">
        <f t="shared" si="5"/>
        <v/>
      </c>
      <c r="W540" s="6" t="str">
        <f t="shared" si="6"/>
        <v/>
      </c>
    </row>
    <row r="541">
      <c r="A541" s="18"/>
      <c r="B541" s="18"/>
      <c r="C541" s="18"/>
      <c r="D541" s="18"/>
      <c r="E541" s="18"/>
      <c r="F541" s="18"/>
      <c r="G541" s="22"/>
      <c r="H541" s="18"/>
      <c r="I541" s="18">
        <v>0.0</v>
      </c>
      <c r="J541" s="18">
        <v>0.0</v>
      </c>
      <c r="K541" s="18"/>
      <c r="L541" s="18"/>
      <c r="M541" s="22" t="str">
        <f t="shared" si="1"/>
        <v/>
      </c>
      <c r="N541" s="18" t="str">
        <f>IF(A541="",,IF(ROW()=2, Input!$C$2 + I541, P540 + I541))</f>
        <v/>
      </c>
      <c r="O541" s="23" t="str">
        <f>IF(A541="",,
 IF(K541="Initial principal",
   Input!$C$2 * M541,
   N541 * M541
 )
)</f>
        <v/>
      </c>
      <c r="P541" s="18" t="str">
        <f t="shared" si="2"/>
        <v/>
      </c>
      <c r="Q541" s="18" t="str">
        <f t="shared" si="3"/>
        <v/>
      </c>
      <c r="R541" s="18" t="str">
        <f t="array" ref="R541">IF(
  B541="",
  ,
  SWITCH(
    Input!$C$4,
    "Actual/365 Fixed",
      YEARFRAC(
        B541 + IF(INDEX(Input!$K$7:$K1503,ROW()-1),0,1),
        C541 + IF(INDEX(Input!$L$7:$L1503,ROW()-1),1,0),
        3
      ),
    "Anniversary/365",
      DATEDIF(
        B541 + IF(INDEX(Input!$K$7:$K1503,ROW()-1),0,1),
        C541 + IF(INDEX(Input!$L$7:$L1503,ROW()-1),1,0),
        "Y"
      )
      +
      (
        (C541 + IF(INDEX(Input!$L$7:$L1503,ROW()-1),1,0))
        -
        EDATE(
          B541 + IF(INDEX(Input!$K$7:$K1503,ROW()-1),0,1),
          12*DATEDIF(
            B541 + IF(INDEX(Input!$K$7:$K1503,ROW()-1),0,1),
            C541 + IF(INDEX(Input!$L$7:$L1503,ROW()-1),1,0),
            "Y"
          )
        )
      ) / 365,
    "Actual/Actual",
      YEARFRAC(
        B541 + IF(INDEX(Input!$K$7:$K1503,ROW()-1),0,1),
        C541 + IF(INDEX(Input!$L$7:$L1503,ROW()-1),1,0),
        1
      ),
      YEARFRAC(
        B541 + IF(INDEX(Input!$K$7:$K1503,ROW()-1),0,1),
        C541 + IF(INDEX(Input!$L$7:$L1503,ROW()-1),1,0),
        3
      )
  )
)</f>
        <v/>
      </c>
      <c r="S541" s="22" t="str">
        <f t="shared" si="4"/>
        <v/>
      </c>
      <c r="T541" s="6" t="str">
        <f t="array" ref="T541">IF(
  B541="",
  ,
  DATEDIF(
    B541 + IF(INDEX(Input!$K$7:$K1503,ROW()-1),0,1),
    C541 + IF(INDEX(Input!$L$7:$L1503,ROW()-1),1,0),
    "Y"
  )
)</f>
        <v/>
      </c>
      <c r="U541" s="6" t="str">
        <f t="array" ref="U541">IF(
  B541="",
  ,
  (C541 + IF(INDEX(Input!$L$7:$L1503,ROW()-1),1,0))
  - EDATE(
      B541 + IF(INDEX(Input!$K$7:$K1503,ROW()-1),0,1),
      12*S541
    )
)</f>
        <v/>
      </c>
      <c r="V541" s="6" t="str">
        <f t="shared" si="5"/>
        <v/>
      </c>
      <c r="W541" s="6" t="str">
        <f t="shared" si="6"/>
        <v/>
      </c>
    </row>
    <row r="542">
      <c r="A542" s="18"/>
      <c r="B542" s="18"/>
      <c r="C542" s="18"/>
      <c r="D542" s="18"/>
      <c r="E542" s="18"/>
      <c r="F542" s="18"/>
      <c r="G542" s="22"/>
      <c r="H542" s="18"/>
      <c r="I542" s="18">
        <v>0.0</v>
      </c>
      <c r="J542" s="18">
        <v>0.0</v>
      </c>
      <c r="K542" s="18"/>
      <c r="L542" s="18"/>
      <c r="M542" s="22" t="str">
        <f t="shared" si="1"/>
        <v/>
      </c>
      <c r="N542" s="18" t="str">
        <f>IF(A542="",,IF(ROW()=2, Input!$C$2 + I542, P541 + I542))</f>
        <v/>
      </c>
      <c r="O542" s="23" t="str">
        <f>IF(A542="",,
 IF(K542="Initial principal",
   Input!$C$2 * M542,
   N542 * M542
 )
)</f>
        <v/>
      </c>
      <c r="P542" s="18" t="str">
        <f t="shared" si="2"/>
        <v/>
      </c>
      <c r="Q542" s="18" t="str">
        <f t="shared" si="3"/>
        <v/>
      </c>
      <c r="R542" s="18" t="str">
        <f t="array" ref="R542">IF(
  B542="",
  ,
  SWITCH(
    Input!$C$4,
    "Actual/365 Fixed",
      YEARFRAC(
        B542 + IF(INDEX(Input!$K$7:$K1503,ROW()-1),0,1),
        C542 + IF(INDEX(Input!$L$7:$L1503,ROW()-1),1,0),
        3
      ),
    "Anniversary/365",
      DATEDIF(
        B542 + IF(INDEX(Input!$K$7:$K1503,ROW()-1),0,1),
        C542 + IF(INDEX(Input!$L$7:$L1503,ROW()-1),1,0),
        "Y"
      )
      +
      (
        (C542 + IF(INDEX(Input!$L$7:$L1503,ROW()-1),1,0))
        -
        EDATE(
          B542 + IF(INDEX(Input!$K$7:$K1503,ROW()-1),0,1),
          12*DATEDIF(
            B542 + IF(INDEX(Input!$K$7:$K1503,ROW()-1),0,1),
            C542 + IF(INDEX(Input!$L$7:$L1503,ROW()-1),1,0),
            "Y"
          )
        )
      ) / 365,
    "Actual/Actual",
      YEARFRAC(
        B542 + IF(INDEX(Input!$K$7:$K1503,ROW()-1),0,1),
        C542 + IF(INDEX(Input!$L$7:$L1503,ROW()-1),1,0),
        1
      ),
      YEARFRAC(
        B542 + IF(INDEX(Input!$K$7:$K1503,ROW()-1),0,1),
        C542 + IF(INDEX(Input!$L$7:$L1503,ROW()-1),1,0),
        3
      )
  )
)</f>
        <v/>
      </c>
      <c r="S542" s="22" t="str">
        <f t="shared" si="4"/>
        <v/>
      </c>
      <c r="T542" s="6" t="str">
        <f t="array" ref="T542">IF(
  B542="",
  ,
  DATEDIF(
    B542 + IF(INDEX(Input!$K$7:$K1503,ROW()-1),0,1),
    C542 + IF(INDEX(Input!$L$7:$L1503,ROW()-1),1,0),
    "Y"
  )
)</f>
        <v/>
      </c>
      <c r="U542" s="6" t="str">
        <f t="array" ref="U542">IF(
  B542="",
  ,
  (C542 + IF(INDEX(Input!$L$7:$L1503,ROW()-1),1,0))
  - EDATE(
      B542 + IF(INDEX(Input!$K$7:$K1503,ROW()-1),0,1),
      12*S542
    )
)</f>
        <v/>
      </c>
      <c r="V542" s="6" t="str">
        <f t="shared" si="5"/>
        <v/>
      </c>
      <c r="W542" s="6" t="str">
        <f t="shared" si="6"/>
        <v/>
      </c>
    </row>
    <row r="543">
      <c r="A543" s="18"/>
      <c r="B543" s="18"/>
      <c r="C543" s="18"/>
      <c r="D543" s="18"/>
      <c r="E543" s="18"/>
      <c r="F543" s="18"/>
      <c r="G543" s="22"/>
      <c r="H543" s="18"/>
      <c r="I543" s="18">
        <v>0.0</v>
      </c>
      <c r="J543" s="18">
        <v>0.0</v>
      </c>
      <c r="K543" s="18"/>
      <c r="L543" s="18"/>
      <c r="M543" s="22" t="str">
        <f t="shared" si="1"/>
        <v/>
      </c>
      <c r="N543" s="18" t="str">
        <f>IF(A543="",,IF(ROW()=2, Input!$C$2 + I543, P542 + I543))</f>
        <v/>
      </c>
      <c r="O543" s="23" t="str">
        <f>IF(A543="",,
 IF(K543="Initial principal",
   Input!$C$2 * M543,
   N543 * M543
 )
)</f>
        <v/>
      </c>
      <c r="P543" s="18" t="str">
        <f t="shared" si="2"/>
        <v/>
      </c>
      <c r="Q543" s="18" t="str">
        <f t="shared" si="3"/>
        <v/>
      </c>
      <c r="R543" s="18" t="str">
        <f t="array" ref="R543">IF(
  B543="",
  ,
  SWITCH(
    Input!$C$4,
    "Actual/365 Fixed",
      YEARFRAC(
        B543 + IF(INDEX(Input!$K$7:$K1503,ROW()-1),0,1),
        C543 + IF(INDEX(Input!$L$7:$L1503,ROW()-1),1,0),
        3
      ),
    "Anniversary/365",
      DATEDIF(
        B543 + IF(INDEX(Input!$K$7:$K1503,ROW()-1),0,1),
        C543 + IF(INDEX(Input!$L$7:$L1503,ROW()-1),1,0),
        "Y"
      )
      +
      (
        (C543 + IF(INDEX(Input!$L$7:$L1503,ROW()-1),1,0))
        -
        EDATE(
          B543 + IF(INDEX(Input!$K$7:$K1503,ROW()-1),0,1),
          12*DATEDIF(
            B543 + IF(INDEX(Input!$K$7:$K1503,ROW()-1),0,1),
            C543 + IF(INDEX(Input!$L$7:$L1503,ROW()-1),1,0),
            "Y"
          )
        )
      ) / 365,
    "Actual/Actual",
      YEARFRAC(
        B543 + IF(INDEX(Input!$K$7:$K1503,ROW()-1),0,1),
        C543 + IF(INDEX(Input!$L$7:$L1503,ROW()-1),1,0),
        1
      ),
      YEARFRAC(
        B543 + IF(INDEX(Input!$K$7:$K1503,ROW()-1),0,1),
        C543 + IF(INDEX(Input!$L$7:$L1503,ROW()-1),1,0),
        3
      )
  )
)</f>
        <v/>
      </c>
      <c r="S543" s="22" t="str">
        <f t="shared" si="4"/>
        <v/>
      </c>
      <c r="T543" s="6" t="str">
        <f t="array" ref="T543">IF(
  B543="",
  ,
  DATEDIF(
    B543 + IF(INDEX(Input!$K$7:$K1503,ROW()-1),0,1),
    C543 + IF(INDEX(Input!$L$7:$L1503,ROW()-1),1,0),
    "Y"
  )
)</f>
        <v/>
      </c>
      <c r="U543" s="6" t="str">
        <f t="array" ref="U543">IF(
  B543="",
  ,
  (C543 + IF(INDEX(Input!$L$7:$L1503,ROW()-1),1,0))
  - EDATE(
      B543 + IF(INDEX(Input!$K$7:$K1503,ROW()-1),0,1),
      12*S543
    )
)</f>
        <v/>
      </c>
      <c r="V543" s="6" t="str">
        <f t="shared" si="5"/>
        <v/>
      </c>
      <c r="W543" s="6" t="str">
        <f t="shared" si="6"/>
        <v/>
      </c>
    </row>
    <row r="544">
      <c r="A544" s="18"/>
      <c r="B544" s="18"/>
      <c r="C544" s="18"/>
      <c r="D544" s="18"/>
      <c r="E544" s="18"/>
      <c r="F544" s="18"/>
      <c r="G544" s="22"/>
      <c r="H544" s="18"/>
      <c r="I544" s="18">
        <v>0.0</v>
      </c>
      <c r="J544" s="18">
        <v>0.0</v>
      </c>
      <c r="K544" s="18"/>
      <c r="L544" s="18"/>
      <c r="M544" s="22" t="str">
        <f t="shared" si="1"/>
        <v/>
      </c>
      <c r="N544" s="18" t="str">
        <f>IF(A544="",,IF(ROW()=2, Input!$C$2 + I544, P543 + I544))</f>
        <v/>
      </c>
      <c r="O544" s="23" t="str">
        <f>IF(A544="",,
 IF(K544="Initial principal",
   Input!$C$2 * M544,
   N544 * M544
 )
)</f>
        <v/>
      </c>
      <c r="P544" s="18" t="str">
        <f t="shared" si="2"/>
        <v/>
      </c>
      <c r="Q544" s="18" t="str">
        <f t="shared" si="3"/>
        <v/>
      </c>
      <c r="R544" s="18" t="str">
        <f t="array" ref="R544">IF(
  B544="",
  ,
  SWITCH(
    Input!$C$4,
    "Actual/365 Fixed",
      YEARFRAC(
        B544 + IF(INDEX(Input!$K$7:$K1503,ROW()-1),0,1),
        C544 + IF(INDEX(Input!$L$7:$L1503,ROW()-1),1,0),
        3
      ),
    "Anniversary/365",
      DATEDIF(
        B544 + IF(INDEX(Input!$K$7:$K1503,ROW()-1),0,1),
        C544 + IF(INDEX(Input!$L$7:$L1503,ROW()-1),1,0),
        "Y"
      )
      +
      (
        (C544 + IF(INDEX(Input!$L$7:$L1503,ROW()-1),1,0))
        -
        EDATE(
          B544 + IF(INDEX(Input!$K$7:$K1503,ROW()-1),0,1),
          12*DATEDIF(
            B544 + IF(INDEX(Input!$K$7:$K1503,ROW()-1),0,1),
            C544 + IF(INDEX(Input!$L$7:$L1503,ROW()-1),1,0),
            "Y"
          )
        )
      ) / 365,
    "Actual/Actual",
      YEARFRAC(
        B544 + IF(INDEX(Input!$K$7:$K1503,ROW()-1),0,1),
        C544 + IF(INDEX(Input!$L$7:$L1503,ROW()-1),1,0),
        1
      ),
      YEARFRAC(
        B544 + IF(INDEX(Input!$K$7:$K1503,ROW()-1),0,1),
        C544 + IF(INDEX(Input!$L$7:$L1503,ROW()-1),1,0),
        3
      )
  )
)</f>
        <v/>
      </c>
      <c r="S544" s="22" t="str">
        <f t="shared" si="4"/>
        <v/>
      </c>
      <c r="T544" s="6" t="str">
        <f t="array" ref="T544">IF(
  B544="",
  ,
  DATEDIF(
    B544 + IF(INDEX(Input!$K$7:$K1503,ROW()-1),0,1),
    C544 + IF(INDEX(Input!$L$7:$L1503,ROW()-1),1,0),
    "Y"
  )
)</f>
        <v/>
      </c>
      <c r="U544" s="6" t="str">
        <f t="array" ref="U544">IF(
  B544="",
  ,
  (C544 + IF(INDEX(Input!$L$7:$L1503,ROW()-1),1,0))
  - EDATE(
      B544 + IF(INDEX(Input!$K$7:$K1503,ROW()-1),0,1),
      12*S544
    )
)</f>
        <v/>
      </c>
      <c r="V544" s="6" t="str">
        <f t="shared" si="5"/>
        <v/>
      </c>
      <c r="W544" s="6" t="str">
        <f t="shared" si="6"/>
        <v/>
      </c>
    </row>
    <row r="545">
      <c r="A545" s="18"/>
      <c r="B545" s="18"/>
      <c r="C545" s="18"/>
      <c r="D545" s="18"/>
      <c r="E545" s="18"/>
      <c r="F545" s="18"/>
      <c r="G545" s="22"/>
      <c r="H545" s="18"/>
      <c r="I545" s="18">
        <v>0.0</v>
      </c>
      <c r="J545" s="18">
        <v>0.0</v>
      </c>
      <c r="K545" s="18"/>
      <c r="L545" s="18"/>
      <c r="M545" s="22" t="str">
        <f t="shared" si="1"/>
        <v/>
      </c>
      <c r="N545" s="18" t="str">
        <f>IF(A545="",,IF(ROW()=2, Input!$C$2 + I545, P544 + I545))</f>
        <v/>
      </c>
      <c r="O545" s="23" t="str">
        <f>IF(A545="",,
 IF(K545="Initial principal",
   Input!$C$2 * M545,
   N545 * M545
 )
)</f>
        <v/>
      </c>
      <c r="P545" s="18" t="str">
        <f t="shared" si="2"/>
        <v/>
      </c>
      <c r="Q545" s="18" t="str">
        <f t="shared" si="3"/>
        <v/>
      </c>
      <c r="R545" s="18" t="str">
        <f t="array" ref="R545">IF(
  B545="",
  ,
  SWITCH(
    Input!$C$4,
    "Actual/365 Fixed",
      YEARFRAC(
        B545 + IF(INDEX(Input!$K$7:$K1503,ROW()-1),0,1),
        C545 + IF(INDEX(Input!$L$7:$L1503,ROW()-1),1,0),
        3
      ),
    "Anniversary/365",
      DATEDIF(
        B545 + IF(INDEX(Input!$K$7:$K1503,ROW()-1),0,1),
        C545 + IF(INDEX(Input!$L$7:$L1503,ROW()-1),1,0),
        "Y"
      )
      +
      (
        (C545 + IF(INDEX(Input!$L$7:$L1503,ROW()-1),1,0))
        -
        EDATE(
          B545 + IF(INDEX(Input!$K$7:$K1503,ROW()-1),0,1),
          12*DATEDIF(
            B545 + IF(INDEX(Input!$K$7:$K1503,ROW()-1),0,1),
            C545 + IF(INDEX(Input!$L$7:$L1503,ROW()-1),1,0),
            "Y"
          )
        )
      ) / 365,
    "Actual/Actual",
      YEARFRAC(
        B545 + IF(INDEX(Input!$K$7:$K1503,ROW()-1),0,1),
        C545 + IF(INDEX(Input!$L$7:$L1503,ROW()-1),1,0),
        1
      ),
      YEARFRAC(
        B545 + IF(INDEX(Input!$K$7:$K1503,ROW()-1),0,1),
        C545 + IF(INDEX(Input!$L$7:$L1503,ROW()-1),1,0),
        3
      )
  )
)</f>
        <v/>
      </c>
      <c r="S545" s="22" t="str">
        <f t="shared" si="4"/>
        <v/>
      </c>
      <c r="T545" s="6" t="str">
        <f t="array" ref="T545">IF(
  B545="",
  ,
  DATEDIF(
    B545 + IF(INDEX(Input!$K$7:$K1503,ROW()-1),0,1),
    C545 + IF(INDEX(Input!$L$7:$L1503,ROW()-1),1,0),
    "Y"
  )
)</f>
        <v/>
      </c>
      <c r="U545" s="6" t="str">
        <f t="array" ref="U545">IF(
  B545="",
  ,
  (C545 + IF(INDEX(Input!$L$7:$L1503,ROW()-1),1,0))
  - EDATE(
      B545 + IF(INDEX(Input!$K$7:$K1503,ROW()-1),0,1),
      12*S545
    )
)</f>
        <v/>
      </c>
      <c r="V545" s="6" t="str">
        <f t="shared" si="5"/>
        <v/>
      </c>
      <c r="W545" s="6" t="str">
        <f t="shared" si="6"/>
        <v/>
      </c>
    </row>
    <row r="546">
      <c r="A546" s="18"/>
      <c r="B546" s="18"/>
      <c r="C546" s="18"/>
      <c r="D546" s="18"/>
      <c r="E546" s="18"/>
      <c r="F546" s="18"/>
      <c r="G546" s="22"/>
      <c r="H546" s="18"/>
      <c r="I546" s="18">
        <v>0.0</v>
      </c>
      <c r="J546" s="18">
        <v>0.0</v>
      </c>
      <c r="K546" s="18"/>
      <c r="L546" s="18"/>
      <c r="M546" s="22" t="str">
        <f t="shared" si="1"/>
        <v/>
      </c>
      <c r="N546" s="18" t="str">
        <f>IF(A546="",,IF(ROW()=2, Input!$C$2 + I546, P545 + I546))</f>
        <v/>
      </c>
      <c r="O546" s="23" t="str">
        <f>IF(A546="",,
 IF(K546="Initial principal",
   Input!$C$2 * M546,
   N546 * M546
 )
)</f>
        <v/>
      </c>
      <c r="P546" s="18" t="str">
        <f t="shared" si="2"/>
        <v/>
      </c>
      <c r="Q546" s="18" t="str">
        <f t="shared" si="3"/>
        <v/>
      </c>
      <c r="R546" s="18" t="str">
        <f t="array" ref="R546">IF(
  B546="",
  ,
  SWITCH(
    Input!$C$4,
    "Actual/365 Fixed",
      YEARFRAC(
        B546 + IF(INDEX(Input!$K$7:$K1503,ROW()-1),0,1),
        C546 + IF(INDEX(Input!$L$7:$L1503,ROW()-1),1,0),
        3
      ),
    "Anniversary/365",
      DATEDIF(
        B546 + IF(INDEX(Input!$K$7:$K1503,ROW()-1),0,1),
        C546 + IF(INDEX(Input!$L$7:$L1503,ROW()-1),1,0),
        "Y"
      )
      +
      (
        (C546 + IF(INDEX(Input!$L$7:$L1503,ROW()-1),1,0))
        -
        EDATE(
          B546 + IF(INDEX(Input!$K$7:$K1503,ROW()-1),0,1),
          12*DATEDIF(
            B546 + IF(INDEX(Input!$K$7:$K1503,ROW()-1),0,1),
            C546 + IF(INDEX(Input!$L$7:$L1503,ROW()-1),1,0),
            "Y"
          )
        )
      ) / 365,
    "Actual/Actual",
      YEARFRAC(
        B546 + IF(INDEX(Input!$K$7:$K1503,ROW()-1),0,1),
        C546 + IF(INDEX(Input!$L$7:$L1503,ROW()-1),1,0),
        1
      ),
      YEARFRAC(
        B546 + IF(INDEX(Input!$K$7:$K1503,ROW()-1),0,1),
        C546 + IF(INDEX(Input!$L$7:$L1503,ROW()-1),1,0),
        3
      )
  )
)</f>
        <v/>
      </c>
      <c r="S546" s="22" t="str">
        <f t="shared" si="4"/>
        <v/>
      </c>
      <c r="T546" s="6" t="str">
        <f t="array" ref="T546">IF(
  B546="",
  ,
  DATEDIF(
    B546 + IF(INDEX(Input!$K$7:$K1503,ROW()-1),0,1),
    C546 + IF(INDEX(Input!$L$7:$L1503,ROW()-1),1,0),
    "Y"
  )
)</f>
        <v/>
      </c>
      <c r="U546" s="6" t="str">
        <f t="array" ref="U546">IF(
  B546="",
  ,
  (C546 + IF(INDEX(Input!$L$7:$L1503,ROW()-1),1,0))
  - EDATE(
      B546 + IF(INDEX(Input!$K$7:$K1503,ROW()-1),0,1),
      12*S546
    )
)</f>
        <v/>
      </c>
      <c r="V546" s="6" t="str">
        <f t="shared" si="5"/>
        <v/>
      </c>
      <c r="W546" s="6" t="str">
        <f t="shared" si="6"/>
        <v/>
      </c>
    </row>
    <row r="547">
      <c r="A547" s="18"/>
      <c r="B547" s="18"/>
      <c r="C547" s="18"/>
      <c r="D547" s="18"/>
      <c r="E547" s="18"/>
      <c r="F547" s="18"/>
      <c r="G547" s="22"/>
      <c r="H547" s="18"/>
      <c r="I547" s="18">
        <v>0.0</v>
      </c>
      <c r="J547" s="18">
        <v>0.0</v>
      </c>
      <c r="K547" s="18"/>
      <c r="L547" s="18"/>
      <c r="M547" s="22" t="str">
        <f t="shared" si="1"/>
        <v/>
      </c>
      <c r="N547" s="18" t="str">
        <f>IF(A547="",,IF(ROW()=2, Input!$C$2 + I547, P546 + I547))</f>
        <v/>
      </c>
      <c r="O547" s="23" t="str">
        <f>IF(A547="",,
 IF(K547="Initial principal",
   Input!$C$2 * M547,
   N547 * M547
 )
)</f>
        <v/>
      </c>
      <c r="P547" s="18" t="str">
        <f t="shared" si="2"/>
        <v/>
      </c>
      <c r="Q547" s="18" t="str">
        <f t="shared" si="3"/>
        <v/>
      </c>
      <c r="R547" s="18" t="str">
        <f t="array" ref="R547">IF(
  B547="",
  ,
  SWITCH(
    Input!$C$4,
    "Actual/365 Fixed",
      YEARFRAC(
        B547 + IF(INDEX(Input!$K$7:$K1503,ROW()-1),0,1),
        C547 + IF(INDEX(Input!$L$7:$L1503,ROW()-1),1,0),
        3
      ),
    "Anniversary/365",
      DATEDIF(
        B547 + IF(INDEX(Input!$K$7:$K1503,ROW()-1),0,1),
        C547 + IF(INDEX(Input!$L$7:$L1503,ROW()-1),1,0),
        "Y"
      )
      +
      (
        (C547 + IF(INDEX(Input!$L$7:$L1503,ROW()-1),1,0))
        -
        EDATE(
          B547 + IF(INDEX(Input!$K$7:$K1503,ROW()-1),0,1),
          12*DATEDIF(
            B547 + IF(INDEX(Input!$K$7:$K1503,ROW()-1),0,1),
            C547 + IF(INDEX(Input!$L$7:$L1503,ROW()-1),1,0),
            "Y"
          )
        )
      ) / 365,
    "Actual/Actual",
      YEARFRAC(
        B547 + IF(INDEX(Input!$K$7:$K1503,ROW()-1),0,1),
        C547 + IF(INDEX(Input!$L$7:$L1503,ROW()-1),1,0),
        1
      ),
      YEARFRAC(
        B547 + IF(INDEX(Input!$K$7:$K1503,ROW()-1),0,1),
        C547 + IF(INDEX(Input!$L$7:$L1503,ROW()-1),1,0),
        3
      )
  )
)</f>
        <v/>
      </c>
      <c r="S547" s="22" t="str">
        <f t="shared" si="4"/>
        <v/>
      </c>
      <c r="T547" s="6" t="str">
        <f t="array" ref="T547">IF(
  B547="",
  ,
  DATEDIF(
    B547 + IF(INDEX(Input!$K$7:$K1503,ROW()-1),0,1),
    C547 + IF(INDEX(Input!$L$7:$L1503,ROW()-1),1,0),
    "Y"
  )
)</f>
        <v/>
      </c>
      <c r="U547" s="6" t="str">
        <f t="array" ref="U547">IF(
  B547="",
  ,
  (C547 + IF(INDEX(Input!$L$7:$L1503,ROW()-1),1,0))
  - EDATE(
      B547 + IF(INDEX(Input!$K$7:$K1503,ROW()-1),0,1),
      12*S547
    )
)</f>
        <v/>
      </c>
      <c r="V547" s="6" t="str">
        <f t="shared" si="5"/>
        <v/>
      </c>
      <c r="W547" s="6" t="str">
        <f t="shared" si="6"/>
        <v/>
      </c>
    </row>
    <row r="548">
      <c r="A548" s="18"/>
      <c r="B548" s="18"/>
      <c r="C548" s="18"/>
      <c r="D548" s="18"/>
      <c r="E548" s="18"/>
      <c r="F548" s="18"/>
      <c r="G548" s="22"/>
      <c r="H548" s="18"/>
      <c r="I548" s="18">
        <v>0.0</v>
      </c>
      <c r="J548" s="18">
        <v>0.0</v>
      </c>
      <c r="K548" s="18"/>
      <c r="L548" s="18"/>
      <c r="M548" s="22" t="str">
        <f t="shared" si="1"/>
        <v/>
      </c>
      <c r="N548" s="18" t="str">
        <f>IF(A548="",,IF(ROW()=2, Input!$C$2 + I548, P547 + I548))</f>
        <v/>
      </c>
      <c r="O548" s="23" t="str">
        <f>IF(A548="",,
 IF(K548="Initial principal",
   Input!$C$2 * M548,
   N548 * M548
 )
)</f>
        <v/>
      </c>
      <c r="P548" s="18" t="str">
        <f t="shared" si="2"/>
        <v/>
      </c>
      <c r="Q548" s="18" t="str">
        <f t="shared" si="3"/>
        <v/>
      </c>
      <c r="R548" s="18" t="str">
        <f t="array" ref="R548">IF(
  B548="",
  ,
  SWITCH(
    Input!$C$4,
    "Actual/365 Fixed",
      YEARFRAC(
        B548 + IF(INDEX(Input!$K$7:$K1503,ROW()-1),0,1),
        C548 + IF(INDEX(Input!$L$7:$L1503,ROW()-1),1,0),
        3
      ),
    "Anniversary/365",
      DATEDIF(
        B548 + IF(INDEX(Input!$K$7:$K1503,ROW()-1),0,1),
        C548 + IF(INDEX(Input!$L$7:$L1503,ROW()-1),1,0),
        "Y"
      )
      +
      (
        (C548 + IF(INDEX(Input!$L$7:$L1503,ROW()-1),1,0))
        -
        EDATE(
          B548 + IF(INDEX(Input!$K$7:$K1503,ROW()-1),0,1),
          12*DATEDIF(
            B548 + IF(INDEX(Input!$K$7:$K1503,ROW()-1),0,1),
            C548 + IF(INDEX(Input!$L$7:$L1503,ROW()-1),1,0),
            "Y"
          )
        )
      ) / 365,
    "Actual/Actual",
      YEARFRAC(
        B548 + IF(INDEX(Input!$K$7:$K1503,ROW()-1),0,1),
        C548 + IF(INDEX(Input!$L$7:$L1503,ROW()-1),1,0),
        1
      ),
      YEARFRAC(
        B548 + IF(INDEX(Input!$K$7:$K1503,ROW()-1),0,1),
        C548 + IF(INDEX(Input!$L$7:$L1503,ROW()-1),1,0),
        3
      )
  )
)</f>
        <v/>
      </c>
      <c r="S548" s="22" t="str">
        <f t="shared" si="4"/>
        <v/>
      </c>
      <c r="T548" s="6" t="str">
        <f t="array" ref="T548">IF(
  B548="",
  ,
  DATEDIF(
    B548 + IF(INDEX(Input!$K$7:$K1503,ROW()-1),0,1),
    C548 + IF(INDEX(Input!$L$7:$L1503,ROW()-1),1,0),
    "Y"
  )
)</f>
        <v/>
      </c>
      <c r="U548" s="6" t="str">
        <f t="array" ref="U548">IF(
  B548="",
  ,
  (C548 + IF(INDEX(Input!$L$7:$L1503,ROW()-1),1,0))
  - EDATE(
      B548 + IF(INDEX(Input!$K$7:$K1503,ROW()-1),0,1),
      12*S548
    )
)</f>
        <v/>
      </c>
      <c r="V548" s="6" t="str">
        <f t="shared" si="5"/>
        <v/>
      </c>
      <c r="W548" s="6" t="str">
        <f t="shared" si="6"/>
        <v/>
      </c>
    </row>
    <row r="549">
      <c r="A549" s="18"/>
      <c r="B549" s="18"/>
      <c r="C549" s="18"/>
      <c r="D549" s="18"/>
      <c r="E549" s="18"/>
      <c r="F549" s="18"/>
      <c r="G549" s="22"/>
      <c r="H549" s="18"/>
      <c r="I549" s="18">
        <v>0.0</v>
      </c>
      <c r="J549" s="18">
        <v>0.0</v>
      </c>
      <c r="K549" s="18"/>
      <c r="L549" s="18"/>
      <c r="M549" s="22" t="str">
        <f t="shared" si="1"/>
        <v/>
      </c>
      <c r="N549" s="18" t="str">
        <f>IF(A549="",,IF(ROW()=2, Input!$C$2 + I549, P548 + I549))</f>
        <v/>
      </c>
      <c r="O549" s="23" t="str">
        <f>IF(A549="",,
 IF(K549="Initial principal",
   Input!$C$2 * M549,
   N549 * M549
 )
)</f>
        <v/>
      </c>
      <c r="P549" s="18" t="str">
        <f t="shared" si="2"/>
        <v/>
      </c>
      <c r="Q549" s="18" t="str">
        <f t="shared" si="3"/>
        <v/>
      </c>
      <c r="R549" s="18" t="str">
        <f t="array" ref="R549">IF(
  B549="",
  ,
  SWITCH(
    Input!$C$4,
    "Actual/365 Fixed",
      YEARFRAC(
        B549 + IF(INDEX(Input!$K$7:$K1503,ROW()-1),0,1),
        C549 + IF(INDEX(Input!$L$7:$L1503,ROW()-1),1,0),
        3
      ),
    "Anniversary/365",
      DATEDIF(
        B549 + IF(INDEX(Input!$K$7:$K1503,ROW()-1),0,1),
        C549 + IF(INDEX(Input!$L$7:$L1503,ROW()-1),1,0),
        "Y"
      )
      +
      (
        (C549 + IF(INDEX(Input!$L$7:$L1503,ROW()-1),1,0))
        -
        EDATE(
          B549 + IF(INDEX(Input!$K$7:$K1503,ROW()-1),0,1),
          12*DATEDIF(
            B549 + IF(INDEX(Input!$K$7:$K1503,ROW()-1),0,1),
            C549 + IF(INDEX(Input!$L$7:$L1503,ROW()-1),1,0),
            "Y"
          )
        )
      ) / 365,
    "Actual/Actual",
      YEARFRAC(
        B549 + IF(INDEX(Input!$K$7:$K1503,ROW()-1),0,1),
        C549 + IF(INDEX(Input!$L$7:$L1503,ROW()-1),1,0),
        1
      ),
      YEARFRAC(
        B549 + IF(INDEX(Input!$K$7:$K1503,ROW()-1),0,1),
        C549 + IF(INDEX(Input!$L$7:$L1503,ROW()-1),1,0),
        3
      )
  )
)</f>
        <v/>
      </c>
      <c r="S549" s="22" t="str">
        <f t="shared" si="4"/>
        <v/>
      </c>
      <c r="T549" s="6" t="str">
        <f t="array" ref="T549">IF(
  B549="",
  ,
  DATEDIF(
    B549 + IF(INDEX(Input!$K$7:$K1503,ROW()-1),0,1),
    C549 + IF(INDEX(Input!$L$7:$L1503,ROW()-1),1,0),
    "Y"
  )
)</f>
        <v/>
      </c>
      <c r="U549" s="6" t="str">
        <f t="array" ref="U549">IF(
  B549="",
  ,
  (C549 + IF(INDEX(Input!$L$7:$L1503,ROW()-1),1,0))
  - EDATE(
      B549 + IF(INDEX(Input!$K$7:$K1503,ROW()-1),0,1),
      12*S549
    )
)</f>
        <v/>
      </c>
      <c r="V549" s="6" t="str">
        <f t="shared" si="5"/>
        <v/>
      </c>
      <c r="W549" s="6" t="str">
        <f t="shared" si="6"/>
        <v/>
      </c>
    </row>
    <row r="550">
      <c r="A550" s="18"/>
      <c r="B550" s="18"/>
      <c r="C550" s="18"/>
      <c r="D550" s="18"/>
      <c r="E550" s="18"/>
      <c r="F550" s="18"/>
      <c r="G550" s="22"/>
      <c r="H550" s="18"/>
      <c r="I550" s="18">
        <v>0.0</v>
      </c>
      <c r="J550" s="18">
        <v>0.0</v>
      </c>
      <c r="K550" s="18"/>
      <c r="L550" s="18"/>
      <c r="M550" s="22" t="str">
        <f t="shared" si="1"/>
        <v/>
      </c>
      <c r="N550" s="18" t="str">
        <f>IF(A550="",,IF(ROW()=2, Input!$C$2 + I550, P549 + I550))</f>
        <v/>
      </c>
      <c r="O550" s="23" t="str">
        <f>IF(A550="",,
 IF(K550="Initial principal",
   Input!$C$2 * M550,
   N550 * M550
 )
)</f>
        <v/>
      </c>
      <c r="P550" s="18" t="str">
        <f t="shared" si="2"/>
        <v/>
      </c>
      <c r="Q550" s="18" t="str">
        <f t="shared" si="3"/>
        <v/>
      </c>
      <c r="R550" s="18" t="str">
        <f t="array" ref="R550">IF(
  B550="",
  ,
  SWITCH(
    Input!$C$4,
    "Actual/365 Fixed",
      YEARFRAC(
        B550 + IF(INDEX(Input!$K$7:$K1503,ROW()-1),0,1),
        C550 + IF(INDEX(Input!$L$7:$L1503,ROW()-1),1,0),
        3
      ),
    "Anniversary/365",
      DATEDIF(
        B550 + IF(INDEX(Input!$K$7:$K1503,ROW()-1),0,1),
        C550 + IF(INDEX(Input!$L$7:$L1503,ROW()-1),1,0),
        "Y"
      )
      +
      (
        (C550 + IF(INDEX(Input!$L$7:$L1503,ROW()-1),1,0))
        -
        EDATE(
          B550 + IF(INDEX(Input!$K$7:$K1503,ROW()-1),0,1),
          12*DATEDIF(
            B550 + IF(INDEX(Input!$K$7:$K1503,ROW()-1),0,1),
            C550 + IF(INDEX(Input!$L$7:$L1503,ROW()-1),1,0),
            "Y"
          )
        )
      ) / 365,
    "Actual/Actual",
      YEARFRAC(
        B550 + IF(INDEX(Input!$K$7:$K1503,ROW()-1),0,1),
        C550 + IF(INDEX(Input!$L$7:$L1503,ROW()-1),1,0),
        1
      ),
      YEARFRAC(
        B550 + IF(INDEX(Input!$K$7:$K1503,ROW()-1),0,1),
        C550 + IF(INDEX(Input!$L$7:$L1503,ROW()-1),1,0),
        3
      )
  )
)</f>
        <v/>
      </c>
      <c r="S550" s="22" t="str">
        <f t="shared" si="4"/>
        <v/>
      </c>
      <c r="T550" s="6" t="str">
        <f t="array" ref="T550">IF(
  B550="",
  ,
  DATEDIF(
    B550 + IF(INDEX(Input!$K$7:$K1503,ROW()-1),0,1),
    C550 + IF(INDEX(Input!$L$7:$L1503,ROW()-1),1,0),
    "Y"
  )
)</f>
        <v/>
      </c>
      <c r="U550" s="6" t="str">
        <f t="array" ref="U550">IF(
  B550="",
  ,
  (C550 + IF(INDEX(Input!$L$7:$L1503,ROW()-1),1,0))
  - EDATE(
      B550 + IF(INDEX(Input!$K$7:$K1503,ROW()-1),0,1),
      12*S550
    )
)</f>
        <v/>
      </c>
      <c r="V550" s="6" t="str">
        <f t="shared" si="5"/>
        <v/>
      </c>
      <c r="W550" s="6" t="str">
        <f t="shared" si="6"/>
        <v/>
      </c>
    </row>
    <row r="551">
      <c r="A551" s="18"/>
      <c r="B551" s="18"/>
      <c r="C551" s="18"/>
      <c r="D551" s="18"/>
      <c r="E551" s="18"/>
      <c r="F551" s="18"/>
      <c r="G551" s="22"/>
      <c r="H551" s="18"/>
      <c r="I551" s="18">
        <v>0.0</v>
      </c>
      <c r="J551" s="18">
        <v>0.0</v>
      </c>
      <c r="K551" s="18"/>
      <c r="L551" s="18"/>
      <c r="M551" s="22" t="str">
        <f t="shared" si="1"/>
        <v/>
      </c>
      <c r="N551" s="18" t="str">
        <f>IF(A551="",,IF(ROW()=2, Input!$C$2 + I551, P550 + I551))</f>
        <v/>
      </c>
      <c r="O551" s="23" t="str">
        <f>IF(A551="",,
 IF(K551="Initial principal",
   Input!$C$2 * M551,
   N551 * M551
 )
)</f>
        <v/>
      </c>
      <c r="P551" s="18" t="str">
        <f t="shared" si="2"/>
        <v/>
      </c>
      <c r="Q551" s="18" t="str">
        <f t="shared" si="3"/>
        <v/>
      </c>
      <c r="R551" s="18" t="str">
        <f t="array" ref="R551">IF(
  B551="",
  ,
  SWITCH(
    Input!$C$4,
    "Actual/365 Fixed",
      YEARFRAC(
        B551 + IF(INDEX(Input!$K$7:$K1503,ROW()-1),0,1),
        C551 + IF(INDEX(Input!$L$7:$L1503,ROW()-1),1,0),
        3
      ),
    "Anniversary/365",
      DATEDIF(
        B551 + IF(INDEX(Input!$K$7:$K1503,ROW()-1),0,1),
        C551 + IF(INDEX(Input!$L$7:$L1503,ROW()-1),1,0),
        "Y"
      )
      +
      (
        (C551 + IF(INDEX(Input!$L$7:$L1503,ROW()-1),1,0))
        -
        EDATE(
          B551 + IF(INDEX(Input!$K$7:$K1503,ROW()-1),0,1),
          12*DATEDIF(
            B551 + IF(INDEX(Input!$K$7:$K1503,ROW()-1),0,1),
            C551 + IF(INDEX(Input!$L$7:$L1503,ROW()-1),1,0),
            "Y"
          )
        )
      ) / 365,
    "Actual/Actual",
      YEARFRAC(
        B551 + IF(INDEX(Input!$K$7:$K1503,ROW()-1),0,1),
        C551 + IF(INDEX(Input!$L$7:$L1503,ROW()-1),1,0),
        1
      ),
      YEARFRAC(
        B551 + IF(INDEX(Input!$K$7:$K1503,ROW()-1),0,1),
        C551 + IF(INDEX(Input!$L$7:$L1503,ROW()-1),1,0),
        3
      )
  )
)</f>
        <v/>
      </c>
      <c r="S551" s="22" t="str">
        <f t="shared" si="4"/>
        <v/>
      </c>
      <c r="T551" s="6" t="str">
        <f t="array" ref="T551">IF(
  B551="",
  ,
  DATEDIF(
    B551 + IF(INDEX(Input!$K$7:$K1503,ROW()-1),0,1),
    C551 + IF(INDEX(Input!$L$7:$L1503,ROW()-1),1,0),
    "Y"
  )
)</f>
        <v/>
      </c>
      <c r="U551" s="6" t="str">
        <f t="array" ref="U551">IF(
  B551="",
  ,
  (C551 + IF(INDEX(Input!$L$7:$L1503,ROW()-1),1,0))
  - EDATE(
      B551 + IF(INDEX(Input!$K$7:$K1503,ROW()-1),0,1),
      12*S551
    )
)</f>
        <v/>
      </c>
      <c r="V551" s="6" t="str">
        <f t="shared" si="5"/>
        <v/>
      </c>
      <c r="W551" s="6" t="str">
        <f t="shared" si="6"/>
        <v/>
      </c>
    </row>
    <row r="552">
      <c r="A552" s="18"/>
      <c r="B552" s="18"/>
      <c r="C552" s="18"/>
      <c r="D552" s="18"/>
      <c r="E552" s="18"/>
      <c r="F552" s="18"/>
      <c r="G552" s="22"/>
      <c r="H552" s="18"/>
      <c r="I552" s="18">
        <v>0.0</v>
      </c>
      <c r="J552" s="18">
        <v>0.0</v>
      </c>
      <c r="K552" s="18"/>
      <c r="L552" s="18"/>
      <c r="M552" s="22" t="str">
        <f t="shared" si="1"/>
        <v/>
      </c>
      <c r="N552" s="18" t="str">
        <f>IF(A552="",,IF(ROW()=2, Input!$C$2 + I552, P551 + I552))</f>
        <v/>
      </c>
      <c r="O552" s="23" t="str">
        <f>IF(A552="",,
 IF(K552="Initial principal",
   Input!$C$2 * M552,
   N552 * M552
 )
)</f>
        <v/>
      </c>
      <c r="P552" s="18" t="str">
        <f t="shared" si="2"/>
        <v/>
      </c>
      <c r="Q552" s="18" t="str">
        <f t="shared" si="3"/>
        <v/>
      </c>
      <c r="R552" s="18" t="str">
        <f t="array" ref="R552">IF(
  B552="",
  ,
  SWITCH(
    Input!$C$4,
    "Actual/365 Fixed",
      YEARFRAC(
        B552 + IF(INDEX(Input!$K$7:$K1503,ROW()-1),0,1),
        C552 + IF(INDEX(Input!$L$7:$L1503,ROW()-1),1,0),
        3
      ),
    "Anniversary/365",
      DATEDIF(
        B552 + IF(INDEX(Input!$K$7:$K1503,ROW()-1),0,1),
        C552 + IF(INDEX(Input!$L$7:$L1503,ROW()-1),1,0),
        "Y"
      )
      +
      (
        (C552 + IF(INDEX(Input!$L$7:$L1503,ROW()-1),1,0))
        -
        EDATE(
          B552 + IF(INDEX(Input!$K$7:$K1503,ROW()-1),0,1),
          12*DATEDIF(
            B552 + IF(INDEX(Input!$K$7:$K1503,ROW()-1),0,1),
            C552 + IF(INDEX(Input!$L$7:$L1503,ROW()-1),1,0),
            "Y"
          )
        )
      ) / 365,
    "Actual/Actual",
      YEARFRAC(
        B552 + IF(INDEX(Input!$K$7:$K1503,ROW()-1),0,1),
        C552 + IF(INDEX(Input!$L$7:$L1503,ROW()-1),1,0),
        1
      ),
      YEARFRAC(
        B552 + IF(INDEX(Input!$K$7:$K1503,ROW()-1),0,1),
        C552 + IF(INDEX(Input!$L$7:$L1503,ROW()-1),1,0),
        3
      )
  )
)</f>
        <v/>
      </c>
      <c r="S552" s="22" t="str">
        <f t="shared" si="4"/>
        <v/>
      </c>
      <c r="T552" s="6" t="str">
        <f t="array" ref="T552">IF(
  B552="",
  ,
  DATEDIF(
    B552 + IF(INDEX(Input!$K$7:$K1503,ROW()-1),0,1),
    C552 + IF(INDEX(Input!$L$7:$L1503,ROW()-1),1,0),
    "Y"
  )
)</f>
        <v/>
      </c>
      <c r="U552" s="6" t="str">
        <f t="array" ref="U552">IF(
  B552="",
  ,
  (C552 + IF(INDEX(Input!$L$7:$L1503,ROW()-1),1,0))
  - EDATE(
      B552 + IF(INDEX(Input!$K$7:$K1503,ROW()-1),0,1),
      12*S552
    )
)</f>
        <v/>
      </c>
      <c r="V552" s="6" t="str">
        <f t="shared" si="5"/>
        <v/>
      </c>
      <c r="W552" s="6" t="str">
        <f t="shared" si="6"/>
        <v/>
      </c>
    </row>
    <row r="553">
      <c r="A553" s="18"/>
      <c r="B553" s="18"/>
      <c r="C553" s="18"/>
      <c r="D553" s="18"/>
      <c r="E553" s="18"/>
      <c r="F553" s="18"/>
      <c r="G553" s="22"/>
      <c r="H553" s="18"/>
      <c r="I553" s="18">
        <v>0.0</v>
      </c>
      <c r="J553" s="18">
        <v>0.0</v>
      </c>
      <c r="K553" s="18"/>
      <c r="L553" s="18"/>
      <c r="M553" s="22" t="str">
        <f t="shared" si="1"/>
        <v/>
      </c>
      <c r="N553" s="18" t="str">
        <f>IF(A553="",,IF(ROW()=2, Input!$C$2 + I553, P552 + I553))</f>
        <v/>
      </c>
      <c r="O553" s="23" t="str">
        <f>IF(A553="",,
 IF(K553="Initial principal",
   Input!$C$2 * M553,
   N553 * M553
 )
)</f>
        <v/>
      </c>
      <c r="P553" s="18" t="str">
        <f t="shared" si="2"/>
        <v/>
      </c>
      <c r="Q553" s="18" t="str">
        <f t="shared" si="3"/>
        <v/>
      </c>
      <c r="R553" s="18" t="str">
        <f t="array" ref="R553">IF(
  B553="",
  ,
  SWITCH(
    Input!$C$4,
    "Actual/365 Fixed",
      YEARFRAC(
        B553 + IF(INDEX(Input!$K$7:$K1503,ROW()-1),0,1),
        C553 + IF(INDEX(Input!$L$7:$L1503,ROW()-1),1,0),
        3
      ),
    "Anniversary/365",
      DATEDIF(
        B553 + IF(INDEX(Input!$K$7:$K1503,ROW()-1),0,1),
        C553 + IF(INDEX(Input!$L$7:$L1503,ROW()-1),1,0),
        "Y"
      )
      +
      (
        (C553 + IF(INDEX(Input!$L$7:$L1503,ROW()-1),1,0))
        -
        EDATE(
          B553 + IF(INDEX(Input!$K$7:$K1503,ROW()-1),0,1),
          12*DATEDIF(
            B553 + IF(INDEX(Input!$K$7:$K1503,ROW()-1),0,1),
            C553 + IF(INDEX(Input!$L$7:$L1503,ROW()-1),1,0),
            "Y"
          )
        )
      ) / 365,
    "Actual/Actual",
      YEARFRAC(
        B553 + IF(INDEX(Input!$K$7:$K1503,ROW()-1),0,1),
        C553 + IF(INDEX(Input!$L$7:$L1503,ROW()-1),1,0),
        1
      ),
      YEARFRAC(
        B553 + IF(INDEX(Input!$K$7:$K1503,ROW()-1),0,1),
        C553 + IF(INDEX(Input!$L$7:$L1503,ROW()-1),1,0),
        3
      )
  )
)</f>
        <v/>
      </c>
      <c r="S553" s="22" t="str">
        <f t="shared" si="4"/>
        <v/>
      </c>
      <c r="T553" s="6" t="str">
        <f t="array" ref="T553">IF(
  B553="",
  ,
  DATEDIF(
    B553 + IF(INDEX(Input!$K$7:$K1503,ROW()-1),0,1),
    C553 + IF(INDEX(Input!$L$7:$L1503,ROW()-1),1,0),
    "Y"
  )
)</f>
        <v/>
      </c>
      <c r="U553" s="6" t="str">
        <f t="array" ref="U553">IF(
  B553="",
  ,
  (C553 + IF(INDEX(Input!$L$7:$L1503,ROW()-1),1,0))
  - EDATE(
      B553 + IF(INDEX(Input!$K$7:$K1503,ROW()-1),0,1),
      12*S553
    )
)</f>
        <v/>
      </c>
      <c r="V553" s="6" t="str">
        <f t="shared" si="5"/>
        <v/>
      </c>
      <c r="W553" s="6" t="str">
        <f t="shared" si="6"/>
        <v/>
      </c>
    </row>
    <row r="554">
      <c r="A554" s="18"/>
      <c r="B554" s="18"/>
      <c r="C554" s="18"/>
      <c r="D554" s="18"/>
      <c r="E554" s="18"/>
      <c r="F554" s="18"/>
      <c r="G554" s="22"/>
      <c r="H554" s="18"/>
      <c r="I554" s="18">
        <v>0.0</v>
      </c>
      <c r="J554" s="18">
        <v>0.0</v>
      </c>
      <c r="K554" s="18"/>
      <c r="L554" s="18"/>
      <c r="M554" s="22" t="str">
        <f t="shared" si="1"/>
        <v/>
      </c>
      <c r="N554" s="18" t="str">
        <f>IF(A554="",,IF(ROW()=2, Input!$C$2 + I554, P553 + I554))</f>
        <v/>
      </c>
      <c r="O554" s="23" t="str">
        <f>IF(A554="",,
 IF(K554="Initial principal",
   Input!$C$2 * M554,
   N554 * M554
 )
)</f>
        <v/>
      </c>
      <c r="P554" s="18" t="str">
        <f t="shared" si="2"/>
        <v/>
      </c>
      <c r="Q554" s="18" t="str">
        <f t="shared" si="3"/>
        <v/>
      </c>
      <c r="R554" s="18" t="str">
        <f t="array" ref="R554">IF(
  B554="",
  ,
  SWITCH(
    Input!$C$4,
    "Actual/365 Fixed",
      YEARFRAC(
        B554 + IF(INDEX(Input!$K$7:$K1503,ROW()-1),0,1),
        C554 + IF(INDEX(Input!$L$7:$L1503,ROW()-1),1,0),
        3
      ),
    "Anniversary/365",
      DATEDIF(
        B554 + IF(INDEX(Input!$K$7:$K1503,ROW()-1),0,1),
        C554 + IF(INDEX(Input!$L$7:$L1503,ROW()-1),1,0),
        "Y"
      )
      +
      (
        (C554 + IF(INDEX(Input!$L$7:$L1503,ROW()-1),1,0))
        -
        EDATE(
          B554 + IF(INDEX(Input!$K$7:$K1503,ROW()-1),0,1),
          12*DATEDIF(
            B554 + IF(INDEX(Input!$K$7:$K1503,ROW()-1),0,1),
            C554 + IF(INDEX(Input!$L$7:$L1503,ROW()-1),1,0),
            "Y"
          )
        )
      ) / 365,
    "Actual/Actual",
      YEARFRAC(
        B554 + IF(INDEX(Input!$K$7:$K1503,ROW()-1),0,1),
        C554 + IF(INDEX(Input!$L$7:$L1503,ROW()-1),1,0),
        1
      ),
      YEARFRAC(
        B554 + IF(INDEX(Input!$K$7:$K1503,ROW()-1),0,1),
        C554 + IF(INDEX(Input!$L$7:$L1503,ROW()-1),1,0),
        3
      )
  )
)</f>
        <v/>
      </c>
      <c r="S554" s="22" t="str">
        <f t="shared" si="4"/>
        <v/>
      </c>
      <c r="T554" s="6" t="str">
        <f t="array" ref="T554">IF(
  B554="",
  ,
  DATEDIF(
    B554 + IF(INDEX(Input!$K$7:$K1503,ROW()-1),0,1),
    C554 + IF(INDEX(Input!$L$7:$L1503,ROW()-1),1,0),
    "Y"
  )
)</f>
        <v/>
      </c>
      <c r="U554" s="6" t="str">
        <f t="array" ref="U554">IF(
  B554="",
  ,
  (C554 + IF(INDEX(Input!$L$7:$L1503,ROW()-1),1,0))
  - EDATE(
      B554 + IF(INDEX(Input!$K$7:$K1503,ROW()-1),0,1),
      12*S554
    )
)</f>
        <v/>
      </c>
      <c r="V554" s="6" t="str">
        <f t="shared" si="5"/>
        <v/>
      </c>
      <c r="W554" s="6" t="str">
        <f t="shared" si="6"/>
        <v/>
      </c>
    </row>
    <row r="555">
      <c r="A555" s="18"/>
      <c r="B555" s="18"/>
      <c r="C555" s="18"/>
      <c r="D555" s="18"/>
      <c r="E555" s="18"/>
      <c r="F555" s="18"/>
      <c r="G555" s="22"/>
      <c r="H555" s="18"/>
      <c r="I555" s="18">
        <v>0.0</v>
      </c>
      <c r="J555" s="18">
        <v>0.0</v>
      </c>
      <c r="K555" s="18"/>
      <c r="L555" s="18"/>
      <c r="M555" s="22" t="str">
        <f t="shared" si="1"/>
        <v/>
      </c>
      <c r="N555" s="18" t="str">
        <f>IF(A555="",,IF(ROW()=2, Input!$C$2 + I555, P554 + I555))</f>
        <v/>
      </c>
      <c r="O555" s="23" t="str">
        <f>IF(A555="",,
 IF(K555="Initial principal",
   Input!$C$2 * M555,
   N555 * M555
 )
)</f>
        <v/>
      </c>
      <c r="P555" s="18" t="str">
        <f t="shared" si="2"/>
        <v/>
      </c>
      <c r="Q555" s="18" t="str">
        <f t="shared" si="3"/>
        <v/>
      </c>
      <c r="R555" s="18" t="str">
        <f t="array" ref="R555">IF(
  B555="",
  ,
  SWITCH(
    Input!$C$4,
    "Actual/365 Fixed",
      YEARFRAC(
        B555 + IF(INDEX(Input!$K$7:$K1503,ROW()-1),0,1),
        C555 + IF(INDEX(Input!$L$7:$L1503,ROW()-1),1,0),
        3
      ),
    "Anniversary/365",
      DATEDIF(
        B555 + IF(INDEX(Input!$K$7:$K1503,ROW()-1),0,1),
        C555 + IF(INDEX(Input!$L$7:$L1503,ROW()-1),1,0),
        "Y"
      )
      +
      (
        (C555 + IF(INDEX(Input!$L$7:$L1503,ROW()-1),1,0))
        -
        EDATE(
          B555 + IF(INDEX(Input!$K$7:$K1503,ROW()-1),0,1),
          12*DATEDIF(
            B555 + IF(INDEX(Input!$K$7:$K1503,ROW()-1),0,1),
            C555 + IF(INDEX(Input!$L$7:$L1503,ROW()-1),1,0),
            "Y"
          )
        )
      ) / 365,
    "Actual/Actual",
      YEARFRAC(
        B555 + IF(INDEX(Input!$K$7:$K1503,ROW()-1),0,1),
        C555 + IF(INDEX(Input!$L$7:$L1503,ROW()-1),1,0),
        1
      ),
      YEARFRAC(
        B555 + IF(INDEX(Input!$K$7:$K1503,ROW()-1),0,1),
        C555 + IF(INDEX(Input!$L$7:$L1503,ROW()-1),1,0),
        3
      )
  )
)</f>
        <v/>
      </c>
      <c r="S555" s="22" t="str">
        <f t="shared" si="4"/>
        <v/>
      </c>
      <c r="T555" s="6" t="str">
        <f t="array" ref="T555">IF(
  B555="",
  ,
  DATEDIF(
    B555 + IF(INDEX(Input!$K$7:$K1503,ROW()-1),0,1),
    C555 + IF(INDEX(Input!$L$7:$L1503,ROW()-1),1,0),
    "Y"
  )
)</f>
        <v/>
      </c>
      <c r="U555" s="6" t="str">
        <f t="array" ref="U555">IF(
  B555="",
  ,
  (C555 + IF(INDEX(Input!$L$7:$L1503,ROW()-1),1,0))
  - EDATE(
      B555 + IF(INDEX(Input!$K$7:$K1503,ROW()-1),0,1),
      12*S555
    )
)</f>
        <v/>
      </c>
      <c r="V555" s="6" t="str">
        <f t="shared" si="5"/>
        <v/>
      </c>
      <c r="W555" s="6" t="str">
        <f t="shared" si="6"/>
        <v/>
      </c>
    </row>
    <row r="556">
      <c r="A556" s="18"/>
      <c r="B556" s="18"/>
      <c r="C556" s="18"/>
      <c r="D556" s="18"/>
      <c r="E556" s="18"/>
      <c r="F556" s="18"/>
      <c r="G556" s="22"/>
      <c r="H556" s="18"/>
      <c r="I556" s="18">
        <v>0.0</v>
      </c>
      <c r="J556" s="18">
        <v>0.0</v>
      </c>
      <c r="K556" s="18"/>
      <c r="L556" s="18"/>
      <c r="M556" s="22" t="str">
        <f t="shared" si="1"/>
        <v/>
      </c>
      <c r="N556" s="18" t="str">
        <f>IF(A556="",,IF(ROW()=2, Input!$C$2 + I556, P555 + I556))</f>
        <v/>
      </c>
      <c r="O556" s="23" t="str">
        <f>IF(A556="",,
 IF(K556="Initial principal",
   Input!$C$2 * M556,
   N556 * M556
 )
)</f>
        <v/>
      </c>
      <c r="P556" s="18" t="str">
        <f t="shared" si="2"/>
        <v/>
      </c>
      <c r="Q556" s="18" t="str">
        <f t="shared" si="3"/>
        <v/>
      </c>
      <c r="R556" s="18" t="str">
        <f t="array" ref="R556">IF(
  B556="",
  ,
  SWITCH(
    Input!$C$4,
    "Actual/365 Fixed",
      YEARFRAC(
        B556 + IF(INDEX(Input!$K$7:$K1503,ROW()-1),0,1),
        C556 + IF(INDEX(Input!$L$7:$L1503,ROW()-1),1,0),
        3
      ),
    "Anniversary/365",
      DATEDIF(
        B556 + IF(INDEX(Input!$K$7:$K1503,ROW()-1),0,1),
        C556 + IF(INDEX(Input!$L$7:$L1503,ROW()-1),1,0),
        "Y"
      )
      +
      (
        (C556 + IF(INDEX(Input!$L$7:$L1503,ROW()-1),1,0))
        -
        EDATE(
          B556 + IF(INDEX(Input!$K$7:$K1503,ROW()-1),0,1),
          12*DATEDIF(
            B556 + IF(INDEX(Input!$K$7:$K1503,ROW()-1),0,1),
            C556 + IF(INDEX(Input!$L$7:$L1503,ROW()-1),1,0),
            "Y"
          )
        )
      ) / 365,
    "Actual/Actual",
      YEARFRAC(
        B556 + IF(INDEX(Input!$K$7:$K1503,ROW()-1),0,1),
        C556 + IF(INDEX(Input!$L$7:$L1503,ROW()-1),1,0),
        1
      ),
      YEARFRAC(
        B556 + IF(INDEX(Input!$K$7:$K1503,ROW()-1),0,1),
        C556 + IF(INDEX(Input!$L$7:$L1503,ROW()-1),1,0),
        3
      )
  )
)</f>
        <v/>
      </c>
      <c r="S556" s="22" t="str">
        <f t="shared" si="4"/>
        <v/>
      </c>
      <c r="T556" s="6" t="str">
        <f t="array" ref="T556">IF(
  B556="",
  ,
  DATEDIF(
    B556 + IF(INDEX(Input!$K$7:$K1503,ROW()-1),0,1),
    C556 + IF(INDEX(Input!$L$7:$L1503,ROW()-1),1,0),
    "Y"
  )
)</f>
        <v/>
      </c>
      <c r="U556" s="6" t="str">
        <f t="array" ref="U556">IF(
  B556="",
  ,
  (C556 + IF(INDEX(Input!$L$7:$L1503,ROW()-1),1,0))
  - EDATE(
      B556 + IF(INDEX(Input!$K$7:$K1503,ROW()-1),0,1),
      12*S556
    )
)</f>
        <v/>
      </c>
      <c r="V556" s="6" t="str">
        <f t="shared" si="5"/>
        <v/>
      </c>
      <c r="W556" s="6" t="str">
        <f t="shared" si="6"/>
        <v/>
      </c>
    </row>
    <row r="557">
      <c r="A557" s="18"/>
      <c r="B557" s="18"/>
      <c r="C557" s="18"/>
      <c r="D557" s="18"/>
      <c r="E557" s="18"/>
      <c r="F557" s="18"/>
      <c r="G557" s="22"/>
      <c r="H557" s="18"/>
      <c r="I557" s="18">
        <v>0.0</v>
      </c>
      <c r="J557" s="18">
        <v>0.0</v>
      </c>
      <c r="K557" s="18"/>
      <c r="L557" s="18"/>
      <c r="M557" s="22" t="str">
        <f t="shared" si="1"/>
        <v/>
      </c>
      <c r="N557" s="18" t="str">
        <f>IF(A557="",,IF(ROW()=2, Input!$C$2 + I557, P556 + I557))</f>
        <v/>
      </c>
      <c r="O557" s="23" t="str">
        <f>IF(A557="",,
 IF(K557="Initial principal",
   Input!$C$2 * M557,
   N557 * M557
 )
)</f>
        <v/>
      </c>
      <c r="P557" s="18" t="str">
        <f t="shared" si="2"/>
        <v/>
      </c>
      <c r="Q557" s="18" t="str">
        <f t="shared" si="3"/>
        <v/>
      </c>
      <c r="R557" s="18" t="str">
        <f t="array" ref="R557">IF(
  B557="",
  ,
  SWITCH(
    Input!$C$4,
    "Actual/365 Fixed",
      YEARFRAC(
        B557 + IF(INDEX(Input!$K$7:$K1503,ROW()-1),0,1),
        C557 + IF(INDEX(Input!$L$7:$L1503,ROW()-1),1,0),
        3
      ),
    "Anniversary/365",
      DATEDIF(
        B557 + IF(INDEX(Input!$K$7:$K1503,ROW()-1),0,1),
        C557 + IF(INDEX(Input!$L$7:$L1503,ROW()-1),1,0),
        "Y"
      )
      +
      (
        (C557 + IF(INDEX(Input!$L$7:$L1503,ROW()-1),1,0))
        -
        EDATE(
          B557 + IF(INDEX(Input!$K$7:$K1503,ROW()-1),0,1),
          12*DATEDIF(
            B557 + IF(INDEX(Input!$K$7:$K1503,ROW()-1),0,1),
            C557 + IF(INDEX(Input!$L$7:$L1503,ROW()-1),1,0),
            "Y"
          )
        )
      ) / 365,
    "Actual/Actual",
      YEARFRAC(
        B557 + IF(INDEX(Input!$K$7:$K1503,ROW()-1),0,1),
        C557 + IF(INDEX(Input!$L$7:$L1503,ROW()-1),1,0),
        1
      ),
      YEARFRAC(
        B557 + IF(INDEX(Input!$K$7:$K1503,ROW()-1),0,1),
        C557 + IF(INDEX(Input!$L$7:$L1503,ROW()-1),1,0),
        3
      )
  )
)</f>
        <v/>
      </c>
      <c r="S557" s="22" t="str">
        <f t="shared" si="4"/>
        <v/>
      </c>
      <c r="T557" s="6" t="str">
        <f t="array" ref="T557">IF(
  B557="",
  ,
  DATEDIF(
    B557 + IF(INDEX(Input!$K$7:$K1503,ROW()-1),0,1),
    C557 + IF(INDEX(Input!$L$7:$L1503,ROW()-1),1,0),
    "Y"
  )
)</f>
        <v/>
      </c>
      <c r="U557" s="6" t="str">
        <f t="array" ref="U557">IF(
  B557="",
  ,
  (C557 + IF(INDEX(Input!$L$7:$L1503,ROW()-1),1,0))
  - EDATE(
      B557 + IF(INDEX(Input!$K$7:$K1503,ROW()-1),0,1),
      12*S557
    )
)</f>
        <v/>
      </c>
      <c r="V557" s="6" t="str">
        <f t="shared" si="5"/>
        <v/>
      </c>
      <c r="W557" s="6" t="str">
        <f t="shared" si="6"/>
        <v/>
      </c>
    </row>
    <row r="558">
      <c r="A558" s="18"/>
      <c r="B558" s="18"/>
      <c r="C558" s="18"/>
      <c r="D558" s="18"/>
      <c r="E558" s="18"/>
      <c r="F558" s="18"/>
      <c r="G558" s="22"/>
      <c r="H558" s="18"/>
      <c r="I558" s="18">
        <v>0.0</v>
      </c>
      <c r="J558" s="18">
        <v>0.0</v>
      </c>
      <c r="K558" s="18"/>
      <c r="L558" s="18"/>
      <c r="M558" s="22" t="str">
        <f t="shared" si="1"/>
        <v/>
      </c>
      <c r="N558" s="18" t="str">
        <f>IF(A558="",,IF(ROW()=2, Input!$C$2 + I558, P557 + I558))</f>
        <v/>
      </c>
      <c r="O558" s="23" t="str">
        <f>IF(A558="",,
 IF(K558="Initial principal",
   Input!$C$2 * M558,
   N558 * M558
 )
)</f>
        <v/>
      </c>
      <c r="P558" s="18" t="str">
        <f t="shared" si="2"/>
        <v/>
      </c>
      <c r="Q558" s="18" t="str">
        <f t="shared" si="3"/>
        <v/>
      </c>
      <c r="R558" s="18" t="str">
        <f t="array" ref="R558">IF(
  B558="",
  ,
  SWITCH(
    Input!$C$4,
    "Actual/365 Fixed",
      YEARFRAC(
        B558 + IF(INDEX(Input!$K$7:$K1503,ROW()-1),0,1),
        C558 + IF(INDEX(Input!$L$7:$L1503,ROW()-1),1,0),
        3
      ),
    "Anniversary/365",
      DATEDIF(
        B558 + IF(INDEX(Input!$K$7:$K1503,ROW()-1),0,1),
        C558 + IF(INDEX(Input!$L$7:$L1503,ROW()-1),1,0),
        "Y"
      )
      +
      (
        (C558 + IF(INDEX(Input!$L$7:$L1503,ROW()-1),1,0))
        -
        EDATE(
          B558 + IF(INDEX(Input!$K$7:$K1503,ROW()-1),0,1),
          12*DATEDIF(
            B558 + IF(INDEX(Input!$K$7:$K1503,ROW()-1),0,1),
            C558 + IF(INDEX(Input!$L$7:$L1503,ROW()-1),1,0),
            "Y"
          )
        )
      ) / 365,
    "Actual/Actual",
      YEARFRAC(
        B558 + IF(INDEX(Input!$K$7:$K1503,ROW()-1),0,1),
        C558 + IF(INDEX(Input!$L$7:$L1503,ROW()-1),1,0),
        1
      ),
      YEARFRAC(
        B558 + IF(INDEX(Input!$K$7:$K1503,ROW()-1),0,1),
        C558 + IF(INDEX(Input!$L$7:$L1503,ROW()-1),1,0),
        3
      )
  )
)</f>
        <v/>
      </c>
      <c r="S558" s="22" t="str">
        <f t="shared" si="4"/>
        <v/>
      </c>
      <c r="T558" s="6" t="str">
        <f t="array" ref="T558">IF(
  B558="",
  ,
  DATEDIF(
    B558 + IF(INDEX(Input!$K$7:$K1503,ROW()-1),0,1),
    C558 + IF(INDEX(Input!$L$7:$L1503,ROW()-1),1,0),
    "Y"
  )
)</f>
        <v/>
      </c>
      <c r="U558" s="6" t="str">
        <f t="array" ref="U558">IF(
  B558="",
  ,
  (C558 + IF(INDEX(Input!$L$7:$L1503,ROW()-1),1,0))
  - EDATE(
      B558 + IF(INDEX(Input!$K$7:$K1503,ROW()-1),0,1),
      12*S558
    )
)</f>
        <v/>
      </c>
      <c r="V558" s="6" t="str">
        <f t="shared" si="5"/>
        <v/>
      </c>
      <c r="W558" s="6" t="str">
        <f t="shared" si="6"/>
        <v/>
      </c>
    </row>
    <row r="559">
      <c r="A559" s="18"/>
      <c r="B559" s="18"/>
      <c r="C559" s="18"/>
      <c r="D559" s="18"/>
      <c r="E559" s="18"/>
      <c r="F559" s="18"/>
      <c r="G559" s="22"/>
      <c r="H559" s="18"/>
      <c r="I559" s="18">
        <v>0.0</v>
      </c>
      <c r="J559" s="18">
        <v>0.0</v>
      </c>
      <c r="K559" s="18"/>
      <c r="L559" s="18"/>
      <c r="M559" s="22" t="str">
        <f t="shared" si="1"/>
        <v/>
      </c>
      <c r="N559" s="18" t="str">
        <f>IF(A559="",,IF(ROW()=2, Input!$C$2 + I559, P558 + I559))</f>
        <v/>
      </c>
      <c r="O559" s="23" t="str">
        <f>IF(A559="",,
 IF(K559="Initial principal",
   Input!$C$2 * M559,
   N559 * M559
 )
)</f>
        <v/>
      </c>
      <c r="P559" s="18" t="str">
        <f t="shared" si="2"/>
        <v/>
      </c>
      <c r="Q559" s="18" t="str">
        <f t="shared" si="3"/>
        <v/>
      </c>
      <c r="R559" s="18" t="str">
        <f t="array" ref="R559">IF(
  B559="",
  ,
  SWITCH(
    Input!$C$4,
    "Actual/365 Fixed",
      YEARFRAC(
        B559 + IF(INDEX(Input!$K$7:$K1503,ROW()-1),0,1),
        C559 + IF(INDEX(Input!$L$7:$L1503,ROW()-1),1,0),
        3
      ),
    "Anniversary/365",
      DATEDIF(
        B559 + IF(INDEX(Input!$K$7:$K1503,ROW()-1),0,1),
        C559 + IF(INDEX(Input!$L$7:$L1503,ROW()-1),1,0),
        "Y"
      )
      +
      (
        (C559 + IF(INDEX(Input!$L$7:$L1503,ROW()-1),1,0))
        -
        EDATE(
          B559 + IF(INDEX(Input!$K$7:$K1503,ROW()-1),0,1),
          12*DATEDIF(
            B559 + IF(INDEX(Input!$K$7:$K1503,ROW()-1),0,1),
            C559 + IF(INDEX(Input!$L$7:$L1503,ROW()-1),1,0),
            "Y"
          )
        )
      ) / 365,
    "Actual/Actual",
      YEARFRAC(
        B559 + IF(INDEX(Input!$K$7:$K1503,ROW()-1),0,1),
        C559 + IF(INDEX(Input!$L$7:$L1503,ROW()-1),1,0),
        1
      ),
      YEARFRAC(
        B559 + IF(INDEX(Input!$K$7:$K1503,ROW()-1),0,1),
        C559 + IF(INDEX(Input!$L$7:$L1503,ROW()-1),1,0),
        3
      )
  )
)</f>
        <v/>
      </c>
      <c r="S559" s="22" t="str">
        <f t="shared" si="4"/>
        <v/>
      </c>
      <c r="T559" s="6" t="str">
        <f t="array" ref="T559">IF(
  B559="",
  ,
  DATEDIF(
    B559 + IF(INDEX(Input!$K$7:$K1503,ROW()-1),0,1),
    C559 + IF(INDEX(Input!$L$7:$L1503,ROW()-1),1,0),
    "Y"
  )
)</f>
        <v/>
      </c>
      <c r="U559" s="6" t="str">
        <f t="array" ref="U559">IF(
  B559="",
  ,
  (C559 + IF(INDEX(Input!$L$7:$L1503,ROW()-1),1,0))
  - EDATE(
      B559 + IF(INDEX(Input!$K$7:$K1503,ROW()-1),0,1),
      12*S559
    )
)</f>
        <v/>
      </c>
      <c r="V559" s="6" t="str">
        <f t="shared" si="5"/>
        <v/>
      </c>
      <c r="W559" s="6" t="str">
        <f t="shared" si="6"/>
        <v/>
      </c>
    </row>
    <row r="560">
      <c r="A560" s="18"/>
      <c r="B560" s="18"/>
      <c r="C560" s="18"/>
      <c r="D560" s="18"/>
      <c r="E560" s="18"/>
      <c r="F560" s="18"/>
      <c r="G560" s="22"/>
      <c r="H560" s="18"/>
      <c r="I560" s="18">
        <v>0.0</v>
      </c>
      <c r="J560" s="18">
        <v>0.0</v>
      </c>
      <c r="K560" s="18"/>
      <c r="L560" s="18"/>
      <c r="M560" s="22" t="str">
        <f t="shared" si="1"/>
        <v/>
      </c>
      <c r="N560" s="18" t="str">
        <f>IF(A560="",,IF(ROW()=2, Input!$C$2 + I560, P559 + I560))</f>
        <v/>
      </c>
      <c r="O560" s="23" t="str">
        <f>IF(A560="",,
 IF(K560="Initial principal",
   Input!$C$2 * M560,
   N560 * M560
 )
)</f>
        <v/>
      </c>
      <c r="P560" s="18" t="str">
        <f t="shared" si="2"/>
        <v/>
      </c>
      <c r="Q560" s="18" t="str">
        <f t="shared" si="3"/>
        <v/>
      </c>
      <c r="R560" s="18" t="str">
        <f t="array" ref="R560">IF(
  B560="",
  ,
  SWITCH(
    Input!$C$4,
    "Actual/365 Fixed",
      YEARFRAC(
        B560 + IF(INDEX(Input!$K$7:$K1503,ROW()-1),0,1),
        C560 + IF(INDEX(Input!$L$7:$L1503,ROW()-1),1,0),
        3
      ),
    "Anniversary/365",
      DATEDIF(
        B560 + IF(INDEX(Input!$K$7:$K1503,ROW()-1),0,1),
        C560 + IF(INDEX(Input!$L$7:$L1503,ROW()-1),1,0),
        "Y"
      )
      +
      (
        (C560 + IF(INDEX(Input!$L$7:$L1503,ROW()-1),1,0))
        -
        EDATE(
          B560 + IF(INDEX(Input!$K$7:$K1503,ROW()-1),0,1),
          12*DATEDIF(
            B560 + IF(INDEX(Input!$K$7:$K1503,ROW()-1),0,1),
            C560 + IF(INDEX(Input!$L$7:$L1503,ROW()-1),1,0),
            "Y"
          )
        )
      ) / 365,
    "Actual/Actual",
      YEARFRAC(
        B560 + IF(INDEX(Input!$K$7:$K1503,ROW()-1),0,1),
        C560 + IF(INDEX(Input!$L$7:$L1503,ROW()-1),1,0),
        1
      ),
      YEARFRAC(
        B560 + IF(INDEX(Input!$K$7:$K1503,ROW()-1),0,1),
        C560 + IF(INDEX(Input!$L$7:$L1503,ROW()-1),1,0),
        3
      )
  )
)</f>
        <v/>
      </c>
      <c r="S560" s="22" t="str">
        <f t="shared" si="4"/>
        <v/>
      </c>
      <c r="T560" s="6" t="str">
        <f t="array" ref="T560">IF(
  B560="",
  ,
  DATEDIF(
    B560 + IF(INDEX(Input!$K$7:$K1503,ROW()-1),0,1),
    C560 + IF(INDEX(Input!$L$7:$L1503,ROW()-1),1,0),
    "Y"
  )
)</f>
        <v/>
      </c>
      <c r="U560" s="6" t="str">
        <f t="array" ref="U560">IF(
  B560="",
  ,
  (C560 + IF(INDEX(Input!$L$7:$L1503,ROW()-1),1,0))
  - EDATE(
      B560 + IF(INDEX(Input!$K$7:$K1503,ROW()-1),0,1),
      12*S560
    )
)</f>
        <v/>
      </c>
      <c r="V560" s="6" t="str">
        <f t="shared" si="5"/>
        <v/>
      </c>
      <c r="W560" s="6" t="str">
        <f t="shared" si="6"/>
        <v/>
      </c>
    </row>
    <row r="561">
      <c r="A561" s="18"/>
      <c r="B561" s="18"/>
      <c r="C561" s="18"/>
      <c r="D561" s="18"/>
      <c r="E561" s="18"/>
      <c r="F561" s="18"/>
      <c r="G561" s="22"/>
      <c r="H561" s="18"/>
      <c r="I561" s="18">
        <v>0.0</v>
      </c>
      <c r="J561" s="18">
        <v>0.0</v>
      </c>
      <c r="K561" s="18"/>
      <c r="L561" s="18"/>
      <c r="M561" s="22" t="str">
        <f t="shared" si="1"/>
        <v/>
      </c>
      <c r="N561" s="18" t="str">
        <f>IF(A561="",,IF(ROW()=2, Input!$C$2 + I561, P560 + I561))</f>
        <v/>
      </c>
      <c r="O561" s="23" t="str">
        <f>IF(A561="",,
 IF(K561="Initial principal",
   Input!$C$2 * M561,
   N561 * M561
 )
)</f>
        <v/>
      </c>
      <c r="P561" s="18" t="str">
        <f t="shared" si="2"/>
        <v/>
      </c>
      <c r="Q561" s="18" t="str">
        <f t="shared" si="3"/>
        <v/>
      </c>
      <c r="R561" s="18" t="str">
        <f t="array" ref="R561">IF(
  B561="",
  ,
  SWITCH(
    Input!$C$4,
    "Actual/365 Fixed",
      YEARFRAC(
        B561 + IF(INDEX(Input!$K$7:$K1503,ROW()-1),0,1),
        C561 + IF(INDEX(Input!$L$7:$L1503,ROW()-1),1,0),
        3
      ),
    "Anniversary/365",
      DATEDIF(
        B561 + IF(INDEX(Input!$K$7:$K1503,ROW()-1),0,1),
        C561 + IF(INDEX(Input!$L$7:$L1503,ROW()-1),1,0),
        "Y"
      )
      +
      (
        (C561 + IF(INDEX(Input!$L$7:$L1503,ROW()-1),1,0))
        -
        EDATE(
          B561 + IF(INDEX(Input!$K$7:$K1503,ROW()-1),0,1),
          12*DATEDIF(
            B561 + IF(INDEX(Input!$K$7:$K1503,ROW()-1),0,1),
            C561 + IF(INDEX(Input!$L$7:$L1503,ROW()-1),1,0),
            "Y"
          )
        )
      ) / 365,
    "Actual/Actual",
      YEARFRAC(
        B561 + IF(INDEX(Input!$K$7:$K1503,ROW()-1),0,1),
        C561 + IF(INDEX(Input!$L$7:$L1503,ROW()-1),1,0),
        1
      ),
      YEARFRAC(
        B561 + IF(INDEX(Input!$K$7:$K1503,ROW()-1),0,1),
        C561 + IF(INDEX(Input!$L$7:$L1503,ROW()-1),1,0),
        3
      )
  )
)</f>
        <v/>
      </c>
      <c r="S561" s="22" t="str">
        <f t="shared" si="4"/>
        <v/>
      </c>
      <c r="T561" s="6" t="str">
        <f t="array" ref="T561">IF(
  B561="",
  ,
  DATEDIF(
    B561 + IF(INDEX(Input!$K$7:$K1503,ROW()-1),0,1),
    C561 + IF(INDEX(Input!$L$7:$L1503,ROW()-1),1,0),
    "Y"
  )
)</f>
        <v/>
      </c>
      <c r="U561" s="6" t="str">
        <f t="array" ref="U561">IF(
  B561="",
  ,
  (C561 + IF(INDEX(Input!$L$7:$L1503,ROW()-1),1,0))
  - EDATE(
      B561 + IF(INDEX(Input!$K$7:$K1503,ROW()-1),0,1),
      12*S561
    )
)</f>
        <v/>
      </c>
      <c r="V561" s="6" t="str">
        <f t="shared" si="5"/>
        <v/>
      </c>
      <c r="W561" s="6" t="str">
        <f t="shared" si="6"/>
        <v/>
      </c>
    </row>
    <row r="562">
      <c r="A562" s="18"/>
      <c r="B562" s="18"/>
      <c r="C562" s="18"/>
      <c r="D562" s="18"/>
      <c r="E562" s="18"/>
      <c r="F562" s="18"/>
      <c r="G562" s="22"/>
      <c r="H562" s="18"/>
      <c r="I562" s="18">
        <v>0.0</v>
      </c>
      <c r="J562" s="18">
        <v>0.0</v>
      </c>
      <c r="K562" s="18"/>
      <c r="L562" s="18"/>
      <c r="M562" s="22" t="str">
        <f t="shared" si="1"/>
        <v/>
      </c>
      <c r="N562" s="18" t="str">
        <f>IF(A562="",,IF(ROW()=2, Input!$C$2 + I562, P561 + I562))</f>
        <v/>
      </c>
      <c r="O562" s="23" t="str">
        <f>IF(A562="",,
 IF(K562="Initial principal",
   Input!$C$2 * M562,
   N562 * M562
 )
)</f>
        <v/>
      </c>
      <c r="P562" s="18" t="str">
        <f t="shared" si="2"/>
        <v/>
      </c>
      <c r="Q562" s="18" t="str">
        <f t="shared" si="3"/>
        <v/>
      </c>
      <c r="R562" s="18" t="str">
        <f t="array" ref="R562">IF(
  B562="",
  ,
  SWITCH(
    Input!$C$4,
    "Actual/365 Fixed",
      YEARFRAC(
        B562 + IF(INDEX(Input!$K$7:$K1503,ROW()-1),0,1),
        C562 + IF(INDEX(Input!$L$7:$L1503,ROW()-1),1,0),
        3
      ),
    "Anniversary/365",
      DATEDIF(
        B562 + IF(INDEX(Input!$K$7:$K1503,ROW()-1),0,1),
        C562 + IF(INDEX(Input!$L$7:$L1503,ROW()-1),1,0),
        "Y"
      )
      +
      (
        (C562 + IF(INDEX(Input!$L$7:$L1503,ROW()-1),1,0))
        -
        EDATE(
          B562 + IF(INDEX(Input!$K$7:$K1503,ROW()-1),0,1),
          12*DATEDIF(
            B562 + IF(INDEX(Input!$K$7:$K1503,ROW()-1),0,1),
            C562 + IF(INDEX(Input!$L$7:$L1503,ROW()-1),1,0),
            "Y"
          )
        )
      ) / 365,
    "Actual/Actual",
      YEARFRAC(
        B562 + IF(INDEX(Input!$K$7:$K1503,ROW()-1),0,1),
        C562 + IF(INDEX(Input!$L$7:$L1503,ROW()-1),1,0),
        1
      ),
      YEARFRAC(
        B562 + IF(INDEX(Input!$K$7:$K1503,ROW()-1),0,1),
        C562 + IF(INDEX(Input!$L$7:$L1503,ROW()-1),1,0),
        3
      )
  )
)</f>
        <v/>
      </c>
      <c r="S562" s="22" t="str">
        <f t="shared" si="4"/>
        <v/>
      </c>
      <c r="T562" s="6" t="str">
        <f t="array" ref="T562">IF(
  B562="",
  ,
  DATEDIF(
    B562 + IF(INDEX(Input!$K$7:$K1503,ROW()-1),0,1),
    C562 + IF(INDEX(Input!$L$7:$L1503,ROW()-1),1,0),
    "Y"
  )
)</f>
        <v/>
      </c>
      <c r="U562" s="6" t="str">
        <f t="array" ref="U562">IF(
  B562="",
  ,
  (C562 + IF(INDEX(Input!$L$7:$L1503,ROW()-1),1,0))
  - EDATE(
      B562 + IF(INDEX(Input!$K$7:$K1503,ROW()-1),0,1),
      12*S562
    )
)</f>
        <v/>
      </c>
      <c r="V562" s="6" t="str">
        <f t="shared" si="5"/>
        <v/>
      </c>
      <c r="W562" s="6" t="str">
        <f t="shared" si="6"/>
        <v/>
      </c>
    </row>
    <row r="563">
      <c r="A563" s="18"/>
      <c r="B563" s="18"/>
      <c r="C563" s="18"/>
      <c r="D563" s="18"/>
      <c r="E563" s="18"/>
      <c r="F563" s="18"/>
      <c r="G563" s="22"/>
      <c r="H563" s="18"/>
      <c r="I563" s="18">
        <v>0.0</v>
      </c>
      <c r="J563" s="18">
        <v>0.0</v>
      </c>
      <c r="K563" s="18"/>
      <c r="L563" s="18"/>
      <c r="M563" s="22" t="str">
        <f t="shared" si="1"/>
        <v/>
      </c>
      <c r="N563" s="18" t="str">
        <f>IF(A563="",,IF(ROW()=2, Input!$C$2 + I563, P562 + I563))</f>
        <v/>
      </c>
      <c r="O563" s="23" t="str">
        <f>IF(A563="",,
 IF(K563="Initial principal",
   Input!$C$2 * M563,
   N563 * M563
 )
)</f>
        <v/>
      </c>
      <c r="P563" s="18" t="str">
        <f t="shared" si="2"/>
        <v/>
      </c>
      <c r="Q563" s="18" t="str">
        <f t="shared" si="3"/>
        <v/>
      </c>
      <c r="R563" s="18" t="str">
        <f t="array" ref="R563">IF(
  B563="",
  ,
  SWITCH(
    Input!$C$4,
    "Actual/365 Fixed",
      YEARFRAC(
        B563 + IF(INDEX(Input!$K$7:$K1503,ROW()-1),0,1),
        C563 + IF(INDEX(Input!$L$7:$L1503,ROW()-1),1,0),
        3
      ),
    "Anniversary/365",
      DATEDIF(
        B563 + IF(INDEX(Input!$K$7:$K1503,ROW()-1),0,1),
        C563 + IF(INDEX(Input!$L$7:$L1503,ROW()-1),1,0),
        "Y"
      )
      +
      (
        (C563 + IF(INDEX(Input!$L$7:$L1503,ROW()-1),1,0))
        -
        EDATE(
          B563 + IF(INDEX(Input!$K$7:$K1503,ROW()-1),0,1),
          12*DATEDIF(
            B563 + IF(INDEX(Input!$K$7:$K1503,ROW()-1),0,1),
            C563 + IF(INDEX(Input!$L$7:$L1503,ROW()-1),1,0),
            "Y"
          )
        )
      ) / 365,
    "Actual/Actual",
      YEARFRAC(
        B563 + IF(INDEX(Input!$K$7:$K1503,ROW()-1),0,1),
        C563 + IF(INDEX(Input!$L$7:$L1503,ROW()-1),1,0),
        1
      ),
      YEARFRAC(
        B563 + IF(INDEX(Input!$K$7:$K1503,ROW()-1),0,1),
        C563 + IF(INDEX(Input!$L$7:$L1503,ROW()-1),1,0),
        3
      )
  )
)</f>
        <v/>
      </c>
      <c r="S563" s="22" t="str">
        <f t="shared" si="4"/>
        <v/>
      </c>
      <c r="T563" s="6" t="str">
        <f t="array" ref="T563">IF(
  B563="",
  ,
  DATEDIF(
    B563 + IF(INDEX(Input!$K$7:$K1503,ROW()-1),0,1),
    C563 + IF(INDEX(Input!$L$7:$L1503,ROW()-1),1,0),
    "Y"
  )
)</f>
        <v/>
      </c>
      <c r="U563" s="6" t="str">
        <f t="array" ref="U563">IF(
  B563="",
  ,
  (C563 + IF(INDEX(Input!$L$7:$L1503,ROW()-1),1,0))
  - EDATE(
      B563 + IF(INDEX(Input!$K$7:$K1503,ROW()-1),0,1),
      12*S563
    )
)</f>
        <v/>
      </c>
      <c r="V563" s="6" t="str">
        <f t="shared" si="5"/>
        <v/>
      </c>
      <c r="W563" s="6" t="str">
        <f t="shared" si="6"/>
        <v/>
      </c>
    </row>
    <row r="564">
      <c r="A564" s="18"/>
      <c r="B564" s="18"/>
      <c r="C564" s="18"/>
      <c r="D564" s="18"/>
      <c r="E564" s="18"/>
      <c r="F564" s="18"/>
      <c r="G564" s="22"/>
      <c r="H564" s="18"/>
      <c r="I564" s="18">
        <v>0.0</v>
      </c>
      <c r="J564" s="18">
        <v>0.0</v>
      </c>
      <c r="K564" s="18"/>
      <c r="L564" s="18"/>
      <c r="M564" s="22" t="str">
        <f t="shared" si="1"/>
        <v/>
      </c>
      <c r="N564" s="18" t="str">
        <f>IF(A564="",,IF(ROW()=2, Input!$C$2 + I564, P563 + I564))</f>
        <v/>
      </c>
      <c r="O564" s="23" t="str">
        <f>IF(A564="",,
 IF(K564="Initial principal",
   Input!$C$2 * M564,
   N564 * M564
 )
)</f>
        <v/>
      </c>
      <c r="P564" s="18" t="str">
        <f t="shared" si="2"/>
        <v/>
      </c>
      <c r="Q564" s="18" t="str">
        <f t="shared" si="3"/>
        <v/>
      </c>
      <c r="R564" s="18" t="str">
        <f t="array" ref="R564">IF(
  B564="",
  ,
  SWITCH(
    Input!$C$4,
    "Actual/365 Fixed",
      YEARFRAC(
        B564 + IF(INDEX(Input!$K$7:$K1503,ROW()-1),0,1),
        C564 + IF(INDEX(Input!$L$7:$L1503,ROW()-1),1,0),
        3
      ),
    "Anniversary/365",
      DATEDIF(
        B564 + IF(INDEX(Input!$K$7:$K1503,ROW()-1),0,1),
        C564 + IF(INDEX(Input!$L$7:$L1503,ROW()-1),1,0),
        "Y"
      )
      +
      (
        (C564 + IF(INDEX(Input!$L$7:$L1503,ROW()-1),1,0))
        -
        EDATE(
          B564 + IF(INDEX(Input!$K$7:$K1503,ROW()-1),0,1),
          12*DATEDIF(
            B564 + IF(INDEX(Input!$K$7:$K1503,ROW()-1),0,1),
            C564 + IF(INDEX(Input!$L$7:$L1503,ROW()-1),1,0),
            "Y"
          )
        )
      ) / 365,
    "Actual/Actual",
      YEARFRAC(
        B564 + IF(INDEX(Input!$K$7:$K1503,ROW()-1),0,1),
        C564 + IF(INDEX(Input!$L$7:$L1503,ROW()-1),1,0),
        1
      ),
      YEARFRAC(
        B564 + IF(INDEX(Input!$K$7:$K1503,ROW()-1),0,1),
        C564 + IF(INDEX(Input!$L$7:$L1503,ROW()-1),1,0),
        3
      )
  )
)</f>
        <v/>
      </c>
      <c r="S564" s="22" t="str">
        <f t="shared" si="4"/>
        <v/>
      </c>
      <c r="T564" s="6" t="str">
        <f t="array" ref="T564">IF(
  B564="",
  ,
  DATEDIF(
    B564 + IF(INDEX(Input!$K$7:$K1503,ROW()-1),0,1),
    C564 + IF(INDEX(Input!$L$7:$L1503,ROW()-1),1,0),
    "Y"
  )
)</f>
        <v/>
      </c>
      <c r="U564" s="6" t="str">
        <f t="array" ref="U564">IF(
  B564="",
  ,
  (C564 + IF(INDEX(Input!$L$7:$L1503,ROW()-1),1,0))
  - EDATE(
      B564 + IF(INDEX(Input!$K$7:$K1503,ROW()-1),0,1),
      12*S564
    )
)</f>
        <v/>
      </c>
      <c r="V564" s="6" t="str">
        <f t="shared" si="5"/>
        <v/>
      </c>
      <c r="W564" s="6" t="str">
        <f t="shared" si="6"/>
        <v/>
      </c>
    </row>
    <row r="565">
      <c r="A565" s="18"/>
      <c r="B565" s="18"/>
      <c r="C565" s="18"/>
      <c r="D565" s="18"/>
      <c r="E565" s="18"/>
      <c r="F565" s="18"/>
      <c r="G565" s="22"/>
      <c r="H565" s="18"/>
      <c r="I565" s="18">
        <v>0.0</v>
      </c>
      <c r="J565" s="18">
        <v>0.0</v>
      </c>
      <c r="K565" s="18"/>
      <c r="L565" s="18"/>
      <c r="M565" s="22" t="str">
        <f t="shared" si="1"/>
        <v/>
      </c>
      <c r="N565" s="18" t="str">
        <f>IF(A565="",,IF(ROW()=2, Input!$C$2 + I565, P564 + I565))</f>
        <v/>
      </c>
      <c r="O565" s="23" t="str">
        <f>IF(A565="",,
 IF(K565="Initial principal",
   Input!$C$2 * M565,
   N565 * M565
 )
)</f>
        <v/>
      </c>
      <c r="P565" s="18" t="str">
        <f t="shared" si="2"/>
        <v/>
      </c>
      <c r="Q565" s="18" t="str">
        <f t="shared" si="3"/>
        <v/>
      </c>
      <c r="R565" s="18" t="str">
        <f t="array" ref="R565">IF(
  B565="",
  ,
  SWITCH(
    Input!$C$4,
    "Actual/365 Fixed",
      YEARFRAC(
        B565 + IF(INDEX(Input!$K$7:$K1503,ROW()-1),0,1),
        C565 + IF(INDEX(Input!$L$7:$L1503,ROW()-1),1,0),
        3
      ),
    "Anniversary/365",
      DATEDIF(
        B565 + IF(INDEX(Input!$K$7:$K1503,ROW()-1),0,1),
        C565 + IF(INDEX(Input!$L$7:$L1503,ROW()-1),1,0),
        "Y"
      )
      +
      (
        (C565 + IF(INDEX(Input!$L$7:$L1503,ROW()-1),1,0))
        -
        EDATE(
          B565 + IF(INDEX(Input!$K$7:$K1503,ROW()-1),0,1),
          12*DATEDIF(
            B565 + IF(INDEX(Input!$K$7:$K1503,ROW()-1),0,1),
            C565 + IF(INDEX(Input!$L$7:$L1503,ROW()-1),1,0),
            "Y"
          )
        )
      ) / 365,
    "Actual/Actual",
      YEARFRAC(
        B565 + IF(INDEX(Input!$K$7:$K1503,ROW()-1),0,1),
        C565 + IF(INDEX(Input!$L$7:$L1503,ROW()-1),1,0),
        1
      ),
      YEARFRAC(
        B565 + IF(INDEX(Input!$K$7:$K1503,ROW()-1),0,1),
        C565 + IF(INDEX(Input!$L$7:$L1503,ROW()-1),1,0),
        3
      )
  )
)</f>
        <v/>
      </c>
      <c r="S565" s="22" t="str">
        <f t="shared" si="4"/>
        <v/>
      </c>
      <c r="T565" s="6" t="str">
        <f t="array" ref="T565">IF(
  B565="",
  ,
  DATEDIF(
    B565 + IF(INDEX(Input!$K$7:$K1503,ROW()-1),0,1),
    C565 + IF(INDEX(Input!$L$7:$L1503,ROW()-1),1,0),
    "Y"
  )
)</f>
        <v/>
      </c>
      <c r="U565" s="6" t="str">
        <f t="array" ref="U565">IF(
  B565="",
  ,
  (C565 + IF(INDEX(Input!$L$7:$L1503,ROW()-1),1,0))
  - EDATE(
      B565 + IF(INDEX(Input!$K$7:$K1503,ROW()-1),0,1),
      12*S565
    )
)</f>
        <v/>
      </c>
      <c r="V565" s="6" t="str">
        <f t="shared" si="5"/>
        <v/>
      </c>
      <c r="W565" s="6" t="str">
        <f t="shared" si="6"/>
        <v/>
      </c>
    </row>
    <row r="566">
      <c r="A566" s="18"/>
      <c r="B566" s="18"/>
      <c r="C566" s="18"/>
      <c r="D566" s="18"/>
      <c r="E566" s="18"/>
      <c r="F566" s="18"/>
      <c r="G566" s="22"/>
      <c r="H566" s="18"/>
      <c r="I566" s="18">
        <v>0.0</v>
      </c>
      <c r="J566" s="18">
        <v>0.0</v>
      </c>
      <c r="K566" s="18"/>
      <c r="L566" s="18"/>
      <c r="M566" s="22" t="str">
        <f t="shared" si="1"/>
        <v/>
      </c>
      <c r="N566" s="18" t="str">
        <f>IF(A566="",,IF(ROW()=2, Input!$C$2 + I566, P565 + I566))</f>
        <v/>
      </c>
      <c r="O566" s="23" t="str">
        <f>IF(A566="",,
 IF(K566="Initial principal",
   Input!$C$2 * M566,
   N566 * M566
 )
)</f>
        <v/>
      </c>
      <c r="P566" s="18" t="str">
        <f t="shared" si="2"/>
        <v/>
      </c>
      <c r="Q566" s="18" t="str">
        <f t="shared" si="3"/>
        <v/>
      </c>
      <c r="R566" s="18" t="str">
        <f t="array" ref="R566">IF(
  B566="",
  ,
  SWITCH(
    Input!$C$4,
    "Actual/365 Fixed",
      YEARFRAC(
        B566 + IF(INDEX(Input!$K$7:$K1503,ROW()-1),0,1),
        C566 + IF(INDEX(Input!$L$7:$L1503,ROW()-1),1,0),
        3
      ),
    "Anniversary/365",
      DATEDIF(
        B566 + IF(INDEX(Input!$K$7:$K1503,ROW()-1),0,1),
        C566 + IF(INDEX(Input!$L$7:$L1503,ROW()-1),1,0),
        "Y"
      )
      +
      (
        (C566 + IF(INDEX(Input!$L$7:$L1503,ROW()-1),1,0))
        -
        EDATE(
          B566 + IF(INDEX(Input!$K$7:$K1503,ROW()-1),0,1),
          12*DATEDIF(
            B566 + IF(INDEX(Input!$K$7:$K1503,ROW()-1),0,1),
            C566 + IF(INDEX(Input!$L$7:$L1503,ROW()-1),1,0),
            "Y"
          )
        )
      ) / 365,
    "Actual/Actual",
      YEARFRAC(
        B566 + IF(INDEX(Input!$K$7:$K1503,ROW()-1),0,1),
        C566 + IF(INDEX(Input!$L$7:$L1503,ROW()-1),1,0),
        1
      ),
      YEARFRAC(
        B566 + IF(INDEX(Input!$K$7:$K1503,ROW()-1),0,1),
        C566 + IF(INDEX(Input!$L$7:$L1503,ROW()-1),1,0),
        3
      )
  )
)</f>
        <v/>
      </c>
      <c r="S566" s="22" t="str">
        <f t="shared" si="4"/>
        <v/>
      </c>
      <c r="T566" s="6" t="str">
        <f t="array" ref="T566">IF(
  B566="",
  ,
  DATEDIF(
    B566 + IF(INDEX(Input!$K$7:$K1503,ROW()-1),0,1),
    C566 + IF(INDEX(Input!$L$7:$L1503,ROW()-1),1,0),
    "Y"
  )
)</f>
        <v/>
      </c>
      <c r="U566" s="6" t="str">
        <f t="array" ref="U566">IF(
  B566="",
  ,
  (C566 + IF(INDEX(Input!$L$7:$L1503,ROW()-1),1,0))
  - EDATE(
      B566 + IF(INDEX(Input!$K$7:$K1503,ROW()-1),0,1),
      12*S566
    )
)</f>
        <v/>
      </c>
      <c r="V566" s="6" t="str">
        <f t="shared" si="5"/>
        <v/>
      </c>
      <c r="W566" s="6" t="str">
        <f t="shared" si="6"/>
        <v/>
      </c>
    </row>
    <row r="567">
      <c r="A567" s="18"/>
      <c r="B567" s="18"/>
      <c r="C567" s="18"/>
      <c r="D567" s="18"/>
      <c r="E567" s="18"/>
      <c r="F567" s="18"/>
      <c r="G567" s="22"/>
      <c r="H567" s="18"/>
      <c r="I567" s="18">
        <v>0.0</v>
      </c>
      <c r="J567" s="18">
        <v>0.0</v>
      </c>
      <c r="K567" s="18"/>
      <c r="L567" s="18"/>
      <c r="M567" s="22" t="str">
        <f t="shared" si="1"/>
        <v/>
      </c>
      <c r="N567" s="18" t="str">
        <f>IF(A567="",,IF(ROW()=2, Input!$C$2 + I567, P566 + I567))</f>
        <v/>
      </c>
      <c r="O567" s="23" t="str">
        <f>IF(A567="",,
 IF(K567="Initial principal",
   Input!$C$2 * M567,
   N567 * M567
 )
)</f>
        <v/>
      </c>
      <c r="P567" s="18" t="str">
        <f t="shared" si="2"/>
        <v/>
      </c>
      <c r="Q567" s="18" t="str">
        <f t="shared" si="3"/>
        <v/>
      </c>
      <c r="R567" s="18" t="str">
        <f t="array" ref="R567">IF(
  B567="",
  ,
  SWITCH(
    Input!$C$4,
    "Actual/365 Fixed",
      YEARFRAC(
        B567 + IF(INDEX(Input!$K$7:$K1503,ROW()-1),0,1),
        C567 + IF(INDEX(Input!$L$7:$L1503,ROW()-1),1,0),
        3
      ),
    "Anniversary/365",
      DATEDIF(
        B567 + IF(INDEX(Input!$K$7:$K1503,ROW()-1),0,1),
        C567 + IF(INDEX(Input!$L$7:$L1503,ROW()-1),1,0),
        "Y"
      )
      +
      (
        (C567 + IF(INDEX(Input!$L$7:$L1503,ROW()-1),1,0))
        -
        EDATE(
          B567 + IF(INDEX(Input!$K$7:$K1503,ROW()-1),0,1),
          12*DATEDIF(
            B567 + IF(INDEX(Input!$K$7:$K1503,ROW()-1),0,1),
            C567 + IF(INDEX(Input!$L$7:$L1503,ROW()-1),1,0),
            "Y"
          )
        )
      ) / 365,
    "Actual/Actual",
      YEARFRAC(
        B567 + IF(INDEX(Input!$K$7:$K1503,ROW()-1),0,1),
        C567 + IF(INDEX(Input!$L$7:$L1503,ROW()-1),1,0),
        1
      ),
      YEARFRAC(
        B567 + IF(INDEX(Input!$K$7:$K1503,ROW()-1),0,1),
        C567 + IF(INDEX(Input!$L$7:$L1503,ROW()-1),1,0),
        3
      )
  )
)</f>
        <v/>
      </c>
      <c r="S567" s="22" t="str">
        <f t="shared" si="4"/>
        <v/>
      </c>
      <c r="T567" s="6" t="str">
        <f t="array" ref="T567">IF(
  B567="",
  ,
  DATEDIF(
    B567 + IF(INDEX(Input!$K$7:$K1503,ROW()-1),0,1),
    C567 + IF(INDEX(Input!$L$7:$L1503,ROW()-1),1,0),
    "Y"
  )
)</f>
        <v/>
      </c>
      <c r="U567" s="6" t="str">
        <f t="array" ref="U567">IF(
  B567="",
  ,
  (C567 + IF(INDEX(Input!$L$7:$L1503,ROW()-1),1,0))
  - EDATE(
      B567 + IF(INDEX(Input!$K$7:$K1503,ROW()-1),0,1),
      12*S567
    )
)</f>
        <v/>
      </c>
      <c r="V567" s="6" t="str">
        <f t="shared" si="5"/>
        <v/>
      </c>
      <c r="W567" s="6" t="str">
        <f t="shared" si="6"/>
        <v/>
      </c>
    </row>
    <row r="568">
      <c r="A568" s="18"/>
      <c r="B568" s="18"/>
      <c r="C568" s="18"/>
      <c r="D568" s="18"/>
      <c r="E568" s="18"/>
      <c r="F568" s="18"/>
      <c r="G568" s="22"/>
      <c r="H568" s="18"/>
      <c r="I568" s="18">
        <v>0.0</v>
      </c>
      <c r="J568" s="18">
        <v>0.0</v>
      </c>
      <c r="K568" s="18"/>
      <c r="L568" s="18"/>
      <c r="M568" s="22" t="str">
        <f t="shared" si="1"/>
        <v/>
      </c>
      <c r="N568" s="18" t="str">
        <f>IF(A568="",,IF(ROW()=2, Input!$C$2 + I568, P567 + I568))</f>
        <v/>
      </c>
      <c r="O568" s="23" t="str">
        <f>IF(A568="",,
 IF(K568="Initial principal",
   Input!$C$2 * M568,
   N568 * M568
 )
)</f>
        <v/>
      </c>
      <c r="P568" s="18" t="str">
        <f t="shared" si="2"/>
        <v/>
      </c>
      <c r="Q568" s="18" t="str">
        <f t="shared" si="3"/>
        <v/>
      </c>
      <c r="R568" s="18" t="str">
        <f t="array" ref="R568">IF(
  B568="",
  ,
  SWITCH(
    Input!$C$4,
    "Actual/365 Fixed",
      YEARFRAC(
        B568 + IF(INDEX(Input!$K$7:$K1503,ROW()-1),0,1),
        C568 + IF(INDEX(Input!$L$7:$L1503,ROW()-1),1,0),
        3
      ),
    "Anniversary/365",
      DATEDIF(
        B568 + IF(INDEX(Input!$K$7:$K1503,ROW()-1),0,1),
        C568 + IF(INDEX(Input!$L$7:$L1503,ROW()-1),1,0),
        "Y"
      )
      +
      (
        (C568 + IF(INDEX(Input!$L$7:$L1503,ROW()-1),1,0))
        -
        EDATE(
          B568 + IF(INDEX(Input!$K$7:$K1503,ROW()-1),0,1),
          12*DATEDIF(
            B568 + IF(INDEX(Input!$K$7:$K1503,ROW()-1),0,1),
            C568 + IF(INDEX(Input!$L$7:$L1503,ROW()-1),1,0),
            "Y"
          )
        )
      ) / 365,
    "Actual/Actual",
      YEARFRAC(
        B568 + IF(INDEX(Input!$K$7:$K1503,ROW()-1),0,1),
        C568 + IF(INDEX(Input!$L$7:$L1503,ROW()-1),1,0),
        1
      ),
      YEARFRAC(
        B568 + IF(INDEX(Input!$K$7:$K1503,ROW()-1),0,1),
        C568 + IF(INDEX(Input!$L$7:$L1503,ROW()-1),1,0),
        3
      )
  )
)</f>
        <v/>
      </c>
      <c r="S568" s="22" t="str">
        <f t="shared" si="4"/>
        <v/>
      </c>
      <c r="T568" s="6" t="str">
        <f t="array" ref="T568">IF(
  B568="",
  ,
  DATEDIF(
    B568 + IF(INDEX(Input!$K$7:$K1503,ROW()-1),0,1),
    C568 + IF(INDEX(Input!$L$7:$L1503,ROW()-1),1,0),
    "Y"
  )
)</f>
        <v/>
      </c>
      <c r="U568" s="6" t="str">
        <f t="array" ref="U568">IF(
  B568="",
  ,
  (C568 + IF(INDEX(Input!$L$7:$L1503,ROW()-1),1,0))
  - EDATE(
      B568 + IF(INDEX(Input!$K$7:$K1503,ROW()-1),0,1),
      12*S568
    )
)</f>
        <v/>
      </c>
      <c r="V568" s="6" t="str">
        <f t="shared" si="5"/>
        <v/>
      </c>
      <c r="W568" s="6" t="str">
        <f t="shared" si="6"/>
        <v/>
      </c>
    </row>
    <row r="569">
      <c r="A569" s="18"/>
      <c r="B569" s="18"/>
      <c r="C569" s="18"/>
      <c r="D569" s="18"/>
      <c r="E569" s="18"/>
      <c r="F569" s="18"/>
      <c r="G569" s="22"/>
      <c r="H569" s="18"/>
      <c r="I569" s="18">
        <v>0.0</v>
      </c>
      <c r="J569" s="18">
        <v>0.0</v>
      </c>
      <c r="K569" s="18"/>
      <c r="L569" s="18"/>
      <c r="M569" s="22" t="str">
        <f t="shared" si="1"/>
        <v/>
      </c>
      <c r="N569" s="18" t="str">
        <f>IF(A569="",,IF(ROW()=2, Input!$C$2 + I569, P568 + I569))</f>
        <v/>
      </c>
      <c r="O569" s="23" t="str">
        <f>IF(A569="",,
 IF(K569="Initial principal",
   Input!$C$2 * M569,
   N569 * M569
 )
)</f>
        <v/>
      </c>
      <c r="P569" s="18" t="str">
        <f t="shared" si="2"/>
        <v/>
      </c>
      <c r="Q569" s="18" t="str">
        <f t="shared" si="3"/>
        <v/>
      </c>
      <c r="R569" s="18" t="str">
        <f t="array" ref="R569">IF(
  B569="",
  ,
  SWITCH(
    Input!$C$4,
    "Actual/365 Fixed",
      YEARFRAC(
        B569 + IF(INDEX(Input!$K$7:$K1503,ROW()-1),0,1),
        C569 + IF(INDEX(Input!$L$7:$L1503,ROW()-1),1,0),
        3
      ),
    "Anniversary/365",
      DATEDIF(
        B569 + IF(INDEX(Input!$K$7:$K1503,ROW()-1),0,1),
        C569 + IF(INDEX(Input!$L$7:$L1503,ROW()-1),1,0),
        "Y"
      )
      +
      (
        (C569 + IF(INDEX(Input!$L$7:$L1503,ROW()-1),1,0))
        -
        EDATE(
          B569 + IF(INDEX(Input!$K$7:$K1503,ROW()-1),0,1),
          12*DATEDIF(
            B569 + IF(INDEX(Input!$K$7:$K1503,ROW()-1),0,1),
            C569 + IF(INDEX(Input!$L$7:$L1503,ROW()-1),1,0),
            "Y"
          )
        )
      ) / 365,
    "Actual/Actual",
      YEARFRAC(
        B569 + IF(INDEX(Input!$K$7:$K1503,ROW()-1),0,1),
        C569 + IF(INDEX(Input!$L$7:$L1503,ROW()-1),1,0),
        1
      ),
      YEARFRAC(
        B569 + IF(INDEX(Input!$K$7:$K1503,ROW()-1),0,1),
        C569 + IF(INDEX(Input!$L$7:$L1503,ROW()-1),1,0),
        3
      )
  )
)</f>
        <v/>
      </c>
      <c r="S569" s="22" t="str">
        <f t="shared" si="4"/>
        <v/>
      </c>
      <c r="T569" s="6" t="str">
        <f t="array" ref="T569">IF(
  B569="",
  ,
  DATEDIF(
    B569 + IF(INDEX(Input!$K$7:$K1503,ROW()-1),0,1),
    C569 + IF(INDEX(Input!$L$7:$L1503,ROW()-1),1,0),
    "Y"
  )
)</f>
        <v/>
      </c>
      <c r="U569" s="6" t="str">
        <f t="array" ref="U569">IF(
  B569="",
  ,
  (C569 + IF(INDEX(Input!$L$7:$L1503,ROW()-1),1,0))
  - EDATE(
      B569 + IF(INDEX(Input!$K$7:$K1503,ROW()-1),0,1),
      12*S569
    )
)</f>
        <v/>
      </c>
      <c r="V569" s="6" t="str">
        <f t="shared" si="5"/>
        <v/>
      </c>
      <c r="W569" s="6" t="str">
        <f t="shared" si="6"/>
        <v/>
      </c>
    </row>
    <row r="570">
      <c r="A570" s="18"/>
      <c r="B570" s="18"/>
      <c r="C570" s="18"/>
      <c r="D570" s="18"/>
      <c r="E570" s="18"/>
      <c r="F570" s="18"/>
      <c r="G570" s="22"/>
      <c r="H570" s="18"/>
      <c r="I570" s="18">
        <v>0.0</v>
      </c>
      <c r="J570" s="18">
        <v>0.0</v>
      </c>
      <c r="K570" s="18"/>
      <c r="L570" s="18"/>
      <c r="M570" s="22" t="str">
        <f t="shared" si="1"/>
        <v/>
      </c>
      <c r="N570" s="18" t="str">
        <f>IF(A570="",,IF(ROW()=2, Input!$C$2 + I570, P569 + I570))</f>
        <v/>
      </c>
      <c r="O570" s="23" t="str">
        <f>IF(A570="",,
 IF(K570="Initial principal",
   Input!$C$2 * M570,
   N570 * M570
 )
)</f>
        <v/>
      </c>
      <c r="P570" s="18" t="str">
        <f t="shared" si="2"/>
        <v/>
      </c>
      <c r="Q570" s="18" t="str">
        <f t="shared" si="3"/>
        <v/>
      </c>
      <c r="R570" s="18" t="str">
        <f t="array" ref="R570">IF(
  B570="",
  ,
  SWITCH(
    Input!$C$4,
    "Actual/365 Fixed",
      YEARFRAC(
        B570 + IF(INDEX(Input!$K$7:$K1503,ROW()-1),0,1),
        C570 + IF(INDEX(Input!$L$7:$L1503,ROW()-1),1,0),
        3
      ),
    "Anniversary/365",
      DATEDIF(
        B570 + IF(INDEX(Input!$K$7:$K1503,ROW()-1),0,1),
        C570 + IF(INDEX(Input!$L$7:$L1503,ROW()-1),1,0),
        "Y"
      )
      +
      (
        (C570 + IF(INDEX(Input!$L$7:$L1503,ROW()-1),1,0))
        -
        EDATE(
          B570 + IF(INDEX(Input!$K$7:$K1503,ROW()-1),0,1),
          12*DATEDIF(
            B570 + IF(INDEX(Input!$K$7:$K1503,ROW()-1),0,1),
            C570 + IF(INDEX(Input!$L$7:$L1503,ROW()-1),1,0),
            "Y"
          )
        )
      ) / 365,
    "Actual/Actual",
      YEARFRAC(
        B570 + IF(INDEX(Input!$K$7:$K1503,ROW()-1),0,1),
        C570 + IF(INDEX(Input!$L$7:$L1503,ROW()-1),1,0),
        1
      ),
      YEARFRAC(
        B570 + IF(INDEX(Input!$K$7:$K1503,ROW()-1),0,1),
        C570 + IF(INDEX(Input!$L$7:$L1503,ROW()-1),1,0),
        3
      )
  )
)</f>
        <v/>
      </c>
      <c r="S570" s="22" t="str">
        <f t="shared" si="4"/>
        <v/>
      </c>
      <c r="T570" s="6" t="str">
        <f t="array" ref="T570">IF(
  B570="",
  ,
  DATEDIF(
    B570 + IF(INDEX(Input!$K$7:$K1503,ROW()-1),0,1),
    C570 + IF(INDEX(Input!$L$7:$L1503,ROW()-1),1,0),
    "Y"
  )
)</f>
        <v/>
      </c>
      <c r="U570" s="6" t="str">
        <f t="array" ref="U570">IF(
  B570="",
  ,
  (C570 + IF(INDEX(Input!$L$7:$L1503,ROW()-1),1,0))
  - EDATE(
      B570 + IF(INDEX(Input!$K$7:$K1503,ROW()-1),0,1),
      12*S570
    )
)</f>
        <v/>
      </c>
      <c r="V570" s="6" t="str">
        <f t="shared" si="5"/>
        <v/>
      </c>
      <c r="W570" s="6" t="str">
        <f t="shared" si="6"/>
        <v/>
      </c>
    </row>
    <row r="571">
      <c r="A571" s="18"/>
      <c r="B571" s="18"/>
      <c r="C571" s="18"/>
      <c r="D571" s="18"/>
      <c r="E571" s="18"/>
      <c r="F571" s="18"/>
      <c r="G571" s="22"/>
      <c r="H571" s="18"/>
      <c r="I571" s="18">
        <v>0.0</v>
      </c>
      <c r="J571" s="18">
        <v>0.0</v>
      </c>
      <c r="K571" s="18"/>
      <c r="L571" s="18"/>
      <c r="M571" s="22" t="str">
        <f t="shared" si="1"/>
        <v/>
      </c>
      <c r="N571" s="18" t="str">
        <f>IF(A571="",,IF(ROW()=2, Input!$C$2 + I571, P570 + I571))</f>
        <v/>
      </c>
      <c r="O571" s="23" t="str">
        <f>IF(A571="",,
 IF(K571="Initial principal",
   Input!$C$2 * M571,
   N571 * M571
 )
)</f>
        <v/>
      </c>
      <c r="P571" s="18" t="str">
        <f t="shared" si="2"/>
        <v/>
      </c>
      <c r="Q571" s="18" t="str">
        <f t="shared" si="3"/>
        <v/>
      </c>
      <c r="R571" s="18" t="str">
        <f t="array" ref="R571">IF(
  B571="",
  ,
  SWITCH(
    Input!$C$4,
    "Actual/365 Fixed",
      YEARFRAC(
        B571 + IF(INDEX(Input!$K$7:$K1503,ROW()-1),0,1),
        C571 + IF(INDEX(Input!$L$7:$L1503,ROW()-1),1,0),
        3
      ),
    "Anniversary/365",
      DATEDIF(
        B571 + IF(INDEX(Input!$K$7:$K1503,ROW()-1),0,1),
        C571 + IF(INDEX(Input!$L$7:$L1503,ROW()-1),1,0),
        "Y"
      )
      +
      (
        (C571 + IF(INDEX(Input!$L$7:$L1503,ROW()-1),1,0))
        -
        EDATE(
          B571 + IF(INDEX(Input!$K$7:$K1503,ROW()-1),0,1),
          12*DATEDIF(
            B571 + IF(INDEX(Input!$K$7:$K1503,ROW()-1),0,1),
            C571 + IF(INDEX(Input!$L$7:$L1503,ROW()-1),1,0),
            "Y"
          )
        )
      ) / 365,
    "Actual/Actual",
      YEARFRAC(
        B571 + IF(INDEX(Input!$K$7:$K1503,ROW()-1),0,1),
        C571 + IF(INDEX(Input!$L$7:$L1503,ROW()-1),1,0),
        1
      ),
      YEARFRAC(
        B571 + IF(INDEX(Input!$K$7:$K1503,ROW()-1),0,1),
        C571 + IF(INDEX(Input!$L$7:$L1503,ROW()-1),1,0),
        3
      )
  )
)</f>
        <v/>
      </c>
      <c r="S571" s="22" t="str">
        <f t="shared" si="4"/>
        <v/>
      </c>
      <c r="T571" s="6" t="str">
        <f t="array" ref="T571">IF(
  B571="",
  ,
  DATEDIF(
    B571 + IF(INDEX(Input!$K$7:$K1503,ROW()-1),0,1),
    C571 + IF(INDEX(Input!$L$7:$L1503,ROW()-1),1,0),
    "Y"
  )
)</f>
        <v/>
      </c>
      <c r="U571" s="6" t="str">
        <f t="array" ref="U571">IF(
  B571="",
  ,
  (C571 + IF(INDEX(Input!$L$7:$L1503,ROW()-1),1,0))
  - EDATE(
      B571 + IF(INDEX(Input!$K$7:$K1503,ROW()-1),0,1),
      12*S571
    )
)</f>
        <v/>
      </c>
      <c r="V571" s="6" t="str">
        <f t="shared" si="5"/>
        <v/>
      </c>
      <c r="W571" s="6" t="str">
        <f t="shared" si="6"/>
        <v/>
      </c>
    </row>
    <row r="572">
      <c r="A572" s="18"/>
      <c r="B572" s="18"/>
      <c r="C572" s="18"/>
      <c r="D572" s="18"/>
      <c r="E572" s="18"/>
      <c r="F572" s="18"/>
      <c r="G572" s="22"/>
      <c r="H572" s="18"/>
      <c r="I572" s="18">
        <v>0.0</v>
      </c>
      <c r="J572" s="18">
        <v>0.0</v>
      </c>
      <c r="K572" s="18"/>
      <c r="L572" s="18"/>
      <c r="M572" s="22" t="str">
        <f t="shared" si="1"/>
        <v/>
      </c>
      <c r="N572" s="18" t="str">
        <f>IF(A572="",,IF(ROW()=2, Input!$C$2 + I572, P571 + I572))</f>
        <v/>
      </c>
      <c r="O572" s="23" t="str">
        <f>IF(A572="",,
 IF(K572="Initial principal",
   Input!$C$2 * M572,
   N572 * M572
 )
)</f>
        <v/>
      </c>
      <c r="P572" s="18" t="str">
        <f t="shared" si="2"/>
        <v/>
      </c>
      <c r="Q572" s="18" t="str">
        <f t="shared" si="3"/>
        <v/>
      </c>
      <c r="R572" s="18" t="str">
        <f t="array" ref="R572">IF(
  B572="",
  ,
  SWITCH(
    Input!$C$4,
    "Actual/365 Fixed",
      YEARFRAC(
        B572 + IF(INDEX(Input!$K$7:$K1503,ROW()-1),0,1),
        C572 + IF(INDEX(Input!$L$7:$L1503,ROW()-1),1,0),
        3
      ),
    "Anniversary/365",
      DATEDIF(
        B572 + IF(INDEX(Input!$K$7:$K1503,ROW()-1),0,1),
        C572 + IF(INDEX(Input!$L$7:$L1503,ROW()-1),1,0),
        "Y"
      )
      +
      (
        (C572 + IF(INDEX(Input!$L$7:$L1503,ROW()-1),1,0))
        -
        EDATE(
          B572 + IF(INDEX(Input!$K$7:$K1503,ROW()-1),0,1),
          12*DATEDIF(
            B572 + IF(INDEX(Input!$K$7:$K1503,ROW()-1),0,1),
            C572 + IF(INDEX(Input!$L$7:$L1503,ROW()-1),1,0),
            "Y"
          )
        )
      ) / 365,
    "Actual/Actual",
      YEARFRAC(
        B572 + IF(INDEX(Input!$K$7:$K1503,ROW()-1),0,1),
        C572 + IF(INDEX(Input!$L$7:$L1503,ROW()-1),1,0),
        1
      ),
      YEARFRAC(
        B572 + IF(INDEX(Input!$K$7:$K1503,ROW()-1),0,1),
        C572 + IF(INDEX(Input!$L$7:$L1503,ROW()-1),1,0),
        3
      )
  )
)</f>
        <v/>
      </c>
      <c r="S572" s="22" t="str">
        <f t="shared" si="4"/>
        <v/>
      </c>
      <c r="T572" s="6" t="str">
        <f t="array" ref="T572">IF(
  B572="",
  ,
  DATEDIF(
    B572 + IF(INDEX(Input!$K$7:$K1503,ROW()-1),0,1),
    C572 + IF(INDEX(Input!$L$7:$L1503,ROW()-1),1,0),
    "Y"
  )
)</f>
        <v/>
      </c>
      <c r="U572" s="6" t="str">
        <f t="array" ref="U572">IF(
  B572="",
  ,
  (C572 + IF(INDEX(Input!$L$7:$L1503,ROW()-1),1,0))
  - EDATE(
      B572 + IF(INDEX(Input!$K$7:$K1503,ROW()-1),0,1),
      12*S572
    )
)</f>
        <v/>
      </c>
      <c r="V572" s="6" t="str">
        <f t="shared" si="5"/>
        <v/>
      </c>
      <c r="W572" s="6" t="str">
        <f t="shared" si="6"/>
        <v/>
      </c>
    </row>
    <row r="573">
      <c r="A573" s="18"/>
      <c r="B573" s="18"/>
      <c r="C573" s="18"/>
      <c r="D573" s="18"/>
      <c r="E573" s="18"/>
      <c r="F573" s="18"/>
      <c r="G573" s="22"/>
      <c r="H573" s="18"/>
      <c r="I573" s="18">
        <v>0.0</v>
      </c>
      <c r="J573" s="18">
        <v>0.0</v>
      </c>
      <c r="K573" s="18"/>
      <c r="L573" s="18"/>
      <c r="M573" s="22" t="str">
        <f t="shared" si="1"/>
        <v/>
      </c>
      <c r="N573" s="18" t="str">
        <f>IF(A573="",,IF(ROW()=2, Input!$C$2 + I573, P572 + I573))</f>
        <v/>
      </c>
      <c r="O573" s="23" t="str">
        <f>IF(A573="",,
 IF(K573="Initial principal",
   Input!$C$2 * M573,
   N573 * M573
 )
)</f>
        <v/>
      </c>
      <c r="P573" s="18" t="str">
        <f t="shared" si="2"/>
        <v/>
      </c>
      <c r="Q573" s="18" t="str">
        <f t="shared" si="3"/>
        <v/>
      </c>
      <c r="R573" s="18" t="str">
        <f t="array" ref="R573">IF(
  B573="",
  ,
  SWITCH(
    Input!$C$4,
    "Actual/365 Fixed",
      YEARFRAC(
        B573 + IF(INDEX(Input!$K$7:$K1503,ROW()-1),0,1),
        C573 + IF(INDEX(Input!$L$7:$L1503,ROW()-1),1,0),
        3
      ),
    "Anniversary/365",
      DATEDIF(
        B573 + IF(INDEX(Input!$K$7:$K1503,ROW()-1),0,1),
        C573 + IF(INDEX(Input!$L$7:$L1503,ROW()-1),1,0),
        "Y"
      )
      +
      (
        (C573 + IF(INDEX(Input!$L$7:$L1503,ROW()-1),1,0))
        -
        EDATE(
          B573 + IF(INDEX(Input!$K$7:$K1503,ROW()-1),0,1),
          12*DATEDIF(
            B573 + IF(INDEX(Input!$K$7:$K1503,ROW()-1),0,1),
            C573 + IF(INDEX(Input!$L$7:$L1503,ROW()-1),1,0),
            "Y"
          )
        )
      ) / 365,
    "Actual/Actual",
      YEARFRAC(
        B573 + IF(INDEX(Input!$K$7:$K1503,ROW()-1),0,1),
        C573 + IF(INDEX(Input!$L$7:$L1503,ROW()-1),1,0),
        1
      ),
      YEARFRAC(
        B573 + IF(INDEX(Input!$K$7:$K1503,ROW()-1),0,1),
        C573 + IF(INDEX(Input!$L$7:$L1503,ROW()-1),1,0),
        3
      )
  )
)</f>
        <v/>
      </c>
      <c r="S573" s="22" t="str">
        <f t="shared" si="4"/>
        <v/>
      </c>
      <c r="T573" s="6" t="str">
        <f t="array" ref="T573">IF(
  B573="",
  ,
  DATEDIF(
    B573 + IF(INDEX(Input!$K$7:$K1503,ROW()-1),0,1),
    C573 + IF(INDEX(Input!$L$7:$L1503,ROW()-1),1,0),
    "Y"
  )
)</f>
        <v/>
      </c>
      <c r="U573" s="6" t="str">
        <f t="array" ref="U573">IF(
  B573="",
  ,
  (C573 + IF(INDEX(Input!$L$7:$L1503,ROW()-1),1,0))
  - EDATE(
      B573 + IF(INDEX(Input!$K$7:$K1503,ROW()-1),0,1),
      12*S573
    )
)</f>
        <v/>
      </c>
      <c r="V573" s="6" t="str">
        <f t="shared" si="5"/>
        <v/>
      </c>
      <c r="W573" s="6" t="str">
        <f t="shared" si="6"/>
        <v/>
      </c>
    </row>
    <row r="574">
      <c r="A574" s="18"/>
      <c r="B574" s="18"/>
      <c r="C574" s="18"/>
      <c r="D574" s="18"/>
      <c r="E574" s="18"/>
      <c r="F574" s="18"/>
      <c r="G574" s="22"/>
      <c r="H574" s="18"/>
      <c r="I574" s="18">
        <v>0.0</v>
      </c>
      <c r="J574" s="18">
        <v>0.0</v>
      </c>
      <c r="K574" s="18"/>
      <c r="L574" s="18"/>
      <c r="M574" s="22" t="str">
        <f t="shared" si="1"/>
        <v/>
      </c>
      <c r="N574" s="18" t="str">
        <f>IF(A574="",,IF(ROW()=2, Input!$C$2 + I574, P573 + I574))</f>
        <v/>
      </c>
      <c r="O574" s="23" t="str">
        <f>IF(A574="",,
 IF(K574="Initial principal",
   Input!$C$2 * M574,
   N574 * M574
 )
)</f>
        <v/>
      </c>
      <c r="P574" s="18" t="str">
        <f t="shared" si="2"/>
        <v/>
      </c>
      <c r="Q574" s="18" t="str">
        <f t="shared" si="3"/>
        <v/>
      </c>
      <c r="R574" s="18" t="str">
        <f t="array" ref="R574">IF(
  B574="",
  ,
  SWITCH(
    Input!$C$4,
    "Actual/365 Fixed",
      YEARFRAC(
        B574 + IF(INDEX(Input!$K$7:$K1503,ROW()-1),0,1),
        C574 + IF(INDEX(Input!$L$7:$L1503,ROW()-1),1,0),
        3
      ),
    "Anniversary/365",
      DATEDIF(
        B574 + IF(INDEX(Input!$K$7:$K1503,ROW()-1),0,1),
        C574 + IF(INDEX(Input!$L$7:$L1503,ROW()-1),1,0),
        "Y"
      )
      +
      (
        (C574 + IF(INDEX(Input!$L$7:$L1503,ROW()-1),1,0))
        -
        EDATE(
          B574 + IF(INDEX(Input!$K$7:$K1503,ROW()-1),0,1),
          12*DATEDIF(
            B574 + IF(INDEX(Input!$K$7:$K1503,ROW()-1),0,1),
            C574 + IF(INDEX(Input!$L$7:$L1503,ROW()-1),1,0),
            "Y"
          )
        )
      ) / 365,
    "Actual/Actual",
      YEARFRAC(
        B574 + IF(INDEX(Input!$K$7:$K1503,ROW()-1),0,1),
        C574 + IF(INDEX(Input!$L$7:$L1503,ROW()-1),1,0),
        1
      ),
      YEARFRAC(
        B574 + IF(INDEX(Input!$K$7:$K1503,ROW()-1),0,1),
        C574 + IF(INDEX(Input!$L$7:$L1503,ROW()-1),1,0),
        3
      )
  )
)</f>
        <v/>
      </c>
      <c r="S574" s="22" t="str">
        <f t="shared" si="4"/>
        <v/>
      </c>
      <c r="T574" s="6" t="str">
        <f t="array" ref="T574">IF(
  B574="",
  ,
  DATEDIF(
    B574 + IF(INDEX(Input!$K$7:$K1503,ROW()-1),0,1),
    C574 + IF(INDEX(Input!$L$7:$L1503,ROW()-1),1,0),
    "Y"
  )
)</f>
        <v/>
      </c>
      <c r="U574" s="6" t="str">
        <f t="array" ref="U574">IF(
  B574="",
  ,
  (C574 + IF(INDEX(Input!$L$7:$L1503,ROW()-1),1,0))
  - EDATE(
      B574 + IF(INDEX(Input!$K$7:$K1503,ROW()-1),0,1),
      12*S574
    )
)</f>
        <v/>
      </c>
      <c r="V574" s="6" t="str">
        <f t="shared" si="5"/>
        <v/>
      </c>
      <c r="W574" s="6" t="str">
        <f t="shared" si="6"/>
        <v/>
      </c>
    </row>
    <row r="575">
      <c r="A575" s="18"/>
      <c r="B575" s="18"/>
      <c r="C575" s="18"/>
      <c r="D575" s="18"/>
      <c r="E575" s="18"/>
      <c r="F575" s="18"/>
      <c r="G575" s="22"/>
      <c r="H575" s="18"/>
      <c r="I575" s="18">
        <v>0.0</v>
      </c>
      <c r="J575" s="18">
        <v>0.0</v>
      </c>
      <c r="K575" s="18"/>
      <c r="L575" s="18"/>
      <c r="M575" s="22" t="str">
        <f t="shared" si="1"/>
        <v/>
      </c>
      <c r="N575" s="18" t="str">
        <f>IF(A575="",,IF(ROW()=2, Input!$C$2 + I575, P574 + I575))</f>
        <v/>
      </c>
      <c r="O575" s="23" t="str">
        <f>IF(A575="",,
 IF(K575="Initial principal",
   Input!$C$2 * M575,
   N575 * M575
 )
)</f>
        <v/>
      </c>
      <c r="P575" s="18" t="str">
        <f t="shared" si="2"/>
        <v/>
      </c>
      <c r="Q575" s="18" t="str">
        <f t="shared" si="3"/>
        <v/>
      </c>
      <c r="R575" s="18" t="str">
        <f t="array" ref="R575">IF(
  B575="",
  ,
  SWITCH(
    Input!$C$4,
    "Actual/365 Fixed",
      YEARFRAC(
        B575 + IF(INDEX(Input!$K$7:$K1503,ROW()-1),0,1),
        C575 + IF(INDEX(Input!$L$7:$L1503,ROW()-1),1,0),
        3
      ),
    "Anniversary/365",
      DATEDIF(
        B575 + IF(INDEX(Input!$K$7:$K1503,ROW()-1),0,1),
        C575 + IF(INDEX(Input!$L$7:$L1503,ROW()-1),1,0),
        "Y"
      )
      +
      (
        (C575 + IF(INDEX(Input!$L$7:$L1503,ROW()-1),1,0))
        -
        EDATE(
          B575 + IF(INDEX(Input!$K$7:$K1503,ROW()-1),0,1),
          12*DATEDIF(
            B575 + IF(INDEX(Input!$K$7:$K1503,ROW()-1),0,1),
            C575 + IF(INDEX(Input!$L$7:$L1503,ROW()-1),1,0),
            "Y"
          )
        )
      ) / 365,
    "Actual/Actual",
      YEARFRAC(
        B575 + IF(INDEX(Input!$K$7:$K1503,ROW()-1),0,1),
        C575 + IF(INDEX(Input!$L$7:$L1503,ROW()-1),1,0),
        1
      ),
      YEARFRAC(
        B575 + IF(INDEX(Input!$K$7:$K1503,ROW()-1),0,1),
        C575 + IF(INDEX(Input!$L$7:$L1503,ROW()-1),1,0),
        3
      )
  )
)</f>
        <v/>
      </c>
      <c r="S575" s="22" t="str">
        <f t="shared" si="4"/>
        <v/>
      </c>
      <c r="T575" s="6" t="str">
        <f t="array" ref="T575">IF(
  B575="",
  ,
  DATEDIF(
    B575 + IF(INDEX(Input!$K$7:$K1503,ROW()-1),0,1),
    C575 + IF(INDEX(Input!$L$7:$L1503,ROW()-1),1,0),
    "Y"
  )
)</f>
        <v/>
      </c>
      <c r="U575" s="6" t="str">
        <f t="array" ref="U575">IF(
  B575="",
  ,
  (C575 + IF(INDEX(Input!$L$7:$L1503,ROW()-1),1,0))
  - EDATE(
      B575 + IF(INDEX(Input!$K$7:$K1503,ROW()-1),0,1),
      12*S575
    )
)</f>
        <v/>
      </c>
      <c r="V575" s="6" t="str">
        <f t="shared" si="5"/>
        <v/>
      </c>
      <c r="W575" s="6" t="str">
        <f t="shared" si="6"/>
        <v/>
      </c>
    </row>
    <row r="576">
      <c r="A576" s="18"/>
      <c r="B576" s="18"/>
      <c r="C576" s="18"/>
      <c r="D576" s="18"/>
      <c r="E576" s="18"/>
      <c r="F576" s="18"/>
      <c r="G576" s="22"/>
      <c r="H576" s="18"/>
      <c r="I576" s="18">
        <v>0.0</v>
      </c>
      <c r="J576" s="18">
        <v>0.0</v>
      </c>
      <c r="K576" s="18"/>
      <c r="L576" s="18"/>
      <c r="M576" s="22" t="str">
        <f t="shared" si="1"/>
        <v/>
      </c>
      <c r="N576" s="18" t="str">
        <f>IF(A576="",,IF(ROW()=2, Input!$C$2 + I576, P575 + I576))</f>
        <v/>
      </c>
      <c r="O576" s="23" t="str">
        <f>IF(A576="",,
 IF(K576="Initial principal",
   Input!$C$2 * M576,
   N576 * M576
 )
)</f>
        <v/>
      </c>
      <c r="P576" s="18" t="str">
        <f t="shared" si="2"/>
        <v/>
      </c>
      <c r="Q576" s="18" t="str">
        <f t="shared" si="3"/>
        <v/>
      </c>
      <c r="R576" s="18" t="str">
        <f t="array" ref="R576">IF(
  B576="",
  ,
  SWITCH(
    Input!$C$4,
    "Actual/365 Fixed",
      YEARFRAC(
        B576 + IF(INDEX(Input!$K$7:$K1503,ROW()-1),0,1),
        C576 + IF(INDEX(Input!$L$7:$L1503,ROW()-1),1,0),
        3
      ),
    "Anniversary/365",
      DATEDIF(
        B576 + IF(INDEX(Input!$K$7:$K1503,ROW()-1),0,1),
        C576 + IF(INDEX(Input!$L$7:$L1503,ROW()-1),1,0),
        "Y"
      )
      +
      (
        (C576 + IF(INDEX(Input!$L$7:$L1503,ROW()-1),1,0))
        -
        EDATE(
          B576 + IF(INDEX(Input!$K$7:$K1503,ROW()-1),0,1),
          12*DATEDIF(
            B576 + IF(INDEX(Input!$K$7:$K1503,ROW()-1),0,1),
            C576 + IF(INDEX(Input!$L$7:$L1503,ROW()-1),1,0),
            "Y"
          )
        )
      ) / 365,
    "Actual/Actual",
      YEARFRAC(
        B576 + IF(INDEX(Input!$K$7:$K1503,ROW()-1),0,1),
        C576 + IF(INDEX(Input!$L$7:$L1503,ROW()-1),1,0),
        1
      ),
      YEARFRAC(
        B576 + IF(INDEX(Input!$K$7:$K1503,ROW()-1),0,1),
        C576 + IF(INDEX(Input!$L$7:$L1503,ROW()-1),1,0),
        3
      )
  )
)</f>
        <v/>
      </c>
      <c r="S576" s="22" t="str">
        <f t="shared" si="4"/>
        <v/>
      </c>
      <c r="T576" s="6" t="str">
        <f t="array" ref="T576">IF(
  B576="",
  ,
  DATEDIF(
    B576 + IF(INDEX(Input!$K$7:$K1503,ROW()-1),0,1),
    C576 + IF(INDEX(Input!$L$7:$L1503,ROW()-1),1,0),
    "Y"
  )
)</f>
        <v/>
      </c>
      <c r="U576" s="6" t="str">
        <f t="array" ref="U576">IF(
  B576="",
  ,
  (C576 + IF(INDEX(Input!$L$7:$L1503,ROW()-1),1,0))
  - EDATE(
      B576 + IF(INDEX(Input!$K$7:$K1503,ROW()-1),0,1),
      12*S576
    )
)</f>
        <v/>
      </c>
      <c r="V576" s="6" t="str">
        <f t="shared" si="5"/>
        <v/>
      </c>
      <c r="W576" s="6" t="str">
        <f t="shared" si="6"/>
        <v/>
      </c>
    </row>
    <row r="577">
      <c r="A577" s="18"/>
      <c r="B577" s="18"/>
      <c r="C577" s="18"/>
      <c r="D577" s="18"/>
      <c r="E577" s="18"/>
      <c r="F577" s="18"/>
      <c r="G577" s="22"/>
      <c r="H577" s="18"/>
      <c r="I577" s="18">
        <v>0.0</v>
      </c>
      <c r="J577" s="18">
        <v>0.0</v>
      </c>
      <c r="K577" s="18"/>
      <c r="L577" s="18"/>
      <c r="M577" s="22" t="str">
        <f t="shared" si="1"/>
        <v/>
      </c>
      <c r="N577" s="18" t="str">
        <f>IF(A577="",,IF(ROW()=2, Input!$C$2 + I577, P576 + I577))</f>
        <v/>
      </c>
      <c r="O577" s="23" t="str">
        <f>IF(A577="",,
 IF(K577="Initial principal",
   Input!$C$2 * M577,
   N577 * M577
 )
)</f>
        <v/>
      </c>
      <c r="P577" s="18" t="str">
        <f t="shared" si="2"/>
        <v/>
      </c>
      <c r="Q577" s="18" t="str">
        <f t="shared" si="3"/>
        <v/>
      </c>
      <c r="R577" s="18" t="str">
        <f t="array" ref="R577">IF(
  B577="",
  ,
  SWITCH(
    Input!$C$4,
    "Actual/365 Fixed",
      YEARFRAC(
        B577 + IF(INDEX(Input!$K$7:$K1503,ROW()-1),0,1),
        C577 + IF(INDEX(Input!$L$7:$L1503,ROW()-1),1,0),
        3
      ),
    "Anniversary/365",
      DATEDIF(
        B577 + IF(INDEX(Input!$K$7:$K1503,ROW()-1),0,1),
        C577 + IF(INDEX(Input!$L$7:$L1503,ROW()-1),1,0),
        "Y"
      )
      +
      (
        (C577 + IF(INDEX(Input!$L$7:$L1503,ROW()-1),1,0))
        -
        EDATE(
          B577 + IF(INDEX(Input!$K$7:$K1503,ROW()-1),0,1),
          12*DATEDIF(
            B577 + IF(INDEX(Input!$K$7:$K1503,ROW()-1),0,1),
            C577 + IF(INDEX(Input!$L$7:$L1503,ROW()-1),1,0),
            "Y"
          )
        )
      ) / 365,
    "Actual/Actual",
      YEARFRAC(
        B577 + IF(INDEX(Input!$K$7:$K1503,ROW()-1),0,1),
        C577 + IF(INDEX(Input!$L$7:$L1503,ROW()-1),1,0),
        1
      ),
      YEARFRAC(
        B577 + IF(INDEX(Input!$K$7:$K1503,ROW()-1),0,1),
        C577 + IF(INDEX(Input!$L$7:$L1503,ROW()-1),1,0),
        3
      )
  )
)</f>
        <v/>
      </c>
      <c r="S577" s="22" t="str">
        <f t="shared" si="4"/>
        <v/>
      </c>
      <c r="T577" s="6" t="str">
        <f t="array" ref="T577">IF(
  B577="",
  ,
  DATEDIF(
    B577 + IF(INDEX(Input!$K$7:$K1503,ROW()-1),0,1),
    C577 + IF(INDEX(Input!$L$7:$L1503,ROW()-1),1,0),
    "Y"
  )
)</f>
        <v/>
      </c>
      <c r="U577" s="6" t="str">
        <f t="array" ref="U577">IF(
  B577="",
  ,
  (C577 + IF(INDEX(Input!$L$7:$L1503,ROW()-1),1,0))
  - EDATE(
      B577 + IF(INDEX(Input!$K$7:$K1503,ROW()-1),0,1),
      12*S577
    )
)</f>
        <v/>
      </c>
      <c r="V577" s="6" t="str">
        <f t="shared" si="5"/>
        <v/>
      </c>
      <c r="W577" s="6" t="str">
        <f t="shared" si="6"/>
        <v/>
      </c>
    </row>
    <row r="578">
      <c r="A578" s="18"/>
      <c r="B578" s="18"/>
      <c r="C578" s="18"/>
      <c r="D578" s="18"/>
      <c r="E578" s="18"/>
      <c r="F578" s="18"/>
      <c r="G578" s="22"/>
      <c r="H578" s="18"/>
      <c r="I578" s="18">
        <v>0.0</v>
      </c>
      <c r="J578" s="18">
        <v>0.0</v>
      </c>
      <c r="K578" s="18"/>
      <c r="L578" s="18"/>
      <c r="M578" s="22" t="str">
        <f t="shared" si="1"/>
        <v/>
      </c>
      <c r="N578" s="18" t="str">
        <f>IF(A578="",,IF(ROW()=2, Input!$C$2 + I578, P577 + I578))</f>
        <v/>
      </c>
      <c r="O578" s="23" t="str">
        <f>IF(A578="",,
 IF(K578="Initial principal",
   Input!$C$2 * M578,
   N578 * M578
 )
)</f>
        <v/>
      </c>
      <c r="P578" s="18" t="str">
        <f t="shared" si="2"/>
        <v/>
      </c>
      <c r="Q578" s="18" t="str">
        <f t="shared" si="3"/>
        <v/>
      </c>
      <c r="R578" s="18" t="str">
        <f t="array" ref="R578">IF(
  B578="",
  ,
  SWITCH(
    Input!$C$4,
    "Actual/365 Fixed",
      YEARFRAC(
        B578 + IF(INDEX(Input!$K$7:$K1503,ROW()-1),0,1),
        C578 + IF(INDEX(Input!$L$7:$L1503,ROW()-1),1,0),
        3
      ),
    "Anniversary/365",
      DATEDIF(
        B578 + IF(INDEX(Input!$K$7:$K1503,ROW()-1),0,1),
        C578 + IF(INDEX(Input!$L$7:$L1503,ROW()-1),1,0),
        "Y"
      )
      +
      (
        (C578 + IF(INDEX(Input!$L$7:$L1503,ROW()-1),1,0))
        -
        EDATE(
          B578 + IF(INDEX(Input!$K$7:$K1503,ROW()-1),0,1),
          12*DATEDIF(
            B578 + IF(INDEX(Input!$K$7:$K1503,ROW()-1),0,1),
            C578 + IF(INDEX(Input!$L$7:$L1503,ROW()-1),1,0),
            "Y"
          )
        )
      ) / 365,
    "Actual/Actual",
      YEARFRAC(
        B578 + IF(INDEX(Input!$K$7:$K1503,ROW()-1),0,1),
        C578 + IF(INDEX(Input!$L$7:$L1503,ROW()-1),1,0),
        1
      ),
      YEARFRAC(
        B578 + IF(INDEX(Input!$K$7:$K1503,ROW()-1),0,1),
        C578 + IF(INDEX(Input!$L$7:$L1503,ROW()-1),1,0),
        3
      )
  )
)</f>
        <v/>
      </c>
      <c r="S578" s="22" t="str">
        <f t="shared" si="4"/>
        <v/>
      </c>
      <c r="T578" s="6" t="str">
        <f t="array" ref="T578">IF(
  B578="",
  ,
  DATEDIF(
    B578 + IF(INDEX(Input!$K$7:$K1503,ROW()-1),0,1),
    C578 + IF(INDEX(Input!$L$7:$L1503,ROW()-1),1,0),
    "Y"
  )
)</f>
        <v/>
      </c>
      <c r="U578" s="6" t="str">
        <f t="array" ref="U578">IF(
  B578="",
  ,
  (C578 + IF(INDEX(Input!$L$7:$L1503,ROW()-1),1,0))
  - EDATE(
      B578 + IF(INDEX(Input!$K$7:$K1503,ROW()-1),0,1),
      12*S578
    )
)</f>
        <v/>
      </c>
      <c r="V578" s="6" t="str">
        <f t="shared" si="5"/>
        <v/>
      </c>
      <c r="W578" s="6" t="str">
        <f t="shared" si="6"/>
        <v/>
      </c>
    </row>
    <row r="579">
      <c r="A579" s="18"/>
      <c r="B579" s="18"/>
      <c r="C579" s="18"/>
      <c r="D579" s="18"/>
      <c r="E579" s="18"/>
      <c r="F579" s="18"/>
      <c r="G579" s="22"/>
      <c r="H579" s="18"/>
      <c r="I579" s="18">
        <v>0.0</v>
      </c>
      <c r="J579" s="18">
        <v>0.0</v>
      </c>
      <c r="K579" s="18"/>
      <c r="L579" s="18"/>
      <c r="M579" s="22" t="str">
        <f t="shared" si="1"/>
        <v/>
      </c>
      <c r="N579" s="18" t="str">
        <f>IF(A579="",,IF(ROW()=2, Input!$C$2 + I579, P578 + I579))</f>
        <v/>
      </c>
      <c r="O579" s="23" t="str">
        <f>IF(A579="",,
 IF(K579="Initial principal",
   Input!$C$2 * M579,
   N579 * M579
 )
)</f>
        <v/>
      </c>
      <c r="P579" s="18" t="str">
        <f t="shared" si="2"/>
        <v/>
      </c>
      <c r="Q579" s="18" t="str">
        <f t="shared" si="3"/>
        <v/>
      </c>
      <c r="R579" s="18" t="str">
        <f t="array" ref="R579">IF(
  B579="",
  ,
  SWITCH(
    Input!$C$4,
    "Actual/365 Fixed",
      YEARFRAC(
        B579 + IF(INDEX(Input!$K$7:$K1503,ROW()-1),0,1),
        C579 + IF(INDEX(Input!$L$7:$L1503,ROW()-1),1,0),
        3
      ),
    "Anniversary/365",
      DATEDIF(
        B579 + IF(INDEX(Input!$K$7:$K1503,ROW()-1),0,1),
        C579 + IF(INDEX(Input!$L$7:$L1503,ROW()-1),1,0),
        "Y"
      )
      +
      (
        (C579 + IF(INDEX(Input!$L$7:$L1503,ROW()-1),1,0))
        -
        EDATE(
          B579 + IF(INDEX(Input!$K$7:$K1503,ROW()-1),0,1),
          12*DATEDIF(
            B579 + IF(INDEX(Input!$K$7:$K1503,ROW()-1),0,1),
            C579 + IF(INDEX(Input!$L$7:$L1503,ROW()-1),1,0),
            "Y"
          )
        )
      ) / 365,
    "Actual/Actual",
      YEARFRAC(
        B579 + IF(INDEX(Input!$K$7:$K1503,ROW()-1),0,1),
        C579 + IF(INDEX(Input!$L$7:$L1503,ROW()-1),1,0),
        1
      ),
      YEARFRAC(
        B579 + IF(INDEX(Input!$K$7:$K1503,ROW()-1),0,1),
        C579 + IF(INDEX(Input!$L$7:$L1503,ROW()-1),1,0),
        3
      )
  )
)</f>
        <v/>
      </c>
      <c r="S579" s="22" t="str">
        <f t="shared" si="4"/>
        <v/>
      </c>
      <c r="T579" s="6" t="str">
        <f t="array" ref="T579">IF(
  B579="",
  ,
  DATEDIF(
    B579 + IF(INDEX(Input!$K$7:$K1503,ROW()-1),0,1),
    C579 + IF(INDEX(Input!$L$7:$L1503,ROW()-1),1,0),
    "Y"
  )
)</f>
        <v/>
      </c>
      <c r="U579" s="6" t="str">
        <f t="array" ref="U579">IF(
  B579="",
  ,
  (C579 + IF(INDEX(Input!$L$7:$L1503,ROW()-1),1,0))
  - EDATE(
      B579 + IF(INDEX(Input!$K$7:$K1503,ROW()-1),0,1),
      12*S579
    )
)</f>
        <v/>
      </c>
      <c r="V579" s="6" t="str">
        <f t="shared" si="5"/>
        <v/>
      </c>
      <c r="W579" s="6" t="str">
        <f t="shared" si="6"/>
        <v/>
      </c>
    </row>
    <row r="580">
      <c r="A580" s="18"/>
      <c r="B580" s="18"/>
      <c r="C580" s="18"/>
      <c r="D580" s="18"/>
      <c r="E580" s="18"/>
      <c r="F580" s="18"/>
      <c r="G580" s="22"/>
      <c r="H580" s="18"/>
      <c r="I580" s="18">
        <v>0.0</v>
      </c>
      <c r="J580" s="18">
        <v>0.0</v>
      </c>
      <c r="K580" s="18"/>
      <c r="L580" s="18"/>
      <c r="M580" s="22" t="str">
        <f t="shared" si="1"/>
        <v/>
      </c>
      <c r="N580" s="18" t="str">
        <f>IF(A580="",,IF(ROW()=2, Input!$C$2 + I580, P579 + I580))</f>
        <v/>
      </c>
      <c r="O580" s="23" t="str">
        <f>IF(A580="",,
 IF(K580="Initial principal",
   Input!$C$2 * M580,
   N580 * M580
 )
)</f>
        <v/>
      </c>
      <c r="P580" s="18" t="str">
        <f t="shared" si="2"/>
        <v/>
      </c>
      <c r="Q580" s="18" t="str">
        <f t="shared" si="3"/>
        <v/>
      </c>
      <c r="R580" s="18" t="str">
        <f t="array" ref="R580">IF(
  B580="",
  ,
  SWITCH(
    Input!$C$4,
    "Actual/365 Fixed",
      YEARFRAC(
        B580 + IF(INDEX(Input!$K$7:$K1503,ROW()-1),0,1),
        C580 + IF(INDEX(Input!$L$7:$L1503,ROW()-1),1,0),
        3
      ),
    "Anniversary/365",
      DATEDIF(
        B580 + IF(INDEX(Input!$K$7:$K1503,ROW()-1),0,1),
        C580 + IF(INDEX(Input!$L$7:$L1503,ROW()-1),1,0),
        "Y"
      )
      +
      (
        (C580 + IF(INDEX(Input!$L$7:$L1503,ROW()-1),1,0))
        -
        EDATE(
          B580 + IF(INDEX(Input!$K$7:$K1503,ROW()-1),0,1),
          12*DATEDIF(
            B580 + IF(INDEX(Input!$K$7:$K1503,ROW()-1),0,1),
            C580 + IF(INDEX(Input!$L$7:$L1503,ROW()-1),1,0),
            "Y"
          )
        )
      ) / 365,
    "Actual/Actual",
      YEARFRAC(
        B580 + IF(INDEX(Input!$K$7:$K1503,ROW()-1),0,1),
        C580 + IF(INDEX(Input!$L$7:$L1503,ROW()-1),1,0),
        1
      ),
      YEARFRAC(
        B580 + IF(INDEX(Input!$K$7:$K1503,ROW()-1),0,1),
        C580 + IF(INDEX(Input!$L$7:$L1503,ROW()-1),1,0),
        3
      )
  )
)</f>
        <v/>
      </c>
      <c r="S580" s="22" t="str">
        <f t="shared" si="4"/>
        <v/>
      </c>
      <c r="T580" s="6" t="str">
        <f t="array" ref="T580">IF(
  B580="",
  ,
  DATEDIF(
    B580 + IF(INDEX(Input!$K$7:$K1503,ROW()-1),0,1),
    C580 + IF(INDEX(Input!$L$7:$L1503,ROW()-1),1,0),
    "Y"
  )
)</f>
        <v/>
      </c>
      <c r="U580" s="6" t="str">
        <f t="array" ref="U580">IF(
  B580="",
  ,
  (C580 + IF(INDEX(Input!$L$7:$L1503,ROW()-1),1,0))
  - EDATE(
      B580 + IF(INDEX(Input!$K$7:$K1503,ROW()-1),0,1),
      12*S580
    )
)</f>
        <v/>
      </c>
      <c r="V580" s="6" t="str">
        <f t="shared" si="5"/>
        <v/>
      </c>
      <c r="W580" s="6" t="str">
        <f t="shared" si="6"/>
        <v/>
      </c>
    </row>
    <row r="581">
      <c r="A581" s="18"/>
      <c r="B581" s="18"/>
      <c r="C581" s="18"/>
      <c r="D581" s="18"/>
      <c r="E581" s="18"/>
      <c r="F581" s="18"/>
      <c r="G581" s="22"/>
      <c r="H581" s="18"/>
      <c r="I581" s="18">
        <v>0.0</v>
      </c>
      <c r="J581" s="18">
        <v>0.0</v>
      </c>
      <c r="K581" s="18"/>
      <c r="L581" s="18"/>
      <c r="M581" s="22" t="str">
        <f t="shared" si="1"/>
        <v/>
      </c>
      <c r="N581" s="18" t="str">
        <f>IF(A581="",,IF(ROW()=2, Input!$C$2 + I581, P580 + I581))</f>
        <v/>
      </c>
      <c r="O581" s="23" t="str">
        <f>IF(A581="",,
 IF(K581="Initial principal",
   Input!$C$2 * M581,
   N581 * M581
 )
)</f>
        <v/>
      </c>
      <c r="P581" s="18" t="str">
        <f t="shared" si="2"/>
        <v/>
      </c>
      <c r="Q581" s="18" t="str">
        <f t="shared" si="3"/>
        <v/>
      </c>
      <c r="R581" s="18" t="str">
        <f t="array" ref="R581">IF(
  B581="",
  ,
  SWITCH(
    Input!$C$4,
    "Actual/365 Fixed",
      YEARFRAC(
        B581 + IF(INDEX(Input!$K$7:$K1503,ROW()-1),0,1),
        C581 + IF(INDEX(Input!$L$7:$L1503,ROW()-1),1,0),
        3
      ),
    "Anniversary/365",
      DATEDIF(
        B581 + IF(INDEX(Input!$K$7:$K1503,ROW()-1),0,1),
        C581 + IF(INDEX(Input!$L$7:$L1503,ROW()-1),1,0),
        "Y"
      )
      +
      (
        (C581 + IF(INDEX(Input!$L$7:$L1503,ROW()-1),1,0))
        -
        EDATE(
          B581 + IF(INDEX(Input!$K$7:$K1503,ROW()-1),0,1),
          12*DATEDIF(
            B581 + IF(INDEX(Input!$K$7:$K1503,ROW()-1),0,1),
            C581 + IF(INDEX(Input!$L$7:$L1503,ROW()-1),1,0),
            "Y"
          )
        )
      ) / 365,
    "Actual/Actual",
      YEARFRAC(
        B581 + IF(INDEX(Input!$K$7:$K1503,ROW()-1),0,1),
        C581 + IF(INDEX(Input!$L$7:$L1503,ROW()-1),1,0),
        1
      ),
      YEARFRAC(
        B581 + IF(INDEX(Input!$K$7:$K1503,ROW()-1),0,1),
        C581 + IF(INDEX(Input!$L$7:$L1503,ROW()-1),1,0),
        3
      )
  )
)</f>
        <v/>
      </c>
      <c r="S581" s="22" t="str">
        <f t="shared" si="4"/>
        <v/>
      </c>
      <c r="T581" s="6" t="str">
        <f t="array" ref="T581">IF(
  B581="",
  ,
  DATEDIF(
    B581 + IF(INDEX(Input!$K$7:$K1503,ROW()-1),0,1),
    C581 + IF(INDEX(Input!$L$7:$L1503,ROW()-1),1,0),
    "Y"
  )
)</f>
        <v/>
      </c>
      <c r="U581" s="6" t="str">
        <f t="array" ref="U581">IF(
  B581="",
  ,
  (C581 + IF(INDEX(Input!$L$7:$L1503,ROW()-1),1,0))
  - EDATE(
      B581 + IF(INDEX(Input!$K$7:$K1503,ROW()-1),0,1),
      12*S581
    )
)</f>
        <v/>
      </c>
      <c r="V581" s="6" t="str">
        <f t="shared" si="5"/>
        <v/>
      </c>
      <c r="W581" s="6" t="str">
        <f t="shared" si="6"/>
        <v/>
      </c>
    </row>
    <row r="582">
      <c r="A582" s="18"/>
      <c r="B582" s="18"/>
      <c r="C582" s="18"/>
      <c r="D582" s="18"/>
      <c r="E582" s="18"/>
      <c r="F582" s="18"/>
      <c r="G582" s="22"/>
      <c r="H582" s="18"/>
      <c r="I582" s="18">
        <v>0.0</v>
      </c>
      <c r="J582" s="18">
        <v>0.0</v>
      </c>
      <c r="K582" s="18"/>
      <c r="L582" s="18"/>
      <c r="M582" s="22" t="str">
        <f t="shared" si="1"/>
        <v/>
      </c>
      <c r="N582" s="18" t="str">
        <f>IF(A582="",,IF(ROW()=2, Input!$C$2 + I582, P581 + I582))</f>
        <v/>
      </c>
      <c r="O582" s="23" t="str">
        <f>IF(A582="",,
 IF(K582="Initial principal",
   Input!$C$2 * M582,
   N582 * M582
 )
)</f>
        <v/>
      </c>
      <c r="P582" s="18" t="str">
        <f t="shared" si="2"/>
        <v/>
      </c>
      <c r="Q582" s="18" t="str">
        <f t="shared" si="3"/>
        <v/>
      </c>
      <c r="R582" s="18" t="str">
        <f t="array" ref="R582">IF(
  B582="",
  ,
  SWITCH(
    Input!$C$4,
    "Actual/365 Fixed",
      YEARFRAC(
        B582 + IF(INDEX(Input!$K$7:$K1503,ROW()-1),0,1),
        C582 + IF(INDEX(Input!$L$7:$L1503,ROW()-1),1,0),
        3
      ),
    "Anniversary/365",
      DATEDIF(
        B582 + IF(INDEX(Input!$K$7:$K1503,ROW()-1),0,1),
        C582 + IF(INDEX(Input!$L$7:$L1503,ROW()-1),1,0),
        "Y"
      )
      +
      (
        (C582 + IF(INDEX(Input!$L$7:$L1503,ROW()-1),1,0))
        -
        EDATE(
          B582 + IF(INDEX(Input!$K$7:$K1503,ROW()-1),0,1),
          12*DATEDIF(
            B582 + IF(INDEX(Input!$K$7:$K1503,ROW()-1),0,1),
            C582 + IF(INDEX(Input!$L$7:$L1503,ROW()-1),1,0),
            "Y"
          )
        )
      ) / 365,
    "Actual/Actual",
      YEARFRAC(
        B582 + IF(INDEX(Input!$K$7:$K1503,ROW()-1),0,1),
        C582 + IF(INDEX(Input!$L$7:$L1503,ROW()-1),1,0),
        1
      ),
      YEARFRAC(
        B582 + IF(INDEX(Input!$K$7:$K1503,ROW()-1),0,1),
        C582 + IF(INDEX(Input!$L$7:$L1503,ROW()-1),1,0),
        3
      )
  )
)</f>
        <v/>
      </c>
      <c r="S582" s="22" t="str">
        <f t="shared" si="4"/>
        <v/>
      </c>
      <c r="T582" s="6" t="str">
        <f t="array" ref="T582">IF(
  B582="",
  ,
  DATEDIF(
    B582 + IF(INDEX(Input!$K$7:$K1503,ROW()-1),0,1),
    C582 + IF(INDEX(Input!$L$7:$L1503,ROW()-1),1,0),
    "Y"
  )
)</f>
        <v/>
      </c>
      <c r="U582" s="6" t="str">
        <f t="array" ref="U582">IF(
  B582="",
  ,
  (C582 + IF(INDEX(Input!$L$7:$L1503,ROW()-1),1,0))
  - EDATE(
      B582 + IF(INDEX(Input!$K$7:$K1503,ROW()-1),0,1),
      12*S582
    )
)</f>
        <v/>
      </c>
      <c r="V582" s="6" t="str">
        <f t="shared" si="5"/>
        <v/>
      </c>
      <c r="W582" s="6" t="str">
        <f t="shared" si="6"/>
        <v/>
      </c>
    </row>
    <row r="583">
      <c r="A583" s="18"/>
      <c r="B583" s="18"/>
      <c r="C583" s="18"/>
      <c r="D583" s="18"/>
      <c r="E583" s="18"/>
      <c r="F583" s="18"/>
      <c r="G583" s="22"/>
      <c r="H583" s="18"/>
      <c r="I583" s="18">
        <v>0.0</v>
      </c>
      <c r="J583" s="18">
        <v>0.0</v>
      </c>
      <c r="K583" s="18"/>
      <c r="L583" s="18"/>
      <c r="M583" s="22" t="str">
        <f t="shared" si="1"/>
        <v/>
      </c>
      <c r="N583" s="18" t="str">
        <f>IF(A583="",,IF(ROW()=2, Input!$C$2 + I583, P582 + I583))</f>
        <v/>
      </c>
      <c r="O583" s="23" t="str">
        <f>IF(A583="",,
 IF(K583="Initial principal",
   Input!$C$2 * M583,
   N583 * M583
 )
)</f>
        <v/>
      </c>
      <c r="P583" s="18" t="str">
        <f t="shared" si="2"/>
        <v/>
      </c>
      <c r="Q583" s="18" t="str">
        <f t="shared" si="3"/>
        <v/>
      </c>
      <c r="R583" s="18" t="str">
        <f t="array" ref="R583">IF(
  B583="",
  ,
  SWITCH(
    Input!$C$4,
    "Actual/365 Fixed",
      YEARFRAC(
        B583 + IF(INDEX(Input!$K$7:$K1503,ROW()-1),0,1),
        C583 + IF(INDEX(Input!$L$7:$L1503,ROW()-1),1,0),
        3
      ),
    "Anniversary/365",
      DATEDIF(
        B583 + IF(INDEX(Input!$K$7:$K1503,ROW()-1),0,1),
        C583 + IF(INDEX(Input!$L$7:$L1503,ROW()-1),1,0),
        "Y"
      )
      +
      (
        (C583 + IF(INDEX(Input!$L$7:$L1503,ROW()-1),1,0))
        -
        EDATE(
          B583 + IF(INDEX(Input!$K$7:$K1503,ROW()-1),0,1),
          12*DATEDIF(
            B583 + IF(INDEX(Input!$K$7:$K1503,ROW()-1),0,1),
            C583 + IF(INDEX(Input!$L$7:$L1503,ROW()-1),1,0),
            "Y"
          )
        )
      ) / 365,
    "Actual/Actual",
      YEARFRAC(
        B583 + IF(INDEX(Input!$K$7:$K1503,ROW()-1),0,1),
        C583 + IF(INDEX(Input!$L$7:$L1503,ROW()-1),1,0),
        1
      ),
      YEARFRAC(
        B583 + IF(INDEX(Input!$K$7:$K1503,ROW()-1),0,1),
        C583 + IF(INDEX(Input!$L$7:$L1503,ROW()-1),1,0),
        3
      )
  )
)</f>
        <v/>
      </c>
      <c r="S583" s="22" t="str">
        <f t="shared" si="4"/>
        <v/>
      </c>
      <c r="T583" s="6" t="str">
        <f t="array" ref="T583">IF(
  B583="",
  ,
  DATEDIF(
    B583 + IF(INDEX(Input!$K$7:$K1503,ROW()-1),0,1),
    C583 + IF(INDEX(Input!$L$7:$L1503,ROW()-1),1,0),
    "Y"
  )
)</f>
        <v/>
      </c>
      <c r="U583" s="6" t="str">
        <f t="array" ref="U583">IF(
  B583="",
  ,
  (C583 + IF(INDEX(Input!$L$7:$L1503,ROW()-1),1,0))
  - EDATE(
      B583 + IF(INDEX(Input!$K$7:$K1503,ROW()-1),0,1),
      12*S583
    )
)</f>
        <v/>
      </c>
      <c r="V583" s="6" t="str">
        <f t="shared" si="5"/>
        <v/>
      </c>
      <c r="W583" s="6" t="str">
        <f t="shared" si="6"/>
        <v/>
      </c>
    </row>
    <row r="584">
      <c r="A584" s="18"/>
      <c r="B584" s="18"/>
      <c r="C584" s="18"/>
      <c r="D584" s="18"/>
      <c r="E584" s="18"/>
      <c r="F584" s="18"/>
      <c r="G584" s="22"/>
      <c r="H584" s="18"/>
      <c r="I584" s="18">
        <v>0.0</v>
      </c>
      <c r="J584" s="18">
        <v>0.0</v>
      </c>
      <c r="K584" s="18"/>
      <c r="L584" s="18"/>
      <c r="M584" s="22" t="str">
        <f t="shared" si="1"/>
        <v/>
      </c>
      <c r="N584" s="18" t="str">
        <f>IF(A584="",,IF(ROW()=2, Input!$C$2 + I584, P583 + I584))</f>
        <v/>
      </c>
      <c r="O584" s="23" t="str">
        <f>IF(A584="",,
 IF(K584="Initial principal",
   Input!$C$2 * M584,
   N584 * M584
 )
)</f>
        <v/>
      </c>
      <c r="P584" s="18" t="str">
        <f t="shared" si="2"/>
        <v/>
      </c>
      <c r="Q584" s="18" t="str">
        <f t="shared" si="3"/>
        <v/>
      </c>
      <c r="R584" s="18" t="str">
        <f t="array" ref="R584">IF(
  B584="",
  ,
  SWITCH(
    Input!$C$4,
    "Actual/365 Fixed",
      YEARFRAC(
        B584 + IF(INDEX(Input!$K$7:$K1503,ROW()-1),0,1),
        C584 + IF(INDEX(Input!$L$7:$L1503,ROW()-1),1,0),
        3
      ),
    "Anniversary/365",
      DATEDIF(
        B584 + IF(INDEX(Input!$K$7:$K1503,ROW()-1),0,1),
        C584 + IF(INDEX(Input!$L$7:$L1503,ROW()-1),1,0),
        "Y"
      )
      +
      (
        (C584 + IF(INDEX(Input!$L$7:$L1503,ROW()-1),1,0))
        -
        EDATE(
          B584 + IF(INDEX(Input!$K$7:$K1503,ROW()-1),0,1),
          12*DATEDIF(
            B584 + IF(INDEX(Input!$K$7:$K1503,ROW()-1),0,1),
            C584 + IF(INDEX(Input!$L$7:$L1503,ROW()-1),1,0),
            "Y"
          )
        )
      ) / 365,
    "Actual/Actual",
      YEARFRAC(
        B584 + IF(INDEX(Input!$K$7:$K1503,ROW()-1),0,1),
        C584 + IF(INDEX(Input!$L$7:$L1503,ROW()-1),1,0),
        1
      ),
      YEARFRAC(
        B584 + IF(INDEX(Input!$K$7:$K1503,ROW()-1),0,1),
        C584 + IF(INDEX(Input!$L$7:$L1503,ROW()-1),1,0),
        3
      )
  )
)</f>
        <v/>
      </c>
      <c r="S584" s="22" t="str">
        <f t="shared" si="4"/>
        <v/>
      </c>
      <c r="T584" s="6" t="str">
        <f t="array" ref="T584">IF(
  B584="",
  ,
  DATEDIF(
    B584 + IF(INDEX(Input!$K$7:$K1503,ROW()-1),0,1),
    C584 + IF(INDEX(Input!$L$7:$L1503,ROW()-1),1,0),
    "Y"
  )
)</f>
        <v/>
      </c>
      <c r="U584" s="6" t="str">
        <f t="array" ref="U584">IF(
  B584="",
  ,
  (C584 + IF(INDEX(Input!$L$7:$L1503,ROW()-1),1,0))
  - EDATE(
      B584 + IF(INDEX(Input!$K$7:$K1503,ROW()-1),0,1),
      12*S584
    )
)</f>
        <v/>
      </c>
      <c r="V584" s="6" t="str">
        <f t="shared" si="5"/>
        <v/>
      </c>
      <c r="W584" s="6" t="str">
        <f t="shared" si="6"/>
        <v/>
      </c>
    </row>
    <row r="585">
      <c r="A585" s="18"/>
      <c r="B585" s="18"/>
      <c r="C585" s="18"/>
      <c r="D585" s="18"/>
      <c r="E585" s="18"/>
      <c r="F585" s="18"/>
      <c r="G585" s="22"/>
      <c r="H585" s="18"/>
      <c r="I585" s="18">
        <v>0.0</v>
      </c>
      <c r="J585" s="18">
        <v>0.0</v>
      </c>
      <c r="K585" s="18"/>
      <c r="L585" s="18"/>
      <c r="M585" s="22" t="str">
        <f t="shared" si="1"/>
        <v/>
      </c>
      <c r="N585" s="18" t="str">
        <f>IF(A585="",,IF(ROW()=2, Input!$C$2 + I585, P584 + I585))</f>
        <v/>
      </c>
      <c r="O585" s="23" t="str">
        <f>IF(A585="",,
 IF(K585="Initial principal",
   Input!$C$2 * M585,
   N585 * M585
 )
)</f>
        <v/>
      </c>
      <c r="P585" s="18" t="str">
        <f t="shared" si="2"/>
        <v/>
      </c>
      <c r="Q585" s="18" t="str">
        <f t="shared" si="3"/>
        <v/>
      </c>
      <c r="R585" s="18" t="str">
        <f t="array" ref="R585">IF(
  B585="",
  ,
  SWITCH(
    Input!$C$4,
    "Actual/365 Fixed",
      YEARFRAC(
        B585 + IF(INDEX(Input!$K$7:$K1503,ROW()-1),0,1),
        C585 + IF(INDEX(Input!$L$7:$L1503,ROW()-1),1,0),
        3
      ),
    "Anniversary/365",
      DATEDIF(
        B585 + IF(INDEX(Input!$K$7:$K1503,ROW()-1),0,1),
        C585 + IF(INDEX(Input!$L$7:$L1503,ROW()-1),1,0),
        "Y"
      )
      +
      (
        (C585 + IF(INDEX(Input!$L$7:$L1503,ROW()-1),1,0))
        -
        EDATE(
          B585 + IF(INDEX(Input!$K$7:$K1503,ROW()-1),0,1),
          12*DATEDIF(
            B585 + IF(INDEX(Input!$K$7:$K1503,ROW()-1),0,1),
            C585 + IF(INDEX(Input!$L$7:$L1503,ROW()-1),1,0),
            "Y"
          )
        )
      ) / 365,
    "Actual/Actual",
      YEARFRAC(
        B585 + IF(INDEX(Input!$K$7:$K1503,ROW()-1),0,1),
        C585 + IF(INDEX(Input!$L$7:$L1503,ROW()-1),1,0),
        1
      ),
      YEARFRAC(
        B585 + IF(INDEX(Input!$K$7:$K1503,ROW()-1),0,1),
        C585 + IF(INDEX(Input!$L$7:$L1503,ROW()-1),1,0),
        3
      )
  )
)</f>
        <v/>
      </c>
      <c r="S585" s="22" t="str">
        <f t="shared" si="4"/>
        <v/>
      </c>
      <c r="T585" s="6" t="str">
        <f t="array" ref="T585">IF(
  B585="",
  ,
  DATEDIF(
    B585 + IF(INDEX(Input!$K$7:$K1503,ROW()-1),0,1),
    C585 + IF(INDEX(Input!$L$7:$L1503,ROW()-1),1,0),
    "Y"
  )
)</f>
        <v/>
      </c>
      <c r="U585" s="6" t="str">
        <f t="array" ref="U585">IF(
  B585="",
  ,
  (C585 + IF(INDEX(Input!$L$7:$L1503,ROW()-1),1,0))
  - EDATE(
      B585 + IF(INDEX(Input!$K$7:$K1503,ROW()-1),0,1),
      12*S585
    )
)</f>
        <v/>
      </c>
      <c r="V585" s="6" t="str">
        <f t="shared" si="5"/>
        <v/>
      </c>
      <c r="W585" s="6" t="str">
        <f t="shared" si="6"/>
        <v/>
      </c>
    </row>
    <row r="586">
      <c r="A586" s="18"/>
      <c r="B586" s="18"/>
      <c r="C586" s="18"/>
      <c r="D586" s="18"/>
      <c r="E586" s="18"/>
      <c r="F586" s="18"/>
      <c r="G586" s="22"/>
      <c r="H586" s="18"/>
      <c r="I586" s="18">
        <v>0.0</v>
      </c>
      <c r="J586" s="18">
        <v>0.0</v>
      </c>
      <c r="K586" s="18"/>
      <c r="L586" s="18"/>
      <c r="M586" s="22" t="str">
        <f t="shared" si="1"/>
        <v/>
      </c>
      <c r="N586" s="18" t="str">
        <f>IF(A586="",,IF(ROW()=2, Input!$C$2 + I586, P585 + I586))</f>
        <v/>
      </c>
      <c r="O586" s="23" t="str">
        <f>IF(A586="",,
 IF(K586="Initial principal",
   Input!$C$2 * M586,
   N586 * M586
 )
)</f>
        <v/>
      </c>
      <c r="P586" s="18" t="str">
        <f t="shared" si="2"/>
        <v/>
      </c>
      <c r="Q586" s="18" t="str">
        <f t="shared" si="3"/>
        <v/>
      </c>
      <c r="R586" s="18" t="str">
        <f t="array" ref="R586">IF(
  B586="",
  ,
  SWITCH(
    Input!$C$4,
    "Actual/365 Fixed",
      YEARFRAC(
        B586 + IF(INDEX(Input!$K$7:$K1503,ROW()-1),0,1),
        C586 + IF(INDEX(Input!$L$7:$L1503,ROW()-1),1,0),
        3
      ),
    "Anniversary/365",
      DATEDIF(
        B586 + IF(INDEX(Input!$K$7:$K1503,ROW()-1),0,1),
        C586 + IF(INDEX(Input!$L$7:$L1503,ROW()-1),1,0),
        "Y"
      )
      +
      (
        (C586 + IF(INDEX(Input!$L$7:$L1503,ROW()-1),1,0))
        -
        EDATE(
          B586 + IF(INDEX(Input!$K$7:$K1503,ROW()-1),0,1),
          12*DATEDIF(
            B586 + IF(INDEX(Input!$K$7:$K1503,ROW()-1),0,1),
            C586 + IF(INDEX(Input!$L$7:$L1503,ROW()-1),1,0),
            "Y"
          )
        )
      ) / 365,
    "Actual/Actual",
      YEARFRAC(
        B586 + IF(INDEX(Input!$K$7:$K1503,ROW()-1),0,1),
        C586 + IF(INDEX(Input!$L$7:$L1503,ROW()-1),1,0),
        1
      ),
      YEARFRAC(
        B586 + IF(INDEX(Input!$K$7:$K1503,ROW()-1),0,1),
        C586 + IF(INDEX(Input!$L$7:$L1503,ROW()-1),1,0),
        3
      )
  )
)</f>
        <v/>
      </c>
      <c r="S586" s="22" t="str">
        <f t="shared" si="4"/>
        <v/>
      </c>
      <c r="T586" s="6" t="str">
        <f t="array" ref="T586">IF(
  B586="",
  ,
  DATEDIF(
    B586 + IF(INDEX(Input!$K$7:$K1503,ROW()-1),0,1),
    C586 + IF(INDEX(Input!$L$7:$L1503,ROW()-1),1,0),
    "Y"
  )
)</f>
        <v/>
      </c>
      <c r="U586" s="6" t="str">
        <f t="array" ref="U586">IF(
  B586="",
  ,
  (C586 + IF(INDEX(Input!$L$7:$L1503,ROW()-1),1,0))
  - EDATE(
      B586 + IF(INDEX(Input!$K$7:$K1503,ROW()-1),0,1),
      12*S586
    )
)</f>
        <v/>
      </c>
      <c r="V586" s="6" t="str">
        <f t="shared" si="5"/>
        <v/>
      </c>
      <c r="W586" s="6" t="str">
        <f t="shared" si="6"/>
        <v/>
      </c>
    </row>
    <row r="587">
      <c r="A587" s="18"/>
      <c r="B587" s="18"/>
      <c r="C587" s="18"/>
      <c r="D587" s="18"/>
      <c r="E587" s="18"/>
      <c r="F587" s="18"/>
      <c r="G587" s="22"/>
      <c r="H587" s="18"/>
      <c r="I587" s="18">
        <v>0.0</v>
      </c>
      <c r="J587" s="18">
        <v>0.0</v>
      </c>
      <c r="K587" s="18"/>
      <c r="L587" s="18"/>
      <c r="M587" s="22" t="str">
        <f t="shared" si="1"/>
        <v/>
      </c>
      <c r="N587" s="18" t="str">
        <f>IF(A587="",,IF(ROW()=2, Input!$C$2 + I587, P586 + I587))</f>
        <v/>
      </c>
      <c r="O587" s="23" t="str">
        <f>IF(A587="",,
 IF(K587="Initial principal",
   Input!$C$2 * M587,
   N587 * M587
 )
)</f>
        <v/>
      </c>
      <c r="P587" s="18" t="str">
        <f t="shared" si="2"/>
        <v/>
      </c>
      <c r="Q587" s="18" t="str">
        <f t="shared" si="3"/>
        <v/>
      </c>
      <c r="R587" s="18" t="str">
        <f t="array" ref="R587">IF(
  B587="",
  ,
  SWITCH(
    Input!$C$4,
    "Actual/365 Fixed",
      YEARFRAC(
        B587 + IF(INDEX(Input!$K$7:$K1503,ROW()-1),0,1),
        C587 + IF(INDEX(Input!$L$7:$L1503,ROW()-1),1,0),
        3
      ),
    "Anniversary/365",
      DATEDIF(
        B587 + IF(INDEX(Input!$K$7:$K1503,ROW()-1),0,1),
        C587 + IF(INDEX(Input!$L$7:$L1503,ROW()-1),1,0),
        "Y"
      )
      +
      (
        (C587 + IF(INDEX(Input!$L$7:$L1503,ROW()-1),1,0))
        -
        EDATE(
          B587 + IF(INDEX(Input!$K$7:$K1503,ROW()-1),0,1),
          12*DATEDIF(
            B587 + IF(INDEX(Input!$K$7:$K1503,ROW()-1),0,1),
            C587 + IF(INDEX(Input!$L$7:$L1503,ROW()-1),1,0),
            "Y"
          )
        )
      ) / 365,
    "Actual/Actual",
      YEARFRAC(
        B587 + IF(INDEX(Input!$K$7:$K1503,ROW()-1),0,1),
        C587 + IF(INDEX(Input!$L$7:$L1503,ROW()-1),1,0),
        1
      ),
      YEARFRAC(
        B587 + IF(INDEX(Input!$K$7:$K1503,ROW()-1),0,1),
        C587 + IF(INDEX(Input!$L$7:$L1503,ROW()-1),1,0),
        3
      )
  )
)</f>
        <v/>
      </c>
      <c r="S587" s="22" t="str">
        <f t="shared" si="4"/>
        <v/>
      </c>
      <c r="T587" s="6" t="str">
        <f t="array" ref="T587">IF(
  B587="",
  ,
  DATEDIF(
    B587 + IF(INDEX(Input!$K$7:$K1503,ROW()-1),0,1),
    C587 + IF(INDEX(Input!$L$7:$L1503,ROW()-1),1,0),
    "Y"
  )
)</f>
        <v/>
      </c>
      <c r="U587" s="6" t="str">
        <f t="array" ref="U587">IF(
  B587="",
  ,
  (C587 + IF(INDEX(Input!$L$7:$L1503,ROW()-1),1,0))
  - EDATE(
      B587 + IF(INDEX(Input!$K$7:$K1503,ROW()-1),0,1),
      12*S587
    )
)</f>
        <v/>
      </c>
      <c r="V587" s="6" t="str">
        <f t="shared" si="5"/>
        <v/>
      </c>
      <c r="W587" s="6" t="str">
        <f t="shared" si="6"/>
        <v/>
      </c>
    </row>
    <row r="588">
      <c r="A588" s="18"/>
      <c r="B588" s="18"/>
      <c r="C588" s="18"/>
      <c r="D588" s="18"/>
      <c r="E588" s="18"/>
      <c r="F588" s="18"/>
      <c r="G588" s="22"/>
      <c r="H588" s="18"/>
      <c r="I588" s="18">
        <v>0.0</v>
      </c>
      <c r="J588" s="18">
        <v>0.0</v>
      </c>
      <c r="K588" s="18"/>
      <c r="L588" s="18"/>
      <c r="M588" s="22" t="str">
        <f t="shared" si="1"/>
        <v/>
      </c>
      <c r="N588" s="18" t="str">
        <f>IF(A588="",,IF(ROW()=2, Input!$C$2 + I588, P587 + I588))</f>
        <v/>
      </c>
      <c r="O588" s="23" t="str">
        <f>IF(A588="",,
 IF(K588="Initial principal",
   Input!$C$2 * M588,
   N588 * M588
 )
)</f>
        <v/>
      </c>
      <c r="P588" s="18" t="str">
        <f t="shared" si="2"/>
        <v/>
      </c>
      <c r="Q588" s="18" t="str">
        <f t="shared" si="3"/>
        <v/>
      </c>
      <c r="R588" s="18" t="str">
        <f t="array" ref="R588">IF(
  B588="",
  ,
  SWITCH(
    Input!$C$4,
    "Actual/365 Fixed",
      YEARFRAC(
        B588 + IF(INDEX(Input!$K$7:$K1503,ROW()-1),0,1),
        C588 + IF(INDEX(Input!$L$7:$L1503,ROW()-1),1,0),
        3
      ),
    "Anniversary/365",
      DATEDIF(
        B588 + IF(INDEX(Input!$K$7:$K1503,ROW()-1),0,1),
        C588 + IF(INDEX(Input!$L$7:$L1503,ROW()-1),1,0),
        "Y"
      )
      +
      (
        (C588 + IF(INDEX(Input!$L$7:$L1503,ROW()-1),1,0))
        -
        EDATE(
          B588 + IF(INDEX(Input!$K$7:$K1503,ROW()-1),0,1),
          12*DATEDIF(
            B588 + IF(INDEX(Input!$K$7:$K1503,ROW()-1),0,1),
            C588 + IF(INDEX(Input!$L$7:$L1503,ROW()-1),1,0),
            "Y"
          )
        )
      ) / 365,
    "Actual/Actual",
      YEARFRAC(
        B588 + IF(INDEX(Input!$K$7:$K1503,ROW()-1),0,1),
        C588 + IF(INDEX(Input!$L$7:$L1503,ROW()-1),1,0),
        1
      ),
      YEARFRAC(
        B588 + IF(INDEX(Input!$K$7:$K1503,ROW()-1),0,1),
        C588 + IF(INDEX(Input!$L$7:$L1503,ROW()-1),1,0),
        3
      )
  )
)</f>
        <v/>
      </c>
      <c r="S588" s="22" t="str">
        <f t="shared" si="4"/>
        <v/>
      </c>
      <c r="T588" s="6" t="str">
        <f t="array" ref="T588">IF(
  B588="",
  ,
  DATEDIF(
    B588 + IF(INDEX(Input!$K$7:$K1503,ROW()-1),0,1),
    C588 + IF(INDEX(Input!$L$7:$L1503,ROW()-1),1,0),
    "Y"
  )
)</f>
        <v/>
      </c>
      <c r="U588" s="6" t="str">
        <f t="array" ref="U588">IF(
  B588="",
  ,
  (C588 + IF(INDEX(Input!$L$7:$L1503,ROW()-1),1,0))
  - EDATE(
      B588 + IF(INDEX(Input!$K$7:$K1503,ROW()-1),0,1),
      12*S588
    )
)</f>
        <v/>
      </c>
      <c r="V588" s="6" t="str">
        <f t="shared" si="5"/>
        <v/>
      </c>
      <c r="W588" s="6" t="str">
        <f t="shared" si="6"/>
        <v/>
      </c>
    </row>
    <row r="589">
      <c r="A589" s="18"/>
      <c r="B589" s="18"/>
      <c r="C589" s="18"/>
      <c r="D589" s="18"/>
      <c r="E589" s="18"/>
      <c r="F589" s="18"/>
      <c r="G589" s="22"/>
      <c r="H589" s="18"/>
      <c r="I589" s="18">
        <v>0.0</v>
      </c>
      <c r="J589" s="18">
        <v>0.0</v>
      </c>
      <c r="K589" s="18"/>
      <c r="L589" s="18"/>
      <c r="M589" s="22" t="str">
        <f t="shared" si="1"/>
        <v/>
      </c>
      <c r="N589" s="18" t="str">
        <f>IF(A589="",,IF(ROW()=2, Input!$C$2 + I589, P588 + I589))</f>
        <v/>
      </c>
      <c r="O589" s="23" t="str">
        <f>IF(A589="",,
 IF(K589="Initial principal",
   Input!$C$2 * M589,
   N589 * M589
 )
)</f>
        <v/>
      </c>
      <c r="P589" s="18" t="str">
        <f t="shared" si="2"/>
        <v/>
      </c>
      <c r="Q589" s="18" t="str">
        <f t="shared" si="3"/>
        <v/>
      </c>
      <c r="R589" s="18" t="str">
        <f t="array" ref="R589">IF(
  B589="",
  ,
  SWITCH(
    Input!$C$4,
    "Actual/365 Fixed",
      YEARFRAC(
        B589 + IF(INDEX(Input!$K$7:$K1503,ROW()-1),0,1),
        C589 + IF(INDEX(Input!$L$7:$L1503,ROW()-1),1,0),
        3
      ),
    "Anniversary/365",
      DATEDIF(
        B589 + IF(INDEX(Input!$K$7:$K1503,ROW()-1),0,1),
        C589 + IF(INDEX(Input!$L$7:$L1503,ROW()-1),1,0),
        "Y"
      )
      +
      (
        (C589 + IF(INDEX(Input!$L$7:$L1503,ROW()-1),1,0))
        -
        EDATE(
          B589 + IF(INDEX(Input!$K$7:$K1503,ROW()-1),0,1),
          12*DATEDIF(
            B589 + IF(INDEX(Input!$K$7:$K1503,ROW()-1),0,1),
            C589 + IF(INDEX(Input!$L$7:$L1503,ROW()-1),1,0),
            "Y"
          )
        )
      ) / 365,
    "Actual/Actual",
      YEARFRAC(
        B589 + IF(INDEX(Input!$K$7:$K1503,ROW()-1),0,1),
        C589 + IF(INDEX(Input!$L$7:$L1503,ROW()-1),1,0),
        1
      ),
      YEARFRAC(
        B589 + IF(INDEX(Input!$K$7:$K1503,ROW()-1),0,1),
        C589 + IF(INDEX(Input!$L$7:$L1503,ROW()-1),1,0),
        3
      )
  )
)</f>
        <v/>
      </c>
      <c r="S589" s="22" t="str">
        <f t="shared" si="4"/>
        <v/>
      </c>
      <c r="T589" s="6" t="str">
        <f t="array" ref="T589">IF(
  B589="",
  ,
  DATEDIF(
    B589 + IF(INDEX(Input!$K$7:$K1503,ROW()-1),0,1),
    C589 + IF(INDEX(Input!$L$7:$L1503,ROW()-1),1,0),
    "Y"
  )
)</f>
        <v/>
      </c>
      <c r="U589" s="6" t="str">
        <f t="array" ref="U589">IF(
  B589="",
  ,
  (C589 + IF(INDEX(Input!$L$7:$L1503,ROW()-1),1,0))
  - EDATE(
      B589 + IF(INDEX(Input!$K$7:$K1503,ROW()-1),0,1),
      12*S589
    )
)</f>
        <v/>
      </c>
      <c r="V589" s="6" t="str">
        <f t="shared" si="5"/>
        <v/>
      </c>
      <c r="W589" s="6" t="str">
        <f t="shared" si="6"/>
        <v/>
      </c>
    </row>
    <row r="590">
      <c r="A590" s="18"/>
      <c r="B590" s="18"/>
      <c r="C590" s="18"/>
      <c r="D590" s="18"/>
      <c r="E590" s="18"/>
      <c r="F590" s="18"/>
      <c r="G590" s="22"/>
      <c r="H590" s="18"/>
      <c r="I590" s="18">
        <v>0.0</v>
      </c>
      <c r="J590" s="18">
        <v>0.0</v>
      </c>
      <c r="K590" s="18"/>
      <c r="L590" s="18"/>
      <c r="M590" s="22" t="str">
        <f t="shared" si="1"/>
        <v/>
      </c>
      <c r="N590" s="18" t="str">
        <f>IF(A590="",,IF(ROW()=2, Input!$C$2 + I590, P589 + I590))</f>
        <v/>
      </c>
      <c r="O590" s="23" t="str">
        <f>IF(A590="",,
 IF(K590="Initial principal",
   Input!$C$2 * M590,
   N590 * M590
 )
)</f>
        <v/>
      </c>
      <c r="P590" s="18" t="str">
        <f t="shared" si="2"/>
        <v/>
      </c>
      <c r="Q590" s="18" t="str">
        <f t="shared" si="3"/>
        <v/>
      </c>
      <c r="R590" s="18" t="str">
        <f t="array" ref="R590">IF(
  B590="",
  ,
  SWITCH(
    Input!$C$4,
    "Actual/365 Fixed",
      YEARFRAC(
        B590 + IF(INDEX(Input!$K$7:$K1503,ROW()-1),0,1),
        C590 + IF(INDEX(Input!$L$7:$L1503,ROW()-1),1,0),
        3
      ),
    "Anniversary/365",
      DATEDIF(
        B590 + IF(INDEX(Input!$K$7:$K1503,ROW()-1),0,1),
        C590 + IF(INDEX(Input!$L$7:$L1503,ROW()-1),1,0),
        "Y"
      )
      +
      (
        (C590 + IF(INDEX(Input!$L$7:$L1503,ROW()-1),1,0))
        -
        EDATE(
          B590 + IF(INDEX(Input!$K$7:$K1503,ROW()-1),0,1),
          12*DATEDIF(
            B590 + IF(INDEX(Input!$K$7:$K1503,ROW()-1),0,1),
            C590 + IF(INDEX(Input!$L$7:$L1503,ROW()-1),1,0),
            "Y"
          )
        )
      ) / 365,
    "Actual/Actual",
      YEARFRAC(
        B590 + IF(INDEX(Input!$K$7:$K1503,ROW()-1),0,1),
        C590 + IF(INDEX(Input!$L$7:$L1503,ROW()-1),1,0),
        1
      ),
      YEARFRAC(
        B590 + IF(INDEX(Input!$K$7:$K1503,ROW()-1),0,1),
        C590 + IF(INDEX(Input!$L$7:$L1503,ROW()-1),1,0),
        3
      )
  )
)</f>
        <v/>
      </c>
      <c r="S590" s="22" t="str">
        <f t="shared" si="4"/>
        <v/>
      </c>
      <c r="T590" s="6" t="str">
        <f t="array" ref="T590">IF(
  B590="",
  ,
  DATEDIF(
    B590 + IF(INDEX(Input!$K$7:$K1503,ROW()-1),0,1),
    C590 + IF(INDEX(Input!$L$7:$L1503,ROW()-1),1,0),
    "Y"
  )
)</f>
        <v/>
      </c>
      <c r="U590" s="6" t="str">
        <f t="array" ref="U590">IF(
  B590="",
  ,
  (C590 + IF(INDEX(Input!$L$7:$L1503,ROW()-1),1,0))
  - EDATE(
      B590 + IF(INDEX(Input!$K$7:$K1503,ROW()-1),0,1),
      12*S590
    )
)</f>
        <v/>
      </c>
      <c r="V590" s="6" t="str">
        <f t="shared" si="5"/>
        <v/>
      </c>
      <c r="W590" s="6" t="str">
        <f t="shared" si="6"/>
        <v/>
      </c>
    </row>
    <row r="591">
      <c r="A591" s="18"/>
      <c r="B591" s="18"/>
      <c r="C591" s="18"/>
      <c r="D591" s="18"/>
      <c r="E591" s="18"/>
      <c r="F591" s="18"/>
      <c r="G591" s="22"/>
      <c r="H591" s="18"/>
      <c r="I591" s="18">
        <v>0.0</v>
      </c>
      <c r="J591" s="18">
        <v>0.0</v>
      </c>
      <c r="K591" s="18"/>
      <c r="L591" s="18"/>
      <c r="M591" s="22" t="str">
        <f t="shared" si="1"/>
        <v/>
      </c>
      <c r="N591" s="18" t="str">
        <f>IF(A591="",,IF(ROW()=2, Input!$C$2 + I591, P590 + I591))</f>
        <v/>
      </c>
      <c r="O591" s="23" t="str">
        <f>IF(A591="",,
 IF(K591="Initial principal",
   Input!$C$2 * M591,
   N591 * M591
 )
)</f>
        <v/>
      </c>
      <c r="P591" s="18" t="str">
        <f t="shared" si="2"/>
        <v/>
      </c>
      <c r="Q591" s="18" t="str">
        <f t="shared" si="3"/>
        <v/>
      </c>
      <c r="R591" s="18" t="str">
        <f t="array" ref="R591">IF(
  B591="",
  ,
  SWITCH(
    Input!$C$4,
    "Actual/365 Fixed",
      YEARFRAC(
        B591 + IF(INDEX(Input!$K$7:$K1503,ROW()-1),0,1),
        C591 + IF(INDEX(Input!$L$7:$L1503,ROW()-1),1,0),
        3
      ),
    "Anniversary/365",
      DATEDIF(
        B591 + IF(INDEX(Input!$K$7:$K1503,ROW()-1),0,1),
        C591 + IF(INDEX(Input!$L$7:$L1503,ROW()-1),1,0),
        "Y"
      )
      +
      (
        (C591 + IF(INDEX(Input!$L$7:$L1503,ROW()-1),1,0))
        -
        EDATE(
          B591 + IF(INDEX(Input!$K$7:$K1503,ROW()-1),0,1),
          12*DATEDIF(
            B591 + IF(INDEX(Input!$K$7:$K1503,ROW()-1),0,1),
            C591 + IF(INDEX(Input!$L$7:$L1503,ROW()-1),1,0),
            "Y"
          )
        )
      ) / 365,
    "Actual/Actual",
      YEARFRAC(
        B591 + IF(INDEX(Input!$K$7:$K1503,ROW()-1),0,1),
        C591 + IF(INDEX(Input!$L$7:$L1503,ROW()-1),1,0),
        1
      ),
      YEARFRAC(
        B591 + IF(INDEX(Input!$K$7:$K1503,ROW()-1),0,1),
        C591 + IF(INDEX(Input!$L$7:$L1503,ROW()-1),1,0),
        3
      )
  )
)</f>
        <v/>
      </c>
      <c r="S591" s="22" t="str">
        <f t="shared" si="4"/>
        <v/>
      </c>
      <c r="T591" s="6" t="str">
        <f t="array" ref="T591">IF(
  B591="",
  ,
  DATEDIF(
    B591 + IF(INDEX(Input!$K$7:$K1503,ROW()-1),0,1),
    C591 + IF(INDEX(Input!$L$7:$L1503,ROW()-1),1,0),
    "Y"
  )
)</f>
        <v/>
      </c>
      <c r="U591" s="6" t="str">
        <f t="array" ref="U591">IF(
  B591="",
  ,
  (C591 + IF(INDEX(Input!$L$7:$L1503,ROW()-1),1,0))
  - EDATE(
      B591 + IF(INDEX(Input!$K$7:$K1503,ROW()-1),0,1),
      12*S591
    )
)</f>
        <v/>
      </c>
      <c r="V591" s="6" t="str">
        <f t="shared" si="5"/>
        <v/>
      </c>
      <c r="W591" s="6" t="str">
        <f t="shared" si="6"/>
        <v/>
      </c>
    </row>
    <row r="592">
      <c r="A592" s="18"/>
      <c r="B592" s="18"/>
      <c r="C592" s="18"/>
      <c r="D592" s="18"/>
      <c r="E592" s="18"/>
      <c r="F592" s="18"/>
      <c r="G592" s="22"/>
      <c r="H592" s="18"/>
      <c r="I592" s="18">
        <v>0.0</v>
      </c>
      <c r="J592" s="18">
        <v>0.0</v>
      </c>
      <c r="K592" s="18"/>
      <c r="L592" s="18"/>
      <c r="M592" s="22" t="str">
        <f t="shared" si="1"/>
        <v/>
      </c>
      <c r="N592" s="18" t="str">
        <f>IF(A592="",,IF(ROW()=2, Input!$C$2 + I592, P591 + I592))</f>
        <v/>
      </c>
      <c r="O592" s="23" t="str">
        <f>IF(A592="",,
 IF(K592="Initial principal",
   Input!$C$2 * M592,
   N592 * M592
 )
)</f>
        <v/>
      </c>
      <c r="P592" s="18" t="str">
        <f t="shared" si="2"/>
        <v/>
      </c>
      <c r="Q592" s="18" t="str">
        <f t="shared" si="3"/>
        <v/>
      </c>
      <c r="R592" s="18" t="str">
        <f t="array" ref="R592">IF(
  B592="",
  ,
  SWITCH(
    Input!$C$4,
    "Actual/365 Fixed",
      YEARFRAC(
        B592 + IF(INDEX(Input!$K$7:$K1503,ROW()-1),0,1),
        C592 + IF(INDEX(Input!$L$7:$L1503,ROW()-1),1,0),
        3
      ),
    "Anniversary/365",
      DATEDIF(
        B592 + IF(INDEX(Input!$K$7:$K1503,ROW()-1),0,1),
        C592 + IF(INDEX(Input!$L$7:$L1503,ROW()-1),1,0),
        "Y"
      )
      +
      (
        (C592 + IF(INDEX(Input!$L$7:$L1503,ROW()-1),1,0))
        -
        EDATE(
          B592 + IF(INDEX(Input!$K$7:$K1503,ROW()-1),0,1),
          12*DATEDIF(
            B592 + IF(INDEX(Input!$K$7:$K1503,ROW()-1),0,1),
            C592 + IF(INDEX(Input!$L$7:$L1503,ROW()-1),1,0),
            "Y"
          )
        )
      ) / 365,
    "Actual/Actual",
      YEARFRAC(
        B592 + IF(INDEX(Input!$K$7:$K1503,ROW()-1),0,1),
        C592 + IF(INDEX(Input!$L$7:$L1503,ROW()-1),1,0),
        1
      ),
      YEARFRAC(
        B592 + IF(INDEX(Input!$K$7:$K1503,ROW()-1),0,1),
        C592 + IF(INDEX(Input!$L$7:$L1503,ROW()-1),1,0),
        3
      )
  )
)</f>
        <v/>
      </c>
      <c r="S592" s="22" t="str">
        <f t="shared" si="4"/>
        <v/>
      </c>
      <c r="T592" s="6" t="str">
        <f t="array" ref="T592">IF(
  B592="",
  ,
  DATEDIF(
    B592 + IF(INDEX(Input!$K$7:$K1503,ROW()-1),0,1),
    C592 + IF(INDEX(Input!$L$7:$L1503,ROW()-1),1,0),
    "Y"
  )
)</f>
        <v/>
      </c>
      <c r="U592" s="6" t="str">
        <f t="array" ref="U592">IF(
  B592="",
  ,
  (C592 + IF(INDEX(Input!$L$7:$L1503,ROW()-1),1,0))
  - EDATE(
      B592 + IF(INDEX(Input!$K$7:$K1503,ROW()-1),0,1),
      12*S592
    )
)</f>
        <v/>
      </c>
      <c r="V592" s="6" t="str">
        <f t="shared" si="5"/>
        <v/>
      </c>
      <c r="W592" s="6" t="str">
        <f t="shared" si="6"/>
        <v/>
      </c>
    </row>
    <row r="593">
      <c r="A593" s="18"/>
      <c r="B593" s="18"/>
      <c r="C593" s="18"/>
      <c r="D593" s="18"/>
      <c r="E593" s="18"/>
      <c r="F593" s="18"/>
      <c r="G593" s="22"/>
      <c r="H593" s="18"/>
      <c r="I593" s="18">
        <v>0.0</v>
      </c>
      <c r="J593" s="18">
        <v>0.0</v>
      </c>
      <c r="K593" s="18"/>
      <c r="L593" s="18"/>
      <c r="M593" s="22" t="str">
        <f t="shared" si="1"/>
        <v/>
      </c>
      <c r="N593" s="18" t="str">
        <f>IF(A593="",,IF(ROW()=2, Input!$C$2 + I593, P592 + I593))</f>
        <v/>
      </c>
      <c r="O593" s="23" t="str">
        <f>IF(A593="",,
 IF(K593="Initial principal",
   Input!$C$2 * M593,
   N593 * M593
 )
)</f>
        <v/>
      </c>
      <c r="P593" s="18" t="str">
        <f t="shared" si="2"/>
        <v/>
      </c>
      <c r="Q593" s="18" t="str">
        <f t="shared" si="3"/>
        <v/>
      </c>
      <c r="R593" s="18" t="str">
        <f t="array" ref="R593">IF(
  B593="",
  ,
  SWITCH(
    Input!$C$4,
    "Actual/365 Fixed",
      YEARFRAC(
        B593 + IF(INDEX(Input!$K$7:$K1503,ROW()-1),0,1),
        C593 + IF(INDEX(Input!$L$7:$L1503,ROW()-1),1,0),
        3
      ),
    "Anniversary/365",
      DATEDIF(
        B593 + IF(INDEX(Input!$K$7:$K1503,ROW()-1),0,1),
        C593 + IF(INDEX(Input!$L$7:$L1503,ROW()-1),1,0),
        "Y"
      )
      +
      (
        (C593 + IF(INDEX(Input!$L$7:$L1503,ROW()-1),1,0))
        -
        EDATE(
          B593 + IF(INDEX(Input!$K$7:$K1503,ROW()-1),0,1),
          12*DATEDIF(
            B593 + IF(INDEX(Input!$K$7:$K1503,ROW()-1),0,1),
            C593 + IF(INDEX(Input!$L$7:$L1503,ROW()-1),1,0),
            "Y"
          )
        )
      ) / 365,
    "Actual/Actual",
      YEARFRAC(
        B593 + IF(INDEX(Input!$K$7:$K1503,ROW()-1),0,1),
        C593 + IF(INDEX(Input!$L$7:$L1503,ROW()-1),1,0),
        1
      ),
      YEARFRAC(
        B593 + IF(INDEX(Input!$K$7:$K1503,ROW()-1),0,1),
        C593 + IF(INDEX(Input!$L$7:$L1503,ROW()-1),1,0),
        3
      )
  )
)</f>
        <v/>
      </c>
      <c r="S593" s="22" t="str">
        <f t="shared" si="4"/>
        <v/>
      </c>
      <c r="T593" s="6" t="str">
        <f t="array" ref="T593">IF(
  B593="",
  ,
  DATEDIF(
    B593 + IF(INDEX(Input!$K$7:$K1503,ROW()-1),0,1),
    C593 + IF(INDEX(Input!$L$7:$L1503,ROW()-1),1,0),
    "Y"
  )
)</f>
        <v/>
      </c>
      <c r="U593" s="6" t="str">
        <f t="array" ref="U593">IF(
  B593="",
  ,
  (C593 + IF(INDEX(Input!$L$7:$L1503,ROW()-1),1,0))
  - EDATE(
      B593 + IF(INDEX(Input!$K$7:$K1503,ROW()-1),0,1),
      12*S593
    )
)</f>
        <v/>
      </c>
      <c r="V593" s="6" t="str">
        <f t="shared" si="5"/>
        <v/>
      </c>
      <c r="W593" s="6" t="str">
        <f t="shared" si="6"/>
        <v/>
      </c>
    </row>
    <row r="594">
      <c r="A594" s="18"/>
      <c r="B594" s="18"/>
      <c r="C594" s="18"/>
      <c r="D594" s="18"/>
      <c r="E594" s="18"/>
      <c r="F594" s="18"/>
      <c r="G594" s="22"/>
      <c r="H594" s="18"/>
      <c r="I594" s="18">
        <v>0.0</v>
      </c>
      <c r="J594" s="18">
        <v>0.0</v>
      </c>
      <c r="K594" s="18"/>
      <c r="L594" s="18"/>
      <c r="M594" s="22" t="str">
        <f t="shared" si="1"/>
        <v/>
      </c>
      <c r="N594" s="18" t="str">
        <f>IF(A594="",,IF(ROW()=2, Input!$C$2 + I594, P593 + I594))</f>
        <v/>
      </c>
      <c r="O594" s="23" t="str">
        <f>IF(A594="",,
 IF(K594="Initial principal",
   Input!$C$2 * M594,
   N594 * M594
 )
)</f>
        <v/>
      </c>
      <c r="P594" s="18" t="str">
        <f t="shared" si="2"/>
        <v/>
      </c>
      <c r="Q594" s="18" t="str">
        <f t="shared" si="3"/>
        <v/>
      </c>
      <c r="R594" s="18" t="str">
        <f t="array" ref="R594">IF(
  B594="",
  ,
  SWITCH(
    Input!$C$4,
    "Actual/365 Fixed",
      YEARFRAC(
        B594 + IF(INDEX(Input!$K$7:$K1503,ROW()-1),0,1),
        C594 + IF(INDEX(Input!$L$7:$L1503,ROW()-1),1,0),
        3
      ),
    "Anniversary/365",
      DATEDIF(
        B594 + IF(INDEX(Input!$K$7:$K1503,ROW()-1),0,1),
        C594 + IF(INDEX(Input!$L$7:$L1503,ROW()-1),1,0),
        "Y"
      )
      +
      (
        (C594 + IF(INDEX(Input!$L$7:$L1503,ROW()-1),1,0))
        -
        EDATE(
          B594 + IF(INDEX(Input!$K$7:$K1503,ROW()-1),0,1),
          12*DATEDIF(
            B594 + IF(INDEX(Input!$K$7:$K1503,ROW()-1),0,1),
            C594 + IF(INDEX(Input!$L$7:$L1503,ROW()-1),1,0),
            "Y"
          )
        )
      ) / 365,
    "Actual/Actual",
      YEARFRAC(
        B594 + IF(INDEX(Input!$K$7:$K1503,ROW()-1),0,1),
        C594 + IF(INDEX(Input!$L$7:$L1503,ROW()-1),1,0),
        1
      ),
      YEARFRAC(
        B594 + IF(INDEX(Input!$K$7:$K1503,ROW()-1),0,1),
        C594 + IF(INDEX(Input!$L$7:$L1503,ROW()-1),1,0),
        3
      )
  )
)</f>
        <v/>
      </c>
      <c r="S594" s="22" t="str">
        <f t="shared" si="4"/>
        <v/>
      </c>
      <c r="T594" s="6" t="str">
        <f t="array" ref="T594">IF(
  B594="",
  ,
  DATEDIF(
    B594 + IF(INDEX(Input!$K$7:$K1503,ROW()-1),0,1),
    C594 + IF(INDEX(Input!$L$7:$L1503,ROW()-1),1,0),
    "Y"
  )
)</f>
        <v/>
      </c>
      <c r="U594" s="6" t="str">
        <f t="array" ref="U594">IF(
  B594="",
  ,
  (C594 + IF(INDEX(Input!$L$7:$L1503,ROW()-1),1,0))
  - EDATE(
      B594 + IF(INDEX(Input!$K$7:$K1503,ROW()-1),0,1),
      12*S594
    )
)</f>
        <v/>
      </c>
      <c r="V594" s="6" t="str">
        <f t="shared" si="5"/>
        <v/>
      </c>
      <c r="W594" s="6" t="str">
        <f t="shared" si="6"/>
        <v/>
      </c>
    </row>
    <row r="595">
      <c r="A595" s="18"/>
      <c r="B595" s="18"/>
      <c r="C595" s="18"/>
      <c r="D595" s="18"/>
      <c r="E595" s="18"/>
      <c r="F595" s="18"/>
      <c r="G595" s="22"/>
      <c r="H595" s="18"/>
      <c r="I595" s="18">
        <v>0.0</v>
      </c>
      <c r="J595" s="18">
        <v>0.0</v>
      </c>
      <c r="K595" s="18"/>
      <c r="L595" s="18"/>
      <c r="M595" s="22" t="str">
        <f t="shared" si="1"/>
        <v/>
      </c>
      <c r="N595" s="18" t="str">
        <f>IF(A595="",,IF(ROW()=2, Input!$C$2 + I595, P594 + I595))</f>
        <v/>
      </c>
      <c r="O595" s="23" t="str">
        <f>IF(A595="",,
 IF(K595="Initial principal",
   Input!$C$2 * M595,
   N595 * M595
 )
)</f>
        <v/>
      </c>
      <c r="P595" s="18" t="str">
        <f t="shared" si="2"/>
        <v/>
      </c>
      <c r="Q595" s="18" t="str">
        <f t="shared" si="3"/>
        <v/>
      </c>
      <c r="R595" s="18" t="str">
        <f t="array" ref="R595">IF(
  B595="",
  ,
  SWITCH(
    Input!$C$4,
    "Actual/365 Fixed",
      YEARFRAC(
        B595 + IF(INDEX(Input!$K$7:$K1503,ROW()-1),0,1),
        C595 + IF(INDEX(Input!$L$7:$L1503,ROW()-1),1,0),
        3
      ),
    "Anniversary/365",
      DATEDIF(
        B595 + IF(INDEX(Input!$K$7:$K1503,ROW()-1),0,1),
        C595 + IF(INDEX(Input!$L$7:$L1503,ROW()-1),1,0),
        "Y"
      )
      +
      (
        (C595 + IF(INDEX(Input!$L$7:$L1503,ROW()-1),1,0))
        -
        EDATE(
          B595 + IF(INDEX(Input!$K$7:$K1503,ROW()-1),0,1),
          12*DATEDIF(
            B595 + IF(INDEX(Input!$K$7:$K1503,ROW()-1),0,1),
            C595 + IF(INDEX(Input!$L$7:$L1503,ROW()-1),1,0),
            "Y"
          )
        )
      ) / 365,
    "Actual/Actual",
      YEARFRAC(
        B595 + IF(INDEX(Input!$K$7:$K1503,ROW()-1),0,1),
        C595 + IF(INDEX(Input!$L$7:$L1503,ROW()-1),1,0),
        1
      ),
      YEARFRAC(
        B595 + IF(INDEX(Input!$K$7:$K1503,ROW()-1),0,1),
        C595 + IF(INDEX(Input!$L$7:$L1503,ROW()-1),1,0),
        3
      )
  )
)</f>
        <v/>
      </c>
      <c r="S595" s="22" t="str">
        <f t="shared" si="4"/>
        <v/>
      </c>
      <c r="T595" s="6" t="str">
        <f t="array" ref="T595">IF(
  B595="",
  ,
  DATEDIF(
    B595 + IF(INDEX(Input!$K$7:$K1503,ROW()-1),0,1),
    C595 + IF(INDEX(Input!$L$7:$L1503,ROW()-1),1,0),
    "Y"
  )
)</f>
        <v/>
      </c>
      <c r="U595" s="6" t="str">
        <f t="array" ref="U595">IF(
  B595="",
  ,
  (C595 + IF(INDEX(Input!$L$7:$L1503,ROW()-1),1,0))
  - EDATE(
      B595 + IF(INDEX(Input!$K$7:$K1503,ROW()-1),0,1),
      12*S595
    )
)</f>
        <v/>
      </c>
      <c r="V595" s="6" t="str">
        <f t="shared" si="5"/>
        <v/>
      </c>
      <c r="W595" s="6" t="str">
        <f t="shared" si="6"/>
        <v/>
      </c>
    </row>
    <row r="596">
      <c r="A596" s="18"/>
      <c r="B596" s="18"/>
      <c r="C596" s="18"/>
      <c r="D596" s="18"/>
      <c r="E596" s="18"/>
      <c r="F596" s="18"/>
      <c r="G596" s="22"/>
      <c r="H596" s="18"/>
      <c r="I596" s="18">
        <v>0.0</v>
      </c>
      <c r="J596" s="18">
        <v>0.0</v>
      </c>
      <c r="K596" s="18"/>
      <c r="L596" s="18"/>
      <c r="M596" s="22" t="str">
        <f t="shared" si="1"/>
        <v/>
      </c>
      <c r="N596" s="18" t="str">
        <f>IF(A596="",,IF(ROW()=2, Input!$C$2 + I596, P595 + I596))</f>
        <v/>
      </c>
      <c r="O596" s="23" t="str">
        <f>IF(A596="",,
 IF(K596="Initial principal",
   Input!$C$2 * M596,
   N596 * M596
 )
)</f>
        <v/>
      </c>
      <c r="P596" s="18" t="str">
        <f t="shared" si="2"/>
        <v/>
      </c>
      <c r="Q596" s="18" t="str">
        <f t="shared" si="3"/>
        <v/>
      </c>
      <c r="R596" s="18" t="str">
        <f t="array" ref="R596">IF(
  B596="",
  ,
  SWITCH(
    Input!$C$4,
    "Actual/365 Fixed",
      YEARFRAC(
        B596 + IF(INDEX(Input!$K$7:$K1503,ROW()-1),0,1),
        C596 + IF(INDEX(Input!$L$7:$L1503,ROW()-1),1,0),
        3
      ),
    "Anniversary/365",
      DATEDIF(
        B596 + IF(INDEX(Input!$K$7:$K1503,ROW()-1),0,1),
        C596 + IF(INDEX(Input!$L$7:$L1503,ROW()-1),1,0),
        "Y"
      )
      +
      (
        (C596 + IF(INDEX(Input!$L$7:$L1503,ROW()-1),1,0))
        -
        EDATE(
          B596 + IF(INDEX(Input!$K$7:$K1503,ROW()-1),0,1),
          12*DATEDIF(
            B596 + IF(INDEX(Input!$K$7:$K1503,ROW()-1),0,1),
            C596 + IF(INDEX(Input!$L$7:$L1503,ROW()-1),1,0),
            "Y"
          )
        )
      ) / 365,
    "Actual/Actual",
      YEARFRAC(
        B596 + IF(INDEX(Input!$K$7:$K1503,ROW()-1),0,1),
        C596 + IF(INDEX(Input!$L$7:$L1503,ROW()-1),1,0),
        1
      ),
      YEARFRAC(
        B596 + IF(INDEX(Input!$K$7:$K1503,ROW()-1),0,1),
        C596 + IF(INDEX(Input!$L$7:$L1503,ROW()-1),1,0),
        3
      )
  )
)</f>
        <v/>
      </c>
      <c r="S596" s="22" t="str">
        <f t="shared" si="4"/>
        <v/>
      </c>
      <c r="T596" s="6" t="str">
        <f t="array" ref="T596">IF(
  B596="",
  ,
  DATEDIF(
    B596 + IF(INDEX(Input!$K$7:$K1503,ROW()-1),0,1),
    C596 + IF(INDEX(Input!$L$7:$L1503,ROW()-1),1,0),
    "Y"
  )
)</f>
        <v/>
      </c>
      <c r="U596" s="6" t="str">
        <f t="array" ref="U596">IF(
  B596="",
  ,
  (C596 + IF(INDEX(Input!$L$7:$L1503,ROW()-1),1,0))
  - EDATE(
      B596 + IF(INDEX(Input!$K$7:$K1503,ROW()-1),0,1),
      12*S596
    )
)</f>
        <v/>
      </c>
      <c r="V596" s="6" t="str">
        <f t="shared" si="5"/>
        <v/>
      </c>
      <c r="W596" s="6" t="str">
        <f t="shared" si="6"/>
        <v/>
      </c>
    </row>
    <row r="597">
      <c r="A597" s="18"/>
      <c r="B597" s="18"/>
      <c r="C597" s="18"/>
      <c r="D597" s="18"/>
      <c r="E597" s="18"/>
      <c r="F597" s="18"/>
      <c r="G597" s="22"/>
      <c r="H597" s="18"/>
      <c r="I597" s="18">
        <v>0.0</v>
      </c>
      <c r="J597" s="18">
        <v>0.0</v>
      </c>
      <c r="K597" s="18"/>
      <c r="L597" s="18"/>
      <c r="M597" s="22" t="str">
        <f t="shared" si="1"/>
        <v/>
      </c>
      <c r="N597" s="18" t="str">
        <f>IF(A597="",,IF(ROW()=2, Input!$C$2 + I597, P596 + I597))</f>
        <v/>
      </c>
      <c r="O597" s="23" t="str">
        <f>IF(A597="",,
 IF(K597="Initial principal",
   Input!$C$2 * M597,
   N597 * M597
 )
)</f>
        <v/>
      </c>
      <c r="P597" s="18" t="str">
        <f t="shared" si="2"/>
        <v/>
      </c>
      <c r="Q597" s="18" t="str">
        <f t="shared" si="3"/>
        <v/>
      </c>
      <c r="R597" s="18" t="str">
        <f t="array" ref="R597">IF(
  B597="",
  ,
  SWITCH(
    Input!$C$4,
    "Actual/365 Fixed",
      YEARFRAC(
        B597 + IF(INDEX(Input!$K$7:$K1503,ROW()-1),0,1),
        C597 + IF(INDEX(Input!$L$7:$L1503,ROW()-1),1,0),
        3
      ),
    "Anniversary/365",
      DATEDIF(
        B597 + IF(INDEX(Input!$K$7:$K1503,ROW()-1),0,1),
        C597 + IF(INDEX(Input!$L$7:$L1503,ROW()-1),1,0),
        "Y"
      )
      +
      (
        (C597 + IF(INDEX(Input!$L$7:$L1503,ROW()-1),1,0))
        -
        EDATE(
          B597 + IF(INDEX(Input!$K$7:$K1503,ROW()-1),0,1),
          12*DATEDIF(
            B597 + IF(INDEX(Input!$K$7:$K1503,ROW()-1),0,1),
            C597 + IF(INDEX(Input!$L$7:$L1503,ROW()-1),1,0),
            "Y"
          )
        )
      ) / 365,
    "Actual/Actual",
      YEARFRAC(
        B597 + IF(INDEX(Input!$K$7:$K1503,ROW()-1),0,1),
        C597 + IF(INDEX(Input!$L$7:$L1503,ROW()-1),1,0),
        1
      ),
      YEARFRAC(
        B597 + IF(INDEX(Input!$K$7:$K1503,ROW()-1),0,1),
        C597 + IF(INDEX(Input!$L$7:$L1503,ROW()-1),1,0),
        3
      )
  )
)</f>
        <v/>
      </c>
      <c r="S597" s="22" t="str">
        <f t="shared" si="4"/>
        <v/>
      </c>
      <c r="T597" s="6" t="str">
        <f t="array" ref="T597">IF(
  B597="",
  ,
  DATEDIF(
    B597 + IF(INDEX(Input!$K$7:$K1503,ROW()-1),0,1),
    C597 + IF(INDEX(Input!$L$7:$L1503,ROW()-1),1,0),
    "Y"
  )
)</f>
        <v/>
      </c>
      <c r="U597" s="6" t="str">
        <f t="array" ref="U597">IF(
  B597="",
  ,
  (C597 + IF(INDEX(Input!$L$7:$L1503,ROW()-1),1,0))
  - EDATE(
      B597 + IF(INDEX(Input!$K$7:$K1503,ROW()-1),0,1),
      12*S597
    )
)</f>
        <v/>
      </c>
      <c r="V597" s="6" t="str">
        <f t="shared" si="5"/>
        <v/>
      </c>
      <c r="W597" s="6" t="str">
        <f t="shared" si="6"/>
        <v/>
      </c>
    </row>
    <row r="598">
      <c r="A598" s="18"/>
      <c r="B598" s="18"/>
      <c r="C598" s="18"/>
      <c r="D598" s="18"/>
      <c r="E598" s="18"/>
      <c r="F598" s="18"/>
      <c r="G598" s="22"/>
      <c r="H598" s="18"/>
      <c r="I598" s="18">
        <v>0.0</v>
      </c>
      <c r="J598" s="18">
        <v>0.0</v>
      </c>
      <c r="K598" s="18"/>
      <c r="L598" s="18"/>
      <c r="M598" s="22" t="str">
        <f t="shared" si="1"/>
        <v/>
      </c>
      <c r="N598" s="18" t="str">
        <f>IF(A598="",,IF(ROW()=2, Input!$C$2 + I598, P597 + I598))</f>
        <v/>
      </c>
      <c r="O598" s="23" t="str">
        <f>IF(A598="",,
 IF(K598="Initial principal",
   Input!$C$2 * M598,
   N598 * M598
 )
)</f>
        <v/>
      </c>
      <c r="P598" s="18" t="str">
        <f t="shared" si="2"/>
        <v/>
      </c>
      <c r="Q598" s="18" t="str">
        <f t="shared" si="3"/>
        <v/>
      </c>
      <c r="R598" s="18" t="str">
        <f t="array" ref="R598">IF(
  B598="",
  ,
  SWITCH(
    Input!$C$4,
    "Actual/365 Fixed",
      YEARFRAC(
        B598 + IF(INDEX(Input!$K$7:$K1503,ROW()-1),0,1),
        C598 + IF(INDEX(Input!$L$7:$L1503,ROW()-1),1,0),
        3
      ),
    "Anniversary/365",
      DATEDIF(
        B598 + IF(INDEX(Input!$K$7:$K1503,ROW()-1),0,1),
        C598 + IF(INDEX(Input!$L$7:$L1503,ROW()-1),1,0),
        "Y"
      )
      +
      (
        (C598 + IF(INDEX(Input!$L$7:$L1503,ROW()-1),1,0))
        -
        EDATE(
          B598 + IF(INDEX(Input!$K$7:$K1503,ROW()-1),0,1),
          12*DATEDIF(
            B598 + IF(INDEX(Input!$K$7:$K1503,ROW()-1),0,1),
            C598 + IF(INDEX(Input!$L$7:$L1503,ROW()-1),1,0),
            "Y"
          )
        )
      ) / 365,
    "Actual/Actual",
      YEARFRAC(
        B598 + IF(INDEX(Input!$K$7:$K1503,ROW()-1),0,1),
        C598 + IF(INDEX(Input!$L$7:$L1503,ROW()-1),1,0),
        1
      ),
      YEARFRAC(
        B598 + IF(INDEX(Input!$K$7:$K1503,ROW()-1),0,1),
        C598 + IF(INDEX(Input!$L$7:$L1503,ROW()-1),1,0),
        3
      )
  )
)</f>
        <v/>
      </c>
      <c r="S598" s="22" t="str">
        <f t="shared" si="4"/>
        <v/>
      </c>
      <c r="T598" s="6" t="str">
        <f t="array" ref="T598">IF(
  B598="",
  ,
  DATEDIF(
    B598 + IF(INDEX(Input!$K$7:$K1503,ROW()-1),0,1),
    C598 + IF(INDEX(Input!$L$7:$L1503,ROW()-1),1,0),
    "Y"
  )
)</f>
        <v/>
      </c>
      <c r="U598" s="6" t="str">
        <f t="array" ref="U598">IF(
  B598="",
  ,
  (C598 + IF(INDEX(Input!$L$7:$L1503,ROW()-1),1,0))
  - EDATE(
      B598 + IF(INDEX(Input!$K$7:$K1503,ROW()-1),0,1),
      12*S598
    )
)</f>
        <v/>
      </c>
      <c r="V598" s="6" t="str">
        <f t="shared" si="5"/>
        <v/>
      </c>
      <c r="W598" s="6" t="str">
        <f t="shared" si="6"/>
        <v/>
      </c>
    </row>
    <row r="599">
      <c r="A599" s="18"/>
      <c r="B599" s="18"/>
      <c r="C599" s="18"/>
      <c r="D599" s="18"/>
      <c r="E599" s="18"/>
      <c r="F599" s="18"/>
      <c r="G599" s="22"/>
      <c r="H599" s="18"/>
      <c r="I599" s="18">
        <v>0.0</v>
      </c>
      <c r="J599" s="18">
        <v>0.0</v>
      </c>
      <c r="K599" s="18"/>
      <c r="L599" s="18"/>
      <c r="M599" s="22" t="str">
        <f t="shared" si="1"/>
        <v/>
      </c>
      <c r="N599" s="18" t="str">
        <f>IF(A599="",,IF(ROW()=2, Input!$C$2 + I599, P598 + I599))</f>
        <v/>
      </c>
      <c r="O599" s="23" t="str">
        <f>IF(A599="",,
 IF(K599="Initial principal",
   Input!$C$2 * M599,
   N599 * M599
 )
)</f>
        <v/>
      </c>
      <c r="P599" s="18" t="str">
        <f t="shared" si="2"/>
        <v/>
      </c>
      <c r="Q599" s="18" t="str">
        <f t="shared" si="3"/>
        <v/>
      </c>
      <c r="R599" s="18" t="str">
        <f t="array" ref="R599">IF(
  B599="",
  ,
  SWITCH(
    Input!$C$4,
    "Actual/365 Fixed",
      YEARFRAC(
        B599 + IF(INDEX(Input!$K$7:$K1503,ROW()-1),0,1),
        C599 + IF(INDEX(Input!$L$7:$L1503,ROW()-1),1,0),
        3
      ),
    "Anniversary/365",
      DATEDIF(
        B599 + IF(INDEX(Input!$K$7:$K1503,ROW()-1),0,1),
        C599 + IF(INDEX(Input!$L$7:$L1503,ROW()-1),1,0),
        "Y"
      )
      +
      (
        (C599 + IF(INDEX(Input!$L$7:$L1503,ROW()-1),1,0))
        -
        EDATE(
          B599 + IF(INDEX(Input!$K$7:$K1503,ROW()-1),0,1),
          12*DATEDIF(
            B599 + IF(INDEX(Input!$K$7:$K1503,ROW()-1),0,1),
            C599 + IF(INDEX(Input!$L$7:$L1503,ROW()-1),1,0),
            "Y"
          )
        )
      ) / 365,
    "Actual/Actual",
      YEARFRAC(
        B599 + IF(INDEX(Input!$K$7:$K1503,ROW()-1),0,1),
        C599 + IF(INDEX(Input!$L$7:$L1503,ROW()-1),1,0),
        1
      ),
      YEARFRAC(
        B599 + IF(INDEX(Input!$K$7:$K1503,ROW()-1),0,1),
        C599 + IF(INDEX(Input!$L$7:$L1503,ROW()-1),1,0),
        3
      )
  )
)</f>
        <v/>
      </c>
      <c r="S599" s="22" t="str">
        <f t="shared" si="4"/>
        <v/>
      </c>
      <c r="T599" s="6" t="str">
        <f t="array" ref="T599">IF(
  B599="",
  ,
  DATEDIF(
    B599 + IF(INDEX(Input!$K$7:$K1503,ROW()-1),0,1),
    C599 + IF(INDEX(Input!$L$7:$L1503,ROW()-1),1,0),
    "Y"
  )
)</f>
        <v/>
      </c>
      <c r="U599" s="6" t="str">
        <f t="array" ref="U599">IF(
  B599="",
  ,
  (C599 + IF(INDEX(Input!$L$7:$L1503,ROW()-1),1,0))
  - EDATE(
      B599 + IF(INDEX(Input!$K$7:$K1503,ROW()-1),0,1),
      12*S599
    )
)</f>
        <v/>
      </c>
      <c r="V599" s="6" t="str">
        <f t="shared" si="5"/>
        <v/>
      </c>
      <c r="W599" s="6" t="str">
        <f t="shared" si="6"/>
        <v/>
      </c>
    </row>
    <row r="600">
      <c r="A600" s="18"/>
      <c r="B600" s="18"/>
      <c r="C600" s="18"/>
      <c r="D600" s="18"/>
      <c r="E600" s="18"/>
      <c r="F600" s="18"/>
      <c r="G600" s="22"/>
      <c r="H600" s="18"/>
      <c r="I600" s="18">
        <v>0.0</v>
      </c>
      <c r="J600" s="18">
        <v>0.0</v>
      </c>
      <c r="K600" s="18"/>
      <c r="L600" s="18"/>
      <c r="M600" s="22" t="str">
        <f t="shared" si="1"/>
        <v/>
      </c>
      <c r="N600" s="18" t="str">
        <f>IF(A600="",,IF(ROW()=2, Input!$C$2 + I600, P599 + I600))</f>
        <v/>
      </c>
      <c r="O600" s="23" t="str">
        <f>IF(A600="",,
 IF(K600="Initial principal",
   Input!$C$2 * M600,
   N600 * M600
 )
)</f>
        <v/>
      </c>
      <c r="P600" s="18" t="str">
        <f t="shared" si="2"/>
        <v/>
      </c>
      <c r="Q600" s="18" t="str">
        <f t="shared" si="3"/>
        <v/>
      </c>
      <c r="R600" s="18" t="str">
        <f t="array" ref="R600">IF(
  B600="",
  ,
  SWITCH(
    Input!$C$4,
    "Actual/365 Fixed",
      YEARFRAC(
        B600 + IF(INDEX(Input!$K$7:$K1503,ROW()-1),0,1),
        C600 + IF(INDEX(Input!$L$7:$L1503,ROW()-1),1,0),
        3
      ),
    "Anniversary/365",
      DATEDIF(
        B600 + IF(INDEX(Input!$K$7:$K1503,ROW()-1),0,1),
        C600 + IF(INDEX(Input!$L$7:$L1503,ROW()-1),1,0),
        "Y"
      )
      +
      (
        (C600 + IF(INDEX(Input!$L$7:$L1503,ROW()-1),1,0))
        -
        EDATE(
          B600 + IF(INDEX(Input!$K$7:$K1503,ROW()-1),0,1),
          12*DATEDIF(
            B600 + IF(INDEX(Input!$K$7:$K1503,ROW()-1),0,1),
            C600 + IF(INDEX(Input!$L$7:$L1503,ROW()-1),1,0),
            "Y"
          )
        )
      ) / 365,
    "Actual/Actual",
      YEARFRAC(
        B600 + IF(INDEX(Input!$K$7:$K1503,ROW()-1),0,1),
        C600 + IF(INDEX(Input!$L$7:$L1503,ROW()-1),1,0),
        1
      ),
      YEARFRAC(
        B600 + IF(INDEX(Input!$K$7:$K1503,ROW()-1),0,1),
        C600 + IF(INDEX(Input!$L$7:$L1503,ROW()-1),1,0),
        3
      )
  )
)</f>
        <v/>
      </c>
      <c r="S600" s="22" t="str">
        <f t="shared" si="4"/>
        <v/>
      </c>
      <c r="T600" s="6" t="str">
        <f t="array" ref="T600">IF(
  B600="",
  ,
  DATEDIF(
    B600 + IF(INDEX(Input!$K$7:$K1503,ROW()-1),0,1),
    C600 + IF(INDEX(Input!$L$7:$L1503,ROW()-1),1,0),
    "Y"
  )
)</f>
        <v/>
      </c>
      <c r="U600" s="6" t="str">
        <f t="array" ref="U600">IF(
  B600="",
  ,
  (C600 + IF(INDEX(Input!$L$7:$L1503,ROW()-1),1,0))
  - EDATE(
      B600 + IF(INDEX(Input!$K$7:$K1503,ROW()-1),0,1),
      12*S600
    )
)</f>
        <v/>
      </c>
      <c r="V600" s="6" t="str">
        <f t="shared" si="5"/>
        <v/>
      </c>
      <c r="W600" s="6" t="str">
        <f t="shared" si="6"/>
        <v/>
      </c>
    </row>
    <row r="601">
      <c r="A601" s="18"/>
      <c r="B601" s="18"/>
      <c r="C601" s="18"/>
      <c r="D601" s="18"/>
      <c r="E601" s="18"/>
      <c r="F601" s="18"/>
      <c r="G601" s="22"/>
      <c r="H601" s="18"/>
      <c r="I601" s="18">
        <v>0.0</v>
      </c>
      <c r="J601" s="18">
        <v>0.0</v>
      </c>
      <c r="K601" s="18"/>
      <c r="L601" s="18"/>
      <c r="M601" s="22" t="str">
        <f t="shared" si="1"/>
        <v/>
      </c>
      <c r="N601" s="18" t="str">
        <f>IF(A601="",,IF(ROW()=2, Input!$C$2 + I601, P600 + I601))</f>
        <v/>
      </c>
      <c r="O601" s="23" t="str">
        <f>IF(A601="",,
 IF(K601="Initial principal",
   Input!$C$2 * M601,
   N601 * M601
 )
)</f>
        <v/>
      </c>
      <c r="P601" s="18" t="str">
        <f t="shared" si="2"/>
        <v/>
      </c>
      <c r="Q601" s="18" t="str">
        <f t="shared" si="3"/>
        <v/>
      </c>
      <c r="R601" s="18" t="str">
        <f t="array" ref="R601">IF(
  B601="",
  ,
  SWITCH(
    Input!$C$4,
    "Actual/365 Fixed",
      YEARFRAC(
        B601 + IF(INDEX(Input!$K$7:$K1503,ROW()-1),0,1),
        C601 + IF(INDEX(Input!$L$7:$L1503,ROW()-1),1,0),
        3
      ),
    "Anniversary/365",
      DATEDIF(
        B601 + IF(INDEX(Input!$K$7:$K1503,ROW()-1),0,1),
        C601 + IF(INDEX(Input!$L$7:$L1503,ROW()-1),1,0),
        "Y"
      )
      +
      (
        (C601 + IF(INDEX(Input!$L$7:$L1503,ROW()-1),1,0))
        -
        EDATE(
          B601 + IF(INDEX(Input!$K$7:$K1503,ROW()-1),0,1),
          12*DATEDIF(
            B601 + IF(INDEX(Input!$K$7:$K1503,ROW()-1),0,1),
            C601 + IF(INDEX(Input!$L$7:$L1503,ROW()-1),1,0),
            "Y"
          )
        )
      ) / 365,
    "Actual/Actual",
      YEARFRAC(
        B601 + IF(INDEX(Input!$K$7:$K1503,ROW()-1),0,1),
        C601 + IF(INDEX(Input!$L$7:$L1503,ROW()-1),1,0),
        1
      ),
      YEARFRAC(
        B601 + IF(INDEX(Input!$K$7:$K1503,ROW()-1),0,1),
        C601 + IF(INDEX(Input!$L$7:$L1503,ROW()-1),1,0),
        3
      )
  )
)</f>
        <v/>
      </c>
      <c r="S601" s="22" t="str">
        <f t="shared" si="4"/>
        <v/>
      </c>
      <c r="T601" s="6" t="str">
        <f t="array" ref="T601">IF(
  B601="",
  ,
  DATEDIF(
    B601 + IF(INDEX(Input!$K$7:$K1503,ROW()-1),0,1),
    C601 + IF(INDEX(Input!$L$7:$L1503,ROW()-1),1,0),
    "Y"
  )
)</f>
        <v/>
      </c>
      <c r="U601" s="6" t="str">
        <f t="array" ref="U601">IF(
  B601="",
  ,
  (C601 + IF(INDEX(Input!$L$7:$L1503,ROW()-1),1,0))
  - EDATE(
      B601 + IF(INDEX(Input!$K$7:$K1503,ROW()-1),0,1),
      12*S601
    )
)</f>
        <v/>
      </c>
      <c r="V601" s="6" t="str">
        <f t="shared" si="5"/>
        <v/>
      </c>
      <c r="W601" s="6" t="str">
        <f t="shared" si="6"/>
        <v/>
      </c>
    </row>
    <row r="602">
      <c r="A602" s="18"/>
      <c r="B602" s="18"/>
      <c r="C602" s="18"/>
      <c r="D602" s="18"/>
      <c r="E602" s="18"/>
      <c r="F602" s="18"/>
      <c r="G602" s="22"/>
      <c r="H602" s="18"/>
      <c r="I602" s="18">
        <v>0.0</v>
      </c>
      <c r="J602" s="18">
        <v>0.0</v>
      </c>
      <c r="K602" s="18"/>
      <c r="L602" s="18"/>
      <c r="M602" s="22" t="str">
        <f t="shared" si="1"/>
        <v/>
      </c>
      <c r="N602" s="18" t="str">
        <f>IF(A602="",,IF(ROW()=2, Input!$C$2 + I602, P601 + I602))</f>
        <v/>
      </c>
      <c r="O602" s="23" t="str">
        <f>IF(A602="",,
 IF(K602="Initial principal",
   Input!$C$2 * M602,
   N602 * M602
 )
)</f>
        <v/>
      </c>
      <c r="P602" s="18" t="str">
        <f t="shared" si="2"/>
        <v/>
      </c>
      <c r="Q602" s="18" t="str">
        <f t="shared" si="3"/>
        <v/>
      </c>
      <c r="R602" s="18" t="str">
        <f t="array" ref="R602">IF(
  B602="",
  ,
  SWITCH(
    Input!$C$4,
    "Actual/365 Fixed",
      YEARFRAC(
        B602 + IF(INDEX(Input!$K$7:$K1503,ROW()-1),0,1),
        C602 + IF(INDEX(Input!$L$7:$L1503,ROW()-1),1,0),
        3
      ),
    "Anniversary/365",
      DATEDIF(
        B602 + IF(INDEX(Input!$K$7:$K1503,ROW()-1),0,1),
        C602 + IF(INDEX(Input!$L$7:$L1503,ROW()-1),1,0),
        "Y"
      )
      +
      (
        (C602 + IF(INDEX(Input!$L$7:$L1503,ROW()-1),1,0))
        -
        EDATE(
          B602 + IF(INDEX(Input!$K$7:$K1503,ROW()-1),0,1),
          12*DATEDIF(
            B602 + IF(INDEX(Input!$K$7:$K1503,ROW()-1),0,1),
            C602 + IF(INDEX(Input!$L$7:$L1503,ROW()-1),1,0),
            "Y"
          )
        )
      ) / 365,
    "Actual/Actual",
      YEARFRAC(
        B602 + IF(INDEX(Input!$K$7:$K1503,ROW()-1),0,1),
        C602 + IF(INDEX(Input!$L$7:$L1503,ROW()-1),1,0),
        1
      ),
      YEARFRAC(
        B602 + IF(INDEX(Input!$K$7:$K1503,ROW()-1),0,1),
        C602 + IF(INDEX(Input!$L$7:$L1503,ROW()-1),1,0),
        3
      )
  )
)</f>
        <v/>
      </c>
      <c r="S602" s="22" t="str">
        <f t="shared" si="4"/>
        <v/>
      </c>
      <c r="T602" s="6" t="str">
        <f t="array" ref="T602">IF(
  B602="",
  ,
  DATEDIF(
    B602 + IF(INDEX(Input!$K$7:$K1503,ROW()-1),0,1),
    C602 + IF(INDEX(Input!$L$7:$L1503,ROW()-1),1,0),
    "Y"
  )
)</f>
        <v/>
      </c>
      <c r="U602" s="6" t="str">
        <f t="array" ref="U602">IF(
  B602="",
  ,
  (C602 + IF(INDEX(Input!$L$7:$L1503,ROW()-1),1,0))
  - EDATE(
      B602 + IF(INDEX(Input!$K$7:$K1503,ROW()-1),0,1),
      12*S602
    )
)</f>
        <v/>
      </c>
      <c r="V602" s="6" t="str">
        <f t="shared" si="5"/>
        <v/>
      </c>
      <c r="W602" s="6" t="str">
        <f t="shared" si="6"/>
        <v/>
      </c>
    </row>
    <row r="603">
      <c r="A603" s="18"/>
      <c r="B603" s="18"/>
      <c r="C603" s="18"/>
      <c r="D603" s="18"/>
      <c r="E603" s="18"/>
      <c r="F603" s="18"/>
      <c r="G603" s="22"/>
      <c r="H603" s="18"/>
      <c r="I603" s="18">
        <v>0.0</v>
      </c>
      <c r="J603" s="18">
        <v>0.0</v>
      </c>
      <c r="K603" s="18"/>
      <c r="L603" s="18"/>
      <c r="M603" s="22" t="str">
        <f t="shared" si="1"/>
        <v/>
      </c>
      <c r="N603" s="18" t="str">
        <f>IF(A603="",,IF(ROW()=2, Input!$C$2 + I603, P602 + I603))</f>
        <v/>
      </c>
      <c r="O603" s="23" t="str">
        <f>IF(A603="",,
 IF(K603="Initial principal",
   Input!$C$2 * M603,
   N603 * M603
 )
)</f>
        <v/>
      </c>
      <c r="P603" s="18" t="str">
        <f t="shared" si="2"/>
        <v/>
      </c>
      <c r="Q603" s="18" t="str">
        <f t="shared" si="3"/>
        <v/>
      </c>
      <c r="R603" s="18" t="str">
        <f t="array" ref="R603">IF(
  B603="",
  ,
  SWITCH(
    Input!$C$4,
    "Actual/365 Fixed",
      YEARFRAC(
        B603 + IF(INDEX(Input!$K$7:$K1503,ROW()-1),0,1),
        C603 + IF(INDEX(Input!$L$7:$L1503,ROW()-1),1,0),
        3
      ),
    "Anniversary/365",
      DATEDIF(
        B603 + IF(INDEX(Input!$K$7:$K1503,ROW()-1),0,1),
        C603 + IF(INDEX(Input!$L$7:$L1503,ROW()-1),1,0),
        "Y"
      )
      +
      (
        (C603 + IF(INDEX(Input!$L$7:$L1503,ROW()-1),1,0))
        -
        EDATE(
          B603 + IF(INDEX(Input!$K$7:$K1503,ROW()-1),0,1),
          12*DATEDIF(
            B603 + IF(INDEX(Input!$K$7:$K1503,ROW()-1),0,1),
            C603 + IF(INDEX(Input!$L$7:$L1503,ROW()-1),1,0),
            "Y"
          )
        )
      ) / 365,
    "Actual/Actual",
      YEARFRAC(
        B603 + IF(INDEX(Input!$K$7:$K1503,ROW()-1),0,1),
        C603 + IF(INDEX(Input!$L$7:$L1503,ROW()-1),1,0),
        1
      ),
      YEARFRAC(
        B603 + IF(INDEX(Input!$K$7:$K1503,ROW()-1),0,1),
        C603 + IF(INDEX(Input!$L$7:$L1503,ROW()-1),1,0),
        3
      )
  )
)</f>
        <v/>
      </c>
      <c r="S603" s="22" t="str">
        <f t="shared" si="4"/>
        <v/>
      </c>
      <c r="T603" s="6" t="str">
        <f t="array" ref="T603">IF(
  B603="",
  ,
  DATEDIF(
    B603 + IF(INDEX(Input!$K$7:$K1503,ROW()-1),0,1),
    C603 + IF(INDEX(Input!$L$7:$L1503,ROW()-1),1,0),
    "Y"
  )
)</f>
        <v/>
      </c>
      <c r="U603" s="6" t="str">
        <f t="array" ref="U603">IF(
  B603="",
  ,
  (C603 + IF(INDEX(Input!$L$7:$L1503,ROW()-1),1,0))
  - EDATE(
      B603 + IF(INDEX(Input!$K$7:$K1503,ROW()-1),0,1),
      12*S603
    )
)</f>
        <v/>
      </c>
      <c r="V603" s="6" t="str">
        <f t="shared" si="5"/>
        <v/>
      </c>
      <c r="W603" s="6" t="str">
        <f t="shared" si="6"/>
        <v/>
      </c>
    </row>
    <row r="604">
      <c r="A604" s="18"/>
      <c r="B604" s="18"/>
      <c r="C604" s="18"/>
      <c r="D604" s="18"/>
      <c r="E604" s="18"/>
      <c r="F604" s="18"/>
      <c r="G604" s="22"/>
      <c r="H604" s="18"/>
      <c r="I604" s="18">
        <v>0.0</v>
      </c>
      <c r="J604" s="18">
        <v>0.0</v>
      </c>
      <c r="K604" s="18"/>
      <c r="L604" s="18"/>
      <c r="M604" s="22" t="str">
        <f t="shared" si="1"/>
        <v/>
      </c>
      <c r="N604" s="18" t="str">
        <f>IF(A604="",,IF(ROW()=2, Input!$C$2 + I604, P603 + I604))</f>
        <v/>
      </c>
      <c r="O604" s="23" t="str">
        <f>IF(A604="",,
 IF(K604="Initial principal",
   Input!$C$2 * M604,
   N604 * M604
 )
)</f>
        <v/>
      </c>
      <c r="P604" s="18" t="str">
        <f t="shared" si="2"/>
        <v/>
      </c>
      <c r="Q604" s="18" t="str">
        <f t="shared" si="3"/>
        <v/>
      </c>
      <c r="R604" s="18" t="str">
        <f t="array" ref="R604">IF(
  B604="",
  ,
  SWITCH(
    Input!$C$4,
    "Actual/365 Fixed",
      YEARFRAC(
        B604 + IF(INDEX(Input!$K$7:$K1503,ROW()-1),0,1),
        C604 + IF(INDEX(Input!$L$7:$L1503,ROW()-1),1,0),
        3
      ),
    "Anniversary/365",
      DATEDIF(
        B604 + IF(INDEX(Input!$K$7:$K1503,ROW()-1),0,1),
        C604 + IF(INDEX(Input!$L$7:$L1503,ROW()-1),1,0),
        "Y"
      )
      +
      (
        (C604 + IF(INDEX(Input!$L$7:$L1503,ROW()-1),1,0))
        -
        EDATE(
          B604 + IF(INDEX(Input!$K$7:$K1503,ROW()-1),0,1),
          12*DATEDIF(
            B604 + IF(INDEX(Input!$K$7:$K1503,ROW()-1),0,1),
            C604 + IF(INDEX(Input!$L$7:$L1503,ROW()-1),1,0),
            "Y"
          )
        )
      ) / 365,
    "Actual/Actual",
      YEARFRAC(
        B604 + IF(INDEX(Input!$K$7:$K1503,ROW()-1),0,1),
        C604 + IF(INDEX(Input!$L$7:$L1503,ROW()-1),1,0),
        1
      ),
      YEARFRAC(
        B604 + IF(INDEX(Input!$K$7:$K1503,ROW()-1),0,1),
        C604 + IF(INDEX(Input!$L$7:$L1503,ROW()-1),1,0),
        3
      )
  )
)</f>
        <v/>
      </c>
      <c r="S604" s="22" t="str">
        <f t="shared" si="4"/>
        <v/>
      </c>
      <c r="T604" s="6" t="str">
        <f t="array" ref="T604">IF(
  B604="",
  ,
  DATEDIF(
    B604 + IF(INDEX(Input!$K$7:$K1503,ROW()-1),0,1),
    C604 + IF(INDEX(Input!$L$7:$L1503,ROW()-1),1,0),
    "Y"
  )
)</f>
        <v/>
      </c>
      <c r="U604" s="6" t="str">
        <f t="array" ref="U604">IF(
  B604="",
  ,
  (C604 + IF(INDEX(Input!$L$7:$L1503,ROW()-1),1,0))
  - EDATE(
      B604 + IF(INDEX(Input!$K$7:$K1503,ROW()-1),0,1),
      12*S604
    )
)</f>
        <v/>
      </c>
      <c r="V604" s="6" t="str">
        <f t="shared" si="5"/>
        <v/>
      </c>
      <c r="W604" s="6" t="str">
        <f t="shared" si="6"/>
        <v/>
      </c>
    </row>
    <row r="605">
      <c r="A605" s="18"/>
      <c r="B605" s="18"/>
      <c r="C605" s="18"/>
      <c r="D605" s="18"/>
      <c r="E605" s="18"/>
      <c r="F605" s="18"/>
      <c r="G605" s="22"/>
      <c r="H605" s="18"/>
      <c r="I605" s="18">
        <v>0.0</v>
      </c>
      <c r="J605" s="18">
        <v>0.0</v>
      </c>
      <c r="K605" s="18"/>
      <c r="L605" s="18"/>
      <c r="M605" s="22" t="str">
        <f t="shared" si="1"/>
        <v/>
      </c>
      <c r="N605" s="18" t="str">
        <f>IF(A605="",,IF(ROW()=2, Input!$C$2 + I605, P604 + I605))</f>
        <v/>
      </c>
      <c r="O605" s="23" t="str">
        <f>IF(A605="",,
 IF(K605="Initial principal",
   Input!$C$2 * M605,
   N605 * M605
 )
)</f>
        <v/>
      </c>
      <c r="P605" s="18" t="str">
        <f t="shared" si="2"/>
        <v/>
      </c>
      <c r="Q605" s="18" t="str">
        <f t="shared" si="3"/>
        <v/>
      </c>
      <c r="R605" s="18" t="str">
        <f t="array" ref="R605">IF(
  B605="",
  ,
  SWITCH(
    Input!$C$4,
    "Actual/365 Fixed",
      YEARFRAC(
        B605 + IF(INDEX(Input!$K$7:$K1503,ROW()-1),0,1),
        C605 + IF(INDEX(Input!$L$7:$L1503,ROW()-1),1,0),
        3
      ),
    "Anniversary/365",
      DATEDIF(
        B605 + IF(INDEX(Input!$K$7:$K1503,ROW()-1),0,1),
        C605 + IF(INDEX(Input!$L$7:$L1503,ROW()-1),1,0),
        "Y"
      )
      +
      (
        (C605 + IF(INDEX(Input!$L$7:$L1503,ROW()-1),1,0))
        -
        EDATE(
          B605 + IF(INDEX(Input!$K$7:$K1503,ROW()-1),0,1),
          12*DATEDIF(
            B605 + IF(INDEX(Input!$K$7:$K1503,ROW()-1),0,1),
            C605 + IF(INDEX(Input!$L$7:$L1503,ROW()-1),1,0),
            "Y"
          )
        )
      ) / 365,
    "Actual/Actual",
      YEARFRAC(
        B605 + IF(INDEX(Input!$K$7:$K1503,ROW()-1),0,1),
        C605 + IF(INDEX(Input!$L$7:$L1503,ROW()-1),1,0),
        1
      ),
      YEARFRAC(
        B605 + IF(INDEX(Input!$K$7:$K1503,ROW()-1),0,1),
        C605 + IF(INDEX(Input!$L$7:$L1503,ROW()-1),1,0),
        3
      )
  )
)</f>
        <v/>
      </c>
      <c r="S605" s="22" t="str">
        <f t="shared" si="4"/>
        <v/>
      </c>
      <c r="T605" s="6" t="str">
        <f t="array" ref="T605">IF(
  B605="",
  ,
  DATEDIF(
    B605 + IF(INDEX(Input!$K$7:$K1503,ROW()-1),0,1),
    C605 + IF(INDEX(Input!$L$7:$L1503,ROW()-1),1,0),
    "Y"
  )
)</f>
        <v/>
      </c>
      <c r="U605" s="6" t="str">
        <f t="array" ref="U605">IF(
  B605="",
  ,
  (C605 + IF(INDEX(Input!$L$7:$L1503,ROW()-1),1,0))
  - EDATE(
      B605 + IF(INDEX(Input!$K$7:$K1503,ROW()-1),0,1),
      12*S605
    )
)</f>
        <v/>
      </c>
      <c r="V605" s="6" t="str">
        <f t="shared" si="5"/>
        <v/>
      </c>
      <c r="W605" s="6" t="str">
        <f t="shared" si="6"/>
        <v/>
      </c>
    </row>
    <row r="606">
      <c r="A606" s="18"/>
      <c r="B606" s="18"/>
      <c r="C606" s="18"/>
      <c r="D606" s="18"/>
      <c r="E606" s="18"/>
      <c r="F606" s="18"/>
      <c r="G606" s="22"/>
      <c r="H606" s="18"/>
      <c r="I606" s="18">
        <v>0.0</v>
      </c>
      <c r="J606" s="18">
        <v>0.0</v>
      </c>
      <c r="K606" s="18"/>
      <c r="L606" s="18"/>
      <c r="M606" s="22" t="str">
        <f t="shared" si="1"/>
        <v/>
      </c>
      <c r="N606" s="18" t="str">
        <f>IF(A606="",,IF(ROW()=2, Input!$C$2 + I606, P605 + I606))</f>
        <v/>
      </c>
      <c r="O606" s="23" t="str">
        <f>IF(A606="",,
 IF(K606="Initial principal",
   Input!$C$2 * M606,
   N606 * M606
 )
)</f>
        <v/>
      </c>
      <c r="P606" s="18" t="str">
        <f t="shared" si="2"/>
        <v/>
      </c>
      <c r="Q606" s="18" t="str">
        <f t="shared" si="3"/>
        <v/>
      </c>
      <c r="R606" s="18" t="str">
        <f t="array" ref="R606">IF(
  B606="",
  ,
  SWITCH(
    Input!$C$4,
    "Actual/365 Fixed",
      YEARFRAC(
        B606 + IF(INDEX(Input!$K$7:$K1503,ROW()-1),0,1),
        C606 + IF(INDEX(Input!$L$7:$L1503,ROW()-1),1,0),
        3
      ),
    "Anniversary/365",
      DATEDIF(
        B606 + IF(INDEX(Input!$K$7:$K1503,ROW()-1),0,1),
        C606 + IF(INDEX(Input!$L$7:$L1503,ROW()-1),1,0),
        "Y"
      )
      +
      (
        (C606 + IF(INDEX(Input!$L$7:$L1503,ROW()-1),1,0))
        -
        EDATE(
          B606 + IF(INDEX(Input!$K$7:$K1503,ROW()-1),0,1),
          12*DATEDIF(
            B606 + IF(INDEX(Input!$K$7:$K1503,ROW()-1),0,1),
            C606 + IF(INDEX(Input!$L$7:$L1503,ROW()-1),1,0),
            "Y"
          )
        )
      ) / 365,
    "Actual/Actual",
      YEARFRAC(
        B606 + IF(INDEX(Input!$K$7:$K1503,ROW()-1),0,1),
        C606 + IF(INDEX(Input!$L$7:$L1503,ROW()-1),1,0),
        1
      ),
      YEARFRAC(
        B606 + IF(INDEX(Input!$K$7:$K1503,ROW()-1),0,1),
        C606 + IF(INDEX(Input!$L$7:$L1503,ROW()-1),1,0),
        3
      )
  )
)</f>
        <v/>
      </c>
      <c r="S606" s="22" t="str">
        <f t="shared" si="4"/>
        <v/>
      </c>
      <c r="T606" s="6" t="str">
        <f t="array" ref="T606">IF(
  B606="",
  ,
  DATEDIF(
    B606 + IF(INDEX(Input!$K$7:$K1503,ROW()-1),0,1),
    C606 + IF(INDEX(Input!$L$7:$L1503,ROW()-1),1,0),
    "Y"
  )
)</f>
        <v/>
      </c>
      <c r="U606" s="6" t="str">
        <f t="array" ref="U606">IF(
  B606="",
  ,
  (C606 + IF(INDEX(Input!$L$7:$L1503,ROW()-1),1,0))
  - EDATE(
      B606 + IF(INDEX(Input!$K$7:$K1503,ROW()-1),0,1),
      12*S606
    )
)</f>
        <v/>
      </c>
      <c r="V606" s="6" t="str">
        <f t="shared" si="5"/>
        <v/>
      </c>
      <c r="W606" s="6" t="str">
        <f t="shared" si="6"/>
        <v/>
      </c>
    </row>
    <row r="607">
      <c r="A607" s="18"/>
      <c r="B607" s="18"/>
      <c r="C607" s="18"/>
      <c r="D607" s="18"/>
      <c r="E607" s="18"/>
      <c r="F607" s="18"/>
      <c r="G607" s="22"/>
      <c r="H607" s="18"/>
      <c r="I607" s="18">
        <v>0.0</v>
      </c>
      <c r="J607" s="18">
        <v>0.0</v>
      </c>
      <c r="K607" s="18"/>
      <c r="L607" s="18"/>
      <c r="M607" s="22" t="str">
        <f t="shared" si="1"/>
        <v/>
      </c>
      <c r="N607" s="18" t="str">
        <f>IF(A607="",,IF(ROW()=2, Input!$C$2 + I607, P606 + I607))</f>
        <v/>
      </c>
      <c r="O607" s="23" t="str">
        <f>IF(A607="",,
 IF(K607="Initial principal",
   Input!$C$2 * M607,
   N607 * M607
 )
)</f>
        <v/>
      </c>
      <c r="P607" s="18" t="str">
        <f t="shared" si="2"/>
        <v/>
      </c>
      <c r="Q607" s="18" t="str">
        <f t="shared" si="3"/>
        <v/>
      </c>
      <c r="R607" s="18" t="str">
        <f t="array" ref="R607">IF(
  B607="",
  ,
  SWITCH(
    Input!$C$4,
    "Actual/365 Fixed",
      YEARFRAC(
        B607 + IF(INDEX(Input!$K$7:$K1503,ROW()-1),0,1),
        C607 + IF(INDEX(Input!$L$7:$L1503,ROW()-1),1,0),
        3
      ),
    "Anniversary/365",
      DATEDIF(
        B607 + IF(INDEX(Input!$K$7:$K1503,ROW()-1),0,1),
        C607 + IF(INDEX(Input!$L$7:$L1503,ROW()-1),1,0),
        "Y"
      )
      +
      (
        (C607 + IF(INDEX(Input!$L$7:$L1503,ROW()-1),1,0))
        -
        EDATE(
          B607 + IF(INDEX(Input!$K$7:$K1503,ROW()-1),0,1),
          12*DATEDIF(
            B607 + IF(INDEX(Input!$K$7:$K1503,ROW()-1),0,1),
            C607 + IF(INDEX(Input!$L$7:$L1503,ROW()-1),1,0),
            "Y"
          )
        )
      ) / 365,
    "Actual/Actual",
      YEARFRAC(
        B607 + IF(INDEX(Input!$K$7:$K1503,ROW()-1),0,1),
        C607 + IF(INDEX(Input!$L$7:$L1503,ROW()-1),1,0),
        1
      ),
      YEARFRAC(
        B607 + IF(INDEX(Input!$K$7:$K1503,ROW()-1),0,1),
        C607 + IF(INDEX(Input!$L$7:$L1503,ROW()-1),1,0),
        3
      )
  )
)</f>
        <v/>
      </c>
      <c r="S607" s="22" t="str">
        <f t="shared" si="4"/>
        <v/>
      </c>
      <c r="T607" s="6" t="str">
        <f t="array" ref="T607">IF(
  B607="",
  ,
  DATEDIF(
    B607 + IF(INDEX(Input!$K$7:$K1503,ROW()-1),0,1),
    C607 + IF(INDEX(Input!$L$7:$L1503,ROW()-1),1,0),
    "Y"
  )
)</f>
        <v/>
      </c>
      <c r="U607" s="6" t="str">
        <f t="array" ref="U607">IF(
  B607="",
  ,
  (C607 + IF(INDEX(Input!$L$7:$L1503,ROW()-1),1,0))
  - EDATE(
      B607 + IF(INDEX(Input!$K$7:$K1503,ROW()-1),0,1),
      12*S607
    )
)</f>
        <v/>
      </c>
      <c r="V607" s="6" t="str">
        <f t="shared" si="5"/>
        <v/>
      </c>
      <c r="W607" s="6" t="str">
        <f t="shared" si="6"/>
        <v/>
      </c>
    </row>
    <row r="608">
      <c r="A608" s="18"/>
      <c r="B608" s="18"/>
      <c r="C608" s="18"/>
      <c r="D608" s="18"/>
      <c r="E608" s="18"/>
      <c r="F608" s="18"/>
      <c r="G608" s="22"/>
      <c r="H608" s="18"/>
      <c r="I608" s="18">
        <v>0.0</v>
      </c>
      <c r="J608" s="18">
        <v>0.0</v>
      </c>
      <c r="K608" s="18"/>
      <c r="L608" s="18"/>
      <c r="M608" s="22" t="str">
        <f t="shared" si="1"/>
        <v/>
      </c>
      <c r="N608" s="18" t="str">
        <f>IF(A608="",,IF(ROW()=2, Input!$C$2 + I608, P607 + I608))</f>
        <v/>
      </c>
      <c r="O608" s="23" t="str">
        <f>IF(A608="",,
 IF(K608="Initial principal",
   Input!$C$2 * M608,
   N608 * M608
 )
)</f>
        <v/>
      </c>
      <c r="P608" s="18" t="str">
        <f t="shared" si="2"/>
        <v/>
      </c>
      <c r="Q608" s="18" t="str">
        <f t="shared" si="3"/>
        <v/>
      </c>
      <c r="R608" s="18" t="str">
        <f t="array" ref="R608">IF(
  B608="",
  ,
  SWITCH(
    Input!$C$4,
    "Actual/365 Fixed",
      YEARFRAC(
        B608 + IF(INDEX(Input!$K$7:$K1503,ROW()-1),0,1),
        C608 + IF(INDEX(Input!$L$7:$L1503,ROW()-1),1,0),
        3
      ),
    "Anniversary/365",
      DATEDIF(
        B608 + IF(INDEX(Input!$K$7:$K1503,ROW()-1),0,1),
        C608 + IF(INDEX(Input!$L$7:$L1503,ROW()-1),1,0),
        "Y"
      )
      +
      (
        (C608 + IF(INDEX(Input!$L$7:$L1503,ROW()-1),1,0))
        -
        EDATE(
          B608 + IF(INDEX(Input!$K$7:$K1503,ROW()-1),0,1),
          12*DATEDIF(
            B608 + IF(INDEX(Input!$K$7:$K1503,ROW()-1),0,1),
            C608 + IF(INDEX(Input!$L$7:$L1503,ROW()-1),1,0),
            "Y"
          )
        )
      ) / 365,
    "Actual/Actual",
      YEARFRAC(
        B608 + IF(INDEX(Input!$K$7:$K1503,ROW()-1),0,1),
        C608 + IF(INDEX(Input!$L$7:$L1503,ROW()-1),1,0),
        1
      ),
      YEARFRAC(
        B608 + IF(INDEX(Input!$K$7:$K1503,ROW()-1),0,1),
        C608 + IF(INDEX(Input!$L$7:$L1503,ROW()-1),1,0),
        3
      )
  )
)</f>
        <v/>
      </c>
      <c r="S608" s="22" t="str">
        <f t="shared" si="4"/>
        <v/>
      </c>
      <c r="T608" s="6" t="str">
        <f t="array" ref="T608">IF(
  B608="",
  ,
  DATEDIF(
    B608 + IF(INDEX(Input!$K$7:$K1503,ROW()-1),0,1),
    C608 + IF(INDEX(Input!$L$7:$L1503,ROW()-1),1,0),
    "Y"
  )
)</f>
        <v/>
      </c>
      <c r="U608" s="6" t="str">
        <f t="array" ref="U608">IF(
  B608="",
  ,
  (C608 + IF(INDEX(Input!$L$7:$L1503,ROW()-1),1,0))
  - EDATE(
      B608 + IF(INDEX(Input!$K$7:$K1503,ROW()-1),0,1),
      12*S608
    )
)</f>
        <v/>
      </c>
      <c r="V608" s="6" t="str">
        <f t="shared" si="5"/>
        <v/>
      </c>
      <c r="W608" s="6" t="str">
        <f t="shared" si="6"/>
        <v/>
      </c>
    </row>
    <row r="609">
      <c r="A609" s="18"/>
      <c r="B609" s="18"/>
      <c r="C609" s="18"/>
      <c r="D609" s="18"/>
      <c r="E609" s="18"/>
      <c r="F609" s="18"/>
      <c r="G609" s="22"/>
      <c r="H609" s="18"/>
      <c r="I609" s="18">
        <v>0.0</v>
      </c>
      <c r="J609" s="18">
        <v>0.0</v>
      </c>
      <c r="K609" s="18"/>
      <c r="L609" s="18"/>
      <c r="M609" s="22" t="str">
        <f t="shared" si="1"/>
        <v/>
      </c>
      <c r="N609" s="18" t="str">
        <f>IF(A609="",,IF(ROW()=2, Input!$C$2 + I609, P608 + I609))</f>
        <v/>
      </c>
      <c r="O609" s="23" t="str">
        <f>IF(A609="",,
 IF(K609="Initial principal",
   Input!$C$2 * M609,
   N609 * M609
 )
)</f>
        <v/>
      </c>
      <c r="P609" s="18" t="str">
        <f t="shared" si="2"/>
        <v/>
      </c>
      <c r="Q609" s="18" t="str">
        <f t="shared" si="3"/>
        <v/>
      </c>
      <c r="R609" s="18" t="str">
        <f t="array" ref="R609">IF(
  B609="",
  ,
  SWITCH(
    Input!$C$4,
    "Actual/365 Fixed",
      YEARFRAC(
        B609 + IF(INDEX(Input!$K$7:$K1503,ROW()-1),0,1),
        C609 + IF(INDEX(Input!$L$7:$L1503,ROW()-1),1,0),
        3
      ),
    "Anniversary/365",
      DATEDIF(
        B609 + IF(INDEX(Input!$K$7:$K1503,ROW()-1),0,1),
        C609 + IF(INDEX(Input!$L$7:$L1503,ROW()-1),1,0),
        "Y"
      )
      +
      (
        (C609 + IF(INDEX(Input!$L$7:$L1503,ROW()-1),1,0))
        -
        EDATE(
          B609 + IF(INDEX(Input!$K$7:$K1503,ROW()-1),0,1),
          12*DATEDIF(
            B609 + IF(INDEX(Input!$K$7:$K1503,ROW()-1),0,1),
            C609 + IF(INDEX(Input!$L$7:$L1503,ROW()-1),1,0),
            "Y"
          )
        )
      ) / 365,
    "Actual/Actual",
      YEARFRAC(
        B609 + IF(INDEX(Input!$K$7:$K1503,ROW()-1),0,1),
        C609 + IF(INDEX(Input!$L$7:$L1503,ROW()-1),1,0),
        1
      ),
      YEARFRAC(
        B609 + IF(INDEX(Input!$K$7:$K1503,ROW()-1),0,1),
        C609 + IF(INDEX(Input!$L$7:$L1503,ROW()-1),1,0),
        3
      )
  )
)</f>
        <v/>
      </c>
      <c r="S609" s="22" t="str">
        <f t="shared" si="4"/>
        <v/>
      </c>
      <c r="T609" s="6" t="str">
        <f t="array" ref="T609">IF(
  B609="",
  ,
  DATEDIF(
    B609 + IF(INDEX(Input!$K$7:$K1503,ROW()-1),0,1),
    C609 + IF(INDEX(Input!$L$7:$L1503,ROW()-1),1,0),
    "Y"
  )
)</f>
        <v/>
      </c>
      <c r="U609" s="6" t="str">
        <f t="array" ref="U609">IF(
  B609="",
  ,
  (C609 + IF(INDEX(Input!$L$7:$L1503,ROW()-1),1,0))
  - EDATE(
      B609 + IF(INDEX(Input!$K$7:$K1503,ROW()-1),0,1),
      12*S609
    )
)</f>
        <v/>
      </c>
      <c r="V609" s="6" t="str">
        <f t="shared" si="5"/>
        <v/>
      </c>
      <c r="W609" s="6" t="str">
        <f t="shared" si="6"/>
        <v/>
      </c>
    </row>
    <row r="610">
      <c r="A610" s="18"/>
      <c r="B610" s="18"/>
      <c r="C610" s="18"/>
      <c r="D610" s="18"/>
      <c r="E610" s="18"/>
      <c r="F610" s="18"/>
      <c r="G610" s="22"/>
      <c r="H610" s="18"/>
      <c r="I610" s="18">
        <v>0.0</v>
      </c>
      <c r="J610" s="18">
        <v>0.0</v>
      </c>
      <c r="K610" s="18"/>
      <c r="L610" s="18"/>
      <c r="M610" s="22" t="str">
        <f t="shared" si="1"/>
        <v/>
      </c>
      <c r="N610" s="18" t="str">
        <f>IF(A610="",,IF(ROW()=2, Input!$C$2 + I610, P609 + I610))</f>
        <v/>
      </c>
      <c r="O610" s="23" t="str">
        <f>IF(A610="",,
 IF(K610="Initial principal",
   Input!$C$2 * M610,
   N610 * M610
 )
)</f>
        <v/>
      </c>
      <c r="P610" s="18" t="str">
        <f t="shared" si="2"/>
        <v/>
      </c>
      <c r="Q610" s="18" t="str">
        <f t="shared" si="3"/>
        <v/>
      </c>
      <c r="R610" s="18" t="str">
        <f t="array" ref="R610">IF(
  B610="",
  ,
  SWITCH(
    Input!$C$4,
    "Actual/365 Fixed",
      YEARFRAC(
        B610 + IF(INDEX(Input!$K$7:$K1503,ROW()-1),0,1),
        C610 + IF(INDEX(Input!$L$7:$L1503,ROW()-1),1,0),
        3
      ),
    "Anniversary/365",
      DATEDIF(
        B610 + IF(INDEX(Input!$K$7:$K1503,ROW()-1),0,1),
        C610 + IF(INDEX(Input!$L$7:$L1503,ROW()-1),1,0),
        "Y"
      )
      +
      (
        (C610 + IF(INDEX(Input!$L$7:$L1503,ROW()-1),1,0))
        -
        EDATE(
          B610 + IF(INDEX(Input!$K$7:$K1503,ROW()-1),0,1),
          12*DATEDIF(
            B610 + IF(INDEX(Input!$K$7:$K1503,ROW()-1),0,1),
            C610 + IF(INDEX(Input!$L$7:$L1503,ROW()-1),1,0),
            "Y"
          )
        )
      ) / 365,
    "Actual/Actual",
      YEARFRAC(
        B610 + IF(INDEX(Input!$K$7:$K1503,ROW()-1),0,1),
        C610 + IF(INDEX(Input!$L$7:$L1503,ROW()-1),1,0),
        1
      ),
      YEARFRAC(
        B610 + IF(INDEX(Input!$K$7:$K1503,ROW()-1),0,1),
        C610 + IF(INDEX(Input!$L$7:$L1503,ROW()-1),1,0),
        3
      )
  )
)</f>
        <v/>
      </c>
      <c r="S610" s="22" t="str">
        <f t="shared" si="4"/>
        <v/>
      </c>
      <c r="T610" s="6" t="str">
        <f t="array" ref="T610">IF(
  B610="",
  ,
  DATEDIF(
    B610 + IF(INDEX(Input!$K$7:$K1503,ROW()-1),0,1),
    C610 + IF(INDEX(Input!$L$7:$L1503,ROW()-1),1,0),
    "Y"
  )
)</f>
        <v/>
      </c>
      <c r="U610" s="6" t="str">
        <f t="array" ref="U610">IF(
  B610="",
  ,
  (C610 + IF(INDEX(Input!$L$7:$L1503,ROW()-1),1,0))
  - EDATE(
      B610 + IF(INDEX(Input!$K$7:$K1503,ROW()-1),0,1),
      12*S610
    )
)</f>
        <v/>
      </c>
      <c r="V610" s="6" t="str">
        <f t="shared" si="5"/>
        <v/>
      </c>
      <c r="W610" s="6" t="str">
        <f t="shared" si="6"/>
        <v/>
      </c>
    </row>
    <row r="611">
      <c r="A611" s="18"/>
      <c r="B611" s="18"/>
      <c r="C611" s="18"/>
      <c r="D611" s="18"/>
      <c r="E611" s="18"/>
      <c r="F611" s="18"/>
      <c r="G611" s="22"/>
      <c r="H611" s="18"/>
      <c r="I611" s="18">
        <v>0.0</v>
      </c>
      <c r="J611" s="18">
        <v>0.0</v>
      </c>
      <c r="K611" s="18"/>
      <c r="L611" s="18"/>
      <c r="M611" s="22" t="str">
        <f t="shared" si="1"/>
        <v/>
      </c>
      <c r="N611" s="18" t="str">
        <f>IF(A611="",,IF(ROW()=2, Input!$C$2 + I611, P610 + I611))</f>
        <v/>
      </c>
      <c r="O611" s="23" t="str">
        <f>IF(A611="",,
 IF(K611="Initial principal",
   Input!$C$2 * M611,
   N611 * M611
 )
)</f>
        <v/>
      </c>
      <c r="P611" s="18" t="str">
        <f t="shared" si="2"/>
        <v/>
      </c>
      <c r="Q611" s="18" t="str">
        <f t="shared" si="3"/>
        <v/>
      </c>
      <c r="R611" s="18" t="str">
        <f t="array" ref="R611">IF(
  B611="",
  ,
  SWITCH(
    Input!$C$4,
    "Actual/365 Fixed",
      YEARFRAC(
        B611 + IF(INDEX(Input!$K$7:$K1503,ROW()-1),0,1),
        C611 + IF(INDEX(Input!$L$7:$L1503,ROW()-1),1,0),
        3
      ),
    "Anniversary/365",
      DATEDIF(
        B611 + IF(INDEX(Input!$K$7:$K1503,ROW()-1),0,1),
        C611 + IF(INDEX(Input!$L$7:$L1503,ROW()-1),1,0),
        "Y"
      )
      +
      (
        (C611 + IF(INDEX(Input!$L$7:$L1503,ROW()-1),1,0))
        -
        EDATE(
          B611 + IF(INDEX(Input!$K$7:$K1503,ROW()-1),0,1),
          12*DATEDIF(
            B611 + IF(INDEX(Input!$K$7:$K1503,ROW()-1),0,1),
            C611 + IF(INDEX(Input!$L$7:$L1503,ROW()-1),1,0),
            "Y"
          )
        )
      ) / 365,
    "Actual/Actual",
      YEARFRAC(
        B611 + IF(INDEX(Input!$K$7:$K1503,ROW()-1),0,1),
        C611 + IF(INDEX(Input!$L$7:$L1503,ROW()-1),1,0),
        1
      ),
      YEARFRAC(
        B611 + IF(INDEX(Input!$K$7:$K1503,ROW()-1),0,1),
        C611 + IF(INDEX(Input!$L$7:$L1503,ROW()-1),1,0),
        3
      )
  )
)</f>
        <v/>
      </c>
      <c r="S611" s="22" t="str">
        <f t="shared" si="4"/>
        <v/>
      </c>
      <c r="T611" s="6" t="str">
        <f t="array" ref="T611">IF(
  B611="",
  ,
  DATEDIF(
    B611 + IF(INDEX(Input!$K$7:$K1503,ROW()-1),0,1),
    C611 + IF(INDEX(Input!$L$7:$L1503,ROW()-1),1,0),
    "Y"
  )
)</f>
        <v/>
      </c>
      <c r="U611" s="6" t="str">
        <f t="array" ref="U611">IF(
  B611="",
  ,
  (C611 + IF(INDEX(Input!$L$7:$L1503,ROW()-1),1,0))
  - EDATE(
      B611 + IF(INDEX(Input!$K$7:$K1503,ROW()-1),0,1),
      12*S611
    )
)</f>
        <v/>
      </c>
      <c r="V611" s="6" t="str">
        <f t="shared" si="5"/>
        <v/>
      </c>
      <c r="W611" s="6" t="str">
        <f t="shared" si="6"/>
        <v/>
      </c>
    </row>
    <row r="612">
      <c r="A612" s="18"/>
      <c r="B612" s="18"/>
      <c r="C612" s="18"/>
      <c r="D612" s="18"/>
      <c r="E612" s="18"/>
      <c r="F612" s="18"/>
      <c r="G612" s="22"/>
      <c r="H612" s="18"/>
      <c r="I612" s="18">
        <v>0.0</v>
      </c>
      <c r="J612" s="18">
        <v>0.0</v>
      </c>
      <c r="K612" s="18"/>
      <c r="L612" s="18"/>
      <c r="M612" s="22" t="str">
        <f t="shared" si="1"/>
        <v/>
      </c>
      <c r="N612" s="18" t="str">
        <f>IF(A612="",,IF(ROW()=2, Input!$C$2 + I612, P611 + I612))</f>
        <v/>
      </c>
      <c r="O612" s="23" t="str">
        <f>IF(A612="",,
 IF(K612="Initial principal",
   Input!$C$2 * M612,
   N612 * M612
 )
)</f>
        <v/>
      </c>
      <c r="P612" s="18" t="str">
        <f t="shared" si="2"/>
        <v/>
      </c>
      <c r="Q612" s="18" t="str">
        <f t="shared" si="3"/>
        <v/>
      </c>
      <c r="R612" s="18" t="str">
        <f t="array" ref="R612">IF(
  B612="",
  ,
  SWITCH(
    Input!$C$4,
    "Actual/365 Fixed",
      YEARFRAC(
        B612 + IF(INDEX(Input!$K$7:$K1503,ROW()-1),0,1),
        C612 + IF(INDEX(Input!$L$7:$L1503,ROW()-1),1,0),
        3
      ),
    "Anniversary/365",
      DATEDIF(
        B612 + IF(INDEX(Input!$K$7:$K1503,ROW()-1),0,1),
        C612 + IF(INDEX(Input!$L$7:$L1503,ROW()-1),1,0),
        "Y"
      )
      +
      (
        (C612 + IF(INDEX(Input!$L$7:$L1503,ROW()-1),1,0))
        -
        EDATE(
          B612 + IF(INDEX(Input!$K$7:$K1503,ROW()-1),0,1),
          12*DATEDIF(
            B612 + IF(INDEX(Input!$K$7:$K1503,ROW()-1),0,1),
            C612 + IF(INDEX(Input!$L$7:$L1503,ROW()-1),1,0),
            "Y"
          )
        )
      ) / 365,
    "Actual/Actual",
      YEARFRAC(
        B612 + IF(INDEX(Input!$K$7:$K1503,ROW()-1),0,1),
        C612 + IF(INDEX(Input!$L$7:$L1503,ROW()-1),1,0),
        1
      ),
      YEARFRAC(
        B612 + IF(INDEX(Input!$K$7:$K1503,ROW()-1),0,1),
        C612 + IF(INDEX(Input!$L$7:$L1503,ROW()-1),1,0),
        3
      )
  )
)</f>
        <v/>
      </c>
      <c r="S612" s="22" t="str">
        <f t="shared" si="4"/>
        <v/>
      </c>
      <c r="T612" s="6" t="str">
        <f t="array" ref="T612">IF(
  B612="",
  ,
  DATEDIF(
    B612 + IF(INDEX(Input!$K$7:$K1503,ROW()-1),0,1),
    C612 + IF(INDEX(Input!$L$7:$L1503,ROW()-1),1,0),
    "Y"
  )
)</f>
        <v/>
      </c>
      <c r="U612" s="6" t="str">
        <f t="array" ref="U612">IF(
  B612="",
  ,
  (C612 + IF(INDEX(Input!$L$7:$L1503,ROW()-1),1,0))
  - EDATE(
      B612 + IF(INDEX(Input!$K$7:$K1503,ROW()-1),0,1),
      12*S612
    )
)</f>
        <v/>
      </c>
      <c r="V612" s="6" t="str">
        <f t="shared" si="5"/>
        <v/>
      </c>
      <c r="W612" s="6" t="str">
        <f t="shared" si="6"/>
        <v/>
      </c>
    </row>
    <row r="613">
      <c r="A613" s="18"/>
      <c r="B613" s="18"/>
      <c r="C613" s="18"/>
      <c r="D613" s="18"/>
      <c r="E613" s="18"/>
      <c r="F613" s="18"/>
      <c r="G613" s="22"/>
      <c r="H613" s="18"/>
      <c r="I613" s="18">
        <v>0.0</v>
      </c>
      <c r="J613" s="18">
        <v>0.0</v>
      </c>
      <c r="K613" s="18"/>
      <c r="L613" s="18"/>
      <c r="M613" s="22" t="str">
        <f t="shared" si="1"/>
        <v/>
      </c>
      <c r="N613" s="18" t="str">
        <f>IF(A613="",,IF(ROW()=2, Input!$C$2 + I613, P612 + I613))</f>
        <v/>
      </c>
      <c r="O613" s="23" t="str">
        <f>IF(A613="",,
 IF(K613="Initial principal",
   Input!$C$2 * M613,
   N613 * M613
 )
)</f>
        <v/>
      </c>
      <c r="P613" s="18" t="str">
        <f t="shared" si="2"/>
        <v/>
      </c>
      <c r="Q613" s="18" t="str">
        <f t="shared" si="3"/>
        <v/>
      </c>
      <c r="R613" s="18" t="str">
        <f t="array" ref="R613">IF(
  B613="",
  ,
  SWITCH(
    Input!$C$4,
    "Actual/365 Fixed",
      YEARFRAC(
        B613 + IF(INDEX(Input!$K$7:$K1503,ROW()-1),0,1),
        C613 + IF(INDEX(Input!$L$7:$L1503,ROW()-1),1,0),
        3
      ),
    "Anniversary/365",
      DATEDIF(
        B613 + IF(INDEX(Input!$K$7:$K1503,ROW()-1),0,1),
        C613 + IF(INDEX(Input!$L$7:$L1503,ROW()-1),1,0),
        "Y"
      )
      +
      (
        (C613 + IF(INDEX(Input!$L$7:$L1503,ROW()-1),1,0))
        -
        EDATE(
          B613 + IF(INDEX(Input!$K$7:$K1503,ROW()-1),0,1),
          12*DATEDIF(
            B613 + IF(INDEX(Input!$K$7:$K1503,ROW()-1),0,1),
            C613 + IF(INDEX(Input!$L$7:$L1503,ROW()-1),1,0),
            "Y"
          )
        )
      ) / 365,
    "Actual/Actual",
      YEARFRAC(
        B613 + IF(INDEX(Input!$K$7:$K1503,ROW()-1),0,1),
        C613 + IF(INDEX(Input!$L$7:$L1503,ROW()-1),1,0),
        1
      ),
      YEARFRAC(
        B613 + IF(INDEX(Input!$K$7:$K1503,ROW()-1),0,1),
        C613 + IF(INDEX(Input!$L$7:$L1503,ROW()-1),1,0),
        3
      )
  )
)</f>
        <v/>
      </c>
      <c r="S613" s="22" t="str">
        <f t="shared" si="4"/>
        <v/>
      </c>
      <c r="T613" s="6" t="str">
        <f t="array" ref="T613">IF(
  B613="",
  ,
  DATEDIF(
    B613 + IF(INDEX(Input!$K$7:$K1503,ROW()-1),0,1),
    C613 + IF(INDEX(Input!$L$7:$L1503,ROW()-1),1,0),
    "Y"
  )
)</f>
        <v/>
      </c>
      <c r="U613" s="6" t="str">
        <f t="array" ref="U613">IF(
  B613="",
  ,
  (C613 + IF(INDEX(Input!$L$7:$L1503,ROW()-1),1,0))
  - EDATE(
      B613 + IF(INDEX(Input!$K$7:$K1503,ROW()-1),0,1),
      12*S613
    )
)</f>
        <v/>
      </c>
      <c r="V613" s="6" t="str">
        <f t="shared" si="5"/>
        <v/>
      </c>
      <c r="W613" s="6" t="str">
        <f t="shared" si="6"/>
        <v/>
      </c>
    </row>
    <row r="614">
      <c r="A614" s="18"/>
      <c r="B614" s="18"/>
      <c r="C614" s="18"/>
      <c r="D614" s="18"/>
      <c r="E614" s="18"/>
      <c r="F614" s="18"/>
      <c r="G614" s="22"/>
      <c r="H614" s="18"/>
      <c r="I614" s="18">
        <v>0.0</v>
      </c>
      <c r="J614" s="18">
        <v>0.0</v>
      </c>
      <c r="K614" s="18"/>
      <c r="L614" s="18"/>
      <c r="M614" s="22" t="str">
        <f t="shared" si="1"/>
        <v/>
      </c>
      <c r="N614" s="18" t="str">
        <f>IF(A614="",,IF(ROW()=2, Input!$C$2 + I614, P613 + I614))</f>
        <v/>
      </c>
      <c r="O614" s="23" t="str">
        <f>IF(A614="",,
 IF(K614="Initial principal",
   Input!$C$2 * M614,
   N614 * M614
 )
)</f>
        <v/>
      </c>
      <c r="P614" s="18" t="str">
        <f t="shared" si="2"/>
        <v/>
      </c>
      <c r="Q614" s="18" t="str">
        <f t="shared" si="3"/>
        <v/>
      </c>
      <c r="R614" s="18" t="str">
        <f t="array" ref="R614">IF(
  B614="",
  ,
  SWITCH(
    Input!$C$4,
    "Actual/365 Fixed",
      YEARFRAC(
        B614 + IF(INDEX(Input!$K$7:$K1503,ROW()-1),0,1),
        C614 + IF(INDEX(Input!$L$7:$L1503,ROW()-1),1,0),
        3
      ),
    "Anniversary/365",
      DATEDIF(
        B614 + IF(INDEX(Input!$K$7:$K1503,ROW()-1),0,1),
        C614 + IF(INDEX(Input!$L$7:$L1503,ROW()-1),1,0),
        "Y"
      )
      +
      (
        (C614 + IF(INDEX(Input!$L$7:$L1503,ROW()-1),1,0))
        -
        EDATE(
          B614 + IF(INDEX(Input!$K$7:$K1503,ROW()-1),0,1),
          12*DATEDIF(
            B614 + IF(INDEX(Input!$K$7:$K1503,ROW()-1),0,1),
            C614 + IF(INDEX(Input!$L$7:$L1503,ROW()-1),1,0),
            "Y"
          )
        )
      ) / 365,
    "Actual/Actual",
      YEARFRAC(
        B614 + IF(INDEX(Input!$K$7:$K1503,ROW()-1),0,1),
        C614 + IF(INDEX(Input!$L$7:$L1503,ROW()-1),1,0),
        1
      ),
      YEARFRAC(
        B614 + IF(INDEX(Input!$K$7:$K1503,ROW()-1),0,1),
        C614 + IF(INDEX(Input!$L$7:$L1503,ROW()-1),1,0),
        3
      )
  )
)</f>
        <v/>
      </c>
      <c r="S614" s="22" t="str">
        <f t="shared" si="4"/>
        <v/>
      </c>
      <c r="T614" s="6" t="str">
        <f t="array" ref="T614">IF(
  B614="",
  ,
  DATEDIF(
    B614 + IF(INDEX(Input!$K$7:$K1503,ROW()-1),0,1),
    C614 + IF(INDEX(Input!$L$7:$L1503,ROW()-1),1,0),
    "Y"
  )
)</f>
        <v/>
      </c>
      <c r="U614" s="6" t="str">
        <f t="array" ref="U614">IF(
  B614="",
  ,
  (C614 + IF(INDEX(Input!$L$7:$L1503,ROW()-1),1,0))
  - EDATE(
      B614 + IF(INDEX(Input!$K$7:$K1503,ROW()-1),0,1),
      12*S614
    )
)</f>
        <v/>
      </c>
      <c r="V614" s="6" t="str">
        <f t="shared" si="5"/>
        <v/>
      </c>
      <c r="W614" s="6" t="str">
        <f t="shared" si="6"/>
        <v/>
      </c>
    </row>
    <row r="615">
      <c r="A615" s="18"/>
      <c r="B615" s="18"/>
      <c r="C615" s="18"/>
      <c r="D615" s="18"/>
      <c r="E615" s="18"/>
      <c r="F615" s="18"/>
      <c r="G615" s="22"/>
      <c r="H615" s="18"/>
      <c r="I615" s="18">
        <v>0.0</v>
      </c>
      <c r="J615" s="18">
        <v>0.0</v>
      </c>
      <c r="K615" s="18"/>
      <c r="L615" s="18"/>
      <c r="M615" s="22" t="str">
        <f t="shared" si="1"/>
        <v/>
      </c>
      <c r="N615" s="18" t="str">
        <f>IF(A615="",,IF(ROW()=2, Input!$C$2 + I615, P614 + I615))</f>
        <v/>
      </c>
      <c r="O615" s="23" t="str">
        <f>IF(A615="",,
 IF(K615="Initial principal",
   Input!$C$2 * M615,
   N615 * M615
 )
)</f>
        <v/>
      </c>
      <c r="P615" s="18" t="str">
        <f t="shared" si="2"/>
        <v/>
      </c>
      <c r="Q615" s="18" t="str">
        <f t="shared" si="3"/>
        <v/>
      </c>
      <c r="R615" s="18" t="str">
        <f t="array" ref="R615">IF(
  B615="",
  ,
  SWITCH(
    Input!$C$4,
    "Actual/365 Fixed",
      YEARFRAC(
        B615 + IF(INDEX(Input!$K$7:$K1503,ROW()-1),0,1),
        C615 + IF(INDEX(Input!$L$7:$L1503,ROW()-1),1,0),
        3
      ),
    "Anniversary/365",
      DATEDIF(
        B615 + IF(INDEX(Input!$K$7:$K1503,ROW()-1),0,1),
        C615 + IF(INDEX(Input!$L$7:$L1503,ROW()-1),1,0),
        "Y"
      )
      +
      (
        (C615 + IF(INDEX(Input!$L$7:$L1503,ROW()-1),1,0))
        -
        EDATE(
          B615 + IF(INDEX(Input!$K$7:$K1503,ROW()-1),0,1),
          12*DATEDIF(
            B615 + IF(INDEX(Input!$K$7:$K1503,ROW()-1),0,1),
            C615 + IF(INDEX(Input!$L$7:$L1503,ROW()-1),1,0),
            "Y"
          )
        )
      ) / 365,
    "Actual/Actual",
      YEARFRAC(
        B615 + IF(INDEX(Input!$K$7:$K1503,ROW()-1),0,1),
        C615 + IF(INDEX(Input!$L$7:$L1503,ROW()-1),1,0),
        1
      ),
      YEARFRAC(
        B615 + IF(INDEX(Input!$K$7:$K1503,ROW()-1),0,1),
        C615 + IF(INDEX(Input!$L$7:$L1503,ROW()-1),1,0),
        3
      )
  )
)</f>
        <v/>
      </c>
      <c r="S615" s="22" t="str">
        <f t="shared" si="4"/>
        <v/>
      </c>
      <c r="T615" s="6" t="str">
        <f t="array" ref="T615">IF(
  B615="",
  ,
  DATEDIF(
    B615 + IF(INDEX(Input!$K$7:$K1503,ROW()-1),0,1),
    C615 + IF(INDEX(Input!$L$7:$L1503,ROW()-1),1,0),
    "Y"
  )
)</f>
        <v/>
      </c>
      <c r="U615" s="6" t="str">
        <f t="array" ref="U615">IF(
  B615="",
  ,
  (C615 + IF(INDEX(Input!$L$7:$L1503,ROW()-1),1,0))
  - EDATE(
      B615 + IF(INDEX(Input!$K$7:$K1503,ROW()-1),0,1),
      12*S615
    )
)</f>
        <v/>
      </c>
      <c r="V615" s="6" t="str">
        <f t="shared" si="5"/>
        <v/>
      </c>
      <c r="W615" s="6" t="str">
        <f t="shared" si="6"/>
        <v/>
      </c>
    </row>
    <row r="616">
      <c r="A616" s="18"/>
      <c r="B616" s="18"/>
      <c r="C616" s="18"/>
      <c r="D616" s="18"/>
      <c r="E616" s="18"/>
      <c r="F616" s="18"/>
      <c r="G616" s="22"/>
      <c r="H616" s="18"/>
      <c r="I616" s="18">
        <v>0.0</v>
      </c>
      <c r="J616" s="18">
        <v>0.0</v>
      </c>
      <c r="K616" s="18"/>
      <c r="L616" s="18"/>
      <c r="M616" s="22" t="str">
        <f t="shared" si="1"/>
        <v/>
      </c>
      <c r="N616" s="18" t="str">
        <f>IF(A616="",,IF(ROW()=2, Input!$C$2 + I616, P615 + I616))</f>
        <v/>
      </c>
      <c r="O616" s="23" t="str">
        <f>IF(A616="",,
 IF(K616="Initial principal",
   Input!$C$2 * M616,
   N616 * M616
 )
)</f>
        <v/>
      </c>
      <c r="P616" s="18" t="str">
        <f t="shared" si="2"/>
        <v/>
      </c>
      <c r="Q616" s="18" t="str">
        <f t="shared" si="3"/>
        <v/>
      </c>
      <c r="R616" s="18" t="str">
        <f t="array" ref="R616">IF(
  B616="",
  ,
  SWITCH(
    Input!$C$4,
    "Actual/365 Fixed",
      YEARFRAC(
        B616 + IF(INDEX(Input!$K$7:$K1503,ROW()-1),0,1),
        C616 + IF(INDEX(Input!$L$7:$L1503,ROW()-1),1,0),
        3
      ),
    "Anniversary/365",
      DATEDIF(
        B616 + IF(INDEX(Input!$K$7:$K1503,ROW()-1),0,1),
        C616 + IF(INDEX(Input!$L$7:$L1503,ROW()-1),1,0),
        "Y"
      )
      +
      (
        (C616 + IF(INDEX(Input!$L$7:$L1503,ROW()-1),1,0))
        -
        EDATE(
          B616 + IF(INDEX(Input!$K$7:$K1503,ROW()-1),0,1),
          12*DATEDIF(
            B616 + IF(INDEX(Input!$K$7:$K1503,ROW()-1),0,1),
            C616 + IF(INDEX(Input!$L$7:$L1503,ROW()-1),1,0),
            "Y"
          )
        )
      ) / 365,
    "Actual/Actual",
      YEARFRAC(
        B616 + IF(INDEX(Input!$K$7:$K1503,ROW()-1),0,1),
        C616 + IF(INDEX(Input!$L$7:$L1503,ROW()-1),1,0),
        1
      ),
      YEARFRAC(
        B616 + IF(INDEX(Input!$K$7:$K1503,ROW()-1),0,1),
        C616 + IF(INDEX(Input!$L$7:$L1503,ROW()-1),1,0),
        3
      )
  )
)</f>
        <v/>
      </c>
      <c r="S616" s="22" t="str">
        <f t="shared" si="4"/>
        <v/>
      </c>
      <c r="T616" s="6" t="str">
        <f t="array" ref="T616">IF(
  B616="",
  ,
  DATEDIF(
    B616 + IF(INDEX(Input!$K$7:$K1503,ROW()-1),0,1),
    C616 + IF(INDEX(Input!$L$7:$L1503,ROW()-1),1,0),
    "Y"
  )
)</f>
        <v/>
      </c>
      <c r="U616" s="6" t="str">
        <f t="array" ref="U616">IF(
  B616="",
  ,
  (C616 + IF(INDEX(Input!$L$7:$L1503,ROW()-1),1,0))
  - EDATE(
      B616 + IF(INDEX(Input!$K$7:$K1503,ROW()-1),0,1),
      12*S616
    )
)</f>
        <v/>
      </c>
      <c r="V616" s="6" t="str">
        <f t="shared" si="5"/>
        <v/>
      </c>
      <c r="W616" s="6" t="str">
        <f t="shared" si="6"/>
        <v/>
      </c>
    </row>
    <row r="617">
      <c r="A617" s="18"/>
      <c r="B617" s="18"/>
      <c r="C617" s="18"/>
      <c r="D617" s="18"/>
      <c r="E617" s="18"/>
      <c r="F617" s="18"/>
      <c r="G617" s="22"/>
      <c r="H617" s="18"/>
      <c r="I617" s="18">
        <v>0.0</v>
      </c>
      <c r="J617" s="18">
        <v>0.0</v>
      </c>
      <c r="K617" s="18"/>
      <c r="L617" s="18"/>
      <c r="M617" s="22" t="str">
        <f t="shared" si="1"/>
        <v/>
      </c>
      <c r="N617" s="18" t="str">
        <f>IF(A617="",,IF(ROW()=2, Input!$C$2 + I617, P616 + I617))</f>
        <v/>
      </c>
      <c r="O617" s="23" t="str">
        <f>IF(A617="",,
 IF(K617="Initial principal",
   Input!$C$2 * M617,
   N617 * M617
 )
)</f>
        <v/>
      </c>
      <c r="P617" s="18" t="str">
        <f t="shared" si="2"/>
        <v/>
      </c>
      <c r="Q617" s="18" t="str">
        <f t="shared" si="3"/>
        <v/>
      </c>
      <c r="R617" s="18" t="str">
        <f t="array" ref="R617">IF(
  B617="",
  ,
  SWITCH(
    Input!$C$4,
    "Actual/365 Fixed",
      YEARFRAC(
        B617 + IF(INDEX(Input!$K$7:$K1503,ROW()-1),0,1),
        C617 + IF(INDEX(Input!$L$7:$L1503,ROW()-1),1,0),
        3
      ),
    "Anniversary/365",
      DATEDIF(
        B617 + IF(INDEX(Input!$K$7:$K1503,ROW()-1),0,1),
        C617 + IF(INDEX(Input!$L$7:$L1503,ROW()-1),1,0),
        "Y"
      )
      +
      (
        (C617 + IF(INDEX(Input!$L$7:$L1503,ROW()-1),1,0))
        -
        EDATE(
          B617 + IF(INDEX(Input!$K$7:$K1503,ROW()-1),0,1),
          12*DATEDIF(
            B617 + IF(INDEX(Input!$K$7:$K1503,ROW()-1),0,1),
            C617 + IF(INDEX(Input!$L$7:$L1503,ROW()-1),1,0),
            "Y"
          )
        )
      ) / 365,
    "Actual/Actual",
      YEARFRAC(
        B617 + IF(INDEX(Input!$K$7:$K1503,ROW()-1),0,1),
        C617 + IF(INDEX(Input!$L$7:$L1503,ROW()-1),1,0),
        1
      ),
      YEARFRAC(
        B617 + IF(INDEX(Input!$K$7:$K1503,ROW()-1),0,1),
        C617 + IF(INDEX(Input!$L$7:$L1503,ROW()-1),1,0),
        3
      )
  )
)</f>
        <v/>
      </c>
      <c r="S617" s="22" t="str">
        <f t="shared" si="4"/>
        <v/>
      </c>
      <c r="T617" s="6" t="str">
        <f t="array" ref="T617">IF(
  B617="",
  ,
  DATEDIF(
    B617 + IF(INDEX(Input!$K$7:$K1503,ROW()-1),0,1),
    C617 + IF(INDEX(Input!$L$7:$L1503,ROW()-1),1,0),
    "Y"
  )
)</f>
        <v/>
      </c>
      <c r="U617" s="6" t="str">
        <f t="array" ref="U617">IF(
  B617="",
  ,
  (C617 + IF(INDEX(Input!$L$7:$L1503,ROW()-1),1,0))
  - EDATE(
      B617 + IF(INDEX(Input!$K$7:$K1503,ROW()-1),0,1),
      12*S617
    )
)</f>
        <v/>
      </c>
      <c r="V617" s="6" t="str">
        <f t="shared" si="5"/>
        <v/>
      </c>
      <c r="W617" s="6" t="str">
        <f t="shared" si="6"/>
        <v/>
      </c>
    </row>
    <row r="618">
      <c r="A618" s="18"/>
      <c r="B618" s="18"/>
      <c r="C618" s="18"/>
      <c r="D618" s="18"/>
      <c r="E618" s="18"/>
      <c r="F618" s="18"/>
      <c r="G618" s="22"/>
      <c r="H618" s="18"/>
      <c r="I618" s="18">
        <v>0.0</v>
      </c>
      <c r="J618" s="18">
        <v>0.0</v>
      </c>
      <c r="K618" s="18"/>
      <c r="L618" s="18"/>
      <c r="M618" s="22" t="str">
        <f t="shared" si="1"/>
        <v/>
      </c>
      <c r="N618" s="18" t="str">
        <f>IF(A618="",,IF(ROW()=2, Input!$C$2 + I618, P617 + I618))</f>
        <v/>
      </c>
      <c r="O618" s="23" t="str">
        <f>IF(A618="",,
 IF(K618="Initial principal",
   Input!$C$2 * M618,
   N618 * M618
 )
)</f>
        <v/>
      </c>
      <c r="P618" s="18" t="str">
        <f t="shared" si="2"/>
        <v/>
      </c>
      <c r="Q618" s="18" t="str">
        <f t="shared" si="3"/>
        <v/>
      </c>
      <c r="R618" s="18" t="str">
        <f t="array" ref="R618">IF(
  B618="",
  ,
  SWITCH(
    Input!$C$4,
    "Actual/365 Fixed",
      YEARFRAC(
        B618 + IF(INDEX(Input!$K$7:$K1503,ROW()-1),0,1),
        C618 + IF(INDEX(Input!$L$7:$L1503,ROW()-1),1,0),
        3
      ),
    "Anniversary/365",
      DATEDIF(
        B618 + IF(INDEX(Input!$K$7:$K1503,ROW()-1),0,1),
        C618 + IF(INDEX(Input!$L$7:$L1503,ROW()-1),1,0),
        "Y"
      )
      +
      (
        (C618 + IF(INDEX(Input!$L$7:$L1503,ROW()-1),1,0))
        -
        EDATE(
          B618 + IF(INDEX(Input!$K$7:$K1503,ROW()-1),0,1),
          12*DATEDIF(
            B618 + IF(INDEX(Input!$K$7:$K1503,ROW()-1),0,1),
            C618 + IF(INDEX(Input!$L$7:$L1503,ROW()-1),1,0),
            "Y"
          )
        )
      ) / 365,
    "Actual/Actual",
      YEARFRAC(
        B618 + IF(INDEX(Input!$K$7:$K1503,ROW()-1),0,1),
        C618 + IF(INDEX(Input!$L$7:$L1503,ROW()-1),1,0),
        1
      ),
      YEARFRAC(
        B618 + IF(INDEX(Input!$K$7:$K1503,ROW()-1),0,1),
        C618 + IF(INDEX(Input!$L$7:$L1503,ROW()-1),1,0),
        3
      )
  )
)</f>
        <v/>
      </c>
      <c r="S618" s="22" t="str">
        <f t="shared" si="4"/>
        <v/>
      </c>
      <c r="T618" s="6" t="str">
        <f t="array" ref="T618">IF(
  B618="",
  ,
  DATEDIF(
    B618 + IF(INDEX(Input!$K$7:$K1503,ROW()-1),0,1),
    C618 + IF(INDEX(Input!$L$7:$L1503,ROW()-1),1,0),
    "Y"
  )
)</f>
        <v/>
      </c>
      <c r="U618" s="6" t="str">
        <f t="array" ref="U618">IF(
  B618="",
  ,
  (C618 + IF(INDEX(Input!$L$7:$L1503,ROW()-1),1,0))
  - EDATE(
      B618 + IF(INDEX(Input!$K$7:$K1503,ROW()-1),0,1),
      12*S618
    )
)</f>
        <v/>
      </c>
      <c r="V618" s="6" t="str">
        <f t="shared" si="5"/>
        <v/>
      </c>
      <c r="W618" s="6" t="str">
        <f t="shared" si="6"/>
        <v/>
      </c>
    </row>
    <row r="619">
      <c r="A619" s="18"/>
      <c r="B619" s="18"/>
      <c r="C619" s="18"/>
      <c r="D619" s="18"/>
      <c r="E619" s="18"/>
      <c r="F619" s="18"/>
      <c r="G619" s="22"/>
      <c r="H619" s="18"/>
      <c r="I619" s="18">
        <v>0.0</v>
      </c>
      <c r="J619" s="18">
        <v>0.0</v>
      </c>
      <c r="K619" s="18"/>
      <c r="L619" s="18"/>
      <c r="M619" s="22" t="str">
        <f t="shared" si="1"/>
        <v/>
      </c>
      <c r="N619" s="18" t="str">
        <f>IF(A619="",,IF(ROW()=2, Input!$C$2 + I619, P618 + I619))</f>
        <v/>
      </c>
      <c r="O619" s="23" t="str">
        <f>IF(A619="",,
 IF(K619="Initial principal",
   Input!$C$2 * M619,
   N619 * M619
 )
)</f>
        <v/>
      </c>
      <c r="P619" s="18" t="str">
        <f t="shared" si="2"/>
        <v/>
      </c>
      <c r="Q619" s="18" t="str">
        <f t="shared" si="3"/>
        <v/>
      </c>
      <c r="R619" s="18" t="str">
        <f t="array" ref="R619">IF(
  B619="",
  ,
  SWITCH(
    Input!$C$4,
    "Actual/365 Fixed",
      YEARFRAC(
        B619 + IF(INDEX(Input!$K$7:$K1503,ROW()-1),0,1),
        C619 + IF(INDEX(Input!$L$7:$L1503,ROW()-1),1,0),
        3
      ),
    "Anniversary/365",
      DATEDIF(
        B619 + IF(INDEX(Input!$K$7:$K1503,ROW()-1),0,1),
        C619 + IF(INDEX(Input!$L$7:$L1503,ROW()-1),1,0),
        "Y"
      )
      +
      (
        (C619 + IF(INDEX(Input!$L$7:$L1503,ROW()-1),1,0))
        -
        EDATE(
          B619 + IF(INDEX(Input!$K$7:$K1503,ROW()-1),0,1),
          12*DATEDIF(
            B619 + IF(INDEX(Input!$K$7:$K1503,ROW()-1),0,1),
            C619 + IF(INDEX(Input!$L$7:$L1503,ROW()-1),1,0),
            "Y"
          )
        )
      ) / 365,
    "Actual/Actual",
      YEARFRAC(
        B619 + IF(INDEX(Input!$K$7:$K1503,ROW()-1),0,1),
        C619 + IF(INDEX(Input!$L$7:$L1503,ROW()-1),1,0),
        1
      ),
      YEARFRAC(
        B619 + IF(INDEX(Input!$K$7:$K1503,ROW()-1),0,1),
        C619 + IF(INDEX(Input!$L$7:$L1503,ROW()-1),1,0),
        3
      )
  )
)</f>
        <v/>
      </c>
      <c r="S619" s="22" t="str">
        <f t="shared" si="4"/>
        <v/>
      </c>
      <c r="T619" s="6" t="str">
        <f t="array" ref="T619">IF(
  B619="",
  ,
  DATEDIF(
    B619 + IF(INDEX(Input!$K$7:$K1503,ROW()-1),0,1),
    C619 + IF(INDEX(Input!$L$7:$L1503,ROW()-1),1,0),
    "Y"
  )
)</f>
        <v/>
      </c>
      <c r="U619" s="6" t="str">
        <f t="array" ref="U619">IF(
  B619="",
  ,
  (C619 + IF(INDEX(Input!$L$7:$L1503,ROW()-1),1,0))
  - EDATE(
      B619 + IF(INDEX(Input!$K$7:$K1503,ROW()-1),0,1),
      12*S619
    )
)</f>
        <v/>
      </c>
      <c r="V619" s="6" t="str">
        <f t="shared" si="5"/>
        <v/>
      </c>
      <c r="W619" s="6" t="str">
        <f t="shared" si="6"/>
        <v/>
      </c>
    </row>
    <row r="620">
      <c r="A620" s="18"/>
      <c r="B620" s="18"/>
      <c r="C620" s="18"/>
      <c r="D620" s="18"/>
      <c r="E620" s="18"/>
      <c r="F620" s="18"/>
      <c r="G620" s="22"/>
      <c r="H620" s="18"/>
      <c r="I620" s="18">
        <v>0.0</v>
      </c>
      <c r="J620" s="18">
        <v>0.0</v>
      </c>
      <c r="K620" s="18"/>
      <c r="L620" s="18"/>
      <c r="M620" s="22" t="str">
        <f t="shared" si="1"/>
        <v/>
      </c>
      <c r="N620" s="18" t="str">
        <f>IF(A620="",,IF(ROW()=2, Input!$C$2 + I620, P619 + I620))</f>
        <v/>
      </c>
      <c r="O620" s="23" t="str">
        <f>IF(A620="",,
 IF(K620="Initial principal",
   Input!$C$2 * M620,
   N620 * M620
 )
)</f>
        <v/>
      </c>
      <c r="P620" s="18" t="str">
        <f t="shared" si="2"/>
        <v/>
      </c>
      <c r="Q620" s="18" t="str">
        <f t="shared" si="3"/>
        <v/>
      </c>
      <c r="R620" s="18" t="str">
        <f t="array" ref="R620">IF(
  B620="",
  ,
  SWITCH(
    Input!$C$4,
    "Actual/365 Fixed",
      YEARFRAC(
        B620 + IF(INDEX(Input!$K$7:$K1503,ROW()-1),0,1),
        C620 + IF(INDEX(Input!$L$7:$L1503,ROW()-1),1,0),
        3
      ),
    "Anniversary/365",
      DATEDIF(
        B620 + IF(INDEX(Input!$K$7:$K1503,ROW()-1),0,1),
        C620 + IF(INDEX(Input!$L$7:$L1503,ROW()-1),1,0),
        "Y"
      )
      +
      (
        (C620 + IF(INDEX(Input!$L$7:$L1503,ROW()-1),1,0))
        -
        EDATE(
          B620 + IF(INDEX(Input!$K$7:$K1503,ROW()-1),0,1),
          12*DATEDIF(
            B620 + IF(INDEX(Input!$K$7:$K1503,ROW()-1),0,1),
            C620 + IF(INDEX(Input!$L$7:$L1503,ROW()-1),1,0),
            "Y"
          )
        )
      ) / 365,
    "Actual/Actual",
      YEARFRAC(
        B620 + IF(INDEX(Input!$K$7:$K1503,ROW()-1),0,1),
        C620 + IF(INDEX(Input!$L$7:$L1503,ROW()-1),1,0),
        1
      ),
      YEARFRAC(
        B620 + IF(INDEX(Input!$K$7:$K1503,ROW()-1),0,1),
        C620 + IF(INDEX(Input!$L$7:$L1503,ROW()-1),1,0),
        3
      )
  )
)</f>
        <v/>
      </c>
      <c r="S620" s="22" t="str">
        <f t="shared" si="4"/>
        <v/>
      </c>
      <c r="T620" s="6" t="str">
        <f t="array" ref="T620">IF(
  B620="",
  ,
  DATEDIF(
    B620 + IF(INDEX(Input!$K$7:$K1503,ROW()-1),0,1),
    C620 + IF(INDEX(Input!$L$7:$L1503,ROW()-1),1,0),
    "Y"
  )
)</f>
        <v/>
      </c>
      <c r="U620" s="6" t="str">
        <f t="array" ref="U620">IF(
  B620="",
  ,
  (C620 + IF(INDEX(Input!$L$7:$L1503,ROW()-1),1,0))
  - EDATE(
      B620 + IF(INDEX(Input!$K$7:$K1503,ROW()-1),0,1),
      12*S620
    )
)</f>
        <v/>
      </c>
      <c r="V620" s="6" t="str">
        <f t="shared" si="5"/>
        <v/>
      </c>
      <c r="W620" s="6" t="str">
        <f t="shared" si="6"/>
        <v/>
      </c>
    </row>
    <row r="621">
      <c r="A621" s="18"/>
      <c r="B621" s="18"/>
      <c r="C621" s="18"/>
      <c r="D621" s="18"/>
      <c r="E621" s="18"/>
      <c r="F621" s="18"/>
      <c r="G621" s="22"/>
      <c r="H621" s="18"/>
      <c r="I621" s="18">
        <v>0.0</v>
      </c>
      <c r="J621" s="18">
        <v>0.0</v>
      </c>
      <c r="K621" s="18"/>
      <c r="L621" s="18"/>
      <c r="M621" s="22" t="str">
        <f t="shared" si="1"/>
        <v/>
      </c>
      <c r="N621" s="18" t="str">
        <f>IF(A621="",,IF(ROW()=2, Input!$C$2 + I621, P620 + I621))</f>
        <v/>
      </c>
      <c r="O621" s="23" t="str">
        <f>IF(A621="",,
 IF(K621="Initial principal",
   Input!$C$2 * M621,
   N621 * M621
 )
)</f>
        <v/>
      </c>
      <c r="P621" s="18" t="str">
        <f t="shared" si="2"/>
        <v/>
      </c>
      <c r="Q621" s="18" t="str">
        <f t="shared" si="3"/>
        <v/>
      </c>
      <c r="R621" s="18" t="str">
        <f t="array" ref="R621">IF(
  B621="",
  ,
  SWITCH(
    Input!$C$4,
    "Actual/365 Fixed",
      YEARFRAC(
        B621 + IF(INDEX(Input!$K$7:$K1503,ROW()-1),0,1),
        C621 + IF(INDEX(Input!$L$7:$L1503,ROW()-1),1,0),
        3
      ),
    "Anniversary/365",
      DATEDIF(
        B621 + IF(INDEX(Input!$K$7:$K1503,ROW()-1),0,1),
        C621 + IF(INDEX(Input!$L$7:$L1503,ROW()-1),1,0),
        "Y"
      )
      +
      (
        (C621 + IF(INDEX(Input!$L$7:$L1503,ROW()-1),1,0))
        -
        EDATE(
          B621 + IF(INDEX(Input!$K$7:$K1503,ROW()-1),0,1),
          12*DATEDIF(
            B621 + IF(INDEX(Input!$K$7:$K1503,ROW()-1),0,1),
            C621 + IF(INDEX(Input!$L$7:$L1503,ROW()-1),1,0),
            "Y"
          )
        )
      ) / 365,
    "Actual/Actual",
      YEARFRAC(
        B621 + IF(INDEX(Input!$K$7:$K1503,ROW()-1),0,1),
        C621 + IF(INDEX(Input!$L$7:$L1503,ROW()-1),1,0),
        1
      ),
      YEARFRAC(
        B621 + IF(INDEX(Input!$K$7:$K1503,ROW()-1),0,1),
        C621 + IF(INDEX(Input!$L$7:$L1503,ROW()-1),1,0),
        3
      )
  )
)</f>
        <v/>
      </c>
      <c r="S621" s="22" t="str">
        <f t="shared" si="4"/>
        <v/>
      </c>
      <c r="T621" s="6" t="str">
        <f t="array" ref="T621">IF(
  B621="",
  ,
  DATEDIF(
    B621 + IF(INDEX(Input!$K$7:$K1503,ROW()-1),0,1),
    C621 + IF(INDEX(Input!$L$7:$L1503,ROW()-1),1,0),
    "Y"
  )
)</f>
        <v/>
      </c>
      <c r="U621" s="6" t="str">
        <f t="array" ref="U621">IF(
  B621="",
  ,
  (C621 + IF(INDEX(Input!$L$7:$L1503,ROW()-1),1,0))
  - EDATE(
      B621 + IF(INDEX(Input!$K$7:$K1503,ROW()-1),0,1),
      12*S621
    )
)</f>
        <v/>
      </c>
      <c r="V621" s="6" t="str">
        <f t="shared" si="5"/>
        <v/>
      </c>
      <c r="W621" s="6" t="str">
        <f t="shared" si="6"/>
        <v/>
      </c>
    </row>
    <row r="622">
      <c r="A622" s="18"/>
      <c r="B622" s="18"/>
      <c r="C622" s="18"/>
      <c r="D622" s="18"/>
      <c r="E622" s="18"/>
      <c r="F622" s="18"/>
      <c r="G622" s="22"/>
      <c r="H622" s="18"/>
      <c r="I622" s="18">
        <v>0.0</v>
      </c>
      <c r="J622" s="18">
        <v>0.0</v>
      </c>
      <c r="K622" s="18"/>
      <c r="L622" s="18"/>
      <c r="M622" s="22" t="str">
        <f t="shared" si="1"/>
        <v/>
      </c>
      <c r="N622" s="18" t="str">
        <f>IF(A622="",,IF(ROW()=2, Input!$C$2 + I622, P621 + I622))</f>
        <v/>
      </c>
      <c r="O622" s="23" t="str">
        <f>IF(A622="",,
 IF(K622="Initial principal",
   Input!$C$2 * M622,
   N622 * M622
 )
)</f>
        <v/>
      </c>
      <c r="P622" s="18" t="str">
        <f t="shared" si="2"/>
        <v/>
      </c>
      <c r="Q622" s="18" t="str">
        <f t="shared" si="3"/>
        <v/>
      </c>
      <c r="R622" s="18" t="str">
        <f t="array" ref="R622">IF(
  B622="",
  ,
  SWITCH(
    Input!$C$4,
    "Actual/365 Fixed",
      YEARFRAC(
        B622 + IF(INDEX(Input!$K$7:$K1503,ROW()-1),0,1),
        C622 + IF(INDEX(Input!$L$7:$L1503,ROW()-1),1,0),
        3
      ),
    "Anniversary/365",
      DATEDIF(
        B622 + IF(INDEX(Input!$K$7:$K1503,ROW()-1),0,1),
        C622 + IF(INDEX(Input!$L$7:$L1503,ROW()-1),1,0),
        "Y"
      )
      +
      (
        (C622 + IF(INDEX(Input!$L$7:$L1503,ROW()-1),1,0))
        -
        EDATE(
          B622 + IF(INDEX(Input!$K$7:$K1503,ROW()-1),0,1),
          12*DATEDIF(
            B622 + IF(INDEX(Input!$K$7:$K1503,ROW()-1),0,1),
            C622 + IF(INDEX(Input!$L$7:$L1503,ROW()-1),1,0),
            "Y"
          )
        )
      ) / 365,
    "Actual/Actual",
      YEARFRAC(
        B622 + IF(INDEX(Input!$K$7:$K1503,ROW()-1),0,1),
        C622 + IF(INDEX(Input!$L$7:$L1503,ROW()-1),1,0),
        1
      ),
      YEARFRAC(
        B622 + IF(INDEX(Input!$K$7:$K1503,ROW()-1),0,1),
        C622 + IF(INDEX(Input!$L$7:$L1503,ROW()-1),1,0),
        3
      )
  )
)</f>
        <v/>
      </c>
      <c r="S622" s="22" t="str">
        <f t="shared" si="4"/>
        <v/>
      </c>
      <c r="T622" s="6" t="str">
        <f t="array" ref="T622">IF(
  B622="",
  ,
  DATEDIF(
    B622 + IF(INDEX(Input!$K$7:$K1503,ROW()-1),0,1),
    C622 + IF(INDEX(Input!$L$7:$L1503,ROW()-1),1,0),
    "Y"
  )
)</f>
        <v/>
      </c>
      <c r="U622" s="6" t="str">
        <f t="array" ref="U622">IF(
  B622="",
  ,
  (C622 + IF(INDEX(Input!$L$7:$L1503,ROW()-1),1,0))
  - EDATE(
      B622 + IF(INDEX(Input!$K$7:$K1503,ROW()-1),0,1),
      12*S622
    )
)</f>
        <v/>
      </c>
      <c r="V622" s="6" t="str">
        <f t="shared" si="5"/>
        <v/>
      </c>
      <c r="W622" s="6" t="str">
        <f t="shared" si="6"/>
        <v/>
      </c>
    </row>
    <row r="623">
      <c r="A623" s="18"/>
      <c r="B623" s="18"/>
      <c r="C623" s="18"/>
      <c r="D623" s="18"/>
      <c r="E623" s="18"/>
      <c r="F623" s="18"/>
      <c r="G623" s="22"/>
      <c r="H623" s="18"/>
      <c r="I623" s="18">
        <v>0.0</v>
      </c>
      <c r="J623" s="18">
        <v>0.0</v>
      </c>
      <c r="K623" s="18"/>
      <c r="L623" s="18"/>
      <c r="M623" s="22" t="str">
        <f t="shared" si="1"/>
        <v/>
      </c>
      <c r="N623" s="18" t="str">
        <f>IF(A623="",,IF(ROW()=2, Input!$C$2 + I623, P622 + I623))</f>
        <v/>
      </c>
      <c r="O623" s="23" t="str">
        <f>IF(A623="",,
 IF(K623="Initial principal",
   Input!$C$2 * M623,
   N623 * M623
 )
)</f>
        <v/>
      </c>
      <c r="P623" s="18" t="str">
        <f t="shared" si="2"/>
        <v/>
      </c>
      <c r="Q623" s="18" t="str">
        <f t="shared" si="3"/>
        <v/>
      </c>
      <c r="R623" s="18" t="str">
        <f t="array" ref="R623">IF(
  B623="",
  ,
  SWITCH(
    Input!$C$4,
    "Actual/365 Fixed",
      YEARFRAC(
        B623 + IF(INDEX(Input!$K$7:$K1503,ROW()-1),0,1),
        C623 + IF(INDEX(Input!$L$7:$L1503,ROW()-1),1,0),
        3
      ),
    "Anniversary/365",
      DATEDIF(
        B623 + IF(INDEX(Input!$K$7:$K1503,ROW()-1),0,1),
        C623 + IF(INDEX(Input!$L$7:$L1503,ROW()-1),1,0),
        "Y"
      )
      +
      (
        (C623 + IF(INDEX(Input!$L$7:$L1503,ROW()-1),1,0))
        -
        EDATE(
          B623 + IF(INDEX(Input!$K$7:$K1503,ROW()-1),0,1),
          12*DATEDIF(
            B623 + IF(INDEX(Input!$K$7:$K1503,ROW()-1),0,1),
            C623 + IF(INDEX(Input!$L$7:$L1503,ROW()-1),1,0),
            "Y"
          )
        )
      ) / 365,
    "Actual/Actual",
      YEARFRAC(
        B623 + IF(INDEX(Input!$K$7:$K1503,ROW()-1),0,1),
        C623 + IF(INDEX(Input!$L$7:$L1503,ROW()-1),1,0),
        1
      ),
      YEARFRAC(
        B623 + IF(INDEX(Input!$K$7:$K1503,ROW()-1),0,1),
        C623 + IF(INDEX(Input!$L$7:$L1503,ROW()-1),1,0),
        3
      )
  )
)</f>
        <v/>
      </c>
      <c r="S623" s="22" t="str">
        <f t="shared" si="4"/>
        <v/>
      </c>
      <c r="T623" s="6" t="str">
        <f t="array" ref="T623">IF(
  B623="",
  ,
  DATEDIF(
    B623 + IF(INDEX(Input!$K$7:$K1503,ROW()-1),0,1),
    C623 + IF(INDEX(Input!$L$7:$L1503,ROW()-1),1,0),
    "Y"
  )
)</f>
        <v/>
      </c>
      <c r="U623" s="6" t="str">
        <f t="array" ref="U623">IF(
  B623="",
  ,
  (C623 + IF(INDEX(Input!$L$7:$L1503,ROW()-1),1,0))
  - EDATE(
      B623 + IF(INDEX(Input!$K$7:$K1503,ROW()-1),0,1),
      12*S623
    )
)</f>
        <v/>
      </c>
      <c r="V623" s="6" t="str">
        <f t="shared" si="5"/>
        <v/>
      </c>
      <c r="W623" s="6" t="str">
        <f t="shared" si="6"/>
        <v/>
      </c>
    </row>
    <row r="624">
      <c r="A624" s="18"/>
      <c r="B624" s="18"/>
      <c r="C624" s="18"/>
      <c r="D624" s="18"/>
      <c r="E624" s="18"/>
      <c r="F624" s="18"/>
      <c r="G624" s="22"/>
      <c r="H624" s="18"/>
      <c r="I624" s="18">
        <v>0.0</v>
      </c>
      <c r="J624" s="18">
        <v>0.0</v>
      </c>
      <c r="K624" s="18"/>
      <c r="L624" s="18"/>
      <c r="M624" s="22" t="str">
        <f t="shared" si="1"/>
        <v/>
      </c>
      <c r="N624" s="18" t="str">
        <f>IF(A624="",,IF(ROW()=2, Input!$C$2 + I624, P623 + I624))</f>
        <v/>
      </c>
      <c r="O624" s="23" t="str">
        <f>IF(A624="",,
 IF(K624="Initial principal",
   Input!$C$2 * M624,
   N624 * M624
 )
)</f>
        <v/>
      </c>
      <c r="P624" s="18" t="str">
        <f t="shared" si="2"/>
        <v/>
      </c>
      <c r="Q624" s="18" t="str">
        <f t="shared" si="3"/>
        <v/>
      </c>
      <c r="R624" s="18" t="str">
        <f t="array" ref="R624">IF(
  B624="",
  ,
  SWITCH(
    Input!$C$4,
    "Actual/365 Fixed",
      YEARFRAC(
        B624 + IF(INDEX(Input!$K$7:$K1503,ROW()-1),0,1),
        C624 + IF(INDEX(Input!$L$7:$L1503,ROW()-1),1,0),
        3
      ),
    "Anniversary/365",
      DATEDIF(
        B624 + IF(INDEX(Input!$K$7:$K1503,ROW()-1),0,1),
        C624 + IF(INDEX(Input!$L$7:$L1503,ROW()-1),1,0),
        "Y"
      )
      +
      (
        (C624 + IF(INDEX(Input!$L$7:$L1503,ROW()-1),1,0))
        -
        EDATE(
          B624 + IF(INDEX(Input!$K$7:$K1503,ROW()-1),0,1),
          12*DATEDIF(
            B624 + IF(INDEX(Input!$K$7:$K1503,ROW()-1),0,1),
            C624 + IF(INDEX(Input!$L$7:$L1503,ROW()-1),1,0),
            "Y"
          )
        )
      ) / 365,
    "Actual/Actual",
      YEARFRAC(
        B624 + IF(INDEX(Input!$K$7:$K1503,ROW()-1),0,1),
        C624 + IF(INDEX(Input!$L$7:$L1503,ROW()-1),1,0),
        1
      ),
      YEARFRAC(
        B624 + IF(INDEX(Input!$K$7:$K1503,ROW()-1),0,1),
        C624 + IF(INDEX(Input!$L$7:$L1503,ROW()-1),1,0),
        3
      )
  )
)</f>
        <v/>
      </c>
      <c r="S624" s="22" t="str">
        <f t="shared" si="4"/>
        <v/>
      </c>
      <c r="T624" s="6" t="str">
        <f t="array" ref="T624">IF(
  B624="",
  ,
  DATEDIF(
    B624 + IF(INDEX(Input!$K$7:$K1503,ROW()-1),0,1),
    C624 + IF(INDEX(Input!$L$7:$L1503,ROW()-1),1,0),
    "Y"
  )
)</f>
        <v/>
      </c>
      <c r="U624" s="6" t="str">
        <f t="array" ref="U624">IF(
  B624="",
  ,
  (C624 + IF(INDEX(Input!$L$7:$L1503,ROW()-1),1,0))
  - EDATE(
      B624 + IF(INDEX(Input!$K$7:$K1503,ROW()-1),0,1),
      12*S624
    )
)</f>
        <v/>
      </c>
      <c r="V624" s="6" t="str">
        <f t="shared" si="5"/>
        <v/>
      </c>
      <c r="W624" s="6" t="str">
        <f t="shared" si="6"/>
        <v/>
      </c>
    </row>
    <row r="625">
      <c r="A625" s="18"/>
      <c r="B625" s="18"/>
      <c r="C625" s="18"/>
      <c r="D625" s="18"/>
      <c r="E625" s="18"/>
      <c r="F625" s="18"/>
      <c r="G625" s="22"/>
      <c r="H625" s="18"/>
      <c r="I625" s="18">
        <v>0.0</v>
      </c>
      <c r="J625" s="18">
        <v>0.0</v>
      </c>
      <c r="K625" s="18"/>
      <c r="L625" s="18"/>
      <c r="M625" s="22" t="str">
        <f t="shared" si="1"/>
        <v/>
      </c>
      <c r="N625" s="18" t="str">
        <f>IF(A625="",,IF(ROW()=2, Input!$C$2 + I625, P624 + I625))</f>
        <v/>
      </c>
      <c r="O625" s="23" t="str">
        <f>IF(A625="",,
 IF(K625="Initial principal",
   Input!$C$2 * M625,
   N625 * M625
 )
)</f>
        <v/>
      </c>
      <c r="P625" s="18" t="str">
        <f t="shared" si="2"/>
        <v/>
      </c>
      <c r="Q625" s="18" t="str">
        <f t="shared" si="3"/>
        <v/>
      </c>
      <c r="R625" s="18" t="str">
        <f t="array" ref="R625">IF(
  B625="",
  ,
  SWITCH(
    Input!$C$4,
    "Actual/365 Fixed",
      YEARFRAC(
        B625 + IF(INDEX(Input!$K$7:$K1503,ROW()-1),0,1),
        C625 + IF(INDEX(Input!$L$7:$L1503,ROW()-1),1,0),
        3
      ),
    "Anniversary/365",
      DATEDIF(
        B625 + IF(INDEX(Input!$K$7:$K1503,ROW()-1),0,1),
        C625 + IF(INDEX(Input!$L$7:$L1503,ROW()-1),1,0),
        "Y"
      )
      +
      (
        (C625 + IF(INDEX(Input!$L$7:$L1503,ROW()-1),1,0))
        -
        EDATE(
          B625 + IF(INDEX(Input!$K$7:$K1503,ROW()-1),0,1),
          12*DATEDIF(
            B625 + IF(INDEX(Input!$K$7:$K1503,ROW()-1),0,1),
            C625 + IF(INDEX(Input!$L$7:$L1503,ROW()-1),1,0),
            "Y"
          )
        )
      ) / 365,
    "Actual/Actual",
      YEARFRAC(
        B625 + IF(INDEX(Input!$K$7:$K1503,ROW()-1),0,1),
        C625 + IF(INDEX(Input!$L$7:$L1503,ROW()-1),1,0),
        1
      ),
      YEARFRAC(
        B625 + IF(INDEX(Input!$K$7:$K1503,ROW()-1),0,1),
        C625 + IF(INDEX(Input!$L$7:$L1503,ROW()-1),1,0),
        3
      )
  )
)</f>
        <v/>
      </c>
      <c r="S625" s="22" t="str">
        <f t="shared" si="4"/>
        <v/>
      </c>
      <c r="T625" s="6" t="str">
        <f t="array" ref="T625">IF(
  B625="",
  ,
  DATEDIF(
    B625 + IF(INDEX(Input!$K$7:$K1503,ROW()-1),0,1),
    C625 + IF(INDEX(Input!$L$7:$L1503,ROW()-1),1,0),
    "Y"
  )
)</f>
        <v/>
      </c>
      <c r="U625" s="6" t="str">
        <f t="array" ref="U625">IF(
  B625="",
  ,
  (C625 + IF(INDEX(Input!$L$7:$L1503,ROW()-1),1,0))
  - EDATE(
      B625 + IF(INDEX(Input!$K$7:$K1503,ROW()-1),0,1),
      12*S625
    )
)</f>
        <v/>
      </c>
      <c r="V625" s="6" t="str">
        <f t="shared" si="5"/>
        <v/>
      </c>
      <c r="W625" s="6" t="str">
        <f t="shared" si="6"/>
        <v/>
      </c>
    </row>
    <row r="626">
      <c r="A626" s="18"/>
      <c r="B626" s="18"/>
      <c r="C626" s="18"/>
      <c r="D626" s="18"/>
      <c r="E626" s="18"/>
      <c r="F626" s="18"/>
      <c r="G626" s="22"/>
      <c r="H626" s="18"/>
      <c r="I626" s="18">
        <v>0.0</v>
      </c>
      <c r="J626" s="18">
        <v>0.0</v>
      </c>
      <c r="K626" s="18"/>
      <c r="L626" s="18"/>
      <c r="M626" s="22" t="str">
        <f t="shared" si="1"/>
        <v/>
      </c>
      <c r="N626" s="18" t="str">
        <f>IF(A626="",,IF(ROW()=2, Input!$C$2 + I626, P625 + I626))</f>
        <v/>
      </c>
      <c r="O626" s="23" t="str">
        <f>IF(A626="",,
 IF(K626="Initial principal",
   Input!$C$2 * M626,
   N626 * M626
 )
)</f>
        <v/>
      </c>
      <c r="P626" s="18" t="str">
        <f t="shared" si="2"/>
        <v/>
      </c>
      <c r="Q626" s="18" t="str">
        <f t="shared" si="3"/>
        <v/>
      </c>
      <c r="R626" s="18" t="str">
        <f t="array" ref="R626">IF(
  B626="",
  ,
  SWITCH(
    Input!$C$4,
    "Actual/365 Fixed",
      YEARFRAC(
        B626 + IF(INDEX(Input!$K$7:$K1503,ROW()-1),0,1),
        C626 + IF(INDEX(Input!$L$7:$L1503,ROW()-1),1,0),
        3
      ),
    "Anniversary/365",
      DATEDIF(
        B626 + IF(INDEX(Input!$K$7:$K1503,ROW()-1),0,1),
        C626 + IF(INDEX(Input!$L$7:$L1503,ROW()-1),1,0),
        "Y"
      )
      +
      (
        (C626 + IF(INDEX(Input!$L$7:$L1503,ROW()-1),1,0))
        -
        EDATE(
          B626 + IF(INDEX(Input!$K$7:$K1503,ROW()-1),0,1),
          12*DATEDIF(
            B626 + IF(INDEX(Input!$K$7:$K1503,ROW()-1),0,1),
            C626 + IF(INDEX(Input!$L$7:$L1503,ROW()-1),1,0),
            "Y"
          )
        )
      ) / 365,
    "Actual/Actual",
      YEARFRAC(
        B626 + IF(INDEX(Input!$K$7:$K1503,ROW()-1),0,1),
        C626 + IF(INDEX(Input!$L$7:$L1503,ROW()-1),1,0),
        1
      ),
      YEARFRAC(
        B626 + IF(INDEX(Input!$K$7:$K1503,ROW()-1),0,1),
        C626 + IF(INDEX(Input!$L$7:$L1503,ROW()-1),1,0),
        3
      )
  )
)</f>
        <v/>
      </c>
      <c r="S626" s="22" t="str">
        <f t="shared" si="4"/>
        <v/>
      </c>
      <c r="T626" s="6" t="str">
        <f t="array" ref="T626">IF(
  B626="",
  ,
  DATEDIF(
    B626 + IF(INDEX(Input!$K$7:$K1503,ROW()-1),0,1),
    C626 + IF(INDEX(Input!$L$7:$L1503,ROW()-1),1,0),
    "Y"
  )
)</f>
        <v/>
      </c>
      <c r="U626" s="6" t="str">
        <f t="array" ref="U626">IF(
  B626="",
  ,
  (C626 + IF(INDEX(Input!$L$7:$L1503,ROW()-1),1,0))
  - EDATE(
      B626 + IF(INDEX(Input!$K$7:$K1503,ROW()-1),0,1),
      12*S626
    )
)</f>
        <v/>
      </c>
      <c r="V626" s="6" t="str">
        <f t="shared" si="5"/>
        <v/>
      </c>
      <c r="W626" s="6" t="str">
        <f t="shared" si="6"/>
        <v/>
      </c>
    </row>
    <row r="627">
      <c r="A627" s="18"/>
      <c r="B627" s="18"/>
      <c r="C627" s="18"/>
      <c r="D627" s="18"/>
      <c r="E627" s="18"/>
      <c r="F627" s="18"/>
      <c r="G627" s="22"/>
      <c r="H627" s="18"/>
      <c r="I627" s="18">
        <v>0.0</v>
      </c>
      <c r="J627" s="18">
        <v>0.0</v>
      </c>
      <c r="K627" s="18"/>
      <c r="L627" s="18"/>
      <c r="M627" s="22" t="str">
        <f t="shared" si="1"/>
        <v/>
      </c>
      <c r="N627" s="18" t="str">
        <f>IF(A627="",,IF(ROW()=2, Input!$C$2 + I627, P626 + I627))</f>
        <v/>
      </c>
      <c r="O627" s="23" t="str">
        <f>IF(A627="",,
 IF(K627="Initial principal",
   Input!$C$2 * M627,
   N627 * M627
 )
)</f>
        <v/>
      </c>
      <c r="P627" s="18" t="str">
        <f t="shared" si="2"/>
        <v/>
      </c>
      <c r="Q627" s="18" t="str">
        <f t="shared" si="3"/>
        <v/>
      </c>
      <c r="R627" s="18" t="str">
        <f t="array" ref="R627">IF(
  B627="",
  ,
  SWITCH(
    Input!$C$4,
    "Actual/365 Fixed",
      YEARFRAC(
        B627 + IF(INDEX(Input!$K$7:$K1503,ROW()-1),0,1),
        C627 + IF(INDEX(Input!$L$7:$L1503,ROW()-1),1,0),
        3
      ),
    "Anniversary/365",
      DATEDIF(
        B627 + IF(INDEX(Input!$K$7:$K1503,ROW()-1),0,1),
        C627 + IF(INDEX(Input!$L$7:$L1503,ROW()-1),1,0),
        "Y"
      )
      +
      (
        (C627 + IF(INDEX(Input!$L$7:$L1503,ROW()-1),1,0))
        -
        EDATE(
          B627 + IF(INDEX(Input!$K$7:$K1503,ROW()-1),0,1),
          12*DATEDIF(
            B627 + IF(INDEX(Input!$K$7:$K1503,ROW()-1),0,1),
            C627 + IF(INDEX(Input!$L$7:$L1503,ROW()-1),1,0),
            "Y"
          )
        )
      ) / 365,
    "Actual/Actual",
      YEARFRAC(
        B627 + IF(INDEX(Input!$K$7:$K1503,ROW()-1),0,1),
        C627 + IF(INDEX(Input!$L$7:$L1503,ROW()-1),1,0),
        1
      ),
      YEARFRAC(
        B627 + IF(INDEX(Input!$K$7:$K1503,ROW()-1),0,1),
        C627 + IF(INDEX(Input!$L$7:$L1503,ROW()-1),1,0),
        3
      )
  )
)</f>
        <v/>
      </c>
      <c r="S627" s="22" t="str">
        <f t="shared" si="4"/>
        <v/>
      </c>
      <c r="T627" s="6" t="str">
        <f t="array" ref="T627">IF(
  B627="",
  ,
  DATEDIF(
    B627 + IF(INDEX(Input!$K$7:$K1503,ROW()-1),0,1),
    C627 + IF(INDEX(Input!$L$7:$L1503,ROW()-1),1,0),
    "Y"
  )
)</f>
        <v/>
      </c>
      <c r="U627" s="6" t="str">
        <f t="array" ref="U627">IF(
  B627="",
  ,
  (C627 + IF(INDEX(Input!$L$7:$L1503,ROW()-1),1,0))
  - EDATE(
      B627 + IF(INDEX(Input!$K$7:$K1503,ROW()-1),0,1),
      12*S627
    )
)</f>
        <v/>
      </c>
      <c r="V627" s="6" t="str">
        <f t="shared" si="5"/>
        <v/>
      </c>
      <c r="W627" s="6" t="str">
        <f t="shared" si="6"/>
        <v/>
      </c>
    </row>
    <row r="628">
      <c r="A628" s="18"/>
      <c r="B628" s="18"/>
      <c r="C628" s="18"/>
      <c r="D628" s="18"/>
      <c r="E628" s="18"/>
      <c r="F628" s="18"/>
      <c r="G628" s="22"/>
      <c r="H628" s="18"/>
      <c r="I628" s="18">
        <v>0.0</v>
      </c>
      <c r="J628" s="18">
        <v>0.0</v>
      </c>
      <c r="K628" s="18"/>
      <c r="L628" s="18"/>
      <c r="M628" s="22" t="str">
        <f t="shared" si="1"/>
        <v/>
      </c>
      <c r="N628" s="18" t="str">
        <f>IF(A628="",,IF(ROW()=2, Input!$C$2 + I628, P627 + I628))</f>
        <v/>
      </c>
      <c r="O628" s="23" t="str">
        <f>IF(A628="",,
 IF(K628="Initial principal",
   Input!$C$2 * M628,
   N628 * M628
 )
)</f>
        <v/>
      </c>
      <c r="P628" s="18" t="str">
        <f t="shared" si="2"/>
        <v/>
      </c>
      <c r="Q628" s="18" t="str">
        <f t="shared" si="3"/>
        <v/>
      </c>
      <c r="R628" s="18" t="str">
        <f t="array" ref="R628">IF(
  B628="",
  ,
  SWITCH(
    Input!$C$4,
    "Actual/365 Fixed",
      YEARFRAC(
        B628 + IF(INDEX(Input!$K$7:$K1503,ROW()-1),0,1),
        C628 + IF(INDEX(Input!$L$7:$L1503,ROW()-1),1,0),
        3
      ),
    "Anniversary/365",
      DATEDIF(
        B628 + IF(INDEX(Input!$K$7:$K1503,ROW()-1),0,1),
        C628 + IF(INDEX(Input!$L$7:$L1503,ROW()-1),1,0),
        "Y"
      )
      +
      (
        (C628 + IF(INDEX(Input!$L$7:$L1503,ROW()-1),1,0))
        -
        EDATE(
          B628 + IF(INDEX(Input!$K$7:$K1503,ROW()-1),0,1),
          12*DATEDIF(
            B628 + IF(INDEX(Input!$K$7:$K1503,ROW()-1),0,1),
            C628 + IF(INDEX(Input!$L$7:$L1503,ROW()-1),1,0),
            "Y"
          )
        )
      ) / 365,
    "Actual/Actual",
      YEARFRAC(
        B628 + IF(INDEX(Input!$K$7:$K1503,ROW()-1),0,1),
        C628 + IF(INDEX(Input!$L$7:$L1503,ROW()-1),1,0),
        1
      ),
      YEARFRAC(
        B628 + IF(INDEX(Input!$K$7:$K1503,ROW()-1),0,1),
        C628 + IF(INDEX(Input!$L$7:$L1503,ROW()-1),1,0),
        3
      )
  )
)</f>
        <v/>
      </c>
      <c r="S628" s="22" t="str">
        <f t="shared" si="4"/>
        <v/>
      </c>
      <c r="T628" s="6" t="str">
        <f t="array" ref="T628">IF(
  B628="",
  ,
  DATEDIF(
    B628 + IF(INDEX(Input!$K$7:$K1503,ROW()-1),0,1),
    C628 + IF(INDEX(Input!$L$7:$L1503,ROW()-1),1,0),
    "Y"
  )
)</f>
        <v/>
      </c>
      <c r="U628" s="6" t="str">
        <f t="array" ref="U628">IF(
  B628="",
  ,
  (C628 + IF(INDEX(Input!$L$7:$L1503,ROW()-1),1,0))
  - EDATE(
      B628 + IF(INDEX(Input!$K$7:$K1503,ROW()-1),0,1),
      12*S628
    )
)</f>
        <v/>
      </c>
      <c r="V628" s="6" t="str">
        <f t="shared" si="5"/>
        <v/>
      </c>
      <c r="W628" s="6" t="str">
        <f t="shared" si="6"/>
        <v/>
      </c>
    </row>
    <row r="629">
      <c r="A629" s="18"/>
      <c r="B629" s="18"/>
      <c r="C629" s="18"/>
      <c r="D629" s="18"/>
      <c r="E629" s="18"/>
      <c r="F629" s="18"/>
      <c r="G629" s="22"/>
      <c r="H629" s="18"/>
      <c r="I629" s="18">
        <v>0.0</v>
      </c>
      <c r="J629" s="18">
        <v>0.0</v>
      </c>
      <c r="K629" s="18"/>
      <c r="L629" s="18"/>
      <c r="M629" s="22" t="str">
        <f t="shared" si="1"/>
        <v/>
      </c>
      <c r="N629" s="18" t="str">
        <f>IF(A629="",,IF(ROW()=2, Input!$C$2 + I629, P628 + I629))</f>
        <v/>
      </c>
      <c r="O629" s="23" t="str">
        <f>IF(A629="",,
 IF(K629="Initial principal",
   Input!$C$2 * M629,
   N629 * M629
 )
)</f>
        <v/>
      </c>
      <c r="P629" s="18" t="str">
        <f t="shared" si="2"/>
        <v/>
      </c>
      <c r="Q629" s="18" t="str">
        <f t="shared" si="3"/>
        <v/>
      </c>
      <c r="R629" s="18" t="str">
        <f t="array" ref="R629">IF(
  B629="",
  ,
  SWITCH(
    Input!$C$4,
    "Actual/365 Fixed",
      YEARFRAC(
        B629 + IF(INDEX(Input!$K$7:$K1503,ROW()-1),0,1),
        C629 + IF(INDEX(Input!$L$7:$L1503,ROW()-1),1,0),
        3
      ),
    "Anniversary/365",
      DATEDIF(
        B629 + IF(INDEX(Input!$K$7:$K1503,ROW()-1),0,1),
        C629 + IF(INDEX(Input!$L$7:$L1503,ROW()-1),1,0),
        "Y"
      )
      +
      (
        (C629 + IF(INDEX(Input!$L$7:$L1503,ROW()-1),1,0))
        -
        EDATE(
          B629 + IF(INDEX(Input!$K$7:$K1503,ROW()-1),0,1),
          12*DATEDIF(
            B629 + IF(INDEX(Input!$K$7:$K1503,ROW()-1),0,1),
            C629 + IF(INDEX(Input!$L$7:$L1503,ROW()-1),1,0),
            "Y"
          )
        )
      ) / 365,
    "Actual/Actual",
      YEARFRAC(
        B629 + IF(INDEX(Input!$K$7:$K1503,ROW()-1),0,1),
        C629 + IF(INDEX(Input!$L$7:$L1503,ROW()-1),1,0),
        1
      ),
      YEARFRAC(
        B629 + IF(INDEX(Input!$K$7:$K1503,ROW()-1),0,1),
        C629 + IF(INDEX(Input!$L$7:$L1503,ROW()-1),1,0),
        3
      )
  )
)</f>
        <v/>
      </c>
      <c r="S629" s="22" t="str">
        <f t="shared" si="4"/>
        <v/>
      </c>
      <c r="T629" s="6" t="str">
        <f t="array" ref="T629">IF(
  B629="",
  ,
  DATEDIF(
    B629 + IF(INDEX(Input!$K$7:$K1503,ROW()-1),0,1),
    C629 + IF(INDEX(Input!$L$7:$L1503,ROW()-1),1,0),
    "Y"
  )
)</f>
        <v/>
      </c>
      <c r="U629" s="6" t="str">
        <f t="array" ref="U629">IF(
  B629="",
  ,
  (C629 + IF(INDEX(Input!$L$7:$L1503,ROW()-1),1,0))
  - EDATE(
      B629 + IF(INDEX(Input!$K$7:$K1503,ROW()-1),0,1),
      12*S629
    )
)</f>
        <v/>
      </c>
      <c r="V629" s="6" t="str">
        <f t="shared" si="5"/>
        <v/>
      </c>
      <c r="W629" s="6" t="str">
        <f t="shared" si="6"/>
        <v/>
      </c>
    </row>
    <row r="630">
      <c r="A630" s="18"/>
      <c r="B630" s="18"/>
      <c r="C630" s="18"/>
      <c r="D630" s="18"/>
      <c r="E630" s="18"/>
      <c r="F630" s="18"/>
      <c r="G630" s="22"/>
      <c r="H630" s="18"/>
      <c r="I630" s="18">
        <v>0.0</v>
      </c>
      <c r="J630" s="18">
        <v>0.0</v>
      </c>
      <c r="K630" s="18"/>
      <c r="L630" s="18"/>
      <c r="M630" s="22" t="str">
        <f t="shared" si="1"/>
        <v/>
      </c>
      <c r="N630" s="18" t="str">
        <f>IF(A630="",,IF(ROW()=2, Input!$C$2 + I630, P629 + I630))</f>
        <v/>
      </c>
      <c r="O630" s="23" t="str">
        <f>IF(A630="",,
 IF(K630="Initial principal",
   Input!$C$2 * M630,
   N630 * M630
 )
)</f>
        <v/>
      </c>
      <c r="P630" s="18" t="str">
        <f t="shared" si="2"/>
        <v/>
      </c>
      <c r="Q630" s="18" t="str">
        <f t="shared" si="3"/>
        <v/>
      </c>
      <c r="R630" s="18" t="str">
        <f t="array" ref="R630">IF(
  B630="",
  ,
  SWITCH(
    Input!$C$4,
    "Actual/365 Fixed",
      YEARFRAC(
        B630 + IF(INDEX(Input!$K$7:$K1503,ROW()-1),0,1),
        C630 + IF(INDEX(Input!$L$7:$L1503,ROW()-1),1,0),
        3
      ),
    "Anniversary/365",
      DATEDIF(
        B630 + IF(INDEX(Input!$K$7:$K1503,ROW()-1),0,1),
        C630 + IF(INDEX(Input!$L$7:$L1503,ROW()-1),1,0),
        "Y"
      )
      +
      (
        (C630 + IF(INDEX(Input!$L$7:$L1503,ROW()-1),1,0))
        -
        EDATE(
          B630 + IF(INDEX(Input!$K$7:$K1503,ROW()-1),0,1),
          12*DATEDIF(
            B630 + IF(INDEX(Input!$K$7:$K1503,ROW()-1),0,1),
            C630 + IF(INDEX(Input!$L$7:$L1503,ROW()-1),1,0),
            "Y"
          )
        )
      ) / 365,
    "Actual/Actual",
      YEARFRAC(
        B630 + IF(INDEX(Input!$K$7:$K1503,ROW()-1),0,1),
        C630 + IF(INDEX(Input!$L$7:$L1503,ROW()-1),1,0),
        1
      ),
      YEARFRAC(
        B630 + IF(INDEX(Input!$K$7:$K1503,ROW()-1),0,1),
        C630 + IF(INDEX(Input!$L$7:$L1503,ROW()-1),1,0),
        3
      )
  )
)</f>
        <v/>
      </c>
      <c r="S630" s="22" t="str">
        <f t="shared" si="4"/>
        <v/>
      </c>
      <c r="T630" s="6" t="str">
        <f t="array" ref="T630">IF(
  B630="",
  ,
  DATEDIF(
    B630 + IF(INDEX(Input!$K$7:$K1503,ROW()-1),0,1),
    C630 + IF(INDEX(Input!$L$7:$L1503,ROW()-1),1,0),
    "Y"
  )
)</f>
        <v/>
      </c>
      <c r="U630" s="6" t="str">
        <f t="array" ref="U630">IF(
  B630="",
  ,
  (C630 + IF(INDEX(Input!$L$7:$L1503,ROW()-1),1,0))
  - EDATE(
      B630 + IF(INDEX(Input!$K$7:$K1503,ROW()-1),0,1),
      12*S630
    )
)</f>
        <v/>
      </c>
      <c r="V630" s="6" t="str">
        <f t="shared" si="5"/>
        <v/>
      </c>
      <c r="W630" s="6" t="str">
        <f t="shared" si="6"/>
        <v/>
      </c>
    </row>
    <row r="631">
      <c r="A631" s="18"/>
      <c r="B631" s="18"/>
      <c r="C631" s="18"/>
      <c r="D631" s="18"/>
      <c r="E631" s="18"/>
      <c r="F631" s="18"/>
      <c r="G631" s="22"/>
      <c r="H631" s="18"/>
      <c r="I631" s="18">
        <v>0.0</v>
      </c>
      <c r="J631" s="18">
        <v>0.0</v>
      </c>
      <c r="K631" s="18"/>
      <c r="L631" s="18"/>
      <c r="M631" s="22" t="str">
        <f t="shared" si="1"/>
        <v/>
      </c>
      <c r="N631" s="18" t="str">
        <f>IF(A631="",,IF(ROW()=2, Input!$C$2 + I631, P630 + I631))</f>
        <v/>
      </c>
      <c r="O631" s="23" t="str">
        <f>IF(A631="",,
 IF(K631="Initial principal",
   Input!$C$2 * M631,
   N631 * M631
 )
)</f>
        <v/>
      </c>
      <c r="P631" s="18" t="str">
        <f t="shared" si="2"/>
        <v/>
      </c>
      <c r="Q631" s="18" t="str">
        <f t="shared" si="3"/>
        <v/>
      </c>
      <c r="R631" s="18" t="str">
        <f t="array" ref="R631">IF(
  B631="",
  ,
  SWITCH(
    Input!$C$4,
    "Actual/365 Fixed",
      YEARFRAC(
        B631 + IF(INDEX(Input!$K$7:$K1503,ROW()-1),0,1),
        C631 + IF(INDEX(Input!$L$7:$L1503,ROW()-1),1,0),
        3
      ),
    "Anniversary/365",
      DATEDIF(
        B631 + IF(INDEX(Input!$K$7:$K1503,ROW()-1),0,1),
        C631 + IF(INDEX(Input!$L$7:$L1503,ROW()-1),1,0),
        "Y"
      )
      +
      (
        (C631 + IF(INDEX(Input!$L$7:$L1503,ROW()-1),1,0))
        -
        EDATE(
          B631 + IF(INDEX(Input!$K$7:$K1503,ROW()-1),0,1),
          12*DATEDIF(
            B631 + IF(INDEX(Input!$K$7:$K1503,ROW()-1),0,1),
            C631 + IF(INDEX(Input!$L$7:$L1503,ROW()-1),1,0),
            "Y"
          )
        )
      ) / 365,
    "Actual/Actual",
      YEARFRAC(
        B631 + IF(INDEX(Input!$K$7:$K1503,ROW()-1),0,1),
        C631 + IF(INDEX(Input!$L$7:$L1503,ROW()-1),1,0),
        1
      ),
      YEARFRAC(
        B631 + IF(INDEX(Input!$K$7:$K1503,ROW()-1),0,1),
        C631 + IF(INDEX(Input!$L$7:$L1503,ROW()-1),1,0),
        3
      )
  )
)</f>
        <v/>
      </c>
      <c r="S631" s="22" t="str">
        <f t="shared" si="4"/>
        <v/>
      </c>
      <c r="T631" s="6" t="str">
        <f t="array" ref="T631">IF(
  B631="",
  ,
  DATEDIF(
    B631 + IF(INDEX(Input!$K$7:$K1503,ROW()-1),0,1),
    C631 + IF(INDEX(Input!$L$7:$L1503,ROW()-1),1,0),
    "Y"
  )
)</f>
        <v/>
      </c>
      <c r="U631" s="6" t="str">
        <f t="array" ref="U631">IF(
  B631="",
  ,
  (C631 + IF(INDEX(Input!$L$7:$L1503,ROW()-1),1,0))
  - EDATE(
      B631 + IF(INDEX(Input!$K$7:$K1503,ROW()-1),0,1),
      12*S631
    )
)</f>
        <v/>
      </c>
      <c r="V631" s="6" t="str">
        <f t="shared" si="5"/>
        <v/>
      </c>
      <c r="W631" s="6" t="str">
        <f t="shared" si="6"/>
        <v/>
      </c>
    </row>
    <row r="632">
      <c r="A632" s="18"/>
      <c r="B632" s="18"/>
      <c r="C632" s="18"/>
      <c r="D632" s="18"/>
      <c r="E632" s="18"/>
      <c r="F632" s="18"/>
      <c r="G632" s="22"/>
      <c r="H632" s="18"/>
      <c r="I632" s="18">
        <v>0.0</v>
      </c>
      <c r="J632" s="18">
        <v>0.0</v>
      </c>
      <c r="K632" s="18"/>
      <c r="L632" s="18"/>
      <c r="M632" s="22" t="str">
        <f t="shared" si="1"/>
        <v/>
      </c>
      <c r="N632" s="18" t="str">
        <f>IF(A632="",,IF(ROW()=2, Input!$C$2 + I632, P631 + I632))</f>
        <v/>
      </c>
      <c r="O632" s="23" t="str">
        <f>IF(A632="",,
 IF(K632="Initial principal",
   Input!$C$2 * M632,
   N632 * M632
 )
)</f>
        <v/>
      </c>
      <c r="P632" s="18" t="str">
        <f t="shared" si="2"/>
        <v/>
      </c>
      <c r="Q632" s="18" t="str">
        <f t="shared" si="3"/>
        <v/>
      </c>
      <c r="R632" s="18" t="str">
        <f t="array" ref="R632">IF(
  B632="",
  ,
  SWITCH(
    Input!$C$4,
    "Actual/365 Fixed",
      YEARFRAC(
        B632 + IF(INDEX(Input!$K$7:$K1503,ROW()-1),0,1),
        C632 + IF(INDEX(Input!$L$7:$L1503,ROW()-1),1,0),
        3
      ),
    "Anniversary/365",
      DATEDIF(
        B632 + IF(INDEX(Input!$K$7:$K1503,ROW()-1),0,1),
        C632 + IF(INDEX(Input!$L$7:$L1503,ROW()-1),1,0),
        "Y"
      )
      +
      (
        (C632 + IF(INDEX(Input!$L$7:$L1503,ROW()-1),1,0))
        -
        EDATE(
          B632 + IF(INDEX(Input!$K$7:$K1503,ROW()-1),0,1),
          12*DATEDIF(
            B632 + IF(INDEX(Input!$K$7:$K1503,ROW()-1),0,1),
            C632 + IF(INDEX(Input!$L$7:$L1503,ROW()-1),1,0),
            "Y"
          )
        )
      ) / 365,
    "Actual/Actual",
      YEARFRAC(
        B632 + IF(INDEX(Input!$K$7:$K1503,ROW()-1),0,1),
        C632 + IF(INDEX(Input!$L$7:$L1503,ROW()-1),1,0),
        1
      ),
      YEARFRAC(
        B632 + IF(INDEX(Input!$K$7:$K1503,ROW()-1),0,1),
        C632 + IF(INDEX(Input!$L$7:$L1503,ROW()-1),1,0),
        3
      )
  )
)</f>
        <v/>
      </c>
      <c r="S632" s="22" t="str">
        <f t="shared" si="4"/>
        <v/>
      </c>
      <c r="T632" s="6" t="str">
        <f t="array" ref="T632">IF(
  B632="",
  ,
  DATEDIF(
    B632 + IF(INDEX(Input!$K$7:$K1503,ROW()-1),0,1),
    C632 + IF(INDEX(Input!$L$7:$L1503,ROW()-1),1,0),
    "Y"
  )
)</f>
        <v/>
      </c>
      <c r="U632" s="6" t="str">
        <f t="array" ref="U632">IF(
  B632="",
  ,
  (C632 + IF(INDEX(Input!$L$7:$L1503,ROW()-1),1,0))
  - EDATE(
      B632 + IF(INDEX(Input!$K$7:$K1503,ROW()-1),0,1),
      12*S632
    )
)</f>
        <v/>
      </c>
      <c r="V632" s="6" t="str">
        <f t="shared" si="5"/>
        <v/>
      </c>
      <c r="W632" s="6" t="str">
        <f t="shared" si="6"/>
        <v/>
      </c>
    </row>
    <row r="633">
      <c r="A633" s="18"/>
      <c r="B633" s="18"/>
      <c r="C633" s="18"/>
      <c r="D633" s="18"/>
      <c r="E633" s="18"/>
      <c r="F633" s="18"/>
      <c r="G633" s="22"/>
      <c r="H633" s="18"/>
      <c r="I633" s="18">
        <v>0.0</v>
      </c>
      <c r="J633" s="18">
        <v>0.0</v>
      </c>
      <c r="K633" s="18"/>
      <c r="L633" s="18"/>
      <c r="M633" s="22" t="str">
        <f t="shared" si="1"/>
        <v/>
      </c>
      <c r="N633" s="18" t="str">
        <f>IF(A633="",,IF(ROW()=2, Input!$C$2 + I633, P632 + I633))</f>
        <v/>
      </c>
      <c r="O633" s="23" t="str">
        <f>IF(A633="",,
 IF(K633="Initial principal",
   Input!$C$2 * M633,
   N633 * M633
 )
)</f>
        <v/>
      </c>
      <c r="P633" s="18" t="str">
        <f t="shared" si="2"/>
        <v/>
      </c>
      <c r="Q633" s="18" t="str">
        <f t="shared" si="3"/>
        <v/>
      </c>
      <c r="R633" s="18" t="str">
        <f t="array" ref="R633">IF(
  B633="",
  ,
  SWITCH(
    Input!$C$4,
    "Actual/365 Fixed",
      YEARFRAC(
        B633 + IF(INDEX(Input!$K$7:$K1503,ROW()-1),0,1),
        C633 + IF(INDEX(Input!$L$7:$L1503,ROW()-1),1,0),
        3
      ),
    "Anniversary/365",
      DATEDIF(
        B633 + IF(INDEX(Input!$K$7:$K1503,ROW()-1),0,1),
        C633 + IF(INDEX(Input!$L$7:$L1503,ROW()-1),1,0),
        "Y"
      )
      +
      (
        (C633 + IF(INDEX(Input!$L$7:$L1503,ROW()-1),1,0))
        -
        EDATE(
          B633 + IF(INDEX(Input!$K$7:$K1503,ROW()-1),0,1),
          12*DATEDIF(
            B633 + IF(INDEX(Input!$K$7:$K1503,ROW()-1),0,1),
            C633 + IF(INDEX(Input!$L$7:$L1503,ROW()-1),1,0),
            "Y"
          )
        )
      ) / 365,
    "Actual/Actual",
      YEARFRAC(
        B633 + IF(INDEX(Input!$K$7:$K1503,ROW()-1),0,1),
        C633 + IF(INDEX(Input!$L$7:$L1503,ROW()-1),1,0),
        1
      ),
      YEARFRAC(
        B633 + IF(INDEX(Input!$K$7:$K1503,ROW()-1),0,1),
        C633 + IF(INDEX(Input!$L$7:$L1503,ROW()-1),1,0),
        3
      )
  )
)</f>
        <v/>
      </c>
      <c r="S633" s="22" t="str">
        <f t="shared" si="4"/>
        <v/>
      </c>
      <c r="T633" s="6" t="str">
        <f t="array" ref="T633">IF(
  B633="",
  ,
  DATEDIF(
    B633 + IF(INDEX(Input!$K$7:$K1503,ROW()-1),0,1),
    C633 + IF(INDEX(Input!$L$7:$L1503,ROW()-1),1,0),
    "Y"
  )
)</f>
        <v/>
      </c>
      <c r="U633" s="6" t="str">
        <f t="array" ref="U633">IF(
  B633="",
  ,
  (C633 + IF(INDEX(Input!$L$7:$L1503,ROW()-1),1,0))
  - EDATE(
      B633 + IF(INDEX(Input!$K$7:$K1503,ROW()-1),0,1),
      12*S633
    )
)</f>
        <v/>
      </c>
      <c r="V633" s="6" t="str">
        <f t="shared" si="5"/>
        <v/>
      </c>
      <c r="W633" s="6" t="str">
        <f t="shared" si="6"/>
        <v/>
      </c>
    </row>
    <row r="634">
      <c r="A634" s="18"/>
      <c r="B634" s="18"/>
      <c r="C634" s="18"/>
      <c r="D634" s="18"/>
      <c r="E634" s="18"/>
      <c r="F634" s="18"/>
      <c r="G634" s="22"/>
      <c r="H634" s="18"/>
      <c r="I634" s="18">
        <v>0.0</v>
      </c>
      <c r="J634" s="18">
        <v>0.0</v>
      </c>
      <c r="K634" s="18"/>
      <c r="L634" s="18"/>
      <c r="M634" s="22" t="str">
        <f t="shared" si="1"/>
        <v/>
      </c>
      <c r="N634" s="18" t="str">
        <f>IF(A634="",,IF(ROW()=2, Input!$C$2 + I634, P633 + I634))</f>
        <v/>
      </c>
      <c r="O634" s="23" t="str">
        <f>IF(A634="",,
 IF(K634="Initial principal",
   Input!$C$2 * M634,
   N634 * M634
 )
)</f>
        <v/>
      </c>
      <c r="P634" s="18" t="str">
        <f t="shared" si="2"/>
        <v/>
      </c>
      <c r="Q634" s="18" t="str">
        <f t="shared" si="3"/>
        <v/>
      </c>
      <c r="R634" s="18" t="str">
        <f t="array" ref="R634">IF(
  B634="",
  ,
  SWITCH(
    Input!$C$4,
    "Actual/365 Fixed",
      YEARFRAC(
        B634 + IF(INDEX(Input!$K$7:$K1503,ROW()-1),0,1),
        C634 + IF(INDEX(Input!$L$7:$L1503,ROW()-1),1,0),
        3
      ),
    "Anniversary/365",
      DATEDIF(
        B634 + IF(INDEX(Input!$K$7:$K1503,ROW()-1),0,1),
        C634 + IF(INDEX(Input!$L$7:$L1503,ROW()-1),1,0),
        "Y"
      )
      +
      (
        (C634 + IF(INDEX(Input!$L$7:$L1503,ROW()-1),1,0))
        -
        EDATE(
          B634 + IF(INDEX(Input!$K$7:$K1503,ROW()-1),0,1),
          12*DATEDIF(
            B634 + IF(INDEX(Input!$K$7:$K1503,ROW()-1),0,1),
            C634 + IF(INDEX(Input!$L$7:$L1503,ROW()-1),1,0),
            "Y"
          )
        )
      ) / 365,
    "Actual/Actual",
      YEARFRAC(
        B634 + IF(INDEX(Input!$K$7:$K1503,ROW()-1),0,1),
        C634 + IF(INDEX(Input!$L$7:$L1503,ROW()-1),1,0),
        1
      ),
      YEARFRAC(
        B634 + IF(INDEX(Input!$K$7:$K1503,ROW()-1),0,1),
        C634 + IF(INDEX(Input!$L$7:$L1503,ROW()-1),1,0),
        3
      )
  )
)</f>
        <v/>
      </c>
      <c r="S634" s="22" t="str">
        <f t="shared" si="4"/>
        <v/>
      </c>
      <c r="T634" s="6" t="str">
        <f t="array" ref="T634">IF(
  B634="",
  ,
  DATEDIF(
    B634 + IF(INDEX(Input!$K$7:$K1503,ROW()-1),0,1),
    C634 + IF(INDEX(Input!$L$7:$L1503,ROW()-1),1,0),
    "Y"
  )
)</f>
        <v/>
      </c>
      <c r="U634" s="6" t="str">
        <f t="array" ref="U634">IF(
  B634="",
  ,
  (C634 + IF(INDEX(Input!$L$7:$L1503,ROW()-1),1,0))
  - EDATE(
      B634 + IF(INDEX(Input!$K$7:$K1503,ROW()-1),0,1),
      12*S634
    )
)</f>
        <v/>
      </c>
      <c r="V634" s="6" t="str">
        <f t="shared" si="5"/>
        <v/>
      </c>
      <c r="W634" s="6" t="str">
        <f t="shared" si="6"/>
        <v/>
      </c>
    </row>
    <row r="635">
      <c r="A635" s="18"/>
      <c r="B635" s="18"/>
      <c r="C635" s="18"/>
      <c r="D635" s="18"/>
      <c r="E635" s="18"/>
      <c r="F635" s="18"/>
      <c r="G635" s="22"/>
      <c r="H635" s="18"/>
      <c r="I635" s="18">
        <v>0.0</v>
      </c>
      <c r="J635" s="18">
        <v>0.0</v>
      </c>
      <c r="K635" s="18"/>
      <c r="L635" s="18"/>
      <c r="M635" s="22" t="str">
        <f t="shared" si="1"/>
        <v/>
      </c>
      <c r="N635" s="18" t="str">
        <f>IF(A635="",,IF(ROW()=2, Input!$C$2 + I635, P634 + I635))</f>
        <v/>
      </c>
      <c r="O635" s="23" t="str">
        <f>IF(A635="",,
 IF(K635="Initial principal",
   Input!$C$2 * M635,
   N635 * M635
 )
)</f>
        <v/>
      </c>
      <c r="P635" s="18" t="str">
        <f t="shared" si="2"/>
        <v/>
      </c>
      <c r="Q635" s="18" t="str">
        <f t="shared" si="3"/>
        <v/>
      </c>
      <c r="R635" s="18" t="str">
        <f t="array" ref="R635">IF(
  B635="",
  ,
  SWITCH(
    Input!$C$4,
    "Actual/365 Fixed",
      YEARFRAC(
        B635 + IF(INDEX(Input!$K$7:$K1503,ROW()-1),0,1),
        C635 + IF(INDEX(Input!$L$7:$L1503,ROW()-1),1,0),
        3
      ),
    "Anniversary/365",
      DATEDIF(
        B635 + IF(INDEX(Input!$K$7:$K1503,ROW()-1),0,1),
        C635 + IF(INDEX(Input!$L$7:$L1503,ROW()-1),1,0),
        "Y"
      )
      +
      (
        (C635 + IF(INDEX(Input!$L$7:$L1503,ROW()-1),1,0))
        -
        EDATE(
          B635 + IF(INDEX(Input!$K$7:$K1503,ROW()-1),0,1),
          12*DATEDIF(
            B635 + IF(INDEX(Input!$K$7:$K1503,ROW()-1),0,1),
            C635 + IF(INDEX(Input!$L$7:$L1503,ROW()-1),1,0),
            "Y"
          )
        )
      ) / 365,
    "Actual/Actual",
      YEARFRAC(
        B635 + IF(INDEX(Input!$K$7:$K1503,ROW()-1),0,1),
        C635 + IF(INDEX(Input!$L$7:$L1503,ROW()-1),1,0),
        1
      ),
      YEARFRAC(
        B635 + IF(INDEX(Input!$K$7:$K1503,ROW()-1),0,1),
        C635 + IF(INDEX(Input!$L$7:$L1503,ROW()-1),1,0),
        3
      )
  )
)</f>
        <v/>
      </c>
      <c r="S635" s="22" t="str">
        <f t="shared" si="4"/>
        <v/>
      </c>
      <c r="T635" s="6" t="str">
        <f t="array" ref="T635">IF(
  B635="",
  ,
  DATEDIF(
    B635 + IF(INDEX(Input!$K$7:$K1503,ROW()-1),0,1),
    C635 + IF(INDEX(Input!$L$7:$L1503,ROW()-1),1,0),
    "Y"
  )
)</f>
        <v/>
      </c>
      <c r="U635" s="6" t="str">
        <f t="array" ref="U635">IF(
  B635="",
  ,
  (C635 + IF(INDEX(Input!$L$7:$L1503,ROW()-1),1,0))
  - EDATE(
      B635 + IF(INDEX(Input!$K$7:$K1503,ROW()-1),0,1),
      12*S635
    )
)</f>
        <v/>
      </c>
      <c r="V635" s="6" t="str">
        <f t="shared" si="5"/>
        <v/>
      </c>
      <c r="W635" s="6" t="str">
        <f t="shared" si="6"/>
        <v/>
      </c>
    </row>
    <row r="636">
      <c r="A636" s="18"/>
      <c r="B636" s="18"/>
      <c r="C636" s="18"/>
      <c r="D636" s="18"/>
      <c r="E636" s="18"/>
      <c r="F636" s="18"/>
      <c r="G636" s="22"/>
      <c r="H636" s="18"/>
      <c r="I636" s="18">
        <v>0.0</v>
      </c>
      <c r="J636" s="18">
        <v>0.0</v>
      </c>
      <c r="K636" s="18"/>
      <c r="L636" s="18"/>
      <c r="M636" s="22" t="str">
        <f t="shared" si="1"/>
        <v/>
      </c>
      <c r="N636" s="18" t="str">
        <f>IF(A636="",,IF(ROW()=2, Input!$C$2 + I636, P635 + I636))</f>
        <v/>
      </c>
      <c r="O636" s="23" t="str">
        <f>IF(A636="",,
 IF(K636="Initial principal",
   Input!$C$2 * M636,
   N636 * M636
 )
)</f>
        <v/>
      </c>
      <c r="P636" s="18" t="str">
        <f t="shared" si="2"/>
        <v/>
      </c>
      <c r="Q636" s="18" t="str">
        <f t="shared" si="3"/>
        <v/>
      </c>
      <c r="R636" s="18" t="str">
        <f t="array" ref="R636">IF(
  B636="",
  ,
  SWITCH(
    Input!$C$4,
    "Actual/365 Fixed",
      YEARFRAC(
        B636 + IF(INDEX(Input!$K$7:$K1503,ROW()-1),0,1),
        C636 + IF(INDEX(Input!$L$7:$L1503,ROW()-1),1,0),
        3
      ),
    "Anniversary/365",
      DATEDIF(
        B636 + IF(INDEX(Input!$K$7:$K1503,ROW()-1),0,1),
        C636 + IF(INDEX(Input!$L$7:$L1503,ROW()-1),1,0),
        "Y"
      )
      +
      (
        (C636 + IF(INDEX(Input!$L$7:$L1503,ROW()-1),1,0))
        -
        EDATE(
          B636 + IF(INDEX(Input!$K$7:$K1503,ROW()-1),0,1),
          12*DATEDIF(
            B636 + IF(INDEX(Input!$K$7:$K1503,ROW()-1),0,1),
            C636 + IF(INDEX(Input!$L$7:$L1503,ROW()-1),1,0),
            "Y"
          )
        )
      ) / 365,
    "Actual/Actual",
      YEARFRAC(
        B636 + IF(INDEX(Input!$K$7:$K1503,ROW()-1),0,1),
        C636 + IF(INDEX(Input!$L$7:$L1503,ROW()-1),1,0),
        1
      ),
      YEARFRAC(
        B636 + IF(INDEX(Input!$K$7:$K1503,ROW()-1),0,1),
        C636 + IF(INDEX(Input!$L$7:$L1503,ROW()-1),1,0),
        3
      )
  )
)</f>
        <v/>
      </c>
      <c r="S636" s="22" t="str">
        <f t="shared" si="4"/>
        <v/>
      </c>
      <c r="T636" s="6" t="str">
        <f t="array" ref="T636">IF(
  B636="",
  ,
  DATEDIF(
    B636 + IF(INDEX(Input!$K$7:$K1503,ROW()-1),0,1),
    C636 + IF(INDEX(Input!$L$7:$L1503,ROW()-1),1,0),
    "Y"
  )
)</f>
        <v/>
      </c>
      <c r="U636" s="6" t="str">
        <f t="array" ref="U636">IF(
  B636="",
  ,
  (C636 + IF(INDEX(Input!$L$7:$L1503,ROW()-1),1,0))
  - EDATE(
      B636 + IF(INDEX(Input!$K$7:$K1503,ROW()-1),0,1),
      12*S636
    )
)</f>
        <v/>
      </c>
      <c r="V636" s="6" t="str">
        <f t="shared" si="5"/>
        <v/>
      </c>
      <c r="W636" s="6" t="str">
        <f t="shared" si="6"/>
        <v/>
      </c>
    </row>
    <row r="637">
      <c r="A637" s="18"/>
      <c r="B637" s="18"/>
      <c r="C637" s="18"/>
      <c r="D637" s="18"/>
      <c r="E637" s="18"/>
      <c r="F637" s="18"/>
      <c r="G637" s="22"/>
      <c r="H637" s="18"/>
      <c r="I637" s="18">
        <v>0.0</v>
      </c>
      <c r="J637" s="18">
        <v>0.0</v>
      </c>
      <c r="K637" s="18"/>
      <c r="L637" s="18"/>
      <c r="M637" s="22" t="str">
        <f t="shared" si="1"/>
        <v/>
      </c>
      <c r="N637" s="18" t="str">
        <f>IF(A637="",,IF(ROW()=2, Input!$C$2 + I637, P636 + I637))</f>
        <v/>
      </c>
      <c r="O637" s="23" t="str">
        <f>IF(A637="",,
 IF(K637="Initial principal",
   Input!$C$2 * M637,
   N637 * M637
 )
)</f>
        <v/>
      </c>
      <c r="P637" s="18" t="str">
        <f t="shared" si="2"/>
        <v/>
      </c>
      <c r="Q637" s="18" t="str">
        <f t="shared" si="3"/>
        <v/>
      </c>
      <c r="R637" s="18" t="str">
        <f t="array" ref="R637">IF(
  B637="",
  ,
  SWITCH(
    Input!$C$4,
    "Actual/365 Fixed",
      YEARFRAC(
        B637 + IF(INDEX(Input!$K$7:$K1503,ROW()-1),0,1),
        C637 + IF(INDEX(Input!$L$7:$L1503,ROW()-1),1,0),
        3
      ),
    "Anniversary/365",
      DATEDIF(
        B637 + IF(INDEX(Input!$K$7:$K1503,ROW()-1),0,1),
        C637 + IF(INDEX(Input!$L$7:$L1503,ROW()-1),1,0),
        "Y"
      )
      +
      (
        (C637 + IF(INDEX(Input!$L$7:$L1503,ROW()-1),1,0))
        -
        EDATE(
          B637 + IF(INDEX(Input!$K$7:$K1503,ROW()-1),0,1),
          12*DATEDIF(
            B637 + IF(INDEX(Input!$K$7:$K1503,ROW()-1),0,1),
            C637 + IF(INDEX(Input!$L$7:$L1503,ROW()-1),1,0),
            "Y"
          )
        )
      ) / 365,
    "Actual/Actual",
      YEARFRAC(
        B637 + IF(INDEX(Input!$K$7:$K1503,ROW()-1),0,1),
        C637 + IF(INDEX(Input!$L$7:$L1503,ROW()-1),1,0),
        1
      ),
      YEARFRAC(
        B637 + IF(INDEX(Input!$K$7:$K1503,ROW()-1),0,1),
        C637 + IF(INDEX(Input!$L$7:$L1503,ROW()-1),1,0),
        3
      )
  )
)</f>
        <v/>
      </c>
      <c r="S637" s="22" t="str">
        <f t="shared" si="4"/>
        <v/>
      </c>
      <c r="T637" s="6" t="str">
        <f t="array" ref="T637">IF(
  B637="",
  ,
  DATEDIF(
    B637 + IF(INDEX(Input!$K$7:$K1503,ROW()-1),0,1),
    C637 + IF(INDEX(Input!$L$7:$L1503,ROW()-1),1,0),
    "Y"
  )
)</f>
        <v/>
      </c>
      <c r="U637" s="6" t="str">
        <f t="array" ref="U637">IF(
  B637="",
  ,
  (C637 + IF(INDEX(Input!$L$7:$L1503,ROW()-1),1,0))
  - EDATE(
      B637 + IF(INDEX(Input!$K$7:$K1503,ROW()-1),0,1),
      12*S637
    )
)</f>
        <v/>
      </c>
      <c r="V637" s="6" t="str">
        <f t="shared" si="5"/>
        <v/>
      </c>
      <c r="W637" s="6" t="str">
        <f t="shared" si="6"/>
        <v/>
      </c>
    </row>
    <row r="638">
      <c r="A638" s="18"/>
      <c r="B638" s="18"/>
      <c r="C638" s="18"/>
      <c r="D638" s="18"/>
      <c r="E638" s="18"/>
      <c r="F638" s="18"/>
      <c r="G638" s="22"/>
      <c r="H638" s="18"/>
      <c r="I638" s="18">
        <v>0.0</v>
      </c>
      <c r="J638" s="18">
        <v>0.0</v>
      </c>
      <c r="K638" s="18"/>
      <c r="L638" s="18"/>
      <c r="M638" s="22" t="str">
        <f t="shared" si="1"/>
        <v/>
      </c>
      <c r="N638" s="18" t="str">
        <f>IF(A638="",,IF(ROW()=2, Input!$C$2 + I638, P637 + I638))</f>
        <v/>
      </c>
      <c r="O638" s="23" t="str">
        <f>IF(A638="",,
 IF(K638="Initial principal",
   Input!$C$2 * M638,
   N638 * M638
 )
)</f>
        <v/>
      </c>
      <c r="P638" s="18" t="str">
        <f t="shared" si="2"/>
        <v/>
      </c>
      <c r="Q638" s="18" t="str">
        <f t="shared" si="3"/>
        <v/>
      </c>
      <c r="R638" s="18" t="str">
        <f t="array" ref="R638">IF(
  B638="",
  ,
  SWITCH(
    Input!$C$4,
    "Actual/365 Fixed",
      YEARFRAC(
        B638 + IF(INDEX(Input!$K$7:$K1503,ROW()-1),0,1),
        C638 + IF(INDEX(Input!$L$7:$L1503,ROW()-1),1,0),
        3
      ),
    "Anniversary/365",
      DATEDIF(
        B638 + IF(INDEX(Input!$K$7:$K1503,ROW()-1),0,1),
        C638 + IF(INDEX(Input!$L$7:$L1503,ROW()-1),1,0),
        "Y"
      )
      +
      (
        (C638 + IF(INDEX(Input!$L$7:$L1503,ROW()-1),1,0))
        -
        EDATE(
          B638 + IF(INDEX(Input!$K$7:$K1503,ROW()-1),0,1),
          12*DATEDIF(
            B638 + IF(INDEX(Input!$K$7:$K1503,ROW()-1),0,1),
            C638 + IF(INDEX(Input!$L$7:$L1503,ROW()-1),1,0),
            "Y"
          )
        )
      ) / 365,
    "Actual/Actual",
      YEARFRAC(
        B638 + IF(INDEX(Input!$K$7:$K1503,ROW()-1),0,1),
        C638 + IF(INDEX(Input!$L$7:$L1503,ROW()-1),1,0),
        1
      ),
      YEARFRAC(
        B638 + IF(INDEX(Input!$K$7:$K1503,ROW()-1),0,1),
        C638 + IF(INDEX(Input!$L$7:$L1503,ROW()-1),1,0),
        3
      )
  )
)</f>
        <v/>
      </c>
      <c r="S638" s="22" t="str">
        <f t="shared" si="4"/>
        <v/>
      </c>
      <c r="T638" s="6" t="str">
        <f t="array" ref="T638">IF(
  B638="",
  ,
  DATEDIF(
    B638 + IF(INDEX(Input!$K$7:$K1503,ROW()-1),0,1),
    C638 + IF(INDEX(Input!$L$7:$L1503,ROW()-1),1,0),
    "Y"
  )
)</f>
        <v/>
      </c>
      <c r="U638" s="6" t="str">
        <f t="array" ref="U638">IF(
  B638="",
  ,
  (C638 + IF(INDEX(Input!$L$7:$L1503,ROW()-1),1,0))
  - EDATE(
      B638 + IF(INDEX(Input!$K$7:$K1503,ROW()-1),0,1),
      12*S638
    )
)</f>
        <v/>
      </c>
      <c r="V638" s="6" t="str">
        <f t="shared" si="5"/>
        <v/>
      </c>
      <c r="W638" s="6" t="str">
        <f t="shared" si="6"/>
        <v/>
      </c>
    </row>
    <row r="639">
      <c r="A639" s="18"/>
      <c r="B639" s="18"/>
      <c r="C639" s="18"/>
      <c r="D639" s="18"/>
      <c r="E639" s="18"/>
      <c r="F639" s="18"/>
      <c r="G639" s="22"/>
      <c r="H639" s="18"/>
      <c r="I639" s="18">
        <v>0.0</v>
      </c>
      <c r="J639" s="18">
        <v>0.0</v>
      </c>
      <c r="K639" s="18"/>
      <c r="L639" s="18"/>
      <c r="M639" s="22" t="str">
        <f t="shared" si="1"/>
        <v/>
      </c>
      <c r="N639" s="18" t="str">
        <f>IF(A639="",,IF(ROW()=2, Input!$C$2 + I639, P638 + I639))</f>
        <v/>
      </c>
      <c r="O639" s="23" t="str">
        <f>IF(A639="",,
 IF(K639="Initial principal",
   Input!$C$2 * M639,
   N639 * M639
 )
)</f>
        <v/>
      </c>
      <c r="P639" s="18" t="str">
        <f t="shared" si="2"/>
        <v/>
      </c>
      <c r="Q639" s="18" t="str">
        <f t="shared" si="3"/>
        <v/>
      </c>
      <c r="R639" s="18" t="str">
        <f t="array" ref="R639">IF(
  B639="",
  ,
  SWITCH(
    Input!$C$4,
    "Actual/365 Fixed",
      YEARFRAC(
        B639 + IF(INDEX(Input!$K$7:$K1503,ROW()-1),0,1),
        C639 + IF(INDEX(Input!$L$7:$L1503,ROW()-1),1,0),
        3
      ),
    "Anniversary/365",
      DATEDIF(
        B639 + IF(INDEX(Input!$K$7:$K1503,ROW()-1),0,1),
        C639 + IF(INDEX(Input!$L$7:$L1503,ROW()-1),1,0),
        "Y"
      )
      +
      (
        (C639 + IF(INDEX(Input!$L$7:$L1503,ROW()-1),1,0))
        -
        EDATE(
          B639 + IF(INDEX(Input!$K$7:$K1503,ROW()-1),0,1),
          12*DATEDIF(
            B639 + IF(INDEX(Input!$K$7:$K1503,ROW()-1),0,1),
            C639 + IF(INDEX(Input!$L$7:$L1503,ROW()-1),1,0),
            "Y"
          )
        )
      ) / 365,
    "Actual/Actual",
      YEARFRAC(
        B639 + IF(INDEX(Input!$K$7:$K1503,ROW()-1),0,1),
        C639 + IF(INDEX(Input!$L$7:$L1503,ROW()-1),1,0),
        1
      ),
      YEARFRAC(
        B639 + IF(INDEX(Input!$K$7:$K1503,ROW()-1),0,1),
        C639 + IF(INDEX(Input!$L$7:$L1503,ROW()-1),1,0),
        3
      )
  )
)</f>
        <v/>
      </c>
      <c r="S639" s="22" t="str">
        <f t="shared" si="4"/>
        <v/>
      </c>
      <c r="T639" s="6" t="str">
        <f t="array" ref="T639">IF(
  B639="",
  ,
  DATEDIF(
    B639 + IF(INDEX(Input!$K$7:$K1503,ROW()-1),0,1),
    C639 + IF(INDEX(Input!$L$7:$L1503,ROW()-1),1,0),
    "Y"
  )
)</f>
        <v/>
      </c>
      <c r="U639" s="6" t="str">
        <f t="array" ref="U639">IF(
  B639="",
  ,
  (C639 + IF(INDEX(Input!$L$7:$L1503,ROW()-1),1,0))
  - EDATE(
      B639 + IF(INDEX(Input!$K$7:$K1503,ROW()-1),0,1),
      12*S639
    )
)</f>
        <v/>
      </c>
      <c r="V639" s="6" t="str">
        <f t="shared" si="5"/>
        <v/>
      </c>
      <c r="W639" s="6" t="str">
        <f t="shared" si="6"/>
        <v/>
      </c>
    </row>
    <row r="640">
      <c r="A640" s="18"/>
      <c r="B640" s="18"/>
      <c r="C640" s="18"/>
      <c r="D640" s="18"/>
      <c r="E640" s="18"/>
      <c r="F640" s="18"/>
      <c r="G640" s="22"/>
      <c r="H640" s="18"/>
      <c r="I640" s="18">
        <v>0.0</v>
      </c>
      <c r="J640" s="18">
        <v>0.0</v>
      </c>
      <c r="K640" s="18"/>
      <c r="L640" s="18"/>
      <c r="M640" s="22" t="str">
        <f t="shared" si="1"/>
        <v/>
      </c>
      <c r="N640" s="18" t="str">
        <f>IF(A640="",,IF(ROW()=2, Input!$C$2 + I640, P639 + I640))</f>
        <v/>
      </c>
      <c r="O640" s="23" t="str">
        <f>IF(A640="",,
 IF(K640="Initial principal",
   Input!$C$2 * M640,
   N640 * M640
 )
)</f>
        <v/>
      </c>
      <c r="P640" s="18" t="str">
        <f t="shared" si="2"/>
        <v/>
      </c>
      <c r="Q640" s="18" t="str">
        <f t="shared" si="3"/>
        <v/>
      </c>
      <c r="R640" s="18" t="str">
        <f t="array" ref="R640">IF(
  B640="",
  ,
  SWITCH(
    Input!$C$4,
    "Actual/365 Fixed",
      YEARFRAC(
        B640 + IF(INDEX(Input!$K$7:$K1503,ROW()-1),0,1),
        C640 + IF(INDEX(Input!$L$7:$L1503,ROW()-1),1,0),
        3
      ),
    "Anniversary/365",
      DATEDIF(
        B640 + IF(INDEX(Input!$K$7:$K1503,ROW()-1),0,1),
        C640 + IF(INDEX(Input!$L$7:$L1503,ROW()-1),1,0),
        "Y"
      )
      +
      (
        (C640 + IF(INDEX(Input!$L$7:$L1503,ROW()-1),1,0))
        -
        EDATE(
          B640 + IF(INDEX(Input!$K$7:$K1503,ROW()-1),0,1),
          12*DATEDIF(
            B640 + IF(INDEX(Input!$K$7:$K1503,ROW()-1),0,1),
            C640 + IF(INDEX(Input!$L$7:$L1503,ROW()-1),1,0),
            "Y"
          )
        )
      ) / 365,
    "Actual/Actual",
      YEARFRAC(
        B640 + IF(INDEX(Input!$K$7:$K1503,ROW()-1),0,1),
        C640 + IF(INDEX(Input!$L$7:$L1503,ROW()-1),1,0),
        1
      ),
      YEARFRAC(
        B640 + IF(INDEX(Input!$K$7:$K1503,ROW()-1),0,1),
        C640 + IF(INDEX(Input!$L$7:$L1503,ROW()-1),1,0),
        3
      )
  )
)</f>
        <v/>
      </c>
      <c r="S640" s="22" t="str">
        <f t="shared" si="4"/>
        <v/>
      </c>
      <c r="T640" s="6" t="str">
        <f t="array" ref="T640">IF(
  B640="",
  ,
  DATEDIF(
    B640 + IF(INDEX(Input!$K$7:$K1503,ROW()-1),0,1),
    C640 + IF(INDEX(Input!$L$7:$L1503,ROW()-1),1,0),
    "Y"
  )
)</f>
        <v/>
      </c>
      <c r="U640" s="6" t="str">
        <f t="array" ref="U640">IF(
  B640="",
  ,
  (C640 + IF(INDEX(Input!$L$7:$L1503,ROW()-1),1,0))
  - EDATE(
      B640 + IF(INDEX(Input!$K$7:$K1503,ROW()-1),0,1),
      12*S640
    )
)</f>
        <v/>
      </c>
      <c r="V640" s="6" t="str">
        <f t="shared" si="5"/>
        <v/>
      </c>
      <c r="W640" s="6" t="str">
        <f t="shared" si="6"/>
        <v/>
      </c>
    </row>
    <row r="641">
      <c r="A641" s="18"/>
      <c r="B641" s="18"/>
      <c r="C641" s="18"/>
      <c r="D641" s="18"/>
      <c r="E641" s="18"/>
      <c r="F641" s="18"/>
      <c r="G641" s="22"/>
      <c r="H641" s="18"/>
      <c r="I641" s="18">
        <v>0.0</v>
      </c>
      <c r="J641" s="18">
        <v>0.0</v>
      </c>
      <c r="K641" s="18"/>
      <c r="L641" s="18"/>
      <c r="M641" s="22" t="str">
        <f t="shared" si="1"/>
        <v/>
      </c>
      <c r="N641" s="18" t="str">
        <f>IF(A641="",,IF(ROW()=2, Input!$C$2 + I641, P640 + I641))</f>
        <v/>
      </c>
      <c r="O641" s="23" t="str">
        <f>IF(A641="",,
 IF(K641="Initial principal",
   Input!$C$2 * M641,
   N641 * M641
 )
)</f>
        <v/>
      </c>
      <c r="P641" s="18" t="str">
        <f t="shared" si="2"/>
        <v/>
      </c>
      <c r="Q641" s="18" t="str">
        <f t="shared" si="3"/>
        <v/>
      </c>
      <c r="R641" s="18" t="str">
        <f t="array" ref="R641">IF(
  B641="",
  ,
  SWITCH(
    Input!$C$4,
    "Actual/365 Fixed",
      YEARFRAC(
        B641 + IF(INDEX(Input!$K$7:$K1503,ROW()-1),0,1),
        C641 + IF(INDEX(Input!$L$7:$L1503,ROW()-1),1,0),
        3
      ),
    "Anniversary/365",
      DATEDIF(
        B641 + IF(INDEX(Input!$K$7:$K1503,ROW()-1),0,1),
        C641 + IF(INDEX(Input!$L$7:$L1503,ROW()-1),1,0),
        "Y"
      )
      +
      (
        (C641 + IF(INDEX(Input!$L$7:$L1503,ROW()-1),1,0))
        -
        EDATE(
          B641 + IF(INDEX(Input!$K$7:$K1503,ROW()-1),0,1),
          12*DATEDIF(
            B641 + IF(INDEX(Input!$K$7:$K1503,ROW()-1),0,1),
            C641 + IF(INDEX(Input!$L$7:$L1503,ROW()-1),1,0),
            "Y"
          )
        )
      ) / 365,
    "Actual/Actual",
      YEARFRAC(
        B641 + IF(INDEX(Input!$K$7:$K1503,ROW()-1),0,1),
        C641 + IF(INDEX(Input!$L$7:$L1503,ROW()-1),1,0),
        1
      ),
      YEARFRAC(
        B641 + IF(INDEX(Input!$K$7:$K1503,ROW()-1),0,1),
        C641 + IF(INDEX(Input!$L$7:$L1503,ROW()-1),1,0),
        3
      )
  )
)</f>
        <v/>
      </c>
      <c r="S641" s="22" t="str">
        <f t="shared" si="4"/>
        <v/>
      </c>
      <c r="T641" s="6" t="str">
        <f t="array" ref="T641">IF(
  B641="",
  ,
  DATEDIF(
    B641 + IF(INDEX(Input!$K$7:$K1503,ROW()-1),0,1),
    C641 + IF(INDEX(Input!$L$7:$L1503,ROW()-1),1,0),
    "Y"
  )
)</f>
        <v/>
      </c>
      <c r="U641" s="6" t="str">
        <f t="array" ref="U641">IF(
  B641="",
  ,
  (C641 + IF(INDEX(Input!$L$7:$L1503,ROW()-1),1,0))
  - EDATE(
      B641 + IF(INDEX(Input!$K$7:$K1503,ROW()-1),0,1),
      12*S641
    )
)</f>
        <v/>
      </c>
      <c r="V641" s="6" t="str">
        <f t="shared" si="5"/>
        <v/>
      </c>
      <c r="W641" s="6" t="str">
        <f t="shared" si="6"/>
        <v/>
      </c>
    </row>
    <row r="642">
      <c r="A642" s="18"/>
      <c r="B642" s="18"/>
      <c r="C642" s="18"/>
      <c r="D642" s="18"/>
      <c r="E642" s="18"/>
      <c r="F642" s="18"/>
      <c r="G642" s="22"/>
      <c r="H642" s="18"/>
      <c r="I642" s="18">
        <v>0.0</v>
      </c>
      <c r="J642" s="18">
        <v>0.0</v>
      </c>
      <c r="K642" s="18"/>
      <c r="L642" s="18"/>
      <c r="M642" s="22" t="str">
        <f t="shared" si="1"/>
        <v/>
      </c>
      <c r="N642" s="18" t="str">
        <f>IF(A642="",,IF(ROW()=2, Input!$C$2 + I642, P641 + I642))</f>
        <v/>
      </c>
      <c r="O642" s="23" t="str">
        <f>IF(A642="",,
 IF(K642="Initial principal",
   Input!$C$2 * M642,
   N642 * M642
 )
)</f>
        <v/>
      </c>
      <c r="P642" s="18" t="str">
        <f t="shared" si="2"/>
        <v/>
      </c>
      <c r="Q642" s="18" t="str">
        <f t="shared" si="3"/>
        <v/>
      </c>
      <c r="R642" s="18" t="str">
        <f t="array" ref="R642">IF(
  B642="",
  ,
  SWITCH(
    Input!$C$4,
    "Actual/365 Fixed",
      YEARFRAC(
        B642 + IF(INDEX(Input!$K$7:$K1503,ROW()-1),0,1),
        C642 + IF(INDEX(Input!$L$7:$L1503,ROW()-1),1,0),
        3
      ),
    "Anniversary/365",
      DATEDIF(
        B642 + IF(INDEX(Input!$K$7:$K1503,ROW()-1),0,1),
        C642 + IF(INDEX(Input!$L$7:$L1503,ROW()-1),1,0),
        "Y"
      )
      +
      (
        (C642 + IF(INDEX(Input!$L$7:$L1503,ROW()-1),1,0))
        -
        EDATE(
          B642 + IF(INDEX(Input!$K$7:$K1503,ROW()-1),0,1),
          12*DATEDIF(
            B642 + IF(INDEX(Input!$K$7:$K1503,ROW()-1),0,1),
            C642 + IF(INDEX(Input!$L$7:$L1503,ROW()-1),1,0),
            "Y"
          )
        )
      ) / 365,
    "Actual/Actual",
      YEARFRAC(
        B642 + IF(INDEX(Input!$K$7:$K1503,ROW()-1),0,1),
        C642 + IF(INDEX(Input!$L$7:$L1503,ROW()-1),1,0),
        1
      ),
      YEARFRAC(
        B642 + IF(INDEX(Input!$K$7:$K1503,ROW()-1),0,1),
        C642 + IF(INDEX(Input!$L$7:$L1503,ROW()-1),1,0),
        3
      )
  )
)</f>
        <v/>
      </c>
      <c r="S642" s="22" t="str">
        <f t="shared" si="4"/>
        <v/>
      </c>
      <c r="T642" s="6" t="str">
        <f t="array" ref="T642">IF(
  B642="",
  ,
  DATEDIF(
    B642 + IF(INDEX(Input!$K$7:$K1503,ROW()-1),0,1),
    C642 + IF(INDEX(Input!$L$7:$L1503,ROW()-1),1,0),
    "Y"
  )
)</f>
        <v/>
      </c>
      <c r="U642" s="6" t="str">
        <f t="array" ref="U642">IF(
  B642="",
  ,
  (C642 + IF(INDEX(Input!$L$7:$L1503,ROW()-1),1,0))
  - EDATE(
      B642 + IF(INDEX(Input!$K$7:$K1503,ROW()-1),0,1),
      12*S642
    )
)</f>
        <v/>
      </c>
      <c r="V642" s="6" t="str">
        <f t="shared" si="5"/>
        <v/>
      </c>
      <c r="W642" s="6" t="str">
        <f t="shared" si="6"/>
        <v/>
      </c>
    </row>
    <row r="643">
      <c r="A643" s="18"/>
      <c r="B643" s="18"/>
      <c r="C643" s="18"/>
      <c r="D643" s="18"/>
      <c r="E643" s="18"/>
      <c r="F643" s="18"/>
      <c r="G643" s="22"/>
      <c r="H643" s="18"/>
      <c r="I643" s="18">
        <v>0.0</v>
      </c>
      <c r="J643" s="18">
        <v>0.0</v>
      </c>
      <c r="K643" s="18"/>
      <c r="L643" s="18"/>
      <c r="M643" s="22" t="str">
        <f t="shared" si="1"/>
        <v/>
      </c>
      <c r="N643" s="18" t="str">
        <f>IF(A643="",,IF(ROW()=2, Input!$C$2 + I643, P642 + I643))</f>
        <v/>
      </c>
      <c r="O643" s="23" t="str">
        <f>IF(A643="",,
 IF(K643="Initial principal",
   Input!$C$2 * M643,
   N643 * M643
 )
)</f>
        <v/>
      </c>
      <c r="P643" s="18" t="str">
        <f t="shared" si="2"/>
        <v/>
      </c>
      <c r="Q643" s="18" t="str">
        <f t="shared" si="3"/>
        <v/>
      </c>
      <c r="R643" s="18" t="str">
        <f t="array" ref="R643">IF(
  B643="",
  ,
  SWITCH(
    Input!$C$4,
    "Actual/365 Fixed",
      YEARFRAC(
        B643 + IF(INDEX(Input!$K$7:$K1503,ROW()-1),0,1),
        C643 + IF(INDEX(Input!$L$7:$L1503,ROW()-1),1,0),
        3
      ),
    "Anniversary/365",
      DATEDIF(
        B643 + IF(INDEX(Input!$K$7:$K1503,ROW()-1),0,1),
        C643 + IF(INDEX(Input!$L$7:$L1503,ROW()-1),1,0),
        "Y"
      )
      +
      (
        (C643 + IF(INDEX(Input!$L$7:$L1503,ROW()-1),1,0))
        -
        EDATE(
          B643 + IF(INDEX(Input!$K$7:$K1503,ROW()-1),0,1),
          12*DATEDIF(
            B643 + IF(INDEX(Input!$K$7:$K1503,ROW()-1),0,1),
            C643 + IF(INDEX(Input!$L$7:$L1503,ROW()-1),1,0),
            "Y"
          )
        )
      ) / 365,
    "Actual/Actual",
      YEARFRAC(
        B643 + IF(INDEX(Input!$K$7:$K1503,ROW()-1),0,1),
        C643 + IF(INDEX(Input!$L$7:$L1503,ROW()-1),1,0),
        1
      ),
      YEARFRAC(
        B643 + IF(INDEX(Input!$K$7:$K1503,ROW()-1),0,1),
        C643 + IF(INDEX(Input!$L$7:$L1503,ROW()-1),1,0),
        3
      )
  )
)</f>
        <v/>
      </c>
      <c r="S643" s="22" t="str">
        <f t="shared" si="4"/>
        <v/>
      </c>
      <c r="T643" s="6" t="str">
        <f t="array" ref="T643">IF(
  B643="",
  ,
  DATEDIF(
    B643 + IF(INDEX(Input!$K$7:$K1503,ROW()-1),0,1),
    C643 + IF(INDEX(Input!$L$7:$L1503,ROW()-1),1,0),
    "Y"
  )
)</f>
        <v/>
      </c>
      <c r="U643" s="6" t="str">
        <f t="array" ref="U643">IF(
  B643="",
  ,
  (C643 + IF(INDEX(Input!$L$7:$L1503,ROW()-1),1,0))
  - EDATE(
      B643 + IF(INDEX(Input!$K$7:$K1503,ROW()-1),0,1),
      12*S643
    )
)</f>
        <v/>
      </c>
      <c r="V643" s="6" t="str">
        <f t="shared" si="5"/>
        <v/>
      </c>
      <c r="W643" s="6" t="str">
        <f t="shared" si="6"/>
        <v/>
      </c>
    </row>
    <row r="644">
      <c r="A644" s="18"/>
      <c r="B644" s="18"/>
      <c r="C644" s="18"/>
      <c r="D644" s="18"/>
      <c r="E644" s="18"/>
      <c r="F644" s="18"/>
      <c r="G644" s="22"/>
      <c r="H644" s="18"/>
      <c r="I644" s="18">
        <v>0.0</v>
      </c>
      <c r="J644" s="18">
        <v>0.0</v>
      </c>
      <c r="K644" s="18"/>
      <c r="L644" s="18"/>
      <c r="M644" s="22" t="str">
        <f t="shared" si="1"/>
        <v/>
      </c>
      <c r="N644" s="18" t="str">
        <f>IF(A644="",,IF(ROW()=2, Input!$C$2 + I644, P643 + I644))</f>
        <v/>
      </c>
      <c r="O644" s="23" t="str">
        <f>IF(A644="",,
 IF(K644="Initial principal",
   Input!$C$2 * M644,
   N644 * M644
 )
)</f>
        <v/>
      </c>
      <c r="P644" s="18" t="str">
        <f t="shared" si="2"/>
        <v/>
      </c>
      <c r="Q644" s="18" t="str">
        <f t="shared" si="3"/>
        <v/>
      </c>
      <c r="R644" s="18" t="str">
        <f t="array" ref="R644">IF(
  B644="",
  ,
  SWITCH(
    Input!$C$4,
    "Actual/365 Fixed",
      YEARFRAC(
        B644 + IF(INDEX(Input!$K$7:$K1503,ROW()-1),0,1),
        C644 + IF(INDEX(Input!$L$7:$L1503,ROW()-1),1,0),
        3
      ),
    "Anniversary/365",
      DATEDIF(
        B644 + IF(INDEX(Input!$K$7:$K1503,ROW()-1),0,1),
        C644 + IF(INDEX(Input!$L$7:$L1503,ROW()-1),1,0),
        "Y"
      )
      +
      (
        (C644 + IF(INDEX(Input!$L$7:$L1503,ROW()-1),1,0))
        -
        EDATE(
          B644 + IF(INDEX(Input!$K$7:$K1503,ROW()-1),0,1),
          12*DATEDIF(
            B644 + IF(INDEX(Input!$K$7:$K1503,ROW()-1),0,1),
            C644 + IF(INDEX(Input!$L$7:$L1503,ROW()-1),1,0),
            "Y"
          )
        )
      ) / 365,
    "Actual/Actual",
      YEARFRAC(
        B644 + IF(INDEX(Input!$K$7:$K1503,ROW()-1),0,1),
        C644 + IF(INDEX(Input!$L$7:$L1503,ROW()-1),1,0),
        1
      ),
      YEARFRAC(
        B644 + IF(INDEX(Input!$K$7:$K1503,ROW()-1),0,1),
        C644 + IF(INDEX(Input!$L$7:$L1503,ROW()-1),1,0),
        3
      )
  )
)</f>
        <v/>
      </c>
      <c r="S644" s="22" t="str">
        <f t="shared" si="4"/>
        <v/>
      </c>
      <c r="T644" s="6" t="str">
        <f t="array" ref="T644">IF(
  B644="",
  ,
  DATEDIF(
    B644 + IF(INDEX(Input!$K$7:$K1503,ROW()-1),0,1),
    C644 + IF(INDEX(Input!$L$7:$L1503,ROW()-1),1,0),
    "Y"
  )
)</f>
        <v/>
      </c>
      <c r="U644" s="6" t="str">
        <f t="array" ref="U644">IF(
  B644="",
  ,
  (C644 + IF(INDEX(Input!$L$7:$L1503,ROW()-1),1,0))
  - EDATE(
      B644 + IF(INDEX(Input!$K$7:$K1503,ROW()-1),0,1),
      12*S644
    )
)</f>
        <v/>
      </c>
      <c r="V644" s="6" t="str">
        <f t="shared" si="5"/>
        <v/>
      </c>
      <c r="W644" s="6" t="str">
        <f t="shared" si="6"/>
        <v/>
      </c>
    </row>
    <row r="645">
      <c r="A645" s="18"/>
      <c r="B645" s="18"/>
      <c r="C645" s="18"/>
      <c r="D645" s="18"/>
      <c r="E645" s="18"/>
      <c r="F645" s="18"/>
      <c r="G645" s="22"/>
      <c r="H645" s="18"/>
      <c r="I645" s="18">
        <v>0.0</v>
      </c>
      <c r="J645" s="18">
        <v>0.0</v>
      </c>
      <c r="K645" s="18"/>
      <c r="L645" s="18"/>
      <c r="M645" s="22" t="str">
        <f t="shared" si="1"/>
        <v/>
      </c>
      <c r="N645" s="18" t="str">
        <f>IF(A645="",,IF(ROW()=2, Input!$C$2 + I645, P644 + I645))</f>
        <v/>
      </c>
      <c r="O645" s="23" t="str">
        <f>IF(A645="",,
 IF(K645="Initial principal",
   Input!$C$2 * M645,
   N645 * M645
 )
)</f>
        <v/>
      </c>
      <c r="P645" s="18" t="str">
        <f t="shared" si="2"/>
        <v/>
      </c>
      <c r="Q645" s="18" t="str">
        <f t="shared" si="3"/>
        <v/>
      </c>
      <c r="R645" s="18" t="str">
        <f t="array" ref="R645">IF(
  B645="",
  ,
  SWITCH(
    Input!$C$4,
    "Actual/365 Fixed",
      YEARFRAC(
        B645 + IF(INDEX(Input!$K$7:$K1503,ROW()-1),0,1),
        C645 + IF(INDEX(Input!$L$7:$L1503,ROW()-1),1,0),
        3
      ),
    "Anniversary/365",
      DATEDIF(
        B645 + IF(INDEX(Input!$K$7:$K1503,ROW()-1),0,1),
        C645 + IF(INDEX(Input!$L$7:$L1503,ROW()-1),1,0),
        "Y"
      )
      +
      (
        (C645 + IF(INDEX(Input!$L$7:$L1503,ROW()-1),1,0))
        -
        EDATE(
          B645 + IF(INDEX(Input!$K$7:$K1503,ROW()-1),0,1),
          12*DATEDIF(
            B645 + IF(INDEX(Input!$K$7:$K1503,ROW()-1),0,1),
            C645 + IF(INDEX(Input!$L$7:$L1503,ROW()-1),1,0),
            "Y"
          )
        )
      ) / 365,
    "Actual/Actual",
      YEARFRAC(
        B645 + IF(INDEX(Input!$K$7:$K1503,ROW()-1),0,1),
        C645 + IF(INDEX(Input!$L$7:$L1503,ROW()-1),1,0),
        1
      ),
      YEARFRAC(
        B645 + IF(INDEX(Input!$K$7:$K1503,ROW()-1),0,1),
        C645 + IF(INDEX(Input!$L$7:$L1503,ROW()-1),1,0),
        3
      )
  )
)</f>
        <v/>
      </c>
      <c r="S645" s="22" t="str">
        <f t="shared" si="4"/>
        <v/>
      </c>
      <c r="T645" s="6" t="str">
        <f t="array" ref="T645">IF(
  B645="",
  ,
  DATEDIF(
    B645 + IF(INDEX(Input!$K$7:$K1503,ROW()-1),0,1),
    C645 + IF(INDEX(Input!$L$7:$L1503,ROW()-1),1,0),
    "Y"
  )
)</f>
        <v/>
      </c>
      <c r="U645" s="6" t="str">
        <f t="array" ref="U645">IF(
  B645="",
  ,
  (C645 + IF(INDEX(Input!$L$7:$L1503,ROW()-1),1,0))
  - EDATE(
      B645 + IF(INDEX(Input!$K$7:$K1503,ROW()-1),0,1),
      12*S645
    )
)</f>
        <v/>
      </c>
      <c r="V645" s="6" t="str">
        <f t="shared" si="5"/>
        <v/>
      </c>
      <c r="W645" s="6" t="str">
        <f t="shared" si="6"/>
        <v/>
      </c>
    </row>
    <row r="646">
      <c r="A646" s="18"/>
      <c r="B646" s="18"/>
      <c r="C646" s="18"/>
      <c r="D646" s="18"/>
      <c r="E646" s="18"/>
      <c r="F646" s="18"/>
      <c r="G646" s="22"/>
      <c r="H646" s="18"/>
      <c r="I646" s="18">
        <v>0.0</v>
      </c>
      <c r="J646" s="18">
        <v>0.0</v>
      </c>
      <c r="K646" s="18"/>
      <c r="L646" s="18"/>
      <c r="M646" s="22" t="str">
        <f t="shared" si="1"/>
        <v/>
      </c>
      <c r="N646" s="18" t="str">
        <f>IF(A646="",,IF(ROW()=2, Input!$C$2 + I646, P645 + I646))</f>
        <v/>
      </c>
      <c r="O646" s="23" t="str">
        <f>IF(A646="",,
 IF(K646="Initial principal",
   Input!$C$2 * M646,
   N646 * M646
 )
)</f>
        <v/>
      </c>
      <c r="P646" s="18" t="str">
        <f t="shared" si="2"/>
        <v/>
      </c>
      <c r="Q646" s="18" t="str">
        <f t="shared" si="3"/>
        <v/>
      </c>
      <c r="R646" s="18" t="str">
        <f t="array" ref="R646">IF(
  B646="",
  ,
  SWITCH(
    Input!$C$4,
    "Actual/365 Fixed",
      YEARFRAC(
        B646 + IF(INDEX(Input!$K$7:$K1503,ROW()-1),0,1),
        C646 + IF(INDEX(Input!$L$7:$L1503,ROW()-1),1,0),
        3
      ),
    "Anniversary/365",
      DATEDIF(
        B646 + IF(INDEX(Input!$K$7:$K1503,ROW()-1),0,1),
        C646 + IF(INDEX(Input!$L$7:$L1503,ROW()-1),1,0),
        "Y"
      )
      +
      (
        (C646 + IF(INDEX(Input!$L$7:$L1503,ROW()-1),1,0))
        -
        EDATE(
          B646 + IF(INDEX(Input!$K$7:$K1503,ROW()-1),0,1),
          12*DATEDIF(
            B646 + IF(INDEX(Input!$K$7:$K1503,ROW()-1),0,1),
            C646 + IF(INDEX(Input!$L$7:$L1503,ROW()-1),1,0),
            "Y"
          )
        )
      ) / 365,
    "Actual/Actual",
      YEARFRAC(
        B646 + IF(INDEX(Input!$K$7:$K1503,ROW()-1),0,1),
        C646 + IF(INDEX(Input!$L$7:$L1503,ROW()-1),1,0),
        1
      ),
      YEARFRAC(
        B646 + IF(INDEX(Input!$K$7:$K1503,ROW()-1),0,1),
        C646 + IF(INDEX(Input!$L$7:$L1503,ROW()-1),1,0),
        3
      )
  )
)</f>
        <v/>
      </c>
      <c r="S646" s="22" t="str">
        <f t="shared" si="4"/>
        <v/>
      </c>
      <c r="T646" s="6" t="str">
        <f t="array" ref="T646">IF(
  B646="",
  ,
  DATEDIF(
    B646 + IF(INDEX(Input!$K$7:$K1503,ROW()-1),0,1),
    C646 + IF(INDEX(Input!$L$7:$L1503,ROW()-1),1,0),
    "Y"
  )
)</f>
        <v/>
      </c>
      <c r="U646" s="6" t="str">
        <f t="array" ref="U646">IF(
  B646="",
  ,
  (C646 + IF(INDEX(Input!$L$7:$L1503,ROW()-1),1,0))
  - EDATE(
      B646 + IF(INDEX(Input!$K$7:$K1503,ROW()-1),0,1),
      12*S646
    )
)</f>
        <v/>
      </c>
      <c r="V646" s="6" t="str">
        <f t="shared" si="5"/>
        <v/>
      </c>
      <c r="W646" s="6" t="str">
        <f t="shared" si="6"/>
        <v/>
      </c>
    </row>
    <row r="647">
      <c r="A647" s="18"/>
      <c r="B647" s="18"/>
      <c r="C647" s="18"/>
      <c r="D647" s="18"/>
      <c r="E647" s="18"/>
      <c r="F647" s="18"/>
      <c r="G647" s="22"/>
      <c r="H647" s="18"/>
      <c r="I647" s="18">
        <v>0.0</v>
      </c>
      <c r="J647" s="18">
        <v>0.0</v>
      </c>
      <c r="K647" s="18"/>
      <c r="L647" s="18"/>
      <c r="M647" s="22" t="str">
        <f t="shared" si="1"/>
        <v/>
      </c>
      <c r="N647" s="18" t="str">
        <f>IF(A647="",,IF(ROW()=2, Input!$C$2 + I647, P646 + I647))</f>
        <v/>
      </c>
      <c r="O647" s="23" t="str">
        <f>IF(A647="",,
 IF(K647="Initial principal",
   Input!$C$2 * M647,
   N647 * M647
 )
)</f>
        <v/>
      </c>
      <c r="P647" s="18" t="str">
        <f t="shared" si="2"/>
        <v/>
      </c>
      <c r="Q647" s="18" t="str">
        <f t="shared" si="3"/>
        <v/>
      </c>
      <c r="R647" s="18" t="str">
        <f t="array" ref="R647">IF(
  B647="",
  ,
  SWITCH(
    Input!$C$4,
    "Actual/365 Fixed",
      YEARFRAC(
        B647 + IF(INDEX(Input!$K$7:$K1503,ROW()-1),0,1),
        C647 + IF(INDEX(Input!$L$7:$L1503,ROW()-1),1,0),
        3
      ),
    "Anniversary/365",
      DATEDIF(
        B647 + IF(INDEX(Input!$K$7:$K1503,ROW()-1),0,1),
        C647 + IF(INDEX(Input!$L$7:$L1503,ROW()-1),1,0),
        "Y"
      )
      +
      (
        (C647 + IF(INDEX(Input!$L$7:$L1503,ROW()-1),1,0))
        -
        EDATE(
          B647 + IF(INDEX(Input!$K$7:$K1503,ROW()-1),0,1),
          12*DATEDIF(
            B647 + IF(INDEX(Input!$K$7:$K1503,ROW()-1),0,1),
            C647 + IF(INDEX(Input!$L$7:$L1503,ROW()-1),1,0),
            "Y"
          )
        )
      ) / 365,
    "Actual/Actual",
      YEARFRAC(
        B647 + IF(INDEX(Input!$K$7:$K1503,ROW()-1),0,1),
        C647 + IF(INDEX(Input!$L$7:$L1503,ROW()-1),1,0),
        1
      ),
      YEARFRAC(
        B647 + IF(INDEX(Input!$K$7:$K1503,ROW()-1),0,1),
        C647 + IF(INDEX(Input!$L$7:$L1503,ROW()-1),1,0),
        3
      )
  )
)</f>
        <v/>
      </c>
      <c r="S647" s="22" t="str">
        <f t="shared" si="4"/>
        <v/>
      </c>
      <c r="T647" s="6" t="str">
        <f t="array" ref="T647">IF(
  B647="",
  ,
  DATEDIF(
    B647 + IF(INDEX(Input!$K$7:$K1503,ROW()-1),0,1),
    C647 + IF(INDEX(Input!$L$7:$L1503,ROW()-1),1,0),
    "Y"
  )
)</f>
        <v/>
      </c>
      <c r="U647" s="6" t="str">
        <f t="array" ref="U647">IF(
  B647="",
  ,
  (C647 + IF(INDEX(Input!$L$7:$L1503,ROW()-1),1,0))
  - EDATE(
      B647 + IF(INDEX(Input!$K$7:$K1503,ROW()-1),0,1),
      12*S647
    )
)</f>
        <v/>
      </c>
      <c r="V647" s="6" t="str">
        <f t="shared" si="5"/>
        <v/>
      </c>
      <c r="W647" s="6" t="str">
        <f t="shared" si="6"/>
        <v/>
      </c>
    </row>
    <row r="648">
      <c r="A648" s="18"/>
      <c r="B648" s="18"/>
      <c r="C648" s="18"/>
      <c r="D648" s="18"/>
      <c r="E648" s="18"/>
      <c r="F648" s="18"/>
      <c r="G648" s="22"/>
      <c r="H648" s="18"/>
      <c r="I648" s="18">
        <v>0.0</v>
      </c>
      <c r="J648" s="18">
        <v>0.0</v>
      </c>
      <c r="K648" s="18"/>
      <c r="L648" s="18"/>
      <c r="M648" s="22" t="str">
        <f t="shared" si="1"/>
        <v/>
      </c>
      <c r="N648" s="18" t="str">
        <f>IF(A648="",,IF(ROW()=2, Input!$C$2 + I648, P647 + I648))</f>
        <v/>
      </c>
      <c r="O648" s="23" t="str">
        <f>IF(A648="",,
 IF(K648="Initial principal",
   Input!$C$2 * M648,
   N648 * M648
 )
)</f>
        <v/>
      </c>
      <c r="P648" s="18" t="str">
        <f t="shared" si="2"/>
        <v/>
      </c>
      <c r="Q648" s="18" t="str">
        <f t="shared" si="3"/>
        <v/>
      </c>
      <c r="R648" s="18" t="str">
        <f t="array" ref="R648">IF(
  B648="",
  ,
  SWITCH(
    Input!$C$4,
    "Actual/365 Fixed",
      YEARFRAC(
        B648 + IF(INDEX(Input!$K$7:$K1503,ROW()-1),0,1),
        C648 + IF(INDEX(Input!$L$7:$L1503,ROW()-1),1,0),
        3
      ),
    "Anniversary/365",
      DATEDIF(
        B648 + IF(INDEX(Input!$K$7:$K1503,ROW()-1),0,1),
        C648 + IF(INDEX(Input!$L$7:$L1503,ROW()-1),1,0),
        "Y"
      )
      +
      (
        (C648 + IF(INDEX(Input!$L$7:$L1503,ROW()-1),1,0))
        -
        EDATE(
          B648 + IF(INDEX(Input!$K$7:$K1503,ROW()-1),0,1),
          12*DATEDIF(
            B648 + IF(INDEX(Input!$K$7:$K1503,ROW()-1),0,1),
            C648 + IF(INDEX(Input!$L$7:$L1503,ROW()-1),1,0),
            "Y"
          )
        )
      ) / 365,
    "Actual/Actual",
      YEARFRAC(
        B648 + IF(INDEX(Input!$K$7:$K1503,ROW()-1),0,1),
        C648 + IF(INDEX(Input!$L$7:$L1503,ROW()-1),1,0),
        1
      ),
      YEARFRAC(
        B648 + IF(INDEX(Input!$K$7:$K1503,ROW()-1),0,1),
        C648 + IF(INDEX(Input!$L$7:$L1503,ROW()-1),1,0),
        3
      )
  )
)</f>
        <v/>
      </c>
      <c r="S648" s="22" t="str">
        <f t="shared" si="4"/>
        <v/>
      </c>
      <c r="T648" s="6" t="str">
        <f t="array" ref="T648">IF(
  B648="",
  ,
  DATEDIF(
    B648 + IF(INDEX(Input!$K$7:$K1503,ROW()-1),0,1),
    C648 + IF(INDEX(Input!$L$7:$L1503,ROW()-1),1,0),
    "Y"
  )
)</f>
        <v/>
      </c>
      <c r="U648" s="6" t="str">
        <f t="array" ref="U648">IF(
  B648="",
  ,
  (C648 + IF(INDEX(Input!$L$7:$L1503,ROW()-1),1,0))
  - EDATE(
      B648 + IF(INDEX(Input!$K$7:$K1503,ROW()-1),0,1),
      12*S648
    )
)</f>
        <v/>
      </c>
      <c r="V648" s="6" t="str">
        <f t="shared" si="5"/>
        <v/>
      </c>
      <c r="W648" s="6" t="str">
        <f t="shared" si="6"/>
        <v/>
      </c>
    </row>
    <row r="649">
      <c r="A649" s="18"/>
      <c r="B649" s="18"/>
      <c r="C649" s="18"/>
      <c r="D649" s="18"/>
      <c r="E649" s="18"/>
      <c r="F649" s="18"/>
      <c r="G649" s="22"/>
      <c r="H649" s="18"/>
      <c r="I649" s="18">
        <v>0.0</v>
      </c>
      <c r="J649" s="18">
        <v>0.0</v>
      </c>
      <c r="K649" s="18"/>
      <c r="L649" s="18"/>
      <c r="M649" s="22" t="str">
        <f t="shared" si="1"/>
        <v/>
      </c>
      <c r="N649" s="18" t="str">
        <f>IF(A649="",,IF(ROW()=2, Input!$C$2 + I649, P648 + I649))</f>
        <v/>
      </c>
      <c r="O649" s="23" t="str">
        <f>IF(A649="",,
 IF(K649="Initial principal",
   Input!$C$2 * M649,
   N649 * M649
 )
)</f>
        <v/>
      </c>
      <c r="P649" s="18" t="str">
        <f t="shared" si="2"/>
        <v/>
      </c>
      <c r="Q649" s="18" t="str">
        <f t="shared" si="3"/>
        <v/>
      </c>
      <c r="R649" s="18" t="str">
        <f t="array" ref="R649">IF(
  B649="",
  ,
  SWITCH(
    Input!$C$4,
    "Actual/365 Fixed",
      YEARFRAC(
        B649 + IF(INDEX(Input!$K$7:$K1503,ROW()-1),0,1),
        C649 + IF(INDEX(Input!$L$7:$L1503,ROW()-1),1,0),
        3
      ),
    "Anniversary/365",
      DATEDIF(
        B649 + IF(INDEX(Input!$K$7:$K1503,ROW()-1),0,1),
        C649 + IF(INDEX(Input!$L$7:$L1503,ROW()-1),1,0),
        "Y"
      )
      +
      (
        (C649 + IF(INDEX(Input!$L$7:$L1503,ROW()-1),1,0))
        -
        EDATE(
          B649 + IF(INDEX(Input!$K$7:$K1503,ROW()-1),0,1),
          12*DATEDIF(
            B649 + IF(INDEX(Input!$K$7:$K1503,ROW()-1),0,1),
            C649 + IF(INDEX(Input!$L$7:$L1503,ROW()-1),1,0),
            "Y"
          )
        )
      ) / 365,
    "Actual/Actual",
      YEARFRAC(
        B649 + IF(INDEX(Input!$K$7:$K1503,ROW()-1),0,1),
        C649 + IF(INDEX(Input!$L$7:$L1503,ROW()-1),1,0),
        1
      ),
      YEARFRAC(
        B649 + IF(INDEX(Input!$K$7:$K1503,ROW()-1),0,1),
        C649 + IF(INDEX(Input!$L$7:$L1503,ROW()-1),1,0),
        3
      )
  )
)</f>
        <v/>
      </c>
      <c r="S649" s="22" t="str">
        <f t="shared" si="4"/>
        <v/>
      </c>
      <c r="T649" s="6" t="str">
        <f t="array" ref="T649">IF(
  B649="",
  ,
  DATEDIF(
    B649 + IF(INDEX(Input!$K$7:$K1503,ROW()-1),0,1),
    C649 + IF(INDEX(Input!$L$7:$L1503,ROW()-1),1,0),
    "Y"
  )
)</f>
        <v/>
      </c>
      <c r="U649" s="6" t="str">
        <f t="array" ref="U649">IF(
  B649="",
  ,
  (C649 + IF(INDEX(Input!$L$7:$L1503,ROW()-1),1,0))
  - EDATE(
      B649 + IF(INDEX(Input!$K$7:$K1503,ROW()-1),0,1),
      12*S649
    )
)</f>
        <v/>
      </c>
      <c r="V649" s="6" t="str">
        <f t="shared" si="5"/>
        <v/>
      </c>
      <c r="W649" s="6" t="str">
        <f t="shared" si="6"/>
        <v/>
      </c>
    </row>
    <row r="650">
      <c r="A650" s="18"/>
      <c r="B650" s="18"/>
      <c r="C650" s="18"/>
      <c r="D650" s="18"/>
      <c r="E650" s="18"/>
      <c r="F650" s="18"/>
      <c r="G650" s="22"/>
      <c r="H650" s="18"/>
      <c r="I650" s="18">
        <v>0.0</v>
      </c>
      <c r="J650" s="18">
        <v>0.0</v>
      </c>
      <c r="K650" s="18"/>
      <c r="L650" s="18"/>
      <c r="M650" s="22" t="str">
        <f t="shared" si="1"/>
        <v/>
      </c>
      <c r="N650" s="18" t="str">
        <f>IF(A650="",,IF(ROW()=2, Input!$C$2 + I650, P649 + I650))</f>
        <v/>
      </c>
      <c r="O650" s="23" t="str">
        <f>IF(A650="",,
 IF(K650="Initial principal",
   Input!$C$2 * M650,
   N650 * M650
 )
)</f>
        <v/>
      </c>
      <c r="P650" s="18" t="str">
        <f t="shared" si="2"/>
        <v/>
      </c>
      <c r="Q650" s="18" t="str">
        <f t="shared" si="3"/>
        <v/>
      </c>
      <c r="R650" s="18" t="str">
        <f t="array" ref="R650">IF(
  B650="",
  ,
  SWITCH(
    Input!$C$4,
    "Actual/365 Fixed",
      YEARFRAC(
        B650 + IF(INDEX(Input!$K$7:$K1503,ROW()-1),0,1),
        C650 + IF(INDEX(Input!$L$7:$L1503,ROW()-1),1,0),
        3
      ),
    "Anniversary/365",
      DATEDIF(
        B650 + IF(INDEX(Input!$K$7:$K1503,ROW()-1),0,1),
        C650 + IF(INDEX(Input!$L$7:$L1503,ROW()-1),1,0),
        "Y"
      )
      +
      (
        (C650 + IF(INDEX(Input!$L$7:$L1503,ROW()-1),1,0))
        -
        EDATE(
          B650 + IF(INDEX(Input!$K$7:$K1503,ROW()-1),0,1),
          12*DATEDIF(
            B650 + IF(INDEX(Input!$K$7:$K1503,ROW()-1),0,1),
            C650 + IF(INDEX(Input!$L$7:$L1503,ROW()-1),1,0),
            "Y"
          )
        )
      ) / 365,
    "Actual/Actual",
      YEARFRAC(
        B650 + IF(INDEX(Input!$K$7:$K1503,ROW()-1),0,1),
        C650 + IF(INDEX(Input!$L$7:$L1503,ROW()-1),1,0),
        1
      ),
      YEARFRAC(
        B650 + IF(INDEX(Input!$K$7:$K1503,ROW()-1),0,1),
        C650 + IF(INDEX(Input!$L$7:$L1503,ROW()-1),1,0),
        3
      )
  )
)</f>
        <v/>
      </c>
      <c r="S650" s="22" t="str">
        <f t="shared" si="4"/>
        <v/>
      </c>
      <c r="T650" s="6" t="str">
        <f t="array" ref="T650">IF(
  B650="",
  ,
  DATEDIF(
    B650 + IF(INDEX(Input!$K$7:$K1503,ROW()-1),0,1),
    C650 + IF(INDEX(Input!$L$7:$L1503,ROW()-1),1,0),
    "Y"
  )
)</f>
        <v/>
      </c>
      <c r="U650" s="6" t="str">
        <f t="array" ref="U650">IF(
  B650="",
  ,
  (C650 + IF(INDEX(Input!$L$7:$L1503,ROW()-1),1,0))
  - EDATE(
      B650 + IF(INDEX(Input!$K$7:$K1503,ROW()-1),0,1),
      12*S650
    )
)</f>
        <v/>
      </c>
      <c r="V650" s="6" t="str">
        <f t="shared" si="5"/>
        <v/>
      </c>
      <c r="W650" s="6" t="str">
        <f t="shared" si="6"/>
        <v/>
      </c>
    </row>
    <row r="651">
      <c r="A651" s="18"/>
      <c r="B651" s="18"/>
      <c r="C651" s="18"/>
      <c r="D651" s="18"/>
      <c r="E651" s="18"/>
      <c r="F651" s="18"/>
      <c r="G651" s="22"/>
      <c r="H651" s="18"/>
      <c r="I651" s="18">
        <v>0.0</v>
      </c>
      <c r="J651" s="18">
        <v>0.0</v>
      </c>
      <c r="K651" s="18"/>
      <c r="L651" s="18"/>
      <c r="M651" s="22" t="str">
        <f t="shared" si="1"/>
        <v/>
      </c>
      <c r="N651" s="18" t="str">
        <f>IF(A651="",,IF(ROW()=2, Input!$C$2 + I651, P650 + I651))</f>
        <v/>
      </c>
      <c r="O651" s="23" t="str">
        <f>IF(A651="",,
 IF(K651="Initial principal",
   Input!$C$2 * M651,
   N651 * M651
 )
)</f>
        <v/>
      </c>
      <c r="P651" s="18" t="str">
        <f t="shared" si="2"/>
        <v/>
      </c>
      <c r="Q651" s="18" t="str">
        <f t="shared" si="3"/>
        <v/>
      </c>
      <c r="R651" s="18" t="str">
        <f t="array" ref="R651">IF(
  B651="",
  ,
  SWITCH(
    Input!$C$4,
    "Actual/365 Fixed",
      YEARFRAC(
        B651 + IF(INDEX(Input!$K$7:$K1503,ROW()-1),0,1),
        C651 + IF(INDEX(Input!$L$7:$L1503,ROW()-1),1,0),
        3
      ),
    "Anniversary/365",
      DATEDIF(
        B651 + IF(INDEX(Input!$K$7:$K1503,ROW()-1),0,1),
        C651 + IF(INDEX(Input!$L$7:$L1503,ROW()-1),1,0),
        "Y"
      )
      +
      (
        (C651 + IF(INDEX(Input!$L$7:$L1503,ROW()-1),1,0))
        -
        EDATE(
          B651 + IF(INDEX(Input!$K$7:$K1503,ROW()-1),0,1),
          12*DATEDIF(
            B651 + IF(INDEX(Input!$K$7:$K1503,ROW()-1),0,1),
            C651 + IF(INDEX(Input!$L$7:$L1503,ROW()-1),1,0),
            "Y"
          )
        )
      ) / 365,
    "Actual/Actual",
      YEARFRAC(
        B651 + IF(INDEX(Input!$K$7:$K1503,ROW()-1),0,1),
        C651 + IF(INDEX(Input!$L$7:$L1503,ROW()-1),1,0),
        1
      ),
      YEARFRAC(
        B651 + IF(INDEX(Input!$K$7:$K1503,ROW()-1),0,1),
        C651 + IF(INDEX(Input!$L$7:$L1503,ROW()-1),1,0),
        3
      )
  )
)</f>
        <v/>
      </c>
      <c r="S651" s="22" t="str">
        <f t="shared" si="4"/>
        <v/>
      </c>
      <c r="T651" s="6" t="str">
        <f t="array" ref="T651">IF(
  B651="",
  ,
  DATEDIF(
    B651 + IF(INDEX(Input!$K$7:$K1503,ROW()-1),0,1),
    C651 + IF(INDEX(Input!$L$7:$L1503,ROW()-1),1,0),
    "Y"
  )
)</f>
        <v/>
      </c>
      <c r="U651" s="6" t="str">
        <f t="array" ref="U651">IF(
  B651="",
  ,
  (C651 + IF(INDEX(Input!$L$7:$L1503,ROW()-1),1,0))
  - EDATE(
      B651 + IF(INDEX(Input!$K$7:$K1503,ROW()-1),0,1),
      12*S651
    )
)</f>
        <v/>
      </c>
      <c r="V651" s="6" t="str">
        <f t="shared" si="5"/>
        <v/>
      </c>
      <c r="W651" s="6" t="str">
        <f t="shared" si="6"/>
        <v/>
      </c>
    </row>
    <row r="652">
      <c r="A652" s="18"/>
      <c r="B652" s="18"/>
      <c r="C652" s="18"/>
      <c r="D652" s="18"/>
      <c r="E652" s="18"/>
      <c r="F652" s="18"/>
      <c r="G652" s="22"/>
      <c r="H652" s="18"/>
      <c r="I652" s="18">
        <v>0.0</v>
      </c>
      <c r="J652" s="18">
        <v>0.0</v>
      </c>
      <c r="K652" s="18"/>
      <c r="L652" s="18"/>
      <c r="M652" s="22" t="str">
        <f t="shared" si="1"/>
        <v/>
      </c>
      <c r="N652" s="18" t="str">
        <f>IF(A652="",,IF(ROW()=2, Input!$C$2 + I652, P651 + I652))</f>
        <v/>
      </c>
      <c r="O652" s="23" t="str">
        <f>IF(A652="",,
 IF(K652="Initial principal",
   Input!$C$2 * M652,
   N652 * M652
 )
)</f>
        <v/>
      </c>
      <c r="P652" s="18" t="str">
        <f t="shared" si="2"/>
        <v/>
      </c>
      <c r="Q652" s="18" t="str">
        <f t="shared" si="3"/>
        <v/>
      </c>
      <c r="R652" s="18" t="str">
        <f t="array" ref="R652">IF(
  B652="",
  ,
  SWITCH(
    Input!$C$4,
    "Actual/365 Fixed",
      YEARFRAC(
        B652 + IF(INDEX(Input!$K$7:$K1503,ROW()-1),0,1),
        C652 + IF(INDEX(Input!$L$7:$L1503,ROW()-1),1,0),
        3
      ),
    "Anniversary/365",
      DATEDIF(
        B652 + IF(INDEX(Input!$K$7:$K1503,ROW()-1),0,1),
        C652 + IF(INDEX(Input!$L$7:$L1503,ROW()-1),1,0),
        "Y"
      )
      +
      (
        (C652 + IF(INDEX(Input!$L$7:$L1503,ROW()-1),1,0))
        -
        EDATE(
          B652 + IF(INDEX(Input!$K$7:$K1503,ROW()-1),0,1),
          12*DATEDIF(
            B652 + IF(INDEX(Input!$K$7:$K1503,ROW()-1),0,1),
            C652 + IF(INDEX(Input!$L$7:$L1503,ROW()-1),1,0),
            "Y"
          )
        )
      ) / 365,
    "Actual/Actual",
      YEARFRAC(
        B652 + IF(INDEX(Input!$K$7:$K1503,ROW()-1),0,1),
        C652 + IF(INDEX(Input!$L$7:$L1503,ROW()-1),1,0),
        1
      ),
      YEARFRAC(
        B652 + IF(INDEX(Input!$K$7:$K1503,ROW()-1),0,1),
        C652 + IF(INDEX(Input!$L$7:$L1503,ROW()-1),1,0),
        3
      )
  )
)</f>
        <v/>
      </c>
      <c r="S652" s="22" t="str">
        <f t="shared" si="4"/>
        <v/>
      </c>
      <c r="T652" s="6" t="str">
        <f t="array" ref="T652">IF(
  B652="",
  ,
  DATEDIF(
    B652 + IF(INDEX(Input!$K$7:$K1503,ROW()-1),0,1),
    C652 + IF(INDEX(Input!$L$7:$L1503,ROW()-1),1,0),
    "Y"
  )
)</f>
        <v/>
      </c>
      <c r="U652" s="6" t="str">
        <f t="array" ref="U652">IF(
  B652="",
  ,
  (C652 + IF(INDEX(Input!$L$7:$L1503,ROW()-1),1,0))
  - EDATE(
      B652 + IF(INDEX(Input!$K$7:$K1503,ROW()-1),0,1),
      12*S652
    )
)</f>
        <v/>
      </c>
      <c r="V652" s="6" t="str">
        <f t="shared" si="5"/>
        <v/>
      </c>
      <c r="W652" s="6" t="str">
        <f t="shared" si="6"/>
        <v/>
      </c>
    </row>
    <row r="653">
      <c r="A653" s="18"/>
      <c r="B653" s="18"/>
      <c r="C653" s="18"/>
      <c r="D653" s="18"/>
      <c r="E653" s="18"/>
      <c r="F653" s="18"/>
      <c r="G653" s="22"/>
      <c r="H653" s="18"/>
      <c r="I653" s="18">
        <v>0.0</v>
      </c>
      <c r="J653" s="18">
        <v>0.0</v>
      </c>
      <c r="K653" s="18"/>
      <c r="L653" s="18"/>
      <c r="M653" s="22" t="str">
        <f t="shared" si="1"/>
        <v/>
      </c>
      <c r="N653" s="18" t="str">
        <f>IF(A653="",,IF(ROW()=2, Input!$C$2 + I653, P652 + I653))</f>
        <v/>
      </c>
      <c r="O653" s="23" t="str">
        <f>IF(A653="",,
 IF(K653="Initial principal",
   Input!$C$2 * M653,
   N653 * M653
 )
)</f>
        <v/>
      </c>
      <c r="P653" s="18" t="str">
        <f t="shared" si="2"/>
        <v/>
      </c>
      <c r="Q653" s="18" t="str">
        <f t="shared" si="3"/>
        <v/>
      </c>
      <c r="R653" s="18" t="str">
        <f t="array" ref="R653">IF(
  B653="",
  ,
  SWITCH(
    Input!$C$4,
    "Actual/365 Fixed",
      YEARFRAC(
        B653 + IF(INDEX(Input!$K$7:$K1503,ROW()-1),0,1),
        C653 + IF(INDEX(Input!$L$7:$L1503,ROW()-1),1,0),
        3
      ),
    "Anniversary/365",
      DATEDIF(
        B653 + IF(INDEX(Input!$K$7:$K1503,ROW()-1),0,1),
        C653 + IF(INDEX(Input!$L$7:$L1503,ROW()-1),1,0),
        "Y"
      )
      +
      (
        (C653 + IF(INDEX(Input!$L$7:$L1503,ROW()-1),1,0))
        -
        EDATE(
          B653 + IF(INDEX(Input!$K$7:$K1503,ROW()-1),0,1),
          12*DATEDIF(
            B653 + IF(INDEX(Input!$K$7:$K1503,ROW()-1),0,1),
            C653 + IF(INDEX(Input!$L$7:$L1503,ROW()-1),1,0),
            "Y"
          )
        )
      ) / 365,
    "Actual/Actual",
      YEARFRAC(
        B653 + IF(INDEX(Input!$K$7:$K1503,ROW()-1),0,1),
        C653 + IF(INDEX(Input!$L$7:$L1503,ROW()-1),1,0),
        1
      ),
      YEARFRAC(
        B653 + IF(INDEX(Input!$K$7:$K1503,ROW()-1),0,1),
        C653 + IF(INDEX(Input!$L$7:$L1503,ROW()-1),1,0),
        3
      )
  )
)</f>
        <v/>
      </c>
      <c r="S653" s="22" t="str">
        <f t="shared" si="4"/>
        <v/>
      </c>
      <c r="T653" s="6" t="str">
        <f t="array" ref="T653">IF(
  B653="",
  ,
  DATEDIF(
    B653 + IF(INDEX(Input!$K$7:$K1503,ROW()-1),0,1),
    C653 + IF(INDEX(Input!$L$7:$L1503,ROW()-1),1,0),
    "Y"
  )
)</f>
        <v/>
      </c>
      <c r="U653" s="6" t="str">
        <f t="array" ref="U653">IF(
  B653="",
  ,
  (C653 + IF(INDEX(Input!$L$7:$L1503,ROW()-1),1,0))
  - EDATE(
      B653 + IF(INDEX(Input!$K$7:$K1503,ROW()-1),0,1),
      12*S653
    )
)</f>
        <v/>
      </c>
      <c r="V653" s="6" t="str">
        <f t="shared" si="5"/>
        <v/>
      </c>
      <c r="W653" s="6" t="str">
        <f t="shared" si="6"/>
        <v/>
      </c>
    </row>
    <row r="654">
      <c r="A654" s="18"/>
      <c r="B654" s="18"/>
      <c r="C654" s="18"/>
      <c r="D654" s="18"/>
      <c r="E654" s="18"/>
      <c r="F654" s="18"/>
      <c r="G654" s="22"/>
      <c r="H654" s="18"/>
      <c r="I654" s="18">
        <v>0.0</v>
      </c>
      <c r="J654" s="18">
        <v>0.0</v>
      </c>
      <c r="K654" s="18"/>
      <c r="L654" s="18"/>
      <c r="M654" s="22" t="str">
        <f t="shared" si="1"/>
        <v/>
      </c>
      <c r="N654" s="18" t="str">
        <f>IF(A654="",,IF(ROW()=2, Input!$C$2 + I654, P653 + I654))</f>
        <v/>
      </c>
      <c r="O654" s="23" t="str">
        <f>IF(A654="",,
 IF(K654="Initial principal",
   Input!$C$2 * M654,
   N654 * M654
 )
)</f>
        <v/>
      </c>
      <c r="P654" s="18" t="str">
        <f t="shared" si="2"/>
        <v/>
      </c>
      <c r="Q654" s="18" t="str">
        <f t="shared" si="3"/>
        <v/>
      </c>
      <c r="R654" s="18" t="str">
        <f t="array" ref="R654">IF(
  B654="",
  ,
  SWITCH(
    Input!$C$4,
    "Actual/365 Fixed",
      YEARFRAC(
        B654 + IF(INDEX(Input!$K$7:$K1503,ROW()-1),0,1),
        C654 + IF(INDEX(Input!$L$7:$L1503,ROW()-1),1,0),
        3
      ),
    "Anniversary/365",
      DATEDIF(
        B654 + IF(INDEX(Input!$K$7:$K1503,ROW()-1),0,1),
        C654 + IF(INDEX(Input!$L$7:$L1503,ROW()-1),1,0),
        "Y"
      )
      +
      (
        (C654 + IF(INDEX(Input!$L$7:$L1503,ROW()-1),1,0))
        -
        EDATE(
          B654 + IF(INDEX(Input!$K$7:$K1503,ROW()-1),0,1),
          12*DATEDIF(
            B654 + IF(INDEX(Input!$K$7:$K1503,ROW()-1),0,1),
            C654 + IF(INDEX(Input!$L$7:$L1503,ROW()-1),1,0),
            "Y"
          )
        )
      ) / 365,
    "Actual/Actual",
      YEARFRAC(
        B654 + IF(INDEX(Input!$K$7:$K1503,ROW()-1),0,1),
        C654 + IF(INDEX(Input!$L$7:$L1503,ROW()-1),1,0),
        1
      ),
      YEARFRAC(
        B654 + IF(INDEX(Input!$K$7:$K1503,ROW()-1),0,1),
        C654 + IF(INDEX(Input!$L$7:$L1503,ROW()-1),1,0),
        3
      )
  )
)</f>
        <v/>
      </c>
      <c r="S654" s="22" t="str">
        <f t="shared" si="4"/>
        <v/>
      </c>
      <c r="T654" s="6" t="str">
        <f t="array" ref="T654">IF(
  B654="",
  ,
  DATEDIF(
    B654 + IF(INDEX(Input!$K$7:$K1503,ROW()-1),0,1),
    C654 + IF(INDEX(Input!$L$7:$L1503,ROW()-1),1,0),
    "Y"
  )
)</f>
        <v/>
      </c>
      <c r="U654" s="6" t="str">
        <f t="array" ref="U654">IF(
  B654="",
  ,
  (C654 + IF(INDEX(Input!$L$7:$L1503,ROW()-1),1,0))
  - EDATE(
      B654 + IF(INDEX(Input!$K$7:$K1503,ROW()-1),0,1),
      12*S654
    )
)</f>
        <v/>
      </c>
      <c r="V654" s="6" t="str">
        <f t="shared" si="5"/>
        <v/>
      </c>
      <c r="W654" s="6" t="str">
        <f t="shared" si="6"/>
        <v/>
      </c>
    </row>
    <row r="655">
      <c r="A655" s="18"/>
      <c r="B655" s="18"/>
      <c r="C655" s="18"/>
      <c r="D655" s="18"/>
      <c r="E655" s="18"/>
      <c r="F655" s="18"/>
      <c r="G655" s="22"/>
      <c r="H655" s="18"/>
      <c r="I655" s="18">
        <v>0.0</v>
      </c>
      <c r="J655" s="18">
        <v>0.0</v>
      </c>
      <c r="K655" s="18"/>
      <c r="L655" s="18"/>
      <c r="M655" s="22" t="str">
        <f t="shared" si="1"/>
        <v/>
      </c>
      <c r="N655" s="18" t="str">
        <f>IF(A655="",,IF(ROW()=2, Input!$C$2 + I655, P654 + I655))</f>
        <v/>
      </c>
      <c r="O655" s="23" t="str">
        <f>IF(A655="",,
 IF(K655="Initial principal",
   Input!$C$2 * M655,
   N655 * M655
 )
)</f>
        <v/>
      </c>
      <c r="P655" s="18" t="str">
        <f t="shared" si="2"/>
        <v/>
      </c>
      <c r="Q655" s="18" t="str">
        <f t="shared" si="3"/>
        <v/>
      </c>
      <c r="R655" s="18" t="str">
        <f t="array" ref="R655">IF(
  B655="",
  ,
  SWITCH(
    Input!$C$4,
    "Actual/365 Fixed",
      YEARFRAC(
        B655 + IF(INDEX(Input!$K$7:$K1503,ROW()-1),0,1),
        C655 + IF(INDEX(Input!$L$7:$L1503,ROW()-1),1,0),
        3
      ),
    "Anniversary/365",
      DATEDIF(
        B655 + IF(INDEX(Input!$K$7:$K1503,ROW()-1),0,1),
        C655 + IF(INDEX(Input!$L$7:$L1503,ROW()-1),1,0),
        "Y"
      )
      +
      (
        (C655 + IF(INDEX(Input!$L$7:$L1503,ROW()-1),1,0))
        -
        EDATE(
          B655 + IF(INDEX(Input!$K$7:$K1503,ROW()-1),0,1),
          12*DATEDIF(
            B655 + IF(INDEX(Input!$K$7:$K1503,ROW()-1),0,1),
            C655 + IF(INDEX(Input!$L$7:$L1503,ROW()-1),1,0),
            "Y"
          )
        )
      ) / 365,
    "Actual/Actual",
      YEARFRAC(
        B655 + IF(INDEX(Input!$K$7:$K1503,ROW()-1),0,1),
        C655 + IF(INDEX(Input!$L$7:$L1503,ROW()-1),1,0),
        1
      ),
      YEARFRAC(
        B655 + IF(INDEX(Input!$K$7:$K1503,ROW()-1),0,1),
        C655 + IF(INDEX(Input!$L$7:$L1503,ROW()-1),1,0),
        3
      )
  )
)</f>
        <v/>
      </c>
      <c r="S655" s="22" t="str">
        <f t="shared" si="4"/>
        <v/>
      </c>
      <c r="T655" s="6" t="str">
        <f t="array" ref="T655">IF(
  B655="",
  ,
  DATEDIF(
    B655 + IF(INDEX(Input!$K$7:$K1503,ROW()-1),0,1),
    C655 + IF(INDEX(Input!$L$7:$L1503,ROW()-1),1,0),
    "Y"
  )
)</f>
        <v/>
      </c>
      <c r="U655" s="6" t="str">
        <f t="array" ref="U655">IF(
  B655="",
  ,
  (C655 + IF(INDEX(Input!$L$7:$L1503,ROW()-1),1,0))
  - EDATE(
      B655 + IF(INDEX(Input!$K$7:$K1503,ROW()-1),0,1),
      12*S655
    )
)</f>
        <v/>
      </c>
      <c r="V655" s="6" t="str">
        <f t="shared" si="5"/>
        <v/>
      </c>
      <c r="W655" s="6" t="str">
        <f t="shared" si="6"/>
        <v/>
      </c>
    </row>
    <row r="656">
      <c r="A656" s="18"/>
      <c r="B656" s="18"/>
      <c r="C656" s="18"/>
      <c r="D656" s="18"/>
      <c r="E656" s="18"/>
      <c r="F656" s="18"/>
      <c r="G656" s="22"/>
      <c r="H656" s="18"/>
      <c r="I656" s="18">
        <v>0.0</v>
      </c>
      <c r="J656" s="18">
        <v>0.0</v>
      </c>
      <c r="K656" s="18"/>
      <c r="L656" s="18"/>
      <c r="M656" s="22" t="str">
        <f t="shared" si="1"/>
        <v/>
      </c>
      <c r="N656" s="18" t="str">
        <f>IF(A656="",,IF(ROW()=2, Input!$C$2 + I656, P655 + I656))</f>
        <v/>
      </c>
      <c r="O656" s="23" t="str">
        <f>IF(A656="",,
 IF(K656="Initial principal",
   Input!$C$2 * M656,
   N656 * M656
 )
)</f>
        <v/>
      </c>
      <c r="P656" s="18" t="str">
        <f t="shared" si="2"/>
        <v/>
      </c>
      <c r="Q656" s="18" t="str">
        <f t="shared" si="3"/>
        <v/>
      </c>
      <c r="R656" s="18" t="str">
        <f t="array" ref="R656">IF(
  B656="",
  ,
  SWITCH(
    Input!$C$4,
    "Actual/365 Fixed",
      YEARFRAC(
        B656 + IF(INDEX(Input!$K$7:$K1503,ROW()-1),0,1),
        C656 + IF(INDEX(Input!$L$7:$L1503,ROW()-1),1,0),
        3
      ),
    "Anniversary/365",
      DATEDIF(
        B656 + IF(INDEX(Input!$K$7:$K1503,ROW()-1),0,1),
        C656 + IF(INDEX(Input!$L$7:$L1503,ROW()-1),1,0),
        "Y"
      )
      +
      (
        (C656 + IF(INDEX(Input!$L$7:$L1503,ROW()-1),1,0))
        -
        EDATE(
          B656 + IF(INDEX(Input!$K$7:$K1503,ROW()-1),0,1),
          12*DATEDIF(
            B656 + IF(INDEX(Input!$K$7:$K1503,ROW()-1),0,1),
            C656 + IF(INDEX(Input!$L$7:$L1503,ROW()-1),1,0),
            "Y"
          )
        )
      ) / 365,
    "Actual/Actual",
      YEARFRAC(
        B656 + IF(INDEX(Input!$K$7:$K1503,ROW()-1),0,1),
        C656 + IF(INDEX(Input!$L$7:$L1503,ROW()-1),1,0),
        1
      ),
      YEARFRAC(
        B656 + IF(INDEX(Input!$K$7:$K1503,ROW()-1),0,1),
        C656 + IF(INDEX(Input!$L$7:$L1503,ROW()-1),1,0),
        3
      )
  )
)</f>
        <v/>
      </c>
      <c r="S656" s="22" t="str">
        <f t="shared" si="4"/>
        <v/>
      </c>
      <c r="T656" s="6" t="str">
        <f t="array" ref="T656">IF(
  B656="",
  ,
  DATEDIF(
    B656 + IF(INDEX(Input!$K$7:$K1503,ROW()-1),0,1),
    C656 + IF(INDEX(Input!$L$7:$L1503,ROW()-1),1,0),
    "Y"
  )
)</f>
        <v/>
      </c>
      <c r="U656" s="6" t="str">
        <f t="array" ref="U656">IF(
  B656="",
  ,
  (C656 + IF(INDEX(Input!$L$7:$L1503,ROW()-1),1,0))
  - EDATE(
      B656 + IF(INDEX(Input!$K$7:$K1503,ROW()-1),0,1),
      12*S656
    )
)</f>
        <v/>
      </c>
      <c r="V656" s="6" t="str">
        <f t="shared" si="5"/>
        <v/>
      </c>
      <c r="W656" s="6" t="str">
        <f t="shared" si="6"/>
        <v/>
      </c>
    </row>
    <row r="657">
      <c r="A657" s="18"/>
      <c r="B657" s="18"/>
      <c r="C657" s="18"/>
      <c r="D657" s="18"/>
      <c r="E657" s="18"/>
      <c r="F657" s="18"/>
      <c r="G657" s="22"/>
      <c r="H657" s="18"/>
      <c r="I657" s="18">
        <v>0.0</v>
      </c>
      <c r="J657" s="18">
        <v>0.0</v>
      </c>
      <c r="K657" s="18"/>
      <c r="L657" s="18"/>
      <c r="M657" s="22" t="str">
        <f t="shared" si="1"/>
        <v/>
      </c>
      <c r="N657" s="18" t="str">
        <f>IF(A657="",,IF(ROW()=2, Input!$C$2 + I657, P656 + I657))</f>
        <v/>
      </c>
      <c r="O657" s="23" t="str">
        <f>IF(A657="",,
 IF(K657="Initial principal",
   Input!$C$2 * M657,
   N657 * M657
 )
)</f>
        <v/>
      </c>
      <c r="P657" s="18" t="str">
        <f t="shared" si="2"/>
        <v/>
      </c>
      <c r="Q657" s="18" t="str">
        <f t="shared" si="3"/>
        <v/>
      </c>
      <c r="R657" s="18" t="str">
        <f t="array" ref="R657">IF(
  B657="",
  ,
  SWITCH(
    Input!$C$4,
    "Actual/365 Fixed",
      YEARFRAC(
        B657 + IF(INDEX(Input!$K$7:$K1503,ROW()-1),0,1),
        C657 + IF(INDEX(Input!$L$7:$L1503,ROW()-1),1,0),
        3
      ),
    "Anniversary/365",
      DATEDIF(
        B657 + IF(INDEX(Input!$K$7:$K1503,ROW()-1),0,1),
        C657 + IF(INDEX(Input!$L$7:$L1503,ROW()-1),1,0),
        "Y"
      )
      +
      (
        (C657 + IF(INDEX(Input!$L$7:$L1503,ROW()-1),1,0))
        -
        EDATE(
          B657 + IF(INDEX(Input!$K$7:$K1503,ROW()-1),0,1),
          12*DATEDIF(
            B657 + IF(INDEX(Input!$K$7:$K1503,ROW()-1),0,1),
            C657 + IF(INDEX(Input!$L$7:$L1503,ROW()-1),1,0),
            "Y"
          )
        )
      ) / 365,
    "Actual/Actual",
      YEARFRAC(
        B657 + IF(INDEX(Input!$K$7:$K1503,ROW()-1),0,1),
        C657 + IF(INDEX(Input!$L$7:$L1503,ROW()-1),1,0),
        1
      ),
      YEARFRAC(
        B657 + IF(INDEX(Input!$K$7:$K1503,ROW()-1),0,1),
        C657 + IF(INDEX(Input!$L$7:$L1503,ROW()-1),1,0),
        3
      )
  )
)</f>
        <v/>
      </c>
      <c r="S657" s="22" t="str">
        <f t="shared" si="4"/>
        <v/>
      </c>
      <c r="T657" s="6" t="str">
        <f t="array" ref="T657">IF(
  B657="",
  ,
  DATEDIF(
    B657 + IF(INDEX(Input!$K$7:$K1503,ROW()-1),0,1),
    C657 + IF(INDEX(Input!$L$7:$L1503,ROW()-1),1,0),
    "Y"
  )
)</f>
        <v/>
      </c>
      <c r="U657" s="6" t="str">
        <f t="array" ref="U657">IF(
  B657="",
  ,
  (C657 + IF(INDEX(Input!$L$7:$L1503,ROW()-1),1,0))
  - EDATE(
      B657 + IF(INDEX(Input!$K$7:$K1503,ROW()-1),0,1),
      12*S657
    )
)</f>
        <v/>
      </c>
      <c r="V657" s="6" t="str">
        <f t="shared" si="5"/>
        <v/>
      </c>
      <c r="W657" s="6" t="str">
        <f t="shared" si="6"/>
        <v/>
      </c>
    </row>
    <row r="658">
      <c r="A658" s="18"/>
      <c r="B658" s="18"/>
      <c r="C658" s="18"/>
      <c r="D658" s="18"/>
      <c r="E658" s="18"/>
      <c r="F658" s="18"/>
      <c r="G658" s="22"/>
      <c r="H658" s="18"/>
      <c r="I658" s="18">
        <v>0.0</v>
      </c>
      <c r="J658" s="18">
        <v>0.0</v>
      </c>
      <c r="K658" s="18"/>
      <c r="L658" s="18"/>
      <c r="M658" s="22" t="str">
        <f t="shared" si="1"/>
        <v/>
      </c>
      <c r="N658" s="18" t="str">
        <f>IF(A658="",,IF(ROW()=2, Input!$C$2 + I658, P657 + I658))</f>
        <v/>
      </c>
      <c r="O658" s="23" t="str">
        <f>IF(A658="",,
 IF(K658="Initial principal",
   Input!$C$2 * M658,
   N658 * M658
 )
)</f>
        <v/>
      </c>
      <c r="P658" s="18" t="str">
        <f t="shared" si="2"/>
        <v/>
      </c>
      <c r="Q658" s="18" t="str">
        <f t="shared" si="3"/>
        <v/>
      </c>
      <c r="R658" s="18" t="str">
        <f t="array" ref="R658">IF(
  B658="",
  ,
  SWITCH(
    Input!$C$4,
    "Actual/365 Fixed",
      YEARFRAC(
        B658 + IF(INDEX(Input!$K$7:$K1503,ROW()-1),0,1),
        C658 + IF(INDEX(Input!$L$7:$L1503,ROW()-1),1,0),
        3
      ),
    "Anniversary/365",
      DATEDIF(
        B658 + IF(INDEX(Input!$K$7:$K1503,ROW()-1),0,1),
        C658 + IF(INDEX(Input!$L$7:$L1503,ROW()-1),1,0),
        "Y"
      )
      +
      (
        (C658 + IF(INDEX(Input!$L$7:$L1503,ROW()-1),1,0))
        -
        EDATE(
          B658 + IF(INDEX(Input!$K$7:$K1503,ROW()-1),0,1),
          12*DATEDIF(
            B658 + IF(INDEX(Input!$K$7:$K1503,ROW()-1),0,1),
            C658 + IF(INDEX(Input!$L$7:$L1503,ROW()-1),1,0),
            "Y"
          )
        )
      ) / 365,
    "Actual/Actual",
      YEARFRAC(
        B658 + IF(INDEX(Input!$K$7:$K1503,ROW()-1),0,1),
        C658 + IF(INDEX(Input!$L$7:$L1503,ROW()-1),1,0),
        1
      ),
      YEARFRAC(
        B658 + IF(INDEX(Input!$K$7:$K1503,ROW()-1),0,1),
        C658 + IF(INDEX(Input!$L$7:$L1503,ROW()-1),1,0),
        3
      )
  )
)</f>
        <v/>
      </c>
      <c r="S658" s="22" t="str">
        <f t="shared" si="4"/>
        <v/>
      </c>
      <c r="T658" s="6" t="str">
        <f t="array" ref="T658">IF(
  B658="",
  ,
  DATEDIF(
    B658 + IF(INDEX(Input!$K$7:$K1503,ROW()-1),0,1),
    C658 + IF(INDEX(Input!$L$7:$L1503,ROW()-1),1,0),
    "Y"
  )
)</f>
        <v/>
      </c>
      <c r="U658" s="6" t="str">
        <f t="array" ref="U658">IF(
  B658="",
  ,
  (C658 + IF(INDEX(Input!$L$7:$L1503,ROW()-1),1,0))
  - EDATE(
      B658 + IF(INDEX(Input!$K$7:$K1503,ROW()-1),0,1),
      12*S658
    )
)</f>
        <v/>
      </c>
      <c r="V658" s="6" t="str">
        <f t="shared" si="5"/>
        <v/>
      </c>
      <c r="W658" s="6" t="str">
        <f t="shared" si="6"/>
        <v/>
      </c>
    </row>
    <row r="659">
      <c r="A659" s="18"/>
      <c r="B659" s="18"/>
      <c r="C659" s="18"/>
      <c r="D659" s="18"/>
      <c r="E659" s="18"/>
      <c r="F659" s="18"/>
      <c r="G659" s="22"/>
      <c r="H659" s="18"/>
      <c r="I659" s="18">
        <v>0.0</v>
      </c>
      <c r="J659" s="18">
        <v>0.0</v>
      </c>
      <c r="K659" s="18"/>
      <c r="L659" s="18"/>
      <c r="M659" s="22" t="str">
        <f t="shared" si="1"/>
        <v/>
      </c>
      <c r="N659" s="18" t="str">
        <f>IF(A659="",,IF(ROW()=2, Input!$C$2 + I659, P658 + I659))</f>
        <v/>
      </c>
      <c r="O659" s="23" t="str">
        <f>IF(A659="",,
 IF(K659="Initial principal",
   Input!$C$2 * M659,
   N659 * M659
 )
)</f>
        <v/>
      </c>
      <c r="P659" s="18" t="str">
        <f t="shared" si="2"/>
        <v/>
      </c>
      <c r="Q659" s="18" t="str">
        <f t="shared" si="3"/>
        <v/>
      </c>
      <c r="R659" s="18" t="str">
        <f t="array" ref="R659">IF(
  B659="",
  ,
  SWITCH(
    Input!$C$4,
    "Actual/365 Fixed",
      YEARFRAC(
        B659 + IF(INDEX(Input!$K$7:$K1503,ROW()-1),0,1),
        C659 + IF(INDEX(Input!$L$7:$L1503,ROW()-1),1,0),
        3
      ),
    "Anniversary/365",
      DATEDIF(
        B659 + IF(INDEX(Input!$K$7:$K1503,ROW()-1),0,1),
        C659 + IF(INDEX(Input!$L$7:$L1503,ROW()-1),1,0),
        "Y"
      )
      +
      (
        (C659 + IF(INDEX(Input!$L$7:$L1503,ROW()-1),1,0))
        -
        EDATE(
          B659 + IF(INDEX(Input!$K$7:$K1503,ROW()-1),0,1),
          12*DATEDIF(
            B659 + IF(INDEX(Input!$K$7:$K1503,ROW()-1),0,1),
            C659 + IF(INDEX(Input!$L$7:$L1503,ROW()-1),1,0),
            "Y"
          )
        )
      ) / 365,
    "Actual/Actual",
      YEARFRAC(
        B659 + IF(INDEX(Input!$K$7:$K1503,ROW()-1),0,1),
        C659 + IF(INDEX(Input!$L$7:$L1503,ROW()-1),1,0),
        1
      ),
      YEARFRAC(
        B659 + IF(INDEX(Input!$K$7:$K1503,ROW()-1),0,1),
        C659 + IF(INDEX(Input!$L$7:$L1503,ROW()-1),1,0),
        3
      )
  )
)</f>
        <v/>
      </c>
      <c r="S659" s="22" t="str">
        <f t="shared" si="4"/>
        <v/>
      </c>
      <c r="T659" s="6" t="str">
        <f t="array" ref="T659">IF(
  B659="",
  ,
  DATEDIF(
    B659 + IF(INDEX(Input!$K$7:$K1503,ROW()-1),0,1),
    C659 + IF(INDEX(Input!$L$7:$L1503,ROW()-1),1,0),
    "Y"
  )
)</f>
        <v/>
      </c>
      <c r="U659" s="6" t="str">
        <f t="array" ref="U659">IF(
  B659="",
  ,
  (C659 + IF(INDEX(Input!$L$7:$L1503,ROW()-1),1,0))
  - EDATE(
      B659 + IF(INDEX(Input!$K$7:$K1503,ROW()-1),0,1),
      12*S659
    )
)</f>
        <v/>
      </c>
      <c r="V659" s="6" t="str">
        <f t="shared" si="5"/>
        <v/>
      </c>
      <c r="W659" s="6" t="str">
        <f t="shared" si="6"/>
        <v/>
      </c>
    </row>
    <row r="660">
      <c r="A660" s="18"/>
      <c r="B660" s="18"/>
      <c r="C660" s="18"/>
      <c r="D660" s="18"/>
      <c r="E660" s="18"/>
      <c r="F660" s="18"/>
      <c r="G660" s="22"/>
      <c r="H660" s="18"/>
      <c r="I660" s="18">
        <v>0.0</v>
      </c>
      <c r="J660" s="18">
        <v>0.0</v>
      </c>
      <c r="K660" s="18"/>
      <c r="L660" s="18"/>
      <c r="M660" s="22" t="str">
        <f t="shared" si="1"/>
        <v/>
      </c>
      <c r="N660" s="18" t="str">
        <f>IF(A660="",,IF(ROW()=2, Input!$C$2 + I660, P659 + I660))</f>
        <v/>
      </c>
      <c r="O660" s="23" t="str">
        <f>IF(A660="",,
 IF(K660="Initial principal",
   Input!$C$2 * M660,
   N660 * M660
 )
)</f>
        <v/>
      </c>
      <c r="P660" s="18" t="str">
        <f t="shared" si="2"/>
        <v/>
      </c>
      <c r="Q660" s="18" t="str">
        <f t="shared" si="3"/>
        <v/>
      </c>
      <c r="R660" s="18" t="str">
        <f t="array" ref="R660">IF(
  B660="",
  ,
  SWITCH(
    Input!$C$4,
    "Actual/365 Fixed",
      YEARFRAC(
        B660 + IF(INDEX(Input!$K$7:$K1503,ROW()-1),0,1),
        C660 + IF(INDEX(Input!$L$7:$L1503,ROW()-1),1,0),
        3
      ),
    "Anniversary/365",
      DATEDIF(
        B660 + IF(INDEX(Input!$K$7:$K1503,ROW()-1),0,1),
        C660 + IF(INDEX(Input!$L$7:$L1503,ROW()-1),1,0),
        "Y"
      )
      +
      (
        (C660 + IF(INDEX(Input!$L$7:$L1503,ROW()-1),1,0))
        -
        EDATE(
          B660 + IF(INDEX(Input!$K$7:$K1503,ROW()-1),0,1),
          12*DATEDIF(
            B660 + IF(INDEX(Input!$K$7:$K1503,ROW()-1),0,1),
            C660 + IF(INDEX(Input!$L$7:$L1503,ROW()-1),1,0),
            "Y"
          )
        )
      ) / 365,
    "Actual/Actual",
      YEARFRAC(
        B660 + IF(INDEX(Input!$K$7:$K1503,ROW()-1),0,1),
        C660 + IF(INDEX(Input!$L$7:$L1503,ROW()-1),1,0),
        1
      ),
      YEARFRAC(
        B660 + IF(INDEX(Input!$K$7:$K1503,ROW()-1),0,1),
        C660 + IF(INDEX(Input!$L$7:$L1503,ROW()-1),1,0),
        3
      )
  )
)</f>
        <v/>
      </c>
      <c r="S660" s="22" t="str">
        <f t="shared" si="4"/>
        <v/>
      </c>
      <c r="T660" s="6" t="str">
        <f t="array" ref="T660">IF(
  B660="",
  ,
  DATEDIF(
    B660 + IF(INDEX(Input!$K$7:$K1503,ROW()-1),0,1),
    C660 + IF(INDEX(Input!$L$7:$L1503,ROW()-1),1,0),
    "Y"
  )
)</f>
        <v/>
      </c>
      <c r="U660" s="6" t="str">
        <f t="array" ref="U660">IF(
  B660="",
  ,
  (C660 + IF(INDEX(Input!$L$7:$L1503,ROW()-1),1,0))
  - EDATE(
      B660 + IF(INDEX(Input!$K$7:$K1503,ROW()-1),0,1),
      12*S660
    )
)</f>
        <v/>
      </c>
      <c r="V660" s="6" t="str">
        <f t="shared" si="5"/>
        <v/>
      </c>
      <c r="W660" s="6" t="str">
        <f t="shared" si="6"/>
        <v/>
      </c>
    </row>
    <row r="661">
      <c r="A661" s="18"/>
      <c r="B661" s="18"/>
      <c r="C661" s="18"/>
      <c r="D661" s="18"/>
      <c r="E661" s="18"/>
      <c r="F661" s="18"/>
      <c r="G661" s="22"/>
      <c r="H661" s="18"/>
      <c r="I661" s="18">
        <v>0.0</v>
      </c>
      <c r="J661" s="18">
        <v>0.0</v>
      </c>
      <c r="K661" s="18"/>
      <c r="L661" s="18"/>
      <c r="M661" s="22" t="str">
        <f t="shared" si="1"/>
        <v/>
      </c>
      <c r="N661" s="18" t="str">
        <f>IF(A661="",,IF(ROW()=2, Input!$C$2 + I661, P660 + I661))</f>
        <v/>
      </c>
      <c r="O661" s="23" t="str">
        <f>IF(A661="",,
 IF(K661="Initial principal",
   Input!$C$2 * M661,
   N661 * M661
 )
)</f>
        <v/>
      </c>
      <c r="P661" s="18" t="str">
        <f t="shared" si="2"/>
        <v/>
      </c>
      <c r="Q661" s="18" t="str">
        <f t="shared" si="3"/>
        <v/>
      </c>
      <c r="R661" s="18" t="str">
        <f t="array" ref="R661">IF(
  B661="",
  ,
  SWITCH(
    Input!$C$4,
    "Actual/365 Fixed",
      YEARFRAC(
        B661 + IF(INDEX(Input!$K$7:$K1503,ROW()-1),0,1),
        C661 + IF(INDEX(Input!$L$7:$L1503,ROW()-1),1,0),
        3
      ),
    "Anniversary/365",
      DATEDIF(
        B661 + IF(INDEX(Input!$K$7:$K1503,ROW()-1),0,1),
        C661 + IF(INDEX(Input!$L$7:$L1503,ROW()-1),1,0),
        "Y"
      )
      +
      (
        (C661 + IF(INDEX(Input!$L$7:$L1503,ROW()-1),1,0))
        -
        EDATE(
          B661 + IF(INDEX(Input!$K$7:$K1503,ROW()-1),0,1),
          12*DATEDIF(
            B661 + IF(INDEX(Input!$K$7:$K1503,ROW()-1),0,1),
            C661 + IF(INDEX(Input!$L$7:$L1503,ROW()-1),1,0),
            "Y"
          )
        )
      ) / 365,
    "Actual/Actual",
      YEARFRAC(
        B661 + IF(INDEX(Input!$K$7:$K1503,ROW()-1),0,1),
        C661 + IF(INDEX(Input!$L$7:$L1503,ROW()-1),1,0),
        1
      ),
      YEARFRAC(
        B661 + IF(INDEX(Input!$K$7:$K1503,ROW()-1),0,1),
        C661 + IF(INDEX(Input!$L$7:$L1503,ROW()-1),1,0),
        3
      )
  )
)</f>
        <v/>
      </c>
      <c r="S661" s="22" t="str">
        <f t="shared" si="4"/>
        <v/>
      </c>
      <c r="T661" s="6" t="str">
        <f t="array" ref="T661">IF(
  B661="",
  ,
  DATEDIF(
    B661 + IF(INDEX(Input!$K$7:$K1503,ROW()-1),0,1),
    C661 + IF(INDEX(Input!$L$7:$L1503,ROW()-1),1,0),
    "Y"
  )
)</f>
        <v/>
      </c>
      <c r="U661" s="6" t="str">
        <f t="array" ref="U661">IF(
  B661="",
  ,
  (C661 + IF(INDEX(Input!$L$7:$L1503,ROW()-1),1,0))
  - EDATE(
      B661 + IF(INDEX(Input!$K$7:$K1503,ROW()-1),0,1),
      12*S661
    )
)</f>
        <v/>
      </c>
      <c r="V661" s="6" t="str">
        <f t="shared" si="5"/>
        <v/>
      </c>
      <c r="W661" s="6" t="str">
        <f t="shared" si="6"/>
        <v/>
      </c>
    </row>
    <row r="662">
      <c r="A662" s="18"/>
      <c r="B662" s="18"/>
      <c r="C662" s="18"/>
      <c r="D662" s="18"/>
      <c r="E662" s="18"/>
      <c r="F662" s="18"/>
      <c r="G662" s="22"/>
      <c r="H662" s="18"/>
      <c r="I662" s="18">
        <v>0.0</v>
      </c>
      <c r="J662" s="18">
        <v>0.0</v>
      </c>
      <c r="K662" s="18"/>
      <c r="L662" s="18"/>
      <c r="M662" s="22" t="str">
        <f t="shared" si="1"/>
        <v/>
      </c>
      <c r="N662" s="18" t="str">
        <f>IF(A662="",,IF(ROW()=2, Input!$C$2 + I662, P661 + I662))</f>
        <v/>
      </c>
      <c r="O662" s="23" t="str">
        <f>IF(A662="",,
 IF(K662="Initial principal",
   Input!$C$2 * M662,
   N662 * M662
 )
)</f>
        <v/>
      </c>
      <c r="P662" s="18" t="str">
        <f t="shared" si="2"/>
        <v/>
      </c>
      <c r="Q662" s="18" t="str">
        <f t="shared" si="3"/>
        <v/>
      </c>
      <c r="R662" s="18" t="str">
        <f t="array" ref="R662">IF(
  B662="",
  ,
  SWITCH(
    Input!$C$4,
    "Actual/365 Fixed",
      YEARFRAC(
        B662 + IF(INDEX(Input!$K$7:$K1503,ROW()-1),0,1),
        C662 + IF(INDEX(Input!$L$7:$L1503,ROW()-1),1,0),
        3
      ),
    "Anniversary/365",
      DATEDIF(
        B662 + IF(INDEX(Input!$K$7:$K1503,ROW()-1),0,1),
        C662 + IF(INDEX(Input!$L$7:$L1503,ROW()-1),1,0),
        "Y"
      )
      +
      (
        (C662 + IF(INDEX(Input!$L$7:$L1503,ROW()-1),1,0))
        -
        EDATE(
          B662 + IF(INDEX(Input!$K$7:$K1503,ROW()-1),0,1),
          12*DATEDIF(
            B662 + IF(INDEX(Input!$K$7:$K1503,ROW()-1),0,1),
            C662 + IF(INDEX(Input!$L$7:$L1503,ROW()-1),1,0),
            "Y"
          )
        )
      ) / 365,
    "Actual/Actual",
      YEARFRAC(
        B662 + IF(INDEX(Input!$K$7:$K1503,ROW()-1),0,1),
        C662 + IF(INDEX(Input!$L$7:$L1503,ROW()-1),1,0),
        1
      ),
      YEARFRAC(
        B662 + IF(INDEX(Input!$K$7:$K1503,ROW()-1),0,1),
        C662 + IF(INDEX(Input!$L$7:$L1503,ROW()-1),1,0),
        3
      )
  )
)</f>
        <v/>
      </c>
      <c r="S662" s="22" t="str">
        <f t="shared" si="4"/>
        <v/>
      </c>
      <c r="T662" s="6" t="str">
        <f t="array" ref="T662">IF(
  B662="",
  ,
  DATEDIF(
    B662 + IF(INDEX(Input!$K$7:$K1503,ROW()-1),0,1),
    C662 + IF(INDEX(Input!$L$7:$L1503,ROW()-1),1,0),
    "Y"
  )
)</f>
        <v/>
      </c>
      <c r="U662" s="6" t="str">
        <f t="array" ref="U662">IF(
  B662="",
  ,
  (C662 + IF(INDEX(Input!$L$7:$L1503,ROW()-1),1,0))
  - EDATE(
      B662 + IF(INDEX(Input!$K$7:$K1503,ROW()-1),0,1),
      12*S662
    )
)</f>
        <v/>
      </c>
      <c r="V662" s="6" t="str">
        <f t="shared" si="5"/>
        <v/>
      </c>
      <c r="W662" s="6" t="str">
        <f t="shared" si="6"/>
        <v/>
      </c>
    </row>
    <row r="663">
      <c r="A663" s="18"/>
      <c r="B663" s="18"/>
      <c r="C663" s="18"/>
      <c r="D663" s="18"/>
      <c r="E663" s="18"/>
      <c r="F663" s="18"/>
      <c r="G663" s="22"/>
      <c r="H663" s="18"/>
      <c r="I663" s="18">
        <v>0.0</v>
      </c>
      <c r="J663" s="18">
        <v>0.0</v>
      </c>
      <c r="K663" s="18"/>
      <c r="L663" s="18"/>
      <c r="M663" s="22" t="str">
        <f t="shared" si="1"/>
        <v/>
      </c>
      <c r="N663" s="18" t="str">
        <f>IF(A663="",,IF(ROW()=2, Input!$C$2 + I663, P662 + I663))</f>
        <v/>
      </c>
      <c r="O663" s="23" t="str">
        <f>IF(A663="",,
 IF(K663="Initial principal",
   Input!$C$2 * M663,
   N663 * M663
 )
)</f>
        <v/>
      </c>
      <c r="P663" s="18" t="str">
        <f t="shared" si="2"/>
        <v/>
      </c>
      <c r="Q663" s="18" t="str">
        <f t="shared" si="3"/>
        <v/>
      </c>
      <c r="R663" s="18" t="str">
        <f t="array" ref="R663">IF(
  B663="",
  ,
  SWITCH(
    Input!$C$4,
    "Actual/365 Fixed",
      YEARFRAC(
        B663 + IF(INDEX(Input!$K$7:$K1503,ROW()-1),0,1),
        C663 + IF(INDEX(Input!$L$7:$L1503,ROW()-1),1,0),
        3
      ),
    "Anniversary/365",
      DATEDIF(
        B663 + IF(INDEX(Input!$K$7:$K1503,ROW()-1),0,1),
        C663 + IF(INDEX(Input!$L$7:$L1503,ROW()-1),1,0),
        "Y"
      )
      +
      (
        (C663 + IF(INDEX(Input!$L$7:$L1503,ROW()-1),1,0))
        -
        EDATE(
          B663 + IF(INDEX(Input!$K$7:$K1503,ROW()-1),0,1),
          12*DATEDIF(
            B663 + IF(INDEX(Input!$K$7:$K1503,ROW()-1),0,1),
            C663 + IF(INDEX(Input!$L$7:$L1503,ROW()-1),1,0),
            "Y"
          )
        )
      ) / 365,
    "Actual/Actual",
      YEARFRAC(
        B663 + IF(INDEX(Input!$K$7:$K1503,ROW()-1),0,1),
        C663 + IF(INDEX(Input!$L$7:$L1503,ROW()-1),1,0),
        1
      ),
      YEARFRAC(
        B663 + IF(INDEX(Input!$K$7:$K1503,ROW()-1),0,1),
        C663 + IF(INDEX(Input!$L$7:$L1503,ROW()-1),1,0),
        3
      )
  )
)</f>
        <v/>
      </c>
      <c r="S663" s="22" t="str">
        <f t="shared" si="4"/>
        <v/>
      </c>
      <c r="T663" s="6" t="str">
        <f t="array" ref="T663">IF(
  B663="",
  ,
  DATEDIF(
    B663 + IF(INDEX(Input!$K$7:$K1503,ROW()-1),0,1),
    C663 + IF(INDEX(Input!$L$7:$L1503,ROW()-1),1,0),
    "Y"
  )
)</f>
        <v/>
      </c>
      <c r="U663" s="6" t="str">
        <f t="array" ref="U663">IF(
  B663="",
  ,
  (C663 + IF(INDEX(Input!$L$7:$L1503,ROW()-1),1,0))
  - EDATE(
      B663 + IF(INDEX(Input!$K$7:$K1503,ROW()-1),0,1),
      12*S663
    )
)</f>
        <v/>
      </c>
      <c r="V663" s="6" t="str">
        <f t="shared" si="5"/>
        <v/>
      </c>
      <c r="W663" s="6" t="str">
        <f t="shared" si="6"/>
        <v/>
      </c>
    </row>
    <row r="664">
      <c r="A664" s="18"/>
      <c r="B664" s="18"/>
      <c r="C664" s="18"/>
      <c r="D664" s="18"/>
      <c r="E664" s="18"/>
      <c r="F664" s="18"/>
      <c r="G664" s="22"/>
      <c r="H664" s="18"/>
      <c r="I664" s="18">
        <v>0.0</v>
      </c>
      <c r="J664" s="18">
        <v>0.0</v>
      </c>
      <c r="K664" s="18"/>
      <c r="L664" s="18"/>
      <c r="M664" s="22" t="str">
        <f t="shared" si="1"/>
        <v/>
      </c>
      <c r="N664" s="18" t="str">
        <f>IF(A664="",,IF(ROW()=2, Input!$C$2 + I664, P663 + I664))</f>
        <v/>
      </c>
      <c r="O664" s="23" t="str">
        <f>IF(A664="",,
 IF(K664="Initial principal",
   Input!$C$2 * M664,
   N664 * M664
 )
)</f>
        <v/>
      </c>
      <c r="P664" s="18" t="str">
        <f t="shared" si="2"/>
        <v/>
      </c>
      <c r="Q664" s="18" t="str">
        <f t="shared" si="3"/>
        <v/>
      </c>
      <c r="R664" s="18" t="str">
        <f t="array" ref="R664">IF(
  B664="",
  ,
  SWITCH(
    Input!$C$4,
    "Actual/365 Fixed",
      YEARFRAC(
        B664 + IF(INDEX(Input!$K$7:$K1503,ROW()-1),0,1),
        C664 + IF(INDEX(Input!$L$7:$L1503,ROW()-1),1,0),
        3
      ),
    "Anniversary/365",
      DATEDIF(
        B664 + IF(INDEX(Input!$K$7:$K1503,ROW()-1),0,1),
        C664 + IF(INDEX(Input!$L$7:$L1503,ROW()-1),1,0),
        "Y"
      )
      +
      (
        (C664 + IF(INDEX(Input!$L$7:$L1503,ROW()-1),1,0))
        -
        EDATE(
          B664 + IF(INDEX(Input!$K$7:$K1503,ROW()-1),0,1),
          12*DATEDIF(
            B664 + IF(INDEX(Input!$K$7:$K1503,ROW()-1),0,1),
            C664 + IF(INDEX(Input!$L$7:$L1503,ROW()-1),1,0),
            "Y"
          )
        )
      ) / 365,
    "Actual/Actual",
      YEARFRAC(
        B664 + IF(INDEX(Input!$K$7:$K1503,ROW()-1),0,1),
        C664 + IF(INDEX(Input!$L$7:$L1503,ROW()-1),1,0),
        1
      ),
      YEARFRAC(
        B664 + IF(INDEX(Input!$K$7:$K1503,ROW()-1),0,1),
        C664 + IF(INDEX(Input!$L$7:$L1503,ROW()-1),1,0),
        3
      )
  )
)</f>
        <v/>
      </c>
      <c r="S664" s="22" t="str">
        <f t="shared" si="4"/>
        <v/>
      </c>
      <c r="T664" s="6" t="str">
        <f t="array" ref="T664">IF(
  B664="",
  ,
  DATEDIF(
    B664 + IF(INDEX(Input!$K$7:$K1503,ROW()-1),0,1),
    C664 + IF(INDEX(Input!$L$7:$L1503,ROW()-1),1,0),
    "Y"
  )
)</f>
        <v/>
      </c>
      <c r="U664" s="6" t="str">
        <f t="array" ref="U664">IF(
  B664="",
  ,
  (C664 + IF(INDEX(Input!$L$7:$L1503,ROW()-1),1,0))
  - EDATE(
      B664 + IF(INDEX(Input!$K$7:$K1503,ROW()-1),0,1),
      12*S664
    )
)</f>
        <v/>
      </c>
      <c r="V664" s="6" t="str">
        <f t="shared" si="5"/>
        <v/>
      </c>
      <c r="W664" s="6" t="str">
        <f t="shared" si="6"/>
        <v/>
      </c>
    </row>
    <row r="665">
      <c r="A665" s="18"/>
      <c r="B665" s="18"/>
      <c r="C665" s="18"/>
      <c r="D665" s="18"/>
      <c r="E665" s="18"/>
      <c r="F665" s="18"/>
      <c r="G665" s="22"/>
      <c r="H665" s="18"/>
      <c r="I665" s="18">
        <v>0.0</v>
      </c>
      <c r="J665" s="18">
        <v>0.0</v>
      </c>
      <c r="K665" s="18"/>
      <c r="L665" s="18"/>
      <c r="M665" s="22" t="str">
        <f t="shared" si="1"/>
        <v/>
      </c>
      <c r="N665" s="18" t="str">
        <f>IF(A665="",,IF(ROW()=2, Input!$C$2 + I665, P664 + I665))</f>
        <v/>
      </c>
      <c r="O665" s="23" t="str">
        <f>IF(A665="",,
 IF(K665="Initial principal",
   Input!$C$2 * M665,
   N665 * M665
 )
)</f>
        <v/>
      </c>
      <c r="P665" s="18" t="str">
        <f t="shared" si="2"/>
        <v/>
      </c>
      <c r="Q665" s="18" t="str">
        <f t="shared" si="3"/>
        <v/>
      </c>
      <c r="R665" s="18" t="str">
        <f t="array" ref="R665">IF(
  B665="",
  ,
  SWITCH(
    Input!$C$4,
    "Actual/365 Fixed",
      YEARFRAC(
        B665 + IF(INDEX(Input!$K$7:$K1503,ROW()-1),0,1),
        C665 + IF(INDEX(Input!$L$7:$L1503,ROW()-1),1,0),
        3
      ),
    "Anniversary/365",
      DATEDIF(
        B665 + IF(INDEX(Input!$K$7:$K1503,ROW()-1),0,1),
        C665 + IF(INDEX(Input!$L$7:$L1503,ROW()-1),1,0),
        "Y"
      )
      +
      (
        (C665 + IF(INDEX(Input!$L$7:$L1503,ROW()-1),1,0))
        -
        EDATE(
          B665 + IF(INDEX(Input!$K$7:$K1503,ROW()-1),0,1),
          12*DATEDIF(
            B665 + IF(INDEX(Input!$K$7:$K1503,ROW()-1),0,1),
            C665 + IF(INDEX(Input!$L$7:$L1503,ROW()-1),1,0),
            "Y"
          )
        )
      ) / 365,
    "Actual/Actual",
      YEARFRAC(
        B665 + IF(INDEX(Input!$K$7:$K1503,ROW()-1),0,1),
        C665 + IF(INDEX(Input!$L$7:$L1503,ROW()-1),1,0),
        1
      ),
      YEARFRAC(
        B665 + IF(INDEX(Input!$K$7:$K1503,ROW()-1),0,1),
        C665 + IF(INDEX(Input!$L$7:$L1503,ROW()-1),1,0),
        3
      )
  )
)</f>
        <v/>
      </c>
      <c r="S665" s="22" t="str">
        <f t="shared" si="4"/>
        <v/>
      </c>
      <c r="T665" s="6" t="str">
        <f t="array" ref="T665">IF(
  B665="",
  ,
  DATEDIF(
    B665 + IF(INDEX(Input!$K$7:$K1503,ROW()-1),0,1),
    C665 + IF(INDEX(Input!$L$7:$L1503,ROW()-1),1,0),
    "Y"
  )
)</f>
        <v/>
      </c>
      <c r="U665" s="6" t="str">
        <f t="array" ref="U665">IF(
  B665="",
  ,
  (C665 + IF(INDEX(Input!$L$7:$L1503,ROW()-1),1,0))
  - EDATE(
      B665 + IF(INDEX(Input!$K$7:$K1503,ROW()-1),0,1),
      12*S665
    )
)</f>
        <v/>
      </c>
      <c r="V665" s="6" t="str">
        <f t="shared" si="5"/>
        <v/>
      </c>
      <c r="W665" s="6" t="str">
        <f t="shared" si="6"/>
        <v/>
      </c>
    </row>
    <row r="666">
      <c r="A666" s="18"/>
      <c r="B666" s="18"/>
      <c r="C666" s="18"/>
      <c r="D666" s="18"/>
      <c r="E666" s="18"/>
      <c r="F666" s="18"/>
      <c r="G666" s="22"/>
      <c r="H666" s="18"/>
      <c r="I666" s="18">
        <v>0.0</v>
      </c>
      <c r="J666" s="18">
        <v>0.0</v>
      </c>
      <c r="K666" s="18"/>
      <c r="L666" s="18"/>
      <c r="M666" s="22" t="str">
        <f t="shared" si="1"/>
        <v/>
      </c>
      <c r="N666" s="18" t="str">
        <f>IF(A666="",,IF(ROW()=2, Input!$C$2 + I666, P665 + I666))</f>
        <v/>
      </c>
      <c r="O666" s="23" t="str">
        <f>IF(A666="",,
 IF(K666="Initial principal",
   Input!$C$2 * M666,
   N666 * M666
 )
)</f>
        <v/>
      </c>
      <c r="P666" s="18" t="str">
        <f t="shared" si="2"/>
        <v/>
      </c>
      <c r="Q666" s="18" t="str">
        <f t="shared" si="3"/>
        <v/>
      </c>
      <c r="R666" s="18" t="str">
        <f t="array" ref="R666">IF(
  B666="",
  ,
  SWITCH(
    Input!$C$4,
    "Actual/365 Fixed",
      YEARFRAC(
        B666 + IF(INDEX(Input!$K$7:$K1503,ROW()-1),0,1),
        C666 + IF(INDEX(Input!$L$7:$L1503,ROW()-1),1,0),
        3
      ),
    "Anniversary/365",
      DATEDIF(
        B666 + IF(INDEX(Input!$K$7:$K1503,ROW()-1),0,1),
        C666 + IF(INDEX(Input!$L$7:$L1503,ROW()-1),1,0),
        "Y"
      )
      +
      (
        (C666 + IF(INDEX(Input!$L$7:$L1503,ROW()-1),1,0))
        -
        EDATE(
          B666 + IF(INDEX(Input!$K$7:$K1503,ROW()-1),0,1),
          12*DATEDIF(
            B666 + IF(INDEX(Input!$K$7:$K1503,ROW()-1),0,1),
            C666 + IF(INDEX(Input!$L$7:$L1503,ROW()-1),1,0),
            "Y"
          )
        )
      ) / 365,
    "Actual/Actual",
      YEARFRAC(
        B666 + IF(INDEX(Input!$K$7:$K1503,ROW()-1),0,1),
        C666 + IF(INDEX(Input!$L$7:$L1503,ROW()-1),1,0),
        1
      ),
      YEARFRAC(
        B666 + IF(INDEX(Input!$K$7:$K1503,ROW()-1),0,1),
        C666 + IF(INDEX(Input!$L$7:$L1503,ROW()-1),1,0),
        3
      )
  )
)</f>
        <v/>
      </c>
      <c r="S666" s="22" t="str">
        <f t="shared" si="4"/>
        <v/>
      </c>
      <c r="T666" s="6" t="str">
        <f t="array" ref="T666">IF(
  B666="",
  ,
  DATEDIF(
    B666 + IF(INDEX(Input!$K$7:$K1503,ROW()-1),0,1),
    C666 + IF(INDEX(Input!$L$7:$L1503,ROW()-1),1,0),
    "Y"
  )
)</f>
        <v/>
      </c>
      <c r="U666" s="6" t="str">
        <f t="array" ref="U666">IF(
  B666="",
  ,
  (C666 + IF(INDEX(Input!$L$7:$L1503,ROW()-1),1,0))
  - EDATE(
      B666 + IF(INDEX(Input!$K$7:$K1503,ROW()-1),0,1),
      12*S666
    )
)</f>
        <v/>
      </c>
      <c r="V666" s="6" t="str">
        <f t="shared" si="5"/>
        <v/>
      </c>
      <c r="W666" s="6" t="str">
        <f t="shared" si="6"/>
        <v/>
      </c>
    </row>
    <row r="667">
      <c r="A667" s="18"/>
      <c r="B667" s="18"/>
      <c r="C667" s="18"/>
      <c r="D667" s="18"/>
      <c r="E667" s="18"/>
      <c r="F667" s="18"/>
      <c r="G667" s="22"/>
      <c r="H667" s="18"/>
      <c r="I667" s="18">
        <v>0.0</v>
      </c>
      <c r="J667" s="18">
        <v>0.0</v>
      </c>
      <c r="K667" s="18"/>
      <c r="L667" s="18"/>
      <c r="M667" s="22" t="str">
        <f t="shared" si="1"/>
        <v/>
      </c>
      <c r="N667" s="18" t="str">
        <f>IF(A667="",,IF(ROW()=2, Input!$C$2 + I667, P666 + I667))</f>
        <v/>
      </c>
      <c r="O667" s="23" t="str">
        <f>IF(A667="",,
 IF(K667="Initial principal",
   Input!$C$2 * M667,
   N667 * M667
 )
)</f>
        <v/>
      </c>
      <c r="P667" s="18" t="str">
        <f t="shared" si="2"/>
        <v/>
      </c>
      <c r="Q667" s="18" t="str">
        <f t="shared" si="3"/>
        <v/>
      </c>
      <c r="R667" s="18" t="str">
        <f t="array" ref="R667">IF(
  B667="",
  ,
  SWITCH(
    Input!$C$4,
    "Actual/365 Fixed",
      YEARFRAC(
        B667 + IF(INDEX(Input!$K$7:$K1503,ROW()-1),0,1),
        C667 + IF(INDEX(Input!$L$7:$L1503,ROW()-1),1,0),
        3
      ),
    "Anniversary/365",
      DATEDIF(
        B667 + IF(INDEX(Input!$K$7:$K1503,ROW()-1),0,1),
        C667 + IF(INDEX(Input!$L$7:$L1503,ROW()-1),1,0),
        "Y"
      )
      +
      (
        (C667 + IF(INDEX(Input!$L$7:$L1503,ROW()-1),1,0))
        -
        EDATE(
          B667 + IF(INDEX(Input!$K$7:$K1503,ROW()-1),0,1),
          12*DATEDIF(
            B667 + IF(INDEX(Input!$K$7:$K1503,ROW()-1),0,1),
            C667 + IF(INDEX(Input!$L$7:$L1503,ROW()-1),1,0),
            "Y"
          )
        )
      ) / 365,
    "Actual/Actual",
      YEARFRAC(
        B667 + IF(INDEX(Input!$K$7:$K1503,ROW()-1),0,1),
        C667 + IF(INDEX(Input!$L$7:$L1503,ROW()-1),1,0),
        1
      ),
      YEARFRAC(
        B667 + IF(INDEX(Input!$K$7:$K1503,ROW()-1),0,1),
        C667 + IF(INDEX(Input!$L$7:$L1503,ROW()-1),1,0),
        3
      )
  )
)</f>
        <v/>
      </c>
      <c r="S667" s="22" t="str">
        <f t="shared" si="4"/>
        <v/>
      </c>
      <c r="T667" s="6" t="str">
        <f t="array" ref="T667">IF(
  B667="",
  ,
  DATEDIF(
    B667 + IF(INDEX(Input!$K$7:$K1503,ROW()-1),0,1),
    C667 + IF(INDEX(Input!$L$7:$L1503,ROW()-1),1,0),
    "Y"
  )
)</f>
        <v/>
      </c>
      <c r="U667" s="6" t="str">
        <f t="array" ref="U667">IF(
  B667="",
  ,
  (C667 + IF(INDEX(Input!$L$7:$L1503,ROW()-1),1,0))
  - EDATE(
      B667 + IF(INDEX(Input!$K$7:$K1503,ROW()-1),0,1),
      12*S667
    )
)</f>
        <v/>
      </c>
      <c r="V667" s="6" t="str">
        <f t="shared" si="5"/>
        <v/>
      </c>
      <c r="W667" s="6" t="str">
        <f t="shared" si="6"/>
        <v/>
      </c>
    </row>
    <row r="668">
      <c r="A668" s="18"/>
      <c r="B668" s="18"/>
      <c r="C668" s="18"/>
      <c r="D668" s="18"/>
      <c r="E668" s="18"/>
      <c r="F668" s="18"/>
      <c r="G668" s="22"/>
      <c r="H668" s="18"/>
      <c r="I668" s="18">
        <v>0.0</v>
      </c>
      <c r="J668" s="18">
        <v>0.0</v>
      </c>
      <c r="K668" s="18"/>
      <c r="L668" s="18"/>
      <c r="M668" s="22" t="str">
        <f t="shared" si="1"/>
        <v/>
      </c>
      <c r="N668" s="18" t="str">
        <f>IF(A668="",,IF(ROW()=2, Input!$C$2 + I668, P667 + I668))</f>
        <v/>
      </c>
      <c r="O668" s="23" t="str">
        <f>IF(A668="",,
 IF(K668="Initial principal",
   Input!$C$2 * M668,
   N668 * M668
 )
)</f>
        <v/>
      </c>
      <c r="P668" s="18" t="str">
        <f t="shared" si="2"/>
        <v/>
      </c>
      <c r="Q668" s="18" t="str">
        <f t="shared" si="3"/>
        <v/>
      </c>
      <c r="R668" s="18" t="str">
        <f t="array" ref="R668">IF(
  B668="",
  ,
  SWITCH(
    Input!$C$4,
    "Actual/365 Fixed",
      YEARFRAC(
        B668 + IF(INDEX(Input!$K$7:$K1503,ROW()-1),0,1),
        C668 + IF(INDEX(Input!$L$7:$L1503,ROW()-1),1,0),
        3
      ),
    "Anniversary/365",
      DATEDIF(
        B668 + IF(INDEX(Input!$K$7:$K1503,ROW()-1),0,1),
        C668 + IF(INDEX(Input!$L$7:$L1503,ROW()-1),1,0),
        "Y"
      )
      +
      (
        (C668 + IF(INDEX(Input!$L$7:$L1503,ROW()-1),1,0))
        -
        EDATE(
          B668 + IF(INDEX(Input!$K$7:$K1503,ROW()-1),0,1),
          12*DATEDIF(
            B668 + IF(INDEX(Input!$K$7:$K1503,ROW()-1),0,1),
            C668 + IF(INDEX(Input!$L$7:$L1503,ROW()-1),1,0),
            "Y"
          )
        )
      ) / 365,
    "Actual/Actual",
      YEARFRAC(
        B668 + IF(INDEX(Input!$K$7:$K1503,ROW()-1),0,1),
        C668 + IF(INDEX(Input!$L$7:$L1503,ROW()-1),1,0),
        1
      ),
      YEARFRAC(
        B668 + IF(INDEX(Input!$K$7:$K1503,ROW()-1),0,1),
        C668 + IF(INDEX(Input!$L$7:$L1503,ROW()-1),1,0),
        3
      )
  )
)</f>
        <v/>
      </c>
      <c r="S668" s="22" t="str">
        <f t="shared" si="4"/>
        <v/>
      </c>
      <c r="T668" s="6" t="str">
        <f t="array" ref="T668">IF(
  B668="",
  ,
  DATEDIF(
    B668 + IF(INDEX(Input!$K$7:$K1503,ROW()-1),0,1),
    C668 + IF(INDEX(Input!$L$7:$L1503,ROW()-1),1,0),
    "Y"
  )
)</f>
        <v/>
      </c>
      <c r="U668" s="6" t="str">
        <f t="array" ref="U668">IF(
  B668="",
  ,
  (C668 + IF(INDEX(Input!$L$7:$L1503,ROW()-1),1,0))
  - EDATE(
      B668 + IF(INDEX(Input!$K$7:$K1503,ROW()-1),0,1),
      12*S668
    )
)</f>
        <v/>
      </c>
      <c r="V668" s="6" t="str">
        <f t="shared" si="5"/>
        <v/>
      </c>
      <c r="W668" s="6" t="str">
        <f t="shared" si="6"/>
        <v/>
      </c>
    </row>
    <row r="669">
      <c r="A669" s="18"/>
      <c r="B669" s="18"/>
      <c r="C669" s="18"/>
      <c r="D669" s="18"/>
      <c r="E669" s="18"/>
      <c r="F669" s="18"/>
      <c r="G669" s="22"/>
      <c r="H669" s="18"/>
      <c r="I669" s="18">
        <v>0.0</v>
      </c>
      <c r="J669" s="18">
        <v>0.0</v>
      </c>
      <c r="K669" s="18"/>
      <c r="L669" s="18"/>
      <c r="M669" s="22" t="str">
        <f t="shared" si="1"/>
        <v/>
      </c>
      <c r="N669" s="18" t="str">
        <f>IF(A669="",,IF(ROW()=2, Input!$C$2 + I669, P668 + I669))</f>
        <v/>
      </c>
      <c r="O669" s="23" t="str">
        <f>IF(A669="",,
 IF(K669="Initial principal",
   Input!$C$2 * M669,
   N669 * M669
 )
)</f>
        <v/>
      </c>
      <c r="P669" s="18" t="str">
        <f t="shared" si="2"/>
        <v/>
      </c>
      <c r="Q669" s="18" t="str">
        <f t="shared" si="3"/>
        <v/>
      </c>
      <c r="R669" s="18" t="str">
        <f t="array" ref="R669">IF(
  B669="",
  ,
  SWITCH(
    Input!$C$4,
    "Actual/365 Fixed",
      YEARFRAC(
        B669 + IF(INDEX(Input!$K$7:$K1503,ROW()-1),0,1),
        C669 + IF(INDEX(Input!$L$7:$L1503,ROW()-1),1,0),
        3
      ),
    "Anniversary/365",
      DATEDIF(
        B669 + IF(INDEX(Input!$K$7:$K1503,ROW()-1),0,1),
        C669 + IF(INDEX(Input!$L$7:$L1503,ROW()-1),1,0),
        "Y"
      )
      +
      (
        (C669 + IF(INDEX(Input!$L$7:$L1503,ROW()-1),1,0))
        -
        EDATE(
          B669 + IF(INDEX(Input!$K$7:$K1503,ROW()-1),0,1),
          12*DATEDIF(
            B669 + IF(INDEX(Input!$K$7:$K1503,ROW()-1),0,1),
            C669 + IF(INDEX(Input!$L$7:$L1503,ROW()-1),1,0),
            "Y"
          )
        )
      ) / 365,
    "Actual/Actual",
      YEARFRAC(
        B669 + IF(INDEX(Input!$K$7:$K1503,ROW()-1),0,1),
        C669 + IF(INDEX(Input!$L$7:$L1503,ROW()-1),1,0),
        1
      ),
      YEARFRAC(
        B669 + IF(INDEX(Input!$K$7:$K1503,ROW()-1),0,1),
        C669 + IF(INDEX(Input!$L$7:$L1503,ROW()-1),1,0),
        3
      )
  )
)</f>
        <v/>
      </c>
      <c r="S669" s="22" t="str">
        <f t="shared" si="4"/>
        <v/>
      </c>
      <c r="T669" s="6" t="str">
        <f t="array" ref="T669">IF(
  B669="",
  ,
  DATEDIF(
    B669 + IF(INDEX(Input!$K$7:$K1503,ROW()-1),0,1),
    C669 + IF(INDEX(Input!$L$7:$L1503,ROW()-1),1,0),
    "Y"
  )
)</f>
        <v/>
      </c>
      <c r="U669" s="6" t="str">
        <f t="array" ref="U669">IF(
  B669="",
  ,
  (C669 + IF(INDEX(Input!$L$7:$L1503,ROW()-1),1,0))
  - EDATE(
      B669 + IF(INDEX(Input!$K$7:$K1503,ROW()-1),0,1),
      12*S669
    )
)</f>
        <v/>
      </c>
      <c r="V669" s="6" t="str">
        <f t="shared" si="5"/>
        <v/>
      </c>
      <c r="W669" s="6" t="str">
        <f t="shared" si="6"/>
        <v/>
      </c>
    </row>
    <row r="670">
      <c r="A670" s="18"/>
      <c r="B670" s="18"/>
      <c r="C670" s="18"/>
      <c r="D670" s="18"/>
      <c r="E670" s="18"/>
      <c r="F670" s="18"/>
      <c r="G670" s="22"/>
      <c r="H670" s="18"/>
      <c r="I670" s="18">
        <v>0.0</v>
      </c>
      <c r="J670" s="18">
        <v>0.0</v>
      </c>
      <c r="K670" s="18"/>
      <c r="L670" s="18"/>
      <c r="M670" s="22" t="str">
        <f t="shared" si="1"/>
        <v/>
      </c>
      <c r="N670" s="18" t="str">
        <f>IF(A670="",,IF(ROW()=2, Input!$C$2 + I670, P669 + I670))</f>
        <v/>
      </c>
      <c r="O670" s="23" t="str">
        <f>IF(A670="",,
 IF(K670="Initial principal",
   Input!$C$2 * M670,
   N670 * M670
 )
)</f>
        <v/>
      </c>
      <c r="P670" s="18" t="str">
        <f t="shared" si="2"/>
        <v/>
      </c>
      <c r="Q670" s="18" t="str">
        <f t="shared" si="3"/>
        <v/>
      </c>
      <c r="R670" s="18" t="str">
        <f t="array" ref="R670">IF(
  B670="",
  ,
  SWITCH(
    Input!$C$4,
    "Actual/365 Fixed",
      YEARFRAC(
        B670 + IF(INDEX(Input!$K$7:$K1503,ROW()-1),0,1),
        C670 + IF(INDEX(Input!$L$7:$L1503,ROW()-1),1,0),
        3
      ),
    "Anniversary/365",
      DATEDIF(
        B670 + IF(INDEX(Input!$K$7:$K1503,ROW()-1),0,1),
        C670 + IF(INDEX(Input!$L$7:$L1503,ROW()-1),1,0),
        "Y"
      )
      +
      (
        (C670 + IF(INDEX(Input!$L$7:$L1503,ROW()-1),1,0))
        -
        EDATE(
          B670 + IF(INDEX(Input!$K$7:$K1503,ROW()-1),0,1),
          12*DATEDIF(
            B670 + IF(INDEX(Input!$K$7:$K1503,ROW()-1),0,1),
            C670 + IF(INDEX(Input!$L$7:$L1503,ROW()-1),1,0),
            "Y"
          )
        )
      ) / 365,
    "Actual/Actual",
      YEARFRAC(
        B670 + IF(INDEX(Input!$K$7:$K1503,ROW()-1),0,1),
        C670 + IF(INDEX(Input!$L$7:$L1503,ROW()-1),1,0),
        1
      ),
      YEARFRAC(
        B670 + IF(INDEX(Input!$K$7:$K1503,ROW()-1),0,1),
        C670 + IF(INDEX(Input!$L$7:$L1503,ROW()-1),1,0),
        3
      )
  )
)</f>
        <v/>
      </c>
      <c r="S670" s="22" t="str">
        <f t="shared" si="4"/>
        <v/>
      </c>
      <c r="T670" s="6" t="str">
        <f t="array" ref="T670">IF(
  B670="",
  ,
  DATEDIF(
    B670 + IF(INDEX(Input!$K$7:$K1503,ROW()-1),0,1),
    C670 + IF(INDEX(Input!$L$7:$L1503,ROW()-1),1,0),
    "Y"
  )
)</f>
        <v/>
      </c>
      <c r="U670" s="6" t="str">
        <f t="array" ref="U670">IF(
  B670="",
  ,
  (C670 + IF(INDEX(Input!$L$7:$L1503,ROW()-1),1,0))
  - EDATE(
      B670 + IF(INDEX(Input!$K$7:$K1503,ROW()-1),0,1),
      12*S670
    )
)</f>
        <v/>
      </c>
      <c r="V670" s="6" t="str">
        <f t="shared" si="5"/>
        <v/>
      </c>
      <c r="W670" s="6" t="str">
        <f t="shared" si="6"/>
        <v/>
      </c>
    </row>
    <row r="671">
      <c r="A671" s="18"/>
      <c r="B671" s="18"/>
      <c r="C671" s="18"/>
      <c r="D671" s="18"/>
      <c r="E671" s="18"/>
      <c r="F671" s="18"/>
      <c r="G671" s="22"/>
      <c r="H671" s="18"/>
      <c r="I671" s="18">
        <v>0.0</v>
      </c>
      <c r="J671" s="18">
        <v>0.0</v>
      </c>
      <c r="K671" s="18"/>
      <c r="L671" s="18"/>
      <c r="M671" s="22" t="str">
        <f t="shared" si="1"/>
        <v/>
      </c>
      <c r="N671" s="18" t="str">
        <f>IF(A671="",,IF(ROW()=2, Input!$C$2 + I671, P670 + I671))</f>
        <v/>
      </c>
      <c r="O671" s="23" t="str">
        <f>IF(A671="",,
 IF(K671="Initial principal",
   Input!$C$2 * M671,
   N671 * M671
 )
)</f>
        <v/>
      </c>
      <c r="P671" s="18" t="str">
        <f t="shared" si="2"/>
        <v/>
      </c>
      <c r="Q671" s="18" t="str">
        <f t="shared" si="3"/>
        <v/>
      </c>
      <c r="R671" s="18" t="str">
        <f t="array" ref="R671">IF(
  B671="",
  ,
  SWITCH(
    Input!$C$4,
    "Actual/365 Fixed",
      YEARFRAC(
        B671 + IF(INDEX(Input!$K$7:$K1503,ROW()-1),0,1),
        C671 + IF(INDEX(Input!$L$7:$L1503,ROW()-1),1,0),
        3
      ),
    "Anniversary/365",
      DATEDIF(
        B671 + IF(INDEX(Input!$K$7:$K1503,ROW()-1),0,1),
        C671 + IF(INDEX(Input!$L$7:$L1503,ROW()-1),1,0),
        "Y"
      )
      +
      (
        (C671 + IF(INDEX(Input!$L$7:$L1503,ROW()-1),1,0))
        -
        EDATE(
          B671 + IF(INDEX(Input!$K$7:$K1503,ROW()-1),0,1),
          12*DATEDIF(
            B671 + IF(INDEX(Input!$K$7:$K1503,ROW()-1),0,1),
            C671 + IF(INDEX(Input!$L$7:$L1503,ROW()-1),1,0),
            "Y"
          )
        )
      ) / 365,
    "Actual/Actual",
      YEARFRAC(
        B671 + IF(INDEX(Input!$K$7:$K1503,ROW()-1),0,1),
        C671 + IF(INDEX(Input!$L$7:$L1503,ROW()-1),1,0),
        1
      ),
      YEARFRAC(
        B671 + IF(INDEX(Input!$K$7:$K1503,ROW()-1),0,1),
        C671 + IF(INDEX(Input!$L$7:$L1503,ROW()-1),1,0),
        3
      )
  )
)</f>
        <v/>
      </c>
      <c r="S671" s="22" t="str">
        <f t="shared" si="4"/>
        <v/>
      </c>
      <c r="T671" s="6" t="str">
        <f t="array" ref="T671">IF(
  B671="",
  ,
  DATEDIF(
    B671 + IF(INDEX(Input!$K$7:$K1503,ROW()-1),0,1),
    C671 + IF(INDEX(Input!$L$7:$L1503,ROW()-1),1,0),
    "Y"
  )
)</f>
        <v/>
      </c>
      <c r="U671" s="6" t="str">
        <f t="array" ref="U671">IF(
  B671="",
  ,
  (C671 + IF(INDEX(Input!$L$7:$L1503,ROW()-1),1,0))
  - EDATE(
      B671 + IF(INDEX(Input!$K$7:$K1503,ROW()-1),0,1),
      12*S671
    )
)</f>
        <v/>
      </c>
      <c r="V671" s="6" t="str">
        <f t="shared" si="5"/>
        <v/>
      </c>
      <c r="W671" s="6" t="str">
        <f t="shared" si="6"/>
        <v/>
      </c>
    </row>
    <row r="672">
      <c r="A672" s="18"/>
      <c r="B672" s="18"/>
      <c r="C672" s="18"/>
      <c r="D672" s="18"/>
      <c r="E672" s="18"/>
      <c r="F672" s="18"/>
      <c r="G672" s="22"/>
      <c r="H672" s="18"/>
      <c r="I672" s="18">
        <v>0.0</v>
      </c>
      <c r="J672" s="18">
        <v>0.0</v>
      </c>
      <c r="K672" s="18"/>
      <c r="L672" s="18"/>
      <c r="M672" s="22" t="str">
        <f t="shared" si="1"/>
        <v/>
      </c>
      <c r="N672" s="18" t="str">
        <f>IF(A672="",,IF(ROW()=2, Input!$C$2 + I672, P671 + I672))</f>
        <v/>
      </c>
      <c r="O672" s="23" t="str">
        <f>IF(A672="",,
 IF(K672="Initial principal",
   Input!$C$2 * M672,
   N672 * M672
 )
)</f>
        <v/>
      </c>
      <c r="P672" s="18" t="str">
        <f t="shared" si="2"/>
        <v/>
      </c>
      <c r="Q672" s="18" t="str">
        <f t="shared" si="3"/>
        <v/>
      </c>
      <c r="R672" s="18" t="str">
        <f t="array" ref="R672">IF(
  B672="",
  ,
  SWITCH(
    Input!$C$4,
    "Actual/365 Fixed",
      YEARFRAC(
        B672 + IF(INDEX(Input!$K$7:$K1503,ROW()-1),0,1),
        C672 + IF(INDEX(Input!$L$7:$L1503,ROW()-1),1,0),
        3
      ),
    "Anniversary/365",
      DATEDIF(
        B672 + IF(INDEX(Input!$K$7:$K1503,ROW()-1),0,1),
        C672 + IF(INDEX(Input!$L$7:$L1503,ROW()-1),1,0),
        "Y"
      )
      +
      (
        (C672 + IF(INDEX(Input!$L$7:$L1503,ROW()-1),1,0))
        -
        EDATE(
          B672 + IF(INDEX(Input!$K$7:$K1503,ROW()-1),0,1),
          12*DATEDIF(
            B672 + IF(INDEX(Input!$K$7:$K1503,ROW()-1),0,1),
            C672 + IF(INDEX(Input!$L$7:$L1503,ROW()-1),1,0),
            "Y"
          )
        )
      ) / 365,
    "Actual/Actual",
      YEARFRAC(
        B672 + IF(INDEX(Input!$K$7:$K1503,ROW()-1),0,1),
        C672 + IF(INDEX(Input!$L$7:$L1503,ROW()-1),1,0),
        1
      ),
      YEARFRAC(
        B672 + IF(INDEX(Input!$K$7:$K1503,ROW()-1),0,1),
        C672 + IF(INDEX(Input!$L$7:$L1503,ROW()-1),1,0),
        3
      )
  )
)</f>
        <v/>
      </c>
      <c r="S672" s="22" t="str">
        <f t="shared" si="4"/>
        <v/>
      </c>
      <c r="T672" s="6" t="str">
        <f t="array" ref="T672">IF(
  B672="",
  ,
  DATEDIF(
    B672 + IF(INDEX(Input!$K$7:$K1503,ROW()-1),0,1),
    C672 + IF(INDEX(Input!$L$7:$L1503,ROW()-1),1,0),
    "Y"
  )
)</f>
        <v/>
      </c>
      <c r="U672" s="6" t="str">
        <f t="array" ref="U672">IF(
  B672="",
  ,
  (C672 + IF(INDEX(Input!$L$7:$L1503,ROW()-1),1,0))
  - EDATE(
      B672 + IF(INDEX(Input!$K$7:$K1503,ROW()-1),0,1),
      12*S672
    )
)</f>
        <v/>
      </c>
      <c r="V672" s="6" t="str">
        <f t="shared" si="5"/>
        <v/>
      </c>
      <c r="W672" s="6" t="str">
        <f t="shared" si="6"/>
        <v/>
      </c>
    </row>
    <row r="673">
      <c r="A673" s="18"/>
      <c r="B673" s="18"/>
      <c r="C673" s="18"/>
      <c r="D673" s="18"/>
      <c r="E673" s="18"/>
      <c r="F673" s="18"/>
      <c r="G673" s="22"/>
      <c r="H673" s="18"/>
      <c r="I673" s="18">
        <v>0.0</v>
      </c>
      <c r="J673" s="18">
        <v>0.0</v>
      </c>
      <c r="K673" s="18"/>
      <c r="L673" s="18"/>
      <c r="M673" s="22" t="str">
        <f t="shared" si="1"/>
        <v/>
      </c>
      <c r="N673" s="18" t="str">
        <f>IF(A673="",,IF(ROW()=2, Input!$C$2 + I673, P672 + I673))</f>
        <v/>
      </c>
      <c r="O673" s="23" t="str">
        <f>IF(A673="",,
 IF(K673="Initial principal",
   Input!$C$2 * M673,
   N673 * M673
 )
)</f>
        <v/>
      </c>
      <c r="P673" s="18" t="str">
        <f t="shared" si="2"/>
        <v/>
      </c>
      <c r="Q673" s="18" t="str">
        <f t="shared" si="3"/>
        <v/>
      </c>
      <c r="R673" s="18" t="str">
        <f t="array" ref="R673">IF(
  B673="",
  ,
  SWITCH(
    Input!$C$4,
    "Actual/365 Fixed",
      YEARFRAC(
        B673 + IF(INDEX(Input!$K$7:$K1503,ROW()-1),0,1),
        C673 + IF(INDEX(Input!$L$7:$L1503,ROW()-1),1,0),
        3
      ),
    "Anniversary/365",
      DATEDIF(
        B673 + IF(INDEX(Input!$K$7:$K1503,ROW()-1),0,1),
        C673 + IF(INDEX(Input!$L$7:$L1503,ROW()-1),1,0),
        "Y"
      )
      +
      (
        (C673 + IF(INDEX(Input!$L$7:$L1503,ROW()-1),1,0))
        -
        EDATE(
          B673 + IF(INDEX(Input!$K$7:$K1503,ROW()-1),0,1),
          12*DATEDIF(
            B673 + IF(INDEX(Input!$K$7:$K1503,ROW()-1),0,1),
            C673 + IF(INDEX(Input!$L$7:$L1503,ROW()-1),1,0),
            "Y"
          )
        )
      ) / 365,
    "Actual/Actual",
      YEARFRAC(
        B673 + IF(INDEX(Input!$K$7:$K1503,ROW()-1),0,1),
        C673 + IF(INDEX(Input!$L$7:$L1503,ROW()-1),1,0),
        1
      ),
      YEARFRAC(
        B673 + IF(INDEX(Input!$K$7:$K1503,ROW()-1),0,1),
        C673 + IF(INDEX(Input!$L$7:$L1503,ROW()-1),1,0),
        3
      )
  )
)</f>
        <v/>
      </c>
      <c r="S673" s="22" t="str">
        <f t="shared" si="4"/>
        <v/>
      </c>
      <c r="T673" s="6" t="str">
        <f t="array" ref="T673">IF(
  B673="",
  ,
  DATEDIF(
    B673 + IF(INDEX(Input!$K$7:$K1503,ROW()-1),0,1),
    C673 + IF(INDEX(Input!$L$7:$L1503,ROW()-1),1,0),
    "Y"
  )
)</f>
        <v/>
      </c>
      <c r="U673" s="6" t="str">
        <f t="array" ref="U673">IF(
  B673="",
  ,
  (C673 + IF(INDEX(Input!$L$7:$L1503,ROW()-1),1,0))
  - EDATE(
      B673 + IF(INDEX(Input!$K$7:$K1503,ROW()-1),0,1),
      12*S673
    )
)</f>
        <v/>
      </c>
      <c r="V673" s="6" t="str">
        <f t="shared" si="5"/>
        <v/>
      </c>
      <c r="W673" s="6" t="str">
        <f t="shared" si="6"/>
        <v/>
      </c>
    </row>
    <row r="674">
      <c r="A674" s="18"/>
      <c r="B674" s="18"/>
      <c r="C674" s="18"/>
      <c r="D674" s="18"/>
      <c r="E674" s="18"/>
      <c r="F674" s="18"/>
      <c r="G674" s="22"/>
      <c r="H674" s="18"/>
      <c r="I674" s="18">
        <v>0.0</v>
      </c>
      <c r="J674" s="18">
        <v>0.0</v>
      </c>
      <c r="K674" s="18"/>
      <c r="L674" s="18"/>
      <c r="M674" s="22" t="str">
        <f t="shared" si="1"/>
        <v/>
      </c>
      <c r="N674" s="18" t="str">
        <f>IF(A674="",,IF(ROW()=2, Input!$C$2 + I674, P673 + I674))</f>
        <v/>
      </c>
      <c r="O674" s="23" t="str">
        <f>IF(A674="",,
 IF(K674="Initial principal",
   Input!$C$2 * M674,
   N674 * M674
 )
)</f>
        <v/>
      </c>
      <c r="P674" s="18" t="str">
        <f t="shared" si="2"/>
        <v/>
      </c>
      <c r="Q674" s="18" t="str">
        <f t="shared" si="3"/>
        <v/>
      </c>
      <c r="R674" s="18" t="str">
        <f t="array" ref="R674">IF(
  B674="",
  ,
  SWITCH(
    Input!$C$4,
    "Actual/365 Fixed",
      YEARFRAC(
        B674 + IF(INDEX(Input!$K$7:$K1503,ROW()-1),0,1),
        C674 + IF(INDEX(Input!$L$7:$L1503,ROW()-1),1,0),
        3
      ),
    "Anniversary/365",
      DATEDIF(
        B674 + IF(INDEX(Input!$K$7:$K1503,ROW()-1),0,1),
        C674 + IF(INDEX(Input!$L$7:$L1503,ROW()-1),1,0),
        "Y"
      )
      +
      (
        (C674 + IF(INDEX(Input!$L$7:$L1503,ROW()-1),1,0))
        -
        EDATE(
          B674 + IF(INDEX(Input!$K$7:$K1503,ROW()-1),0,1),
          12*DATEDIF(
            B674 + IF(INDEX(Input!$K$7:$K1503,ROW()-1),0,1),
            C674 + IF(INDEX(Input!$L$7:$L1503,ROW()-1),1,0),
            "Y"
          )
        )
      ) / 365,
    "Actual/Actual",
      YEARFRAC(
        B674 + IF(INDEX(Input!$K$7:$K1503,ROW()-1),0,1),
        C674 + IF(INDEX(Input!$L$7:$L1503,ROW()-1),1,0),
        1
      ),
      YEARFRAC(
        B674 + IF(INDEX(Input!$K$7:$K1503,ROW()-1),0,1),
        C674 + IF(INDEX(Input!$L$7:$L1503,ROW()-1),1,0),
        3
      )
  )
)</f>
        <v/>
      </c>
      <c r="S674" s="22" t="str">
        <f t="shared" si="4"/>
        <v/>
      </c>
      <c r="T674" s="6" t="str">
        <f t="array" ref="T674">IF(
  B674="",
  ,
  DATEDIF(
    B674 + IF(INDEX(Input!$K$7:$K1503,ROW()-1),0,1),
    C674 + IF(INDEX(Input!$L$7:$L1503,ROW()-1),1,0),
    "Y"
  )
)</f>
        <v/>
      </c>
      <c r="U674" s="6" t="str">
        <f t="array" ref="U674">IF(
  B674="",
  ,
  (C674 + IF(INDEX(Input!$L$7:$L1503,ROW()-1),1,0))
  - EDATE(
      B674 + IF(INDEX(Input!$K$7:$K1503,ROW()-1),0,1),
      12*S674
    )
)</f>
        <v/>
      </c>
      <c r="V674" s="6" t="str">
        <f t="shared" si="5"/>
        <v/>
      </c>
      <c r="W674" s="6" t="str">
        <f t="shared" si="6"/>
        <v/>
      </c>
    </row>
    <row r="675">
      <c r="A675" s="18"/>
      <c r="B675" s="18"/>
      <c r="C675" s="18"/>
      <c r="D675" s="18"/>
      <c r="E675" s="18"/>
      <c r="F675" s="18"/>
      <c r="G675" s="22"/>
      <c r="H675" s="18"/>
      <c r="I675" s="18">
        <v>0.0</v>
      </c>
      <c r="J675" s="18">
        <v>0.0</v>
      </c>
      <c r="K675" s="18"/>
      <c r="L675" s="18"/>
      <c r="M675" s="22" t="str">
        <f t="shared" si="1"/>
        <v/>
      </c>
      <c r="N675" s="18" t="str">
        <f>IF(A675="",,IF(ROW()=2, Input!$C$2 + I675, P674 + I675))</f>
        <v/>
      </c>
      <c r="O675" s="23" t="str">
        <f>IF(A675="",,
 IF(K675="Initial principal",
   Input!$C$2 * M675,
   N675 * M675
 )
)</f>
        <v/>
      </c>
      <c r="P675" s="18" t="str">
        <f t="shared" si="2"/>
        <v/>
      </c>
      <c r="Q675" s="18" t="str">
        <f t="shared" si="3"/>
        <v/>
      </c>
      <c r="R675" s="18" t="str">
        <f t="array" ref="R675">IF(
  B675="",
  ,
  SWITCH(
    Input!$C$4,
    "Actual/365 Fixed",
      YEARFRAC(
        B675 + IF(INDEX(Input!$K$7:$K1503,ROW()-1),0,1),
        C675 + IF(INDEX(Input!$L$7:$L1503,ROW()-1),1,0),
        3
      ),
    "Anniversary/365",
      DATEDIF(
        B675 + IF(INDEX(Input!$K$7:$K1503,ROW()-1),0,1),
        C675 + IF(INDEX(Input!$L$7:$L1503,ROW()-1),1,0),
        "Y"
      )
      +
      (
        (C675 + IF(INDEX(Input!$L$7:$L1503,ROW()-1),1,0))
        -
        EDATE(
          B675 + IF(INDEX(Input!$K$7:$K1503,ROW()-1),0,1),
          12*DATEDIF(
            B675 + IF(INDEX(Input!$K$7:$K1503,ROW()-1),0,1),
            C675 + IF(INDEX(Input!$L$7:$L1503,ROW()-1),1,0),
            "Y"
          )
        )
      ) / 365,
    "Actual/Actual",
      YEARFRAC(
        B675 + IF(INDEX(Input!$K$7:$K1503,ROW()-1),0,1),
        C675 + IF(INDEX(Input!$L$7:$L1503,ROW()-1),1,0),
        1
      ),
      YEARFRAC(
        B675 + IF(INDEX(Input!$K$7:$K1503,ROW()-1),0,1),
        C675 + IF(INDEX(Input!$L$7:$L1503,ROW()-1),1,0),
        3
      )
  )
)</f>
        <v/>
      </c>
      <c r="S675" s="22" t="str">
        <f t="shared" si="4"/>
        <v/>
      </c>
      <c r="T675" s="6" t="str">
        <f t="array" ref="T675">IF(
  B675="",
  ,
  DATEDIF(
    B675 + IF(INDEX(Input!$K$7:$K1503,ROW()-1),0,1),
    C675 + IF(INDEX(Input!$L$7:$L1503,ROW()-1),1,0),
    "Y"
  )
)</f>
        <v/>
      </c>
      <c r="U675" s="6" t="str">
        <f t="array" ref="U675">IF(
  B675="",
  ,
  (C675 + IF(INDEX(Input!$L$7:$L1503,ROW()-1),1,0))
  - EDATE(
      B675 + IF(INDEX(Input!$K$7:$K1503,ROW()-1),0,1),
      12*S675
    )
)</f>
        <v/>
      </c>
      <c r="V675" s="6" t="str">
        <f t="shared" si="5"/>
        <v/>
      </c>
      <c r="W675" s="6" t="str">
        <f t="shared" si="6"/>
        <v/>
      </c>
    </row>
    <row r="676">
      <c r="A676" s="18"/>
      <c r="B676" s="18"/>
      <c r="C676" s="18"/>
      <c r="D676" s="18"/>
      <c r="E676" s="18"/>
      <c r="F676" s="18"/>
      <c r="G676" s="22"/>
      <c r="H676" s="18"/>
      <c r="I676" s="18">
        <v>0.0</v>
      </c>
      <c r="J676" s="18">
        <v>0.0</v>
      </c>
      <c r="K676" s="18"/>
      <c r="L676" s="18"/>
      <c r="M676" s="22" t="str">
        <f t="shared" si="1"/>
        <v/>
      </c>
      <c r="N676" s="18" t="str">
        <f>IF(A676="",,IF(ROW()=2, Input!$C$2 + I676, P675 + I676))</f>
        <v/>
      </c>
      <c r="O676" s="23" t="str">
        <f>IF(A676="",,
 IF(K676="Initial principal",
   Input!$C$2 * M676,
   N676 * M676
 )
)</f>
        <v/>
      </c>
      <c r="P676" s="18" t="str">
        <f t="shared" si="2"/>
        <v/>
      </c>
      <c r="Q676" s="18" t="str">
        <f t="shared" si="3"/>
        <v/>
      </c>
      <c r="R676" s="18" t="str">
        <f t="array" ref="R676">IF(
  B676="",
  ,
  SWITCH(
    Input!$C$4,
    "Actual/365 Fixed",
      YEARFRAC(
        B676 + IF(INDEX(Input!$K$7:$K1503,ROW()-1),0,1),
        C676 + IF(INDEX(Input!$L$7:$L1503,ROW()-1),1,0),
        3
      ),
    "Anniversary/365",
      DATEDIF(
        B676 + IF(INDEX(Input!$K$7:$K1503,ROW()-1),0,1),
        C676 + IF(INDEX(Input!$L$7:$L1503,ROW()-1),1,0),
        "Y"
      )
      +
      (
        (C676 + IF(INDEX(Input!$L$7:$L1503,ROW()-1),1,0))
        -
        EDATE(
          B676 + IF(INDEX(Input!$K$7:$K1503,ROW()-1),0,1),
          12*DATEDIF(
            B676 + IF(INDEX(Input!$K$7:$K1503,ROW()-1),0,1),
            C676 + IF(INDEX(Input!$L$7:$L1503,ROW()-1),1,0),
            "Y"
          )
        )
      ) / 365,
    "Actual/Actual",
      YEARFRAC(
        B676 + IF(INDEX(Input!$K$7:$K1503,ROW()-1),0,1),
        C676 + IF(INDEX(Input!$L$7:$L1503,ROW()-1),1,0),
        1
      ),
      YEARFRAC(
        B676 + IF(INDEX(Input!$K$7:$K1503,ROW()-1),0,1),
        C676 + IF(INDEX(Input!$L$7:$L1503,ROW()-1),1,0),
        3
      )
  )
)</f>
        <v/>
      </c>
      <c r="S676" s="22" t="str">
        <f t="shared" si="4"/>
        <v/>
      </c>
      <c r="T676" s="6" t="str">
        <f t="array" ref="T676">IF(
  B676="",
  ,
  DATEDIF(
    B676 + IF(INDEX(Input!$K$7:$K1503,ROW()-1),0,1),
    C676 + IF(INDEX(Input!$L$7:$L1503,ROW()-1),1,0),
    "Y"
  )
)</f>
        <v/>
      </c>
      <c r="U676" s="6" t="str">
        <f t="array" ref="U676">IF(
  B676="",
  ,
  (C676 + IF(INDEX(Input!$L$7:$L1503,ROW()-1),1,0))
  - EDATE(
      B676 + IF(INDEX(Input!$K$7:$K1503,ROW()-1),0,1),
      12*S676
    )
)</f>
        <v/>
      </c>
      <c r="V676" s="6" t="str">
        <f t="shared" si="5"/>
        <v/>
      </c>
      <c r="W676" s="6" t="str">
        <f t="shared" si="6"/>
        <v/>
      </c>
    </row>
    <row r="677">
      <c r="A677" s="18"/>
      <c r="B677" s="18"/>
      <c r="C677" s="18"/>
      <c r="D677" s="18"/>
      <c r="E677" s="18"/>
      <c r="F677" s="18"/>
      <c r="G677" s="22"/>
      <c r="H677" s="18"/>
      <c r="I677" s="18">
        <v>0.0</v>
      </c>
      <c r="J677" s="18">
        <v>0.0</v>
      </c>
      <c r="K677" s="18"/>
      <c r="L677" s="18"/>
      <c r="M677" s="22" t="str">
        <f t="shared" si="1"/>
        <v/>
      </c>
      <c r="N677" s="18" t="str">
        <f>IF(A677="",,IF(ROW()=2, Input!$C$2 + I677, P676 + I677))</f>
        <v/>
      </c>
      <c r="O677" s="23" t="str">
        <f>IF(A677="",,
 IF(K677="Initial principal",
   Input!$C$2 * M677,
   N677 * M677
 )
)</f>
        <v/>
      </c>
      <c r="P677" s="18" t="str">
        <f t="shared" si="2"/>
        <v/>
      </c>
      <c r="Q677" s="18" t="str">
        <f t="shared" si="3"/>
        <v/>
      </c>
      <c r="R677" s="18" t="str">
        <f t="array" ref="R677">IF(
  B677="",
  ,
  SWITCH(
    Input!$C$4,
    "Actual/365 Fixed",
      YEARFRAC(
        B677 + IF(INDEX(Input!$K$7:$K1503,ROW()-1),0,1),
        C677 + IF(INDEX(Input!$L$7:$L1503,ROW()-1),1,0),
        3
      ),
    "Anniversary/365",
      DATEDIF(
        B677 + IF(INDEX(Input!$K$7:$K1503,ROW()-1),0,1),
        C677 + IF(INDEX(Input!$L$7:$L1503,ROW()-1),1,0),
        "Y"
      )
      +
      (
        (C677 + IF(INDEX(Input!$L$7:$L1503,ROW()-1),1,0))
        -
        EDATE(
          B677 + IF(INDEX(Input!$K$7:$K1503,ROW()-1),0,1),
          12*DATEDIF(
            B677 + IF(INDEX(Input!$K$7:$K1503,ROW()-1),0,1),
            C677 + IF(INDEX(Input!$L$7:$L1503,ROW()-1),1,0),
            "Y"
          )
        )
      ) / 365,
    "Actual/Actual",
      YEARFRAC(
        B677 + IF(INDEX(Input!$K$7:$K1503,ROW()-1),0,1),
        C677 + IF(INDEX(Input!$L$7:$L1503,ROW()-1),1,0),
        1
      ),
      YEARFRAC(
        B677 + IF(INDEX(Input!$K$7:$K1503,ROW()-1),0,1),
        C677 + IF(INDEX(Input!$L$7:$L1503,ROW()-1),1,0),
        3
      )
  )
)</f>
        <v/>
      </c>
      <c r="S677" s="22" t="str">
        <f t="shared" si="4"/>
        <v/>
      </c>
      <c r="T677" s="6" t="str">
        <f t="array" ref="T677">IF(
  B677="",
  ,
  DATEDIF(
    B677 + IF(INDEX(Input!$K$7:$K1503,ROW()-1),0,1),
    C677 + IF(INDEX(Input!$L$7:$L1503,ROW()-1),1,0),
    "Y"
  )
)</f>
        <v/>
      </c>
      <c r="U677" s="6" t="str">
        <f t="array" ref="U677">IF(
  B677="",
  ,
  (C677 + IF(INDEX(Input!$L$7:$L1503,ROW()-1),1,0))
  - EDATE(
      B677 + IF(INDEX(Input!$K$7:$K1503,ROW()-1),0,1),
      12*S677
    )
)</f>
        <v/>
      </c>
      <c r="V677" s="6" t="str">
        <f t="shared" si="5"/>
        <v/>
      </c>
      <c r="W677" s="6" t="str">
        <f t="shared" si="6"/>
        <v/>
      </c>
    </row>
    <row r="678">
      <c r="A678" s="18"/>
      <c r="B678" s="18"/>
      <c r="C678" s="18"/>
      <c r="D678" s="18"/>
      <c r="E678" s="18"/>
      <c r="F678" s="18"/>
      <c r="G678" s="22"/>
      <c r="H678" s="18"/>
      <c r="I678" s="18">
        <v>0.0</v>
      </c>
      <c r="J678" s="18">
        <v>0.0</v>
      </c>
      <c r="K678" s="18"/>
      <c r="L678" s="18"/>
      <c r="M678" s="22" t="str">
        <f t="shared" si="1"/>
        <v/>
      </c>
      <c r="N678" s="18" t="str">
        <f>IF(A678="",,IF(ROW()=2, Input!$C$2 + I678, P677 + I678))</f>
        <v/>
      </c>
      <c r="O678" s="23" t="str">
        <f>IF(A678="",,
 IF(K678="Initial principal",
   Input!$C$2 * M678,
   N678 * M678
 )
)</f>
        <v/>
      </c>
      <c r="P678" s="18" t="str">
        <f t="shared" si="2"/>
        <v/>
      </c>
      <c r="Q678" s="18" t="str">
        <f t="shared" si="3"/>
        <v/>
      </c>
      <c r="R678" s="18" t="str">
        <f t="array" ref="R678">IF(
  B678="",
  ,
  SWITCH(
    Input!$C$4,
    "Actual/365 Fixed",
      YEARFRAC(
        B678 + IF(INDEX(Input!$K$7:$K1503,ROW()-1),0,1),
        C678 + IF(INDEX(Input!$L$7:$L1503,ROW()-1),1,0),
        3
      ),
    "Anniversary/365",
      DATEDIF(
        B678 + IF(INDEX(Input!$K$7:$K1503,ROW()-1),0,1),
        C678 + IF(INDEX(Input!$L$7:$L1503,ROW()-1),1,0),
        "Y"
      )
      +
      (
        (C678 + IF(INDEX(Input!$L$7:$L1503,ROW()-1),1,0))
        -
        EDATE(
          B678 + IF(INDEX(Input!$K$7:$K1503,ROW()-1),0,1),
          12*DATEDIF(
            B678 + IF(INDEX(Input!$K$7:$K1503,ROW()-1),0,1),
            C678 + IF(INDEX(Input!$L$7:$L1503,ROW()-1),1,0),
            "Y"
          )
        )
      ) / 365,
    "Actual/Actual",
      YEARFRAC(
        B678 + IF(INDEX(Input!$K$7:$K1503,ROW()-1),0,1),
        C678 + IF(INDEX(Input!$L$7:$L1503,ROW()-1),1,0),
        1
      ),
      YEARFRAC(
        B678 + IF(INDEX(Input!$K$7:$K1503,ROW()-1),0,1),
        C678 + IF(INDEX(Input!$L$7:$L1503,ROW()-1),1,0),
        3
      )
  )
)</f>
        <v/>
      </c>
      <c r="S678" s="22" t="str">
        <f t="shared" si="4"/>
        <v/>
      </c>
      <c r="T678" s="6" t="str">
        <f t="array" ref="T678">IF(
  B678="",
  ,
  DATEDIF(
    B678 + IF(INDEX(Input!$K$7:$K1503,ROW()-1),0,1),
    C678 + IF(INDEX(Input!$L$7:$L1503,ROW()-1),1,0),
    "Y"
  )
)</f>
        <v/>
      </c>
      <c r="U678" s="6" t="str">
        <f t="array" ref="U678">IF(
  B678="",
  ,
  (C678 + IF(INDEX(Input!$L$7:$L1503,ROW()-1),1,0))
  - EDATE(
      B678 + IF(INDEX(Input!$K$7:$K1503,ROW()-1),0,1),
      12*S678
    )
)</f>
        <v/>
      </c>
      <c r="V678" s="6" t="str">
        <f t="shared" si="5"/>
        <v/>
      </c>
      <c r="W678" s="6" t="str">
        <f t="shared" si="6"/>
        <v/>
      </c>
    </row>
    <row r="679">
      <c r="A679" s="18"/>
      <c r="B679" s="18"/>
      <c r="C679" s="18"/>
      <c r="D679" s="18"/>
      <c r="E679" s="18"/>
      <c r="F679" s="18"/>
      <c r="G679" s="22"/>
      <c r="H679" s="18"/>
      <c r="I679" s="18">
        <v>0.0</v>
      </c>
      <c r="J679" s="18">
        <v>0.0</v>
      </c>
      <c r="K679" s="18"/>
      <c r="L679" s="18"/>
      <c r="M679" s="22" t="str">
        <f t="shared" si="1"/>
        <v/>
      </c>
      <c r="N679" s="18" t="str">
        <f>IF(A679="",,IF(ROW()=2, Input!$C$2 + I679, P678 + I679))</f>
        <v/>
      </c>
      <c r="O679" s="23" t="str">
        <f>IF(A679="",,
 IF(K679="Initial principal",
   Input!$C$2 * M679,
   N679 * M679
 )
)</f>
        <v/>
      </c>
      <c r="P679" s="18" t="str">
        <f t="shared" si="2"/>
        <v/>
      </c>
      <c r="Q679" s="18" t="str">
        <f t="shared" si="3"/>
        <v/>
      </c>
      <c r="R679" s="18" t="str">
        <f t="array" ref="R679">IF(
  B679="",
  ,
  SWITCH(
    Input!$C$4,
    "Actual/365 Fixed",
      YEARFRAC(
        B679 + IF(INDEX(Input!$K$7:$K1503,ROW()-1),0,1),
        C679 + IF(INDEX(Input!$L$7:$L1503,ROW()-1),1,0),
        3
      ),
    "Anniversary/365",
      DATEDIF(
        B679 + IF(INDEX(Input!$K$7:$K1503,ROW()-1),0,1),
        C679 + IF(INDEX(Input!$L$7:$L1503,ROW()-1),1,0),
        "Y"
      )
      +
      (
        (C679 + IF(INDEX(Input!$L$7:$L1503,ROW()-1),1,0))
        -
        EDATE(
          B679 + IF(INDEX(Input!$K$7:$K1503,ROW()-1),0,1),
          12*DATEDIF(
            B679 + IF(INDEX(Input!$K$7:$K1503,ROW()-1),0,1),
            C679 + IF(INDEX(Input!$L$7:$L1503,ROW()-1),1,0),
            "Y"
          )
        )
      ) / 365,
    "Actual/Actual",
      YEARFRAC(
        B679 + IF(INDEX(Input!$K$7:$K1503,ROW()-1),0,1),
        C679 + IF(INDEX(Input!$L$7:$L1503,ROW()-1),1,0),
        1
      ),
      YEARFRAC(
        B679 + IF(INDEX(Input!$K$7:$K1503,ROW()-1),0,1),
        C679 + IF(INDEX(Input!$L$7:$L1503,ROW()-1),1,0),
        3
      )
  )
)</f>
        <v/>
      </c>
      <c r="S679" s="22" t="str">
        <f t="shared" si="4"/>
        <v/>
      </c>
      <c r="T679" s="6" t="str">
        <f t="array" ref="T679">IF(
  B679="",
  ,
  DATEDIF(
    B679 + IF(INDEX(Input!$K$7:$K1503,ROW()-1),0,1),
    C679 + IF(INDEX(Input!$L$7:$L1503,ROW()-1),1,0),
    "Y"
  )
)</f>
        <v/>
      </c>
      <c r="U679" s="6" t="str">
        <f t="array" ref="U679">IF(
  B679="",
  ,
  (C679 + IF(INDEX(Input!$L$7:$L1503,ROW()-1),1,0))
  - EDATE(
      B679 + IF(INDEX(Input!$K$7:$K1503,ROW()-1),0,1),
      12*S679
    )
)</f>
        <v/>
      </c>
      <c r="V679" s="6" t="str">
        <f t="shared" si="5"/>
        <v/>
      </c>
      <c r="W679" s="6" t="str">
        <f t="shared" si="6"/>
        <v/>
      </c>
    </row>
    <row r="680">
      <c r="A680" s="18"/>
      <c r="B680" s="18"/>
      <c r="C680" s="18"/>
      <c r="D680" s="18"/>
      <c r="E680" s="18"/>
      <c r="F680" s="18"/>
      <c r="G680" s="22"/>
      <c r="H680" s="18"/>
      <c r="I680" s="18">
        <v>0.0</v>
      </c>
      <c r="J680" s="18">
        <v>0.0</v>
      </c>
      <c r="K680" s="18"/>
      <c r="L680" s="18"/>
      <c r="M680" s="22" t="str">
        <f t="shared" si="1"/>
        <v/>
      </c>
      <c r="N680" s="18" t="str">
        <f>IF(A680="",,IF(ROW()=2, Input!$C$2 + I680, P679 + I680))</f>
        <v/>
      </c>
      <c r="O680" s="23" t="str">
        <f>IF(A680="",,
 IF(K680="Initial principal",
   Input!$C$2 * M680,
   N680 * M680
 )
)</f>
        <v/>
      </c>
      <c r="P680" s="18" t="str">
        <f t="shared" si="2"/>
        <v/>
      </c>
      <c r="Q680" s="18" t="str">
        <f t="shared" si="3"/>
        <v/>
      </c>
      <c r="R680" s="18" t="str">
        <f t="array" ref="R680">IF(
  B680="",
  ,
  SWITCH(
    Input!$C$4,
    "Actual/365 Fixed",
      YEARFRAC(
        B680 + IF(INDEX(Input!$K$7:$K1503,ROW()-1),0,1),
        C680 + IF(INDEX(Input!$L$7:$L1503,ROW()-1),1,0),
        3
      ),
    "Anniversary/365",
      DATEDIF(
        B680 + IF(INDEX(Input!$K$7:$K1503,ROW()-1),0,1),
        C680 + IF(INDEX(Input!$L$7:$L1503,ROW()-1),1,0),
        "Y"
      )
      +
      (
        (C680 + IF(INDEX(Input!$L$7:$L1503,ROW()-1),1,0))
        -
        EDATE(
          B680 + IF(INDEX(Input!$K$7:$K1503,ROW()-1),0,1),
          12*DATEDIF(
            B680 + IF(INDEX(Input!$K$7:$K1503,ROW()-1),0,1),
            C680 + IF(INDEX(Input!$L$7:$L1503,ROW()-1),1,0),
            "Y"
          )
        )
      ) / 365,
    "Actual/Actual",
      YEARFRAC(
        B680 + IF(INDEX(Input!$K$7:$K1503,ROW()-1),0,1),
        C680 + IF(INDEX(Input!$L$7:$L1503,ROW()-1),1,0),
        1
      ),
      YEARFRAC(
        B680 + IF(INDEX(Input!$K$7:$K1503,ROW()-1),0,1),
        C680 + IF(INDEX(Input!$L$7:$L1503,ROW()-1),1,0),
        3
      )
  )
)</f>
        <v/>
      </c>
      <c r="S680" s="22" t="str">
        <f t="shared" si="4"/>
        <v/>
      </c>
      <c r="T680" s="6" t="str">
        <f t="array" ref="T680">IF(
  B680="",
  ,
  DATEDIF(
    B680 + IF(INDEX(Input!$K$7:$K1503,ROW()-1),0,1),
    C680 + IF(INDEX(Input!$L$7:$L1503,ROW()-1),1,0),
    "Y"
  )
)</f>
        <v/>
      </c>
      <c r="U680" s="6" t="str">
        <f t="array" ref="U680">IF(
  B680="",
  ,
  (C680 + IF(INDEX(Input!$L$7:$L1503,ROW()-1),1,0))
  - EDATE(
      B680 + IF(INDEX(Input!$K$7:$K1503,ROW()-1),0,1),
      12*S680
    )
)</f>
        <v/>
      </c>
      <c r="V680" s="6" t="str">
        <f t="shared" si="5"/>
        <v/>
      </c>
      <c r="W680" s="6" t="str">
        <f t="shared" si="6"/>
        <v/>
      </c>
    </row>
    <row r="681">
      <c r="A681" s="18"/>
      <c r="B681" s="18"/>
      <c r="C681" s="18"/>
      <c r="D681" s="18"/>
      <c r="E681" s="18"/>
      <c r="F681" s="18"/>
      <c r="G681" s="22"/>
      <c r="H681" s="18"/>
      <c r="I681" s="18">
        <v>0.0</v>
      </c>
      <c r="J681" s="18">
        <v>0.0</v>
      </c>
      <c r="K681" s="18"/>
      <c r="L681" s="18"/>
      <c r="M681" s="22" t="str">
        <f t="shared" si="1"/>
        <v/>
      </c>
      <c r="N681" s="18" t="str">
        <f>IF(A681="",,IF(ROW()=2, Input!$C$2 + I681, P680 + I681))</f>
        <v/>
      </c>
      <c r="O681" s="23" t="str">
        <f>IF(A681="",,
 IF(K681="Initial principal",
   Input!$C$2 * M681,
   N681 * M681
 )
)</f>
        <v/>
      </c>
      <c r="P681" s="18" t="str">
        <f t="shared" si="2"/>
        <v/>
      </c>
      <c r="Q681" s="18" t="str">
        <f t="shared" si="3"/>
        <v/>
      </c>
      <c r="R681" s="18" t="str">
        <f t="array" ref="R681">IF(
  B681="",
  ,
  SWITCH(
    Input!$C$4,
    "Actual/365 Fixed",
      YEARFRAC(
        B681 + IF(INDEX(Input!$K$7:$K1503,ROW()-1),0,1),
        C681 + IF(INDEX(Input!$L$7:$L1503,ROW()-1),1,0),
        3
      ),
    "Anniversary/365",
      DATEDIF(
        B681 + IF(INDEX(Input!$K$7:$K1503,ROW()-1),0,1),
        C681 + IF(INDEX(Input!$L$7:$L1503,ROW()-1),1,0),
        "Y"
      )
      +
      (
        (C681 + IF(INDEX(Input!$L$7:$L1503,ROW()-1),1,0))
        -
        EDATE(
          B681 + IF(INDEX(Input!$K$7:$K1503,ROW()-1),0,1),
          12*DATEDIF(
            B681 + IF(INDEX(Input!$K$7:$K1503,ROW()-1),0,1),
            C681 + IF(INDEX(Input!$L$7:$L1503,ROW()-1),1,0),
            "Y"
          )
        )
      ) / 365,
    "Actual/Actual",
      YEARFRAC(
        B681 + IF(INDEX(Input!$K$7:$K1503,ROW()-1),0,1),
        C681 + IF(INDEX(Input!$L$7:$L1503,ROW()-1),1,0),
        1
      ),
      YEARFRAC(
        B681 + IF(INDEX(Input!$K$7:$K1503,ROW()-1),0,1),
        C681 + IF(INDEX(Input!$L$7:$L1503,ROW()-1),1,0),
        3
      )
  )
)</f>
        <v/>
      </c>
      <c r="S681" s="22" t="str">
        <f t="shared" si="4"/>
        <v/>
      </c>
      <c r="T681" s="6" t="str">
        <f t="array" ref="T681">IF(
  B681="",
  ,
  DATEDIF(
    B681 + IF(INDEX(Input!$K$7:$K1503,ROW()-1),0,1),
    C681 + IF(INDEX(Input!$L$7:$L1503,ROW()-1),1,0),
    "Y"
  )
)</f>
        <v/>
      </c>
      <c r="U681" s="6" t="str">
        <f t="array" ref="U681">IF(
  B681="",
  ,
  (C681 + IF(INDEX(Input!$L$7:$L1503,ROW()-1),1,0))
  - EDATE(
      B681 + IF(INDEX(Input!$K$7:$K1503,ROW()-1),0,1),
      12*S681
    )
)</f>
        <v/>
      </c>
      <c r="V681" s="6" t="str">
        <f t="shared" si="5"/>
        <v/>
      </c>
      <c r="W681" s="6" t="str">
        <f t="shared" si="6"/>
        <v/>
      </c>
    </row>
    <row r="682">
      <c r="A682" s="18"/>
      <c r="B682" s="18"/>
      <c r="C682" s="18"/>
      <c r="D682" s="18"/>
      <c r="E682" s="18"/>
      <c r="F682" s="18"/>
      <c r="G682" s="22"/>
      <c r="H682" s="18"/>
      <c r="I682" s="18">
        <v>0.0</v>
      </c>
      <c r="J682" s="18">
        <v>0.0</v>
      </c>
      <c r="K682" s="18"/>
      <c r="L682" s="18"/>
      <c r="M682" s="22" t="str">
        <f t="shared" si="1"/>
        <v/>
      </c>
      <c r="N682" s="18" t="str">
        <f>IF(A682="",,IF(ROW()=2, Input!$C$2 + I682, P681 + I682))</f>
        <v/>
      </c>
      <c r="O682" s="23" t="str">
        <f>IF(A682="",,
 IF(K682="Initial principal",
   Input!$C$2 * M682,
   N682 * M682
 )
)</f>
        <v/>
      </c>
      <c r="P682" s="18" t="str">
        <f t="shared" si="2"/>
        <v/>
      </c>
      <c r="Q682" s="18" t="str">
        <f t="shared" si="3"/>
        <v/>
      </c>
      <c r="R682" s="18" t="str">
        <f t="array" ref="R682">IF(
  B682="",
  ,
  SWITCH(
    Input!$C$4,
    "Actual/365 Fixed",
      YEARFRAC(
        B682 + IF(INDEX(Input!$K$7:$K1503,ROW()-1),0,1),
        C682 + IF(INDEX(Input!$L$7:$L1503,ROW()-1),1,0),
        3
      ),
    "Anniversary/365",
      DATEDIF(
        B682 + IF(INDEX(Input!$K$7:$K1503,ROW()-1),0,1),
        C682 + IF(INDEX(Input!$L$7:$L1503,ROW()-1),1,0),
        "Y"
      )
      +
      (
        (C682 + IF(INDEX(Input!$L$7:$L1503,ROW()-1),1,0))
        -
        EDATE(
          B682 + IF(INDEX(Input!$K$7:$K1503,ROW()-1),0,1),
          12*DATEDIF(
            B682 + IF(INDEX(Input!$K$7:$K1503,ROW()-1),0,1),
            C682 + IF(INDEX(Input!$L$7:$L1503,ROW()-1),1,0),
            "Y"
          )
        )
      ) / 365,
    "Actual/Actual",
      YEARFRAC(
        B682 + IF(INDEX(Input!$K$7:$K1503,ROW()-1),0,1),
        C682 + IF(INDEX(Input!$L$7:$L1503,ROW()-1),1,0),
        1
      ),
      YEARFRAC(
        B682 + IF(INDEX(Input!$K$7:$K1503,ROW()-1),0,1),
        C682 + IF(INDEX(Input!$L$7:$L1503,ROW()-1),1,0),
        3
      )
  )
)</f>
        <v/>
      </c>
      <c r="S682" s="22" t="str">
        <f t="shared" si="4"/>
        <v/>
      </c>
      <c r="T682" s="6" t="str">
        <f t="array" ref="T682">IF(
  B682="",
  ,
  DATEDIF(
    B682 + IF(INDEX(Input!$K$7:$K1503,ROW()-1),0,1),
    C682 + IF(INDEX(Input!$L$7:$L1503,ROW()-1),1,0),
    "Y"
  )
)</f>
        <v/>
      </c>
      <c r="U682" s="6" t="str">
        <f t="array" ref="U682">IF(
  B682="",
  ,
  (C682 + IF(INDEX(Input!$L$7:$L1503,ROW()-1),1,0))
  - EDATE(
      B682 + IF(INDEX(Input!$K$7:$K1503,ROW()-1),0,1),
      12*S682
    )
)</f>
        <v/>
      </c>
      <c r="V682" s="6" t="str">
        <f t="shared" si="5"/>
        <v/>
      </c>
      <c r="W682" s="6" t="str">
        <f t="shared" si="6"/>
        <v/>
      </c>
    </row>
    <row r="683">
      <c r="A683" s="18"/>
      <c r="B683" s="18"/>
      <c r="C683" s="18"/>
      <c r="D683" s="18"/>
      <c r="E683" s="18"/>
      <c r="F683" s="18"/>
      <c r="G683" s="22"/>
      <c r="H683" s="18"/>
      <c r="I683" s="18">
        <v>0.0</v>
      </c>
      <c r="J683" s="18">
        <v>0.0</v>
      </c>
      <c r="K683" s="18"/>
      <c r="L683" s="18"/>
      <c r="M683" s="22" t="str">
        <f t="shared" si="1"/>
        <v/>
      </c>
      <c r="N683" s="18" t="str">
        <f>IF(A683="",,IF(ROW()=2, Input!$C$2 + I683, P682 + I683))</f>
        <v/>
      </c>
      <c r="O683" s="23" t="str">
        <f>IF(A683="",,
 IF(K683="Initial principal",
   Input!$C$2 * M683,
   N683 * M683
 )
)</f>
        <v/>
      </c>
      <c r="P683" s="18" t="str">
        <f t="shared" si="2"/>
        <v/>
      </c>
      <c r="Q683" s="18" t="str">
        <f t="shared" si="3"/>
        <v/>
      </c>
      <c r="R683" s="18" t="str">
        <f t="array" ref="R683">IF(
  B683="",
  ,
  SWITCH(
    Input!$C$4,
    "Actual/365 Fixed",
      YEARFRAC(
        B683 + IF(INDEX(Input!$K$7:$K1503,ROW()-1),0,1),
        C683 + IF(INDEX(Input!$L$7:$L1503,ROW()-1),1,0),
        3
      ),
    "Anniversary/365",
      DATEDIF(
        B683 + IF(INDEX(Input!$K$7:$K1503,ROW()-1),0,1),
        C683 + IF(INDEX(Input!$L$7:$L1503,ROW()-1),1,0),
        "Y"
      )
      +
      (
        (C683 + IF(INDEX(Input!$L$7:$L1503,ROW()-1),1,0))
        -
        EDATE(
          B683 + IF(INDEX(Input!$K$7:$K1503,ROW()-1),0,1),
          12*DATEDIF(
            B683 + IF(INDEX(Input!$K$7:$K1503,ROW()-1),0,1),
            C683 + IF(INDEX(Input!$L$7:$L1503,ROW()-1),1,0),
            "Y"
          )
        )
      ) / 365,
    "Actual/Actual",
      YEARFRAC(
        B683 + IF(INDEX(Input!$K$7:$K1503,ROW()-1),0,1),
        C683 + IF(INDEX(Input!$L$7:$L1503,ROW()-1),1,0),
        1
      ),
      YEARFRAC(
        B683 + IF(INDEX(Input!$K$7:$K1503,ROW()-1),0,1),
        C683 + IF(INDEX(Input!$L$7:$L1503,ROW()-1),1,0),
        3
      )
  )
)</f>
        <v/>
      </c>
      <c r="S683" s="22" t="str">
        <f t="shared" si="4"/>
        <v/>
      </c>
      <c r="T683" s="6" t="str">
        <f t="array" ref="T683">IF(
  B683="",
  ,
  DATEDIF(
    B683 + IF(INDEX(Input!$K$7:$K1503,ROW()-1),0,1),
    C683 + IF(INDEX(Input!$L$7:$L1503,ROW()-1),1,0),
    "Y"
  )
)</f>
        <v/>
      </c>
      <c r="U683" s="6" t="str">
        <f t="array" ref="U683">IF(
  B683="",
  ,
  (C683 + IF(INDEX(Input!$L$7:$L1503,ROW()-1),1,0))
  - EDATE(
      B683 + IF(INDEX(Input!$K$7:$K1503,ROW()-1),0,1),
      12*S683
    )
)</f>
        <v/>
      </c>
      <c r="V683" s="6" t="str">
        <f t="shared" si="5"/>
        <v/>
      </c>
      <c r="W683" s="6" t="str">
        <f t="shared" si="6"/>
        <v/>
      </c>
    </row>
    <row r="684">
      <c r="A684" s="18"/>
      <c r="B684" s="18"/>
      <c r="C684" s="18"/>
      <c r="D684" s="18"/>
      <c r="E684" s="18"/>
      <c r="F684" s="18"/>
      <c r="G684" s="22"/>
      <c r="H684" s="18"/>
      <c r="I684" s="18">
        <v>0.0</v>
      </c>
      <c r="J684" s="18">
        <v>0.0</v>
      </c>
      <c r="K684" s="18"/>
      <c r="L684" s="18"/>
      <c r="M684" s="22" t="str">
        <f t="shared" si="1"/>
        <v/>
      </c>
      <c r="N684" s="18" t="str">
        <f>IF(A684="",,IF(ROW()=2, Input!$C$2 + I684, P683 + I684))</f>
        <v/>
      </c>
      <c r="O684" s="23" t="str">
        <f>IF(A684="",,
 IF(K684="Initial principal",
   Input!$C$2 * M684,
   N684 * M684
 )
)</f>
        <v/>
      </c>
      <c r="P684" s="18" t="str">
        <f t="shared" si="2"/>
        <v/>
      </c>
      <c r="Q684" s="18" t="str">
        <f t="shared" si="3"/>
        <v/>
      </c>
      <c r="R684" s="18" t="str">
        <f t="array" ref="R684">IF(
  B684="",
  ,
  SWITCH(
    Input!$C$4,
    "Actual/365 Fixed",
      YEARFRAC(
        B684 + IF(INDEX(Input!$K$7:$K1503,ROW()-1),0,1),
        C684 + IF(INDEX(Input!$L$7:$L1503,ROW()-1),1,0),
        3
      ),
    "Anniversary/365",
      DATEDIF(
        B684 + IF(INDEX(Input!$K$7:$K1503,ROW()-1),0,1),
        C684 + IF(INDEX(Input!$L$7:$L1503,ROW()-1),1,0),
        "Y"
      )
      +
      (
        (C684 + IF(INDEX(Input!$L$7:$L1503,ROW()-1),1,0))
        -
        EDATE(
          B684 + IF(INDEX(Input!$K$7:$K1503,ROW()-1),0,1),
          12*DATEDIF(
            B684 + IF(INDEX(Input!$K$7:$K1503,ROW()-1),0,1),
            C684 + IF(INDEX(Input!$L$7:$L1503,ROW()-1),1,0),
            "Y"
          )
        )
      ) / 365,
    "Actual/Actual",
      YEARFRAC(
        B684 + IF(INDEX(Input!$K$7:$K1503,ROW()-1),0,1),
        C684 + IF(INDEX(Input!$L$7:$L1503,ROW()-1),1,0),
        1
      ),
      YEARFRAC(
        B684 + IF(INDEX(Input!$K$7:$K1503,ROW()-1),0,1),
        C684 + IF(INDEX(Input!$L$7:$L1503,ROW()-1),1,0),
        3
      )
  )
)</f>
        <v/>
      </c>
      <c r="S684" s="22" t="str">
        <f t="shared" si="4"/>
        <v/>
      </c>
      <c r="T684" s="6" t="str">
        <f t="array" ref="T684">IF(
  B684="",
  ,
  DATEDIF(
    B684 + IF(INDEX(Input!$K$7:$K1503,ROW()-1),0,1),
    C684 + IF(INDEX(Input!$L$7:$L1503,ROW()-1),1,0),
    "Y"
  )
)</f>
        <v/>
      </c>
      <c r="U684" s="6" t="str">
        <f t="array" ref="U684">IF(
  B684="",
  ,
  (C684 + IF(INDEX(Input!$L$7:$L1503,ROW()-1),1,0))
  - EDATE(
      B684 + IF(INDEX(Input!$K$7:$K1503,ROW()-1),0,1),
      12*S684
    )
)</f>
        <v/>
      </c>
      <c r="V684" s="6" t="str">
        <f t="shared" si="5"/>
        <v/>
      </c>
      <c r="W684" s="6" t="str">
        <f t="shared" si="6"/>
        <v/>
      </c>
    </row>
    <row r="685">
      <c r="A685" s="18"/>
      <c r="B685" s="18"/>
      <c r="C685" s="18"/>
      <c r="D685" s="18"/>
      <c r="E685" s="18"/>
      <c r="F685" s="18"/>
      <c r="G685" s="22"/>
      <c r="H685" s="18"/>
      <c r="I685" s="18">
        <v>0.0</v>
      </c>
      <c r="J685" s="18">
        <v>0.0</v>
      </c>
      <c r="K685" s="18"/>
      <c r="L685" s="18"/>
      <c r="M685" s="22" t="str">
        <f t="shared" si="1"/>
        <v/>
      </c>
      <c r="N685" s="18" t="str">
        <f>IF(A685="",,IF(ROW()=2, Input!$C$2 + I685, P684 + I685))</f>
        <v/>
      </c>
      <c r="O685" s="23" t="str">
        <f>IF(A685="",,
 IF(K685="Initial principal",
   Input!$C$2 * M685,
   N685 * M685
 )
)</f>
        <v/>
      </c>
      <c r="P685" s="18" t="str">
        <f t="shared" si="2"/>
        <v/>
      </c>
      <c r="Q685" s="18" t="str">
        <f t="shared" si="3"/>
        <v/>
      </c>
      <c r="R685" s="18" t="str">
        <f t="array" ref="R685">IF(
  B685="",
  ,
  SWITCH(
    Input!$C$4,
    "Actual/365 Fixed",
      YEARFRAC(
        B685 + IF(INDEX(Input!$K$7:$K1503,ROW()-1),0,1),
        C685 + IF(INDEX(Input!$L$7:$L1503,ROW()-1),1,0),
        3
      ),
    "Anniversary/365",
      DATEDIF(
        B685 + IF(INDEX(Input!$K$7:$K1503,ROW()-1),0,1),
        C685 + IF(INDEX(Input!$L$7:$L1503,ROW()-1),1,0),
        "Y"
      )
      +
      (
        (C685 + IF(INDEX(Input!$L$7:$L1503,ROW()-1),1,0))
        -
        EDATE(
          B685 + IF(INDEX(Input!$K$7:$K1503,ROW()-1),0,1),
          12*DATEDIF(
            B685 + IF(INDEX(Input!$K$7:$K1503,ROW()-1),0,1),
            C685 + IF(INDEX(Input!$L$7:$L1503,ROW()-1),1,0),
            "Y"
          )
        )
      ) / 365,
    "Actual/Actual",
      YEARFRAC(
        B685 + IF(INDEX(Input!$K$7:$K1503,ROW()-1),0,1),
        C685 + IF(INDEX(Input!$L$7:$L1503,ROW()-1),1,0),
        1
      ),
      YEARFRAC(
        B685 + IF(INDEX(Input!$K$7:$K1503,ROW()-1),0,1),
        C685 + IF(INDEX(Input!$L$7:$L1503,ROW()-1),1,0),
        3
      )
  )
)</f>
        <v/>
      </c>
      <c r="S685" s="22" t="str">
        <f t="shared" si="4"/>
        <v/>
      </c>
      <c r="T685" s="6" t="str">
        <f t="array" ref="T685">IF(
  B685="",
  ,
  DATEDIF(
    B685 + IF(INDEX(Input!$K$7:$K1503,ROW()-1),0,1),
    C685 + IF(INDEX(Input!$L$7:$L1503,ROW()-1),1,0),
    "Y"
  )
)</f>
        <v/>
      </c>
      <c r="U685" s="6" t="str">
        <f t="array" ref="U685">IF(
  B685="",
  ,
  (C685 + IF(INDEX(Input!$L$7:$L1503,ROW()-1),1,0))
  - EDATE(
      B685 + IF(INDEX(Input!$K$7:$K1503,ROW()-1),0,1),
      12*S685
    )
)</f>
        <v/>
      </c>
      <c r="V685" s="6" t="str">
        <f t="shared" si="5"/>
        <v/>
      </c>
      <c r="W685" s="6" t="str">
        <f t="shared" si="6"/>
        <v/>
      </c>
    </row>
    <row r="686">
      <c r="A686" s="18"/>
      <c r="B686" s="18"/>
      <c r="C686" s="18"/>
      <c r="D686" s="18"/>
      <c r="E686" s="18"/>
      <c r="F686" s="18"/>
      <c r="G686" s="22"/>
      <c r="H686" s="18"/>
      <c r="I686" s="18">
        <v>0.0</v>
      </c>
      <c r="J686" s="18">
        <v>0.0</v>
      </c>
      <c r="K686" s="18"/>
      <c r="L686" s="18"/>
      <c r="M686" s="22" t="str">
        <f t="shared" si="1"/>
        <v/>
      </c>
      <c r="N686" s="18" t="str">
        <f>IF(A686="",,IF(ROW()=2, Input!$C$2 + I686, P685 + I686))</f>
        <v/>
      </c>
      <c r="O686" s="23" t="str">
        <f>IF(A686="",,
 IF(K686="Initial principal",
   Input!$C$2 * M686,
   N686 * M686
 )
)</f>
        <v/>
      </c>
      <c r="P686" s="18" t="str">
        <f t="shared" si="2"/>
        <v/>
      </c>
      <c r="Q686" s="18" t="str">
        <f t="shared" si="3"/>
        <v/>
      </c>
      <c r="R686" s="18" t="str">
        <f t="array" ref="R686">IF(
  B686="",
  ,
  SWITCH(
    Input!$C$4,
    "Actual/365 Fixed",
      YEARFRAC(
        B686 + IF(INDEX(Input!$K$7:$K1503,ROW()-1),0,1),
        C686 + IF(INDEX(Input!$L$7:$L1503,ROW()-1),1,0),
        3
      ),
    "Anniversary/365",
      DATEDIF(
        B686 + IF(INDEX(Input!$K$7:$K1503,ROW()-1),0,1),
        C686 + IF(INDEX(Input!$L$7:$L1503,ROW()-1),1,0),
        "Y"
      )
      +
      (
        (C686 + IF(INDEX(Input!$L$7:$L1503,ROW()-1),1,0))
        -
        EDATE(
          B686 + IF(INDEX(Input!$K$7:$K1503,ROW()-1),0,1),
          12*DATEDIF(
            B686 + IF(INDEX(Input!$K$7:$K1503,ROW()-1),0,1),
            C686 + IF(INDEX(Input!$L$7:$L1503,ROW()-1),1,0),
            "Y"
          )
        )
      ) / 365,
    "Actual/Actual",
      YEARFRAC(
        B686 + IF(INDEX(Input!$K$7:$K1503,ROW()-1),0,1),
        C686 + IF(INDEX(Input!$L$7:$L1503,ROW()-1),1,0),
        1
      ),
      YEARFRAC(
        B686 + IF(INDEX(Input!$K$7:$K1503,ROW()-1),0,1),
        C686 + IF(INDEX(Input!$L$7:$L1503,ROW()-1),1,0),
        3
      )
  )
)</f>
        <v/>
      </c>
      <c r="S686" s="22" t="str">
        <f t="shared" si="4"/>
        <v/>
      </c>
      <c r="T686" s="6" t="str">
        <f t="array" ref="T686">IF(
  B686="",
  ,
  DATEDIF(
    B686 + IF(INDEX(Input!$K$7:$K1503,ROW()-1),0,1),
    C686 + IF(INDEX(Input!$L$7:$L1503,ROW()-1),1,0),
    "Y"
  )
)</f>
        <v/>
      </c>
      <c r="U686" s="6" t="str">
        <f t="array" ref="U686">IF(
  B686="",
  ,
  (C686 + IF(INDEX(Input!$L$7:$L1503,ROW()-1),1,0))
  - EDATE(
      B686 + IF(INDEX(Input!$K$7:$K1503,ROW()-1),0,1),
      12*S686
    )
)</f>
        <v/>
      </c>
      <c r="V686" s="6" t="str">
        <f t="shared" si="5"/>
        <v/>
      </c>
      <c r="W686" s="6" t="str">
        <f t="shared" si="6"/>
        <v/>
      </c>
    </row>
    <row r="687">
      <c r="A687" s="18"/>
      <c r="B687" s="18"/>
      <c r="C687" s="18"/>
      <c r="D687" s="18"/>
      <c r="E687" s="18"/>
      <c r="F687" s="18"/>
      <c r="G687" s="22"/>
      <c r="H687" s="18"/>
      <c r="I687" s="18">
        <v>0.0</v>
      </c>
      <c r="J687" s="18">
        <v>0.0</v>
      </c>
      <c r="K687" s="18"/>
      <c r="L687" s="18"/>
      <c r="M687" s="22" t="str">
        <f t="shared" si="1"/>
        <v/>
      </c>
      <c r="N687" s="18" t="str">
        <f>IF(A687="",,IF(ROW()=2, Input!$C$2 + I687, P686 + I687))</f>
        <v/>
      </c>
      <c r="O687" s="23" t="str">
        <f>IF(A687="",,
 IF(K687="Initial principal",
   Input!$C$2 * M687,
   N687 * M687
 )
)</f>
        <v/>
      </c>
      <c r="P687" s="18" t="str">
        <f t="shared" si="2"/>
        <v/>
      </c>
      <c r="Q687" s="18" t="str">
        <f t="shared" si="3"/>
        <v/>
      </c>
      <c r="R687" s="18" t="str">
        <f t="array" ref="R687">IF(
  B687="",
  ,
  SWITCH(
    Input!$C$4,
    "Actual/365 Fixed",
      YEARFRAC(
        B687 + IF(INDEX(Input!$K$7:$K1503,ROW()-1),0,1),
        C687 + IF(INDEX(Input!$L$7:$L1503,ROW()-1),1,0),
        3
      ),
    "Anniversary/365",
      DATEDIF(
        B687 + IF(INDEX(Input!$K$7:$K1503,ROW()-1),0,1),
        C687 + IF(INDEX(Input!$L$7:$L1503,ROW()-1),1,0),
        "Y"
      )
      +
      (
        (C687 + IF(INDEX(Input!$L$7:$L1503,ROW()-1),1,0))
        -
        EDATE(
          B687 + IF(INDEX(Input!$K$7:$K1503,ROW()-1),0,1),
          12*DATEDIF(
            B687 + IF(INDEX(Input!$K$7:$K1503,ROW()-1),0,1),
            C687 + IF(INDEX(Input!$L$7:$L1503,ROW()-1),1,0),
            "Y"
          )
        )
      ) / 365,
    "Actual/Actual",
      YEARFRAC(
        B687 + IF(INDEX(Input!$K$7:$K1503,ROW()-1),0,1),
        C687 + IF(INDEX(Input!$L$7:$L1503,ROW()-1),1,0),
        1
      ),
      YEARFRAC(
        B687 + IF(INDEX(Input!$K$7:$K1503,ROW()-1),0,1),
        C687 + IF(INDEX(Input!$L$7:$L1503,ROW()-1),1,0),
        3
      )
  )
)</f>
        <v/>
      </c>
      <c r="S687" s="22" t="str">
        <f t="shared" si="4"/>
        <v/>
      </c>
      <c r="T687" s="6" t="str">
        <f t="array" ref="T687">IF(
  B687="",
  ,
  DATEDIF(
    B687 + IF(INDEX(Input!$K$7:$K1503,ROW()-1),0,1),
    C687 + IF(INDEX(Input!$L$7:$L1503,ROW()-1),1,0),
    "Y"
  )
)</f>
        <v/>
      </c>
      <c r="U687" s="6" t="str">
        <f t="array" ref="U687">IF(
  B687="",
  ,
  (C687 + IF(INDEX(Input!$L$7:$L1503,ROW()-1),1,0))
  - EDATE(
      B687 + IF(INDEX(Input!$K$7:$K1503,ROW()-1),0,1),
      12*S687
    )
)</f>
        <v/>
      </c>
      <c r="V687" s="6" t="str">
        <f t="shared" si="5"/>
        <v/>
      </c>
      <c r="W687" s="6" t="str">
        <f t="shared" si="6"/>
        <v/>
      </c>
    </row>
    <row r="688">
      <c r="A688" s="18"/>
      <c r="B688" s="18"/>
      <c r="C688" s="18"/>
      <c r="D688" s="18"/>
      <c r="E688" s="18"/>
      <c r="F688" s="18"/>
      <c r="G688" s="22"/>
      <c r="H688" s="18"/>
      <c r="I688" s="18">
        <v>0.0</v>
      </c>
      <c r="J688" s="18">
        <v>0.0</v>
      </c>
      <c r="K688" s="18"/>
      <c r="L688" s="18"/>
      <c r="M688" s="22" t="str">
        <f t="shared" si="1"/>
        <v/>
      </c>
      <c r="N688" s="18" t="str">
        <f>IF(A688="",,IF(ROW()=2, Input!$C$2 + I688, P687 + I688))</f>
        <v/>
      </c>
      <c r="O688" s="23" t="str">
        <f>IF(A688="",,
 IF(K688="Initial principal",
   Input!$C$2 * M688,
   N688 * M688
 )
)</f>
        <v/>
      </c>
      <c r="P688" s="18" t="str">
        <f t="shared" si="2"/>
        <v/>
      </c>
      <c r="Q688" s="18" t="str">
        <f t="shared" si="3"/>
        <v/>
      </c>
      <c r="R688" s="18" t="str">
        <f t="array" ref="R688">IF(
  B688="",
  ,
  SWITCH(
    Input!$C$4,
    "Actual/365 Fixed",
      YEARFRAC(
        B688 + IF(INDEX(Input!$K$7:$K1503,ROW()-1),0,1),
        C688 + IF(INDEX(Input!$L$7:$L1503,ROW()-1),1,0),
        3
      ),
    "Anniversary/365",
      DATEDIF(
        B688 + IF(INDEX(Input!$K$7:$K1503,ROW()-1),0,1),
        C688 + IF(INDEX(Input!$L$7:$L1503,ROW()-1),1,0),
        "Y"
      )
      +
      (
        (C688 + IF(INDEX(Input!$L$7:$L1503,ROW()-1),1,0))
        -
        EDATE(
          B688 + IF(INDEX(Input!$K$7:$K1503,ROW()-1),0,1),
          12*DATEDIF(
            B688 + IF(INDEX(Input!$K$7:$K1503,ROW()-1),0,1),
            C688 + IF(INDEX(Input!$L$7:$L1503,ROW()-1),1,0),
            "Y"
          )
        )
      ) / 365,
    "Actual/Actual",
      YEARFRAC(
        B688 + IF(INDEX(Input!$K$7:$K1503,ROW()-1),0,1),
        C688 + IF(INDEX(Input!$L$7:$L1503,ROW()-1),1,0),
        1
      ),
      YEARFRAC(
        B688 + IF(INDEX(Input!$K$7:$K1503,ROW()-1),0,1),
        C688 + IF(INDEX(Input!$L$7:$L1503,ROW()-1),1,0),
        3
      )
  )
)</f>
        <v/>
      </c>
      <c r="S688" s="22" t="str">
        <f t="shared" si="4"/>
        <v/>
      </c>
      <c r="T688" s="6" t="str">
        <f t="array" ref="T688">IF(
  B688="",
  ,
  DATEDIF(
    B688 + IF(INDEX(Input!$K$7:$K1503,ROW()-1),0,1),
    C688 + IF(INDEX(Input!$L$7:$L1503,ROW()-1),1,0),
    "Y"
  )
)</f>
        <v/>
      </c>
      <c r="U688" s="6" t="str">
        <f t="array" ref="U688">IF(
  B688="",
  ,
  (C688 + IF(INDEX(Input!$L$7:$L1503,ROW()-1),1,0))
  - EDATE(
      B688 + IF(INDEX(Input!$K$7:$K1503,ROW()-1),0,1),
      12*S688
    )
)</f>
        <v/>
      </c>
      <c r="V688" s="6" t="str">
        <f t="shared" si="5"/>
        <v/>
      </c>
      <c r="W688" s="6" t="str">
        <f t="shared" si="6"/>
        <v/>
      </c>
    </row>
    <row r="689">
      <c r="A689" s="18"/>
      <c r="B689" s="18"/>
      <c r="C689" s="18"/>
      <c r="D689" s="18"/>
      <c r="E689" s="18"/>
      <c r="F689" s="18"/>
      <c r="G689" s="22"/>
      <c r="H689" s="18"/>
      <c r="I689" s="18">
        <v>0.0</v>
      </c>
      <c r="J689" s="18">
        <v>0.0</v>
      </c>
      <c r="K689" s="18"/>
      <c r="L689" s="18"/>
      <c r="M689" s="22" t="str">
        <f t="shared" si="1"/>
        <v/>
      </c>
      <c r="N689" s="18" t="str">
        <f>IF(A689="",,IF(ROW()=2, Input!$C$2 + I689, P688 + I689))</f>
        <v/>
      </c>
      <c r="O689" s="23" t="str">
        <f>IF(A689="",,
 IF(K689="Initial principal",
   Input!$C$2 * M689,
   N689 * M689
 )
)</f>
        <v/>
      </c>
      <c r="P689" s="18" t="str">
        <f t="shared" si="2"/>
        <v/>
      </c>
      <c r="Q689" s="18" t="str">
        <f t="shared" si="3"/>
        <v/>
      </c>
      <c r="R689" s="18" t="str">
        <f t="array" ref="R689">IF(
  B689="",
  ,
  SWITCH(
    Input!$C$4,
    "Actual/365 Fixed",
      YEARFRAC(
        B689 + IF(INDEX(Input!$K$7:$K1503,ROW()-1),0,1),
        C689 + IF(INDEX(Input!$L$7:$L1503,ROW()-1),1,0),
        3
      ),
    "Anniversary/365",
      DATEDIF(
        B689 + IF(INDEX(Input!$K$7:$K1503,ROW()-1),0,1),
        C689 + IF(INDEX(Input!$L$7:$L1503,ROW()-1),1,0),
        "Y"
      )
      +
      (
        (C689 + IF(INDEX(Input!$L$7:$L1503,ROW()-1),1,0))
        -
        EDATE(
          B689 + IF(INDEX(Input!$K$7:$K1503,ROW()-1),0,1),
          12*DATEDIF(
            B689 + IF(INDEX(Input!$K$7:$K1503,ROW()-1),0,1),
            C689 + IF(INDEX(Input!$L$7:$L1503,ROW()-1),1,0),
            "Y"
          )
        )
      ) / 365,
    "Actual/Actual",
      YEARFRAC(
        B689 + IF(INDEX(Input!$K$7:$K1503,ROW()-1),0,1),
        C689 + IF(INDEX(Input!$L$7:$L1503,ROW()-1),1,0),
        1
      ),
      YEARFRAC(
        B689 + IF(INDEX(Input!$K$7:$K1503,ROW()-1),0,1),
        C689 + IF(INDEX(Input!$L$7:$L1503,ROW()-1),1,0),
        3
      )
  )
)</f>
        <v/>
      </c>
      <c r="S689" s="22" t="str">
        <f t="shared" si="4"/>
        <v/>
      </c>
      <c r="T689" s="6" t="str">
        <f t="array" ref="T689">IF(
  B689="",
  ,
  DATEDIF(
    B689 + IF(INDEX(Input!$K$7:$K1503,ROW()-1),0,1),
    C689 + IF(INDEX(Input!$L$7:$L1503,ROW()-1),1,0),
    "Y"
  )
)</f>
        <v/>
      </c>
      <c r="U689" s="6" t="str">
        <f t="array" ref="U689">IF(
  B689="",
  ,
  (C689 + IF(INDEX(Input!$L$7:$L1503,ROW()-1),1,0))
  - EDATE(
      B689 + IF(INDEX(Input!$K$7:$K1503,ROW()-1),0,1),
      12*S689
    )
)</f>
        <v/>
      </c>
      <c r="V689" s="6" t="str">
        <f t="shared" si="5"/>
        <v/>
      </c>
      <c r="W689" s="6" t="str">
        <f t="shared" si="6"/>
        <v/>
      </c>
    </row>
    <row r="690">
      <c r="A690" s="18"/>
      <c r="B690" s="18"/>
      <c r="C690" s="18"/>
      <c r="D690" s="18"/>
      <c r="E690" s="18"/>
      <c r="F690" s="18"/>
      <c r="G690" s="22"/>
      <c r="H690" s="18"/>
      <c r="I690" s="18">
        <v>0.0</v>
      </c>
      <c r="J690" s="18">
        <v>0.0</v>
      </c>
      <c r="K690" s="18"/>
      <c r="L690" s="18"/>
      <c r="M690" s="22" t="str">
        <f t="shared" si="1"/>
        <v/>
      </c>
      <c r="N690" s="18" t="str">
        <f>IF(A690="",,IF(ROW()=2, Input!$C$2 + I690, P689 + I690))</f>
        <v/>
      </c>
      <c r="O690" s="23" t="str">
        <f>IF(A690="",,
 IF(K690="Initial principal",
   Input!$C$2 * M690,
   N690 * M690
 )
)</f>
        <v/>
      </c>
      <c r="P690" s="18" t="str">
        <f t="shared" si="2"/>
        <v/>
      </c>
      <c r="Q690" s="18" t="str">
        <f t="shared" si="3"/>
        <v/>
      </c>
      <c r="R690" s="18" t="str">
        <f t="array" ref="R690">IF(
  B690="",
  ,
  SWITCH(
    Input!$C$4,
    "Actual/365 Fixed",
      YEARFRAC(
        B690 + IF(INDEX(Input!$K$7:$K1503,ROW()-1),0,1),
        C690 + IF(INDEX(Input!$L$7:$L1503,ROW()-1),1,0),
        3
      ),
    "Anniversary/365",
      DATEDIF(
        B690 + IF(INDEX(Input!$K$7:$K1503,ROW()-1),0,1),
        C690 + IF(INDEX(Input!$L$7:$L1503,ROW()-1),1,0),
        "Y"
      )
      +
      (
        (C690 + IF(INDEX(Input!$L$7:$L1503,ROW()-1),1,0))
        -
        EDATE(
          B690 + IF(INDEX(Input!$K$7:$K1503,ROW()-1),0,1),
          12*DATEDIF(
            B690 + IF(INDEX(Input!$K$7:$K1503,ROW()-1),0,1),
            C690 + IF(INDEX(Input!$L$7:$L1503,ROW()-1),1,0),
            "Y"
          )
        )
      ) / 365,
    "Actual/Actual",
      YEARFRAC(
        B690 + IF(INDEX(Input!$K$7:$K1503,ROW()-1),0,1),
        C690 + IF(INDEX(Input!$L$7:$L1503,ROW()-1),1,0),
        1
      ),
      YEARFRAC(
        B690 + IF(INDEX(Input!$K$7:$K1503,ROW()-1),0,1),
        C690 + IF(INDEX(Input!$L$7:$L1503,ROW()-1),1,0),
        3
      )
  )
)</f>
        <v/>
      </c>
      <c r="S690" s="22" t="str">
        <f t="shared" si="4"/>
        <v/>
      </c>
      <c r="T690" s="6" t="str">
        <f t="array" ref="T690">IF(
  B690="",
  ,
  DATEDIF(
    B690 + IF(INDEX(Input!$K$7:$K1503,ROW()-1),0,1),
    C690 + IF(INDEX(Input!$L$7:$L1503,ROW()-1),1,0),
    "Y"
  )
)</f>
        <v/>
      </c>
      <c r="U690" s="6" t="str">
        <f t="array" ref="U690">IF(
  B690="",
  ,
  (C690 + IF(INDEX(Input!$L$7:$L1503,ROW()-1),1,0))
  - EDATE(
      B690 + IF(INDEX(Input!$K$7:$K1503,ROW()-1),0,1),
      12*S690
    )
)</f>
        <v/>
      </c>
      <c r="V690" s="6" t="str">
        <f t="shared" si="5"/>
        <v/>
      </c>
      <c r="W690" s="6" t="str">
        <f t="shared" si="6"/>
        <v/>
      </c>
    </row>
    <row r="691">
      <c r="A691" s="18"/>
      <c r="B691" s="18"/>
      <c r="C691" s="18"/>
      <c r="D691" s="18"/>
      <c r="E691" s="18"/>
      <c r="F691" s="18"/>
      <c r="G691" s="22"/>
      <c r="H691" s="18"/>
      <c r="I691" s="18">
        <v>0.0</v>
      </c>
      <c r="J691" s="18">
        <v>0.0</v>
      </c>
      <c r="K691" s="18"/>
      <c r="L691" s="18"/>
      <c r="M691" s="22" t="str">
        <f t="shared" si="1"/>
        <v/>
      </c>
      <c r="N691" s="18" t="str">
        <f>IF(A691="",,IF(ROW()=2, Input!$C$2 + I691, P690 + I691))</f>
        <v/>
      </c>
      <c r="O691" s="23" t="str">
        <f>IF(A691="",,
 IF(K691="Initial principal",
   Input!$C$2 * M691,
   N691 * M691
 )
)</f>
        <v/>
      </c>
      <c r="P691" s="18" t="str">
        <f t="shared" si="2"/>
        <v/>
      </c>
      <c r="Q691" s="18" t="str">
        <f t="shared" si="3"/>
        <v/>
      </c>
      <c r="R691" s="18" t="str">
        <f t="array" ref="R691">IF(
  B691="",
  ,
  SWITCH(
    Input!$C$4,
    "Actual/365 Fixed",
      YEARFRAC(
        B691 + IF(INDEX(Input!$K$7:$K1503,ROW()-1),0,1),
        C691 + IF(INDEX(Input!$L$7:$L1503,ROW()-1),1,0),
        3
      ),
    "Anniversary/365",
      DATEDIF(
        B691 + IF(INDEX(Input!$K$7:$K1503,ROW()-1),0,1),
        C691 + IF(INDEX(Input!$L$7:$L1503,ROW()-1),1,0),
        "Y"
      )
      +
      (
        (C691 + IF(INDEX(Input!$L$7:$L1503,ROW()-1),1,0))
        -
        EDATE(
          B691 + IF(INDEX(Input!$K$7:$K1503,ROW()-1),0,1),
          12*DATEDIF(
            B691 + IF(INDEX(Input!$K$7:$K1503,ROW()-1),0,1),
            C691 + IF(INDEX(Input!$L$7:$L1503,ROW()-1),1,0),
            "Y"
          )
        )
      ) / 365,
    "Actual/Actual",
      YEARFRAC(
        B691 + IF(INDEX(Input!$K$7:$K1503,ROW()-1),0,1),
        C691 + IF(INDEX(Input!$L$7:$L1503,ROW()-1),1,0),
        1
      ),
      YEARFRAC(
        B691 + IF(INDEX(Input!$K$7:$K1503,ROW()-1),0,1),
        C691 + IF(INDEX(Input!$L$7:$L1503,ROW()-1),1,0),
        3
      )
  )
)</f>
        <v/>
      </c>
      <c r="S691" s="22" t="str">
        <f t="shared" si="4"/>
        <v/>
      </c>
      <c r="T691" s="6" t="str">
        <f t="array" ref="T691">IF(
  B691="",
  ,
  DATEDIF(
    B691 + IF(INDEX(Input!$K$7:$K1503,ROW()-1),0,1),
    C691 + IF(INDEX(Input!$L$7:$L1503,ROW()-1),1,0),
    "Y"
  )
)</f>
        <v/>
      </c>
      <c r="U691" s="6" t="str">
        <f t="array" ref="U691">IF(
  B691="",
  ,
  (C691 + IF(INDEX(Input!$L$7:$L1503,ROW()-1),1,0))
  - EDATE(
      B691 + IF(INDEX(Input!$K$7:$K1503,ROW()-1),0,1),
      12*S691
    )
)</f>
        <v/>
      </c>
      <c r="V691" s="6" t="str">
        <f t="shared" si="5"/>
        <v/>
      </c>
      <c r="W691" s="6" t="str">
        <f t="shared" si="6"/>
        <v/>
      </c>
    </row>
    <row r="692">
      <c r="A692" s="18"/>
      <c r="B692" s="18"/>
      <c r="C692" s="18"/>
      <c r="D692" s="18"/>
      <c r="E692" s="18"/>
      <c r="F692" s="18"/>
      <c r="G692" s="22"/>
      <c r="H692" s="18"/>
      <c r="I692" s="18">
        <v>0.0</v>
      </c>
      <c r="J692" s="18">
        <v>0.0</v>
      </c>
      <c r="K692" s="18"/>
      <c r="L692" s="18"/>
      <c r="M692" s="22" t="str">
        <f t="shared" si="1"/>
        <v/>
      </c>
      <c r="N692" s="18" t="str">
        <f>IF(A692="",,IF(ROW()=2, Input!$C$2 + I692, P691 + I692))</f>
        <v/>
      </c>
      <c r="O692" s="23" t="str">
        <f>IF(A692="",,
 IF(K692="Initial principal",
   Input!$C$2 * M692,
   N692 * M692
 )
)</f>
        <v/>
      </c>
      <c r="P692" s="18" t="str">
        <f t="shared" si="2"/>
        <v/>
      </c>
      <c r="Q692" s="18" t="str">
        <f t="shared" si="3"/>
        <v/>
      </c>
      <c r="R692" s="18" t="str">
        <f t="array" ref="R692">IF(
  B692="",
  ,
  SWITCH(
    Input!$C$4,
    "Actual/365 Fixed",
      YEARFRAC(
        B692 + IF(INDEX(Input!$K$7:$K1503,ROW()-1),0,1),
        C692 + IF(INDEX(Input!$L$7:$L1503,ROW()-1),1,0),
        3
      ),
    "Anniversary/365",
      DATEDIF(
        B692 + IF(INDEX(Input!$K$7:$K1503,ROW()-1),0,1),
        C692 + IF(INDEX(Input!$L$7:$L1503,ROW()-1),1,0),
        "Y"
      )
      +
      (
        (C692 + IF(INDEX(Input!$L$7:$L1503,ROW()-1),1,0))
        -
        EDATE(
          B692 + IF(INDEX(Input!$K$7:$K1503,ROW()-1),0,1),
          12*DATEDIF(
            B692 + IF(INDEX(Input!$K$7:$K1503,ROW()-1),0,1),
            C692 + IF(INDEX(Input!$L$7:$L1503,ROW()-1),1,0),
            "Y"
          )
        )
      ) / 365,
    "Actual/Actual",
      YEARFRAC(
        B692 + IF(INDEX(Input!$K$7:$K1503,ROW()-1),0,1),
        C692 + IF(INDEX(Input!$L$7:$L1503,ROW()-1),1,0),
        1
      ),
      YEARFRAC(
        B692 + IF(INDEX(Input!$K$7:$K1503,ROW()-1),0,1),
        C692 + IF(INDEX(Input!$L$7:$L1503,ROW()-1),1,0),
        3
      )
  )
)</f>
        <v/>
      </c>
      <c r="S692" s="22" t="str">
        <f t="shared" si="4"/>
        <v/>
      </c>
      <c r="T692" s="6" t="str">
        <f t="array" ref="T692">IF(
  B692="",
  ,
  DATEDIF(
    B692 + IF(INDEX(Input!$K$7:$K1503,ROW()-1),0,1),
    C692 + IF(INDEX(Input!$L$7:$L1503,ROW()-1),1,0),
    "Y"
  )
)</f>
        <v/>
      </c>
      <c r="U692" s="6" t="str">
        <f t="array" ref="U692">IF(
  B692="",
  ,
  (C692 + IF(INDEX(Input!$L$7:$L1503,ROW()-1),1,0))
  - EDATE(
      B692 + IF(INDEX(Input!$K$7:$K1503,ROW()-1),0,1),
      12*S692
    )
)</f>
        <v/>
      </c>
      <c r="V692" s="6" t="str">
        <f t="shared" si="5"/>
        <v/>
      </c>
      <c r="W692" s="6" t="str">
        <f t="shared" si="6"/>
        <v/>
      </c>
    </row>
    <row r="693">
      <c r="A693" s="18"/>
      <c r="B693" s="18"/>
      <c r="C693" s="18"/>
      <c r="D693" s="18"/>
      <c r="E693" s="18"/>
      <c r="F693" s="18"/>
      <c r="G693" s="22"/>
      <c r="H693" s="18"/>
      <c r="I693" s="18">
        <v>0.0</v>
      </c>
      <c r="J693" s="18">
        <v>0.0</v>
      </c>
      <c r="K693" s="18"/>
      <c r="L693" s="18"/>
      <c r="M693" s="22" t="str">
        <f t="shared" si="1"/>
        <v/>
      </c>
      <c r="N693" s="18" t="str">
        <f>IF(A693="",,IF(ROW()=2, Input!$C$2 + I693, P692 + I693))</f>
        <v/>
      </c>
      <c r="O693" s="23" t="str">
        <f>IF(A693="",,
 IF(K693="Initial principal",
   Input!$C$2 * M693,
   N693 * M693
 )
)</f>
        <v/>
      </c>
      <c r="P693" s="18" t="str">
        <f t="shared" si="2"/>
        <v/>
      </c>
      <c r="Q693" s="18" t="str">
        <f t="shared" si="3"/>
        <v/>
      </c>
      <c r="R693" s="18" t="str">
        <f t="array" ref="R693">IF(
  B693="",
  ,
  SWITCH(
    Input!$C$4,
    "Actual/365 Fixed",
      YEARFRAC(
        B693 + IF(INDEX(Input!$K$7:$K1503,ROW()-1),0,1),
        C693 + IF(INDEX(Input!$L$7:$L1503,ROW()-1),1,0),
        3
      ),
    "Anniversary/365",
      DATEDIF(
        B693 + IF(INDEX(Input!$K$7:$K1503,ROW()-1),0,1),
        C693 + IF(INDEX(Input!$L$7:$L1503,ROW()-1),1,0),
        "Y"
      )
      +
      (
        (C693 + IF(INDEX(Input!$L$7:$L1503,ROW()-1),1,0))
        -
        EDATE(
          B693 + IF(INDEX(Input!$K$7:$K1503,ROW()-1),0,1),
          12*DATEDIF(
            B693 + IF(INDEX(Input!$K$7:$K1503,ROW()-1),0,1),
            C693 + IF(INDEX(Input!$L$7:$L1503,ROW()-1),1,0),
            "Y"
          )
        )
      ) / 365,
    "Actual/Actual",
      YEARFRAC(
        B693 + IF(INDEX(Input!$K$7:$K1503,ROW()-1),0,1),
        C693 + IF(INDEX(Input!$L$7:$L1503,ROW()-1),1,0),
        1
      ),
      YEARFRAC(
        B693 + IF(INDEX(Input!$K$7:$K1503,ROW()-1),0,1),
        C693 + IF(INDEX(Input!$L$7:$L1503,ROW()-1),1,0),
        3
      )
  )
)</f>
        <v/>
      </c>
      <c r="S693" s="22" t="str">
        <f t="shared" si="4"/>
        <v/>
      </c>
      <c r="T693" s="6" t="str">
        <f t="array" ref="T693">IF(
  B693="",
  ,
  DATEDIF(
    B693 + IF(INDEX(Input!$K$7:$K1503,ROW()-1),0,1),
    C693 + IF(INDEX(Input!$L$7:$L1503,ROW()-1),1,0),
    "Y"
  )
)</f>
        <v/>
      </c>
      <c r="U693" s="6" t="str">
        <f t="array" ref="U693">IF(
  B693="",
  ,
  (C693 + IF(INDEX(Input!$L$7:$L1503,ROW()-1),1,0))
  - EDATE(
      B693 + IF(INDEX(Input!$K$7:$K1503,ROW()-1),0,1),
      12*S693
    )
)</f>
        <v/>
      </c>
      <c r="V693" s="6" t="str">
        <f t="shared" si="5"/>
        <v/>
      </c>
      <c r="W693" s="6" t="str">
        <f t="shared" si="6"/>
        <v/>
      </c>
    </row>
    <row r="694">
      <c r="A694" s="18"/>
      <c r="B694" s="18"/>
      <c r="C694" s="18"/>
      <c r="D694" s="18"/>
      <c r="E694" s="18"/>
      <c r="F694" s="18"/>
      <c r="G694" s="22"/>
      <c r="H694" s="18"/>
      <c r="I694" s="18">
        <v>0.0</v>
      </c>
      <c r="J694" s="18">
        <v>0.0</v>
      </c>
      <c r="K694" s="18"/>
      <c r="L694" s="18"/>
      <c r="M694" s="22" t="str">
        <f t="shared" si="1"/>
        <v/>
      </c>
      <c r="N694" s="18" t="str">
        <f>IF(A694="",,IF(ROW()=2, Input!$C$2 + I694, P693 + I694))</f>
        <v/>
      </c>
      <c r="O694" s="23" t="str">
        <f>IF(A694="",,
 IF(K694="Initial principal",
   Input!$C$2 * M694,
   N694 * M694
 )
)</f>
        <v/>
      </c>
      <c r="P694" s="18" t="str">
        <f t="shared" si="2"/>
        <v/>
      </c>
      <c r="Q694" s="18" t="str">
        <f t="shared" si="3"/>
        <v/>
      </c>
      <c r="R694" s="18" t="str">
        <f t="array" ref="R694">IF(
  B694="",
  ,
  SWITCH(
    Input!$C$4,
    "Actual/365 Fixed",
      YEARFRAC(
        B694 + IF(INDEX(Input!$K$7:$K1503,ROW()-1),0,1),
        C694 + IF(INDEX(Input!$L$7:$L1503,ROW()-1),1,0),
        3
      ),
    "Anniversary/365",
      DATEDIF(
        B694 + IF(INDEX(Input!$K$7:$K1503,ROW()-1),0,1),
        C694 + IF(INDEX(Input!$L$7:$L1503,ROW()-1),1,0),
        "Y"
      )
      +
      (
        (C694 + IF(INDEX(Input!$L$7:$L1503,ROW()-1),1,0))
        -
        EDATE(
          B694 + IF(INDEX(Input!$K$7:$K1503,ROW()-1),0,1),
          12*DATEDIF(
            B694 + IF(INDEX(Input!$K$7:$K1503,ROW()-1),0,1),
            C694 + IF(INDEX(Input!$L$7:$L1503,ROW()-1),1,0),
            "Y"
          )
        )
      ) / 365,
    "Actual/Actual",
      YEARFRAC(
        B694 + IF(INDEX(Input!$K$7:$K1503,ROW()-1),0,1),
        C694 + IF(INDEX(Input!$L$7:$L1503,ROW()-1),1,0),
        1
      ),
      YEARFRAC(
        B694 + IF(INDEX(Input!$K$7:$K1503,ROW()-1),0,1),
        C694 + IF(INDEX(Input!$L$7:$L1503,ROW()-1),1,0),
        3
      )
  )
)</f>
        <v/>
      </c>
      <c r="S694" s="22" t="str">
        <f t="shared" si="4"/>
        <v/>
      </c>
      <c r="T694" s="6" t="str">
        <f t="array" ref="T694">IF(
  B694="",
  ,
  DATEDIF(
    B694 + IF(INDEX(Input!$K$7:$K1503,ROW()-1),0,1),
    C694 + IF(INDEX(Input!$L$7:$L1503,ROW()-1),1,0),
    "Y"
  )
)</f>
        <v/>
      </c>
      <c r="U694" s="6" t="str">
        <f t="array" ref="U694">IF(
  B694="",
  ,
  (C694 + IF(INDEX(Input!$L$7:$L1503,ROW()-1),1,0))
  - EDATE(
      B694 + IF(INDEX(Input!$K$7:$K1503,ROW()-1),0,1),
      12*S694
    )
)</f>
        <v/>
      </c>
      <c r="V694" s="6" t="str">
        <f t="shared" si="5"/>
        <v/>
      </c>
      <c r="W694" s="6" t="str">
        <f t="shared" si="6"/>
        <v/>
      </c>
    </row>
    <row r="695">
      <c r="A695" s="18"/>
      <c r="B695" s="18"/>
      <c r="C695" s="18"/>
      <c r="D695" s="18"/>
      <c r="E695" s="18"/>
      <c r="F695" s="18"/>
      <c r="G695" s="22"/>
      <c r="H695" s="18"/>
      <c r="I695" s="18">
        <v>0.0</v>
      </c>
      <c r="J695" s="18">
        <v>0.0</v>
      </c>
      <c r="K695" s="18"/>
      <c r="L695" s="18"/>
      <c r="M695" s="22" t="str">
        <f t="shared" si="1"/>
        <v/>
      </c>
      <c r="N695" s="18" t="str">
        <f>IF(A695="",,IF(ROW()=2, Input!$C$2 + I695, P694 + I695))</f>
        <v/>
      </c>
      <c r="O695" s="23" t="str">
        <f>IF(A695="",,
 IF(K695="Initial principal",
   Input!$C$2 * M695,
   N695 * M695
 )
)</f>
        <v/>
      </c>
      <c r="P695" s="18" t="str">
        <f t="shared" si="2"/>
        <v/>
      </c>
      <c r="Q695" s="18" t="str">
        <f t="shared" si="3"/>
        <v/>
      </c>
      <c r="R695" s="18" t="str">
        <f t="array" ref="R695">IF(
  B695="",
  ,
  SWITCH(
    Input!$C$4,
    "Actual/365 Fixed",
      YEARFRAC(
        B695 + IF(INDEX(Input!$K$7:$K1503,ROW()-1),0,1),
        C695 + IF(INDEX(Input!$L$7:$L1503,ROW()-1),1,0),
        3
      ),
    "Anniversary/365",
      DATEDIF(
        B695 + IF(INDEX(Input!$K$7:$K1503,ROW()-1),0,1),
        C695 + IF(INDEX(Input!$L$7:$L1503,ROW()-1),1,0),
        "Y"
      )
      +
      (
        (C695 + IF(INDEX(Input!$L$7:$L1503,ROW()-1),1,0))
        -
        EDATE(
          B695 + IF(INDEX(Input!$K$7:$K1503,ROW()-1),0,1),
          12*DATEDIF(
            B695 + IF(INDEX(Input!$K$7:$K1503,ROW()-1),0,1),
            C695 + IF(INDEX(Input!$L$7:$L1503,ROW()-1),1,0),
            "Y"
          )
        )
      ) / 365,
    "Actual/Actual",
      YEARFRAC(
        B695 + IF(INDEX(Input!$K$7:$K1503,ROW()-1),0,1),
        C695 + IF(INDEX(Input!$L$7:$L1503,ROW()-1),1,0),
        1
      ),
      YEARFRAC(
        B695 + IF(INDEX(Input!$K$7:$K1503,ROW()-1),0,1),
        C695 + IF(INDEX(Input!$L$7:$L1503,ROW()-1),1,0),
        3
      )
  )
)</f>
        <v/>
      </c>
      <c r="S695" s="22" t="str">
        <f t="shared" si="4"/>
        <v/>
      </c>
      <c r="T695" s="6" t="str">
        <f t="array" ref="T695">IF(
  B695="",
  ,
  DATEDIF(
    B695 + IF(INDEX(Input!$K$7:$K1503,ROW()-1),0,1),
    C695 + IF(INDEX(Input!$L$7:$L1503,ROW()-1),1,0),
    "Y"
  )
)</f>
        <v/>
      </c>
      <c r="U695" s="6" t="str">
        <f t="array" ref="U695">IF(
  B695="",
  ,
  (C695 + IF(INDEX(Input!$L$7:$L1503,ROW()-1),1,0))
  - EDATE(
      B695 + IF(INDEX(Input!$K$7:$K1503,ROW()-1),0,1),
      12*S695
    )
)</f>
        <v/>
      </c>
      <c r="V695" s="6" t="str">
        <f t="shared" si="5"/>
        <v/>
      </c>
      <c r="W695" s="6" t="str">
        <f t="shared" si="6"/>
        <v/>
      </c>
    </row>
    <row r="696">
      <c r="A696" s="18"/>
      <c r="B696" s="18"/>
      <c r="C696" s="18"/>
      <c r="D696" s="18"/>
      <c r="E696" s="18"/>
      <c r="F696" s="18"/>
      <c r="G696" s="22"/>
      <c r="H696" s="18"/>
      <c r="I696" s="18">
        <v>0.0</v>
      </c>
      <c r="J696" s="18">
        <v>0.0</v>
      </c>
      <c r="K696" s="18"/>
      <c r="L696" s="18"/>
      <c r="M696" s="22" t="str">
        <f t="shared" si="1"/>
        <v/>
      </c>
      <c r="N696" s="18" t="str">
        <f>IF(A696="",,IF(ROW()=2, Input!$C$2 + I696, P695 + I696))</f>
        <v/>
      </c>
      <c r="O696" s="23" t="str">
        <f>IF(A696="",,
 IF(K696="Initial principal",
   Input!$C$2 * M696,
   N696 * M696
 )
)</f>
        <v/>
      </c>
      <c r="P696" s="18" t="str">
        <f t="shared" si="2"/>
        <v/>
      </c>
      <c r="Q696" s="18" t="str">
        <f t="shared" si="3"/>
        <v/>
      </c>
      <c r="R696" s="18" t="str">
        <f t="array" ref="R696">IF(
  B696="",
  ,
  SWITCH(
    Input!$C$4,
    "Actual/365 Fixed",
      YEARFRAC(
        B696 + IF(INDEX(Input!$K$7:$K1503,ROW()-1),0,1),
        C696 + IF(INDEX(Input!$L$7:$L1503,ROW()-1),1,0),
        3
      ),
    "Anniversary/365",
      DATEDIF(
        B696 + IF(INDEX(Input!$K$7:$K1503,ROW()-1),0,1),
        C696 + IF(INDEX(Input!$L$7:$L1503,ROW()-1),1,0),
        "Y"
      )
      +
      (
        (C696 + IF(INDEX(Input!$L$7:$L1503,ROW()-1),1,0))
        -
        EDATE(
          B696 + IF(INDEX(Input!$K$7:$K1503,ROW()-1),0,1),
          12*DATEDIF(
            B696 + IF(INDEX(Input!$K$7:$K1503,ROW()-1),0,1),
            C696 + IF(INDEX(Input!$L$7:$L1503,ROW()-1),1,0),
            "Y"
          )
        )
      ) / 365,
    "Actual/Actual",
      YEARFRAC(
        B696 + IF(INDEX(Input!$K$7:$K1503,ROW()-1),0,1),
        C696 + IF(INDEX(Input!$L$7:$L1503,ROW()-1),1,0),
        1
      ),
      YEARFRAC(
        B696 + IF(INDEX(Input!$K$7:$K1503,ROW()-1),0,1),
        C696 + IF(INDEX(Input!$L$7:$L1503,ROW()-1),1,0),
        3
      )
  )
)</f>
        <v/>
      </c>
      <c r="S696" s="22" t="str">
        <f t="shared" si="4"/>
        <v/>
      </c>
      <c r="T696" s="6" t="str">
        <f t="array" ref="T696">IF(
  B696="",
  ,
  DATEDIF(
    B696 + IF(INDEX(Input!$K$7:$K1503,ROW()-1),0,1),
    C696 + IF(INDEX(Input!$L$7:$L1503,ROW()-1),1,0),
    "Y"
  )
)</f>
        <v/>
      </c>
      <c r="U696" s="6" t="str">
        <f t="array" ref="U696">IF(
  B696="",
  ,
  (C696 + IF(INDEX(Input!$L$7:$L1503,ROW()-1),1,0))
  - EDATE(
      B696 + IF(INDEX(Input!$K$7:$K1503,ROW()-1),0,1),
      12*S696
    )
)</f>
        <v/>
      </c>
      <c r="V696" s="6" t="str">
        <f t="shared" si="5"/>
        <v/>
      </c>
      <c r="W696" s="6" t="str">
        <f t="shared" si="6"/>
        <v/>
      </c>
    </row>
    <row r="697">
      <c r="A697" s="18"/>
      <c r="B697" s="18"/>
      <c r="C697" s="18"/>
      <c r="D697" s="18"/>
      <c r="E697" s="18"/>
      <c r="F697" s="18"/>
      <c r="G697" s="22"/>
      <c r="H697" s="18"/>
      <c r="I697" s="18">
        <v>0.0</v>
      </c>
      <c r="J697" s="18">
        <v>0.0</v>
      </c>
      <c r="K697" s="18"/>
      <c r="L697" s="18"/>
      <c r="M697" s="22" t="str">
        <f t="shared" si="1"/>
        <v/>
      </c>
      <c r="N697" s="18" t="str">
        <f>IF(A697="",,IF(ROW()=2, Input!$C$2 + I697, P696 + I697))</f>
        <v/>
      </c>
      <c r="O697" s="23" t="str">
        <f>IF(A697="",,
 IF(K697="Initial principal",
   Input!$C$2 * M697,
   N697 * M697
 )
)</f>
        <v/>
      </c>
      <c r="P697" s="18" t="str">
        <f t="shared" si="2"/>
        <v/>
      </c>
      <c r="Q697" s="18" t="str">
        <f t="shared" si="3"/>
        <v/>
      </c>
      <c r="R697" s="18" t="str">
        <f t="array" ref="R697">IF(
  B697="",
  ,
  SWITCH(
    Input!$C$4,
    "Actual/365 Fixed",
      YEARFRAC(
        B697 + IF(INDEX(Input!$K$7:$K1503,ROW()-1),0,1),
        C697 + IF(INDEX(Input!$L$7:$L1503,ROW()-1),1,0),
        3
      ),
    "Anniversary/365",
      DATEDIF(
        B697 + IF(INDEX(Input!$K$7:$K1503,ROW()-1),0,1),
        C697 + IF(INDEX(Input!$L$7:$L1503,ROW()-1),1,0),
        "Y"
      )
      +
      (
        (C697 + IF(INDEX(Input!$L$7:$L1503,ROW()-1),1,0))
        -
        EDATE(
          B697 + IF(INDEX(Input!$K$7:$K1503,ROW()-1),0,1),
          12*DATEDIF(
            B697 + IF(INDEX(Input!$K$7:$K1503,ROW()-1),0,1),
            C697 + IF(INDEX(Input!$L$7:$L1503,ROW()-1),1,0),
            "Y"
          )
        )
      ) / 365,
    "Actual/Actual",
      YEARFRAC(
        B697 + IF(INDEX(Input!$K$7:$K1503,ROW()-1),0,1),
        C697 + IF(INDEX(Input!$L$7:$L1503,ROW()-1),1,0),
        1
      ),
      YEARFRAC(
        B697 + IF(INDEX(Input!$K$7:$K1503,ROW()-1),0,1),
        C697 + IF(INDEX(Input!$L$7:$L1503,ROW()-1),1,0),
        3
      )
  )
)</f>
        <v/>
      </c>
      <c r="S697" s="22" t="str">
        <f t="shared" si="4"/>
        <v/>
      </c>
      <c r="T697" s="6" t="str">
        <f t="array" ref="T697">IF(
  B697="",
  ,
  DATEDIF(
    B697 + IF(INDEX(Input!$K$7:$K1503,ROW()-1),0,1),
    C697 + IF(INDEX(Input!$L$7:$L1503,ROW()-1),1,0),
    "Y"
  )
)</f>
        <v/>
      </c>
      <c r="U697" s="6" t="str">
        <f t="array" ref="U697">IF(
  B697="",
  ,
  (C697 + IF(INDEX(Input!$L$7:$L1503,ROW()-1),1,0))
  - EDATE(
      B697 + IF(INDEX(Input!$K$7:$K1503,ROW()-1),0,1),
      12*S697
    )
)</f>
        <v/>
      </c>
      <c r="V697" s="6" t="str">
        <f t="shared" si="5"/>
        <v/>
      </c>
      <c r="W697" s="6" t="str">
        <f t="shared" si="6"/>
        <v/>
      </c>
    </row>
    <row r="698">
      <c r="A698" s="18"/>
      <c r="B698" s="18"/>
      <c r="C698" s="18"/>
      <c r="D698" s="18"/>
      <c r="E698" s="18"/>
      <c r="F698" s="18"/>
      <c r="G698" s="22"/>
      <c r="H698" s="18"/>
      <c r="I698" s="18">
        <v>0.0</v>
      </c>
      <c r="J698" s="18">
        <v>0.0</v>
      </c>
      <c r="K698" s="18"/>
      <c r="L698" s="18"/>
      <c r="M698" s="22" t="str">
        <f t="shared" si="1"/>
        <v/>
      </c>
      <c r="N698" s="18" t="str">
        <f>IF(A698="",,IF(ROW()=2, Input!$C$2 + I698, P697 + I698))</f>
        <v/>
      </c>
      <c r="O698" s="23" t="str">
        <f>IF(A698="",,
 IF(K698="Initial principal",
   Input!$C$2 * M698,
   N698 * M698
 )
)</f>
        <v/>
      </c>
      <c r="P698" s="18" t="str">
        <f t="shared" si="2"/>
        <v/>
      </c>
      <c r="Q698" s="18" t="str">
        <f t="shared" si="3"/>
        <v/>
      </c>
      <c r="R698" s="18" t="str">
        <f t="array" ref="R698">IF(
  B698="",
  ,
  SWITCH(
    Input!$C$4,
    "Actual/365 Fixed",
      YEARFRAC(
        B698 + IF(INDEX(Input!$K$7:$K1503,ROW()-1),0,1),
        C698 + IF(INDEX(Input!$L$7:$L1503,ROW()-1),1,0),
        3
      ),
    "Anniversary/365",
      DATEDIF(
        B698 + IF(INDEX(Input!$K$7:$K1503,ROW()-1),0,1),
        C698 + IF(INDEX(Input!$L$7:$L1503,ROW()-1),1,0),
        "Y"
      )
      +
      (
        (C698 + IF(INDEX(Input!$L$7:$L1503,ROW()-1),1,0))
        -
        EDATE(
          B698 + IF(INDEX(Input!$K$7:$K1503,ROW()-1),0,1),
          12*DATEDIF(
            B698 + IF(INDEX(Input!$K$7:$K1503,ROW()-1),0,1),
            C698 + IF(INDEX(Input!$L$7:$L1503,ROW()-1),1,0),
            "Y"
          )
        )
      ) / 365,
    "Actual/Actual",
      YEARFRAC(
        B698 + IF(INDEX(Input!$K$7:$K1503,ROW()-1),0,1),
        C698 + IF(INDEX(Input!$L$7:$L1503,ROW()-1),1,0),
        1
      ),
      YEARFRAC(
        B698 + IF(INDEX(Input!$K$7:$K1503,ROW()-1),0,1),
        C698 + IF(INDEX(Input!$L$7:$L1503,ROW()-1),1,0),
        3
      )
  )
)</f>
        <v/>
      </c>
      <c r="S698" s="22" t="str">
        <f t="shared" si="4"/>
        <v/>
      </c>
      <c r="T698" s="6" t="str">
        <f t="array" ref="T698">IF(
  B698="",
  ,
  DATEDIF(
    B698 + IF(INDEX(Input!$K$7:$K1503,ROW()-1),0,1),
    C698 + IF(INDEX(Input!$L$7:$L1503,ROW()-1),1,0),
    "Y"
  )
)</f>
        <v/>
      </c>
      <c r="U698" s="6" t="str">
        <f t="array" ref="U698">IF(
  B698="",
  ,
  (C698 + IF(INDEX(Input!$L$7:$L1503,ROW()-1),1,0))
  - EDATE(
      B698 + IF(INDEX(Input!$K$7:$K1503,ROW()-1),0,1),
      12*S698
    )
)</f>
        <v/>
      </c>
      <c r="V698" s="6" t="str">
        <f t="shared" si="5"/>
        <v/>
      </c>
      <c r="W698" s="6" t="str">
        <f t="shared" si="6"/>
        <v/>
      </c>
    </row>
    <row r="699">
      <c r="A699" s="18"/>
      <c r="B699" s="18"/>
      <c r="C699" s="18"/>
      <c r="D699" s="18"/>
      <c r="E699" s="18"/>
      <c r="F699" s="18"/>
      <c r="G699" s="22"/>
      <c r="H699" s="18"/>
      <c r="I699" s="18">
        <v>0.0</v>
      </c>
      <c r="J699" s="18">
        <v>0.0</v>
      </c>
      <c r="K699" s="18"/>
      <c r="L699" s="18"/>
      <c r="M699" s="22" t="str">
        <f t="shared" si="1"/>
        <v/>
      </c>
      <c r="N699" s="18" t="str">
        <f>IF(A699="",,IF(ROW()=2, Input!$C$2 + I699, P698 + I699))</f>
        <v/>
      </c>
      <c r="O699" s="23" t="str">
        <f>IF(A699="",,
 IF(K699="Initial principal",
   Input!$C$2 * M699,
   N699 * M699
 )
)</f>
        <v/>
      </c>
      <c r="P699" s="18" t="str">
        <f t="shared" si="2"/>
        <v/>
      </c>
      <c r="Q699" s="18" t="str">
        <f t="shared" si="3"/>
        <v/>
      </c>
      <c r="R699" s="18" t="str">
        <f t="array" ref="R699">IF(
  B699="",
  ,
  SWITCH(
    Input!$C$4,
    "Actual/365 Fixed",
      YEARFRAC(
        B699 + IF(INDEX(Input!$K$7:$K1503,ROW()-1),0,1),
        C699 + IF(INDEX(Input!$L$7:$L1503,ROW()-1),1,0),
        3
      ),
    "Anniversary/365",
      DATEDIF(
        B699 + IF(INDEX(Input!$K$7:$K1503,ROW()-1),0,1),
        C699 + IF(INDEX(Input!$L$7:$L1503,ROW()-1),1,0),
        "Y"
      )
      +
      (
        (C699 + IF(INDEX(Input!$L$7:$L1503,ROW()-1),1,0))
        -
        EDATE(
          B699 + IF(INDEX(Input!$K$7:$K1503,ROW()-1),0,1),
          12*DATEDIF(
            B699 + IF(INDEX(Input!$K$7:$K1503,ROW()-1),0,1),
            C699 + IF(INDEX(Input!$L$7:$L1503,ROW()-1),1,0),
            "Y"
          )
        )
      ) / 365,
    "Actual/Actual",
      YEARFRAC(
        B699 + IF(INDEX(Input!$K$7:$K1503,ROW()-1),0,1),
        C699 + IF(INDEX(Input!$L$7:$L1503,ROW()-1),1,0),
        1
      ),
      YEARFRAC(
        B699 + IF(INDEX(Input!$K$7:$K1503,ROW()-1),0,1),
        C699 + IF(INDEX(Input!$L$7:$L1503,ROW()-1),1,0),
        3
      )
  )
)</f>
        <v/>
      </c>
      <c r="S699" s="22" t="str">
        <f t="shared" si="4"/>
        <v/>
      </c>
      <c r="T699" s="6" t="str">
        <f t="array" ref="T699">IF(
  B699="",
  ,
  DATEDIF(
    B699 + IF(INDEX(Input!$K$7:$K1503,ROW()-1),0,1),
    C699 + IF(INDEX(Input!$L$7:$L1503,ROW()-1),1,0),
    "Y"
  )
)</f>
        <v/>
      </c>
      <c r="U699" s="6" t="str">
        <f t="array" ref="U699">IF(
  B699="",
  ,
  (C699 + IF(INDEX(Input!$L$7:$L1503,ROW()-1),1,0))
  - EDATE(
      B699 + IF(INDEX(Input!$K$7:$K1503,ROW()-1),0,1),
      12*S699
    )
)</f>
        <v/>
      </c>
      <c r="V699" s="6" t="str">
        <f t="shared" si="5"/>
        <v/>
      </c>
      <c r="W699" s="6" t="str">
        <f t="shared" si="6"/>
        <v/>
      </c>
    </row>
    <row r="700">
      <c r="A700" s="18"/>
      <c r="B700" s="18"/>
      <c r="C700" s="18"/>
      <c r="D700" s="18"/>
      <c r="E700" s="18"/>
      <c r="F700" s="18"/>
      <c r="G700" s="22"/>
      <c r="H700" s="18"/>
      <c r="I700" s="18">
        <v>0.0</v>
      </c>
      <c r="J700" s="18">
        <v>0.0</v>
      </c>
      <c r="K700" s="18"/>
      <c r="L700" s="18"/>
      <c r="M700" s="22" t="str">
        <f t="shared" si="1"/>
        <v/>
      </c>
      <c r="N700" s="18" t="str">
        <f>IF(A700="",,IF(ROW()=2, Input!$C$2 + I700, P699 + I700))</f>
        <v/>
      </c>
      <c r="O700" s="23" t="str">
        <f>IF(A700="",,
 IF(K700="Initial principal",
   Input!$C$2 * M700,
   N700 * M700
 )
)</f>
        <v/>
      </c>
      <c r="P700" s="18" t="str">
        <f t="shared" si="2"/>
        <v/>
      </c>
      <c r="Q700" s="18" t="str">
        <f t="shared" si="3"/>
        <v/>
      </c>
      <c r="R700" s="18" t="str">
        <f t="array" ref="R700">IF(
  B700="",
  ,
  SWITCH(
    Input!$C$4,
    "Actual/365 Fixed",
      YEARFRAC(
        B700 + IF(INDEX(Input!$K$7:$K1503,ROW()-1),0,1),
        C700 + IF(INDEX(Input!$L$7:$L1503,ROW()-1),1,0),
        3
      ),
    "Anniversary/365",
      DATEDIF(
        B700 + IF(INDEX(Input!$K$7:$K1503,ROW()-1),0,1),
        C700 + IF(INDEX(Input!$L$7:$L1503,ROW()-1),1,0),
        "Y"
      )
      +
      (
        (C700 + IF(INDEX(Input!$L$7:$L1503,ROW()-1),1,0))
        -
        EDATE(
          B700 + IF(INDEX(Input!$K$7:$K1503,ROW()-1),0,1),
          12*DATEDIF(
            B700 + IF(INDEX(Input!$K$7:$K1503,ROW()-1),0,1),
            C700 + IF(INDEX(Input!$L$7:$L1503,ROW()-1),1,0),
            "Y"
          )
        )
      ) / 365,
    "Actual/Actual",
      YEARFRAC(
        B700 + IF(INDEX(Input!$K$7:$K1503,ROW()-1),0,1),
        C700 + IF(INDEX(Input!$L$7:$L1503,ROW()-1),1,0),
        1
      ),
      YEARFRAC(
        B700 + IF(INDEX(Input!$K$7:$K1503,ROW()-1),0,1),
        C700 + IF(INDEX(Input!$L$7:$L1503,ROW()-1),1,0),
        3
      )
  )
)</f>
        <v/>
      </c>
      <c r="S700" s="22" t="str">
        <f t="shared" si="4"/>
        <v/>
      </c>
      <c r="T700" s="6" t="str">
        <f t="array" ref="T700">IF(
  B700="",
  ,
  DATEDIF(
    B700 + IF(INDEX(Input!$K$7:$K1503,ROW()-1),0,1),
    C700 + IF(INDEX(Input!$L$7:$L1503,ROW()-1),1,0),
    "Y"
  )
)</f>
        <v/>
      </c>
      <c r="U700" s="6" t="str">
        <f t="array" ref="U700">IF(
  B700="",
  ,
  (C700 + IF(INDEX(Input!$L$7:$L1503,ROW()-1),1,0))
  - EDATE(
      B700 + IF(INDEX(Input!$K$7:$K1503,ROW()-1),0,1),
      12*S700
    )
)</f>
        <v/>
      </c>
      <c r="V700" s="6" t="str">
        <f t="shared" si="5"/>
        <v/>
      </c>
      <c r="W700" s="6" t="str">
        <f t="shared" si="6"/>
        <v/>
      </c>
    </row>
    <row r="701">
      <c r="A701" s="18"/>
      <c r="B701" s="18"/>
      <c r="C701" s="18"/>
      <c r="D701" s="18"/>
      <c r="E701" s="18"/>
      <c r="F701" s="18"/>
      <c r="G701" s="22"/>
      <c r="H701" s="18"/>
      <c r="I701" s="18">
        <v>0.0</v>
      </c>
      <c r="J701" s="18">
        <v>0.0</v>
      </c>
      <c r="K701" s="18"/>
      <c r="L701" s="18"/>
      <c r="M701" s="22" t="str">
        <f t="shared" si="1"/>
        <v/>
      </c>
      <c r="N701" s="18" t="str">
        <f>IF(A701="",,IF(ROW()=2, Input!$C$2 + I701, P700 + I701))</f>
        <v/>
      </c>
      <c r="O701" s="23" t="str">
        <f>IF(A701="",,
 IF(K701="Initial principal",
   Input!$C$2 * M701,
   N701 * M701
 )
)</f>
        <v/>
      </c>
      <c r="P701" s="18" t="str">
        <f t="shared" si="2"/>
        <v/>
      </c>
      <c r="Q701" s="18" t="str">
        <f t="shared" si="3"/>
        <v/>
      </c>
      <c r="R701" s="18" t="str">
        <f t="array" ref="R701">IF(
  B701="",
  ,
  SWITCH(
    Input!$C$4,
    "Actual/365 Fixed",
      YEARFRAC(
        B701 + IF(INDEX(Input!$K$7:$K1503,ROW()-1),0,1),
        C701 + IF(INDEX(Input!$L$7:$L1503,ROW()-1),1,0),
        3
      ),
    "Anniversary/365",
      DATEDIF(
        B701 + IF(INDEX(Input!$K$7:$K1503,ROW()-1),0,1),
        C701 + IF(INDEX(Input!$L$7:$L1503,ROW()-1),1,0),
        "Y"
      )
      +
      (
        (C701 + IF(INDEX(Input!$L$7:$L1503,ROW()-1),1,0))
        -
        EDATE(
          B701 + IF(INDEX(Input!$K$7:$K1503,ROW()-1),0,1),
          12*DATEDIF(
            B701 + IF(INDEX(Input!$K$7:$K1503,ROW()-1),0,1),
            C701 + IF(INDEX(Input!$L$7:$L1503,ROW()-1),1,0),
            "Y"
          )
        )
      ) / 365,
    "Actual/Actual",
      YEARFRAC(
        B701 + IF(INDEX(Input!$K$7:$K1503,ROW()-1),0,1),
        C701 + IF(INDEX(Input!$L$7:$L1503,ROW()-1),1,0),
        1
      ),
      YEARFRAC(
        B701 + IF(INDEX(Input!$K$7:$K1503,ROW()-1),0,1),
        C701 + IF(INDEX(Input!$L$7:$L1503,ROW()-1),1,0),
        3
      )
  )
)</f>
        <v/>
      </c>
      <c r="S701" s="22" t="str">
        <f t="shared" si="4"/>
        <v/>
      </c>
      <c r="T701" s="6" t="str">
        <f t="array" ref="T701">IF(
  B701="",
  ,
  DATEDIF(
    B701 + IF(INDEX(Input!$K$7:$K1503,ROW()-1),0,1),
    C701 + IF(INDEX(Input!$L$7:$L1503,ROW()-1),1,0),
    "Y"
  )
)</f>
        <v/>
      </c>
      <c r="U701" s="6" t="str">
        <f t="array" ref="U701">IF(
  B701="",
  ,
  (C701 + IF(INDEX(Input!$L$7:$L1503,ROW()-1),1,0))
  - EDATE(
      B701 + IF(INDEX(Input!$K$7:$K1503,ROW()-1),0,1),
      12*S701
    )
)</f>
        <v/>
      </c>
      <c r="V701" s="6" t="str">
        <f t="shared" si="5"/>
        <v/>
      </c>
      <c r="W701" s="6" t="str">
        <f t="shared" si="6"/>
        <v/>
      </c>
    </row>
    <row r="702">
      <c r="A702" s="18"/>
      <c r="B702" s="18"/>
      <c r="C702" s="18"/>
      <c r="D702" s="18"/>
      <c r="E702" s="18"/>
      <c r="F702" s="18"/>
      <c r="G702" s="22"/>
      <c r="H702" s="18"/>
      <c r="I702" s="18">
        <v>0.0</v>
      </c>
      <c r="J702" s="18">
        <v>0.0</v>
      </c>
      <c r="K702" s="18"/>
      <c r="L702" s="18"/>
      <c r="M702" s="22" t="str">
        <f t="shared" si="1"/>
        <v/>
      </c>
      <c r="N702" s="18" t="str">
        <f>IF(A702="",,IF(ROW()=2, Input!$C$2 + I702, P701 + I702))</f>
        <v/>
      </c>
      <c r="O702" s="23" t="str">
        <f>IF(A702="",,
 IF(K702="Initial principal",
   Input!$C$2 * M702,
   N702 * M702
 )
)</f>
        <v/>
      </c>
      <c r="P702" s="18" t="str">
        <f t="shared" si="2"/>
        <v/>
      </c>
      <c r="Q702" s="18" t="str">
        <f t="shared" si="3"/>
        <v/>
      </c>
      <c r="R702" s="18" t="str">
        <f t="array" ref="R702">IF(
  B702="",
  ,
  SWITCH(
    Input!$C$4,
    "Actual/365 Fixed",
      YEARFRAC(
        B702 + IF(INDEX(Input!$K$7:$K1503,ROW()-1),0,1),
        C702 + IF(INDEX(Input!$L$7:$L1503,ROW()-1),1,0),
        3
      ),
    "Anniversary/365",
      DATEDIF(
        B702 + IF(INDEX(Input!$K$7:$K1503,ROW()-1),0,1),
        C702 + IF(INDEX(Input!$L$7:$L1503,ROW()-1),1,0),
        "Y"
      )
      +
      (
        (C702 + IF(INDEX(Input!$L$7:$L1503,ROW()-1),1,0))
        -
        EDATE(
          B702 + IF(INDEX(Input!$K$7:$K1503,ROW()-1),0,1),
          12*DATEDIF(
            B702 + IF(INDEX(Input!$K$7:$K1503,ROW()-1),0,1),
            C702 + IF(INDEX(Input!$L$7:$L1503,ROW()-1),1,0),
            "Y"
          )
        )
      ) / 365,
    "Actual/Actual",
      YEARFRAC(
        B702 + IF(INDEX(Input!$K$7:$K1503,ROW()-1),0,1),
        C702 + IF(INDEX(Input!$L$7:$L1503,ROW()-1),1,0),
        1
      ),
      YEARFRAC(
        B702 + IF(INDEX(Input!$K$7:$K1503,ROW()-1),0,1),
        C702 + IF(INDEX(Input!$L$7:$L1503,ROW()-1),1,0),
        3
      )
  )
)</f>
        <v/>
      </c>
      <c r="S702" s="22" t="str">
        <f t="shared" si="4"/>
        <v/>
      </c>
      <c r="T702" s="6" t="str">
        <f t="array" ref="T702">IF(
  B702="",
  ,
  DATEDIF(
    B702 + IF(INDEX(Input!$K$7:$K1503,ROW()-1),0,1),
    C702 + IF(INDEX(Input!$L$7:$L1503,ROW()-1),1,0),
    "Y"
  )
)</f>
        <v/>
      </c>
      <c r="U702" s="6" t="str">
        <f t="array" ref="U702">IF(
  B702="",
  ,
  (C702 + IF(INDEX(Input!$L$7:$L1503,ROW()-1),1,0))
  - EDATE(
      B702 + IF(INDEX(Input!$K$7:$K1503,ROW()-1),0,1),
      12*S702
    )
)</f>
        <v/>
      </c>
      <c r="V702" s="6" t="str">
        <f t="shared" si="5"/>
        <v/>
      </c>
      <c r="W702" s="6" t="str">
        <f t="shared" si="6"/>
        <v/>
      </c>
    </row>
    <row r="703">
      <c r="A703" s="18"/>
      <c r="B703" s="18"/>
      <c r="C703" s="18"/>
      <c r="D703" s="18"/>
      <c r="E703" s="18"/>
      <c r="F703" s="18"/>
      <c r="G703" s="22"/>
      <c r="H703" s="18"/>
      <c r="I703" s="18">
        <v>0.0</v>
      </c>
      <c r="J703" s="18">
        <v>0.0</v>
      </c>
      <c r="K703" s="18"/>
      <c r="L703" s="18"/>
      <c r="M703" s="22" t="str">
        <f t="shared" si="1"/>
        <v/>
      </c>
      <c r="N703" s="18" t="str">
        <f>IF(A703="",,IF(ROW()=2, Input!$C$2 + I703, P702 + I703))</f>
        <v/>
      </c>
      <c r="O703" s="23" t="str">
        <f>IF(A703="",,
 IF(K703="Initial principal",
   Input!$C$2 * M703,
   N703 * M703
 )
)</f>
        <v/>
      </c>
      <c r="P703" s="18" t="str">
        <f t="shared" si="2"/>
        <v/>
      </c>
      <c r="Q703" s="18" t="str">
        <f t="shared" si="3"/>
        <v/>
      </c>
      <c r="R703" s="18" t="str">
        <f t="array" ref="R703">IF(
  B703="",
  ,
  SWITCH(
    Input!$C$4,
    "Actual/365 Fixed",
      YEARFRAC(
        B703 + IF(INDEX(Input!$K$7:$K1503,ROW()-1),0,1),
        C703 + IF(INDEX(Input!$L$7:$L1503,ROW()-1),1,0),
        3
      ),
    "Anniversary/365",
      DATEDIF(
        B703 + IF(INDEX(Input!$K$7:$K1503,ROW()-1),0,1),
        C703 + IF(INDEX(Input!$L$7:$L1503,ROW()-1),1,0),
        "Y"
      )
      +
      (
        (C703 + IF(INDEX(Input!$L$7:$L1503,ROW()-1),1,0))
        -
        EDATE(
          B703 + IF(INDEX(Input!$K$7:$K1503,ROW()-1),0,1),
          12*DATEDIF(
            B703 + IF(INDEX(Input!$K$7:$K1503,ROW()-1),0,1),
            C703 + IF(INDEX(Input!$L$7:$L1503,ROW()-1),1,0),
            "Y"
          )
        )
      ) / 365,
    "Actual/Actual",
      YEARFRAC(
        B703 + IF(INDEX(Input!$K$7:$K1503,ROW()-1),0,1),
        C703 + IF(INDEX(Input!$L$7:$L1503,ROW()-1),1,0),
        1
      ),
      YEARFRAC(
        B703 + IF(INDEX(Input!$K$7:$K1503,ROW()-1),0,1),
        C703 + IF(INDEX(Input!$L$7:$L1503,ROW()-1),1,0),
        3
      )
  )
)</f>
        <v/>
      </c>
      <c r="S703" s="22" t="str">
        <f t="shared" si="4"/>
        <v/>
      </c>
      <c r="T703" s="6" t="str">
        <f t="array" ref="T703">IF(
  B703="",
  ,
  DATEDIF(
    B703 + IF(INDEX(Input!$K$7:$K1503,ROW()-1),0,1),
    C703 + IF(INDEX(Input!$L$7:$L1503,ROW()-1),1,0),
    "Y"
  )
)</f>
        <v/>
      </c>
      <c r="U703" s="6" t="str">
        <f t="array" ref="U703">IF(
  B703="",
  ,
  (C703 + IF(INDEX(Input!$L$7:$L1503,ROW()-1),1,0))
  - EDATE(
      B703 + IF(INDEX(Input!$K$7:$K1503,ROW()-1),0,1),
      12*S703
    )
)</f>
        <v/>
      </c>
      <c r="V703" s="6" t="str">
        <f t="shared" si="5"/>
        <v/>
      </c>
      <c r="W703" s="6" t="str">
        <f t="shared" si="6"/>
        <v/>
      </c>
    </row>
    <row r="704">
      <c r="A704" s="18"/>
      <c r="B704" s="18"/>
      <c r="C704" s="18"/>
      <c r="D704" s="18"/>
      <c r="E704" s="18"/>
      <c r="F704" s="18"/>
      <c r="G704" s="22"/>
      <c r="H704" s="18"/>
      <c r="I704" s="18">
        <v>0.0</v>
      </c>
      <c r="J704" s="18">
        <v>0.0</v>
      </c>
      <c r="K704" s="18"/>
      <c r="L704" s="18"/>
      <c r="M704" s="22" t="str">
        <f t="shared" si="1"/>
        <v/>
      </c>
      <c r="N704" s="18" t="str">
        <f>IF(A704="",,IF(ROW()=2, Input!$C$2 + I704, P703 + I704))</f>
        <v/>
      </c>
      <c r="O704" s="23" t="str">
        <f>IF(A704="",,
 IF(K704="Initial principal",
   Input!$C$2 * M704,
   N704 * M704
 )
)</f>
        <v/>
      </c>
      <c r="P704" s="18" t="str">
        <f t="shared" si="2"/>
        <v/>
      </c>
      <c r="Q704" s="18" t="str">
        <f t="shared" si="3"/>
        <v/>
      </c>
      <c r="R704" s="18" t="str">
        <f t="array" ref="R704">IF(
  B704="",
  ,
  SWITCH(
    Input!$C$4,
    "Actual/365 Fixed",
      YEARFRAC(
        B704 + IF(INDEX(Input!$K$7:$K1503,ROW()-1),0,1),
        C704 + IF(INDEX(Input!$L$7:$L1503,ROW()-1),1,0),
        3
      ),
    "Anniversary/365",
      DATEDIF(
        B704 + IF(INDEX(Input!$K$7:$K1503,ROW()-1),0,1),
        C704 + IF(INDEX(Input!$L$7:$L1503,ROW()-1),1,0),
        "Y"
      )
      +
      (
        (C704 + IF(INDEX(Input!$L$7:$L1503,ROW()-1),1,0))
        -
        EDATE(
          B704 + IF(INDEX(Input!$K$7:$K1503,ROW()-1),0,1),
          12*DATEDIF(
            B704 + IF(INDEX(Input!$K$7:$K1503,ROW()-1),0,1),
            C704 + IF(INDEX(Input!$L$7:$L1503,ROW()-1),1,0),
            "Y"
          )
        )
      ) / 365,
    "Actual/Actual",
      YEARFRAC(
        B704 + IF(INDEX(Input!$K$7:$K1503,ROW()-1),0,1),
        C704 + IF(INDEX(Input!$L$7:$L1503,ROW()-1),1,0),
        1
      ),
      YEARFRAC(
        B704 + IF(INDEX(Input!$K$7:$K1503,ROW()-1),0,1),
        C704 + IF(INDEX(Input!$L$7:$L1503,ROW()-1),1,0),
        3
      )
  )
)</f>
        <v/>
      </c>
      <c r="S704" s="22" t="str">
        <f t="shared" si="4"/>
        <v/>
      </c>
      <c r="T704" s="6" t="str">
        <f t="array" ref="T704">IF(
  B704="",
  ,
  DATEDIF(
    B704 + IF(INDEX(Input!$K$7:$K1503,ROW()-1),0,1),
    C704 + IF(INDEX(Input!$L$7:$L1503,ROW()-1),1,0),
    "Y"
  )
)</f>
        <v/>
      </c>
      <c r="U704" s="6" t="str">
        <f t="array" ref="U704">IF(
  B704="",
  ,
  (C704 + IF(INDEX(Input!$L$7:$L1503,ROW()-1),1,0))
  - EDATE(
      B704 + IF(INDEX(Input!$K$7:$K1503,ROW()-1),0,1),
      12*S704
    )
)</f>
        <v/>
      </c>
      <c r="V704" s="6" t="str">
        <f t="shared" si="5"/>
        <v/>
      </c>
      <c r="W704" s="6" t="str">
        <f t="shared" si="6"/>
        <v/>
      </c>
    </row>
    <row r="705">
      <c r="A705" s="18"/>
      <c r="B705" s="18"/>
      <c r="C705" s="18"/>
      <c r="D705" s="18"/>
      <c r="E705" s="18"/>
      <c r="F705" s="18"/>
      <c r="G705" s="22"/>
      <c r="H705" s="18"/>
      <c r="I705" s="18">
        <v>0.0</v>
      </c>
      <c r="J705" s="18">
        <v>0.0</v>
      </c>
      <c r="K705" s="18"/>
      <c r="L705" s="18"/>
      <c r="M705" s="22" t="str">
        <f t="shared" si="1"/>
        <v/>
      </c>
      <c r="N705" s="18" t="str">
        <f>IF(A705="",,IF(ROW()=2, Input!$C$2 + I705, P704 + I705))</f>
        <v/>
      </c>
      <c r="O705" s="23" t="str">
        <f>IF(A705="",,
 IF(K705="Initial principal",
   Input!$C$2 * M705,
   N705 * M705
 )
)</f>
        <v/>
      </c>
      <c r="P705" s="18" t="str">
        <f t="shared" si="2"/>
        <v/>
      </c>
      <c r="Q705" s="18" t="str">
        <f t="shared" si="3"/>
        <v/>
      </c>
      <c r="R705" s="18" t="str">
        <f t="array" ref="R705">IF(
  B705="",
  ,
  SWITCH(
    Input!$C$4,
    "Actual/365 Fixed",
      YEARFRAC(
        B705 + IF(INDEX(Input!$K$7:$K1503,ROW()-1),0,1),
        C705 + IF(INDEX(Input!$L$7:$L1503,ROW()-1),1,0),
        3
      ),
    "Anniversary/365",
      DATEDIF(
        B705 + IF(INDEX(Input!$K$7:$K1503,ROW()-1),0,1),
        C705 + IF(INDEX(Input!$L$7:$L1503,ROW()-1),1,0),
        "Y"
      )
      +
      (
        (C705 + IF(INDEX(Input!$L$7:$L1503,ROW()-1),1,0))
        -
        EDATE(
          B705 + IF(INDEX(Input!$K$7:$K1503,ROW()-1),0,1),
          12*DATEDIF(
            B705 + IF(INDEX(Input!$K$7:$K1503,ROW()-1),0,1),
            C705 + IF(INDEX(Input!$L$7:$L1503,ROW()-1),1,0),
            "Y"
          )
        )
      ) / 365,
    "Actual/Actual",
      YEARFRAC(
        B705 + IF(INDEX(Input!$K$7:$K1503,ROW()-1),0,1),
        C705 + IF(INDEX(Input!$L$7:$L1503,ROW()-1),1,0),
        1
      ),
      YEARFRAC(
        B705 + IF(INDEX(Input!$K$7:$K1503,ROW()-1),0,1),
        C705 + IF(INDEX(Input!$L$7:$L1503,ROW()-1),1,0),
        3
      )
  )
)</f>
        <v/>
      </c>
      <c r="S705" s="22" t="str">
        <f t="shared" si="4"/>
        <v/>
      </c>
      <c r="T705" s="6" t="str">
        <f t="array" ref="T705">IF(
  B705="",
  ,
  DATEDIF(
    B705 + IF(INDEX(Input!$K$7:$K1503,ROW()-1),0,1),
    C705 + IF(INDEX(Input!$L$7:$L1503,ROW()-1),1,0),
    "Y"
  )
)</f>
        <v/>
      </c>
      <c r="U705" s="6" t="str">
        <f t="array" ref="U705">IF(
  B705="",
  ,
  (C705 + IF(INDEX(Input!$L$7:$L1503,ROW()-1),1,0))
  - EDATE(
      B705 + IF(INDEX(Input!$K$7:$K1503,ROW()-1),0,1),
      12*S705
    )
)</f>
        <v/>
      </c>
      <c r="V705" s="6" t="str">
        <f t="shared" si="5"/>
        <v/>
      </c>
      <c r="W705" s="6" t="str">
        <f t="shared" si="6"/>
        <v/>
      </c>
    </row>
    <row r="706">
      <c r="A706" s="18"/>
      <c r="B706" s="18"/>
      <c r="C706" s="18"/>
      <c r="D706" s="18"/>
      <c r="E706" s="18"/>
      <c r="F706" s="18"/>
      <c r="G706" s="22"/>
      <c r="H706" s="18"/>
      <c r="I706" s="18">
        <v>0.0</v>
      </c>
      <c r="J706" s="18">
        <v>0.0</v>
      </c>
      <c r="K706" s="18"/>
      <c r="L706" s="18"/>
      <c r="M706" s="22" t="str">
        <f t="shared" si="1"/>
        <v/>
      </c>
      <c r="N706" s="18" t="str">
        <f>IF(A706="",,IF(ROW()=2, Input!$C$2 + I706, P705 + I706))</f>
        <v/>
      </c>
      <c r="O706" s="23" t="str">
        <f>IF(A706="",,
 IF(K706="Initial principal",
   Input!$C$2 * M706,
   N706 * M706
 )
)</f>
        <v/>
      </c>
      <c r="P706" s="18" t="str">
        <f t="shared" si="2"/>
        <v/>
      </c>
      <c r="Q706" s="18" t="str">
        <f t="shared" si="3"/>
        <v/>
      </c>
      <c r="R706" s="18" t="str">
        <f t="array" ref="R706">IF(
  B706="",
  ,
  SWITCH(
    Input!$C$4,
    "Actual/365 Fixed",
      YEARFRAC(
        B706 + IF(INDEX(Input!$K$7:$K1503,ROW()-1),0,1),
        C706 + IF(INDEX(Input!$L$7:$L1503,ROW()-1),1,0),
        3
      ),
    "Anniversary/365",
      DATEDIF(
        B706 + IF(INDEX(Input!$K$7:$K1503,ROW()-1),0,1),
        C706 + IF(INDEX(Input!$L$7:$L1503,ROW()-1),1,0),
        "Y"
      )
      +
      (
        (C706 + IF(INDEX(Input!$L$7:$L1503,ROW()-1),1,0))
        -
        EDATE(
          B706 + IF(INDEX(Input!$K$7:$K1503,ROW()-1),0,1),
          12*DATEDIF(
            B706 + IF(INDEX(Input!$K$7:$K1503,ROW()-1),0,1),
            C706 + IF(INDEX(Input!$L$7:$L1503,ROW()-1),1,0),
            "Y"
          )
        )
      ) / 365,
    "Actual/Actual",
      YEARFRAC(
        B706 + IF(INDEX(Input!$K$7:$K1503,ROW()-1),0,1),
        C706 + IF(INDEX(Input!$L$7:$L1503,ROW()-1),1,0),
        1
      ),
      YEARFRAC(
        B706 + IF(INDEX(Input!$K$7:$K1503,ROW()-1),0,1),
        C706 + IF(INDEX(Input!$L$7:$L1503,ROW()-1),1,0),
        3
      )
  )
)</f>
        <v/>
      </c>
      <c r="S706" s="22" t="str">
        <f t="shared" si="4"/>
        <v/>
      </c>
      <c r="T706" s="6" t="str">
        <f t="array" ref="T706">IF(
  B706="",
  ,
  DATEDIF(
    B706 + IF(INDEX(Input!$K$7:$K1503,ROW()-1),0,1),
    C706 + IF(INDEX(Input!$L$7:$L1503,ROW()-1),1,0),
    "Y"
  )
)</f>
        <v/>
      </c>
      <c r="U706" s="6" t="str">
        <f t="array" ref="U706">IF(
  B706="",
  ,
  (C706 + IF(INDEX(Input!$L$7:$L1503,ROW()-1),1,0))
  - EDATE(
      B706 + IF(INDEX(Input!$K$7:$K1503,ROW()-1),0,1),
      12*S706
    )
)</f>
        <v/>
      </c>
      <c r="V706" s="6" t="str">
        <f t="shared" si="5"/>
        <v/>
      </c>
      <c r="W706" s="6" t="str">
        <f t="shared" si="6"/>
        <v/>
      </c>
    </row>
    <row r="707">
      <c r="A707" s="18"/>
      <c r="B707" s="18"/>
      <c r="C707" s="18"/>
      <c r="D707" s="18"/>
      <c r="E707" s="18"/>
      <c r="F707" s="18"/>
      <c r="G707" s="22"/>
      <c r="H707" s="18"/>
      <c r="I707" s="18">
        <v>0.0</v>
      </c>
      <c r="J707" s="18">
        <v>0.0</v>
      </c>
      <c r="K707" s="18"/>
      <c r="L707" s="18"/>
      <c r="M707" s="22" t="str">
        <f t="shared" si="1"/>
        <v/>
      </c>
      <c r="N707" s="18" t="str">
        <f>IF(A707="",,IF(ROW()=2, Input!$C$2 + I707, P706 + I707))</f>
        <v/>
      </c>
      <c r="O707" s="23" t="str">
        <f>IF(A707="",,
 IF(K707="Initial principal",
   Input!$C$2 * M707,
   N707 * M707
 )
)</f>
        <v/>
      </c>
      <c r="P707" s="18" t="str">
        <f t="shared" si="2"/>
        <v/>
      </c>
      <c r="Q707" s="18" t="str">
        <f t="shared" si="3"/>
        <v/>
      </c>
      <c r="R707" s="18" t="str">
        <f t="array" ref="R707">IF(
  B707="",
  ,
  SWITCH(
    Input!$C$4,
    "Actual/365 Fixed",
      YEARFRAC(
        B707 + IF(INDEX(Input!$K$7:$K1503,ROW()-1),0,1),
        C707 + IF(INDEX(Input!$L$7:$L1503,ROW()-1),1,0),
        3
      ),
    "Anniversary/365",
      DATEDIF(
        B707 + IF(INDEX(Input!$K$7:$K1503,ROW()-1),0,1),
        C707 + IF(INDEX(Input!$L$7:$L1503,ROW()-1),1,0),
        "Y"
      )
      +
      (
        (C707 + IF(INDEX(Input!$L$7:$L1503,ROW()-1),1,0))
        -
        EDATE(
          B707 + IF(INDEX(Input!$K$7:$K1503,ROW()-1),0,1),
          12*DATEDIF(
            B707 + IF(INDEX(Input!$K$7:$K1503,ROW()-1),0,1),
            C707 + IF(INDEX(Input!$L$7:$L1503,ROW()-1),1,0),
            "Y"
          )
        )
      ) / 365,
    "Actual/Actual",
      YEARFRAC(
        B707 + IF(INDEX(Input!$K$7:$K1503,ROW()-1),0,1),
        C707 + IF(INDEX(Input!$L$7:$L1503,ROW()-1),1,0),
        1
      ),
      YEARFRAC(
        B707 + IF(INDEX(Input!$K$7:$K1503,ROW()-1),0,1),
        C707 + IF(INDEX(Input!$L$7:$L1503,ROW()-1),1,0),
        3
      )
  )
)</f>
        <v/>
      </c>
      <c r="S707" s="22" t="str">
        <f t="shared" si="4"/>
        <v/>
      </c>
      <c r="T707" s="6" t="str">
        <f t="array" ref="T707">IF(
  B707="",
  ,
  DATEDIF(
    B707 + IF(INDEX(Input!$K$7:$K1503,ROW()-1),0,1),
    C707 + IF(INDEX(Input!$L$7:$L1503,ROW()-1),1,0),
    "Y"
  )
)</f>
        <v/>
      </c>
      <c r="U707" s="6" t="str">
        <f t="array" ref="U707">IF(
  B707="",
  ,
  (C707 + IF(INDEX(Input!$L$7:$L1503,ROW()-1),1,0))
  - EDATE(
      B707 + IF(INDEX(Input!$K$7:$K1503,ROW()-1),0,1),
      12*S707
    )
)</f>
        <v/>
      </c>
      <c r="V707" s="6" t="str">
        <f t="shared" si="5"/>
        <v/>
      </c>
      <c r="W707" s="6" t="str">
        <f t="shared" si="6"/>
        <v/>
      </c>
    </row>
    <row r="708">
      <c r="A708" s="18"/>
      <c r="B708" s="18"/>
      <c r="C708" s="18"/>
      <c r="D708" s="18"/>
      <c r="E708" s="18"/>
      <c r="F708" s="18"/>
      <c r="G708" s="22"/>
      <c r="H708" s="18"/>
      <c r="I708" s="18">
        <v>0.0</v>
      </c>
      <c r="J708" s="18">
        <v>0.0</v>
      </c>
      <c r="K708" s="18"/>
      <c r="L708" s="18"/>
      <c r="M708" s="22" t="str">
        <f t="shared" si="1"/>
        <v/>
      </c>
      <c r="N708" s="18" t="str">
        <f>IF(A708="",,IF(ROW()=2, Input!$C$2 + I708, P707 + I708))</f>
        <v/>
      </c>
      <c r="O708" s="23" t="str">
        <f>IF(A708="",,
 IF(K708="Initial principal",
   Input!$C$2 * M708,
   N708 * M708
 )
)</f>
        <v/>
      </c>
      <c r="P708" s="18" t="str">
        <f t="shared" si="2"/>
        <v/>
      </c>
      <c r="Q708" s="18" t="str">
        <f t="shared" si="3"/>
        <v/>
      </c>
      <c r="R708" s="18" t="str">
        <f t="array" ref="R708">IF(
  B708="",
  ,
  SWITCH(
    Input!$C$4,
    "Actual/365 Fixed",
      YEARFRAC(
        B708 + IF(INDEX(Input!$K$7:$K1503,ROW()-1),0,1),
        C708 + IF(INDEX(Input!$L$7:$L1503,ROW()-1),1,0),
        3
      ),
    "Anniversary/365",
      DATEDIF(
        B708 + IF(INDEX(Input!$K$7:$K1503,ROW()-1),0,1),
        C708 + IF(INDEX(Input!$L$7:$L1503,ROW()-1),1,0),
        "Y"
      )
      +
      (
        (C708 + IF(INDEX(Input!$L$7:$L1503,ROW()-1),1,0))
        -
        EDATE(
          B708 + IF(INDEX(Input!$K$7:$K1503,ROW()-1),0,1),
          12*DATEDIF(
            B708 + IF(INDEX(Input!$K$7:$K1503,ROW()-1),0,1),
            C708 + IF(INDEX(Input!$L$7:$L1503,ROW()-1),1,0),
            "Y"
          )
        )
      ) / 365,
    "Actual/Actual",
      YEARFRAC(
        B708 + IF(INDEX(Input!$K$7:$K1503,ROW()-1),0,1),
        C708 + IF(INDEX(Input!$L$7:$L1503,ROW()-1),1,0),
        1
      ),
      YEARFRAC(
        B708 + IF(INDEX(Input!$K$7:$K1503,ROW()-1),0,1),
        C708 + IF(INDEX(Input!$L$7:$L1503,ROW()-1),1,0),
        3
      )
  )
)</f>
        <v/>
      </c>
      <c r="S708" s="22" t="str">
        <f t="shared" si="4"/>
        <v/>
      </c>
      <c r="T708" s="6" t="str">
        <f t="array" ref="T708">IF(
  B708="",
  ,
  DATEDIF(
    B708 + IF(INDEX(Input!$K$7:$K1503,ROW()-1),0,1),
    C708 + IF(INDEX(Input!$L$7:$L1503,ROW()-1),1,0),
    "Y"
  )
)</f>
        <v/>
      </c>
      <c r="U708" s="6" t="str">
        <f t="array" ref="U708">IF(
  B708="",
  ,
  (C708 + IF(INDEX(Input!$L$7:$L1503,ROW()-1),1,0))
  - EDATE(
      B708 + IF(INDEX(Input!$K$7:$K1503,ROW()-1),0,1),
      12*S708
    )
)</f>
        <v/>
      </c>
      <c r="V708" s="6" t="str">
        <f t="shared" si="5"/>
        <v/>
      </c>
      <c r="W708" s="6" t="str">
        <f t="shared" si="6"/>
        <v/>
      </c>
    </row>
    <row r="709">
      <c r="A709" s="18"/>
      <c r="B709" s="18"/>
      <c r="C709" s="18"/>
      <c r="D709" s="18"/>
      <c r="E709" s="18"/>
      <c r="F709" s="18"/>
      <c r="G709" s="22"/>
      <c r="H709" s="18"/>
      <c r="I709" s="18">
        <v>0.0</v>
      </c>
      <c r="J709" s="18">
        <v>0.0</v>
      </c>
      <c r="K709" s="18"/>
      <c r="L709" s="18"/>
      <c r="M709" s="22" t="str">
        <f t="shared" si="1"/>
        <v/>
      </c>
      <c r="N709" s="18" t="str">
        <f>IF(A709="",,IF(ROW()=2, Input!$C$2 + I709, P708 + I709))</f>
        <v/>
      </c>
      <c r="O709" s="23" t="str">
        <f>IF(A709="",,
 IF(K709="Initial principal",
   Input!$C$2 * M709,
   N709 * M709
 )
)</f>
        <v/>
      </c>
      <c r="P709" s="18" t="str">
        <f t="shared" si="2"/>
        <v/>
      </c>
      <c r="Q709" s="18" t="str">
        <f t="shared" si="3"/>
        <v/>
      </c>
      <c r="R709" s="18" t="str">
        <f t="array" ref="R709">IF(
  B709="",
  ,
  SWITCH(
    Input!$C$4,
    "Actual/365 Fixed",
      YEARFRAC(
        B709 + IF(INDEX(Input!$K$7:$K1503,ROW()-1),0,1),
        C709 + IF(INDEX(Input!$L$7:$L1503,ROW()-1),1,0),
        3
      ),
    "Anniversary/365",
      DATEDIF(
        B709 + IF(INDEX(Input!$K$7:$K1503,ROW()-1),0,1),
        C709 + IF(INDEX(Input!$L$7:$L1503,ROW()-1),1,0),
        "Y"
      )
      +
      (
        (C709 + IF(INDEX(Input!$L$7:$L1503,ROW()-1),1,0))
        -
        EDATE(
          B709 + IF(INDEX(Input!$K$7:$K1503,ROW()-1),0,1),
          12*DATEDIF(
            B709 + IF(INDEX(Input!$K$7:$K1503,ROW()-1),0,1),
            C709 + IF(INDEX(Input!$L$7:$L1503,ROW()-1),1,0),
            "Y"
          )
        )
      ) / 365,
    "Actual/Actual",
      YEARFRAC(
        B709 + IF(INDEX(Input!$K$7:$K1503,ROW()-1),0,1),
        C709 + IF(INDEX(Input!$L$7:$L1503,ROW()-1),1,0),
        1
      ),
      YEARFRAC(
        B709 + IF(INDEX(Input!$K$7:$K1503,ROW()-1),0,1),
        C709 + IF(INDEX(Input!$L$7:$L1503,ROW()-1),1,0),
        3
      )
  )
)</f>
        <v/>
      </c>
      <c r="S709" s="22" t="str">
        <f t="shared" si="4"/>
        <v/>
      </c>
      <c r="T709" s="6" t="str">
        <f t="array" ref="T709">IF(
  B709="",
  ,
  DATEDIF(
    B709 + IF(INDEX(Input!$K$7:$K1503,ROW()-1),0,1),
    C709 + IF(INDEX(Input!$L$7:$L1503,ROW()-1),1,0),
    "Y"
  )
)</f>
        <v/>
      </c>
      <c r="U709" s="6" t="str">
        <f t="array" ref="U709">IF(
  B709="",
  ,
  (C709 + IF(INDEX(Input!$L$7:$L1503,ROW()-1),1,0))
  - EDATE(
      B709 + IF(INDEX(Input!$K$7:$K1503,ROW()-1),0,1),
      12*S709
    )
)</f>
        <v/>
      </c>
      <c r="V709" s="6" t="str">
        <f t="shared" si="5"/>
        <v/>
      </c>
      <c r="W709" s="6" t="str">
        <f t="shared" si="6"/>
        <v/>
      </c>
    </row>
    <row r="710">
      <c r="A710" s="18"/>
      <c r="B710" s="18"/>
      <c r="C710" s="18"/>
      <c r="D710" s="18"/>
      <c r="E710" s="18"/>
      <c r="F710" s="18"/>
      <c r="G710" s="22"/>
      <c r="H710" s="18"/>
      <c r="I710" s="18">
        <v>0.0</v>
      </c>
      <c r="J710" s="18">
        <v>0.0</v>
      </c>
      <c r="K710" s="18"/>
      <c r="L710" s="18"/>
      <c r="M710" s="22" t="str">
        <f t="shared" si="1"/>
        <v/>
      </c>
      <c r="N710" s="18" t="str">
        <f>IF(A710="",,IF(ROW()=2, Input!$C$2 + I710, P709 + I710))</f>
        <v/>
      </c>
      <c r="O710" s="23" t="str">
        <f>IF(A710="",,
 IF(K710="Initial principal",
   Input!$C$2 * M710,
   N710 * M710
 )
)</f>
        <v/>
      </c>
      <c r="P710" s="18" t="str">
        <f t="shared" si="2"/>
        <v/>
      </c>
      <c r="Q710" s="18" t="str">
        <f t="shared" si="3"/>
        <v/>
      </c>
      <c r="R710" s="18" t="str">
        <f t="array" ref="R710">IF(
  B710="",
  ,
  SWITCH(
    Input!$C$4,
    "Actual/365 Fixed",
      YEARFRAC(
        B710 + IF(INDEX(Input!$K$7:$K1503,ROW()-1),0,1),
        C710 + IF(INDEX(Input!$L$7:$L1503,ROW()-1),1,0),
        3
      ),
    "Anniversary/365",
      DATEDIF(
        B710 + IF(INDEX(Input!$K$7:$K1503,ROW()-1),0,1),
        C710 + IF(INDEX(Input!$L$7:$L1503,ROW()-1),1,0),
        "Y"
      )
      +
      (
        (C710 + IF(INDEX(Input!$L$7:$L1503,ROW()-1),1,0))
        -
        EDATE(
          B710 + IF(INDEX(Input!$K$7:$K1503,ROW()-1),0,1),
          12*DATEDIF(
            B710 + IF(INDEX(Input!$K$7:$K1503,ROW()-1),0,1),
            C710 + IF(INDEX(Input!$L$7:$L1503,ROW()-1),1,0),
            "Y"
          )
        )
      ) / 365,
    "Actual/Actual",
      YEARFRAC(
        B710 + IF(INDEX(Input!$K$7:$K1503,ROW()-1),0,1),
        C710 + IF(INDEX(Input!$L$7:$L1503,ROW()-1),1,0),
        1
      ),
      YEARFRAC(
        B710 + IF(INDEX(Input!$K$7:$K1503,ROW()-1),0,1),
        C710 + IF(INDEX(Input!$L$7:$L1503,ROW()-1),1,0),
        3
      )
  )
)</f>
        <v/>
      </c>
      <c r="S710" s="22" t="str">
        <f t="shared" si="4"/>
        <v/>
      </c>
      <c r="T710" s="6" t="str">
        <f t="array" ref="T710">IF(
  B710="",
  ,
  DATEDIF(
    B710 + IF(INDEX(Input!$K$7:$K1503,ROW()-1),0,1),
    C710 + IF(INDEX(Input!$L$7:$L1503,ROW()-1),1,0),
    "Y"
  )
)</f>
        <v/>
      </c>
      <c r="U710" s="6" t="str">
        <f t="array" ref="U710">IF(
  B710="",
  ,
  (C710 + IF(INDEX(Input!$L$7:$L1503,ROW()-1),1,0))
  - EDATE(
      B710 + IF(INDEX(Input!$K$7:$K1503,ROW()-1),0,1),
      12*S710
    )
)</f>
        <v/>
      </c>
      <c r="V710" s="6" t="str">
        <f t="shared" si="5"/>
        <v/>
      </c>
      <c r="W710" s="6" t="str">
        <f t="shared" si="6"/>
        <v/>
      </c>
    </row>
    <row r="711">
      <c r="A711" s="18"/>
      <c r="B711" s="18"/>
      <c r="C711" s="18"/>
      <c r="D711" s="18"/>
      <c r="E711" s="18"/>
      <c r="F711" s="18"/>
      <c r="G711" s="22"/>
      <c r="H711" s="18"/>
      <c r="I711" s="18">
        <v>0.0</v>
      </c>
      <c r="J711" s="18">
        <v>0.0</v>
      </c>
      <c r="K711" s="18"/>
      <c r="L711" s="18"/>
      <c r="M711" s="22" t="str">
        <f t="shared" si="1"/>
        <v/>
      </c>
      <c r="N711" s="18" t="str">
        <f>IF(A711="",,IF(ROW()=2, Input!$C$2 + I711, P710 + I711))</f>
        <v/>
      </c>
      <c r="O711" s="23" t="str">
        <f>IF(A711="",,
 IF(K711="Initial principal",
   Input!$C$2 * M711,
   N711 * M711
 )
)</f>
        <v/>
      </c>
      <c r="P711" s="18" t="str">
        <f t="shared" si="2"/>
        <v/>
      </c>
      <c r="Q711" s="18" t="str">
        <f t="shared" si="3"/>
        <v/>
      </c>
      <c r="R711" s="18" t="str">
        <f t="array" ref="R711">IF(
  B711="",
  ,
  SWITCH(
    Input!$C$4,
    "Actual/365 Fixed",
      YEARFRAC(
        B711 + IF(INDEX(Input!$K$7:$K1503,ROW()-1),0,1),
        C711 + IF(INDEX(Input!$L$7:$L1503,ROW()-1),1,0),
        3
      ),
    "Anniversary/365",
      DATEDIF(
        B711 + IF(INDEX(Input!$K$7:$K1503,ROW()-1),0,1),
        C711 + IF(INDEX(Input!$L$7:$L1503,ROW()-1),1,0),
        "Y"
      )
      +
      (
        (C711 + IF(INDEX(Input!$L$7:$L1503,ROW()-1),1,0))
        -
        EDATE(
          B711 + IF(INDEX(Input!$K$7:$K1503,ROW()-1),0,1),
          12*DATEDIF(
            B711 + IF(INDEX(Input!$K$7:$K1503,ROW()-1),0,1),
            C711 + IF(INDEX(Input!$L$7:$L1503,ROW()-1),1,0),
            "Y"
          )
        )
      ) / 365,
    "Actual/Actual",
      YEARFRAC(
        B711 + IF(INDEX(Input!$K$7:$K1503,ROW()-1),0,1),
        C711 + IF(INDEX(Input!$L$7:$L1503,ROW()-1),1,0),
        1
      ),
      YEARFRAC(
        B711 + IF(INDEX(Input!$K$7:$K1503,ROW()-1),0,1),
        C711 + IF(INDEX(Input!$L$7:$L1503,ROW()-1),1,0),
        3
      )
  )
)</f>
        <v/>
      </c>
      <c r="S711" s="22" t="str">
        <f t="shared" si="4"/>
        <v/>
      </c>
      <c r="T711" s="6" t="str">
        <f t="array" ref="T711">IF(
  B711="",
  ,
  DATEDIF(
    B711 + IF(INDEX(Input!$K$7:$K1503,ROW()-1),0,1),
    C711 + IF(INDEX(Input!$L$7:$L1503,ROW()-1),1,0),
    "Y"
  )
)</f>
        <v/>
      </c>
      <c r="U711" s="6" t="str">
        <f t="array" ref="U711">IF(
  B711="",
  ,
  (C711 + IF(INDEX(Input!$L$7:$L1503,ROW()-1),1,0))
  - EDATE(
      B711 + IF(INDEX(Input!$K$7:$K1503,ROW()-1),0,1),
      12*S711
    )
)</f>
        <v/>
      </c>
      <c r="V711" s="6" t="str">
        <f t="shared" si="5"/>
        <v/>
      </c>
      <c r="W711" s="6" t="str">
        <f t="shared" si="6"/>
        <v/>
      </c>
    </row>
    <row r="712">
      <c r="A712" s="18"/>
      <c r="B712" s="18"/>
      <c r="C712" s="18"/>
      <c r="D712" s="18"/>
      <c r="E712" s="18"/>
      <c r="F712" s="18"/>
      <c r="G712" s="22"/>
      <c r="H712" s="18"/>
      <c r="I712" s="18">
        <v>0.0</v>
      </c>
      <c r="J712" s="18">
        <v>0.0</v>
      </c>
      <c r="K712" s="18"/>
      <c r="L712" s="18"/>
      <c r="M712" s="22" t="str">
        <f t="shared" si="1"/>
        <v/>
      </c>
      <c r="N712" s="18" t="str">
        <f>IF(A712="",,IF(ROW()=2, Input!$C$2 + I712, P711 + I712))</f>
        <v/>
      </c>
      <c r="O712" s="23" t="str">
        <f>IF(A712="",,
 IF(K712="Initial principal",
   Input!$C$2 * M712,
   N712 * M712
 )
)</f>
        <v/>
      </c>
      <c r="P712" s="18" t="str">
        <f t="shared" si="2"/>
        <v/>
      </c>
      <c r="Q712" s="18" t="str">
        <f t="shared" si="3"/>
        <v/>
      </c>
      <c r="R712" s="18" t="str">
        <f t="array" ref="R712">IF(
  B712="",
  ,
  SWITCH(
    Input!$C$4,
    "Actual/365 Fixed",
      YEARFRAC(
        B712 + IF(INDEX(Input!$K$7:$K1503,ROW()-1),0,1),
        C712 + IF(INDEX(Input!$L$7:$L1503,ROW()-1),1,0),
        3
      ),
    "Anniversary/365",
      DATEDIF(
        B712 + IF(INDEX(Input!$K$7:$K1503,ROW()-1),0,1),
        C712 + IF(INDEX(Input!$L$7:$L1503,ROW()-1),1,0),
        "Y"
      )
      +
      (
        (C712 + IF(INDEX(Input!$L$7:$L1503,ROW()-1),1,0))
        -
        EDATE(
          B712 + IF(INDEX(Input!$K$7:$K1503,ROW()-1),0,1),
          12*DATEDIF(
            B712 + IF(INDEX(Input!$K$7:$K1503,ROW()-1),0,1),
            C712 + IF(INDEX(Input!$L$7:$L1503,ROW()-1),1,0),
            "Y"
          )
        )
      ) / 365,
    "Actual/Actual",
      YEARFRAC(
        B712 + IF(INDEX(Input!$K$7:$K1503,ROW()-1),0,1),
        C712 + IF(INDEX(Input!$L$7:$L1503,ROW()-1),1,0),
        1
      ),
      YEARFRAC(
        B712 + IF(INDEX(Input!$K$7:$K1503,ROW()-1),0,1),
        C712 + IF(INDEX(Input!$L$7:$L1503,ROW()-1),1,0),
        3
      )
  )
)</f>
        <v/>
      </c>
      <c r="S712" s="22" t="str">
        <f t="shared" si="4"/>
        <v/>
      </c>
      <c r="T712" s="6" t="str">
        <f t="array" ref="T712">IF(
  B712="",
  ,
  DATEDIF(
    B712 + IF(INDEX(Input!$K$7:$K1503,ROW()-1),0,1),
    C712 + IF(INDEX(Input!$L$7:$L1503,ROW()-1),1,0),
    "Y"
  )
)</f>
        <v/>
      </c>
      <c r="U712" s="6" t="str">
        <f t="array" ref="U712">IF(
  B712="",
  ,
  (C712 + IF(INDEX(Input!$L$7:$L1503,ROW()-1),1,0))
  - EDATE(
      B712 + IF(INDEX(Input!$K$7:$K1503,ROW()-1),0,1),
      12*S712
    )
)</f>
        <v/>
      </c>
      <c r="V712" s="6" t="str">
        <f t="shared" si="5"/>
        <v/>
      </c>
      <c r="W712" s="6" t="str">
        <f t="shared" si="6"/>
        <v/>
      </c>
    </row>
    <row r="713">
      <c r="A713" s="18"/>
      <c r="B713" s="18"/>
      <c r="C713" s="18"/>
      <c r="D713" s="18"/>
      <c r="E713" s="18"/>
      <c r="F713" s="18"/>
      <c r="G713" s="22"/>
      <c r="H713" s="18"/>
      <c r="I713" s="18">
        <v>0.0</v>
      </c>
      <c r="J713" s="18">
        <v>0.0</v>
      </c>
      <c r="K713" s="18"/>
      <c r="L713" s="18"/>
      <c r="M713" s="22" t="str">
        <f t="shared" si="1"/>
        <v/>
      </c>
      <c r="N713" s="18" t="str">
        <f>IF(A713="",,IF(ROW()=2, Input!$C$2 + I713, P712 + I713))</f>
        <v/>
      </c>
      <c r="O713" s="23" t="str">
        <f>IF(A713="",,
 IF(K713="Initial principal",
   Input!$C$2 * M713,
   N713 * M713
 )
)</f>
        <v/>
      </c>
      <c r="P713" s="18" t="str">
        <f t="shared" si="2"/>
        <v/>
      </c>
      <c r="Q713" s="18" t="str">
        <f t="shared" si="3"/>
        <v/>
      </c>
      <c r="R713" s="18" t="str">
        <f t="array" ref="R713">IF(
  B713="",
  ,
  SWITCH(
    Input!$C$4,
    "Actual/365 Fixed",
      YEARFRAC(
        B713 + IF(INDEX(Input!$K$7:$K1503,ROW()-1),0,1),
        C713 + IF(INDEX(Input!$L$7:$L1503,ROW()-1),1,0),
        3
      ),
    "Anniversary/365",
      DATEDIF(
        B713 + IF(INDEX(Input!$K$7:$K1503,ROW()-1),0,1),
        C713 + IF(INDEX(Input!$L$7:$L1503,ROW()-1),1,0),
        "Y"
      )
      +
      (
        (C713 + IF(INDEX(Input!$L$7:$L1503,ROW()-1),1,0))
        -
        EDATE(
          B713 + IF(INDEX(Input!$K$7:$K1503,ROW()-1),0,1),
          12*DATEDIF(
            B713 + IF(INDEX(Input!$K$7:$K1503,ROW()-1),0,1),
            C713 + IF(INDEX(Input!$L$7:$L1503,ROW()-1),1,0),
            "Y"
          )
        )
      ) / 365,
    "Actual/Actual",
      YEARFRAC(
        B713 + IF(INDEX(Input!$K$7:$K1503,ROW()-1),0,1),
        C713 + IF(INDEX(Input!$L$7:$L1503,ROW()-1),1,0),
        1
      ),
      YEARFRAC(
        B713 + IF(INDEX(Input!$K$7:$K1503,ROW()-1),0,1),
        C713 + IF(INDEX(Input!$L$7:$L1503,ROW()-1),1,0),
        3
      )
  )
)</f>
        <v/>
      </c>
      <c r="S713" s="22" t="str">
        <f t="shared" si="4"/>
        <v/>
      </c>
      <c r="T713" s="6" t="str">
        <f t="array" ref="T713">IF(
  B713="",
  ,
  DATEDIF(
    B713 + IF(INDEX(Input!$K$7:$K1503,ROW()-1),0,1),
    C713 + IF(INDEX(Input!$L$7:$L1503,ROW()-1),1,0),
    "Y"
  )
)</f>
        <v/>
      </c>
      <c r="U713" s="6" t="str">
        <f t="array" ref="U713">IF(
  B713="",
  ,
  (C713 + IF(INDEX(Input!$L$7:$L1503,ROW()-1),1,0))
  - EDATE(
      B713 + IF(INDEX(Input!$K$7:$K1503,ROW()-1),0,1),
      12*S713
    )
)</f>
        <v/>
      </c>
      <c r="V713" s="6" t="str">
        <f t="shared" si="5"/>
        <v/>
      </c>
      <c r="W713" s="6" t="str">
        <f t="shared" si="6"/>
        <v/>
      </c>
    </row>
    <row r="714">
      <c r="A714" s="18"/>
      <c r="B714" s="18"/>
      <c r="C714" s="18"/>
      <c r="D714" s="18"/>
      <c r="E714" s="18"/>
      <c r="F714" s="18"/>
      <c r="G714" s="22"/>
      <c r="H714" s="18"/>
      <c r="I714" s="18">
        <v>0.0</v>
      </c>
      <c r="J714" s="18">
        <v>0.0</v>
      </c>
      <c r="K714" s="18"/>
      <c r="L714" s="18"/>
      <c r="M714" s="22" t="str">
        <f t="shared" si="1"/>
        <v/>
      </c>
      <c r="N714" s="18" t="str">
        <f>IF(A714="",,IF(ROW()=2, Input!$C$2 + I714, P713 + I714))</f>
        <v/>
      </c>
      <c r="O714" s="23" t="str">
        <f>IF(A714="",,
 IF(K714="Initial principal",
   Input!$C$2 * M714,
   N714 * M714
 )
)</f>
        <v/>
      </c>
      <c r="P714" s="18" t="str">
        <f t="shared" si="2"/>
        <v/>
      </c>
      <c r="Q714" s="18" t="str">
        <f t="shared" si="3"/>
        <v/>
      </c>
      <c r="R714" s="18" t="str">
        <f t="array" ref="R714">IF(
  B714="",
  ,
  SWITCH(
    Input!$C$4,
    "Actual/365 Fixed",
      YEARFRAC(
        B714 + IF(INDEX(Input!$K$7:$K1503,ROW()-1),0,1),
        C714 + IF(INDEX(Input!$L$7:$L1503,ROW()-1),1,0),
        3
      ),
    "Anniversary/365",
      DATEDIF(
        B714 + IF(INDEX(Input!$K$7:$K1503,ROW()-1),0,1),
        C714 + IF(INDEX(Input!$L$7:$L1503,ROW()-1),1,0),
        "Y"
      )
      +
      (
        (C714 + IF(INDEX(Input!$L$7:$L1503,ROW()-1),1,0))
        -
        EDATE(
          B714 + IF(INDEX(Input!$K$7:$K1503,ROW()-1),0,1),
          12*DATEDIF(
            B714 + IF(INDEX(Input!$K$7:$K1503,ROW()-1),0,1),
            C714 + IF(INDEX(Input!$L$7:$L1503,ROW()-1),1,0),
            "Y"
          )
        )
      ) / 365,
    "Actual/Actual",
      YEARFRAC(
        B714 + IF(INDEX(Input!$K$7:$K1503,ROW()-1),0,1),
        C714 + IF(INDEX(Input!$L$7:$L1503,ROW()-1),1,0),
        1
      ),
      YEARFRAC(
        B714 + IF(INDEX(Input!$K$7:$K1503,ROW()-1),0,1),
        C714 + IF(INDEX(Input!$L$7:$L1503,ROW()-1),1,0),
        3
      )
  )
)</f>
        <v/>
      </c>
      <c r="S714" s="22" t="str">
        <f t="shared" si="4"/>
        <v/>
      </c>
      <c r="T714" s="6" t="str">
        <f t="array" ref="T714">IF(
  B714="",
  ,
  DATEDIF(
    B714 + IF(INDEX(Input!$K$7:$K1503,ROW()-1),0,1),
    C714 + IF(INDEX(Input!$L$7:$L1503,ROW()-1),1,0),
    "Y"
  )
)</f>
        <v/>
      </c>
      <c r="U714" s="6" t="str">
        <f t="array" ref="U714">IF(
  B714="",
  ,
  (C714 + IF(INDEX(Input!$L$7:$L1503,ROW()-1),1,0))
  - EDATE(
      B714 + IF(INDEX(Input!$K$7:$K1503,ROW()-1),0,1),
      12*S714
    )
)</f>
        <v/>
      </c>
      <c r="V714" s="6" t="str">
        <f t="shared" si="5"/>
        <v/>
      </c>
      <c r="W714" s="6" t="str">
        <f t="shared" si="6"/>
        <v/>
      </c>
    </row>
    <row r="715">
      <c r="A715" s="18"/>
      <c r="B715" s="18"/>
      <c r="C715" s="18"/>
      <c r="D715" s="18"/>
      <c r="E715" s="18"/>
      <c r="F715" s="18"/>
      <c r="G715" s="22"/>
      <c r="H715" s="18"/>
      <c r="I715" s="18">
        <v>0.0</v>
      </c>
      <c r="J715" s="18">
        <v>0.0</v>
      </c>
      <c r="K715" s="18"/>
      <c r="L715" s="18"/>
      <c r="M715" s="22" t="str">
        <f t="shared" si="1"/>
        <v/>
      </c>
      <c r="N715" s="18" t="str">
        <f>IF(A715="",,IF(ROW()=2, Input!$C$2 + I715, P714 + I715))</f>
        <v/>
      </c>
      <c r="O715" s="23" t="str">
        <f>IF(A715="",,
 IF(K715="Initial principal",
   Input!$C$2 * M715,
   N715 * M715
 )
)</f>
        <v/>
      </c>
      <c r="P715" s="18" t="str">
        <f t="shared" si="2"/>
        <v/>
      </c>
      <c r="Q715" s="18" t="str">
        <f t="shared" si="3"/>
        <v/>
      </c>
      <c r="R715" s="18" t="str">
        <f t="array" ref="R715">IF(
  B715="",
  ,
  SWITCH(
    Input!$C$4,
    "Actual/365 Fixed",
      YEARFRAC(
        B715 + IF(INDEX(Input!$K$7:$K1503,ROW()-1),0,1),
        C715 + IF(INDEX(Input!$L$7:$L1503,ROW()-1),1,0),
        3
      ),
    "Anniversary/365",
      DATEDIF(
        B715 + IF(INDEX(Input!$K$7:$K1503,ROW()-1),0,1),
        C715 + IF(INDEX(Input!$L$7:$L1503,ROW()-1),1,0),
        "Y"
      )
      +
      (
        (C715 + IF(INDEX(Input!$L$7:$L1503,ROW()-1),1,0))
        -
        EDATE(
          B715 + IF(INDEX(Input!$K$7:$K1503,ROW()-1),0,1),
          12*DATEDIF(
            B715 + IF(INDEX(Input!$K$7:$K1503,ROW()-1),0,1),
            C715 + IF(INDEX(Input!$L$7:$L1503,ROW()-1),1,0),
            "Y"
          )
        )
      ) / 365,
    "Actual/Actual",
      YEARFRAC(
        B715 + IF(INDEX(Input!$K$7:$K1503,ROW()-1),0,1),
        C715 + IF(INDEX(Input!$L$7:$L1503,ROW()-1),1,0),
        1
      ),
      YEARFRAC(
        B715 + IF(INDEX(Input!$K$7:$K1503,ROW()-1),0,1),
        C715 + IF(INDEX(Input!$L$7:$L1503,ROW()-1),1,0),
        3
      )
  )
)</f>
        <v/>
      </c>
      <c r="S715" s="22" t="str">
        <f t="shared" si="4"/>
        <v/>
      </c>
      <c r="T715" s="6" t="str">
        <f t="array" ref="T715">IF(
  B715="",
  ,
  DATEDIF(
    B715 + IF(INDEX(Input!$K$7:$K1503,ROW()-1),0,1),
    C715 + IF(INDEX(Input!$L$7:$L1503,ROW()-1),1,0),
    "Y"
  )
)</f>
        <v/>
      </c>
      <c r="U715" s="6" t="str">
        <f t="array" ref="U715">IF(
  B715="",
  ,
  (C715 + IF(INDEX(Input!$L$7:$L1503,ROW()-1),1,0))
  - EDATE(
      B715 + IF(INDEX(Input!$K$7:$K1503,ROW()-1),0,1),
      12*S715
    )
)</f>
        <v/>
      </c>
      <c r="V715" s="6" t="str">
        <f t="shared" si="5"/>
        <v/>
      </c>
      <c r="W715" s="6" t="str">
        <f t="shared" si="6"/>
        <v/>
      </c>
    </row>
    <row r="716">
      <c r="A716" s="18"/>
      <c r="B716" s="18"/>
      <c r="C716" s="18"/>
      <c r="D716" s="18"/>
      <c r="E716" s="18"/>
      <c r="F716" s="18"/>
      <c r="G716" s="22"/>
      <c r="H716" s="18"/>
      <c r="I716" s="18">
        <v>0.0</v>
      </c>
      <c r="J716" s="18">
        <v>0.0</v>
      </c>
      <c r="K716" s="18"/>
      <c r="L716" s="18"/>
      <c r="M716" s="22" t="str">
        <f t="shared" si="1"/>
        <v/>
      </c>
      <c r="N716" s="18" t="str">
        <f>IF(A716="",,IF(ROW()=2, Input!$C$2 + I716, P715 + I716))</f>
        <v/>
      </c>
      <c r="O716" s="23" t="str">
        <f>IF(A716="",,
 IF(K716="Initial principal",
   Input!$C$2 * M716,
   N716 * M716
 )
)</f>
        <v/>
      </c>
      <c r="P716" s="18" t="str">
        <f t="shared" si="2"/>
        <v/>
      </c>
      <c r="Q716" s="18" t="str">
        <f t="shared" si="3"/>
        <v/>
      </c>
      <c r="R716" s="18" t="str">
        <f t="array" ref="R716">IF(
  B716="",
  ,
  SWITCH(
    Input!$C$4,
    "Actual/365 Fixed",
      YEARFRAC(
        B716 + IF(INDEX(Input!$K$7:$K1503,ROW()-1),0,1),
        C716 + IF(INDEX(Input!$L$7:$L1503,ROW()-1),1,0),
        3
      ),
    "Anniversary/365",
      DATEDIF(
        B716 + IF(INDEX(Input!$K$7:$K1503,ROW()-1),0,1),
        C716 + IF(INDEX(Input!$L$7:$L1503,ROW()-1),1,0),
        "Y"
      )
      +
      (
        (C716 + IF(INDEX(Input!$L$7:$L1503,ROW()-1),1,0))
        -
        EDATE(
          B716 + IF(INDEX(Input!$K$7:$K1503,ROW()-1),0,1),
          12*DATEDIF(
            B716 + IF(INDEX(Input!$K$7:$K1503,ROW()-1),0,1),
            C716 + IF(INDEX(Input!$L$7:$L1503,ROW()-1),1,0),
            "Y"
          )
        )
      ) / 365,
    "Actual/Actual",
      YEARFRAC(
        B716 + IF(INDEX(Input!$K$7:$K1503,ROW()-1),0,1),
        C716 + IF(INDEX(Input!$L$7:$L1503,ROW()-1),1,0),
        1
      ),
      YEARFRAC(
        B716 + IF(INDEX(Input!$K$7:$K1503,ROW()-1),0,1),
        C716 + IF(INDEX(Input!$L$7:$L1503,ROW()-1),1,0),
        3
      )
  )
)</f>
        <v/>
      </c>
      <c r="S716" s="22" t="str">
        <f t="shared" si="4"/>
        <v/>
      </c>
      <c r="T716" s="6" t="str">
        <f t="array" ref="T716">IF(
  B716="",
  ,
  DATEDIF(
    B716 + IF(INDEX(Input!$K$7:$K1503,ROW()-1),0,1),
    C716 + IF(INDEX(Input!$L$7:$L1503,ROW()-1),1,0),
    "Y"
  )
)</f>
        <v/>
      </c>
      <c r="U716" s="6" t="str">
        <f t="array" ref="U716">IF(
  B716="",
  ,
  (C716 + IF(INDEX(Input!$L$7:$L1503,ROW()-1),1,0))
  - EDATE(
      B716 + IF(INDEX(Input!$K$7:$K1503,ROW()-1),0,1),
      12*S716
    )
)</f>
        <v/>
      </c>
      <c r="V716" s="6" t="str">
        <f t="shared" si="5"/>
        <v/>
      </c>
      <c r="W716" s="6" t="str">
        <f t="shared" si="6"/>
        <v/>
      </c>
    </row>
    <row r="717">
      <c r="A717" s="18"/>
      <c r="B717" s="18"/>
      <c r="C717" s="18"/>
      <c r="D717" s="18"/>
      <c r="E717" s="18"/>
      <c r="F717" s="18"/>
      <c r="G717" s="22"/>
      <c r="H717" s="18"/>
      <c r="I717" s="18">
        <v>0.0</v>
      </c>
      <c r="J717" s="18">
        <v>0.0</v>
      </c>
      <c r="K717" s="18"/>
      <c r="L717" s="18"/>
      <c r="M717" s="22" t="str">
        <f t="shared" si="1"/>
        <v/>
      </c>
      <c r="N717" s="18" t="str">
        <f>IF(A717="",,IF(ROW()=2, Input!$C$2 + I717, P716 + I717))</f>
        <v/>
      </c>
      <c r="O717" s="23" t="str">
        <f>IF(A717="",,
 IF(K717="Initial principal",
   Input!$C$2 * M717,
   N717 * M717
 )
)</f>
        <v/>
      </c>
      <c r="P717" s="18" t="str">
        <f t="shared" si="2"/>
        <v/>
      </c>
      <c r="Q717" s="18" t="str">
        <f t="shared" si="3"/>
        <v/>
      </c>
      <c r="R717" s="18" t="str">
        <f t="array" ref="R717">IF(
  B717="",
  ,
  SWITCH(
    Input!$C$4,
    "Actual/365 Fixed",
      YEARFRAC(
        B717 + IF(INDEX(Input!$K$7:$K1503,ROW()-1),0,1),
        C717 + IF(INDEX(Input!$L$7:$L1503,ROW()-1),1,0),
        3
      ),
    "Anniversary/365",
      DATEDIF(
        B717 + IF(INDEX(Input!$K$7:$K1503,ROW()-1),0,1),
        C717 + IF(INDEX(Input!$L$7:$L1503,ROW()-1),1,0),
        "Y"
      )
      +
      (
        (C717 + IF(INDEX(Input!$L$7:$L1503,ROW()-1),1,0))
        -
        EDATE(
          B717 + IF(INDEX(Input!$K$7:$K1503,ROW()-1),0,1),
          12*DATEDIF(
            B717 + IF(INDEX(Input!$K$7:$K1503,ROW()-1),0,1),
            C717 + IF(INDEX(Input!$L$7:$L1503,ROW()-1),1,0),
            "Y"
          )
        )
      ) / 365,
    "Actual/Actual",
      YEARFRAC(
        B717 + IF(INDEX(Input!$K$7:$K1503,ROW()-1),0,1),
        C717 + IF(INDEX(Input!$L$7:$L1503,ROW()-1),1,0),
        1
      ),
      YEARFRAC(
        B717 + IF(INDEX(Input!$K$7:$K1503,ROW()-1),0,1),
        C717 + IF(INDEX(Input!$L$7:$L1503,ROW()-1),1,0),
        3
      )
  )
)</f>
        <v/>
      </c>
      <c r="S717" s="22" t="str">
        <f t="shared" si="4"/>
        <v/>
      </c>
      <c r="T717" s="6" t="str">
        <f t="array" ref="T717">IF(
  B717="",
  ,
  DATEDIF(
    B717 + IF(INDEX(Input!$K$7:$K1503,ROW()-1),0,1),
    C717 + IF(INDEX(Input!$L$7:$L1503,ROW()-1),1,0),
    "Y"
  )
)</f>
        <v/>
      </c>
      <c r="U717" s="6" t="str">
        <f t="array" ref="U717">IF(
  B717="",
  ,
  (C717 + IF(INDEX(Input!$L$7:$L1503,ROW()-1),1,0))
  - EDATE(
      B717 + IF(INDEX(Input!$K$7:$K1503,ROW()-1),0,1),
      12*S717
    )
)</f>
        <v/>
      </c>
      <c r="V717" s="6" t="str">
        <f t="shared" si="5"/>
        <v/>
      </c>
      <c r="W717" s="6" t="str">
        <f t="shared" si="6"/>
        <v/>
      </c>
    </row>
    <row r="718">
      <c r="A718" s="18"/>
      <c r="B718" s="18"/>
      <c r="C718" s="18"/>
      <c r="D718" s="18"/>
      <c r="E718" s="18"/>
      <c r="F718" s="18"/>
      <c r="G718" s="22"/>
      <c r="H718" s="18"/>
      <c r="I718" s="18">
        <v>0.0</v>
      </c>
      <c r="J718" s="18">
        <v>0.0</v>
      </c>
      <c r="K718" s="18"/>
      <c r="L718" s="18"/>
      <c r="M718" s="22" t="str">
        <f t="shared" si="1"/>
        <v/>
      </c>
      <c r="N718" s="18" t="str">
        <f>IF(A718="",,IF(ROW()=2, Input!$C$2 + I718, P717 + I718))</f>
        <v/>
      </c>
      <c r="O718" s="23" t="str">
        <f>IF(A718="",,
 IF(K718="Initial principal",
   Input!$C$2 * M718,
   N718 * M718
 )
)</f>
        <v/>
      </c>
      <c r="P718" s="18" t="str">
        <f t="shared" si="2"/>
        <v/>
      </c>
      <c r="Q718" s="18" t="str">
        <f t="shared" si="3"/>
        <v/>
      </c>
      <c r="R718" s="18" t="str">
        <f t="array" ref="R718">IF(
  B718="",
  ,
  SWITCH(
    Input!$C$4,
    "Actual/365 Fixed",
      YEARFRAC(
        B718 + IF(INDEX(Input!$K$7:$K1503,ROW()-1),0,1),
        C718 + IF(INDEX(Input!$L$7:$L1503,ROW()-1),1,0),
        3
      ),
    "Anniversary/365",
      DATEDIF(
        B718 + IF(INDEX(Input!$K$7:$K1503,ROW()-1),0,1),
        C718 + IF(INDEX(Input!$L$7:$L1503,ROW()-1),1,0),
        "Y"
      )
      +
      (
        (C718 + IF(INDEX(Input!$L$7:$L1503,ROW()-1),1,0))
        -
        EDATE(
          B718 + IF(INDEX(Input!$K$7:$K1503,ROW()-1),0,1),
          12*DATEDIF(
            B718 + IF(INDEX(Input!$K$7:$K1503,ROW()-1),0,1),
            C718 + IF(INDEX(Input!$L$7:$L1503,ROW()-1),1,0),
            "Y"
          )
        )
      ) / 365,
    "Actual/Actual",
      YEARFRAC(
        B718 + IF(INDEX(Input!$K$7:$K1503,ROW()-1),0,1),
        C718 + IF(INDEX(Input!$L$7:$L1503,ROW()-1),1,0),
        1
      ),
      YEARFRAC(
        B718 + IF(INDEX(Input!$K$7:$K1503,ROW()-1),0,1),
        C718 + IF(INDEX(Input!$L$7:$L1503,ROW()-1),1,0),
        3
      )
  )
)</f>
        <v/>
      </c>
      <c r="S718" s="22" t="str">
        <f t="shared" si="4"/>
        <v/>
      </c>
      <c r="T718" s="6" t="str">
        <f t="array" ref="T718">IF(
  B718="",
  ,
  DATEDIF(
    B718 + IF(INDEX(Input!$K$7:$K1503,ROW()-1),0,1),
    C718 + IF(INDEX(Input!$L$7:$L1503,ROW()-1),1,0),
    "Y"
  )
)</f>
        <v/>
      </c>
      <c r="U718" s="6" t="str">
        <f t="array" ref="U718">IF(
  B718="",
  ,
  (C718 + IF(INDEX(Input!$L$7:$L1503,ROW()-1),1,0))
  - EDATE(
      B718 + IF(INDEX(Input!$K$7:$K1503,ROW()-1),0,1),
      12*S718
    )
)</f>
        <v/>
      </c>
      <c r="V718" s="6" t="str">
        <f t="shared" si="5"/>
        <v/>
      </c>
      <c r="W718" s="6" t="str">
        <f t="shared" si="6"/>
        <v/>
      </c>
    </row>
    <row r="719">
      <c r="A719" s="18"/>
      <c r="B719" s="18"/>
      <c r="C719" s="18"/>
      <c r="D719" s="18"/>
      <c r="E719" s="18"/>
      <c r="F719" s="18"/>
      <c r="G719" s="22"/>
      <c r="H719" s="18"/>
      <c r="I719" s="18">
        <v>0.0</v>
      </c>
      <c r="J719" s="18">
        <v>0.0</v>
      </c>
      <c r="K719" s="18"/>
      <c r="L719" s="18"/>
      <c r="M719" s="22" t="str">
        <f t="shared" si="1"/>
        <v/>
      </c>
      <c r="N719" s="18" t="str">
        <f>IF(A719="",,IF(ROW()=2, Input!$C$2 + I719, P718 + I719))</f>
        <v/>
      </c>
      <c r="O719" s="23" t="str">
        <f>IF(A719="",,
 IF(K719="Initial principal",
   Input!$C$2 * M719,
   N719 * M719
 )
)</f>
        <v/>
      </c>
      <c r="P719" s="18" t="str">
        <f t="shared" si="2"/>
        <v/>
      </c>
      <c r="Q719" s="18" t="str">
        <f t="shared" si="3"/>
        <v/>
      </c>
      <c r="R719" s="18" t="str">
        <f t="array" ref="R719">IF(
  B719="",
  ,
  SWITCH(
    Input!$C$4,
    "Actual/365 Fixed",
      YEARFRAC(
        B719 + IF(INDEX(Input!$K$7:$K1503,ROW()-1),0,1),
        C719 + IF(INDEX(Input!$L$7:$L1503,ROW()-1),1,0),
        3
      ),
    "Anniversary/365",
      DATEDIF(
        B719 + IF(INDEX(Input!$K$7:$K1503,ROW()-1),0,1),
        C719 + IF(INDEX(Input!$L$7:$L1503,ROW()-1),1,0),
        "Y"
      )
      +
      (
        (C719 + IF(INDEX(Input!$L$7:$L1503,ROW()-1),1,0))
        -
        EDATE(
          B719 + IF(INDEX(Input!$K$7:$K1503,ROW()-1),0,1),
          12*DATEDIF(
            B719 + IF(INDEX(Input!$K$7:$K1503,ROW()-1),0,1),
            C719 + IF(INDEX(Input!$L$7:$L1503,ROW()-1),1,0),
            "Y"
          )
        )
      ) / 365,
    "Actual/Actual",
      YEARFRAC(
        B719 + IF(INDEX(Input!$K$7:$K1503,ROW()-1),0,1),
        C719 + IF(INDEX(Input!$L$7:$L1503,ROW()-1),1,0),
        1
      ),
      YEARFRAC(
        B719 + IF(INDEX(Input!$K$7:$K1503,ROW()-1),0,1),
        C719 + IF(INDEX(Input!$L$7:$L1503,ROW()-1),1,0),
        3
      )
  )
)</f>
        <v/>
      </c>
      <c r="S719" s="22" t="str">
        <f t="shared" si="4"/>
        <v/>
      </c>
      <c r="T719" s="6" t="str">
        <f t="array" ref="T719">IF(
  B719="",
  ,
  DATEDIF(
    B719 + IF(INDEX(Input!$K$7:$K1503,ROW()-1),0,1),
    C719 + IF(INDEX(Input!$L$7:$L1503,ROW()-1),1,0),
    "Y"
  )
)</f>
        <v/>
      </c>
      <c r="U719" s="6" t="str">
        <f t="array" ref="U719">IF(
  B719="",
  ,
  (C719 + IF(INDEX(Input!$L$7:$L1503,ROW()-1),1,0))
  - EDATE(
      B719 + IF(INDEX(Input!$K$7:$K1503,ROW()-1),0,1),
      12*S719
    )
)</f>
        <v/>
      </c>
      <c r="V719" s="6" t="str">
        <f t="shared" si="5"/>
        <v/>
      </c>
      <c r="W719" s="6" t="str">
        <f t="shared" si="6"/>
        <v/>
      </c>
    </row>
    <row r="720">
      <c r="A720" s="18"/>
      <c r="B720" s="18"/>
      <c r="C720" s="18"/>
      <c r="D720" s="18"/>
      <c r="E720" s="18"/>
      <c r="F720" s="18"/>
      <c r="G720" s="22"/>
      <c r="H720" s="18"/>
      <c r="I720" s="18">
        <v>0.0</v>
      </c>
      <c r="J720" s="18">
        <v>0.0</v>
      </c>
      <c r="K720" s="18"/>
      <c r="L720" s="18"/>
      <c r="M720" s="22" t="str">
        <f t="shared" si="1"/>
        <v/>
      </c>
      <c r="N720" s="18" t="str">
        <f>IF(A720="",,IF(ROW()=2, Input!$C$2 + I720, P719 + I720))</f>
        <v/>
      </c>
      <c r="O720" s="23" t="str">
        <f>IF(A720="",,
 IF(K720="Initial principal",
   Input!$C$2 * M720,
   N720 * M720
 )
)</f>
        <v/>
      </c>
      <c r="P720" s="18" t="str">
        <f t="shared" si="2"/>
        <v/>
      </c>
      <c r="Q720" s="18" t="str">
        <f t="shared" si="3"/>
        <v/>
      </c>
      <c r="R720" s="18" t="str">
        <f t="array" ref="R720">IF(
  B720="",
  ,
  SWITCH(
    Input!$C$4,
    "Actual/365 Fixed",
      YEARFRAC(
        B720 + IF(INDEX(Input!$K$7:$K1503,ROW()-1),0,1),
        C720 + IF(INDEX(Input!$L$7:$L1503,ROW()-1),1,0),
        3
      ),
    "Anniversary/365",
      DATEDIF(
        B720 + IF(INDEX(Input!$K$7:$K1503,ROW()-1),0,1),
        C720 + IF(INDEX(Input!$L$7:$L1503,ROW()-1),1,0),
        "Y"
      )
      +
      (
        (C720 + IF(INDEX(Input!$L$7:$L1503,ROW()-1),1,0))
        -
        EDATE(
          B720 + IF(INDEX(Input!$K$7:$K1503,ROW()-1),0,1),
          12*DATEDIF(
            B720 + IF(INDEX(Input!$K$7:$K1503,ROW()-1),0,1),
            C720 + IF(INDEX(Input!$L$7:$L1503,ROW()-1),1,0),
            "Y"
          )
        )
      ) / 365,
    "Actual/Actual",
      YEARFRAC(
        B720 + IF(INDEX(Input!$K$7:$K1503,ROW()-1),0,1),
        C720 + IF(INDEX(Input!$L$7:$L1503,ROW()-1),1,0),
        1
      ),
      YEARFRAC(
        B720 + IF(INDEX(Input!$K$7:$K1503,ROW()-1),0,1),
        C720 + IF(INDEX(Input!$L$7:$L1503,ROW()-1),1,0),
        3
      )
  )
)</f>
        <v/>
      </c>
      <c r="S720" s="22" t="str">
        <f t="shared" si="4"/>
        <v/>
      </c>
      <c r="T720" s="6" t="str">
        <f t="array" ref="T720">IF(
  B720="",
  ,
  DATEDIF(
    B720 + IF(INDEX(Input!$K$7:$K1503,ROW()-1),0,1),
    C720 + IF(INDEX(Input!$L$7:$L1503,ROW()-1),1,0),
    "Y"
  )
)</f>
        <v/>
      </c>
      <c r="U720" s="6" t="str">
        <f t="array" ref="U720">IF(
  B720="",
  ,
  (C720 + IF(INDEX(Input!$L$7:$L1503,ROW()-1),1,0))
  - EDATE(
      B720 + IF(INDEX(Input!$K$7:$K1503,ROW()-1),0,1),
      12*S720
    )
)</f>
        <v/>
      </c>
      <c r="V720" s="6" t="str">
        <f t="shared" si="5"/>
        <v/>
      </c>
      <c r="W720" s="6" t="str">
        <f t="shared" si="6"/>
        <v/>
      </c>
    </row>
    <row r="721">
      <c r="A721" s="18"/>
      <c r="B721" s="18"/>
      <c r="C721" s="18"/>
      <c r="D721" s="18"/>
      <c r="E721" s="18"/>
      <c r="F721" s="18"/>
      <c r="G721" s="22"/>
      <c r="H721" s="18"/>
      <c r="I721" s="18">
        <v>0.0</v>
      </c>
      <c r="J721" s="18">
        <v>0.0</v>
      </c>
      <c r="K721" s="18"/>
      <c r="L721" s="18"/>
      <c r="M721" s="22" t="str">
        <f t="shared" si="1"/>
        <v/>
      </c>
      <c r="N721" s="18" t="str">
        <f>IF(A721="",,IF(ROW()=2, Input!$C$2 + I721, P720 + I721))</f>
        <v/>
      </c>
      <c r="O721" s="23" t="str">
        <f>IF(A721="",,
 IF(K721="Initial principal",
   Input!$C$2 * M721,
   N721 * M721
 )
)</f>
        <v/>
      </c>
      <c r="P721" s="18" t="str">
        <f t="shared" si="2"/>
        <v/>
      </c>
      <c r="Q721" s="18" t="str">
        <f t="shared" si="3"/>
        <v/>
      </c>
      <c r="R721" s="18" t="str">
        <f t="array" ref="R721">IF(
  B721="",
  ,
  SWITCH(
    Input!$C$4,
    "Actual/365 Fixed",
      YEARFRAC(
        B721 + IF(INDEX(Input!$K$7:$K1503,ROW()-1),0,1),
        C721 + IF(INDEX(Input!$L$7:$L1503,ROW()-1),1,0),
        3
      ),
    "Anniversary/365",
      DATEDIF(
        B721 + IF(INDEX(Input!$K$7:$K1503,ROW()-1),0,1),
        C721 + IF(INDEX(Input!$L$7:$L1503,ROW()-1),1,0),
        "Y"
      )
      +
      (
        (C721 + IF(INDEX(Input!$L$7:$L1503,ROW()-1),1,0))
        -
        EDATE(
          B721 + IF(INDEX(Input!$K$7:$K1503,ROW()-1),0,1),
          12*DATEDIF(
            B721 + IF(INDEX(Input!$K$7:$K1503,ROW()-1),0,1),
            C721 + IF(INDEX(Input!$L$7:$L1503,ROW()-1),1,0),
            "Y"
          )
        )
      ) / 365,
    "Actual/Actual",
      YEARFRAC(
        B721 + IF(INDEX(Input!$K$7:$K1503,ROW()-1),0,1),
        C721 + IF(INDEX(Input!$L$7:$L1503,ROW()-1),1,0),
        1
      ),
      YEARFRAC(
        B721 + IF(INDEX(Input!$K$7:$K1503,ROW()-1),0,1),
        C721 + IF(INDEX(Input!$L$7:$L1503,ROW()-1),1,0),
        3
      )
  )
)</f>
        <v/>
      </c>
      <c r="S721" s="22" t="str">
        <f t="shared" si="4"/>
        <v/>
      </c>
      <c r="T721" s="6" t="str">
        <f t="array" ref="T721">IF(
  B721="",
  ,
  DATEDIF(
    B721 + IF(INDEX(Input!$K$7:$K1503,ROW()-1),0,1),
    C721 + IF(INDEX(Input!$L$7:$L1503,ROW()-1),1,0),
    "Y"
  )
)</f>
        <v/>
      </c>
      <c r="U721" s="6" t="str">
        <f t="array" ref="U721">IF(
  B721="",
  ,
  (C721 + IF(INDEX(Input!$L$7:$L1503,ROW()-1),1,0))
  - EDATE(
      B721 + IF(INDEX(Input!$K$7:$K1503,ROW()-1),0,1),
      12*S721
    )
)</f>
        <v/>
      </c>
      <c r="V721" s="6" t="str">
        <f t="shared" si="5"/>
        <v/>
      </c>
      <c r="W721" s="6" t="str">
        <f t="shared" si="6"/>
        <v/>
      </c>
    </row>
    <row r="722">
      <c r="A722" s="18"/>
      <c r="B722" s="18"/>
      <c r="C722" s="18"/>
      <c r="D722" s="18"/>
      <c r="E722" s="18"/>
      <c r="F722" s="18"/>
      <c r="G722" s="22"/>
      <c r="H722" s="18"/>
      <c r="I722" s="18">
        <v>0.0</v>
      </c>
      <c r="J722" s="18">
        <v>0.0</v>
      </c>
      <c r="K722" s="18"/>
      <c r="L722" s="18"/>
      <c r="M722" s="22" t="str">
        <f t="shared" si="1"/>
        <v/>
      </c>
      <c r="N722" s="18" t="str">
        <f>IF(A722="",,IF(ROW()=2, Input!$C$2 + I722, P721 + I722))</f>
        <v/>
      </c>
      <c r="O722" s="23" t="str">
        <f>IF(A722="",,
 IF(K722="Initial principal",
   Input!$C$2 * M722,
   N722 * M722
 )
)</f>
        <v/>
      </c>
      <c r="P722" s="18" t="str">
        <f t="shared" si="2"/>
        <v/>
      </c>
      <c r="Q722" s="18" t="str">
        <f t="shared" si="3"/>
        <v/>
      </c>
      <c r="R722" s="18" t="str">
        <f t="array" ref="R722">IF(
  B722="",
  ,
  SWITCH(
    Input!$C$4,
    "Actual/365 Fixed",
      YEARFRAC(
        B722 + IF(INDEX(Input!$K$7:$K1503,ROW()-1),0,1),
        C722 + IF(INDEX(Input!$L$7:$L1503,ROW()-1),1,0),
        3
      ),
    "Anniversary/365",
      DATEDIF(
        B722 + IF(INDEX(Input!$K$7:$K1503,ROW()-1),0,1),
        C722 + IF(INDEX(Input!$L$7:$L1503,ROW()-1),1,0),
        "Y"
      )
      +
      (
        (C722 + IF(INDEX(Input!$L$7:$L1503,ROW()-1),1,0))
        -
        EDATE(
          B722 + IF(INDEX(Input!$K$7:$K1503,ROW()-1),0,1),
          12*DATEDIF(
            B722 + IF(INDEX(Input!$K$7:$K1503,ROW()-1),0,1),
            C722 + IF(INDEX(Input!$L$7:$L1503,ROW()-1),1,0),
            "Y"
          )
        )
      ) / 365,
    "Actual/Actual",
      YEARFRAC(
        B722 + IF(INDEX(Input!$K$7:$K1503,ROW()-1),0,1),
        C722 + IF(INDEX(Input!$L$7:$L1503,ROW()-1),1,0),
        1
      ),
      YEARFRAC(
        B722 + IF(INDEX(Input!$K$7:$K1503,ROW()-1),0,1),
        C722 + IF(INDEX(Input!$L$7:$L1503,ROW()-1),1,0),
        3
      )
  )
)</f>
        <v/>
      </c>
      <c r="S722" s="22" t="str">
        <f t="shared" si="4"/>
        <v/>
      </c>
      <c r="T722" s="6" t="str">
        <f t="array" ref="T722">IF(
  B722="",
  ,
  DATEDIF(
    B722 + IF(INDEX(Input!$K$7:$K1503,ROW()-1),0,1),
    C722 + IF(INDEX(Input!$L$7:$L1503,ROW()-1),1,0),
    "Y"
  )
)</f>
        <v/>
      </c>
      <c r="U722" s="6" t="str">
        <f t="array" ref="U722">IF(
  B722="",
  ,
  (C722 + IF(INDEX(Input!$L$7:$L1503,ROW()-1),1,0))
  - EDATE(
      B722 + IF(INDEX(Input!$K$7:$K1503,ROW()-1),0,1),
      12*S722
    )
)</f>
        <v/>
      </c>
      <c r="V722" s="6" t="str">
        <f t="shared" si="5"/>
        <v/>
      </c>
      <c r="W722" s="6" t="str">
        <f t="shared" si="6"/>
        <v/>
      </c>
    </row>
    <row r="723">
      <c r="A723" s="18"/>
      <c r="B723" s="18"/>
      <c r="C723" s="18"/>
      <c r="D723" s="18"/>
      <c r="E723" s="18"/>
      <c r="F723" s="18"/>
      <c r="G723" s="22"/>
      <c r="H723" s="18"/>
      <c r="I723" s="18">
        <v>0.0</v>
      </c>
      <c r="J723" s="18">
        <v>0.0</v>
      </c>
      <c r="K723" s="18"/>
      <c r="L723" s="18"/>
      <c r="M723" s="22" t="str">
        <f t="shared" si="1"/>
        <v/>
      </c>
      <c r="N723" s="18" t="str">
        <f>IF(A723="",,IF(ROW()=2, Input!$C$2 + I723, P722 + I723))</f>
        <v/>
      </c>
      <c r="O723" s="23" t="str">
        <f>IF(A723="",,
 IF(K723="Initial principal",
   Input!$C$2 * M723,
   N723 * M723
 )
)</f>
        <v/>
      </c>
      <c r="P723" s="18" t="str">
        <f t="shared" si="2"/>
        <v/>
      </c>
      <c r="Q723" s="18" t="str">
        <f t="shared" si="3"/>
        <v/>
      </c>
      <c r="R723" s="18" t="str">
        <f t="array" ref="R723">IF(
  B723="",
  ,
  SWITCH(
    Input!$C$4,
    "Actual/365 Fixed",
      YEARFRAC(
        B723 + IF(INDEX(Input!$K$7:$K1503,ROW()-1),0,1),
        C723 + IF(INDEX(Input!$L$7:$L1503,ROW()-1),1,0),
        3
      ),
    "Anniversary/365",
      DATEDIF(
        B723 + IF(INDEX(Input!$K$7:$K1503,ROW()-1),0,1),
        C723 + IF(INDEX(Input!$L$7:$L1503,ROW()-1),1,0),
        "Y"
      )
      +
      (
        (C723 + IF(INDEX(Input!$L$7:$L1503,ROW()-1),1,0))
        -
        EDATE(
          B723 + IF(INDEX(Input!$K$7:$K1503,ROW()-1),0,1),
          12*DATEDIF(
            B723 + IF(INDEX(Input!$K$7:$K1503,ROW()-1),0,1),
            C723 + IF(INDEX(Input!$L$7:$L1503,ROW()-1),1,0),
            "Y"
          )
        )
      ) / 365,
    "Actual/Actual",
      YEARFRAC(
        B723 + IF(INDEX(Input!$K$7:$K1503,ROW()-1),0,1),
        C723 + IF(INDEX(Input!$L$7:$L1503,ROW()-1),1,0),
        1
      ),
      YEARFRAC(
        B723 + IF(INDEX(Input!$K$7:$K1503,ROW()-1),0,1),
        C723 + IF(INDEX(Input!$L$7:$L1503,ROW()-1),1,0),
        3
      )
  )
)</f>
        <v/>
      </c>
      <c r="S723" s="22" t="str">
        <f t="shared" si="4"/>
        <v/>
      </c>
      <c r="T723" s="6" t="str">
        <f t="array" ref="T723">IF(
  B723="",
  ,
  DATEDIF(
    B723 + IF(INDEX(Input!$K$7:$K1503,ROW()-1),0,1),
    C723 + IF(INDEX(Input!$L$7:$L1503,ROW()-1),1,0),
    "Y"
  )
)</f>
        <v/>
      </c>
      <c r="U723" s="6" t="str">
        <f t="array" ref="U723">IF(
  B723="",
  ,
  (C723 + IF(INDEX(Input!$L$7:$L1503,ROW()-1),1,0))
  - EDATE(
      B723 + IF(INDEX(Input!$K$7:$K1503,ROW()-1),0,1),
      12*S723
    )
)</f>
        <v/>
      </c>
      <c r="V723" s="6" t="str">
        <f t="shared" si="5"/>
        <v/>
      </c>
      <c r="W723" s="6" t="str">
        <f t="shared" si="6"/>
        <v/>
      </c>
    </row>
    <row r="724">
      <c r="A724" s="18"/>
      <c r="B724" s="18"/>
      <c r="C724" s="18"/>
      <c r="D724" s="18"/>
      <c r="E724" s="18"/>
      <c r="F724" s="18"/>
      <c r="G724" s="22"/>
      <c r="H724" s="18"/>
      <c r="I724" s="18">
        <v>0.0</v>
      </c>
      <c r="J724" s="18">
        <v>0.0</v>
      </c>
      <c r="K724" s="18"/>
      <c r="L724" s="18"/>
      <c r="M724" s="22" t="str">
        <f t="shared" si="1"/>
        <v/>
      </c>
      <c r="N724" s="18" t="str">
        <f>IF(A724="",,IF(ROW()=2, Input!$C$2 + I724, P723 + I724))</f>
        <v/>
      </c>
      <c r="O724" s="23" t="str">
        <f>IF(A724="",,
 IF(K724="Initial principal",
   Input!$C$2 * M724,
   N724 * M724
 )
)</f>
        <v/>
      </c>
      <c r="P724" s="18" t="str">
        <f t="shared" si="2"/>
        <v/>
      </c>
      <c r="Q724" s="18" t="str">
        <f t="shared" si="3"/>
        <v/>
      </c>
      <c r="R724" s="18" t="str">
        <f t="array" ref="R724">IF(
  B724="",
  ,
  SWITCH(
    Input!$C$4,
    "Actual/365 Fixed",
      YEARFRAC(
        B724 + IF(INDEX(Input!$K$7:$K1503,ROW()-1),0,1),
        C724 + IF(INDEX(Input!$L$7:$L1503,ROW()-1),1,0),
        3
      ),
    "Anniversary/365",
      DATEDIF(
        B724 + IF(INDEX(Input!$K$7:$K1503,ROW()-1),0,1),
        C724 + IF(INDEX(Input!$L$7:$L1503,ROW()-1),1,0),
        "Y"
      )
      +
      (
        (C724 + IF(INDEX(Input!$L$7:$L1503,ROW()-1),1,0))
        -
        EDATE(
          B724 + IF(INDEX(Input!$K$7:$K1503,ROW()-1),0,1),
          12*DATEDIF(
            B724 + IF(INDEX(Input!$K$7:$K1503,ROW()-1),0,1),
            C724 + IF(INDEX(Input!$L$7:$L1503,ROW()-1),1,0),
            "Y"
          )
        )
      ) / 365,
    "Actual/Actual",
      YEARFRAC(
        B724 + IF(INDEX(Input!$K$7:$K1503,ROW()-1),0,1),
        C724 + IF(INDEX(Input!$L$7:$L1503,ROW()-1),1,0),
        1
      ),
      YEARFRAC(
        B724 + IF(INDEX(Input!$K$7:$K1503,ROW()-1),0,1),
        C724 + IF(INDEX(Input!$L$7:$L1503,ROW()-1),1,0),
        3
      )
  )
)</f>
        <v/>
      </c>
      <c r="S724" s="22" t="str">
        <f t="shared" si="4"/>
        <v/>
      </c>
      <c r="T724" s="6" t="str">
        <f t="array" ref="T724">IF(
  B724="",
  ,
  DATEDIF(
    B724 + IF(INDEX(Input!$K$7:$K1503,ROW()-1),0,1),
    C724 + IF(INDEX(Input!$L$7:$L1503,ROW()-1),1,0),
    "Y"
  )
)</f>
        <v/>
      </c>
      <c r="U724" s="6" t="str">
        <f t="array" ref="U724">IF(
  B724="",
  ,
  (C724 + IF(INDEX(Input!$L$7:$L1503,ROW()-1),1,0))
  - EDATE(
      B724 + IF(INDEX(Input!$K$7:$K1503,ROW()-1),0,1),
      12*S724
    )
)</f>
        <v/>
      </c>
      <c r="V724" s="6" t="str">
        <f t="shared" si="5"/>
        <v/>
      </c>
      <c r="W724" s="6" t="str">
        <f t="shared" si="6"/>
        <v/>
      </c>
    </row>
    <row r="725">
      <c r="A725" s="18"/>
      <c r="B725" s="18"/>
      <c r="C725" s="18"/>
      <c r="D725" s="18"/>
      <c r="E725" s="18"/>
      <c r="F725" s="18"/>
      <c r="G725" s="22"/>
      <c r="H725" s="18"/>
      <c r="I725" s="18">
        <v>0.0</v>
      </c>
      <c r="J725" s="18">
        <v>0.0</v>
      </c>
      <c r="K725" s="18"/>
      <c r="L725" s="18"/>
      <c r="M725" s="22" t="str">
        <f t="shared" si="1"/>
        <v/>
      </c>
      <c r="N725" s="18" t="str">
        <f>IF(A725="",,IF(ROW()=2, Input!$C$2 + I725, P724 + I725))</f>
        <v/>
      </c>
      <c r="O725" s="23" t="str">
        <f>IF(A725="",,
 IF(K725="Initial principal",
   Input!$C$2 * M725,
   N725 * M725
 )
)</f>
        <v/>
      </c>
      <c r="P725" s="18" t="str">
        <f t="shared" si="2"/>
        <v/>
      </c>
      <c r="Q725" s="18" t="str">
        <f t="shared" si="3"/>
        <v/>
      </c>
      <c r="R725" s="18" t="str">
        <f t="array" ref="R725">IF(
  B725="",
  ,
  SWITCH(
    Input!$C$4,
    "Actual/365 Fixed",
      YEARFRAC(
        B725 + IF(INDEX(Input!$K$7:$K1503,ROW()-1),0,1),
        C725 + IF(INDEX(Input!$L$7:$L1503,ROW()-1),1,0),
        3
      ),
    "Anniversary/365",
      DATEDIF(
        B725 + IF(INDEX(Input!$K$7:$K1503,ROW()-1),0,1),
        C725 + IF(INDEX(Input!$L$7:$L1503,ROW()-1),1,0),
        "Y"
      )
      +
      (
        (C725 + IF(INDEX(Input!$L$7:$L1503,ROW()-1),1,0))
        -
        EDATE(
          B725 + IF(INDEX(Input!$K$7:$K1503,ROW()-1),0,1),
          12*DATEDIF(
            B725 + IF(INDEX(Input!$K$7:$K1503,ROW()-1),0,1),
            C725 + IF(INDEX(Input!$L$7:$L1503,ROW()-1),1,0),
            "Y"
          )
        )
      ) / 365,
    "Actual/Actual",
      YEARFRAC(
        B725 + IF(INDEX(Input!$K$7:$K1503,ROW()-1),0,1),
        C725 + IF(INDEX(Input!$L$7:$L1503,ROW()-1),1,0),
        1
      ),
      YEARFRAC(
        B725 + IF(INDEX(Input!$K$7:$K1503,ROW()-1),0,1),
        C725 + IF(INDEX(Input!$L$7:$L1503,ROW()-1),1,0),
        3
      )
  )
)</f>
        <v/>
      </c>
      <c r="S725" s="22" t="str">
        <f t="shared" si="4"/>
        <v/>
      </c>
      <c r="T725" s="6" t="str">
        <f t="array" ref="T725">IF(
  B725="",
  ,
  DATEDIF(
    B725 + IF(INDEX(Input!$K$7:$K1503,ROW()-1),0,1),
    C725 + IF(INDEX(Input!$L$7:$L1503,ROW()-1),1,0),
    "Y"
  )
)</f>
        <v/>
      </c>
      <c r="U725" s="6" t="str">
        <f t="array" ref="U725">IF(
  B725="",
  ,
  (C725 + IF(INDEX(Input!$L$7:$L1503,ROW()-1),1,0))
  - EDATE(
      B725 + IF(INDEX(Input!$K$7:$K1503,ROW()-1),0,1),
      12*S725
    )
)</f>
        <v/>
      </c>
      <c r="V725" s="6" t="str">
        <f t="shared" si="5"/>
        <v/>
      </c>
      <c r="W725" s="6" t="str">
        <f t="shared" si="6"/>
        <v/>
      </c>
    </row>
    <row r="726">
      <c r="A726" s="18"/>
      <c r="B726" s="18"/>
      <c r="C726" s="18"/>
      <c r="D726" s="18"/>
      <c r="E726" s="18"/>
      <c r="F726" s="18"/>
      <c r="G726" s="22"/>
      <c r="H726" s="18"/>
      <c r="I726" s="18">
        <v>0.0</v>
      </c>
      <c r="J726" s="18">
        <v>0.0</v>
      </c>
      <c r="K726" s="18"/>
      <c r="L726" s="18"/>
      <c r="M726" s="22" t="str">
        <f t="shared" si="1"/>
        <v/>
      </c>
      <c r="N726" s="18" t="str">
        <f>IF(A726="",,IF(ROW()=2, Input!$C$2 + I726, P725 + I726))</f>
        <v/>
      </c>
      <c r="O726" s="23" t="str">
        <f>IF(A726="",,
 IF(K726="Initial principal",
   Input!$C$2 * M726,
   N726 * M726
 )
)</f>
        <v/>
      </c>
      <c r="P726" s="18" t="str">
        <f t="shared" si="2"/>
        <v/>
      </c>
      <c r="Q726" s="18" t="str">
        <f t="shared" si="3"/>
        <v/>
      </c>
      <c r="R726" s="18" t="str">
        <f t="array" ref="R726">IF(
  B726="",
  ,
  SWITCH(
    Input!$C$4,
    "Actual/365 Fixed",
      YEARFRAC(
        B726 + IF(INDEX(Input!$K$7:$K1503,ROW()-1),0,1),
        C726 + IF(INDEX(Input!$L$7:$L1503,ROW()-1),1,0),
        3
      ),
    "Anniversary/365",
      DATEDIF(
        B726 + IF(INDEX(Input!$K$7:$K1503,ROW()-1),0,1),
        C726 + IF(INDEX(Input!$L$7:$L1503,ROW()-1),1,0),
        "Y"
      )
      +
      (
        (C726 + IF(INDEX(Input!$L$7:$L1503,ROW()-1),1,0))
        -
        EDATE(
          B726 + IF(INDEX(Input!$K$7:$K1503,ROW()-1),0,1),
          12*DATEDIF(
            B726 + IF(INDEX(Input!$K$7:$K1503,ROW()-1),0,1),
            C726 + IF(INDEX(Input!$L$7:$L1503,ROW()-1),1,0),
            "Y"
          )
        )
      ) / 365,
    "Actual/Actual",
      YEARFRAC(
        B726 + IF(INDEX(Input!$K$7:$K1503,ROW()-1),0,1),
        C726 + IF(INDEX(Input!$L$7:$L1503,ROW()-1),1,0),
        1
      ),
      YEARFRAC(
        B726 + IF(INDEX(Input!$K$7:$K1503,ROW()-1),0,1),
        C726 + IF(INDEX(Input!$L$7:$L1503,ROW()-1),1,0),
        3
      )
  )
)</f>
        <v/>
      </c>
      <c r="S726" s="22" t="str">
        <f t="shared" si="4"/>
        <v/>
      </c>
      <c r="T726" s="6" t="str">
        <f t="array" ref="T726">IF(
  B726="",
  ,
  DATEDIF(
    B726 + IF(INDEX(Input!$K$7:$K1503,ROW()-1),0,1),
    C726 + IF(INDEX(Input!$L$7:$L1503,ROW()-1),1,0),
    "Y"
  )
)</f>
        <v/>
      </c>
      <c r="U726" s="6" t="str">
        <f t="array" ref="U726">IF(
  B726="",
  ,
  (C726 + IF(INDEX(Input!$L$7:$L1503,ROW()-1),1,0))
  - EDATE(
      B726 + IF(INDEX(Input!$K$7:$K1503,ROW()-1),0,1),
      12*S726
    )
)</f>
        <v/>
      </c>
      <c r="V726" s="6" t="str">
        <f t="shared" si="5"/>
        <v/>
      </c>
      <c r="W726" s="6" t="str">
        <f t="shared" si="6"/>
        <v/>
      </c>
    </row>
    <row r="727">
      <c r="A727" s="18"/>
      <c r="B727" s="18"/>
      <c r="C727" s="18"/>
      <c r="D727" s="18"/>
      <c r="E727" s="18"/>
      <c r="F727" s="18"/>
      <c r="G727" s="22"/>
      <c r="H727" s="18"/>
      <c r="I727" s="18">
        <v>0.0</v>
      </c>
      <c r="J727" s="18">
        <v>0.0</v>
      </c>
      <c r="K727" s="18"/>
      <c r="L727" s="18"/>
      <c r="M727" s="22" t="str">
        <f t="shared" si="1"/>
        <v/>
      </c>
      <c r="N727" s="18" t="str">
        <f>IF(A727="",,IF(ROW()=2, Input!$C$2 + I727, P726 + I727))</f>
        <v/>
      </c>
      <c r="O727" s="23" t="str">
        <f>IF(A727="",,
 IF(K727="Initial principal",
   Input!$C$2 * M727,
   N727 * M727
 )
)</f>
        <v/>
      </c>
      <c r="P727" s="18" t="str">
        <f t="shared" si="2"/>
        <v/>
      </c>
      <c r="Q727" s="18" t="str">
        <f t="shared" si="3"/>
        <v/>
      </c>
      <c r="R727" s="18" t="str">
        <f t="array" ref="R727">IF(
  B727="",
  ,
  SWITCH(
    Input!$C$4,
    "Actual/365 Fixed",
      YEARFRAC(
        B727 + IF(INDEX(Input!$K$7:$K1503,ROW()-1),0,1),
        C727 + IF(INDEX(Input!$L$7:$L1503,ROW()-1),1,0),
        3
      ),
    "Anniversary/365",
      DATEDIF(
        B727 + IF(INDEX(Input!$K$7:$K1503,ROW()-1),0,1),
        C727 + IF(INDEX(Input!$L$7:$L1503,ROW()-1),1,0),
        "Y"
      )
      +
      (
        (C727 + IF(INDEX(Input!$L$7:$L1503,ROW()-1),1,0))
        -
        EDATE(
          B727 + IF(INDEX(Input!$K$7:$K1503,ROW()-1),0,1),
          12*DATEDIF(
            B727 + IF(INDEX(Input!$K$7:$K1503,ROW()-1),0,1),
            C727 + IF(INDEX(Input!$L$7:$L1503,ROW()-1),1,0),
            "Y"
          )
        )
      ) / 365,
    "Actual/Actual",
      YEARFRAC(
        B727 + IF(INDEX(Input!$K$7:$K1503,ROW()-1),0,1),
        C727 + IF(INDEX(Input!$L$7:$L1503,ROW()-1),1,0),
        1
      ),
      YEARFRAC(
        B727 + IF(INDEX(Input!$K$7:$K1503,ROW()-1),0,1),
        C727 + IF(INDEX(Input!$L$7:$L1503,ROW()-1),1,0),
        3
      )
  )
)</f>
        <v/>
      </c>
      <c r="S727" s="22" t="str">
        <f t="shared" si="4"/>
        <v/>
      </c>
      <c r="T727" s="6" t="str">
        <f t="array" ref="T727">IF(
  B727="",
  ,
  DATEDIF(
    B727 + IF(INDEX(Input!$K$7:$K1503,ROW()-1),0,1),
    C727 + IF(INDEX(Input!$L$7:$L1503,ROW()-1),1,0),
    "Y"
  )
)</f>
        <v/>
      </c>
      <c r="U727" s="6" t="str">
        <f t="array" ref="U727">IF(
  B727="",
  ,
  (C727 + IF(INDEX(Input!$L$7:$L1503,ROW()-1),1,0))
  - EDATE(
      B727 + IF(INDEX(Input!$K$7:$K1503,ROW()-1),0,1),
      12*S727
    )
)</f>
        <v/>
      </c>
      <c r="V727" s="6" t="str">
        <f t="shared" si="5"/>
        <v/>
      </c>
      <c r="W727" s="6" t="str">
        <f t="shared" si="6"/>
        <v/>
      </c>
    </row>
    <row r="728">
      <c r="A728" s="18"/>
      <c r="B728" s="18"/>
      <c r="C728" s="18"/>
      <c r="D728" s="18"/>
      <c r="E728" s="18"/>
      <c r="F728" s="18"/>
      <c r="G728" s="22"/>
      <c r="H728" s="18"/>
      <c r="I728" s="18">
        <v>0.0</v>
      </c>
      <c r="J728" s="18">
        <v>0.0</v>
      </c>
      <c r="K728" s="18"/>
      <c r="L728" s="18"/>
      <c r="M728" s="22" t="str">
        <f t="shared" si="1"/>
        <v/>
      </c>
      <c r="N728" s="18" t="str">
        <f>IF(A728="",,IF(ROW()=2, Input!$C$2 + I728, P727 + I728))</f>
        <v/>
      </c>
      <c r="O728" s="23" t="str">
        <f>IF(A728="",,
 IF(K728="Initial principal",
   Input!$C$2 * M728,
   N728 * M728
 )
)</f>
        <v/>
      </c>
      <c r="P728" s="18" t="str">
        <f t="shared" si="2"/>
        <v/>
      </c>
      <c r="Q728" s="18" t="str">
        <f t="shared" si="3"/>
        <v/>
      </c>
      <c r="R728" s="18" t="str">
        <f t="array" ref="R728">IF(
  B728="",
  ,
  SWITCH(
    Input!$C$4,
    "Actual/365 Fixed",
      YEARFRAC(
        B728 + IF(INDEX(Input!$K$7:$K1503,ROW()-1),0,1),
        C728 + IF(INDEX(Input!$L$7:$L1503,ROW()-1),1,0),
        3
      ),
    "Anniversary/365",
      DATEDIF(
        B728 + IF(INDEX(Input!$K$7:$K1503,ROW()-1),0,1),
        C728 + IF(INDEX(Input!$L$7:$L1503,ROW()-1),1,0),
        "Y"
      )
      +
      (
        (C728 + IF(INDEX(Input!$L$7:$L1503,ROW()-1),1,0))
        -
        EDATE(
          B728 + IF(INDEX(Input!$K$7:$K1503,ROW()-1),0,1),
          12*DATEDIF(
            B728 + IF(INDEX(Input!$K$7:$K1503,ROW()-1),0,1),
            C728 + IF(INDEX(Input!$L$7:$L1503,ROW()-1),1,0),
            "Y"
          )
        )
      ) / 365,
    "Actual/Actual",
      YEARFRAC(
        B728 + IF(INDEX(Input!$K$7:$K1503,ROW()-1),0,1),
        C728 + IF(INDEX(Input!$L$7:$L1503,ROW()-1),1,0),
        1
      ),
      YEARFRAC(
        B728 + IF(INDEX(Input!$K$7:$K1503,ROW()-1),0,1),
        C728 + IF(INDEX(Input!$L$7:$L1503,ROW()-1),1,0),
        3
      )
  )
)</f>
        <v/>
      </c>
      <c r="S728" s="22" t="str">
        <f t="shared" si="4"/>
        <v/>
      </c>
      <c r="T728" s="6" t="str">
        <f t="array" ref="T728">IF(
  B728="",
  ,
  DATEDIF(
    B728 + IF(INDEX(Input!$K$7:$K1503,ROW()-1),0,1),
    C728 + IF(INDEX(Input!$L$7:$L1503,ROW()-1),1,0),
    "Y"
  )
)</f>
        <v/>
      </c>
      <c r="U728" s="6" t="str">
        <f t="array" ref="U728">IF(
  B728="",
  ,
  (C728 + IF(INDEX(Input!$L$7:$L1503,ROW()-1),1,0))
  - EDATE(
      B728 + IF(INDEX(Input!$K$7:$K1503,ROW()-1),0,1),
      12*S728
    )
)</f>
        <v/>
      </c>
      <c r="V728" s="6" t="str">
        <f t="shared" si="5"/>
        <v/>
      </c>
      <c r="W728" s="6" t="str">
        <f t="shared" si="6"/>
        <v/>
      </c>
    </row>
    <row r="729">
      <c r="A729" s="18"/>
      <c r="B729" s="18"/>
      <c r="C729" s="18"/>
      <c r="D729" s="18"/>
      <c r="E729" s="18"/>
      <c r="F729" s="18"/>
      <c r="G729" s="22"/>
      <c r="H729" s="18"/>
      <c r="I729" s="18">
        <v>0.0</v>
      </c>
      <c r="J729" s="18">
        <v>0.0</v>
      </c>
      <c r="K729" s="18"/>
      <c r="L729" s="18"/>
      <c r="M729" s="22" t="str">
        <f t="shared" si="1"/>
        <v/>
      </c>
      <c r="N729" s="18" t="str">
        <f>IF(A729="",,IF(ROW()=2, Input!$C$2 + I729, P728 + I729))</f>
        <v/>
      </c>
      <c r="O729" s="23" t="str">
        <f>IF(A729="",,
 IF(K729="Initial principal",
   Input!$C$2 * M729,
   N729 * M729
 )
)</f>
        <v/>
      </c>
      <c r="P729" s="18" t="str">
        <f t="shared" si="2"/>
        <v/>
      </c>
      <c r="Q729" s="18" t="str">
        <f t="shared" si="3"/>
        <v/>
      </c>
      <c r="R729" s="18" t="str">
        <f t="array" ref="R729">IF(
  B729="",
  ,
  SWITCH(
    Input!$C$4,
    "Actual/365 Fixed",
      YEARFRAC(
        B729 + IF(INDEX(Input!$K$7:$K1503,ROW()-1),0,1),
        C729 + IF(INDEX(Input!$L$7:$L1503,ROW()-1),1,0),
        3
      ),
    "Anniversary/365",
      DATEDIF(
        B729 + IF(INDEX(Input!$K$7:$K1503,ROW()-1),0,1),
        C729 + IF(INDEX(Input!$L$7:$L1503,ROW()-1),1,0),
        "Y"
      )
      +
      (
        (C729 + IF(INDEX(Input!$L$7:$L1503,ROW()-1),1,0))
        -
        EDATE(
          B729 + IF(INDEX(Input!$K$7:$K1503,ROW()-1),0,1),
          12*DATEDIF(
            B729 + IF(INDEX(Input!$K$7:$K1503,ROW()-1),0,1),
            C729 + IF(INDEX(Input!$L$7:$L1503,ROW()-1),1,0),
            "Y"
          )
        )
      ) / 365,
    "Actual/Actual",
      YEARFRAC(
        B729 + IF(INDEX(Input!$K$7:$K1503,ROW()-1),0,1),
        C729 + IF(INDEX(Input!$L$7:$L1503,ROW()-1),1,0),
        1
      ),
      YEARFRAC(
        B729 + IF(INDEX(Input!$K$7:$K1503,ROW()-1),0,1),
        C729 + IF(INDEX(Input!$L$7:$L1503,ROW()-1),1,0),
        3
      )
  )
)</f>
        <v/>
      </c>
      <c r="S729" s="22" t="str">
        <f t="shared" si="4"/>
        <v/>
      </c>
      <c r="T729" s="6" t="str">
        <f t="array" ref="T729">IF(
  B729="",
  ,
  DATEDIF(
    B729 + IF(INDEX(Input!$K$7:$K1503,ROW()-1),0,1),
    C729 + IF(INDEX(Input!$L$7:$L1503,ROW()-1),1,0),
    "Y"
  )
)</f>
        <v/>
      </c>
      <c r="U729" s="6" t="str">
        <f t="array" ref="U729">IF(
  B729="",
  ,
  (C729 + IF(INDEX(Input!$L$7:$L1503,ROW()-1),1,0))
  - EDATE(
      B729 + IF(INDEX(Input!$K$7:$K1503,ROW()-1),0,1),
      12*S729
    )
)</f>
        <v/>
      </c>
      <c r="V729" s="6" t="str">
        <f t="shared" si="5"/>
        <v/>
      </c>
      <c r="W729" s="6" t="str">
        <f t="shared" si="6"/>
        <v/>
      </c>
    </row>
    <row r="730">
      <c r="A730" s="18"/>
      <c r="B730" s="18"/>
      <c r="C730" s="18"/>
      <c r="D730" s="18"/>
      <c r="E730" s="18"/>
      <c r="F730" s="18"/>
      <c r="G730" s="22"/>
      <c r="H730" s="18"/>
      <c r="I730" s="18">
        <v>0.0</v>
      </c>
      <c r="J730" s="18">
        <v>0.0</v>
      </c>
      <c r="K730" s="18"/>
      <c r="L730" s="18"/>
      <c r="M730" s="22" t="str">
        <f t="shared" si="1"/>
        <v/>
      </c>
      <c r="N730" s="18" t="str">
        <f>IF(A730="",,IF(ROW()=2, Input!$C$2 + I730, P729 + I730))</f>
        <v/>
      </c>
      <c r="O730" s="23" t="str">
        <f>IF(A730="",,
 IF(K730="Initial principal",
   Input!$C$2 * M730,
   N730 * M730
 )
)</f>
        <v/>
      </c>
      <c r="P730" s="18" t="str">
        <f t="shared" si="2"/>
        <v/>
      </c>
      <c r="Q730" s="18" t="str">
        <f t="shared" si="3"/>
        <v/>
      </c>
      <c r="R730" s="18" t="str">
        <f t="array" ref="R730">IF(
  B730="",
  ,
  SWITCH(
    Input!$C$4,
    "Actual/365 Fixed",
      YEARFRAC(
        B730 + IF(INDEX(Input!$K$7:$K1503,ROW()-1),0,1),
        C730 + IF(INDEX(Input!$L$7:$L1503,ROW()-1),1,0),
        3
      ),
    "Anniversary/365",
      DATEDIF(
        B730 + IF(INDEX(Input!$K$7:$K1503,ROW()-1),0,1),
        C730 + IF(INDEX(Input!$L$7:$L1503,ROW()-1),1,0),
        "Y"
      )
      +
      (
        (C730 + IF(INDEX(Input!$L$7:$L1503,ROW()-1),1,0))
        -
        EDATE(
          B730 + IF(INDEX(Input!$K$7:$K1503,ROW()-1),0,1),
          12*DATEDIF(
            B730 + IF(INDEX(Input!$K$7:$K1503,ROW()-1),0,1),
            C730 + IF(INDEX(Input!$L$7:$L1503,ROW()-1),1,0),
            "Y"
          )
        )
      ) / 365,
    "Actual/Actual",
      YEARFRAC(
        B730 + IF(INDEX(Input!$K$7:$K1503,ROW()-1),0,1),
        C730 + IF(INDEX(Input!$L$7:$L1503,ROW()-1),1,0),
        1
      ),
      YEARFRAC(
        B730 + IF(INDEX(Input!$K$7:$K1503,ROW()-1),0,1),
        C730 + IF(INDEX(Input!$L$7:$L1503,ROW()-1),1,0),
        3
      )
  )
)</f>
        <v/>
      </c>
      <c r="S730" s="22" t="str">
        <f t="shared" si="4"/>
        <v/>
      </c>
      <c r="T730" s="6" t="str">
        <f t="array" ref="T730">IF(
  B730="",
  ,
  DATEDIF(
    B730 + IF(INDEX(Input!$K$7:$K1503,ROW()-1),0,1),
    C730 + IF(INDEX(Input!$L$7:$L1503,ROW()-1),1,0),
    "Y"
  )
)</f>
        <v/>
      </c>
      <c r="U730" s="6" t="str">
        <f t="array" ref="U730">IF(
  B730="",
  ,
  (C730 + IF(INDEX(Input!$L$7:$L1503,ROW()-1),1,0))
  - EDATE(
      B730 + IF(INDEX(Input!$K$7:$K1503,ROW()-1),0,1),
      12*S730
    )
)</f>
        <v/>
      </c>
      <c r="V730" s="6" t="str">
        <f t="shared" si="5"/>
        <v/>
      </c>
      <c r="W730" s="6" t="str">
        <f t="shared" si="6"/>
        <v/>
      </c>
    </row>
    <row r="731">
      <c r="A731" s="18"/>
      <c r="B731" s="18"/>
      <c r="C731" s="18"/>
      <c r="D731" s="18"/>
      <c r="E731" s="18"/>
      <c r="F731" s="18"/>
      <c r="G731" s="22"/>
      <c r="H731" s="18"/>
      <c r="I731" s="18">
        <v>0.0</v>
      </c>
      <c r="J731" s="18">
        <v>0.0</v>
      </c>
      <c r="K731" s="18"/>
      <c r="L731" s="18"/>
      <c r="M731" s="22" t="str">
        <f t="shared" si="1"/>
        <v/>
      </c>
      <c r="N731" s="18" t="str">
        <f>IF(A731="",,IF(ROW()=2, Input!$C$2 + I731, P730 + I731))</f>
        <v/>
      </c>
      <c r="O731" s="23" t="str">
        <f>IF(A731="",,
 IF(K731="Initial principal",
   Input!$C$2 * M731,
   N731 * M731
 )
)</f>
        <v/>
      </c>
      <c r="P731" s="18" t="str">
        <f t="shared" si="2"/>
        <v/>
      </c>
      <c r="Q731" s="18" t="str">
        <f t="shared" si="3"/>
        <v/>
      </c>
      <c r="R731" s="18" t="str">
        <f t="array" ref="R731">IF(
  B731="",
  ,
  SWITCH(
    Input!$C$4,
    "Actual/365 Fixed",
      YEARFRAC(
        B731 + IF(INDEX(Input!$K$7:$K1503,ROW()-1),0,1),
        C731 + IF(INDEX(Input!$L$7:$L1503,ROW()-1),1,0),
        3
      ),
    "Anniversary/365",
      DATEDIF(
        B731 + IF(INDEX(Input!$K$7:$K1503,ROW()-1),0,1),
        C731 + IF(INDEX(Input!$L$7:$L1503,ROW()-1),1,0),
        "Y"
      )
      +
      (
        (C731 + IF(INDEX(Input!$L$7:$L1503,ROW()-1),1,0))
        -
        EDATE(
          B731 + IF(INDEX(Input!$K$7:$K1503,ROW()-1),0,1),
          12*DATEDIF(
            B731 + IF(INDEX(Input!$K$7:$K1503,ROW()-1),0,1),
            C731 + IF(INDEX(Input!$L$7:$L1503,ROW()-1),1,0),
            "Y"
          )
        )
      ) / 365,
    "Actual/Actual",
      YEARFRAC(
        B731 + IF(INDEX(Input!$K$7:$K1503,ROW()-1),0,1),
        C731 + IF(INDEX(Input!$L$7:$L1503,ROW()-1),1,0),
        1
      ),
      YEARFRAC(
        B731 + IF(INDEX(Input!$K$7:$K1503,ROW()-1),0,1),
        C731 + IF(INDEX(Input!$L$7:$L1503,ROW()-1),1,0),
        3
      )
  )
)</f>
        <v/>
      </c>
      <c r="S731" s="22" t="str">
        <f t="shared" si="4"/>
        <v/>
      </c>
      <c r="T731" s="6" t="str">
        <f t="array" ref="T731">IF(
  B731="",
  ,
  DATEDIF(
    B731 + IF(INDEX(Input!$K$7:$K1503,ROW()-1),0,1),
    C731 + IF(INDEX(Input!$L$7:$L1503,ROW()-1),1,0),
    "Y"
  )
)</f>
        <v/>
      </c>
      <c r="U731" s="6" t="str">
        <f t="array" ref="U731">IF(
  B731="",
  ,
  (C731 + IF(INDEX(Input!$L$7:$L1503,ROW()-1),1,0))
  - EDATE(
      B731 + IF(INDEX(Input!$K$7:$K1503,ROW()-1),0,1),
      12*S731
    )
)</f>
        <v/>
      </c>
      <c r="V731" s="6" t="str">
        <f t="shared" si="5"/>
        <v/>
      </c>
      <c r="W731" s="6" t="str">
        <f t="shared" si="6"/>
        <v/>
      </c>
    </row>
    <row r="732">
      <c r="A732" s="18"/>
      <c r="B732" s="18"/>
      <c r="C732" s="18"/>
      <c r="D732" s="18"/>
      <c r="E732" s="18"/>
      <c r="F732" s="18"/>
      <c r="G732" s="22"/>
      <c r="H732" s="18"/>
      <c r="I732" s="18">
        <v>0.0</v>
      </c>
      <c r="J732" s="18">
        <v>0.0</v>
      </c>
      <c r="K732" s="18"/>
      <c r="L732" s="18"/>
      <c r="M732" s="22" t="str">
        <f t="shared" si="1"/>
        <v/>
      </c>
      <c r="N732" s="18" t="str">
        <f>IF(A732="",,IF(ROW()=2, Input!$C$2 + I732, P731 + I732))</f>
        <v/>
      </c>
      <c r="O732" s="23" t="str">
        <f>IF(A732="",,
 IF(K732="Initial principal",
   Input!$C$2 * M732,
   N732 * M732
 )
)</f>
        <v/>
      </c>
      <c r="P732" s="18" t="str">
        <f t="shared" si="2"/>
        <v/>
      </c>
      <c r="Q732" s="18" t="str">
        <f t="shared" si="3"/>
        <v/>
      </c>
      <c r="R732" s="18" t="str">
        <f t="array" ref="R732">IF(
  B732="",
  ,
  SWITCH(
    Input!$C$4,
    "Actual/365 Fixed",
      YEARFRAC(
        B732 + IF(INDEX(Input!$K$7:$K1503,ROW()-1),0,1),
        C732 + IF(INDEX(Input!$L$7:$L1503,ROW()-1),1,0),
        3
      ),
    "Anniversary/365",
      DATEDIF(
        B732 + IF(INDEX(Input!$K$7:$K1503,ROW()-1),0,1),
        C732 + IF(INDEX(Input!$L$7:$L1503,ROW()-1),1,0),
        "Y"
      )
      +
      (
        (C732 + IF(INDEX(Input!$L$7:$L1503,ROW()-1),1,0))
        -
        EDATE(
          B732 + IF(INDEX(Input!$K$7:$K1503,ROW()-1),0,1),
          12*DATEDIF(
            B732 + IF(INDEX(Input!$K$7:$K1503,ROW()-1),0,1),
            C732 + IF(INDEX(Input!$L$7:$L1503,ROW()-1),1,0),
            "Y"
          )
        )
      ) / 365,
    "Actual/Actual",
      YEARFRAC(
        B732 + IF(INDEX(Input!$K$7:$K1503,ROW()-1),0,1),
        C732 + IF(INDEX(Input!$L$7:$L1503,ROW()-1),1,0),
        1
      ),
      YEARFRAC(
        B732 + IF(INDEX(Input!$K$7:$K1503,ROW()-1),0,1),
        C732 + IF(INDEX(Input!$L$7:$L1503,ROW()-1),1,0),
        3
      )
  )
)</f>
        <v/>
      </c>
      <c r="S732" s="22" t="str">
        <f t="shared" si="4"/>
        <v/>
      </c>
      <c r="T732" s="6" t="str">
        <f t="array" ref="T732">IF(
  B732="",
  ,
  DATEDIF(
    B732 + IF(INDEX(Input!$K$7:$K1503,ROW()-1),0,1),
    C732 + IF(INDEX(Input!$L$7:$L1503,ROW()-1),1,0),
    "Y"
  )
)</f>
        <v/>
      </c>
      <c r="U732" s="6" t="str">
        <f t="array" ref="U732">IF(
  B732="",
  ,
  (C732 + IF(INDEX(Input!$L$7:$L1503,ROW()-1),1,0))
  - EDATE(
      B732 + IF(INDEX(Input!$K$7:$K1503,ROW()-1),0,1),
      12*S732
    )
)</f>
        <v/>
      </c>
      <c r="V732" s="6" t="str">
        <f t="shared" si="5"/>
        <v/>
      </c>
      <c r="W732" s="6" t="str">
        <f t="shared" si="6"/>
        <v/>
      </c>
    </row>
    <row r="733">
      <c r="A733" s="18"/>
      <c r="B733" s="18"/>
      <c r="C733" s="18"/>
      <c r="D733" s="18"/>
      <c r="E733" s="18"/>
      <c r="F733" s="18"/>
      <c r="G733" s="22"/>
      <c r="H733" s="18"/>
      <c r="I733" s="18">
        <v>0.0</v>
      </c>
      <c r="J733" s="18">
        <v>0.0</v>
      </c>
      <c r="K733" s="18"/>
      <c r="L733" s="18"/>
      <c r="M733" s="22" t="str">
        <f t="shared" si="1"/>
        <v/>
      </c>
      <c r="N733" s="18" t="str">
        <f>IF(A733="",,IF(ROW()=2, Input!$C$2 + I733, P732 + I733))</f>
        <v/>
      </c>
      <c r="O733" s="23" t="str">
        <f>IF(A733="",,
 IF(K733="Initial principal",
   Input!$C$2 * M733,
   N733 * M733
 )
)</f>
        <v/>
      </c>
      <c r="P733" s="18" t="str">
        <f t="shared" si="2"/>
        <v/>
      </c>
      <c r="Q733" s="18" t="str">
        <f t="shared" si="3"/>
        <v/>
      </c>
      <c r="R733" s="18" t="str">
        <f t="array" ref="R733">IF(
  B733="",
  ,
  SWITCH(
    Input!$C$4,
    "Actual/365 Fixed",
      YEARFRAC(
        B733 + IF(INDEX(Input!$K$7:$K1503,ROW()-1),0,1),
        C733 + IF(INDEX(Input!$L$7:$L1503,ROW()-1),1,0),
        3
      ),
    "Anniversary/365",
      DATEDIF(
        B733 + IF(INDEX(Input!$K$7:$K1503,ROW()-1),0,1),
        C733 + IF(INDEX(Input!$L$7:$L1503,ROW()-1),1,0),
        "Y"
      )
      +
      (
        (C733 + IF(INDEX(Input!$L$7:$L1503,ROW()-1),1,0))
        -
        EDATE(
          B733 + IF(INDEX(Input!$K$7:$K1503,ROW()-1),0,1),
          12*DATEDIF(
            B733 + IF(INDEX(Input!$K$7:$K1503,ROW()-1),0,1),
            C733 + IF(INDEX(Input!$L$7:$L1503,ROW()-1),1,0),
            "Y"
          )
        )
      ) / 365,
    "Actual/Actual",
      YEARFRAC(
        B733 + IF(INDEX(Input!$K$7:$K1503,ROW()-1),0,1),
        C733 + IF(INDEX(Input!$L$7:$L1503,ROW()-1),1,0),
        1
      ),
      YEARFRAC(
        B733 + IF(INDEX(Input!$K$7:$K1503,ROW()-1),0,1),
        C733 + IF(INDEX(Input!$L$7:$L1503,ROW()-1),1,0),
        3
      )
  )
)</f>
        <v/>
      </c>
      <c r="S733" s="22" t="str">
        <f t="shared" si="4"/>
        <v/>
      </c>
      <c r="T733" s="6" t="str">
        <f t="array" ref="T733">IF(
  B733="",
  ,
  DATEDIF(
    B733 + IF(INDEX(Input!$K$7:$K1503,ROW()-1),0,1),
    C733 + IF(INDEX(Input!$L$7:$L1503,ROW()-1),1,0),
    "Y"
  )
)</f>
        <v/>
      </c>
      <c r="U733" s="6" t="str">
        <f t="array" ref="U733">IF(
  B733="",
  ,
  (C733 + IF(INDEX(Input!$L$7:$L1503,ROW()-1),1,0))
  - EDATE(
      B733 + IF(INDEX(Input!$K$7:$K1503,ROW()-1),0,1),
      12*S733
    )
)</f>
        <v/>
      </c>
      <c r="V733" s="6" t="str">
        <f t="shared" si="5"/>
        <v/>
      </c>
      <c r="W733" s="6" t="str">
        <f t="shared" si="6"/>
        <v/>
      </c>
    </row>
    <row r="734">
      <c r="A734" s="18"/>
      <c r="B734" s="18"/>
      <c r="C734" s="18"/>
      <c r="D734" s="18"/>
      <c r="E734" s="18"/>
      <c r="F734" s="18"/>
      <c r="G734" s="22"/>
      <c r="H734" s="18"/>
      <c r="I734" s="18">
        <v>0.0</v>
      </c>
      <c r="J734" s="18">
        <v>0.0</v>
      </c>
      <c r="K734" s="18"/>
      <c r="L734" s="18"/>
      <c r="M734" s="22" t="str">
        <f t="shared" si="1"/>
        <v/>
      </c>
      <c r="N734" s="18" t="str">
        <f>IF(A734="",,IF(ROW()=2, Input!$C$2 + I734, P733 + I734))</f>
        <v/>
      </c>
      <c r="O734" s="23" t="str">
        <f>IF(A734="",,
 IF(K734="Initial principal",
   Input!$C$2 * M734,
   N734 * M734
 )
)</f>
        <v/>
      </c>
      <c r="P734" s="18" t="str">
        <f t="shared" si="2"/>
        <v/>
      </c>
      <c r="Q734" s="18" t="str">
        <f t="shared" si="3"/>
        <v/>
      </c>
      <c r="R734" s="18" t="str">
        <f t="array" ref="R734">IF(
  B734="",
  ,
  SWITCH(
    Input!$C$4,
    "Actual/365 Fixed",
      YEARFRAC(
        B734 + IF(INDEX(Input!$K$7:$K1503,ROW()-1),0,1),
        C734 + IF(INDEX(Input!$L$7:$L1503,ROW()-1),1,0),
        3
      ),
    "Anniversary/365",
      DATEDIF(
        B734 + IF(INDEX(Input!$K$7:$K1503,ROW()-1),0,1),
        C734 + IF(INDEX(Input!$L$7:$L1503,ROW()-1),1,0),
        "Y"
      )
      +
      (
        (C734 + IF(INDEX(Input!$L$7:$L1503,ROW()-1),1,0))
        -
        EDATE(
          B734 + IF(INDEX(Input!$K$7:$K1503,ROW()-1),0,1),
          12*DATEDIF(
            B734 + IF(INDEX(Input!$K$7:$K1503,ROW()-1),0,1),
            C734 + IF(INDEX(Input!$L$7:$L1503,ROW()-1),1,0),
            "Y"
          )
        )
      ) / 365,
    "Actual/Actual",
      YEARFRAC(
        B734 + IF(INDEX(Input!$K$7:$K1503,ROW()-1),0,1),
        C734 + IF(INDEX(Input!$L$7:$L1503,ROW()-1),1,0),
        1
      ),
      YEARFRAC(
        B734 + IF(INDEX(Input!$K$7:$K1503,ROW()-1),0,1),
        C734 + IF(INDEX(Input!$L$7:$L1503,ROW()-1),1,0),
        3
      )
  )
)</f>
        <v/>
      </c>
      <c r="S734" s="22" t="str">
        <f t="shared" si="4"/>
        <v/>
      </c>
      <c r="T734" s="6" t="str">
        <f t="array" ref="T734">IF(
  B734="",
  ,
  DATEDIF(
    B734 + IF(INDEX(Input!$K$7:$K1503,ROW()-1),0,1),
    C734 + IF(INDEX(Input!$L$7:$L1503,ROW()-1),1,0),
    "Y"
  )
)</f>
        <v/>
      </c>
      <c r="U734" s="6" t="str">
        <f t="array" ref="U734">IF(
  B734="",
  ,
  (C734 + IF(INDEX(Input!$L$7:$L1503,ROW()-1),1,0))
  - EDATE(
      B734 + IF(INDEX(Input!$K$7:$K1503,ROW()-1),0,1),
      12*S734
    )
)</f>
        <v/>
      </c>
      <c r="V734" s="6" t="str">
        <f t="shared" si="5"/>
        <v/>
      </c>
      <c r="W734" s="6" t="str">
        <f t="shared" si="6"/>
        <v/>
      </c>
    </row>
    <row r="735">
      <c r="A735" s="18"/>
      <c r="B735" s="18"/>
      <c r="C735" s="18"/>
      <c r="D735" s="18"/>
      <c r="E735" s="18"/>
      <c r="F735" s="18"/>
      <c r="G735" s="22"/>
      <c r="H735" s="18"/>
      <c r="I735" s="18">
        <v>0.0</v>
      </c>
      <c r="J735" s="18">
        <v>0.0</v>
      </c>
      <c r="K735" s="18"/>
      <c r="L735" s="18"/>
      <c r="M735" s="22" t="str">
        <f t="shared" si="1"/>
        <v/>
      </c>
      <c r="N735" s="18" t="str">
        <f>IF(A735="",,IF(ROW()=2, Input!$C$2 + I735, P734 + I735))</f>
        <v/>
      </c>
      <c r="O735" s="23" t="str">
        <f>IF(A735="",,
 IF(K735="Initial principal",
   Input!$C$2 * M735,
   N735 * M735
 )
)</f>
        <v/>
      </c>
      <c r="P735" s="18" t="str">
        <f t="shared" si="2"/>
        <v/>
      </c>
      <c r="Q735" s="18" t="str">
        <f t="shared" si="3"/>
        <v/>
      </c>
      <c r="R735" s="18" t="str">
        <f t="array" ref="R735">IF(
  B735="",
  ,
  SWITCH(
    Input!$C$4,
    "Actual/365 Fixed",
      YEARFRAC(
        B735 + IF(INDEX(Input!$K$7:$K1503,ROW()-1),0,1),
        C735 + IF(INDEX(Input!$L$7:$L1503,ROW()-1),1,0),
        3
      ),
    "Anniversary/365",
      DATEDIF(
        B735 + IF(INDEX(Input!$K$7:$K1503,ROW()-1),0,1),
        C735 + IF(INDEX(Input!$L$7:$L1503,ROW()-1),1,0),
        "Y"
      )
      +
      (
        (C735 + IF(INDEX(Input!$L$7:$L1503,ROW()-1),1,0))
        -
        EDATE(
          B735 + IF(INDEX(Input!$K$7:$K1503,ROW()-1),0,1),
          12*DATEDIF(
            B735 + IF(INDEX(Input!$K$7:$K1503,ROW()-1),0,1),
            C735 + IF(INDEX(Input!$L$7:$L1503,ROW()-1),1,0),
            "Y"
          )
        )
      ) / 365,
    "Actual/Actual",
      YEARFRAC(
        B735 + IF(INDEX(Input!$K$7:$K1503,ROW()-1),0,1),
        C735 + IF(INDEX(Input!$L$7:$L1503,ROW()-1),1,0),
        1
      ),
      YEARFRAC(
        B735 + IF(INDEX(Input!$K$7:$K1503,ROW()-1),0,1),
        C735 + IF(INDEX(Input!$L$7:$L1503,ROW()-1),1,0),
        3
      )
  )
)</f>
        <v/>
      </c>
      <c r="S735" s="22" t="str">
        <f t="shared" si="4"/>
        <v/>
      </c>
      <c r="T735" s="6" t="str">
        <f t="array" ref="T735">IF(
  B735="",
  ,
  DATEDIF(
    B735 + IF(INDEX(Input!$K$7:$K1503,ROW()-1),0,1),
    C735 + IF(INDEX(Input!$L$7:$L1503,ROW()-1),1,0),
    "Y"
  )
)</f>
        <v/>
      </c>
      <c r="U735" s="6" t="str">
        <f t="array" ref="U735">IF(
  B735="",
  ,
  (C735 + IF(INDEX(Input!$L$7:$L1503,ROW()-1),1,0))
  - EDATE(
      B735 + IF(INDEX(Input!$K$7:$K1503,ROW()-1),0,1),
      12*S735
    )
)</f>
        <v/>
      </c>
      <c r="V735" s="6" t="str">
        <f t="shared" si="5"/>
        <v/>
      </c>
      <c r="W735" s="6" t="str">
        <f t="shared" si="6"/>
        <v/>
      </c>
    </row>
    <row r="736">
      <c r="A736" s="18"/>
      <c r="B736" s="18"/>
      <c r="C736" s="18"/>
      <c r="D736" s="18"/>
      <c r="E736" s="18"/>
      <c r="F736" s="18"/>
      <c r="G736" s="22"/>
      <c r="H736" s="18"/>
      <c r="I736" s="18">
        <v>0.0</v>
      </c>
      <c r="J736" s="18">
        <v>0.0</v>
      </c>
      <c r="K736" s="18"/>
      <c r="L736" s="18"/>
      <c r="M736" s="22" t="str">
        <f t="shared" si="1"/>
        <v/>
      </c>
      <c r="N736" s="18" t="str">
        <f>IF(A736="",,IF(ROW()=2, Input!$C$2 + I736, P735 + I736))</f>
        <v/>
      </c>
      <c r="O736" s="23" t="str">
        <f>IF(A736="",,
 IF(K736="Initial principal",
   Input!$C$2 * M736,
   N736 * M736
 )
)</f>
        <v/>
      </c>
      <c r="P736" s="18" t="str">
        <f t="shared" si="2"/>
        <v/>
      </c>
      <c r="Q736" s="18" t="str">
        <f t="shared" si="3"/>
        <v/>
      </c>
      <c r="R736" s="18" t="str">
        <f t="array" ref="R736">IF(
  B736="",
  ,
  SWITCH(
    Input!$C$4,
    "Actual/365 Fixed",
      YEARFRAC(
        B736 + IF(INDEX(Input!$K$7:$K1503,ROW()-1),0,1),
        C736 + IF(INDEX(Input!$L$7:$L1503,ROW()-1),1,0),
        3
      ),
    "Anniversary/365",
      DATEDIF(
        B736 + IF(INDEX(Input!$K$7:$K1503,ROW()-1),0,1),
        C736 + IF(INDEX(Input!$L$7:$L1503,ROW()-1),1,0),
        "Y"
      )
      +
      (
        (C736 + IF(INDEX(Input!$L$7:$L1503,ROW()-1),1,0))
        -
        EDATE(
          B736 + IF(INDEX(Input!$K$7:$K1503,ROW()-1),0,1),
          12*DATEDIF(
            B736 + IF(INDEX(Input!$K$7:$K1503,ROW()-1),0,1),
            C736 + IF(INDEX(Input!$L$7:$L1503,ROW()-1),1,0),
            "Y"
          )
        )
      ) / 365,
    "Actual/Actual",
      YEARFRAC(
        B736 + IF(INDEX(Input!$K$7:$K1503,ROW()-1),0,1),
        C736 + IF(INDEX(Input!$L$7:$L1503,ROW()-1),1,0),
        1
      ),
      YEARFRAC(
        B736 + IF(INDEX(Input!$K$7:$K1503,ROW()-1),0,1),
        C736 + IF(INDEX(Input!$L$7:$L1503,ROW()-1),1,0),
        3
      )
  )
)</f>
        <v/>
      </c>
      <c r="S736" s="22" t="str">
        <f t="shared" si="4"/>
        <v/>
      </c>
      <c r="T736" s="6" t="str">
        <f t="array" ref="T736">IF(
  B736="",
  ,
  DATEDIF(
    B736 + IF(INDEX(Input!$K$7:$K1503,ROW()-1),0,1),
    C736 + IF(INDEX(Input!$L$7:$L1503,ROW()-1),1,0),
    "Y"
  )
)</f>
        <v/>
      </c>
      <c r="U736" s="6" t="str">
        <f t="array" ref="U736">IF(
  B736="",
  ,
  (C736 + IF(INDEX(Input!$L$7:$L1503,ROW()-1),1,0))
  - EDATE(
      B736 + IF(INDEX(Input!$K$7:$K1503,ROW()-1),0,1),
      12*S736
    )
)</f>
        <v/>
      </c>
      <c r="V736" s="6" t="str">
        <f t="shared" si="5"/>
        <v/>
      </c>
      <c r="W736" s="6" t="str">
        <f t="shared" si="6"/>
        <v/>
      </c>
    </row>
    <row r="737">
      <c r="A737" s="18"/>
      <c r="B737" s="18"/>
      <c r="C737" s="18"/>
      <c r="D737" s="18"/>
      <c r="E737" s="18"/>
      <c r="F737" s="18"/>
      <c r="G737" s="22"/>
      <c r="H737" s="18"/>
      <c r="I737" s="18">
        <v>0.0</v>
      </c>
      <c r="J737" s="18">
        <v>0.0</v>
      </c>
      <c r="K737" s="18"/>
      <c r="L737" s="18"/>
      <c r="M737" s="22" t="str">
        <f t="shared" si="1"/>
        <v/>
      </c>
      <c r="N737" s="18" t="str">
        <f>IF(A737="",,IF(ROW()=2, Input!$C$2 + I737, P736 + I737))</f>
        <v/>
      </c>
      <c r="O737" s="23" t="str">
        <f>IF(A737="",,
 IF(K737="Initial principal",
   Input!$C$2 * M737,
   N737 * M737
 )
)</f>
        <v/>
      </c>
      <c r="P737" s="18" t="str">
        <f t="shared" si="2"/>
        <v/>
      </c>
      <c r="Q737" s="18" t="str">
        <f t="shared" si="3"/>
        <v/>
      </c>
      <c r="R737" s="18" t="str">
        <f t="array" ref="R737">IF(
  B737="",
  ,
  SWITCH(
    Input!$C$4,
    "Actual/365 Fixed",
      YEARFRAC(
        B737 + IF(INDEX(Input!$K$7:$K1503,ROW()-1),0,1),
        C737 + IF(INDEX(Input!$L$7:$L1503,ROW()-1),1,0),
        3
      ),
    "Anniversary/365",
      DATEDIF(
        B737 + IF(INDEX(Input!$K$7:$K1503,ROW()-1),0,1),
        C737 + IF(INDEX(Input!$L$7:$L1503,ROW()-1),1,0),
        "Y"
      )
      +
      (
        (C737 + IF(INDEX(Input!$L$7:$L1503,ROW()-1),1,0))
        -
        EDATE(
          B737 + IF(INDEX(Input!$K$7:$K1503,ROW()-1),0,1),
          12*DATEDIF(
            B737 + IF(INDEX(Input!$K$7:$K1503,ROW()-1),0,1),
            C737 + IF(INDEX(Input!$L$7:$L1503,ROW()-1),1,0),
            "Y"
          )
        )
      ) / 365,
    "Actual/Actual",
      YEARFRAC(
        B737 + IF(INDEX(Input!$K$7:$K1503,ROW()-1),0,1),
        C737 + IF(INDEX(Input!$L$7:$L1503,ROW()-1),1,0),
        1
      ),
      YEARFRAC(
        B737 + IF(INDEX(Input!$K$7:$K1503,ROW()-1),0,1),
        C737 + IF(INDEX(Input!$L$7:$L1503,ROW()-1),1,0),
        3
      )
  )
)</f>
        <v/>
      </c>
      <c r="S737" s="22" t="str">
        <f t="shared" si="4"/>
        <v/>
      </c>
      <c r="T737" s="6" t="str">
        <f t="array" ref="T737">IF(
  B737="",
  ,
  DATEDIF(
    B737 + IF(INDEX(Input!$K$7:$K1503,ROW()-1),0,1),
    C737 + IF(INDEX(Input!$L$7:$L1503,ROW()-1),1,0),
    "Y"
  )
)</f>
        <v/>
      </c>
      <c r="U737" s="6" t="str">
        <f t="array" ref="U737">IF(
  B737="",
  ,
  (C737 + IF(INDEX(Input!$L$7:$L1503,ROW()-1),1,0))
  - EDATE(
      B737 + IF(INDEX(Input!$K$7:$K1503,ROW()-1),0,1),
      12*S737
    )
)</f>
        <v/>
      </c>
      <c r="V737" s="6" t="str">
        <f t="shared" si="5"/>
        <v/>
      </c>
      <c r="W737" s="6" t="str">
        <f t="shared" si="6"/>
        <v/>
      </c>
    </row>
    <row r="738">
      <c r="A738" s="18"/>
      <c r="B738" s="18"/>
      <c r="C738" s="18"/>
      <c r="D738" s="18"/>
      <c r="E738" s="18"/>
      <c r="F738" s="18"/>
      <c r="G738" s="22"/>
      <c r="H738" s="18"/>
      <c r="I738" s="18">
        <v>0.0</v>
      </c>
      <c r="J738" s="18">
        <v>0.0</v>
      </c>
      <c r="K738" s="18"/>
      <c r="L738" s="18"/>
      <c r="M738" s="22" t="str">
        <f t="shared" si="1"/>
        <v/>
      </c>
      <c r="N738" s="18" t="str">
        <f>IF(A738="",,IF(ROW()=2, Input!$C$2 + I738, P737 + I738))</f>
        <v/>
      </c>
      <c r="O738" s="23" t="str">
        <f>IF(A738="",,
 IF(K738="Initial principal",
   Input!$C$2 * M738,
   N738 * M738
 )
)</f>
        <v/>
      </c>
      <c r="P738" s="18" t="str">
        <f t="shared" si="2"/>
        <v/>
      </c>
      <c r="Q738" s="18" t="str">
        <f t="shared" si="3"/>
        <v/>
      </c>
      <c r="R738" s="18" t="str">
        <f t="array" ref="R738">IF(
  B738="",
  ,
  SWITCH(
    Input!$C$4,
    "Actual/365 Fixed",
      YEARFRAC(
        B738 + IF(INDEX(Input!$K$7:$K1503,ROW()-1),0,1),
        C738 + IF(INDEX(Input!$L$7:$L1503,ROW()-1),1,0),
        3
      ),
    "Anniversary/365",
      DATEDIF(
        B738 + IF(INDEX(Input!$K$7:$K1503,ROW()-1),0,1),
        C738 + IF(INDEX(Input!$L$7:$L1503,ROW()-1),1,0),
        "Y"
      )
      +
      (
        (C738 + IF(INDEX(Input!$L$7:$L1503,ROW()-1),1,0))
        -
        EDATE(
          B738 + IF(INDEX(Input!$K$7:$K1503,ROW()-1),0,1),
          12*DATEDIF(
            B738 + IF(INDEX(Input!$K$7:$K1503,ROW()-1),0,1),
            C738 + IF(INDEX(Input!$L$7:$L1503,ROW()-1),1,0),
            "Y"
          )
        )
      ) / 365,
    "Actual/Actual",
      YEARFRAC(
        B738 + IF(INDEX(Input!$K$7:$K1503,ROW()-1),0,1),
        C738 + IF(INDEX(Input!$L$7:$L1503,ROW()-1),1,0),
        1
      ),
      YEARFRAC(
        B738 + IF(INDEX(Input!$K$7:$K1503,ROW()-1),0,1),
        C738 + IF(INDEX(Input!$L$7:$L1503,ROW()-1),1,0),
        3
      )
  )
)</f>
        <v/>
      </c>
      <c r="S738" s="22" t="str">
        <f t="shared" si="4"/>
        <v/>
      </c>
      <c r="T738" s="6" t="str">
        <f t="array" ref="T738">IF(
  B738="",
  ,
  DATEDIF(
    B738 + IF(INDEX(Input!$K$7:$K1503,ROW()-1),0,1),
    C738 + IF(INDEX(Input!$L$7:$L1503,ROW()-1),1,0),
    "Y"
  )
)</f>
        <v/>
      </c>
      <c r="U738" s="6" t="str">
        <f t="array" ref="U738">IF(
  B738="",
  ,
  (C738 + IF(INDEX(Input!$L$7:$L1503,ROW()-1),1,0))
  - EDATE(
      B738 + IF(INDEX(Input!$K$7:$K1503,ROW()-1),0,1),
      12*S738
    )
)</f>
        <v/>
      </c>
      <c r="V738" s="6" t="str">
        <f t="shared" si="5"/>
        <v/>
      </c>
      <c r="W738" s="6" t="str">
        <f t="shared" si="6"/>
        <v/>
      </c>
    </row>
    <row r="739">
      <c r="A739" s="18"/>
      <c r="B739" s="18"/>
      <c r="C739" s="18"/>
      <c r="D739" s="18"/>
      <c r="E739" s="18"/>
      <c r="F739" s="18"/>
      <c r="G739" s="22"/>
      <c r="H739" s="18"/>
      <c r="I739" s="18">
        <v>0.0</v>
      </c>
      <c r="J739" s="18">
        <v>0.0</v>
      </c>
      <c r="K739" s="18"/>
      <c r="L739" s="18"/>
      <c r="M739" s="22" t="str">
        <f t="shared" si="1"/>
        <v/>
      </c>
      <c r="N739" s="18" t="str">
        <f>IF(A739="",,IF(ROW()=2, Input!$C$2 + I739, P738 + I739))</f>
        <v/>
      </c>
      <c r="O739" s="23" t="str">
        <f>IF(A739="",,
 IF(K739="Initial principal",
   Input!$C$2 * M739,
   N739 * M739
 )
)</f>
        <v/>
      </c>
      <c r="P739" s="18" t="str">
        <f t="shared" si="2"/>
        <v/>
      </c>
      <c r="Q739" s="18" t="str">
        <f t="shared" si="3"/>
        <v/>
      </c>
      <c r="R739" s="18" t="str">
        <f t="array" ref="R739">IF(
  B739="",
  ,
  SWITCH(
    Input!$C$4,
    "Actual/365 Fixed",
      YEARFRAC(
        B739 + IF(INDEX(Input!$K$7:$K1503,ROW()-1),0,1),
        C739 + IF(INDEX(Input!$L$7:$L1503,ROW()-1),1,0),
        3
      ),
    "Anniversary/365",
      DATEDIF(
        B739 + IF(INDEX(Input!$K$7:$K1503,ROW()-1),0,1),
        C739 + IF(INDEX(Input!$L$7:$L1503,ROW()-1),1,0),
        "Y"
      )
      +
      (
        (C739 + IF(INDEX(Input!$L$7:$L1503,ROW()-1),1,0))
        -
        EDATE(
          B739 + IF(INDEX(Input!$K$7:$K1503,ROW()-1),0,1),
          12*DATEDIF(
            B739 + IF(INDEX(Input!$K$7:$K1503,ROW()-1),0,1),
            C739 + IF(INDEX(Input!$L$7:$L1503,ROW()-1),1,0),
            "Y"
          )
        )
      ) / 365,
    "Actual/Actual",
      YEARFRAC(
        B739 + IF(INDEX(Input!$K$7:$K1503,ROW()-1),0,1),
        C739 + IF(INDEX(Input!$L$7:$L1503,ROW()-1),1,0),
        1
      ),
      YEARFRAC(
        B739 + IF(INDEX(Input!$K$7:$K1503,ROW()-1),0,1),
        C739 + IF(INDEX(Input!$L$7:$L1503,ROW()-1),1,0),
        3
      )
  )
)</f>
        <v/>
      </c>
      <c r="S739" s="22" t="str">
        <f t="shared" si="4"/>
        <v/>
      </c>
      <c r="T739" s="6" t="str">
        <f t="array" ref="T739">IF(
  B739="",
  ,
  DATEDIF(
    B739 + IF(INDEX(Input!$K$7:$K1503,ROW()-1),0,1),
    C739 + IF(INDEX(Input!$L$7:$L1503,ROW()-1),1,0),
    "Y"
  )
)</f>
        <v/>
      </c>
      <c r="U739" s="6" t="str">
        <f t="array" ref="U739">IF(
  B739="",
  ,
  (C739 + IF(INDEX(Input!$L$7:$L1503,ROW()-1),1,0))
  - EDATE(
      B739 + IF(INDEX(Input!$K$7:$K1503,ROW()-1),0,1),
      12*S739
    )
)</f>
        <v/>
      </c>
      <c r="V739" s="6" t="str">
        <f t="shared" si="5"/>
        <v/>
      </c>
      <c r="W739" s="6" t="str">
        <f t="shared" si="6"/>
        <v/>
      </c>
    </row>
    <row r="740">
      <c r="A740" s="18"/>
      <c r="B740" s="18"/>
      <c r="C740" s="18"/>
      <c r="D740" s="18"/>
      <c r="E740" s="18"/>
      <c r="F740" s="18"/>
      <c r="G740" s="22"/>
      <c r="H740" s="18"/>
      <c r="I740" s="18">
        <v>0.0</v>
      </c>
      <c r="J740" s="18">
        <v>0.0</v>
      </c>
      <c r="K740" s="18"/>
      <c r="L740" s="18"/>
      <c r="M740" s="22" t="str">
        <f t="shared" si="1"/>
        <v/>
      </c>
      <c r="N740" s="18" t="str">
        <f>IF(A740="",,IF(ROW()=2, Input!$C$2 + I740, P739 + I740))</f>
        <v/>
      </c>
      <c r="O740" s="23" t="str">
        <f>IF(A740="",,
 IF(K740="Initial principal",
   Input!$C$2 * M740,
   N740 * M740
 )
)</f>
        <v/>
      </c>
      <c r="P740" s="18" t="str">
        <f t="shared" si="2"/>
        <v/>
      </c>
      <c r="Q740" s="18" t="str">
        <f t="shared" si="3"/>
        <v/>
      </c>
      <c r="R740" s="18" t="str">
        <f t="array" ref="R740">IF(
  B740="",
  ,
  SWITCH(
    Input!$C$4,
    "Actual/365 Fixed",
      YEARFRAC(
        B740 + IF(INDEX(Input!$K$7:$K1503,ROW()-1),0,1),
        C740 + IF(INDEX(Input!$L$7:$L1503,ROW()-1),1,0),
        3
      ),
    "Anniversary/365",
      DATEDIF(
        B740 + IF(INDEX(Input!$K$7:$K1503,ROW()-1),0,1),
        C740 + IF(INDEX(Input!$L$7:$L1503,ROW()-1),1,0),
        "Y"
      )
      +
      (
        (C740 + IF(INDEX(Input!$L$7:$L1503,ROW()-1),1,0))
        -
        EDATE(
          B740 + IF(INDEX(Input!$K$7:$K1503,ROW()-1),0,1),
          12*DATEDIF(
            B740 + IF(INDEX(Input!$K$7:$K1503,ROW()-1),0,1),
            C740 + IF(INDEX(Input!$L$7:$L1503,ROW()-1),1,0),
            "Y"
          )
        )
      ) / 365,
    "Actual/Actual",
      YEARFRAC(
        B740 + IF(INDEX(Input!$K$7:$K1503,ROW()-1),0,1),
        C740 + IF(INDEX(Input!$L$7:$L1503,ROW()-1),1,0),
        1
      ),
      YEARFRAC(
        B740 + IF(INDEX(Input!$K$7:$K1503,ROW()-1),0,1),
        C740 + IF(INDEX(Input!$L$7:$L1503,ROW()-1),1,0),
        3
      )
  )
)</f>
        <v/>
      </c>
      <c r="S740" s="22" t="str">
        <f t="shared" si="4"/>
        <v/>
      </c>
      <c r="T740" s="6" t="str">
        <f t="array" ref="T740">IF(
  B740="",
  ,
  DATEDIF(
    B740 + IF(INDEX(Input!$K$7:$K1503,ROW()-1),0,1),
    C740 + IF(INDEX(Input!$L$7:$L1503,ROW()-1),1,0),
    "Y"
  )
)</f>
        <v/>
      </c>
      <c r="U740" s="6" t="str">
        <f t="array" ref="U740">IF(
  B740="",
  ,
  (C740 + IF(INDEX(Input!$L$7:$L1503,ROW()-1),1,0))
  - EDATE(
      B740 + IF(INDEX(Input!$K$7:$K1503,ROW()-1),0,1),
      12*S740
    )
)</f>
        <v/>
      </c>
      <c r="V740" s="6" t="str">
        <f t="shared" si="5"/>
        <v/>
      </c>
      <c r="W740" s="6" t="str">
        <f t="shared" si="6"/>
        <v/>
      </c>
    </row>
    <row r="741">
      <c r="A741" s="18"/>
      <c r="B741" s="18"/>
      <c r="C741" s="18"/>
      <c r="D741" s="18"/>
      <c r="E741" s="18"/>
      <c r="F741" s="18"/>
      <c r="G741" s="22"/>
      <c r="H741" s="18"/>
      <c r="I741" s="18">
        <v>0.0</v>
      </c>
      <c r="J741" s="18">
        <v>0.0</v>
      </c>
      <c r="K741" s="18"/>
      <c r="L741" s="18"/>
      <c r="M741" s="22" t="str">
        <f t="shared" si="1"/>
        <v/>
      </c>
      <c r="N741" s="18" t="str">
        <f>IF(A741="",,IF(ROW()=2, Input!$C$2 + I741, P740 + I741))</f>
        <v/>
      </c>
      <c r="O741" s="23" t="str">
        <f>IF(A741="",,
 IF(K741="Initial principal",
   Input!$C$2 * M741,
   N741 * M741
 )
)</f>
        <v/>
      </c>
      <c r="P741" s="18" t="str">
        <f t="shared" si="2"/>
        <v/>
      </c>
      <c r="Q741" s="18" t="str">
        <f t="shared" si="3"/>
        <v/>
      </c>
      <c r="R741" s="18" t="str">
        <f t="array" ref="R741">IF(
  B741="",
  ,
  SWITCH(
    Input!$C$4,
    "Actual/365 Fixed",
      YEARFRAC(
        B741 + IF(INDEX(Input!$K$7:$K1503,ROW()-1),0,1),
        C741 + IF(INDEX(Input!$L$7:$L1503,ROW()-1),1,0),
        3
      ),
    "Anniversary/365",
      DATEDIF(
        B741 + IF(INDEX(Input!$K$7:$K1503,ROW()-1),0,1),
        C741 + IF(INDEX(Input!$L$7:$L1503,ROW()-1),1,0),
        "Y"
      )
      +
      (
        (C741 + IF(INDEX(Input!$L$7:$L1503,ROW()-1),1,0))
        -
        EDATE(
          B741 + IF(INDEX(Input!$K$7:$K1503,ROW()-1),0,1),
          12*DATEDIF(
            B741 + IF(INDEX(Input!$K$7:$K1503,ROW()-1),0,1),
            C741 + IF(INDEX(Input!$L$7:$L1503,ROW()-1),1,0),
            "Y"
          )
        )
      ) / 365,
    "Actual/Actual",
      YEARFRAC(
        B741 + IF(INDEX(Input!$K$7:$K1503,ROW()-1),0,1),
        C741 + IF(INDEX(Input!$L$7:$L1503,ROW()-1),1,0),
        1
      ),
      YEARFRAC(
        B741 + IF(INDEX(Input!$K$7:$K1503,ROW()-1),0,1),
        C741 + IF(INDEX(Input!$L$7:$L1503,ROW()-1),1,0),
        3
      )
  )
)</f>
        <v/>
      </c>
      <c r="S741" s="22" t="str">
        <f t="shared" si="4"/>
        <v/>
      </c>
      <c r="T741" s="6" t="str">
        <f t="array" ref="T741">IF(
  B741="",
  ,
  DATEDIF(
    B741 + IF(INDEX(Input!$K$7:$K1503,ROW()-1),0,1),
    C741 + IF(INDEX(Input!$L$7:$L1503,ROW()-1),1,0),
    "Y"
  )
)</f>
        <v/>
      </c>
      <c r="U741" s="6" t="str">
        <f t="array" ref="U741">IF(
  B741="",
  ,
  (C741 + IF(INDEX(Input!$L$7:$L1503,ROW()-1),1,0))
  - EDATE(
      B741 + IF(INDEX(Input!$K$7:$K1503,ROW()-1),0,1),
      12*S741
    )
)</f>
        <v/>
      </c>
      <c r="V741" s="6" t="str">
        <f t="shared" si="5"/>
        <v/>
      </c>
      <c r="W741" s="6" t="str">
        <f t="shared" si="6"/>
        <v/>
      </c>
    </row>
    <row r="742">
      <c r="A742" s="18"/>
      <c r="B742" s="18"/>
      <c r="C742" s="18"/>
      <c r="D742" s="18"/>
      <c r="E742" s="18"/>
      <c r="F742" s="18"/>
      <c r="G742" s="22"/>
      <c r="H742" s="18"/>
      <c r="I742" s="18">
        <v>0.0</v>
      </c>
      <c r="J742" s="18">
        <v>0.0</v>
      </c>
      <c r="K742" s="18"/>
      <c r="L742" s="18"/>
      <c r="M742" s="22" t="str">
        <f t="shared" si="1"/>
        <v/>
      </c>
      <c r="N742" s="18" t="str">
        <f>IF(A742="",,IF(ROW()=2, Input!$C$2 + I742, P741 + I742))</f>
        <v/>
      </c>
      <c r="O742" s="23" t="str">
        <f>IF(A742="",,
 IF(K742="Initial principal",
   Input!$C$2 * M742,
   N742 * M742
 )
)</f>
        <v/>
      </c>
      <c r="P742" s="18" t="str">
        <f t="shared" si="2"/>
        <v/>
      </c>
      <c r="Q742" s="18" t="str">
        <f t="shared" si="3"/>
        <v/>
      </c>
      <c r="R742" s="18" t="str">
        <f t="array" ref="R742">IF(
  B742="",
  ,
  SWITCH(
    Input!$C$4,
    "Actual/365 Fixed",
      YEARFRAC(
        B742 + IF(INDEX(Input!$K$7:$K1503,ROW()-1),0,1),
        C742 + IF(INDEX(Input!$L$7:$L1503,ROW()-1),1,0),
        3
      ),
    "Anniversary/365",
      DATEDIF(
        B742 + IF(INDEX(Input!$K$7:$K1503,ROW()-1),0,1),
        C742 + IF(INDEX(Input!$L$7:$L1503,ROW()-1),1,0),
        "Y"
      )
      +
      (
        (C742 + IF(INDEX(Input!$L$7:$L1503,ROW()-1),1,0))
        -
        EDATE(
          B742 + IF(INDEX(Input!$K$7:$K1503,ROW()-1),0,1),
          12*DATEDIF(
            B742 + IF(INDEX(Input!$K$7:$K1503,ROW()-1),0,1),
            C742 + IF(INDEX(Input!$L$7:$L1503,ROW()-1),1,0),
            "Y"
          )
        )
      ) / 365,
    "Actual/Actual",
      YEARFRAC(
        B742 + IF(INDEX(Input!$K$7:$K1503,ROW()-1),0,1),
        C742 + IF(INDEX(Input!$L$7:$L1503,ROW()-1),1,0),
        1
      ),
      YEARFRAC(
        B742 + IF(INDEX(Input!$K$7:$K1503,ROW()-1),0,1),
        C742 + IF(INDEX(Input!$L$7:$L1503,ROW()-1),1,0),
        3
      )
  )
)</f>
        <v/>
      </c>
      <c r="S742" s="22" t="str">
        <f t="shared" si="4"/>
        <v/>
      </c>
      <c r="T742" s="6" t="str">
        <f t="array" ref="T742">IF(
  B742="",
  ,
  DATEDIF(
    B742 + IF(INDEX(Input!$K$7:$K1503,ROW()-1),0,1),
    C742 + IF(INDEX(Input!$L$7:$L1503,ROW()-1),1,0),
    "Y"
  )
)</f>
        <v/>
      </c>
      <c r="U742" s="6" t="str">
        <f t="array" ref="U742">IF(
  B742="",
  ,
  (C742 + IF(INDEX(Input!$L$7:$L1503,ROW()-1),1,0))
  - EDATE(
      B742 + IF(INDEX(Input!$K$7:$K1503,ROW()-1),0,1),
      12*S742
    )
)</f>
        <v/>
      </c>
      <c r="V742" s="6" t="str">
        <f t="shared" si="5"/>
        <v/>
      </c>
      <c r="W742" s="6" t="str">
        <f t="shared" si="6"/>
        <v/>
      </c>
    </row>
    <row r="743">
      <c r="A743" s="18"/>
      <c r="B743" s="18"/>
      <c r="C743" s="18"/>
      <c r="D743" s="18"/>
      <c r="E743" s="18"/>
      <c r="F743" s="18"/>
      <c r="G743" s="22"/>
      <c r="H743" s="18"/>
      <c r="I743" s="18">
        <v>0.0</v>
      </c>
      <c r="J743" s="18">
        <v>0.0</v>
      </c>
      <c r="K743" s="18"/>
      <c r="L743" s="18"/>
      <c r="M743" s="22" t="str">
        <f t="shared" si="1"/>
        <v/>
      </c>
      <c r="N743" s="18" t="str">
        <f>IF(A743="",,IF(ROW()=2, Input!$C$2 + I743, P742 + I743))</f>
        <v/>
      </c>
      <c r="O743" s="23" t="str">
        <f>IF(A743="",,
 IF(K743="Initial principal",
   Input!$C$2 * M743,
   N743 * M743
 )
)</f>
        <v/>
      </c>
      <c r="P743" s="18" t="str">
        <f t="shared" si="2"/>
        <v/>
      </c>
      <c r="Q743" s="18" t="str">
        <f t="shared" si="3"/>
        <v/>
      </c>
      <c r="R743" s="18" t="str">
        <f t="array" ref="R743">IF(
  B743="",
  ,
  SWITCH(
    Input!$C$4,
    "Actual/365 Fixed",
      YEARFRAC(
        B743 + IF(INDEX(Input!$K$7:$K1503,ROW()-1),0,1),
        C743 + IF(INDEX(Input!$L$7:$L1503,ROW()-1),1,0),
        3
      ),
    "Anniversary/365",
      DATEDIF(
        B743 + IF(INDEX(Input!$K$7:$K1503,ROW()-1),0,1),
        C743 + IF(INDEX(Input!$L$7:$L1503,ROW()-1),1,0),
        "Y"
      )
      +
      (
        (C743 + IF(INDEX(Input!$L$7:$L1503,ROW()-1),1,0))
        -
        EDATE(
          B743 + IF(INDEX(Input!$K$7:$K1503,ROW()-1),0,1),
          12*DATEDIF(
            B743 + IF(INDEX(Input!$K$7:$K1503,ROW()-1),0,1),
            C743 + IF(INDEX(Input!$L$7:$L1503,ROW()-1),1,0),
            "Y"
          )
        )
      ) / 365,
    "Actual/Actual",
      YEARFRAC(
        B743 + IF(INDEX(Input!$K$7:$K1503,ROW()-1),0,1),
        C743 + IF(INDEX(Input!$L$7:$L1503,ROW()-1),1,0),
        1
      ),
      YEARFRAC(
        B743 + IF(INDEX(Input!$K$7:$K1503,ROW()-1),0,1),
        C743 + IF(INDEX(Input!$L$7:$L1503,ROW()-1),1,0),
        3
      )
  )
)</f>
        <v/>
      </c>
      <c r="S743" s="22" t="str">
        <f t="shared" si="4"/>
        <v/>
      </c>
      <c r="T743" s="6" t="str">
        <f t="array" ref="T743">IF(
  B743="",
  ,
  DATEDIF(
    B743 + IF(INDEX(Input!$K$7:$K1503,ROW()-1),0,1),
    C743 + IF(INDEX(Input!$L$7:$L1503,ROW()-1),1,0),
    "Y"
  )
)</f>
        <v/>
      </c>
      <c r="U743" s="6" t="str">
        <f t="array" ref="U743">IF(
  B743="",
  ,
  (C743 + IF(INDEX(Input!$L$7:$L1503,ROW()-1),1,0))
  - EDATE(
      B743 + IF(INDEX(Input!$K$7:$K1503,ROW()-1),0,1),
      12*S743
    )
)</f>
        <v/>
      </c>
      <c r="V743" s="6" t="str">
        <f t="shared" si="5"/>
        <v/>
      </c>
      <c r="W743" s="6" t="str">
        <f t="shared" si="6"/>
        <v/>
      </c>
    </row>
    <row r="744">
      <c r="A744" s="18"/>
      <c r="B744" s="18"/>
      <c r="C744" s="18"/>
      <c r="D744" s="18"/>
      <c r="E744" s="18"/>
      <c r="F744" s="18"/>
      <c r="G744" s="22"/>
      <c r="H744" s="18"/>
      <c r="I744" s="18">
        <v>0.0</v>
      </c>
      <c r="J744" s="18">
        <v>0.0</v>
      </c>
      <c r="K744" s="18"/>
      <c r="L744" s="18"/>
      <c r="M744" s="22" t="str">
        <f t="shared" si="1"/>
        <v/>
      </c>
      <c r="N744" s="18" t="str">
        <f>IF(A744="",,IF(ROW()=2, Input!$C$2 + I744, P743 + I744))</f>
        <v/>
      </c>
      <c r="O744" s="23" t="str">
        <f>IF(A744="",,
 IF(K744="Initial principal",
   Input!$C$2 * M744,
   N744 * M744
 )
)</f>
        <v/>
      </c>
      <c r="P744" s="18" t="str">
        <f t="shared" si="2"/>
        <v/>
      </c>
      <c r="Q744" s="18" t="str">
        <f t="shared" si="3"/>
        <v/>
      </c>
      <c r="R744" s="18" t="str">
        <f t="array" ref="R744">IF(
  B744="",
  ,
  SWITCH(
    Input!$C$4,
    "Actual/365 Fixed",
      YEARFRAC(
        B744 + IF(INDEX(Input!$K$7:$K1503,ROW()-1),0,1),
        C744 + IF(INDEX(Input!$L$7:$L1503,ROW()-1),1,0),
        3
      ),
    "Anniversary/365",
      DATEDIF(
        B744 + IF(INDEX(Input!$K$7:$K1503,ROW()-1),0,1),
        C744 + IF(INDEX(Input!$L$7:$L1503,ROW()-1),1,0),
        "Y"
      )
      +
      (
        (C744 + IF(INDEX(Input!$L$7:$L1503,ROW()-1),1,0))
        -
        EDATE(
          B744 + IF(INDEX(Input!$K$7:$K1503,ROW()-1),0,1),
          12*DATEDIF(
            B744 + IF(INDEX(Input!$K$7:$K1503,ROW()-1),0,1),
            C744 + IF(INDEX(Input!$L$7:$L1503,ROW()-1),1,0),
            "Y"
          )
        )
      ) / 365,
    "Actual/Actual",
      YEARFRAC(
        B744 + IF(INDEX(Input!$K$7:$K1503,ROW()-1),0,1),
        C744 + IF(INDEX(Input!$L$7:$L1503,ROW()-1),1,0),
        1
      ),
      YEARFRAC(
        B744 + IF(INDEX(Input!$K$7:$K1503,ROW()-1),0,1),
        C744 + IF(INDEX(Input!$L$7:$L1503,ROW()-1),1,0),
        3
      )
  )
)</f>
        <v/>
      </c>
      <c r="S744" s="22" t="str">
        <f t="shared" si="4"/>
        <v/>
      </c>
      <c r="T744" s="6" t="str">
        <f t="array" ref="T744">IF(
  B744="",
  ,
  DATEDIF(
    B744 + IF(INDEX(Input!$K$7:$K1503,ROW()-1),0,1),
    C744 + IF(INDEX(Input!$L$7:$L1503,ROW()-1),1,0),
    "Y"
  )
)</f>
        <v/>
      </c>
      <c r="U744" s="6" t="str">
        <f t="array" ref="U744">IF(
  B744="",
  ,
  (C744 + IF(INDEX(Input!$L$7:$L1503,ROW()-1),1,0))
  - EDATE(
      B744 + IF(INDEX(Input!$K$7:$K1503,ROW()-1),0,1),
      12*S744
    )
)</f>
        <v/>
      </c>
      <c r="V744" s="6" t="str">
        <f t="shared" si="5"/>
        <v/>
      </c>
      <c r="W744" s="6" t="str">
        <f t="shared" si="6"/>
        <v/>
      </c>
    </row>
    <row r="745">
      <c r="A745" s="18"/>
      <c r="B745" s="18"/>
      <c r="C745" s="18"/>
      <c r="D745" s="18"/>
      <c r="E745" s="18"/>
      <c r="F745" s="18"/>
      <c r="G745" s="22"/>
      <c r="H745" s="18"/>
      <c r="I745" s="18">
        <v>0.0</v>
      </c>
      <c r="J745" s="18">
        <v>0.0</v>
      </c>
      <c r="K745" s="18"/>
      <c r="L745" s="18"/>
      <c r="M745" s="22" t="str">
        <f t="shared" si="1"/>
        <v/>
      </c>
      <c r="N745" s="18" t="str">
        <f>IF(A745="",,IF(ROW()=2, Input!$C$2 + I745, P744 + I745))</f>
        <v/>
      </c>
      <c r="O745" s="23" t="str">
        <f>IF(A745="",,
 IF(K745="Initial principal",
   Input!$C$2 * M745,
   N745 * M745
 )
)</f>
        <v/>
      </c>
      <c r="P745" s="18" t="str">
        <f t="shared" si="2"/>
        <v/>
      </c>
      <c r="Q745" s="18" t="str">
        <f t="shared" si="3"/>
        <v/>
      </c>
      <c r="R745" s="18" t="str">
        <f t="array" ref="R745">IF(
  B745="",
  ,
  SWITCH(
    Input!$C$4,
    "Actual/365 Fixed",
      YEARFRAC(
        B745 + IF(INDEX(Input!$K$7:$K1503,ROW()-1),0,1),
        C745 + IF(INDEX(Input!$L$7:$L1503,ROW()-1),1,0),
        3
      ),
    "Anniversary/365",
      DATEDIF(
        B745 + IF(INDEX(Input!$K$7:$K1503,ROW()-1),0,1),
        C745 + IF(INDEX(Input!$L$7:$L1503,ROW()-1),1,0),
        "Y"
      )
      +
      (
        (C745 + IF(INDEX(Input!$L$7:$L1503,ROW()-1),1,0))
        -
        EDATE(
          B745 + IF(INDEX(Input!$K$7:$K1503,ROW()-1),0,1),
          12*DATEDIF(
            B745 + IF(INDEX(Input!$K$7:$K1503,ROW()-1),0,1),
            C745 + IF(INDEX(Input!$L$7:$L1503,ROW()-1),1,0),
            "Y"
          )
        )
      ) / 365,
    "Actual/Actual",
      YEARFRAC(
        B745 + IF(INDEX(Input!$K$7:$K1503,ROW()-1),0,1),
        C745 + IF(INDEX(Input!$L$7:$L1503,ROW()-1),1,0),
        1
      ),
      YEARFRAC(
        B745 + IF(INDEX(Input!$K$7:$K1503,ROW()-1),0,1),
        C745 + IF(INDEX(Input!$L$7:$L1503,ROW()-1),1,0),
        3
      )
  )
)</f>
        <v/>
      </c>
      <c r="S745" s="22" t="str">
        <f t="shared" si="4"/>
        <v/>
      </c>
      <c r="T745" s="6" t="str">
        <f t="array" ref="T745">IF(
  B745="",
  ,
  DATEDIF(
    B745 + IF(INDEX(Input!$K$7:$K1503,ROW()-1),0,1),
    C745 + IF(INDEX(Input!$L$7:$L1503,ROW()-1),1,0),
    "Y"
  )
)</f>
        <v/>
      </c>
      <c r="U745" s="6" t="str">
        <f t="array" ref="U745">IF(
  B745="",
  ,
  (C745 + IF(INDEX(Input!$L$7:$L1503,ROW()-1),1,0))
  - EDATE(
      B745 + IF(INDEX(Input!$K$7:$K1503,ROW()-1),0,1),
      12*S745
    )
)</f>
        <v/>
      </c>
      <c r="V745" s="6" t="str">
        <f t="shared" si="5"/>
        <v/>
      </c>
      <c r="W745" s="6" t="str">
        <f t="shared" si="6"/>
        <v/>
      </c>
    </row>
    <row r="746">
      <c r="A746" s="18"/>
      <c r="B746" s="18"/>
      <c r="C746" s="18"/>
      <c r="D746" s="18"/>
      <c r="E746" s="18"/>
      <c r="F746" s="18"/>
      <c r="G746" s="22"/>
      <c r="H746" s="18"/>
      <c r="I746" s="18">
        <v>0.0</v>
      </c>
      <c r="J746" s="18">
        <v>0.0</v>
      </c>
      <c r="K746" s="18"/>
      <c r="L746" s="18"/>
      <c r="M746" s="22" t="str">
        <f t="shared" si="1"/>
        <v/>
      </c>
      <c r="N746" s="18" t="str">
        <f>IF(A746="",,IF(ROW()=2, Input!$C$2 + I746, P745 + I746))</f>
        <v/>
      </c>
      <c r="O746" s="23" t="str">
        <f>IF(A746="",,
 IF(K746="Initial principal",
   Input!$C$2 * M746,
   N746 * M746
 )
)</f>
        <v/>
      </c>
      <c r="P746" s="18" t="str">
        <f t="shared" si="2"/>
        <v/>
      </c>
      <c r="Q746" s="18" t="str">
        <f t="shared" si="3"/>
        <v/>
      </c>
      <c r="R746" s="18" t="str">
        <f t="array" ref="R746">IF(
  B746="",
  ,
  SWITCH(
    Input!$C$4,
    "Actual/365 Fixed",
      YEARFRAC(
        B746 + IF(INDEX(Input!$K$7:$K1503,ROW()-1),0,1),
        C746 + IF(INDEX(Input!$L$7:$L1503,ROW()-1),1,0),
        3
      ),
    "Anniversary/365",
      DATEDIF(
        B746 + IF(INDEX(Input!$K$7:$K1503,ROW()-1),0,1),
        C746 + IF(INDEX(Input!$L$7:$L1503,ROW()-1),1,0),
        "Y"
      )
      +
      (
        (C746 + IF(INDEX(Input!$L$7:$L1503,ROW()-1),1,0))
        -
        EDATE(
          B746 + IF(INDEX(Input!$K$7:$K1503,ROW()-1),0,1),
          12*DATEDIF(
            B746 + IF(INDEX(Input!$K$7:$K1503,ROW()-1),0,1),
            C746 + IF(INDEX(Input!$L$7:$L1503,ROW()-1),1,0),
            "Y"
          )
        )
      ) / 365,
    "Actual/Actual",
      YEARFRAC(
        B746 + IF(INDEX(Input!$K$7:$K1503,ROW()-1),0,1),
        C746 + IF(INDEX(Input!$L$7:$L1503,ROW()-1),1,0),
        1
      ),
      YEARFRAC(
        B746 + IF(INDEX(Input!$K$7:$K1503,ROW()-1),0,1),
        C746 + IF(INDEX(Input!$L$7:$L1503,ROW()-1),1,0),
        3
      )
  )
)</f>
        <v/>
      </c>
      <c r="S746" s="22" t="str">
        <f t="shared" si="4"/>
        <v/>
      </c>
      <c r="T746" s="6" t="str">
        <f t="array" ref="T746">IF(
  B746="",
  ,
  DATEDIF(
    B746 + IF(INDEX(Input!$K$7:$K1503,ROW()-1),0,1),
    C746 + IF(INDEX(Input!$L$7:$L1503,ROW()-1),1,0),
    "Y"
  )
)</f>
        <v/>
      </c>
      <c r="U746" s="6" t="str">
        <f t="array" ref="U746">IF(
  B746="",
  ,
  (C746 + IF(INDEX(Input!$L$7:$L1503,ROW()-1),1,0))
  - EDATE(
      B746 + IF(INDEX(Input!$K$7:$K1503,ROW()-1),0,1),
      12*S746
    )
)</f>
        <v/>
      </c>
      <c r="V746" s="6" t="str">
        <f t="shared" si="5"/>
        <v/>
      </c>
      <c r="W746" s="6" t="str">
        <f t="shared" si="6"/>
        <v/>
      </c>
    </row>
    <row r="747">
      <c r="A747" s="18"/>
      <c r="B747" s="18"/>
      <c r="C747" s="18"/>
      <c r="D747" s="18"/>
      <c r="E747" s="18"/>
      <c r="F747" s="18"/>
      <c r="G747" s="22"/>
      <c r="H747" s="18"/>
      <c r="I747" s="18">
        <v>0.0</v>
      </c>
      <c r="J747" s="18">
        <v>0.0</v>
      </c>
      <c r="K747" s="18"/>
      <c r="L747" s="18"/>
      <c r="M747" s="22" t="str">
        <f t="shared" si="1"/>
        <v/>
      </c>
      <c r="N747" s="18" t="str">
        <f>IF(A747="",,IF(ROW()=2, Input!$C$2 + I747, P746 + I747))</f>
        <v/>
      </c>
      <c r="O747" s="23" t="str">
        <f>IF(A747="",,
 IF(K747="Initial principal",
   Input!$C$2 * M747,
   N747 * M747
 )
)</f>
        <v/>
      </c>
      <c r="P747" s="18" t="str">
        <f t="shared" si="2"/>
        <v/>
      </c>
      <c r="Q747" s="18" t="str">
        <f t="shared" si="3"/>
        <v/>
      </c>
      <c r="R747" s="18" t="str">
        <f t="array" ref="R747">IF(
  B747="",
  ,
  SWITCH(
    Input!$C$4,
    "Actual/365 Fixed",
      YEARFRAC(
        B747 + IF(INDEX(Input!$K$7:$K1503,ROW()-1),0,1),
        C747 + IF(INDEX(Input!$L$7:$L1503,ROW()-1),1,0),
        3
      ),
    "Anniversary/365",
      DATEDIF(
        B747 + IF(INDEX(Input!$K$7:$K1503,ROW()-1),0,1),
        C747 + IF(INDEX(Input!$L$7:$L1503,ROW()-1),1,0),
        "Y"
      )
      +
      (
        (C747 + IF(INDEX(Input!$L$7:$L1503,ROW()-1),1,0))
        -
        EDATE(
          B747 + IF(INDEX(Input!$K$7:$K1503,ROW()-1),0,1),
          12*DATEDIF(
            B747 + IF(INDEX(Input!$K$7:$K1503,ROW()-1),0,1),
            C747 + IF(INDEX(Input!$L$7:$L1503,ROW()-1),1,0),
            "Y"
          )
        )
      ) / 365,
    "Actual/Actual",
      YEARFRAC(
        B747 + IF(INDEX(Input!$K$7:$K1503,ROW()-1),0,1),
        C747 + IF(INDEX(Input!$L$7:$L1503,ROW()-1),1,0),
        1
      ),
      YEARFRAC(
        B747 + IF(INDEX(Input!$K$7:$K1503,ROW()-1),0,1),
        C747 + IF(INDEX(Input!$L$7:$L1503,ROW()-1),1,0),
        3
      )
  )
)</f>
        <v/>
      </c>
      <c r="S747" s="22" t="str">
        <f t="shared" si="4"/>
        <v/>
      </c>
      <c r="T747" s="6" t="str">
        <f t="array" ref="T747">IF(
  B747="",
  ,
  DATEDIF(
    B747 + IF(INDEX(Input!$K$7:$K1503,ROW()-1),0,1),
    C747 + IF(INDEX(Input!$L$7:$L1503,ROW()-1),1,0),
    "Y"
  )
)</f>
        <v/>
      </c>
      <c r="U747" s="6" t="str">
        <f t="array" ref="U747">IF(
  B747="",
  ,
  (C747 + IF(INDEX(Input!$L$7:$L1503,ROW()-1),1,0))
  - EDATE(
      B747 + IF(INDEX(Input!$K$7:$K1503,ROW()-1),0,1),
      12*S747
    )
)</f>
        <v/>
      </c>
      <c r="V747" s="6" t="str">
        <f t="shared" si="5"/>
        <v/>
      </c>
      <c r="W747" s="6" t="str">
        <f t="shared" si="6"/>
        <v/>
      </c>
    </row>
    <row r="748">
      <c r="A748" s="18"/>
      <c r="B748" s="18"/>
      <c r="C748" s="18"/>
      <c r="D748" s="18"/>
      <c r="E748" s="18"/>
      <c r="F748" s="18"/>
      <c r="G748" s="22"/>
      <c r="H748" s="18"/>
      <c r="I748" s="18">
        <v>0.0</v>
      </c>
      <c r="J748" s="18">
        <v>0.0</v>
      </c>
      <c r="K748" s="18"/>
      <c r="L748" s="18"/>
      <c r="M748" s="22" t="str">
        <f t="shared" si="1"/>
        <v/>
      </c>
      <c r="N748" s="18" t="str">
        <f>IF(A748="",,IF(ROW()=2, Input!$C$2 + I748, P747 + I748))</f>
        <v/>
      </c>
      <c r="O748" s="23" t="str">
        <f>IF(A748="",,
 IF(K748="Initial principal",
   Input!$C$2 * M748,
   N748 * M748
 )
)</f>
        <v/>
      </c>
      <c r="P748" s="18" t="str">
        <f t="shared" si="2"/>
        <v/>
      </c>
      <c r="Q748" s="18" t="str">
        <f t="shared" si="3"/>
        <v/>
      </c>
      <c r="R748" s="18" t="str">
        <f t="array" ref="R748">IF(
  B748="",
  ,
  SWITCH(
    Input!$C$4,
    "Actual/365 Fixed",
      YEARFRAC(
        B748 + IF(INDEX(Input!$K$7:$K1503,ROW()-1),0,1),
        C748 + IF(INDEX(Input!$L$7:$L1503,ROW()-1),1,0),
        3
      ),
    "Anniversary/365",
      DATEDIF(
        B748 + IF(INDEX(Input!$K$7:$K1503,ROW()-1),0,1),
        C748 + IF(INDEX(Input!$L$7:$L1503,ROW()-1),1,0),
        "Y"
      )
      +
      (
        (C748 + IF(INDEX(Input!$L$7:$L1503,ROW()-1),1,0))
        -
        EDATE(
          B748 + IF(INDEX(Input!$K$7:$K1503,ROW()-1),0,1),
          12*DATEDIF(
            B748 + IF(INDEX(Input!$K$7:$K1503,ROW()-1),0,1),
            C748 + IF(INDEX(Input!$L$7:$L1503,ROW()-1),1,0),
            "Y"
          )
        )
      ) / 365,
    "Actual/Actual",
      YEARFRAC(
        B748 + IF(INDEX(Input!$K$7:$K1503,ROW()-1),0,1),
        C748 + IF(INDEX(Input!$L$7:$L1503,ROW()-1),1,0),
        1
      ),
      YEARFRAC(
        B748 + IF(INDEX(Input!$K$7:$K1503,ROW()-1),0,1),
        C748 + IF(INDEX(Input!$L$7:$L1503,ROW()-1),1,0),
        3
      )
  )
)</f>
        <v/>
      </c>
      <c r="S748" s="22" t="str">
        <f t="shared" si="4"/>
        <v/>
      </c>
      <c r="T748" s="6" t="str">
        <f t="array" ref="T748">IF(
  B748="",
  ,
  DATEDIF(
    B748 + IF(INDEX(Input!$K$7:$K1503,ROW()-1),0,1),
    C748 + IF(INDEX(Input!$L$7:$L1503,ROW()-1),1,0),
    "Y"
  )
)</f>
        <v/>
      </c>
      <c r="U748" s="6" t="str">
        <f t="array" ref="U748">IF(
  B748="",
  ,
  (C748 + IF(INDEX(Input!$L$7:$L1503,ROW()-1),1,0))
  - EDATE(
      B748 + IF(INDEX(Input!$K$7:$K1503,ROW()-1),0,1),
      12*S748
    )
)</f>
        <v/>
      </c>
      <c r="V748" s="6" t="str">
        <f t="shared" si="5"/>
        <v/>
      </c>
      <c r="W748" s="6" t="str">
        <f t="shared" si="6"/>
        <v/>
      </c>
    </row>
    <row r="749">
      <c r="A749" s="18"/>
      <c r="B749" s="18"/>
      <c r="C749" s="18"/>
      <c r="D749" s="18"/>
      <c r="E749" s="18"/>
      <c r="F749" s="18"/>
      <c r="G749" s="22"/>
      <c r="H749" s="18"/>
      <c r="I749" s="18">
        <v>0.0</v>
      </c>
      <c r="J749" s="18">
        <v>0.0</v>
      </c>
      <c r="K749" s="18"/>
      <c r="L749" s="18"/>
      <c r="M749" s="22" t="str">
        <f t="shared" si="1"/>
        <v/>
      </c>
      <c r="N749" s="18" t="str">
        <f>IF(A749="",,IF(ROW()=2, Input!$C$2 + I749, P748 + I749))</f>
        <v/>
      </c>
      <c r="O749" s="23" t="str">
        <f>IF(A749="",,
 IF(K749="Initial principal",
   Input!$C$2 * M749,
   N749 * M749
 )
)</f>
        <v/>
      </c>
      <c r="P749" s="18" t="str">
        <f t="shared" si="2"/>
        <v/>
      </c>
      <c r="Q749" s="18" t="str">
        <f t="shared" si="3"/>
        <v/>
      </c>
      <c r="R749" s="18" t="str">
        <f t="array" ref="R749">IF(
  B749="",
  ,
  SWITCH(
    Input!$C$4,
    "Actual/365 Fixed",
      YEARFRAC(
        B749 + IF(INDEX(Input!$K$7:$K1503,ROW()-1),0,1),
        C749 + IF(INDEX(Input!$L$7:$L1503,ROW()-1),1,0),
        3
      ),
    "Anniversary/365",
      DATEDIF(
        B749 + IF(INDEX(Input!$K$7:$K1503,ROW()-1),0,1),
        C749 + IF(INDEX(Input!$L$7:$L1503,ROW()-1),1,0),
        "Y"
      )
      +
      (
        (C749 + IF(INDEX(Input!$L$7:$L1503,ROW()-1),1,0))
        -
        EDATE(
          B749 + IF(INDEX(Input!$K$7:$K1503,ROW()-1),0,1),
          12*DATEDIF(
            B749 + IF(INDEX(Input!$K$7:$K1503,ROW()-1),0,1),
            C749 + IF(INDEX(Input!$L$7:$L1503,ROW()-1),1,0),
            "Y"
          )
        )
      ) / 365,
    "Actual/Actual",
      YEARFRAC(
        B749 + IF(INDEX(Input!$K$7:$K1503,ROW()-1),0,1),
        C749 + IF(INDEX(Input!$L$7:$L1503,ROW()-1),1,0),
        1
      ),
      YEARFRAC(
        B749 + IF(INDEX(Input!$K$7:$K1503,ROW()-1),0,1),
        C749 + IF(INDEX(Input!$L$7:$L1503,ROW()-1),1,0),
        3
      )
  )
)</f>
        <v/>
      </c>
      <c r="S749" s="22" t="str">
        <f t="shared" si="4"/>
        <v/>
      </c>
      <c r="T749" s="6" t="str">
        <f t="array" ref="T749">IF(
  B749="",
  ,
  DATEDIF(
    B749 + IF(INDEX(Input!$K$7:$K1503,ROW()-1),0,1),
    C749 + IF(INDEX(Input!$L$7:$L1503,ROW()-1),1,0),
    "Y"
  )
)</f>
        <v/>
      </c>
      <c r="U749" s="6" t="str">
        <f t="array" ref="U749">IF(
  B749="",
  ,
  (C749 + IF(INDEX(Input!$L$7:$L1503,ROW()-1),1,0))
  - EDATE(
      B749 + IF(INDEX(Input!$K$7:$K1503,ROW()-1),0,1),
      12*S749
    )
)</f>
        <v/>
      </c>
      <c r="V749" s="6" t="str">
        <f t="shared" si="5"/>
        <v/>
      </c>
      <c r="W749" s="6" t="str">
        <f t="shared" si="6"/>
        <v/>
      </c>
    </row>
    <row r="750">
      <c r="A750" s="18"/>
      <c r="B750" s="18"/>
      <c r="C750" s="18"/>
      <c r="D750" s="18"/>
      <c r="E750" s="18"/>
      <c r="F750" s="18"/>
      <c r="G750" s="22"/>
      <c r="H750" s="18"/>
      <c r="I750" s="18">
        <v>0.0</v>
      </c>
      <c r="J750" s="18">
        <v>0.0</v>
      </c>
      <c r="K750" s="18"/>
      <c r="L750" s="18"/>
      <c r="M750" s="22" t="str">
        <f t="shared" si="1"/>
        <v/>
      </c>
      <c r="N750" s="18" t="str">
        <f>IF(A750="",,IF(ROW()=2, Input!$C$2 + I750, P749 + I750))</f>
        <v/>
      </c>
      <c r="O750" s="23" t="str">
        <f>IF(A750="",,
 IF(K750="Initial principal",
   Input!$C$2 * M750,
   N750 * M750
 )
)</f>
        <v/>
      </c>
      <c r="P750" s="18" t="str">
        <f t="shared" si="2"/>
        <v/>
      </c>
      <c r="Q750" s="18" t="str">
        <f t="shared" si="3"/>
        <v/>
      </c>
      <c r="R750" s="18" t="str">
        <f t="array" ref="R750">IF(
  B750="",
  ,
  SWITCH(
    Input!$C$4,
    "Actual/365 Fixed",
      YEARFRAC(
        B750 + IF(INDEX(Input!$K$7:$K1503,ROW()-1),0,1),
        C750 + IF(INDEX(Input!$L$7:$L1503,ROW()-1),1,0),
        3
      ),
    "Anniversary/365",
      DATEDIF(
        B750 + IF(INDEX(Input!$K$7:$K1503,ROW()-1),0,1),
        C750 + IF(INDEX(Input!$L$7:$L1503,ROW()-1),1,0),
        "Y"
      )
      +
      (
        (C750 + IF(INDEX(Input!$L$7:$L1503,ROW()-1),1,0))
        -
        EDATE(
          B750 + IF(INDEX(Input!$K$7:$K1503,ROW()-1),0,1),
          12*DATEDIF(
            B750 + IF(INDEX(Input!$K$7:$K1503,ROW()-1),0,1),
            C750 + IF(INDEX(Input!$L$7:$L1503,ROW()-1),1,0),
            "Y"
          )
        )
      ) / 365,
    "Actual/Actual",
      YEARFRAC(
        B750 + IF(INDEX(Input!$K$7:$K1503,ROW()-1),0,1),
        C750 + IF(INDEX(Input!$L$7:$L1503,ROW()-1),1,0),
        1
      ),
      YEARFRAC(
        B750 + IF(INDEX(Input!$K$7:$K1503,ROW()-1),0,1),
        C750 + IF(INDEX(Input!$L$7:$L1503,ROW()-1),1,0),
        3
      )
  )
)</f>
        <v/>
      </c>
      <c r="S750" s="22" t="str">
        <f t="shared" si="4"/>
        <v/>
      </c>
      <c r="T750" s="6" t="str">
        <f t="array" ref="T750">IF(
  B750="",
  ,
  DATEDIF(
    B750 + IF(INDEX(Input!$K$7:$K1503,ROW()-1),0,1),
    C750 + IF(INDEX(Input!$L$7:$L1503,ROW()-1),1,0),
    "Y"
  )
)</f>
        <v/>
      </c>
      <c r="U750" s="6" t="str">
        <f t="array" ref="U750">IF(
  B750="",
  ,
  (C750 + IF(INDEX(Input!$L$7:$L1503,ROW()-1),1,0))
  - EDATE(
      B750 + IF(INDEX(Input!$K$7:$K1503,ROW()-1),0,1),
      12*S750
    )
)</f>
        <v/>
      </c>
      <c r="V750" s="6" t="str">
        <f t="shared" si="5"/>
        <v/>
      </c>
      <c r="W750" s="6" t="str">
        <f t="shared" si="6"/>
        <v/>
      </c>
    </row>
    <row r="751">
      <c r="A751" s="18"/>
      <c r="B751" s="18"/>
      <c r="C751" s="18"/>
      <c r="D751" s="18"/>
      <c r="E751" s="18"/>
      <c r="F751" s="18"/>
      <c r="G751" s="22"/>
      <c r="H751" s="18"/>
      <c r="I751" s="18">
        <v>0.0</v>
      </c>
      <c r="J751" s="18">
        <v>0.0</v>
      </c>
      <c r="K751" s="18"/>
      <c r="L751" s="18"/>
      <c r="M751" s="22" t="str">
        <f t="shared" si="1"/>
        <v/>
      </c>
      <c r="N751" s="18" t="str">
        <f>IF(A751="",,IF(ROW()=2, Input!$C$2 + I751, P750 + I751))</f>
        <v/>
      </c>
      <c r="O751" s="23" t="str">
        <f>IF(A751="",,
 IF(K751="Initial principal",
   Input!$C$2 * M751,
   N751 * M751
 )
)</f>
        <v/>
      </c>
      <c r="P751" s="18" t="str">
        <f t="shared" si="2"/>
        <v/>
      </c>
      <c r="Q751" s="18" t="str">
        <f t="shared" si="3"/>
        <v/>
      </c>
      <c r="R751" s="18" t="str">
        <f t="array" ref="R751">IF(
  B751="",
  ,
  SWITCH(
    Input!$C$4,
    "Actual/365 Fixed",
      YEARFRAC(
        B751 + IF(INDEX(Input!$K$7:$K1503,ROW()-1),0,1),
        C751 + IF(INDEX(Input!$L$7:$L1503,ROW()-1),1,0),
        3
      ),
    "Anniversary/365",
      DATEDIF(
        B751 + IF(INDEX(Input!$K$7:$K1503,ROW()-1),0,1),
        C751 + IF(INDEX(Input!$L$7:$L1503,ROW()-1),1,0),
        "Y"
      )
      +
      (
        (C751 + IF(INDEX(Input!$L$7:$L1503,ROW()-1),1,0))
        -
        EDATE(
          B751 + IF(INDEX(Input!$K$7:$K1503,ROW()-1),0,1),
          12*DATEDIF(
            B751 + IF(INDEX(Input!$K$7:$K1503,ROW()-1),0,1),
            C751 + IF(INDEX(Input!$L$7:$L1503,ROW()-1),1,0),
            "Y"
          )
        )
      ) / 365,
    "Actual/Actual",
      YEARFRAC(
        B751 + IF(INDEX(Input!$K$7:$K1503,ROW()-1),0,1),
        C751 + IF(INDEX(Input!$L$7:$L1503,ROW()-1),1,0),
        1
      ),
      YEARFRAC(
        B751 + IF(INDEX(Input!$K$7:$K1503,ROW()-1),0,1),
        C751 + IF(INDEX(Input!$L$7:$L1503,ROW()-1),1,0),
        3
      )
  )
)</f>
        <v/>
      </c>
      <c r="S751" s="22" t="str">
        <f t="shared" si="4"/>
        <v/>
      </c>
      <c r="T751" s="6" t="str">
        <f t="array" ref="T751">IF(
  B751="",
  ,
  DATEDIF(
    B751 + IF(INDEX(Input!$K$7:$K1503,ROW()-1),0,1),
    C751 + IF(INDEX(Input!$L$7:$L1503,ROW()-1),1,0),
    "Y"
  )
)</f>
        <v/>
      </c>
      <c r="U751" s="6" t="str">
        <f t="array" ref="U751">IF(
  B751="",
  ,
  (C751 + IF(INDEX(Input!$L$7:$L1503,ROW()-1),1,0))
  - EDATE(
      B751 + IF(INDEX(Input!$K$7:$K1503,ROW()-1),0,1),
      12*S751
    )
)</f>
        <v/>
      </c>
      <c r="V751" s="6" t="str">
        <f t="shared" si="5"/>
        <v/>
      </c>
      <c r="W751" s="6" t="str">
        <f t="shared" si="6"/>
        <v/>
      </c>
    </row>
    <row r="752">
      <c r="A752" s="18"/>
      <c r="B752" s="18"/>
      <c r="C752" s="18"/>
      <c r="D752" s="18"/>
      <c r="E752" s="18"/>
      <c r="F752" s="18"/>
      <c r="G752" s="22"/>
      <c r="H752" s="18"/>
      <c r="I752" s="18">
        <v>0.0</v>
      </c>
      <c r="J752" s="18">
        <v>0.0</v>
      </c>
      <c r="K752" s="18"/>
      <c r="L752" s="18"/>
      <c r="M752" s="22" t="str">
        <f t="shared" si="1"/>
        <v/>
      </c>
      <c r="N752" s="18" t="str">
        <f>IF(A752="",,IF(ROW()=2, Input!$C$2 + I752, P751 + I752))</f>
        <v/>
      </c>
      <c r="O752" s="23" t="str">
        <f>IF(A752="",,
 IF(K752="Initial principal",
   Input!$C$2 * M752,
   N752 * M752
 )
)</f>
        <v/>
      </c>
      <c r="P752" s="18" t="str">
        <f t="shared" si="2"/>
        <v/>
      </c>
      <c r="Q752" s="18" t="str">
        <f t="shared" si="3"/>
        <v/>
      </c>
      <c r="R752" s="18" t="str">
        <f t="array" ref="R752">IF(
  B752="",
  ,
  SWITCH(
    Input!$C$4,
    "Actual/365 Fixed",
      YEARFRAC(
        B752 + IF(INDEX(Input!$K$7:$K1503,ROW()-1),0,1),
        C752 + IF(INDEX(Input!$L$7:$L1503,ROW()-1),1,0),
        3
      ),
    "Anniversary/365",
      DATEDIF(
        B752 + IF(INDEX(Input!$K$7:$K1503,ROW()-1),0,1),
        C752 + IF(INDEX(Input!$L$7:$L1503,ROW()-1),1,0),
        "Y"
      )
      +
      (
        (C752 + IF(INDEX(Input!$L$7:$L1503,ROW()-1),1,0))
        -
        EDATE(
          B752 + IF(INDEX(Input!$K$7:$K1503,ROW()-1),0,1),
          12*DATEDIF(
            B752 + IF(INDEX(Input!$K$7:$K1503,ROW()-1),0,1),
            C752 + IF(INDEX(Input!$L$7:$L1503,ROW()-1),1,0),
            "Y"
          )
        )
      ) / 365,
    "Actual/Actual",
      YEARFRAC(
        B752 + IF(INDEX(Input!$K$7:$K1503,ROW()-1),0,1),
        C752 + IF(INDEX(Input!$L$7:$L1503,ROW()-1),1,0),
        1
      ),
      YEARFRAC(
        B752 + IF(INDEX(Input!$K$7:$K1503,ROW()-1),0,1),
        C752 + IF(INDEX(Input!$L$7:$L1503,ROW()-1),1,0),
        3
      )
  )
)</f>
        <v/>
      </c>
      <c r="S752" s="22" t="str">
        <f t="shared" si="4"/>
        <v/>
      </c>
      <c r="T752" s="6" t="str">
        <f t="array" ref="T752">IF(
  B752="",
  ,
  DATEDIF(
    B752 + IF(INDEX(Input!$K$7:$K1503,ROW()-1),0,1),
    C752 + IF(INDEX(Input!$L$7:$L1503,ROW()-1),1,0),
    "Y"
  )
)</f>
        <v/>
      </c>
      <c r="U752" s="6" t="str">
        <f t="array" ref="U752">IF(
  B752="",
  ,
  (C752 + IF(INDEX(Input!$L$7:$L1503,ROW()-1),1,0))
  - EDATE(
      B752 + IF(INDEX(Input!$K$7:$K1503,ROW()-1),0,1),
      12*S752
    )
)</f>
        <v/>
      </c>
      <c r="V752" s="6" t="str">
        <f t="shared" si="5"/>
        <v/>
      </c>
      <c r="W752" s="6" t="str">
        <f t="shared" si="6"/>
        <v/>
      </c>
    </row>
    <row r="753">
      <c r="A753" s="18"/>
      <c r="B753" s="18"/>
      <c r="C753" s="18"/>
      <c r="D753" s="18"/>
      <c r="E753" s="18"/>
      <c r="F753" s="18"/>
      <c r="G753" s="22"/>
      <c r="H753" s="18"/>
      <c r="I753" s="18">
        <v>0.0</v>
      </c>
      <c r="J753" s="18">
        <v>0.0</v>
      </c>
      <c r="K753" s="18"/>
      <c r="L753" s="18"/>
      <c r="M753" s="22" t="str">
        <f t="shared" si="1"/>
        <v/>
      </c>
      <c r="N753" s="18" t="str">
        <f>IF(A753="",,IF(ROW()=2, Input!$C$2 + I753, P752 + I753))</f>
        <v/>
      </c>
      <c r="O753" s="23" t="str">
        <f>IF(A753="",,
 IF(K753="Initial principal",
   Input!$C$2 * M753,
   N753 * M753
 )
)</f>
        <v/>
      </c>
      <c r="P753" s="18" t="str">
        <f t="shared" si="2"/>
        <v/>
      </c>
      <c r="Q753" s="18" t="str">
        <f t="shared" si="3"/>
        <v/>
      </c>
      <c r="R753" s="18" t="str">
        <f t="array" ref="R753">IF(
  B753="",
  ,
  SWITCH(
    Input!$C$4,
    "Actual/365 Fixed",
      YEARFRAC(
        B753 + IF(INDEX(Input!$K$7:$K1503,ROW()-1),0,1),
        C753 + IF(INDEX(Input!$L$7:$L1503,ROW()-1),1,0),
        3
      ),
    "Anniversary/365",
      DATEDIF(
        B753 + IF(INDEX(Input!$K$7:$K1503,ROW()-1),0,1),
        C753 + IF(INDEX(Input!$L$7:$L1503,ROW()-1),1,0),
        "Y"
      )
      +
      (
        (C753 + IF(INDEX(Input!$L$7:$L1503,ROW()-1),1,0))
        -
        EDATE(
          B753 + IF(INDEX(Input!$K$7:$K1503,ROW()-1),0,1),
          12*DATEDIF(
            B753 + IF(INDEX(Input!$K$7:$K1503,ROW()-1),0,1),
            C753 + IF(INDEX(Input!$L$7:$L1503,ROW()-1),1,0),
            "Y"
          )
        )
      ) / 365,
    "Actual/Actual",
      YEARFRAC(
        B753 + IF(INDEX(Input!$K$7:$K1503,ROW()-1),0,1),
        C753 + IF(INDEX(Input!$L$7:$L1503,ROW()-1),1,0),
        1
      ),
      YEARFRAC(
        B753 + IF(INDEX(Input!$K$7:$K1503,ROW()-1),0,1),
        C753 + IF(INDEX(Input!$L$7:$L1503,ROW()-1),1,0),
        3
      )
  )
)</f>
        <v/>
      </c>
      <c r="S753" s="22" t="str">
        <f t="shared" si="4"/>
        <v/>
      </c>
      <c r="T753" s="6" t="str">
        <f t="array" ref="T753">IF(
  B753="",
  ,
  DATEDIF(
    B753 + IF(INDEX(Input!$K$7:$K1503,ROW()-1),0,1),
    C753 + IF(INDEX(Input!$L$7:$L1503,ROW()-1),1,0),
    "Y"
  )
)</f>
        <v/>
      </c>
      <c r="U753" s="6" t="str">
        <f t="array" ref="U753">IF(
  B753="",
  ,
  (C753 + IF(INDEX(Input!$L$7:$L1503,ROW()-1),1,0))
  - EDATE(
      B753 + IF(INDEX(Input!$K$7:$K1503,ROW()-1),0,1),
      12*S753
    )
)</f>
        <v/>
      </c>
      <c r="V753" s="6" t="str">
        <f t="shared" si="5"/>
        <v/>
      </c>
      <c r="W753" s="6" t="str">
        <f t="shared" si="6"/>
        <v/>
      </c>
    </row>
    <row r="754">
      <c r="A754" s="18"/>
      <c r="B754" s="18"/>
      <c r="C754" s="18"/>
      <c r="D754" s="18"/>
      <c r="E754" s="18"/>
      <c r="F754" s="18"/>
      <c r="G754" s="22"/>
      <c r="H754" s="18"/>
      <c r="I754" s="18">
        <v>0.0</v>
      </c>
      <c r="J754" s="18">
        <v>0.0</v>
      </c>
      <c r="K754" s="18"/>
      <c r="L754" s="18"/>
      <c r="M754" s="22" t="str">
        <f t="shared" si="1"/>
        <v/>
      </c>
      <c r="N754" s="18" t="str">
        <f>IF(A754="",,IF(ROW()=2, Input!$C$2 + I754, P753 + I754))</f>
        <v/>
      </c>
      <c r="O754" s="23" t="str">
        <f>IF(A754="",,
 IF(K754="Initial principal",
   Input!$C$2 * M754,
   N754 * M754
 )
)</f>
        <v/>
      </c>
      <c r="P754" s="18" t="str">
        <f t="shared" si="2"/>
        <v/>
      </c>
      <c r="Q754" s="18" t="str">
        <f t="shared" si="3"/>
        <v/>
      </c>
      <c r="R754" s="18" t="str">
        <f t="array" ref="R754">IF(
  B754="",
  ,
  SWITCH(
    Input!$C$4,
    "Actual/365 Fixed",
      YEARFRAC(
        B754 + IF(INDEX(Input!$K$7:$K1503,ROW()-1),0,1),
        C754 + IF(INDEX(Input!$L$7:$L1503,ROW()-1),1,0),
        3
      ),
    "Anniversary/365",
      DATEDIF(
        B754 + IF(INDEX(Input!$K$7:$K1503,ROW()-1),0,1),
        C754 + IF(INDEX(Input!$L$7:$L1503,ROW()-1),1,0),
        "Y"
      )
      +
      (
        (C754 + IF(INDEX(Input!$L$7:$L1503,ROW()-1),1,0))
        -
        EDATE(
          B754 + IF(INDEX(Input!$K$7:$K1503,ROW()-1),0,1),
          12*DATEDIF(
            B754 + IF(INDEX(Input!$K$7:$K1503,ROW()-1),0,1),
            C754 + IF(INDEX(Input!$L$7:$L1503,ROW()-1),1,0),
            "Y"
          )
        )
      ) / 365,
    "Actual/Actual",
      YEARFRAC(
        B754 + IF(INDEX(Input!$K$7:$K1503,ROW()-1),0,1),
        C754 + IF(INDEX(Input!$L$7:$L1503,ROW()-1),1,0),
        1
      ),
      YEARFRAC(
        B754 + IF(INDEX(Input!$K$7:$K1503,ROW()-1),0,1),
        C754 + IF(INDEX(Input!$L$7:$L1503,ROW()-1),1,0),
        3
      )
  )
)</f>
        <v/>
      </c>
      <c r="S754" s="22" t="str">
        <f t="shared" si="4"/>
        <v/>
      </c>
      <c r="T754" s="6" t="str">
        <f t="array" ref="T754">IF(
  B754="",
  ,
  DATEDIF(
    B754 + IF(INDEX(Input!$K$7:$K1503,ROW()-1),0,1),
    C754 + IF(INDEX(Input!$L$7:$L1503,ROW()-1),1,0),
    "Y"
  )
)</f>
        <v/>
      </c>
      <c r="U754" s="6" t="str">
        <f t="array" ref="U754">IF(
  B754="",
  ,
  (C754 + IF(INDEX(Input!$L$7:$L1503,ROW()-1),1,0))
  - EDATE(
      B754 + IF(INDEX(Input!$K$7:$K1503,ROW()-1),0,1),
      12*S754
    )
)</f>
        <v/>
      </c>
      <c r="V754" s="6" t="str">
        <f t="shared" si="5"/>
        <v/>
      </c>
      <c r="W754" s="6" t="str">
        <f t="shared" si="6"/>
        <v/>
      </c>
    </row>
    <row r="755">
      <c r="A755" s="18"/>
      <c r="B755" s="18"/>
      <c r="C755" s="18"/>
      <c r="D755" s="18"/>
      <c r="E755" s="18"/>
      <c r="F755" s="18"/>
      <c r="G755" s="22"/>
      <c r="H755" s="18"/>
      <c r="I755" s="18">
        <v>0.0</v>
      </c>
      <c r="J755" s="18">
        <v>0.0</v>
      </c>
      <c r="K755" s="18"/>
      <c r="L755" s="18"/>
      <c r="M755" s="22" t="str">
        <f t="shared" si="1"/>
        <v/>
      </c>
      <c r="N755" s="18" t="str">
        <f>IF(A755="",,IF(ROW()=2, Input!$C$2 + I755, P754 + I755))</f>
        <v/>
      </c>
      <c r="O755" s="23" t="str">
        <f>IF(A755="",,
 IF(K755="Initial principal",
   Input!$C$2 * M755,
   N755 * M755
 )
)</f>
        <v/>
      </c>
      <c r="P755" s="18" t="str">
        <f t="shared" si="2"/>
        <v/>
      </c>
      <c r="Q755" s="18" t="str">
        <f t="shared" si="3"/>
        <v/>
      </c>
      <c r="R755" s="18" t="str">
        <f t="array" ref="R755">IF(
  B755="",
  ,
  SWITCH(
    Input!$C$4,
    "Actual/365 Fixed",
      YEARFRAC(
        B755 + IF(INDEX(Input!$K$7:$K1503,ROW()-1),0,1),
        C755 + IF(INDEX(Input!$L$7:$L1503,ROW()-1),1,0),
        3
      ),
    "Anniversary/365",
      DATEDIF(
        B755 + IF(INDEX(Input!$K$7:$K1503,ROW()-1),0,1),
        C755 + IF(INDEX(Input!$L$7:$L1503,ROW()-1),1,0),
        "Y"
      )
      +
      (
        (C755 + IF(INDEX(Input!$L$7:$L1503,ROW()-1),1,0))
        -
        EDATE(
          B755 + IF(INDEX(Input!$K$7:$K1503,ROW()-1),0,1),
          12*DATEDIF(
            B755 + IF(INDEX(Input!$K$7:$K1503,ROW()-1),0,1),
            C755 + IF(INDEX(Input!$L$7:$L1503,ROW()-1),1,0),
            "Y"
          )
        )
      ) / 365,
    "Actual/Actual",
      YEARFRAC(
        B755 + IF(INDEX(Input!$K$7:$K1503,ROW()-1),0,1),
        C755 + IF(INDEX(Input!$L$7:$L1503,ROW()-1),1,0),
        1
      ),
      YEARFRAC(
        B755 + IF(INDEX(Input!$K$7:$K1503,ROW()-1),0,1),
        C755 + IF(INDEX(Input!$L$7:$L1503,ROW()-1),1,0),
        3
      )
  )
)</f>
        <v/>
      </c>
      <c r="S755" s="22" t="str">
        <f t="shared" si="4"/>
        <v/>
      </c>
      <c r="T755" s="6" t="str">
        <f t="array" ref="T755">IF(
  B755="",
  ,
  DATEDIF(
    B755 + IF(INDEX(Input!$K$7:$K1503,ROW()-1),0,1),
    C755 + IF(INDEX(Input!$L$7:$L1503,ROW()-1),1,0),
    "Y"
  )
)</f>
        <v/>
      </c>
      <c r="U755" s="6" t="str">
        <f t="array" ref="U755">IF(
  B755="",
  ,
  (C755 + IF(INDEX(Input!$L$7:$L1503,ROW()-1),1,0))
  - EDATE(
      B755 + IF(INDEX(Input!$K$7:$K1503,ROW()-1),0,1),
      12*S755
    )
)</f>
        <v/>
      </c>
      <c r="V755" s="6" t="str">
        <f t="shared" si="5"/>
        <v/>
      </c>
      <c r="W755" s="6" t="str">
        <f t="shared" si="6"/>
        <v/>
      </c>
    </row>
    <row r="756">
      <c r="A756" s="18"/>
      <c r="B756" s="18"/>
      <c r="C756" s="18"/>
      <c r="D756" s="18"/>
      <c r="E756" s="18"/>
      <c r="F756" s="18"/>
      <c r="G756" s="22"/>
      <c r="H756" s="18"/>
      <c r="I756" s="18">
        <v>0.0</v>
      </c>
      <c r="J756" s="18">
        <v>0.0</v>
      </c>
      <c r="K756" s="18"/>
      <c r="L756" s="18"/>
      <c r="M756" s="22" t="str">
        <f t="shared" si="1"/>
        <v/>
      </c>
      <c r="N756" s="18" t="str">
        <f>IF(A756="",,IF(ROW()=2, Input!$C$2 + I756, P755 + I756))</f>
        <v/>
      </c>
      <c r="O756" s="23" t="str">
        <f>IF(A756="",,
 IF(K756="Initial principal",
   Input!$C$2 * M756,
   N756 * M756
 )
)</f>
        <v/>
      </c>
      <c r="P756" s="18" t="str">
        <f t="shared" si="2"/>
        <v/>
      </c>
      <c r="Q756" s="18" t="str">
        <f t="shared" si="3"/>
        <v/>
      </c>
      <c r="R756" s="18" t="str">
        <f t="array" ref="R756">IF(
  B756="",
  ,
  SWITCH(
    Input!$C$4,
    "Actual/365 Fixed",
      YEARFRAC(
        B756 + IF(INDEX(Input!$K$7:$K1503,ROW()-1),0,1),
        C756 + IF(INDEX(Input!$L$7:$L1503,ROW()-1),1,0),
        3
      ),
    "Anniversary/365",
      DATEDIF(
        B756 + IF(INDEX(Input!$K$7:$K1503,ROW()-1),0,1),
        C756 + IF(INDEX(Input!$L$7:$L1503,ROW()-1),1,0),
        "Y"
      )
      +
      (
        (C756 + IF(INDEX(Input!$L$7:$L1503,ROW()-1),1,0))
        -
        EDATE(
          B756 + IF(INDEX(Input!$K$7:$K1503,ROW()-1),0,1),
          12*DATEDIF(
            B756 + IF(INDEX(Input!$K$7:$K1503,ROW()-1),0,1),
            C756 + IF(INDEX(Input!$L$7:$L1503,ROW()-1),1,0),
            "Y"
          )
        )
      ) / 365,
    "Actual/Actual",
      YEARFRAC(
        B756 + IF(INDEX(Input!$K$7:$K1503,ROW()-1),0,1),
        C756 + IF(INDEX(Input!$L$7:$L1503,ROW()-1),1,0),
        1
      ),
      YEARFRAC(
        B756 + IF(INDEX(Input!$K$7:$K1503,ROW()-1),0,1),
        C756 + IF(INDEX(Input!$L$7:$L1503,ROW()-1),1,0),
        3
      )
  )
)</f>
        <v/>
      </c>
      <c r="S756" s="22" t="str">
        <f t="shared" si="4"/>
        <v/>
      </c>
      <c r="T756" s="6" t="str">
        <f t="array" ref="T756">IF(
  B756="",
  ,
  DATEDIF(
    B756 + IF(INDEX(Input!$K$7:$K1503,ROW()-1),0,1),
    C756 + IF(INDEX(Input!$L$7:$L1503,ROW()-1),1,0),
    "Y"
  )
)</f>
        <v/>
      </c>
      <c r="U756" s="6" t="str">
        <f t="array" ref="U756">IF(
  B756="",
  ,
  (C756 + IF(INDEX(Input!$L$7:$L1503,ROW()-1),1,0))
  - EDATE(
      B756 + IF(INDEX(Input!$K$7:$K1503,ROW()-1),0,1),
      12*S756
    )
)</f>
        <v/>
      </c>
      <c r="V756" s="6" t="str">
        <f t="shared" si="5"/>
        <v/>
      </c>
      <c r="W756" s="6" t="str">
        <f t="shared" si="6"/>
        <v/>
      </c>
    </row>
    <row r="757">
      <c r="A757" s="18"/>
      <c r="B757" s="18"/>
      <c r="C757" s="18"/>
      <c r="D757" s="18"/>
      <c r="E757" s="18"/>
      <c r="F757" s="18"/>
      <c r="G757" s="22"/>
      <c r="H757" s="18"/>
      <c r="I757" s="18">
        <v>0.0</v>
      </c>
      <c r="J757" s="18">
        <v>0.0</v>
      </c>
      <c r="K757" s="18"/>
      <c r="L757" s="18"/>
      <c r="M757" s="22" t="str">
        <f t="shared" si="1"/>
        <v/>
      </c>
      <c r="N757" s="18" t="str">
        <f>IF(A757="",,IF(ROW()=2, Input!$C$2 + I757, P756 + I757))</f>
        <v/>
      </c>
      <c r="O757" s="23" t="str">
        <f>IF(A757="",,
 IF(K757="Initial principal",
   Input!$C$2 * M757,
   N757 * M757
 )
)</f>
        <v/>
      </c>
      <c r="P757" s="18" t="str">
        <f t="shared" si="2"/>
        <v/>
      </c>
      <c r="Q757" s="18" t="str">
        <f t="shared" si="3"/>
        <v/>
      </c>
      <c r="R757" s="18" t="str">
        <f t="array" ref="R757">IF(
  B757="",
  ,
  SWITCH(
    Input!$C$4,
    "Actual/365 Fixed",
      YEARFRAC(
        B757 + IF(INDEX(Input!$K$7:$K1503,ROW()-1),0,1),
        C757 + IF(INDEX(Input!$L$7:$L1503,ROW()-1),1,0),
        3
      ),
    "Anniversary/365",
      DATEDIF(
        B757 + IF(INDEX(Input!$K$7:$K1503,ROW()-1),0,1),
        C757 + IF(INDEX(Input!$L$7:$L1503,ROW()-1),1,0),
        "Y"
      )
      +
      (
        (C757 + IF(INDEX(Input!$L$7:$L1503,ROW()-1),1,0))
        -
        EDATE(
          B757 + IF(INDEX(Input!$K$7:$K1503,ROW()-1),0,1),
          12*DATEDIF(
            B757 + IF(INDEX(Input!$K$7:$K1503,ROW()-1),0,1),
            C757 + IF(INDEX(Input!$L$7:$L1503,ROW()-1),1,0),
            "Y"
          )
        )
      ) / 365,
    "Actual/Actual",
      YEARFRAC(
        B757 + IF(INDEX(Input!$K$7:$K1503,ROW()-1),0,1),
        C757 + IF(INDEX(Input!$L$7:$L1503,ROW()-1),1,0),
        1
      ),
      YEARFRAC(
        B757 + IF(INDEX(Input!$K$7:$K1503,ROW()-1),0,1),
        C757 + IF(INDEX(Input!$L$7:$L1503,ROW()-1),1,0),
        3
      )
  )
)</f>
        <v/>
      </c>
      <c r="S757" s="22" t="str">
        <f t="shared" si="4"/>
        <v/>
      </c>
      <c r="T757" s="6" t="str">
        <f t="array" ref="T757">IF(
  B757="",
  ,
  DATEDIF(
    B757 + IF(INDEX(Input!$K$7:$K1503,ROW()-1),0,1),
    C757 + IF(INDEX(Input!$L$7:$L1503,ROW()-1),1,0),
    "Y"
  )
)</f>
        <v/>
      </c>
      <c r="U757" s="6" t="str">
        <f t="array" ref="U757">IF(
  B757="",
  ,
  (C757 + IF(INDEX(Input!$L$7:$L1503,ROW()-1),1,0))
  - EDATE(
      B757 + IF(INDEX(Input!$K$7:$K1503,ROW()-1),0,1),
      12*S757
    )
)</f>
        <v/>
      </c>
      <c r="V757" s="6" t="str">
        <f t="shared" si="5"/>
        <v/>
      </c>
      <c r="W757" s="6" t="str">
        <f t="shared" si="6"/>
        <v/>
      </c>
    </row>
    <row r="758">
      <c r="A758" s="18"/>
      <c r="B758" s="18"/>
      <c r="C758" s="18"/>
      <c r="D758" s="18"/>
      <c r="E758" s="18"/>
      <c r="F758" s="18"/>
      <c r="G758" s="22"/>
      <c r="H758" s="18"/>
      <c r="I758" s="18">
        <v>0.0</v>
      </c>
      <c r="J758" s="18">
        <v>0.0</v>
      </c>
      <c r="K758" s="18"/>
      <c r="L758" s="18"/>
      <c r="M758" s="22" t="str">
        <f t="shared" si="1"/>
        <v/>
      </c>
      <c r="N758" s="18" t="str">
        <f>IF(A758="",,IF(ROW()=2, Input!$C$2 + I758, P757 + I758))</f>
        <v/>
      </c>
      <c r="O758" s="23" t="str">
        <f>IF(A758="",,
 IF(K758="Initial principal",
   Input!$C$2 * M758,
   N758 * M758
 )
)</f>
        <v/>
      </c>
      <c r="P758" s="18" t="str">
        <f t="shared" si="2"/>
        <v/>
      </c>
      <c r="Q758" s="18" t="str">
        <f t="shared" si="3"/>
        <v/>
      </c>
      <c r="R758" s="18" t="str">
        <f t="array" ref="R758">IF(
  B758="",
  ,
  SWITCH(
    Input!$C$4,
    "Actual/365 Fixed",
      YEARFRAC(
        B758 + IF(INDEX(Input!$K$7:$K1503,ROW()-1),0,1),
        C758 + IF(INDEX(Input!$L$7:$L1503,ROW()-1),1,0),
        3
      ),
    "Anniversary/365",
      DATEDIF(
        B758 + IF(INDEX(Input!$K$7:$K1503,ROW()-1),0,1),
        C758 + IF(INDEX(Input!$L$7:$L1503,ROW()-1),1,0),
        "Y"
      )
      +
      (
        (C758 + IF(INDEX(Input!$L$7:$L1503,ROW()-1),1,0))
        -
        EDATE(
          B758 + IF(INDEX(Input!$K$7:$K1503,ROW()-1),0,1),
          12*DATEDIF(
            B758 + IF(INDEX(Input!$K$7:$K1503,ROW()-1),0,1),
            C758 + IF(INDEX(Input!$L$7:$L1503,ROW()-1),1,0),
            "Y"
          )
        )
      ) / 365,
    "Actual/Actual",
      YEARFRAC(
        B758 + IF(INDEX(Input!$K$7:$K1503,ROW()-1),0,1),
        C758 + IF(INDEX(Input!$L$7:$L1503,ROW()-1),1,0),
        1
      ),
      YEARFRAC(
        B758 + IF(INDEX(Input!$K$7:$K1503,ROW()-1),0,1),
        C758 + IF(INDEX(Input!$L$7:$L1503,ROW()-1),1,0),
        3
      )
  )
)</f>
        <v/>
      </c>
      <c r="S758" s="22" t="str">
        <f t="shared" si="4"/>
        <v/>
      </c>
      <c r="T758" s="6" t="str">
        <f t="array" ref="T758">IF(
  B758="",
  ,
  DATEDIF(
    B758 + IF(INDEX(Input!$K$7:$K1503,ROW()-1),0,1),
    C758 + IF(INDEX(Input!$L$7:$L1503,ROW()-1),1,0),
    "Y"
  )
)</f>
        <v/>
      </c>
      <c r="U758" s="6" t="str">
        <f t="array" ref="U758">IF(
  B758="",
  ,
  (C758 + IF(INDEX(Input!$L$7:$L1503,ROW()-1),1,0))
  - EDATE(
      B758 + IF(INDEX(Input!$K$7:$K1503,ROW()-1),0,1),
      12*S758
    )
)</f>
        <v/>
      </c>
      <c r="V758" s="6" t="str">
        <f t="shared" si="5"/>
        <v/>
      </c>
      <c r="W758" s="6" t="str">
        <f t="shared" si="6"/>
        <v/>
      </c>
    </row>
    <row r="759">
      <c r="A759" s="18"/>
      <c r="B759" s="18"/>
      <c r="C759" s="18"/>
      <c r="D759" s="18"/>
      <c r="E759" s="18"/>
      <c r="F759" s="18"/>
      <c r="G759" s="22"/>
      <c r="H759" s="18"/>
      <c r="I759" s="18">
        <v>0.0</v>
      </c>
      <c r="J759" s="18">
        <v>0.0</v>
      </c>
      <c r="K759" s="18"/>
      <c r="L759" s="18"/>
      <c r="M759" s="22" t="str">
        <f t="shared" si="1"/>
        <v/>
      </c>
      <c r="N759" s="18" t="str">
        <f>IF(A759="",,IF(ROW()=2, Input!$C$2 + I759, P758 + I759))</f>
        <v/>
      </c>
      <c r="O759" s="23" t="str">
        <f>IF(A759="",,
 IF(K759="Initial principal",
   Input!$C$2 * M759,
   N759 * M759
 )
)</f>
        <v/>
      </c>
      <c r="P759" s="18" t="str">
        <f t="shared" si="2"/>
        <v/>
      </c>
      <c r="Q759" s="18" t="str">
        <f t="shared" si="3"/>
        <v/>
      </c>
      <c r="R759" s="18" t="str">
        <f t="array" ref="R759">IF(
  B759="",
  ,
  SWITCH(
    Input!$C$4,
    "Actual/365 Fixed",
      YEARFRAC(
        B759 + IF(INDEX(Input!$K$7:$K1503,ROW()-1),0,1),
        C759 + IF(INDEX(Input!$L$7:$L1503,ROW()-1),1,0),
        3
      ),
    "Anniversary/365",
      DATEDIF(
        B759 + IF(INDEX(Input!$K$7:$K1503,ROW()-1),0,1),
        C759 + IF(INDEX(Input!$L$7:$L1503,ROW()-1),1,0),
        "Y"
      )
      +
      (
        (C759 + IF(INDEX(Input!$L$7:$L1503,ROW()-1),1,0))
        -
        EDATE(
          B759 + IF(INDEX(Input!$K$7:$K1503,ROW()-1),0,1),
          12*DATEDIF(
            B759 + IF(INDEX(Input!$K$7:$K1503,ROW()-1),0,1),
            C759 + IF(INDEX(Input!$L$7:$L1503,ROW()-1),1,0),
            "Y"
          )
        )
      ) / 365,
    "Actual/Actual",
      YEARFRAC(
        B759 + IF(INDEX(Input!$K$7:$K1503,ROW()-1),0,1),
        C759 + IF(INDEX(Input!$L$7:$L1503,ROW()-1),1,0),
        1
      ),
      YEARFRAC(
        B759 + IF(INDEX(Input!$K$7:$K1503,ROW()-1),0,1),
        C759 + IF(INDEX(Input!$L$7:$L1503,ROW()-1),1,0),
        3
      )
  )
)</f>
        <v/>
      </c>
      <c r="S759" s="22" t="str">
        <f t="shared" si="4"/>
        <v/>
      </c>
      <c r="T759" s="6" t="str">
        <f t="array" ref="T759">IF(
  B759="",
  ,
  DATEDIF(
    B759 + IF(INDEX(Input!$K$7:$K1503,ROW()-1),0,1),
    C759 + IF(INDEX(Input!$L$7:$L1503,ROW()-1),1,0),
    "Y"
  )
)</f>
        <v/>
      </c>
      <c r="U759" s="6" t="str">
        <f t="array" ref="U759">IF(
  B759="",
  ,
  (C759 + IF(INDEX(Input!$L$7:$L1503,ROW()-1),1,0))
  - EDATE(
      B759 + IF(INDEX(Input!$K$7:$K1503,ROW()-1),0,1),
      12*S759
    )
)</f>
        <v/>
      </c>
      <c r="V759" s="6" t="str">
        <f t="shared" si="5"/>
        <v/>
      </c>
      <c r="W759" s="6" t="str">
        <f t="shared" si="6"/>
        <v/>
      </c>
    </row>
    <row r="760">
      <c r="A760" s="18"/>
      <c r="B760" s="18"/>
      <c r="C760" s="18"/>
      <c r="D760" s="18"/>
      <c r="E760" s="18"/>
      <c r="F760" s="18"/>
      <c r="G760" s="22"/>
      <c r="H760" s="18"/>
      <c r="I760" s="18">
        <v>0.0</v>
      </c>
      <c r="J760" s="18">
        <v>0.0</v>
      </c>
      <c r="K760" s="18"/>
      <c r="L760" s="18"/>
      <c r="M760" s="22" t="str">
        <f t="shared" si="1"/>
        <v/>
      </c>
      <c r="N760" s="18" t="str">
        <f>IF(A760="",,IF(ROW()=2, Input!$C$2 + I760, P759 + I760))</f>
        <v/>
      </c>
      <c r="O760" s="23" t="str">
        <f>IF(A760="",,
 IF(K760="Initial principal",
   Input!$C$2 * M760,
   N760 * M760
 )
)</f>
        <v/>
      </c>
      <c r="P760" s="18" t="str">
        <f t="shared" si="2"/>
        <v/>
      </c>
      <c r="Q760" s="18" t="str">
        <f t="shared" si="3"/>
        <v/>
      </c>
      <c r="R760" s="18" t="str">
        <f t="array" ref="R760">IF(
  B760="",
  ,
  SWITCH(
    Input!$C$4,
    "Actual/365 Fixed",
      YEARFRAC(
        B760 + IF(INDEX(Input!$K$7:$K1503,ROW()-1),0,1),
        C760 + IF(INDEX(Input!$L$7:$L1503,ROW()-1),1,0),
        3
      ),
    "Anniversary/365",
      DATEDIF(
        B760 + IF(INDEX(Input!$K$7:$K1503,ROW()-1),0,1),
        C760 + IF(INDEX(Input!$L$7:$L1503,ROW()-1),1,0),
        "Y"
      )
      +
      (
        (C760 + IF(INDEX(Input!$L$7:$L1503,ROW()-1),1,0))
        -
        EDATE(
          B760 + IF(INDEX(Input!$K$7:$K1503,ROW()-1),0,1),
          12*DATEDIF(
            B760 + IF(INDEX(Input!$K$7:$K1503,ROW()-1),0,1),
            C760 + IF(INDEX(Input!$L$7:$L1503,ROW()-1),1,0),
            "Y"
          )
        )
      ) / 365,
    "Actual/Actual",
      YEARFRAC(
        B760 + IF(INDEX(Input!$K$7:$K1503,ROW()-1),0,1),
        C760 + IF(INDEX(Input!$L$7:$L1503,ROW()-1),1,0),
        1
      ),
      YEARFRAC(
        B760 + IF(INDEX(Input!$K$7:$K1503,ROW()-1),0,1),
        C760 + IF(INDEX(Input!$L$7:$L1503,ROW()-1),1,0),
        3
      )
  )
)</f>
        <v/>
      </c>
      <c r="S760" s="22" t="str">
        <f t="shared" si="4"/>
        <v/>
      </c>
      <c r="T760" s="6" t="str">
        <f t="array" ref="T760">IF(
  B760="",
  ,
  DATEDIF(
    B760 + IF(INDEX(Input!$K$7:$K1503,ROW()-1),0,1),
    C760 + IF(INDEX(Input!$L$7:$L1503,ROW()-1),1,0),
    "Y"
  )
)</f>
        <v/>
      </c>
      <c r="U760" s="6" t="str">
        <f t="array" ref="U760">IF(
  B760="",
  ,
  (C760 + IF(INDEX(Input!$L$7:$L1503,ROW()-1),1,0))
  - EDATE(
      B760 + IF(INDEX(Input!$K$7:$K1503,ROW()-1),0,1),
      12*S760
    )
)</f>
        <v/>
      </c>
      <c r="V760" s="6" t="str">
        <f t="shared" si="5"/>
        <v/>
      </c>
      <c r="W760" s="6" t="str">
        <f t="shared" si="6"/>
        <v/>
      </c>
    </row>
    <row r="761">
      <c r="A761" s="18"/>
      <c r="B761" s="18"/>
      <c r="C761" s="18"/>
      <c r="D761" s="18"/>
      <c r="E761" s="18"/>
      <c r="F761" s="18"/>
      <c r="G761" s="22"/>
      <c r="H761" s="18"/>
      <c r="I761" s="18">
        <v>0.0</v>
      </c>
      <c r="J761" s="18">
        <v>0.0</v>
      </c>
      <c r="K761" s="18"/>
      <c r="L761" s="18"/>
      <c r="M761" s="22" t="str">
        <f t="shared" si="1"/>
        <v/>
      </c>
      <c r="N761" s="18" t="str">
        <f>IF(A761="",,IF(ROW()=2, Input!$C$2 + I761, P760 + I761))</f>
        <v/>
      </c>
      <c r="O761" s="23" t="str">
        <f>IF(A761="",,
 IF(K761="Initial principal",
   Input!$C$2 * M761,
   N761 * M761
 )
)</f>
        <v/>
      </c>
      <c r="P761" s="18" t="str">
        <f t="shared" si="2"/>
        <v/>
      </c>
      <c r="Q761" s="18" t="str">
        <f t="shared" si="3"/>
        <v/>
      </c>
      <c r="R761" s="18" t="str">
        <f t="array" ref="R761">IF(
  B761="",
  ,
  SWITCH(
    Input!$C$4,
    "Actual/365 Fixed",
      YEARFRAC(
        B761 + IF(INDEX(Input!$K$7:$K1503,ROW()-1),0,1),
        C761 + IF(INDEX(Input!$L$7:$L1503,ROW()-1),1,0),
        3
      ),
    "Anniversary/365",
      DATEDIF(
        B761 + IF(INDEX(Input!$K$7:$K1503,ROW()-1),0,1),
        C761 + IF(INDEX(Input!$L$7:$L1503,ROW()-1),1,0),
        "Y"
      )
      +
      (
        (C761 + IF(INDEX(Input!$L$7:$L1503,ROW()-1),1,0))
        -
        EDATE(
          B761 + IF(INDEX(Input!$K$7:$K1503,ROW()-1),0,1),
          12*DATEDIF(
            B761 + IF(INDEX(Input!$K$7:$K1503,ROW()-1),0,1),
            C761 + IF(INDEX(Input!$L$7:$L1503,ROW()-1),1,0),
            "Y"
          )
        )
      ) / 365,
    "Actual/Actual",
      YEARFRAC(
        B761 + IF(INDEX(Input!$K$7:$K1503,ROW()-1),0,1),
        C761 + IF(INDEX(Input!$L$7:$L1503,ROW()-1),1,0),
        1
      ),
      YEARFRAC(
        B761 + IF(INDEX(Input!$K$7:$K1503,ROW()-1),0,1),
        C761 + IF(INDEX(Input!$L$7:$L1503,ROW()-1),1,0),
        3
      )
  )
)</f>
        <v/>
      </c>
      <c r="S761" s="22" t="str">
        <f t="shared" si="4"/>
        <v/>
      </c>
      <c r="T761" s="6" t="str">
        <f t="array" ref="T761">IF(
  B761="",
  ,
  DATEDIF(
    B761 + IF(INDEX(Input!$K$7:$K1503,ROW()-1),0,1),
    C761 + IF(INDEX(Input!$L$7:$L1503,ROW()-1),1,0),
    "Y"
  )
)</f>
        <v/>
      </c>
      <c r="U761" s="6" t="str">
        <f t="array" ref="U761">IF(
  B761="",
  ,
  (C761 + IF(INDEX(Input!$L$7:$L1503,ROW()-1),1,0))
  - EDATE(
      B761 + IF(INDEX(Input!$K$7:$K1503,ROW()-1),0,1),
      12*S761
    )
)</f>
        <v/>
      </c>
      <c r="V761" s="6" t="str">
        <f t="shared" si="5"/>
        <v/>
      </c>
      <c r="W761" s="6" t="str">
        <f t="shared" si="6"/>
        <v/>
      </c>
    </row>
    <row r="762">
      <c r="A762" s="18"/>
      <c r="B762" s="18"/>
      <c r="C762" s="18"/>
      <c r="D762" s="18"/>
      <c r="E762" s="18"/>
      <c r="F762" s="18"/>
      <c r="G762" s="22"/>
      <c r="H762" s="18"/>
      <c r="I762" s="18">
        <v>0.0</v>
      </c>
      <c r="J762" s="18">
        <v>0.0</v>
      </c>
      <c r="K762" s="18"/>
      <c r="L762" s="18"/>
      <c r="M762" s="22" t="str">
        <f t="shared" si="1"/>
        <v/>
      </c>
      <c r="N762" s="18" t="str">
        <f>IF(A762="",,IF(ROW()=2, Input!$C$2 + I762, P761 + I762))</f>
        <v/>
      </c>
      <c r="O762" s="23" t="str">
        <f>IF(A762="",,
 IF(K762="Initial principal",
   Input!$C$2 * M762,
   N762 * M762
 )
)</f>
        <v/>
      </c>
      <c r="P762" s="18" t="str">
        <f t="shared" si="2"/>
        <v/>
      </c>
      <c r="Q762" s="18" t="str">
        <f t="shared" si="3"/>
        <v/>
      </c>
      <c r="R762" s="18" t="str">
        <f t="array" ref="R762">IF(
  B762="",
  ,
  SWITCH(
    Input!$C$4,
    "Actual/365 Fixed",
      YEARFRAC(
        B762 + IF(INDEX(Input!$K$7:$K1503,ROW()-1),0,1),
        C762 + IF(INDEX(Input!$L$7:$L1503,ROW()-1),1,0),
        3
      ),
    "Anniversary/365",
      DATEDIF(
        B762 + IF(INDEX(Input!$K$7:$K1503,ROW()-1),0,1),
        C762 + IF(INDEX(Input!$L$7:$L1503,ROW()-1),1,0),
        "Y"
      )
      +
      (
        (C762 + IF(INDEX(Input!$L$7:$L1503,ROW()-1),1,0))
        -
        EDATE(
          B762 + IF(INDEX(Input!$K$7:$K1503,ROW()-1),0,1),
          12*DATEDIF(
            B762 + IF(INDEX(Input!$K$7:$K1503,ROW()-1),0,1),
            C762 + IF(INDEX(Input!$L$7:$L1503,ROW()-1),1,0),
            "Y"
          )
        )
      ) / 365,
    "Actual/Actual",
      YEARFRAC(
        B762 + IF(INDEX(Input!$K$7:$K1503,ROW()-1),0,1),
        C762 + IF(INDEX(Input!$L$7:$L1503,ROW()-1),1,0),
        1
      ),
      YEARFRAC(
        B762 + IF(INDEX(Input!$K$7:$K1503,ROW()-1),0,1),
        C762 + IF(INDEX(Input!$L$7:$L1503,ROW()-1),1,0),
        3
      )
  )
)</f>
        <v/>
      </c>
      <c r="S762" s="22" t="str">
        <f t="shared" si="4"/>
        <v/>
      </c>
      <c r="T762" s="6" t="str">
        <f t="array" ref="T762">IF(
  B762="",
  ,
  DATEDIF(
    B762 + IF(INDEX(Input!$K$7:$K1503,ROW()-1),0,1),
    C762 + IF(INDEX(Input!$L$7:$L1503,ROW()-1),1,0),
    "Y"
  )
)</f>
        <v/>
      </c>
      <c r="U762" s="6" t="str">
        <f t="array" ref="U762">IF(
  B762="",
  ,
  (C762 + IF(INDEX(Input!$L$7:$L1503,ROW()-1),1,0))
  - EDATE(
      B762 + IF(INDEX(Input!$K$7:$K1503,ROW()-1),0,1),
      12*S762
    )
)</f>
        <v/>
      </c>
      <c r="V762" s="6" t="str">
        <f t="shared" si="5"/>
        <v/>
      </c>
      <c r="W762" s="6" t="str">
        <f t="shared" si="6"/>
        <v/>
      </c>
    </row>
    <row r="763">
      <c r="A763" s="18"/>
      <c r="B763" s="18"/>
      <c r="C763" s="18"/>
      <c r="D763" s="18"/>
      <c r="E763" s="18"/>
      <c r="F763" s="18"/>
      <c r="G763" s="22"/>
      <c r="H763" s="18"/>
      <c r="I763" s="18">
        <v>0.0</v>
      </c>
      <c r="J763" s="18">
        <v>0.0</v>
      </c>
      <c r="K763" s="18"/>
      <c r="L763" s="18"/>
      <c r="M763" s="22" t="str">
        <f t="shared" si="1"/>
        <v/>
      </c>
      <c r="N763" s="18" t="str">
        <f>IF(A763="",,IF(ROW()=2, Input!$C$2 + I763, P762 + I763))</f>
        <v/>
      </c>
      <c r="O763" s="23" t="str">
        <f>IF(A763="",,
 IF(K763="Initial principal",
   Input!$C$2 * M763,
   N763 * M763
 )
)</f>
        <v/>
      </c>
      <c r="P763" s="18" t="str">
        <f t="shared" si="2"/>
        <v/>
      </c>
      <c r="Q763" s="18" t="str">
        <f t="shared" si="3"/>
        <v/>
      </c>
      <c r="R763" s="18" t="str">
        <f t="array" ref="R763">IF(
  B763="",
  ,
  SWITCH(
    Input!$C$4,
    "Actual/365 Fixed",
      YEARFRAC(
        B763 + IF(INDEX(Input!$K$7:$K1503,ROW()-1),0,1),
        C763 + IF(INDEX(Input!$L$7:$L1503,ROW()-1),1,0),
        3
      ),
    "Anniversary/365",
      DATEDIF(
        B763 + IF(INDEX(Input!$K$7:$K1503,ROW()-1),0,1),
        C763 + IF(INDEX(Input!$L$7:$L1503,ROW()-1),1,0),
        "Y"
      )
      +
      (
        (C763 + IF(INDEX(Input!$L$7:$L1503,ROW()-1),1,0))
        -
        EDATE(
          B763 + IF(INDEX(Input!$K$7:$K1503,ROW()-1),0,1),
          12*DATEDIF(
            B763 + IF(INDEX(Input!$K$7:$K1503,ROW()-1),0,1),
            C763 + IF(INDEX(Input!$L$7:$L1503,ROW()-1),1,0),
            "Y"
          )
        )
      ) / 365,
    "Actual/Actual",
      YEARFRAC(
        B763 + IF(INDEX(Input!$K$7:$K1503,ROW()-1),0,1),
        C763 + IF(INDEX(Input!$L$7:$L1503,ROW()-1),1,0),
        1
      ),
      YEARFRAC(
        B763 + IF(INDEX(Input!$K$7:$K1503,ROW()-1),0,1),
        C763 + IF(INDEX(Input!$L$7:$L1503,ROW()-1),1,0),
        3
      )
  )
)</f>
        <v/>
      </c>
      <c r="S763" s="22" t="str">
        <f t="shared" si="4"/>
        <v/>
      </c>
      <c r="T763" s="6" t="str">
        <f t="array" ref="T763">IF(
  B763="",
  ,
  DATEDIF(
    B763 + IF(INDEX(Input!$K$7:$K1503,ROW()-1),0,1),
    C763 + IF(INDEX(Input!$L$7:$L1503,ROW()-1),1,0),
    "Y"
  )
)</f>
        <v/>
      </c>
      <c r="U763" s="6" t="str">
        <f t="array" ref="U763">IF(
  B763="",
  ,
  (C763 + IF(INDEX(Input!$L$7:$L1503,ROW()-1),1,0))
  - EDATE(
      B763 + IF(INDEX(Input!$K$7:$K1503,ROW()-1),0,1),
      12*S763
    )
)</f>
        <v/>
      </c>
      <c r="V763" s="6" t="str">
        <f t="shared" si="5"/>
        <v/>
      </c>
      <c r="W763" s="6" t="str">
        <f t="shared" si="6"/>
        <v/>
      </c>
    </row>
    <row r="764">
      <c r="A764" s="18"/>
      <c r="B764" s="18"/>
      <c r="C764" s="18"/>
      <c r="D764" s="18"/>
      <c r="E764" s="18"/>
      <c r="F764" s="18"/>
      <c r="G764" s="22"/>
      <c r="H764" s="18"/>
      <c r="I764" s="18">
        <v>0.0</v>
      </c>
      <c r="J764" s="18">
        <v>0.0</v>
      </c>
      <c r="K764" s="18"/>
      <c r="L764" s="18"/>
      <c r="M764" s="22" t="str">
        <f t="shared" si="1"/>
        <v/>
      </c>
      <c r="N764" s="18" t="str">
        <f>IF(A764="",,IF(ROW()=2, Input!$C$2 + I764, P763 + I764))</f>
        <v/>
      </c>
      <c r="O764" s="23" t="str">
        <f>IF(A764="",,
 IF(K764="Initial principal",
   Input!$C$2 * M764,
   N764 * M764
 )
)</f>
        <v/>
      </c>
      <c r="P764" s="18" t="str">
        <f t="shared" si="2"/>
        <v/>
      </c>
      <c r="Q764" s="18" t="str">
        <f t="shared" si="3"/>
        <v/>
      </c>
      <c r="R764" s="18" t="str">
        <f t="array" ref="R764">IF(
  B764="",
  ,
  SWITCH(
    Input!$C$4,
    "Actual/365 Fixed",
      YEARFRAC(
        B764 + IF(INDEX(Input!$K$7:$K1503,ROW()-1),0,1),
        C764 + IF(INDEX(Input!$L$7:$L1503,ROW()-1),1,0),
        3
      ),
    "Anniversary/365",
      DATEDIF(
        B764 + IF(INDEX(Input!$K$7:$K1503,ROW()-1),0,1),
        C764 + IF(INDEX(Input!$L$7:$L1503,ROW()-1),1,0),
        "Y"
      )
      +
      (
        (C764 + IF(INDEX(Input!$L$7:$L1503,ROW()-1),1,0))
        -
        EDATE(
          B764 + IF(INDEX(Input!$K$7:$K1503,ROW()-1),0,1),
          12*DATEDIF(
            B764 + IF(INDEX(Input!$K$7:$K1503,ROW()-1),0,1),
            C764 + IF(INDEX(Input!$L$7:$L1503,ROW()-1),1,0),
            "Y"
          )
        )
      ) / 365,
    "Actual/Actual",
      YEARFRAC(
        B764 + IF(INDEX(Input!$K$7:$K1503,ROW()-1),0,1),
        C764 + IF(INDEX(Input!$L$7:$L1503,ROW()-1),1,0),
        1
      ),
      YEARFRAC(
        B764 + IF(INDEX(Input!$K$7:$K1503,ROW()-1),0,1),
        C764 + IF(INDEX(Input!$L$7:$L1503,ROW()-1),1,0),
        3
      )
  )
)</f>
        <v/>
      </c>
      <c r="S764" s="22" t="str">
        <f t="shared" si="4"/>
        <v/>
      </c>
      <c r="T764" s="6" t="str">
        <f t="array" ref="T764">IF(
  B764="",
  ,
  DATEDIF(
    B764 + IF(INDEX(Input!$K$7:$K1503,ROW()-1),0,1),
    C764 + IF(INDEX(Input!$L$7:$L1503,ROW()-1),1,0),
    "Y"
  )
)</f>
        <v/>
      </c>
      <c r="U764" s="6" t="str">
        <f t="array" ref="U764">IF(
  B764="",
  ,
  (C764 + IF(INDEX(Input!$L$7:$L1503,ROW()-1),1,0))
  - EDATE(
      B764 + IF(INDEX(Input!$K$7:$K1503,ROW()-1),0,1),
      12*S764
    )
)</f>
        <v/>
      </c>
      <c r="V764" s="6" t="str">
        <f t="shared" si="5"/>
        <v/>
      </c>
      <c r="W764" s="6" t="str">
        <f t="shared" si="6"/>
        <v/>
      </c>
    </row>
    <row r="765">
      <c r="A765" s="18"/>
      <c r="B765" s="18"/>
      <c r="C765" s="18"/>
      <c r="D765" s="18"/>
      <c r="E765" s="18"/>
      <c r="F765" s="18"/>
      <c r="G765" s="22"/>
      <c r="H765" s="18"/>
      <c r="I765" s="18">
        <v>0.0</v>
      </c>
      <c r="J765" s="18">
        <v>0.0</v>
      </c>
      <c r="K765" s="18"/>
      <c r="L765" s="18"/>
      <c r="M765" s="22" t="str">
        <f t="shared" si="1"/>
        <v/>
      </c>
      <c r="N765" s="18" t="str">
        <f>IF(A765="",,IF(ROW()=2, Input!$C$2 + I765, P764 + I765))</f>
        <v/>
      </c>
      <c r="O765" s="23" t="str">
        <f>IF(A765="",,
 IF(K765="Initial principal",
   Input!$C$2 * M765,
   N765 * M765
 )
)</f>
        <v/>
      </c>
      <c r="P765" s="18" t="str">
        <f t="shared" si="2"/>
        <v/>
      </c>
      <c r="Q765" s="18" t="str">
        <f t="shared" si="3"/>
        <v/>
      </c>
      <c r="R765" s="18" t="str">
        <f t="array" ref="R765">IF(
  B765="",
  ,
  SWITCH(
    Input!$C$4,
    "Actual/365 Fixed",
      YEARFRAC(
        B765 + IF(INDEX(Input!$K$7:$K1503,ROW()-1),0,1),
        C765 + IF(INDEX(Input!$L$7:$L1503,ROW()-1),1,0),
        3
      ),
    "Anniversary/365",
      DATEDIF(
        B765 + IF(INDEX(Input!$K$7:$K1503,ROW()-1),0,1),
        C765 + IF(INDEX(Input!$L$7:$L1503,ROW()-1),1,0),
        "Y"
      )
      +
      (
        (C765 + IF(INDEX(Input!$L$7:$L1503,ROW()-1),1,0))
        -
        EDATE(
          B765 + IF(INDEX(Input!$K$7:$K1503,ROW()-1),0,1),
          12*DATEDIF(
            B765 + IF(INDEX(Input!$K$7:$K1503,ROW()-1),0,1),
            C765 + IF(INDEX(Input!$L$7:$L1503,ROW()-1),1,0),
            "Y"
          )
        )
      ) / 365,
    "Actual/Actual",
      YEARFRAC(
        B765 + IF(INDEX(Input!$K$7:$K1503,ROW()-1),0,1),
        C765 + IF(INDEX(Input!$L$7:$L1503,ROW()-1),1,0),
        1
      ),
      YEARFRAC(
        B765 + IF(INDEX(Input!$K$7:$K1503,ROW()-1),0,1),
        C765 + IF(INDEX(Input!$L$7:$L1503,ROW()-1),1,0),
        3
      )
  )
)</f>
        <v/>
      </c>
      <c r="S765" s="22" t="str">
        <f t="shared" si="4"/>
        <v/>
      </c>
      <c r="T765" s="6" t="str">
        <f t="array" ref="T765">IF(
  B765="",
  ,
  DATEDIF(
    B765 + IF(INDEX(Input!$K$7:$K1503,ROW()-1),0,1),
    C765 + IF(INDEX(Input!$L$7:$L1503,ROW()-1),1,0),
    "Y"
  )
)</f>
        <v/>
      </c>
      <c r="U765" s="6" t="str">
        <f t="array" ref="U765">IF(
  B765="",
  ,
  (C765 + IF(INDEX(Input!$L$7:$L1503,ROW()-1),1,0))
  - EDATE(
      B765 + IF(INDEX(Input!$K$7:$K1503,ROW()-1),0,1),
      12*S765
    )
)</f>
        <v/>
      </c>
      <c r="V765" s="6" t="str">
        <f t="shared" si="5"/>
        <v/>
      </c>
      <c r="W765" s="6" t="str">
        <f t="shared" si="6"/>
        <v/>
      </c>
    </row>
    <row r="766">
      <c r="A766" s="18"/>
      <c r="B766" s="18"/>
      <c r="C766" s="18"/>
      <c r="D766" s="18"/>
      <c r="E766" s="18"/>
      <c r="F766" s="18"/>
      <c r="G766" s="22"/>
      <c r="H766" s="18"/>
      <c r="I766" s="18">
        <v>0.0</v>
      </c>
      <c r="J766" s="18">
        <v>0.0</v>
      </c>
      <c r="K766" s="18"/>
      <c r="L766" s="18"/>
      <c r="M766" s="22" t="str">
        <f t="shared" si="1"/>
        <v/>
      </c>
      <c r="N766" s="18" t="str">
        <f>IF(A766="",,IF(ROW()=2, Input!$C$2 + I766, P765 + I766))</f>
        <v/>
      </c>
      <c r="O766" s="23" t="str">
        <f>IF(A766="",,
 IF(K766="Initial principal",
   Input!$C$2 * M766,
   N766 * M766
 )
)</f>
        <v/>
      </c>
      <c r="P766" s="18" t="str">
        <f t="shared" si="2"/>
        <v/>
      </c>
      <c r="Q766" s="18" t="str">
        <f t="shared" si="3"/>
        <v/>
      </c>
      <c r="R766" s="18" t="str">
        <f t="array" ref="R766">IF(
  B766="",
  ,
  SWITCH(
    Input!$C$4,
    "Actual/365 Fixed",
      YEARFRAC(
        B766 + IF(INDEX(Input!$K$7:$K1503,ROW()-1),0,1),
        C766 + IF(INDEX(Input!$L$7:$L1503,ROW()-1),1,0),
        3
      ),
    "Anniversary/365",
      DATEDIF(
        B766 + IF(INDEX(Input!$K$7:$K1503,ROW()-1),0,1),
        C766 + IF(INDEX(Input!$L$7:$L1503,ROW()-1),1,0),
        "Y"
      )
      +
      (
        (C766 + IF(INDEX(Input!$L$7:$L1503,ROW()-1),1,0))
        -
        EDATE(
          B766 + IF(INDEX(Input!$K$7:$K1503,ROW()-1),0,1),
          12*DATEDIF(
            B766 + IF(INDEX(Input!$K$7:$K1503,ROW()-1),0,1),
            C766 + IF(INDEX(Input!$L$7:$L1503,ROW()-1),1,0),
            "Y"
          )
        )
      ) / 365,
    "Actual/Actual",
      YEARFRAC(
        B766 + IF(INDEX(Input!$K$7:$K1503,ROW()-1),0,1),
        C766 + IF(INDEX(Input!$L$7:$L1503,ROW()-1),1,0),
        1
      ),
      YEARFRAC(
        B766 + IF(INDEX(Input!$K$7:$K1503,ROW()-1),0,1),
        C766 + IF(INDEX(Input!$L$7:$L1503,ROW()-1),1,0),
        3
      )
  )
)</f>
        <v/>
      </c>
      <c r="S766" s="22" t="str">
        <f t="shared" si="4"/>
        <v/>
      </c>
      <c r="T766" s="6" t="str">
        <f t="array" ref="T766">IF(
  B766="",
  ,
  DATEDIF(
    B766 + IF(INDEX(Input!$K$7:$K1503,ROW()-1),0,1),
    C766 + IF(INDEX(Input!$L$7:$L1503,ROW()-1),1,0),
    "Y"
  )
)</f>
        <v/>
      </c>
      <c r="U766" s="6" t="str">
        <f t="array" ref="U766">IF(
  B766="",
  ,
  (C766 + IF(INDEX(Input!$L$7:$L1503,ROW()-1),1,0))
  - EDATE(
      B766 + IF(INDEX(Input!$K$7:$K1503,ROW()-1),0,1),
      12*S766
    )
)</f>
        <v/>
      </c>
      <c r="V766" s="6" t="str">
        <f t="shared" si="5"/>
        <v/>
      </c>
      <c r="W766" s="6" t="str">
        <f t="shared" si="6"/>
        <v/>
      </c>
    </row>
    <row r="767">
      <c r="A767" s="18"/>
      <c r="B767" s="18"/>
      <c r="C767" s="18"/>
      <c r="D767" s="18"/>
      <c r="E767" s="18"/>
      <c r="F767" s="18"/>
      <c r="G767" s="22"/>
      <c r="H767" s="18"/>
      <c r="I767" s="18">
        <v>0.0</v>
      </c>
      <c r="J767" s="18">
        <v>0.0</v>
      </c>
      <c r="K767" s="18"/>
      <c r="L767" s="18"/>
      <c r="M767" s="22" t="str">
        <f t="shared" si="1"/>
        <v/>
      </c>
      <c r="N767" s="18" t="str">
        <f>IF(A767="",,IF(ROW()=2, Input!$C$2 + I767, P766 + I767))</f>
        <v/>
      </c>
      <c r="O767" s="23" t="str">
        <f>IF(A767="",,
 IF(K767="Initial principal",
   Input!$C$2 * M767,
   N767 * M767
 )
)</f>
        <v/>
      </c>
      <c r="P767" s="18" t="str">
        <f t="shared" si="2"/>
        <v/>
      </c>
      <c r="Q767" s="18" t="str">
        <f t="shared" si="3"/>
        <v/>
      </c>
      <c r="R767" s="18" t="str">
        <f t="array" ref="R767">IF(
  B767="",
  ,
  SWITCH(
    Input!$C$4,
    "Actual/365 Fixed",
      YEARFRAC(
        B767 + IF(INDEX(Input!$K$7:$K1503,ROW()-1),0,1),
        C767 + IF(INDEX(Input!$L$7:$L1503,ROW()-1),1,0),
        3
      ),
    "Anniversary/365",
      DATEDIF(
        B767 + IF(INDEX(Input!$K$7:$K1503,ROW()-1),0,1),
        C767 + IF(INDEX(Input!$L$7:$L1503,ROW()-1),1,0),
        "Y"
      )
      +
      (
        (C767 + IF(INDEX(Input!$L$7:$L1503,ROW()-1),1,0))
        -
        EDATE(
          B767 + IF(INDEX(Input!$K$7:$K1503,ROW()-1),0,1),
          12*DATEDIF(
            B767 + IF(INDEX(Input!$K$7:$K1503,ROW()-1),0,1),
            C767 + IF(INDEX(Input!$L$7:$L1503,ROW()-1),1,0),
            "Y"
          )
        )
      ) / 365,
    "Actual/Actual",
      YEARFRAC(
        B767 + IF(INDEX(Input!$K$7:$K1503,ROW()-1),0,1),
        C767 + IF(INDEX(Input!$L$7:$L1503,ROW()-1),1,0),
        1
      ),
      YEARFRAC(
        B767 + IF(INDEX(Input!$K$7:$K1503,ROW()-1),0,1),
        C767 + IF(INDEX(Input!$L$7:$L1503,ROW()-1),1,0),
        3
      )
  )
)</f>
        <v/>
      </c>
      <c r="S767" s="22" t="str">
        <f t="shared" si="4"/>
        <v/>
      </c>
      <c r="T767" s="6" t="str">
        <f t="array" ref="T767">IF(
  B767="",
  ,
  DATEDIF(
    B767 + IF(INDEX(Input!$K$7:$K1503,ROW()-1),0,1),
    C767 + IF(INDEX(Input!$L$7:$L1503,ROW()-1),1,0),
    "Y"
  )
)</f>
        <v/>
      </c>
      <c r="U767" s="6" t="str">
        <f t="array" ref="U767">IF(
  B767="",
  ,
  (C767 + IF(INDEX(Input!$L$7:$L1503,ROW()-1),1,0))
  - EDATE(
      B767 + IF(INDEX(Input!$K$7:$K1503,ROW()-1),0,1),
      12*S767
    )
)</f>
        <v/>
      </c>
      <c r="V767" s="6" t="str">
        <f t="shared" si="5"/>
        <v/>
      </c>
      <c r="W767" s="6" t="str">
        <f t="shared" si="6"/>
        <v/>
      </c>
    </row>
    <row r="768">
      <c r="A768" s="18"/>
      <c r="B768" s="18"/>
      <c r="C768" s="18"/>
      <c r="D768" s="18"/>
      <c r="E768" s="18"/>
      <c r="F768" s="18"/>
      <c r="G768" s="22"/>
      <c r="H768" s="18"/>
      <c r="I768" s="18">
        <v>0.0</v>
      </c>
      <c r="J768" s="18">
        <v>0.0</v>
      </c>
      <c r="K768" s="18"/>
      <c r="L768" s="18"/>
      <c r="M768" s="22" t="str">
        <f t="shared" si="1"/>
        <v/>
      </c>
      <c r="N768" s="18" t="str">
        <f>IF(A768="",,IF(ROW()=2, Input!$C$2 + I768, P767 + I768))</f>
        <v/>
      </c>
      <c r="O768" s="23" t="str">
        <f>IF(A768="",,
 IF(K768="Initial principal",
   Input!$C$2 * M768,
   N768 * M768
 )
)</f>
        <v/>
      </c>
      <c r="P768" s="18" t="str">
        <f t="shared" si="2"/>
        <v/>
      </c>
      <c r="Q768" s="18" t="str">
        <f t="shared" si="3"/>
        <v/>
      </c>
      <c r="R768" s="18" t="str">
        <f t="array" ref="R768">IF(
  B768="",
  ,
  SWITCH(
    Input!$C$4,
    "Actual/365 Fixed",
      YEARFRAC(
        B768 + IF(INDEX(Input!$K$7:$K1503,ROW()-1),0,1),
        C768 + IF(INDEX(Input!$L$7:$L1503,ROW()-1),1,0),
        3
      ),
    "Anniversary/365",
      DATEDIF(
        B768 + IF(INDEX(Input!$K$7:$K1503,ROW()-1),0,1),
        C768 + IF(INDEX(Input!$L$7:$L1503,ROW()-1),1,0),
        "Y"
      )
      +
      (
        (C768 + IF(INDEX(Input!$L$7:$L1503,ROW()-1),1,0))
        -
        EDATE(
          B768 + IF(INDEX(Input!$K$7:$K1503,ROW()-1),0,1),
          12*DATEDIF(
            B768 + IF(INDEX(Input!$K$7:$K1503,ROW()-1),0,1),
            C768 + IF(INDEX(Input!$L$7:$L1503,ROW()-1),1,0),
            "Y"
          )
        )
      ) / 365,
    "Actual/Actual",
      YEARFRAC(
        B768 + IF(INDEX(Input!$K$7:$K1503,ROW()-1),0,1),
        C768 + IF(INDEX(Input!$L$7:$L1503,ROW()-1),1,0),
        1
      ),
      YEARFRAC(
        B768 + IF(INDEX(Input!$K$7:$K1503,ROW()-1),0,1),
        C768 + IF(INDEX(Input!$L$7:$L1503,ROW()-1),1,0),
        3
      )
  )
)</f>
        <v/>
      </c>
      <c r="S768" s="22" t="str">
        <f t="shared" si="4"/>
        <v/>
      </c>
      <c r="T768" s="6" t="str">
        <f t="array" ref="T768">IF(
  B768="",
  ,
  DATEDIF(
    B768 + IF(INDEX(Input!$K$7:$K1503,ROW()-1),0,1),
    C768 + IF(INDEX(Input!$L$7:$L1503,ROW()-1),1,0),
    "Y"
  )
)</f>
        <v/>
      </c>
      <c r="U768" s="6" t="str">
        <f t="array" ref="U768">IF(
  B768="",
  ,
  (C768 + IF(INDEX(Input!$L$7:$L1503,ROW()-1),1,0))
  - EDATE(
      B768 + IF(INDEX(Input!$K$7:$K1503,ROW()-1),0,1),
      12*S768
    )
)</f>
        <v/>
      </c>
      <c r="V768" s="6" t="str">
        <f t="shared" si="5"/>
        <v/>
      </c>
      <c r="W768" s="6" t="str">
        <f t="shared" si="6"/>
        <v/>
      </c>
    </row>
    <row r="769">
      <c r="A769" s="18"/>
      <c r="B769" s="18"/>
      <c r="C769" s="18"/>
      <c r="D769" s="18"/>
      <c r="E769" s="18"/>
      <c r="F769" s="18"/>
      <c r="G769" s="22"/>
      <c r="H769" s="18"/>
      <c r="I769" s="18">
        <v>0.0</v>
      </c>
      <c r="J769" s="18">
        <v>0.0</v>
      </c>
      <c r="K769" s="18"/>
      <c r="L769" s="18"/>
      <c r="M769" s="22" t="str">
        <f t="shared" si="1"/>
        <v/>
      </c>
      <c r="N769" s="18" t="str">
        <f>IF(A769="",,IF(ROW()=2, Input!$C$2 + I769, P768 + I769))</f>
        <v/>
      </c>
      <c r="O769" s="23" t="str">
        <f>IF(A769="",,
 IF(K769="Initial principal",
   Input!$C$2 * M769,
   N769 * M769
 )
)</f>
        <v/>
      </c>
      <c r="P769" s="18" t="str">
        <f t="shared" si="2"/>
        <v/>
      </c>
      <c r="Q769" s="18" t="str">
        <f t="shared" si="3"/>
        <v/>
      </c>
      <c r="R769" s="18" t="str">
        <f t="array" ref="R769">IF(
  B769="",
  ,
  SWITCH(
    Input!$C$4,
    "Actual/365 Fixed",
      YEARFRAC(
        B769 + IF(INDEX(Input!$K$7:$K1503,ROW()-1),0,1),
        C769 + IF(INDEX(Input!$L$7:$L1503,ROW()-1),1,0),
        3
      ),
    "Anniversary/365",
      DATEDIF(
        B769 + IF(INDEX(Input!$K$7:$K1503,ROW()-1),0,1),
        C769 + IF(INDEX(Input!$L$7:$L1503,ROW()-1),1,0),
        "Y"
      )
      +
      (
        (C769 + IF(INDEX(Input!$L$7:$L1503,ROW()-1),1,0))
        -
        EDATE(
          B769 + IF(INDEX(Input!$K$7:$K1503,ROW()-1),0,1),
          12*DATEDIF(
            B769 + IF(INDEX(Input!$K$7:$K1503,ROW()-1),0,1),
            C769 + IF(INDEX(Input!$L$7:$L1503,ROW()-1),1,0),
            "Y"
          )
        )
      ) / 365,
    "Actual/Actual",
      YEARFRAC(
        B769 + IF(INDEX(Input!$K$7:$K1503,ROW()-1),0,1),
        C769 + IF(INDEX(Input!$L$7:$L1503,ROW()-1),1,0),
        1
      ),
      YEARFRAC(
        B769 + IF(INDEX(Input!$K$7:$K1503,ROW()-1),0,1),
        C769 + IF(INDEX(Input!$L$7:$L1503,ROW()-1),1,0),
        3
      )
  )
)</f>
        <v/>
      </c>
      <c r="S769" s="22" t="str">
        <f t="shared" si="4"/>
        <v/>
      </c>
      <c r="T769" s="6" t="str">
        <f t="array" ref="T769">IF(
  B769="",
  ,
  DATEDIF(
    B769 + IF(INDEX(Input!$K$7:$K1503,ROW()-1),0,1),
    C769 + IF(INDEX(Input!$L$7:$L1503,ROW()-1),1,0),
    "Y"
  )
)</f>
        <v/>
      </c>
      <c r="U769" s="6" t="str">
        <f t="array" ref="U769">IF(
  B769="",
  ,
  (C769 + IF(INDEX(Input!$L$7:$L1503,ROW()-1),1,0))
  - EDATE(
      B769 + IF(INDEX(Input!$K$7:$K1503,ROW()-1),0,1),
      12*S769
    )
)</f>
        <v/>
      </c>
      <c r="V769" s="6" t="str">
        <f t="shared" si="5"/>
        <v/>
      </c>
      <c r="W769" s="6" t="str">
        <f t="shared" si="6"/>
        <v/>
      </c>
    </row>
    <row r="770">
      <c r="A770" s="18"/>
      <c r="B770" s="18"/>
      <c r="C770" s="18"/>
      <c r="D770" s="18"/>
      <c r="E770" s="18"/>
      <c r="F770" s="18"/>
      <c r="G770" s="22"/>
      <c r="H770" s="18"/>
      <c r="I770" s="18">
        <v>0.0</v>
      </c>
      <c r="J770" s="18">
        <v>0.0</v>
      </c>
      <c r="K770" s="18"/>
      <c r="L770" s="18"/>
      <c r="M770" s="22" t="str">
        <f t="shared" si="1"/>
        <v/>
      </c>
      <c r="N770" s="18" t="str">
        <f>IF(A770="",,IF(ROW()=2, Input!$C$2 + I770, P769 + I770))</f>
        <v/>
      </c>
      <c r="O770" s="23" t="str">
        <f>IF(A770="",,
 IF(K770="Initial principal",
   Input!$C$2 * M770,
   N770 * M770
 )
)</f>
        <v/>
      </c>
      <c r="P770" s="18" t="str">
        <f t="shared" si="2"/>
        <v/>
      </c>
      <c r="Q770" s="18" t="str">
        <f t="shared" si="3"/>
        <v/>
      </c>
      <c r="R770" s="18" t="str">
        <f t="array" ref="R770">IF(
  B770="",
  ,
  SWITCH(
    Input!$C$4,
    "Actual/365 Fixed",
      YEARFRAC(
        B770 + IF(INDEX(Input!$K$7:$K1503,ROW()-1),0,1),
        C770 + IF(INDEX(Input!$L$7:$L1503,ROW()-1),1,0),
        3
      ),
    "Anniversary/365",
      DATEDIF(
        B770 + IF(INDEX(Input!$K$7:$K1503,ROW()-1),0,1),
        C770 + IF(INDEX(Input!$L$7:$L1503,ROW()-1),1,0),
        "Y"
      )
      +
      (
        (C770 + IF(INDEX(Input!$L$7:$L1503,ROW()-1),1,0))
        -
        EDATE(
          B770 + IF(INDEX(Input!$K$7:$K1503,ROW()-1),0,1),
          12*DATEDIF(
            B770 + IF(INDEX(Input!$K$7:$K1503,ROW()-1),0,1),
            C770 + IF(INDEX(Input!$L$7:$L1503,ROW()-1),1,0),
            "Y"
          )
        )
      ) / 365,
    "Actual/Actual",
      YEARFRAC(
        B770 + IF(INDEX(Input!$K$7:$K1503,ROW()-1),0,1),
        C770 + IF(INDEX(Input!$L$7:$L1503,ROW()-1),1,0),
        1
      ),
      YEARFRAC(
        B770 + IF(INDEX(Input!$K$7:$K1503,ROW()-1),0,1),
        C770 + IF(INDEX(Input!$L$7:$L1503,ROW()-1),1,0),
        3
      )
  )
)</f>
        <v/>
      </c>
      <c r="S770" s="22" t="str">
        <f t="shared" si="4"/>
        <v/>
      </c>
      <c r="T770" s="6" t="str">
        <f t="array" ref="T770">IF(
  B770="",
  ,
  DATEDIF(
    B770 + IF(INDEX(Input!$K$7:$K1503,ROW()-1),0,1),
    C770 + IF(INDEX(Input!$L$7:$L1503,ROW()-1),1,0),
    "Y"
  )
)</f>
        <v/>
      </c>
      <c r="U770" s="6" t="str">
        <f t="array" ref="U770">IF(
  B770="",
  ,
  (C770 + IF(INDEX(Input!$L$7:$L1503,ROW()-1),1,0))
  - EDATE(
      B770 + IF(INDEX(Input!$K$7:$K1503,ROW()-1),0,1),
      12*S770
    )
)</f>
        <v/>
      </c>
      <c r="V770" s="6" t="str">
        <f t="shared" si="5"/>
        <v/>
      </c>
      <c r="W770" s="6" t="str">
        <f t="shared" si="6"/>
        <v/>
      </c>
    </row>
    <row r="771">
      <c r="A771" s="18"/>
      <c r="B771" s="18"/>
      <c r="C771" s="18"/>
      <c r="D771" s="18"/>
      <c r="E771" s="18"/>
      <c r="F771" s="18"/>
      <c r="G771" s="22"/>
      <c r="H771" s="18"/>
      <c r="I771" s="18">
        <v>0.0</v>
      </c>
      <c r="J771" s="18">
        <v>0.0</v>
      </c>
      <c r="K771" s="18"/>
      <c r="L771" s="18"/>
      <c r="M771" s="22" t="str">
        <f t="shared" si="1"/>
        <v/>
      </c>
      <c r="N771" s="18" t="str">
        <f>IF(A771="",,IF(ROW()=2, Input!$C$2 + I771, P770 + I771))</f>
        <v/>
      </c>
      <c r="O771" s="23" t="str">
        <f>IF(A771="",,
 IF(K771="Initial principal",
   Input!$C$2 * M771,
   N771 * M771
 )
)</f>
        <v/>
      </c>
      <c r="P771" s="18" t="str">
        <f t="shared" si="2"/>
        <v/>
      </c>
      <c r="Q771" s="18" t="str">
        <f t="shared" si="3"/>
        <v/>
      </c>
      <c r="R771" s="18" t="str">
        <f t="array" ref="R771">IF(
  B771="",
  ,
  SWITCH(
    Input!$C$4,
    "Actual/365 Fixed",
      YEARFRAC(
        B771 + IF(INDEX(Input!$K$7:$K1503,ROW()-1),0,1),
        C771 + IF(INDEX(Input!$L$7:$L1503,ROW()-1),1,0),
        3
      ),
    "Anniversary/365",
      DATEDIF(
        B771 + IF(INDEX(Input!$K$7:$K1503,ROW()-1),0,1),
        C771 + IF(INDEX(Input!$L$7:$L1503,ROW()-1),1,0),
        "Y"
      )
      +
      (
        (C771 + IF(INDEX(Input!$L$7:$L1503,ROW()-1),1,0))
        -
        EDATE(
          B771 + IF(INDEX(Input!$K$7:$K1503,ROW()-1),0,1),
          12*DATEDIF(
            B771 + IF(INDEX(Input!$K$7:$K1503,ROW()-1),0,1),
            C771 + IF(INDEX(Input!$L$7:$L1503,ROW()-1),1,0),
            "Y"
          )
        )
      ) / 365,
    "Actual/Actual",
      YEARFRAC(
        B771 + IF(INDEX(Input!$K$7:$K1503,ROW()-1),0,1),
        C771 + IF(INDEX(Input!$L$7:$L1503,ROW()-1),1,0),
        1
      ),
      YEARFRAC(
        B771 + IF(INDEX(Input!$K$7:$K1503,ROW()-1),0,1),
        C771 + IF(INDEX(Input!$L$7:$L1503,ROW()-1),1,0),
        3
      )
  )
)</f>
        <v/>
      </c>
      <c r="S771" s="22" t="str">
        <f t="shared" si="4"/>
        <v/>
      </c>
      <c r="T771" s="6" t="str">
        <f t="array" ref="T771">IF(
  B771="",
  ,
  DATEDIF(
    B771 + IF(INDEX(Input!$K$7:$K1503,ROW()-1),0,1),
    C771 + IF(INDEX(Input!$L$7:$L1503,ROW()-1),1,0),
    "Y"
  )
)</f>
        <v/>
      </c>
      <c r="U771" s="6" t="str">
        <f t="array" ref="U771">IF(
  B771="",
  ,
  (C771 + IF(INDEX(Input!$L$7:$L1503,ROW()-1),1,0))
  - EDATE(
      B771 + IF(INDEX(Input!$K$7:$K1503,ROW()-1),0,1),
      12*S771
    )
)</f>
        <v/>
      </c>
      <c r="V771" s="6" t="str">
        <f t="shared" si="5"/>
        <v/>
      </c>
      <c r="W771" s="6" t="str">
        <f t="shared" si="6"/>
        <v/>
      </c>
    </row>
    <row r="772">
      <c r="A772" s="18"/>
      <c r="B772" s="18"/>
      <c r="C772" s="18"/>
      <c r="D772" s="18"/>
      <c r="E772" s="18"/>
      <c r="F772" s="18"/>
      <c r="G772" s="22"/>
      <c r="H772" s="18"/>
      <c r="I772" s="18">
        <v>0.0</v>
      </c>
      <c r="J772" s="18">
        <v>0.0</v>
      </c>
      <c r="K772" s="18"/>
      <c r="L772" s="18"/>
      <c r="M772" s="22" t="str">
        <f t="shared" si="1"/>
        <v/>
      </c>
      <c r="N772" s="18" t="str">
        <f>IF(A772="",,IF(ROW()=2, Input!$C$2 + I772, P771 + I772))</f>
        <v/>
      </c>
      <c r="O772" s="23" t="str">
        <f>IF(A772="",,
 IF(K772="Initial principal",
   Input!$C$2 * M772,
   N772 * M772
 )
)</f>
        <v/>
      </c>
      <c r="P772" s="18" t="str">
        <f t="shared" si="2"/>
        <v/>
      </c>
      <c r="Q772" s="18" t="str">
        <f t="shared" si="3"/>
        <v/>
      </c>
      <c r="R772" s="18" t="str">
        <f t="array" ref="R772">IF(
  B772="",
  ,
  SWITCH(
    Input!$C$4,
    "Actual/365 Fixed",
      YEARFRAC(
        B772 + IF(INDEX(Input!$K$7:$K1503,ROW()-1),0,1),
        C772 + IF(INDEX(Input!$L$7:$L1503,ROW()-1),1,0),
        3
      ),
    "Anniversary/365",
      DATEDIF(
        B772 + IF(INDEX(Input!$K$7:$K1503,ROW()-1),0,1),
        C772 + IF(INDEX(Input!$L$7:$L1503,ROW()-1),1,0),
        "Y"
      )
      +
      (
        (C772 + IF(INDEX(Input!$L$7:$L1503,ROW()-1),1,0))
        -
        EDATE(
          B772 + IF(INDEX(Input!$K$7:$K1503,ROW()-1),0,1),
          12*DATEDIF(
            B772 + IF(INDEX(Input!$K$7:$K1503,ROW()-1),0,1),
            C772 + IF(INDEX(Input!$L$7:$L1503,ROW()-1),1,0),
            "Y"
          )
        )
      ) / 365,
    "Actual/Actual",
      YEARFRAC(
        B772 + IF(INDEX(Input!$K$7:$K1503,ROW()-1),0,1),
        C772 + IF(INDEX(Input!$L$7:$L1503,ROW()-1),1,0),
        1
      ),
      YEARFRAC(
        B772 + IF(INDEX(Input!$K$7:$K1503,ROW()-1),0,1),
        C772 + IF(INDEX(Input!$L$7:$L1503,ROW()-1),1,0),
        3
      )
  )
)</f>
        <v/>
      </c>
      <c r="S772" s="22" t="str">
        <f t="shared" si="4"/>
        <v/>
      </c>
      <c r="T772" s="6" t="str">
        <f t="array" ref="T772">IF(
  B772="",
  ,
  DATEDIF(
    B772 + IF(INDEX(Input!$K$7:$K1503,ROW()-1),0,1),
    C772 + IF(INDEX(Input!$L$7:$L1503,ROW()-1),1,0),
    "Y"
  )
)</f>
        <v/>
      </c>
      <c r="U772" s="6" t="str">
        <f t="array" ref="U772">IF(
  B772="",
  ,
  (C772 + IF(INDEX(Input!$L$7:$L1503,ROW()-1),1,0))
  - EDATE(
      B772 + IF(INDEX(Input!$K$7:$K1503,ROW()-1),0,1),
      12*S772
    )
)</f>
        <v/>
      </c>
      <c r="V772" s="6" t="str">
        <f t="shared" si="5"/>
        <v/>
      </c>
      <c r="W772" s="6" t="str">
        <f t="shared" si="6"/>
        <v/>
      </c>
    </row>
    <row r="773">
      <c r="A773" s="18"/>
      <c r="B773" s="18"/>
      <c r="C773" s="18"/>
      <c r="D773" s="18"/>
      <c r="E773" s="18"/>
      <c r="F773" s="18"/>
      <c r="G773" s="22"/>
      <c r="H773" s="18"/>
      <c r="I773" s="18">
        <v>0.0</v>
      </c>
      <c r="J773" s="18">
        <v>0.0</v>
      </c>
      <c r="K773" s="18"/>
      <c r="L773" s="18"/>
      <c r="M773" s="22" t="str">
        <f t="shared" si="1"/>
        <v/>
      </c>
      <c r="N773" s="18" t="str">
        <f>IF(A773="",,IF(ROW()=2, Input!$C$2 + I773, P772 + I773))</f>
        <v/>
      </c>
      <c r="O773" s="23" t="str">
        <f>IF(A773="",,
 IF(K773="Initial principal",
   Input!$C$2 * M773,
   N773 * M773
 )
)</f>
        <v/>
      </c>
      <c r="P773" s="18" t="str">
        <f t="shared" si="2"/>
        <v/>
      </c>
      <c r="Q773" s="18" t="str">
        <f t="shared" si="3"/>
        <v/>
      </c>
      <c r="R773" s="18" t="str">
        <f t="array" ref="R773">IF(
  B773="",
  ,
  SWITCH(
    Input!$C$4,
    "Actual/365 Fixed",
      YEARFRAC(
        B773 + IF(INDEX(Input!$K$7:$K1503,ROW()-1),0,1),
        C773 + IF(INDEX(Input!$L$7:$L1503,ROW()-1),1,0),
        3
      ),
    "Anniversary/365",
      DATEDIF(
        B773 + IF(INDEX(Input!$K$7:$K1503,ROW()-1),0,1),
        C773 + IF(INDEX(Input!$L$7:$L1503,ROW()-1),1,0),
        "Y"
      )
      +
      (
        (C773 + IF(INDEX(Input!$L$7:$L1503,ROW()-1),1,0))
        -
        EDATE(
          B773 + IF(INDEX(Input!$K$7:$K1503,ROW()-1),0,1),
          12*DATEDIF(
            B773 + IF(INDEX(Input!$K$7:$K1503,ROW()-1),0,1),
            C773 + IF(INDEX(Input!$L$7:$L1503,ROW()-1),1,0),
            "Y"
          )
        )
      ) / 365,
    "Actual/Actual",
      YEARFRAC(
        B773 + IF(INDEX(Input!$K$7:$K1503,ROW()-1),0,1),
        C773 + IF(INDEX(Input!$L$7:$L1503,ROW()-1),1,0),
        1
      ),
      YEARFRAC(
        B773 + IF(INDEX(Input!$K$7:$K1503,ROW()-1),0,1),
        C773 + IF(INDEX(Input!$L$7:$L1503,ROW()-1),1,0),
        3
      )
  )
)</f>
        <v/>
      </c>
      <c r="S773" s="22" t="str">
        <f t="shared" si="4"/>
        <v/>
      </c>
      <c r="T773" s="6" t="str">
        <f t="array" ref="T773">IF(
  B773="",
  ,
  DATEDIF(
    B773 + IF(INDEX(Input!$K$7:$K1503,ROW()-1),0,1),
    C773 + IF(INDEX(Input!$L$7:$L1503,ROW()-1),1,0),
    "Y"
  )
)</f>
        <v/>
      </c>
      <c r="U773" s="6" t="str">
        <f t="array" ref="U773">IF(
  B773="",
  ,
  (C773 + IF(INDEX(Input!$L$7:$L1503,ROW()-1),1,0))
  - EDATE(
      B773 + IF(INDEX(Input!$K$7:$K1503,ROW()-1),0,1),
      12*S773
    )
)</f>
        <v/>
      </c>
      <c r="V773" s="6" t="str">
        <f t="shared" si="5"/>
        <v/>
      </c>
      <c r="W773" s="6" t="str">
        <f t="shared" si="6"/>
        <v/>
      </c>
    </row>
    <row r="774">
      <c r="A774" s="18"/>
      <c r="B774" s="18"/>
      <c r="C774" s="18"/>
      <c r="D774" s="18"/>
      <c r="E774" s="18"/>
      <c r="F774" s="18"/>
      <c r="G774" s="22"/>
      <c r="H774" s="18"/>
      <c r="I774" s="18">
        <v>0.0</v>
      </c>
      <c r="J774" s="18">
        <v>0.0</v>
      </c>
      <c r="K774" s="18"/>
      <c r="L774" s="18"/>
      <c r="M774" s="22" t="str">
        <f t="shared" si="1"/>
        <v/>
      </c>
      <c r="N774" s="18" t="str">
        <f>IF(A774="",,IF(ROW()=2, Input!$C$2 + I774, P773 + I774))</f>
        <v/>
      </c>
      <c r="O774" s="23" t="str">
        <f>IF(A774="",,
 IF(K774="Initial principal",
   Input!$C$2 * M774,
   N774 * M774
 )
)</f>
        <v/>
      </c>
      <c r="P774" s="18" t="str">
        <f t="shared" si="2"/>
        <v/>
      </c>
      <c r="Q774" s="18" t="str">
        <f t="shared" si="3"/>
        <v/>
      </c>
      <c r="R774" s="18" t="str">
        <f t="array" ref="R774">IF(
  B774="",
  ,
  SWITCH(
    Input!$C$4,
    "Actual/365 Fixed",
      YEARFRAC(
        B774 + IF(INDEX(Input!$K$7:$K1503,ROW()-1),0,1),
        C774 + IF(INDEX(Input!$L$7:$L1503,ROW()-1),1,0),
        3
      ),
    "Anniversary/365",
      DATEDIF(
        B774 + IF(INDEX(Input!$K$7:$K1503,ROW()-1),0,1),
        C774 + IF(INDEX(Input!$L$7:$L1503,ROW()-1),1,0),
        "Y"
      )
      +
      (
        (C774 + IF(INDEX(Input!$L$7:$L1503,ROW()-1),1,0))
        -
        EDATE(
          B774 + IF(INDEX(Input!$K$7:$K1503,ROW()-1),0,1),
          12*DATEDIF(
            B774 + IF(INDEX(Input!$K$7:$K1503,ROW()-1),0,1),
            C774 + IF(INDEX(Input!$L$7:$L1503,ROW()-1),1,0),
            "Y"
          )
        )
      ) / 365,
    "Actual/Actual",
      YEARFRAC(
        B774 + IF(INDEX(Input!$K$7:$K1503,ROW()-1),0,1),
        C774 + IF(INDEX(Input!$L$7:$L1503,ROW()-1),1,0),
        1
      ),
      YEARFRAC(
        B774 + IF(INDEX(Input!$K$7:$K1503,ROW()-1),0,1),
        C774 + IF(INDEX(Input!$L$7:$L1503,ROW()-1),1,0),
        3
      )
  )
)</f>
        <v/>
      </c>
      <c r="S774" s="22" t="str">
        <f t="shared" si="4"/>
        <v/>
      </c>
      <c r="T774" s="6" t="str">
        <f t="array" ref="T774">IF(
  B774="",
  ,
  DATEDIF(
    B774 + IF(INDEX(Input!$K$7:$K1503,ROW()-1),0,1),
    C774 + IF(INDEX(Input!$L$7:$L1503,ROW()-1),1,0),
    "Y"
  )
)</f>
        <v/>
      </c>
      <c r="U774" s="6" t="str">
        <f t="array" ref="U774">IF(
  B774="",
  ,
  (C774 + IF(INDEX(Input!$L$7:$L1503,ROW()-1),1,0))
  - EDATE(
      B774 + IF(INDEX(Input!$K$7:$K1503,ROW()-1),0,1),
      12*S774
    )
)</f>
        <v/>
      </c>
      <c r="V774" s="6" t="str">
        <f t="shared" si="5"/>
        <v/>
      </c>
      <c r="W774" s="6" t="str">
        <f t="shared" si="6"/>
        <v/>
      </c>
    </row>
    <row r="775">
      <c r="A775" s="18"/>
      <c r="B775" s="18"/>
      <c r="C775" s="18"/>
      <c r="D775" s="18"/>
      <c r="E775" s="18"/>
      <c r="F775" s="18"/>
      <c r="G775" s="22"/>
      <c r="H775" s="18"/>
      <c r="I775" s="18">
        <v>0.0</v>
      </c>
      <c r="J775" s="18">
        <v>0.0</v>
      </c>
      <c r="K775" s="18"/>
      <c r="L775" s="18"/>
      <c r="M775" s="22" t="str">
        <f t="shared" si="1"/>
        <v/>
      </c>
      <c r="N775" s="18" t="str">
        <f>IF(A775="",,IF(ROW()=2, Input!$C$2 + I775, P774 + I775))</f>
        <v/>
      </c>
      <c r="O775" s="23" t="str">
        <f>IF(A775="",,
 IF(K775="Initial principal",
   Input!$C$2 * M775,
   N775 * M775
 )
)</f>
        <v/>
      </c>
      <c r="P775" s="18" t="str">
        <f t="shared" si="2"/>
        <v/>
      </c>
      <c r="Q775" s="18" t="str">
        <f t="shared" si="3"/>
        <v/>
      </c>
      <c r="R775" s="18" t="str">
        <f t="array" ref="R775">IF(
  B775="",
  ,
  SWITCH(
    Input!$C$4,
    "Actual/365 Fixed",
      YEARFRAC(
        B775 + IF(INDEX(Input!$K$7:$K1503,ROW()-1),0,1),
        C775 + IF(INDEX(Input!$L$7:$L1503,ROW()-1),1,0),
        3
      ),
    "Anniversary/365",
      DATEDIF(
        B775 + IF(INDEX(Input!$K$7:$K1503,ROW()-1),0,1),
        C775 + IF(INDEX(Input!$L$7:$L1503,ROW()-1),1,0),
        "Y"
      )
      +
      (
        (C775 + IF(INDEX(Input!$L$7:$L1503,ROW()-1),1,0))
        -
        EDATE(
          B775 + IF(INDEX(Input!$K$7:$K1503,ROW()-1),0,1),
          12*DATEDIF(
            B775 + IF(INDEX(Input!$K$7:$K1503,ROW()-1),0,1),
            C775 + IF(INDEX(Input!$L$7:$L1503,ROW()-1),1,0),
            "Y"
          )
        )
      ) / 365,
    "Actual/Actual",
      YEARFRAC(
        B775 + IF(INDEX(Input!$K$7:$K1503,ROW()-1),0,1),
        C775 + IF(INDEX(Input!$L$7:$L1503,ROW()-1),1,0),
        1
      ),
      YEARFRAC(
        B775 + IF(INDEX(Input!$K$7:$K1503,ROW()-1),0,1),
        C775 + IF(INDEX(Input!$L$7:$L1503,ROW()-1),1,0),
        3
      )
  )
)</f>
        <v/>
      </c>
      <c r="S775" s="22" t="str">
        <f t="shared" si="4"/>
        <v/>
      </c>
      <c r="T775" s="6" t="str">
        <f t="array" ref="T775">IF(
  B775="",
  ,
  DATEDIF(
    B775 + IF(INDEX(Input!$K$7:$K1503,ROW()-1),0,1),
    C775 + IF(INDEX(Input!$L$7:$L1503,ROW()-1),1,0),
    "Y"
  )
)</f>
        <v/>
      </c>
      <c r="U775" s="6" t="str">
        <f t="array" ref="U775">IF(
  B775="",
  ,
  (C775 + IF(INDEX(Input!$L$7:$L1503,ROW()-1),1,0))
  - EDATE(
      B775 + IF(INDEX(Input!$K$7:$K1503,ROW()-1),0,1),
      12*S775
    )
)</f>
        <v/>
      </c>
      <c r="V775" s="6" t="str">
        <f t="shared" si="5"/>
        <v/>
      </c>
      <c r="W775" s="6" t="str">
        <f t="shared" si="6"/>
        <v/>
      </c>
    </row>
    <row r="776">
      <c r="A776" s="18"/>
      <c r="B776" s="18"/>
      <c r="C776" s="18"/>
      <c r="D776" s="18"/>
      <c r="E776" s="18"/>
      <c r="F776" s="18"/>
      <c r="G776" s="22"/>
      <c r="H776" s="18"/>
      <c r="I776" s="18">
        <v>0.0</v>
      </c>
      <c r="J776" s="18">
        <v>0.0</v>
      </c>
      <c r="K776" s="18"/>
      <c r="L776" s="18"/>
      <c r="M776" s="22" t="str">
        <f t="shared" si="1"/>
        <v/>
      </c>
      <c r="N776" s="18" t="str">
        <f>IF(A776="",,IF(ROW()=2, Input!$C$2 + I776, P775 + I776))</f>
        <v/>
      </c>
      <c r="O776" s="23" t="str">
        <f>IF(A776="",,
 IF(K776="Initial principal",
   Input!$C$2 * M776,
   N776 * M776
 )
)</f>
        <v/>
      </c>
      <c r="P776" s="18" t="str">
        <f t="shared" si="2"/>
        <v/>
      </c>
      <c r="Q776" s="18" t="str">
        <f t="shared" si="3"/>
        <v/>
      </c>
      <c r="R776" s="18" t="str">
        <f t="array" ref="R776">IF(
  B776="",
  ,
  SWITCH(
    Input!$C$4,
    "Actual/365 Fixed",
      YEARFRAC(
        B776 + IF(INDEX(Input!$K$7:$K1503,ROW()-1),0,1),
        C776 + IF(INDEX(Input!$L$7:$L1503,ROW()-1),1,0),
        3
      ),
    "Anniversary/365",
      DATEDIF(
        B776 + IF(INDEX(Input!$K$7:$K1503,ROW()-1),0,1),
        C776 + IF(INDEX(Input!$L$7:$L1503,ROW()-1),1,0),
        "Y"
      )
      +
      (
        (C776 + IF(INDEX(Input!$L$7:$L1503,ROW()-1),1,0))
        -
        EDATE(
          B776 + IF(INDEX(Input!$K$7:$K1503,ROW()-1),0,1),
          12*DATEDIF(
            B776 + IF(INDEX(Input!$K$7:$K1503,ROW()-1),0,1),
            C776 + IF(INDEX(Input!$L$7:$L1503,ROW()-1),1,0),
            "Y"
          )
        )
      ) / 365,
    "Actual/Actual",
      YEARFRAC(
        B776 + IF(INDEX(Input!$K$7:$K1503,ROW()-1),0,1),
        C776 + IF(INDEX(Input!$L$7:$L1503,ROW()-1),1,0),
        1
      ),
      YEARFRAC(
        B776 + IF(INDEX(Input!$K$7:$K1503,ROW()-1),0,1),
        C776 + IF(INDEX(Input!$L$7:$L1503,ROW()-1),1,0),
        3
      )
  )
)</f>
        <v/>
      </c>
      <c r="S776" s="22" t="str">
        <f t="shared" si="4"/>
        <v/>
      </c>
      <c r="T776" s="6" t="str">
        <f t="array" ref="T776">IF(
  B776="",
  ,
  DATEDIF(
    B776 + IF(INDEX(Input!$K$7:$K1503,ROW()-1),0,1),
    C776 + IF(INDEX(Input!$L$7:$L1503,ROW()-1),1,0),
    "Y"
  )
)</f>
        <v/>
      </c>
      <c r="U776" s="6" t="str">
        <f t="array" ref="U776">IF(
  B776="",
  ,
  (C776 + IF(INDEX(Input!$L$7:$L1503,ROW()-1),1,0))
  - EDATE(
      B776 + IF(INDEX(Input!$K$7:$K1503,ROW()-1),0,1),
      12*S776
    )
)</f>
        <v/>
      </c>
      <c r="V776" s="6" t="str">
        <f t="shared" si="5"/>
        <v/>
      </c>
      <c r="W776" s="6" t="str">
        <f t="shared" si="6"/>
        <v/>
      </c>
    </row>
    <row r="777">
      <c r="A777" s="18"/>
      <c r="B777" s="18"/>
      <c r="C777" s="18"/>
      <c r="D777" s="18"/>
      <c r="E777" s="18"/>
      <c r="F777" s="18"/>
      <c r="G777" s="22"/>
      <c r="H777" s="18"/>
      <c r="I777" s="18">
        <v>0.0</v>
      </c>
      <c r="J777" s="18">
        <v>0.0</v>
      </c>
      <c r="K777" s="18"/>
      <c r="L777" s="18"/>
      <c r="M777" s="22" t="str">
        <f t="shared" si="1"/>
        <v/>
      </c>
      <c r="N777" s="18" t="str">
        <f>IF(A777="",,IF(ROW()=2, Input!$C$2 + I777, P776 + I777))</f>
        <v/>
      </c>
      <c r="O777" s="23" t="str">
        <f>IF(A777="",,
 IF(K777="Initial principal",
   Input!$C$2 * M777,
   N777 * M777
 )
)</f>
        <v/>
      </c>
      <c r="P777" s="18" t="str">
        <f t="shared" si="2"/>
        <v/>
      </c>
      <c r="Q777" s="18" t="str">
        <f t="shared" si="3"/>
        <v/>
      </c>
      <c r="R777" s="18" t="str">
        <f t="array" ref="R777">IF(
  B777="",
  ,
  SWITCH(
    Input!$C$4,
    "Actual/365 Fixed",
      YEARFRAC(
        B777 + IF(INDEX(Input!$K$7:$K1503,ROW()-1),0,1),
        C777 + IF(INDEX(Input!$L$7:$L1503,ROW()-1),1,0),
        3
      ),
    "Anniversary/365",
      DATEDIF(
        B777 + IF(INDEX(Input!$K$7:$K1503,ROW()-1),0,1),
        C777 + IF(INDEX(Input!$L$7:$L1503,ROW()-1),1,0),
        "Y"
      )
      +
      (
        (C777 + IF(INDEX(Input!$L$7:$L1503,ROW()-1),1,0))
        -
        EDATE(
          B777 + IF(INDEX(Input!$K$7:$K1503,ROW()-1),0,1),
          12*DATEDIF(
            B777 + IF(INDEX(Input!$K$7:$K1503,ROW()-1),0,1),
            C777 + IF(INDEX(Input!$L$7:$L1503,ROW()-1),1,0),
            "Y"
          )
        )
      ) / 365,
    "Actual/Actual",
      YEARFRAC(
        B777 + IF(INDEX(Input!$K$7:$K1503,ROW()-1),0,1),
        C777 + IF(INDEX(Input!$L$7:$L1503,ROW()-1),1,0),
        1
      ),
      YEARFRAC(
        B777 + IF(INDEX(Input!$K$7:$K1503,ROW()-1),0,1),
        C777 + IF(INDEX(Input!$L$7:$L1503,ROW()-1),1,0),
        3
      )
  )
)</f>
        <v/>
      </c>
      <c r="S777" s="22" t="str">
        <f t="shared" si="4"/>
        <v/>
      </c>
      <c r="T777" s="6" t="str">
        <f t="array" ref="T777">IF(
  B777="",
  ,
  DATEDIF(
    B777 + IF(INDEX(Input!$K$7:$K1503,ROW()-1),0,1),
    C777 + IF(INDEX(Input!$L$7:$L1503,ROW()-1),1,0),
    "Y"
  )
)</f>
        <v/>
      </c>
      <c r="U777" s="6" t="str">
        <f t="array" ref="U777">IF(
  B777="",
  ,
  (C777 + IF(INDEX(Input!$L$7:$L1503,ROW()-1),1,0))
  - EDATE(
      B777 + IF(INDEX(Input!$K$7:$K1503,ROW()-1),0,1),
      12*S777
    )
)</f>
        <v/>
      </c>
      <c r="V777" s="6" t="str">
        <f t="shared" si="5"/>
        <v/>
      </c>
      <c r="W777" s="6" t="str">
        <f t="shared" si="6"/>
        <v/>
      </c>
    </row>
    <row r="778">
      <c r="A778" s="18"/>
      <c r="B778" s="18"/>
      <c r="C778" s="18"/>
      <c r="D778" s="18"/>
      <c r="E778" s="18"/>
      <c r="F778" s="18"/>
      <c r="G778" s="22"/>
      <c r="H778" s="18"/>
      <c r="I778" s="18">
        <v>0.0</v>
      </c>
      <c r="J778" s="18">
        <v>0.0</v>
      </c>
      <c r="K778" s="18"/>
      <c r="L778" s="18"/>
      <c r="M778" s="22" t="str">
        <f t="shared" si="1"/>
        <v/>
      </c>
      <c r="N778" s="18" t="str">
        <f>IF(A778="",,IF(ROW()=2, Input!$C$2 + I778, P777 + I778))</f>
        <v/>
      </c>
      <c r="O778" s="23" t="str">
        <f>IF(A778="",,
 IF(K778="Initial principal",
   Input!$C$2 * M778,
   N778 * M778
 )
)</f>
        <v/>
      </c>
      <c r="P778" s="18" t="str">
        <f t="shared" si="2"/>
        <v/>
      </c>
      <c r="Q778" s="18" t="str">
        <f t="shared" si="3"/>
        <v/>
      </c>
      <c r="R778" s="18" t="str">
        <f t="array" ref="R778">IF(
  B778="",
  ,
  SWITCH(
    Input!$C$4,
    "Actual/365 Fixed",
      YEARFRAC(
        B778 + IF(INDEX(Input!$K$7:$K1503,ROW()-1),0,1),
        C778 + IF(INDEX(Input!$L$7:$L1503,ROW()-1),1,0),
        3
      ),
    "Anniversary/365",
      DATEDIF(
        B778 + IF(INDEX(Input!$K$7:$K1503,ROW()-1),0,1),
        C778 + IF(INDEX(Input!$L$7:$L1503,ROW()-1),1,0),
        "Y"
      )
      +
      (
        (C778 + IF(INDEX(Input!$L$7:$L1503,ROW()-1),1,0))
        -
        EDATE(
          B778 + IF(INDEX(Input!$K$7:$K1503,ROW()-1),0,1),
          12*DATEDIF(
            B778 + IF(INDEX(Input!$K$7:$K1503,ROW()-1),0,1),
            C778 + IF(INDEX(Input!$L$7:$L1503,ROW()-1),1,0),
            "Y"
          )
        )
      ) / 365,
    "Actual/Actual",
      YEARFRAC(
        B778 + IF(INDEX(Input!$K$7:$K1503,ROW()-1),0,1),
        C778 + IF(INDEX(Input!$L$7:$L1503,ROW()-1),1,0),
        1
      ),
      YEARFRAC(
        B778 + IF(INDEX(Input!$K$7:$K1503,ROW()-1),0,1),
        C778 + IF(INDEX(Input!$L$7:$L1503,ROW()-1),1,0),
        3
      )
  )
)</f>
        <v/>
      </c>
      <c r="S778" s="22" t="str">
        <f t="shared" si="4"/>
        <v/>
      </c>
      <c r="T778" s="6" t="str">
        <f t="array" ref="T778">IF(
  B778="",
  ,
  DATEDIF(
    B778 + IF(INDEX(Input!$K$7:$K1503,ROW()-1),0,1),
    C778 + IF(INDEX(Input!$L$7:$L1503,ROW()-1),1,0),
    "Y"
  )
)</f>
        <v/>
      </c>
      <c r="U778" s="6" t="str">
        <f t="array" ref="U778">IF(
  B778="",
  ,
  (C778 + IF(INDEX(Input!$L$7:$L1503,ROW()-1),1,0))
  - EDATE(
      B778 + IF(INDEX(Input!$K$7:$K1503,ROW()-1),0,1),
      12*S778
    )
)</f>
        <v/>
      </c>
      <c r="V778" s="6" t="str">
        <f t="shared" si="5"/>
        <v/>
      </c>
      <c r="W778" s="6" t="str">
        <f t="shared" si="6"/>
        <v/>
      </c>
    </row>
    <row r="779">
      <c r="A779" s="18"/>
      <c r="B779" s="18"/>
      <c r="C779" s="18"/>
      <c r="D779" s="18"/>
      <c r="E779" s="18"/>
      <c r="F779" s="18"/>
      <c r="G779" s="22"/>
      <c r="H779" s="18"/>
      <c r="I779" s="18">
        <v>0.0</v>
      </c>
      <c r="J779" s="18">
        <v>0.0</v>
      </c>
      <c r="K779" s="18"/>
      <c r="L779" s="18"/>
      <c r="M779" s="22" t="str">
        <f t="shared" si="1"/>
        <v/>
      </c>
      <c r="N779" s="18" t="str">
        <f>IF(A779="",,IF(ROW()=2, Input!$C$2 + I779, P778 + I779))</f>
        <v/>
      </c>
      <c r="O779" s="23" t="str">
        <f>IF(A779="",,
 IF(K779="Initial principal",
   Input!$C$2 * M779,
   N779 * M779
 )
)</f>
        <v/>
      </c>
      <c r="P779" s="18" t="str">
        <f t="shared" si="2"/>
        <v/>
      </c>
      <c r="Q779" s="18" t="str">
        <f t="shared" si="3"/>
        <v/>
      </c>
      <c r="R779" s="18" t="str">
        <f t="array" ref="R779">IF(
  B779="",
  ,
  SWITCH(
    Input!$C$4,
    "Actual/365 Fixed",
      YEARFRAC(
        B779 + IF(INDEX(Input!$K$7:$K1503,ROW()-1),0,1),
        C779 + IF(INDEX(Input!$L$7:$L1503,ROW()-1),1,0),
        3
      ),
    "Anniversary/365",
      DATEDIF(
        B779 + IF(INDEX(Input!$K$7:$K1503,ROW()-1),0,1),
        C779 + IF(INDEX(Input!$L$7:$L1503,ROW()-1),1,0),
        "Y"
      )
      +
      (
        (C779 + IF(INDEX(Input!$L$7:$L1503,ROW()-1),1,0))
        -
        EDATE(
          B779 + IF(INDEX(Input!$K$7:$K1503,ROW()-1),0,1),
          12*DATEDIF(
            B779 + IF(INDEX(Input!$K$7:$K1503,ROW()-1),0,1),
            C779 + IF(INDEX(Input!$L$7:$L1503,ROW()-1),1,0),
            "Y"
          )
        )
      ) / 365,
    "Actual/Actual",
      YEARFRAC(
        B779 + IF(INDEX(Input!$K$7:$K1503,ROW()-1),0,1),
        C779 + IF(INDEX(Input!$L$7:$L1503,ROW()-1),1,0),
        1
      ),
      YEARFRAC(
        B779 + IF(INDEX(Input!$K$7:$K1503,ROW()-1),0,1),
        C779 + IF(INDEX(Input!$L$7:$L1503,ROW()-1),1,0),
        3
      )
  )
)</f>
        <v/>
      </c>
      <c r="S779" s="22" t="str">
        <f t="shared" si="4"/>
        <v/>
      </c>
      <c r="T779" s="6" t="str">
        <f t="array" ref="T779">IF(
  B779="",
  ,
  DATEDIF(
    B779 + IF(INDEX(Input!$K$7:$K1503,ROW()-1),0,1),
    C779 + IF(INDEX(Input!$L$7:$L1503,ROW()-1),1,0),
    "Y"
  )
)</f>
        <v/>
      </c>
      <c r="U779" s="6" t="str">
        <f t="array" ref="U779">IF(
  B779="",
  ,
  (C779 + IF(INDEX(Input!$L$7:$L1503,ROW()-1),1,0))
  - EDATE(
      B779 + IF(INDEX(Input!$K$7:$K1503,ROW()-1),0,1),
      12*S779
    )
)</f>
        <v/>
      </c>
      <c r="V779" s="6" t="str">
        <f t="shared" si="5"/>
        <v/>
      </c>
      <c r="W779" s="6" t="str">
        <f t="shared" si="6"/>
        <v/>
      </c>
    </row>
    <row r="780">
      <c r="A780" s="18"/>
      <c r="B780" s="18"/>
      <c r="C780" s="18"/>
      <c r="D780" s="18"/>
      <c r="E780" s="18"/>
      <c r="F780" s="18"/>
      <c r="G780" s="22"/>
      <c r="H780" s="18"/>
      <c r="I780" s="18">
        <v>0.0</v>
      </c>
      <c r="J780" s="18">
        <v>0.0</v>
      </c>
      <c r="K780" s="18"/>
      <c r="L780" s="18"/>
      <c r="M780" s="22" t="str">
        <f t="shared" si="1"/>
        <v/>
      </c>
      <c r="N780" s="18" t="str">
        <f>IF(A780="",,IF(ROW()=2, Input!$C$2 + I780, P779 + I780))</f>
        <v/>
      </c>
      <c r="O780" s="23" t="str">
        <f>IF(A780="",,
 IF(K780="Initial principal",
   Input!$C$2 * M780,
   N780 * M780
 )
)</f>
        <v/>
      </c>
      <c r="P780" s="18" t="str">
        <f t="shared" si="2"/>
        <v/>
      </c>
      <c r="Q780" s="18" t="str">
        <f t="shared" si="3"/>
        <v/>
      </c>
      <c r="R780" s="18" t="str">
        <f t="array" ref="R780">IF(
  B780="",
  ,
  SWITCH(
    Input!$C$4,
    "Actual/365 Fixed",
      YEARFRAC(
        B780 + IF(INDEX(Input!$K$7:$K1503,ROW()-1),0,1),
        C780 + IF(INDEX(Input!$L$7:$L1503,ROW()-1),1,0),
        3
      ),
    "Anniversary/365",
      DATEDIF(
        B780 + IF(INDEX(Input!$K$7:$K1503,ROW()-1),0,1),
        C780 + IF(INDEX(Input!$L$7:$L1503,ROW()-1),1,0),
        "Y"
      )
      +
      (
        (C780 + IF(INDEX(Input!$L$7:$L1503,ROW()-1),1,0))
        -
        EDATE(
          B780 + IF(INDEX(Input!$K$7:$K1503,ROW()-1),0,1),
          12*DATEDIF(
            B780 + IF(INDEX(Input!$K$7:$K1503,ROW()-1),0,1),
            C780 + IF(INDEX(Input!$L$7:$L1503,ROW()-1),1,0),
            "Y"
          )
        )
      ) / 365,
    "Actual/Actual",
      YEARFRAC(
        B780 + IF(INDEX(Input!$K$7:$K1503,ROW()-1),0,1),
        C780 + IF(INDEX(Input!$L$7:$L1503,ROW()-1),1,0),
        1
      ),
      YEARFRAC(
        B780 + IF(INDEX(Input!$K$7:$K1503,ROW()-1),0,1),
        C780 + IF(INDEX(Input!$L$7:$L1503,ROW()-1),1,0),
        3
      )
  )
)</f>
        <v/>
      </c>
      <c r="S780" s="22" t="str">
        <f t="shared" si="4"/>
        <v/>
      </c>
      <c r="T780" s="6" t="str">
        <f t="array" ref="T780">IF(
  B780="",
  ,
  DATEDIF(
    B780 + IF(INDEX(Input!$K$7:$K1503,ROW()-1),0,1),
    C780 + IF(INDEX(Input!$L$7:$L1503,ROW()-1),1,0),
    "Y"
  )
)</f>
        <v/>
      </c>
      <c r="U780" s="6" t="str">
        <f t="array" ref="U780">IF(
  B780="",
  ,
  (C780 + IF(INDEX(Input!$L$7:$L1503,ROW()-1),1,0))
  - EDATE(
      B780 + IF(INDEX(Input!$K$7:$K1503,ROW()-1),0,1),
      12*S780
    )
)</f>
        <v/>
      </c>
      <c r="V780" s="6" t="str">
        <f t="shared" si="5"/>
        <v/>
      </c>
      <c r="W780" s="6" t="str">
        <f t="shared" si="6"/>
        <v/>
      </c>
    </row>
    <row r="781">
      <c r="A781" s="18"/>
      <c r="B781" s="18"/>
      <c r="C781" s="18"/>
      <c r="D781" s="18"/>
      <c r="E781" s="18"/>
      <c r="F781" s="18"/>
      <c r="G781" s="22"/>
      <c r="H781" s="18"/>
      <c r="I781" s="18">
        <v>0.0</v>
      </c>
      <c r="J781" s="18">
        <v>0.0</v>
      </c>
      <c r="K781" s="18"/>
      <c r="L781" s="18"/>
      <c r="M781" s="22" t="str">
        <f t="shared" si="1"/>
        <v/>
      </c>
      <c r="N781" s="18" t="str">
        <f>IF(A781="",,IF(ROW()=2, Input!$C$2 + I781, P780 + I781))</f>
        <v/>
      </c>
      <c r="O781" s="23" t="str">
        <f>IF(A781="",,
 IF(K781="Initial principal",
   Input!$C$2 * M781,
   N781 * M781
 )
)</f>
        <v/>
      </c>
      <c r="P781" s="18" t="str">
        <f t="shared" si="2"/>
        <v/>
      </c>
      <c r="Q781" s="18" t="str">
        <f t="shared" si="3"/>
        <v/>
      </c>
      <c r="R781" s="18" t="str">
        <f t="array" ref="R781">IF(
  B781="",
  ,
  SWITCH(
    Input!$C$4,
    "Actual/365 Fixed",
      YEARFRAC(
        B781 + IF(INDEX(Input!$K$7:$K1503,ROW()-1),0,1),
        C781 + IF(INDEX(Input!$L$7:$L1503,ROW()-1),1,0),
        3
      ),
    "Anniversary/365",
      DATEDIF(
        B781 + IF(INDEX(Input!$K$7:$K1503,ROW()-1),0,1),
        C781 + IF(INDEX(Input!$L$7:$L1503,ROW()-1),1,0),
        "Y"
      )
      +
      (
        (C781 + IF(INDEX(Input!$L$7:$L1503,ROW()-1),1,0))
        -
        EDATE(
          B781 + IF(INDEX(Input!$K$7:$K1503,ROW()-1),0,1),
          12*DATEDIF(
            B781 + IF(INDEX(Input!$K$7:$K1503,ROW()-1),0,1),
            C781 + IF(INDEX(Input!$L$7:$L1503,ROW()-1),1,0),
            "Y"
          )
        )
      ) / 365,
    "Actual/Actual",
      YEARFRAC(
        B781 + IF(INDEX(Input!$K$7:$K1503,ROW()-1),0,1),
        C781 + IF(INDEX(Input!$L$7:$L1503,ROW()-1),1,0),
        1
      ),
      YEARFRAC(
        B781 + IF(INDEX(Input!$K$7:$K1503,ROW()-1),0,1),
        C781 + IF(INDEX(Input!$L$7:$L1503,ROW()-1),1,0),
        3
      )
  )
)</f>
        <v/>
      </c>
      <c r="S781" s="22" t="str">
        <f t="shared" si="4"/>
        <v/>
      </c>
      <c r="T781" s="6" t="str">
        <f t="array" ref="T781">IF(
  B781="",
  ,
  DATEDIF(
    B781 + IF(INDEX(Input!$K$7:$K1503,ROW()-1),0,1),
    C781 + IF(INDEX(Input!$L$7:$L1503,ROW()-1),1,0),
    "Y"
  )
)</f>
        <v/>
      </c>
      <c r="U781" s="6" t="str">
        <f t="array" ref="U781">IF(
  B781="",
  ,
  (C781 + IF(INDEX(Input!$L$7:$L1503,ROW()-1),1,0))
  - EDATE(
      B781 + IF(INDEX(Input!$K$7:$K1503,ROW()-1),0,1),
      12*S781
    )
)</f>
        <v/>
      </c>
      <c r="V781" s="6" t="str">
        <f t="shared" si="5"/>
        <v/>
      </c>
      <c r="W781" s="6" t="str">
        <f t="shared" si="6"/>
        <v/>
      </c>
    </row>
    <row r="782">
      <c r="A782" s="18"/>
      <c r="B782" s="18"/>
      <c r="C782" s="18"/>
      <c r="D782" s="18"/>
      <c r="E782" s="18"/>
      <c r="F782" s="18"/>
      <c r="G782" s="22"/>
      <c r="H782" s="18"/>
      <c r="I782" s="18">
        <v>0.0</v>
      </c>
      <c r="J782" s="18">
        <v>0.0</v>
      </c>
      <c r="K782" s="18"/>
      <c r="L782" s="18"/>
      <c r="M782" s="22" t="str">
        <f t="shared" si="1"/>
        <v/>
      </c>
      <c r="N782" s="18" t="str">
        <f>IF(A782="",,IF(ROW()=2, Input!$C$2 + I782, P781 + I782))</f>
        <v/>
      </c>
      <c r="O782" s="23" t="str">
        <f>IF(A782="",,
 IF(K782="Initial principal",
   Input!$C$2 * M782,
   N782 * M782
 )
)</f>
        <v/>
      </c>
      <c r="P782" s="18" t="str">
        <f t="shared" si="2"/>
        <v/>
      </c>
      <c r="Q782" s="18" t="str">
        <f t="shared" si="3"/>
        <v/>
      </c>
      <c r="R782" s="18" t="str">
        <f t="array" ref="R782">IF(
  B782="",
  ,
  SWITCH(
    Input!$C$4,
    "Actual/365 Fixed",
      YEARFRAC(
        B782 + IF(INDEX(Input!$K$7:$K1503,ROW()-1),0,1),
        C782 + IF(INDEX(Input!$L$7:$L1503,ROW()-1),1,0),
        3
      ),
    "Anniversary/365",
      DATEDIF(
        B782 + IF(INDEX(Input!$K$7:$K1503,ROW()-1),0,1),
        C782 + IF(INDEX(Input!$L$7:$L1503,ROW()-1),1,0),
        "Y"
      )
      +
      (
        (C782 + IF(INDEX(Input!$L$7:$L1503,ROW()-1),1,0))
        -
        EDATE(
          B782 + IF(INDEX(Input!$K$7:$K1503,ROW()-1),0,1),
          12*DATEDIF(
            B782 + IF(INDEX(Input!$K$7:$K1503,ROW()-1),0,1),
            C782 + IF(INDEX(Input!$L$7:$L1503,ROW()-1),1,0),
            "Y"
          )
        )
      ) / 365,
    "Actual/Actual",
      YEARFRAC(
        B782 + IF(INDEX(Input!$K$7:$K1503,ROW()-1),0,1),
        C782 + IF(INDEX(Input!$L$7:$L1503,ROW()-1),1,0),
        1
      ),
      YEARFRAC(
        B782 + IF(INDEX(Input!$K$7:$K1503,ROW()-1),0,1),
        C782 + IF(INDEX(Input!$L$7:$L1503,ROW()-1),1,0),
        3
      )
  )
)</f>
        <v/>
      </c>
      <c r="S782" s="22" t="str">
        <f t="shared" si="4"/>
        <v/>
      </c>
      <c r="T782" s="6" t="str">
        <f t="array" ref="T782">IF(
  B782="",
  ,
  DATEDIF(
    B782 + IF(INDEX(Input!$K$7:$K1503,ROW()-1),0,1),
    C782 + IF(INDEX(Input!$L$7:$L1503,ROW()-1),1,0),
    "Y"
  )
)</f>
        <v/>
      </c>
      <c r="U782" s="6" t="str">
        <f t="array" ref="U782">IF(
  B782="",
  ,
  (C782 + IF(INDEX(Input!$L$7:$L1503,ROW()-1),1,0))
  - EDATE(
      B782 + IF(INDEX(Input!$K$7:$K1503,ROW()-1),0,1),
      12*S782
    )
)</f>
        <v/>
      </c>
      <c r="V782" s="6" t="str">
        <f t="shared" si="5"/>
        <v/>
      </c>
      <c r="W782" s="6" t="str">
        <f t="shared" si="6"/>
        <v/>
      </c>
    </row>
    <row r="783">
      <c r="A783" s="18"/>
      <c r="B783" s="18"/>
      <c r="C783" s="18"/>
      <c r="D783" s="18"/>
      <c r="E783" s="18"/>
      <c r="F783" s="18"/>
      <c r="G783" s="22"/>
      <c r="H783" s="18"/>
      <c r="I783" s="18">
        <v>0.0</v>
      </c>
      <c r="J783" s="18">
        <v>0.0</v>
      </c>
      <c r="K783" s="18"/>
      <c r="L783" s="18"/>
      <c r="M783" s="22" t="str">
        <f t="shared" si="1"/>
        <v/>
      </c>
      <c r="N783" s="18" t="str">
        <f>IF(A783="",,IF(ROW()=2, Input!$C$2 + I783, P782 + I783))</f>
        <v/>
      </c>
      <c r="O783" s="23" t="str">
        <f>IF(A783="",,
 IF(K783="Initial principal",
   Input!$C$2 * M783,
   N783 * M783
 )
)</f>
        <v/>
      </c>
      <c r="P783" s="18" t="str">
        <f t="shared" si="2"/>
        <v/>
      </c>
      <c r="Q783" s="18" t="str">
        <f t="shared" si="3"/>
        <v/>
      </c>
      <c r="R783" s="18" t="str">
        <f t="array" ref="R783">IF(
  B783="",
  ,
  SWITCH(
    Input!$C$4,
    "Actual/365 Fixed",
      YEARFRAC(
        B783 + IF(INDEX(Input!$K$7:$K1503,ROW()-1),0,1),
        C783 + IF(INDEX(Input!$L$7:$L1503,ROW()-1),1,0),
        3
      ),
    "Anniversary/365",
      DATEDIF(
        B783 + IF(INDEX(Input!$K$7:$K1503,ROW()-1),0,1),
        C783 + IF(INDEX(Input!$L$7:$L1503,ROW()-1),1,0),
        "Y"
      )
      +
      (
        (C783 + IF(INDEX(Input!$L$7:$L1503,ROW()-1),1,0))
        -
        EDATE(
          B783 + IF(INDEX(Input!$K$7:$K1503,ROW()-1),0,1),
          12*DATEDIF(
            B783 + IF(INDEX(Input!$K$7:$K1503,ROW()-1),0,1),
            C783 + IF(INDEX(Input!$L$7:$L1503,ROW()-1),1,0),
            "Y"
          )
        )
      ) / 365,
    "Actual/Actual",
      YEARFRAC(
        B783 + IF(INDEX(Input!$K$7:$K1503,ROW()-1),0,1),
        C783 + IF(INDEX(Input!$L$7:$L1503,ROW()-1),1,0),
        1
      ),
      YEARFRAC(
        B783 + IF(INDEX(Input!$K$7:$K1503,ROW()-1),0,1),
        C783 + IF(INDEX(Input!$L$7:$L1503,ROW()-1),1,0),
        3
      )
  )
)</f>
        <v/>
      </c>
      <c r="S783" s="22" t="str">
        <f t="shared" si="4"/>
        <v/>
      </c>
      <c r="T783" s="6" t="str">
        <f t="array" ref="T783">IF(
  B783="",
  ,
  DATEDIF(
    B783 + IF(INDEX(Input!$K$7:$K1503,ROW()-1),0,1),
    C783 + IF(INDEX(Input!$L$7:$L1503,ROW()-1),1,0),
    "Y"
  )
)</f>
        <v/>
      </c>
      <c r="U783" s="6" t="str">
        <f t="array" ref="U783">IF(
  B783="",
  ,
  (C783 + IF(INDEX(Input!$L$7:$L1503,ROW()-1),1,0))
  - EDATE(
      B783 + IF(INDEX(Input!$K$7:$K1503,ROW()-1),0,1),
      12*S783
    )
)</f>
        <v/>
      </c>
      <c r="V783" s="6" t="str">
        <f t="shared" si="5"/>
        <v/>
      </c>
      <c r="W783" s="6" t="str">
        <f t="shared" si="6"/>
        <v/>
      </c>
    </row>
    <row r="784">
      <c r="A784" s="18"/>
      <c r="B784" s="18"/>
      <c r="C784" s="18"/>
      <c r="D784" s="18"/>
      <c r="E784" s="18"/>
      <c r="F784" s="18"/>
      <c r="G784" s="22"/>
      <c r="H784" s="18"/>
      <c r="I784" s="18">
        <v>0.0</v>
      </c>
      <c r="J784" s="18">
        <v>0.0</v>
      </c>
      <c r="K784" s="18"/>
      <c r="L784" s="18"/>
      <c r="M784" s="22" t="str">
        <f t="shared" si="1"/>
        <v/>
      </c>
      <c r="N784" s="18" t="str">
        <f>IF(A784="",,IF(ROW()=2, Input!$C$2 + I784, P783 + I784))</f>
        <v/>
      </c>
      <c r="O784" s="23" t="str">
        <f>IF(A784="",,
 IF(K784="Initial principal",
   Input!$C$2 * M784,
   N784 * M784
 )
)</f>
        <v/>
      </c>
      <c r="P784" s="18" t="str">
        <f t="shared" si="2"/>
        <v/>
      </c>
      <c r="Q784" s="18" t="str">
        <f t="shared" si="3"/>
        <v/>
      </c>
      <c r="R784" s="18" t="str">
        <f t="array" ref="R784">IF(
  B784="",
  ,
  SWITCH(
    Input!$C$4,
    "Actual/365 Fixed",
      YEARFRAC(
        B784 + IF(INDEX(Input!$K$7:$K1503,ROW()-1),0,1),
        C784 + IF(INDEX(Input!$L$7:$L1503,ROW()-1),1,0),
        3
      ),
    "Anniversary/365",
      DATEDIF(
        B784 + IF(INDEX(Input!$K$7:$K1503,ROW()-1),0,1),
        C784 + IF(INDEX(Input!$L$7:$L1503,ROW()-1),1,0),
        "Y"
      )
      +
      (
        (C784 + IF(INDEX(Input!$L$7:$L1503,ROW()-1),1,0))
        -
        EDATE(
          B784 + IF(INDEX(Input!$K$7:$K1503,ROW()-1),0,1),
          12*DATEDIF(
            B784 + IF(INDEX(Input!$K$7:$K1503,ROW()-1),0,1),
            C784 + IF(INDEX(Input!$L$7:$L1503,ROW()-1),1,0),
            "Y"
          )
        )
      ) / 365,
    "Actual/Actual",
      YEARFRAC(
        B784 + IF(INDEX(Input!$K$7:$K1503,ROW()-1),0,1),
        C784 + IF(INDEX(Input!$L$7:$L1503,ROW()-1),1,0),
        1
      ),
      YEARFRAC(
        B784 + IF(INDEX(Input!$K$7:$K1503,ROW()-1),0,1),
        C784 + IF(INDEX(Input!$L$7:$L1503,ROW()-1),1,0),
        3
      )
  )
)</f>
        <v/>
      </c>
      <c r="S784" s="22" t="str">
        <f t="shared" si="4"/>
        <v/>
      </c>
      <c r="T784" s="6" t="str">
        <f t="array" ref="T784">IF(
  B784="",
  ,
  DATEDIF(
    B784 + IF(INDEX(Input!$K$7:$K1503,ROW()-1),0,1),
    C784 + IF(INDEX(Input!$L$7:$L1503,ROW()-1),1,0),
    "Y"
  )
)</f>
        <v/>
      </c>
      <c r="U784" s="6" t="str">
        <f t="array" ref="U784">IF(
  B784="",
  ,
  (C784 + IF(INDEX(Input!$L$7:$L1503,ROW()-1),1,0))
  - EDATE(
      B784 + IF(INDEX(Input!$K$7:$K1503,ROW()-1),0,1),
      12*S784
    )
)</f>
        <v/>
      </c>
      <c r="V784" s="6" t="str">
        <f t="shared" si="5"/>
        <v/>
      </c>
      <c r="W784" s="6" t="str">
        <f t="shared" si="6"/>
        <v/>
      </c>
    </row>
    <row r="785">
      <c r="A785" s="18"/>
      <c r="B785" s="18"/>
      <c r="C785" s="18"/>
      <c r="D785" s="18"/>
      <c r="E785" s="18"/>
      <c r="F785" s="18"/>
      <c r="G785" s="22"/>
      <c r="H785" s="18"/>
      <c r="I785" s="18">
        <v>0.0</v>
      </c>
      <c r="J785" s="18">
        <v>0.0</v>
      </c>
      <c r="K785" s="18"/>
      <c r="L785" s="18"/>
      <c r="M785" s="22" t="str">
        <f t="shared" si="1"/>
        <v/>
      </c>
      <c r="N785" s="18" t="str">
        <f>IF(A785="",,IF(ROW()=2, Input!$C$2 + I785, P784 + I785))</f>
        <v/>
      </c>
      <c r="O785" s="23" t="str">
        <f>IF(A785="",,
 IF(K785="Initial principal",
   Input!$C$2 * M785,
   N785 * M785
 )
)</f>
        <v/>
      </c>
      <c r="P785" s="18" t="str">
        <f t="shared" si="2"/>
        <v/>
      </c>
      <c r="Q785" s="18" t="str">
        <f t="shared" si="3"/>
        <v/>
      </c>
      <c r="R785" s="18" t="str">
        <f t="array" ref="R785">IF(
  B785="",
  ,
  SWITCH(
    Input!$C$4,
    "Actual/365 Fixed",
      YEARFRAC(
        B785 + IF(INDEX(Input!$K$7:$K1503,ROW()-1),0,1),
        C785 + IF(INDEX(Input!$L$7:$L1503,ROW()-1),1,0),
        3
      ),
    "Anniversary/365",
      DATEDIF(
        B785 + IF(INDEX(Input!$K$7:$K1503,ROW()-1),0,1),
        C785 + IF(INDEX(Input!$L$7:$L1503,ROW()-1),1,0),
        "Y"
      )
      +
      (
        (C785 + IF(INDEX(Input!$L$7:$L1503,ROW()-1),1,0))
        -
        EDATE(
          B785 + IF(INDEX(Input!$K$7:$K1503,ROW()-1),0,1),
          12*DATEDIF(
            B785 + IF(INDEX(Input!$K$7:$K1503,ROW()-1),0,1),
            C785 + IF(INDEX(Input!$L$7:$L1503,ROW()-1),1,0),
            "Y"
          )
        )
      ) / 365,
    "Actual/Actual",
      YEARFRAC(
        B785 + IF(INDEX(Input!$K$7:$K1503,ROW()-1),0,1),
        C785 + IF(INDEX(Input!$L$7:$L1503,ROW()-1),1,0),
        1
      ),
      YEARFRAC(
        B785 + IF(INDEX(Input!$K$7:$K1503,ROW()-1),0,1),
        C785 + IF(INDEX(Input!$L$7:$L1503,ROW()-1),1,0),
        3
      )
  )
)</f>
        <v/>
      </c>
      <c r="S785" s="22" t="str">
        <f t="shared" si="4"/>
        <v/>
      </c>
      <c r="T785" s="6" t="str">
        <f t="array" ref="T785">IF(
  B785="",
  ,
  DATEDIF(
    B785 + IF(INDEX(Input!$K$7:$K1503,ROW()-1),0,1),
    C785 + IF(INDEX(Input!$L$7:$L1503,ROW()-1),1,0),
    "Y"
  )
)</f>
        <v/>
      </c>
      <c r="U785" s="6" t="str">
        <f t="array" ref="U785">IF(
  B785="",
  ,
  (C785 + IF(INDEX(Input!$L$7:$L1503,ROW()-1),1,0))
  - EDATE(
      B785 + IF(INDEX(Input!$K$7:$K1503,ROW()-1),0,1),
      12*S785
    )
)</f>
        <v/>
      </c>
      <c r="V785" s="6" t="str">
        <f t="shared" si="5"/>
        <v/>
      </c>
      <c r="W785" s="6" t="str">
        <f t="shared" si="6"/>
        <v/>
      </c>
    </row>
    <row r="786">
      <c r="A786" s="18"/>
      <c r="B786" s="18"/>
      <c r="C786" s="18"/>
      <c r="D786" s="18"/>
      <c r="E786" s="18"/>
      <c r="F786" s="18"/>
      <c r="G786" s="22"/>
      <c r="H786" s="18"/>
      <c r="I786" s="18">
        <v>0.0</v>
      </c>
      <c r="J786" s="18">
        <v>0.0</v>
      </c>
      <c r="K786" s="18"/>
      <c r="L786" s="18"/>
      <c r="M786" s="22" t="str">
        <f t="shared" si="1"/>
        <v/>
      </c>
      <c r="N786" s="18" t="str">
        <f>IF(A786="",,IF(ROW()=2, Input!$C$2 + I786, P785 + I786))</f>
        <v/>
      </c>
      <c r="O786" s="23" t="str">
        <f>IF(A786="",,
 IF(K786="Initial principal",
   Input!$C$2 * M786,
   N786 * M786
 )
)</f>
        <v/>
      </c>
      <c r="P786" s="18" t="str">
        <f t="shared" si="2"/>
        <v/>
      </c>
      <c r="Q786" s="18" t="str">
        <f t="shared" si="3"/>
        <v/>
      </c>
      <c r="R786" s="18" t="str">
        <f t="array" ref="R786">IF(
  B786="",
  ,
  SWITCH(
    Input!$C$4,
    "Actual/365 Fixed",
      YEARFRAC(
        B786 + IF(INDEX(Input!$K$7:$K1503,ROW()-1),0,1),
        C786 + IF(INDEX(Input!$L$7:$L1503,ROW()-1),1,0),
        3
      ),
    "Anniversary/365",
      DATEDIF(
        B786 + IF(INDEX(Input!$K$7:$K1503,ROW()-1),0,1),
        C786 + IF(INDEX(Input!$L$7:$L1503,ROW()-1),1,0),
        "Y"
      )
      +
      (
        (C786 + IF(INDEX(Input!$L$7:$L1503,ROW()-1),1,0))
        -
        EDATE(
          B786 + IF(INDEX(Input!$K$7:$K1503,ROW()-1),0,1),
          12*DATEDIF(
            B786 + IF(INDEX(Input!$K$7:$K1503,ROW()-1),0,1),
            C786 + IF(INDEX(Input!$L$7:$L1503,ROW()-1),1,0),
            "Y"
          )
        )
      ) / 365,
    "Actual/Actual",
      YEARFRAC(
        B786 + IF(INDEX(Input!$K$7:$K1503,ROW()-1),0,1),
        C786 + IF(INDEX(Input!$L$7:$L1503,ROW()-1),1,0),
        1
      ),
      YEARFRAC(
        B786 + IF(INDEX(Input!$K$7:$K1503,ROW()-1),0,1),
        C786 + IF(INDEX(Input!$L$7:$L1503,ROW()-1),1,0),
        3
      )
  )
)</f>
        <v/>
      </c>
      <c r="S786" s="22" t="str">
        <f t="shared" si="4"/>
        <v/>
      </c>
      <c r="T786" s="6" t="str">
        <f t="array" ref="T786">IF(
  B786="",
  ,
  DATEDIF(
    B786 + IF(INDEX(Input!$K$7:$K1503,ROW()-1),0,1),
    C786 + IF(INDEX(Input!$L$7:$L1503,ROW()-1),1,0),
    "Y"
  )
)</f>
        <v/>
      </c>
      <c r="U786" s="6" t="str">
        <f t="array" ref="U786">IF(
  B786="",
  ,
  (C786 + IF(INDEX(Input!$L$7:$L1503,ROW()-1),1,0))
  - EDATE(
      B786 + IF(INDEX(Input!$K$7:$K1503,ROW()-1),0,1),
      12*S786
    )
)</f>
        <v/>
      </c>
      <c r="V786" s="6" t="str">
        <f t="shared" si="5"/>
        <v/>
      </c>
      <c r="W786" s="6" t="str">
        <f t="shared" si="6"/>
        <v/>
      </c>
    </row>
    <row r="787">
      <c r="A787" s="18"/>
      <c r="B787" s="18"/>
      <c r="C787" s="18"/>
      <c r="D787" s="18"/>
      <c r="E787" s="18"/>
      <c r="F787" s="18"/>
      <c r="G787" s="22"/>
      <c r="H787" s="18"/>
      <c r="I787" s="18">
        <v>0.0</v>
      </c>
      <c r="J787" s="18">
        <v>0.0</v>
      </c>
      <c r="K787" s="18"/>
      <c r="L787" s="18"/>
      <c r="M787" s="22" t="str">
        <f t="shared" si="1"/>
        <v/>
      </c>
      <c r="N787" s="18" t="str">
        <f>IF(A787="",,IF(ROW()=2, Input!$C$2 + I787, P786 + I787))</f>
        <v/>
      </c>
      <c r="O787" s="23" t="str">
        <f>IF(A787="",,
 IF(K787="Initial principal",
   Input!$C$2 * M787,
   N787 * M787
 )
)</f>
        <v/>
      </c>
      <c r="P787" s="18" t="str">
        <f t="shared" si="2"/>
        <v/>
      </c>
      <c r="Q787" s="18" t="str">
        <f t="shared" si="3"/>
        <v/>
      </c>
      <c r="R787" s="18" t="str">
        <f t="array" ref="R787">IF(
  B787="",
  ,
  SWITCH(
    Input!$C$4,
    "Actual/365 Fixed",
      YEARFRAC(
        B787 + IF(INDEX(Input!$K$7:$K1503,ROW()-1),0,1),
        C787 + IF(INDEX(Input!$L$7:$L1503,ROW()-1),1,0),
        3
      ),
    "Anniversary/365",
      DATEDIF(
        B787 + IF(INDEX(Input!$K$7:$K1503,ROW()-1),0,1),
        C787 + IF(INDEX(Input!$L$7:$L1503,ROW()-1),1,0),
        "Y"
      )
      +
      (
        (C787 + IF(INDEX(Input!$L$7:$L1503,ROW()-1),1,0))
        -
        EDATE(
          B787 + IF(INDEX(Input!$K$7:$K1503,ROW()-1),0,1),
          12*DATEDIF(
            B787 + IF(INDEX(Input!$K$7:$K1503,ROW()-1),0,1),
            C787 + IF(INDEX(Input!$L$7:$L1503,ROW()-1),1,0),
            "Y"
          )
        )
      ) / 365,
    "Actual/Actual",
      YEARFRAC(
        B787 + IF(INDEX(Input!$K$7:$K1503,ROW()-1),0,1),
        C787 + IF(INDEX(Input!$L$7:$L1503,ROW()-1),1,0),
        1
      ),
      YEARFRAC(
        B787 + IF(INDEX(Input!$K$7:$K1503,ROW()-1),0,1),
        C787 + IF(INDEX(Input!$L$7:$L1503,ROW()-1),1,0),
        3
      )
  )
)</f>
        <v/>
      </c>
      <c r="S787" s="22" t="str">
        <f t="shared" si="4"/>
        <v/>
      </c>
      <c r="T787" s="6" t="str">
        <f t="array" ref="T787">IF(
  B787="",
  ,
  DATEDIF(
    B787 + IF(INDEX(Input!$K$7:$K1503,ROW()-1),0,1),
    C787 + IF(INDEX(Input!$L$7:$L1503,ROW()-1),1,0),
    "Y"
  )
)</f>
        <v/>
      </c>
      <c r="U787" s="6" t="str">
        <f t="array" ref="U787">IF(
  B787="",
  ,
  (C787 + IF(INDEX(Input!$L$7:$L1503,ROW()-1),1,0))
  - EDATE(
      B787 + IF(INDEX(Input!$K$7:$K1503,ROW()-1),0,1),
      12*S787
    )
)</f>
        <v/>
      </c>
      <c r="V787" s="6" t="str">
        <f t="shared" si="5"/>
        <v/>
      </c>
      <c r="W787" s="6" t="str">
        <f t="shared" si="6"/>
        <v/>
      </c>
    </row>
    <row r="788">
      <c r="A788" s="18"/>
      <c r="B788" s="18"/>
      <c r="C788" s="18"/>
      <c r="D788" s="18"/>
      <c r="E788" s="18"/>
      <c r="F788" s="18"/>
      <c r="G788" s="22"/>
      <c r="H788" s="18"/>
      <c r="I788" s="18">
        <v>0.0</v>
      </c>
      <c r="J788" s="18">
        <v>0.0</v>
      </c>
      <c r="K788" s="18"/>
      <c r="L788" s="18"/>
      <c r="M788" s="22" t="str">
        <f t="shared" si="1"/>
        <v/>
      </c>
      <c r="N788" s="18" t="str">
        <f>IF(A788="",,IF(ROW()=2, Input!$C$2 + I788, P787 + I788))</f>
        <v/>
      </c>
      <c r="O788" s="23" t="str">
        <f>IF(A788="",,
 IF(K788="Initial principal",
   Input!$C$2 * M788,
   N788 * M788
 )
)</f>
        <v/>
      </c>
      <c r="P788" s="18" t="str">
        <f t="shared" si="2"/>
        <v/>
      </c>
      <c r="Q788" s="18" t="str">
        <f t="shared" si="3"/>
        <v/>
      </c>
      <c r="R788" s="18" t="str">
        <f t="array" ref="R788">IF(
  B788="",
  ,
  SWITCH(
    Input!$C$4,
    "Actual/365 Fixed",
      YEARFRAC(
        B788 + IF(INDEX(Input!$K$7:$K1503,ROW()-1),0,1),
        C788 + IF(INDEX(Input!$L$7:$L1503,ROW()-1),1,0),
        3
      ),
    "Anniversary/365",
      DATEDIF(
        B788 + IF(INDEX(Input!$K$7:$K1503,ROW()-1),0,1),
        C788 + IF(INDEX(Input!$L$7:$L1503,ROW()-1),1,0),
        "Y"
      )
      +
      (
        (C788 + IF(INDEX(Input!$L$7:$L1503,ROW()-1),1,0))
        -
        EDATE(
          B788 + IF(INDEX(Input!$K$7:$K1503,ROW()-1),0,1),
          12*DATEDIF(
            B788 + IF(INDEX(Input!$K$7:$K1503,ROW()-1),0,1),
            C788 + IF(INDEX(Input!$L$7:$L1503,ROW()-1),1,0),
            "Y"
          )
        )
      ) / 365,
    "Actual/Actual",
      YEARFRAC(
        B788 + IF(INDEX(Input!$K$7:$K1503,ROW()-1),0,1),
        C788 + IF(INDEX(Input!$L$7:$L1503,ROW()-1),1,0),
        1
      ),
      YEARFRAC(
        B788 + IF(INDEX(Input!$K$7:$K1503,ROW()-1),0,1),
        C788 + IF(INDEX(Input!$L$7:$L1503,ROW()-1),1,0),
        3
      )
  )
)</f>
        <v/>
      </c>
      <c r="S788" s="22" t="str">
        <f t="shared" si="4"/>
        <v/>
      </c>
      <c r="T788" s="6" t="str">
        <f t="array" ref="T788">IF(
  B788="",
  ,
  DATEDIF(
    B788 + IF(INDEX(Input!$K$7:$K1503,ROW()-1),0,1),
    C788 + IF(INDEX(Input!$L$7:$L1503,ROW()-1),1,0),
    "Y"
  )
)</f>
        <v/>
      </c>
      <c r="U788" s="6" t="str">
        <f t="array" ref="U788">IF(
  B788="",
  ,
  (C788 + IF(INDEX(Input!$L$7:$L1503,ROW()-1),1,0))
  - EDATE(
      B788 + IF(INDEX(Input!$K$7:$K1503,ROW()-1),0,1),
      12*S788
    )
)</f>
        <v/>
      </c>
      <c r="V788" s="6" t="str">
        <f t="shared" si="5"/>
        <v/>
      </c>
      <c r="W788" s="6" t="str">
        <f t="shared" si="6"/>
        <v/>
      </c>
    </row>
    <row r="789">
      <c r="A789" s="18"/>
      <c r="B789" s="18"/>
      <c r="C789" s="18"/>
      <c r="D789" s="18"/>
      <c r="E789" s="18"/>
      <c r="F789" s="18"/>
      <c r="G789" s="22"/>
      <c r="H789" s="18"/>
      <c r="I789" s="18">
        <v>0.0</v>
      </c>
      <c r="J789" s="18">
        <v>0.0</v>
      </c>
      <c r="K789" s="18"/>
      <c r="L789" s="18"/>
      <c r="M789" s="22" t="str">
        <f t="shared" si="1"/>
        <v/>
      </c>
      <c r="N789" s="18" t="str">
        <f>IF(A789="",,IF(ROW()=2, Input!$C$2 + I789, P788 + I789))</f>
        <v/>
      </c>
      <c r="O789" s="23" t="str">
        <f>IF(A789="",,
 IF(K789="Initial principal",
   Input!$C$2 * M789,
   N789 * M789
 )
)</f>
        <v/>
      </c>
      <c r="P789" s="18" t="str">
        <f t="shared" si="2"/>
        <v/>
      </c>
      <c r="Q789" s="18" t="str">
        <f t="shared" si="3"/>
        <v/>
      </c>
      <c r="R789" s="18" t="str">
        <f t="array" ref="R789">IF(
  B789="",
  ,
  SWITCH(
    Input!$C$4,
    "Actual/365 Fixed",
      YEARFRAC(
        B789 + IF(INDEX(Input!$K$7:$K1503,ROW()-1),0,1),
        C789 + IF(INDEX(Input!$L$7:$L1503,ROW()-1),1,0),
        3
      ),
    "Anniversary/365",
      DATEDIF(
        B789 + IF(INDEX(Input!$K$7:$K1503,ROW()-1),0,1),
        C789 + IF(INDEX(Input!$L$7:$L1503,ROW()-1),1,0),
        "Y"
      )
      +
      (
        (C789 + IF(INDEX(Input!$L$7:$L1503,ROW()-1),1,0))
        -
        EDATE(
          B789 + IF(INDEX(Input!$K$7:$K1503,ROW()-1),0,1),
          12*DATEDIF(
            B789 + IF(INDEX(Input!$K$7:$K1503,ROW()-1),0,1),
            C789 + IF(INDEX(Input!$L$7:$L1503,ROW()-1),1,0),
            "Y"
          )
        )
      ) / 365,
    "Actual/Actual",
      YEARFRAC(
        B789 + IF(INDEX(Input!$K$7:$K1503,ROW()-1),0,1),
        C789 + IF(INDEX(Input!$L$7:$L1503,ROW()-1),1,0),
        1
      ),
      YEARFRAC(
        B789 + IF(INDEX(Input!$K$7:$K1503,ROW()-1),0,1),
        C789 + IF(INDEX(Input!$L$7:$L1503,ROW()-1),1,0),
        3
      )
  )
)</f>
        <v/>
      </c>
      <c r="S789" s="22" t="str">
        <f t="shared" si="4"/>
        <v/>
      </c>
      <c r="T789" s="6" t="str">
        <f t="array" ref="T789">IF(
  B789="",
  ,
  DATEDIF(
    B789 + IF(INDEX(Input!$K$7:$K1503,ROW()-1),0,1),
    C789 + IF(INDEX(Input!$L$7:$L1503,ROW()-1),1,0),
    "Y"
  )
)</f>
        <v/>
      </c>
      <c r="U789" s="6" t="str">
        <f t="array" ref="U789">IF(
  B789="",
  ,
  (C789 + IF(INDEX(Input!$L$7:$L1503,ROW()-1),1,0))
  - EDATE(
      B789 + IF(INDEX(Input!$K$7:$K1503,ROW()-1),0,1),
      12*S789
    )
)</f>
        <v/>
      </c>
      <c r="V789" s="6" t="str">
        <f t="shared" si="5"/>
        <v/>
      </c>
      <c r="W789" s="6" t="str">
        <f t="shared" si="6"/>
        <v/>
      </c>
    </row>
    <row r="790">
      <c r="A790" s="18"/>
      <c r="B790" s="18"/>
      <c r="C790" s="18"/>
      <c r="D790" s="18"/>
      <c r="E790" s="18"/>
      <c r="F790" s="18"/>
      <c r="G790" s="22"/>
      <c r="H790" s="18"/>
      <c r="I790" s="18">
        <v>0.0</v>
      </c>
      <c r="J790" s="18">
        <v>0.0</v>
      </c>
      <c r="K790" s="18"/>
      <c r="L790" s="18"/>
      <c r="M790" s="22" t="str">
        <f t="shared" si="1"/>
        <v/>
      </c>
      <c r="N790" s="18" t="str">
        <f>IF(A790="",,IF(ROW()=2, Input!$C$2 + I790, P789 + I790))</f>
        <v/>
      </c>
      <c r="O790" s="23" t="str">
        <f>IF(A790="",,
 IF(K790="Initial principal",
   Input!$C$2 * M790,
   N790 * M790
 )
)</f>
        <v/>
      </c>
      <c r="P790" s="18" t="str">
        <f t="shared" si="2"/>
        <v/>
      </c>
      <c r="Q790" s="18" t="str">
        <f t="shared" si="3"/>
        <v/>
      </c>
      <c r="R790" s="18" t="str">
        <f t="array" ref="R790">IF(
  B790="",
  ,
  SWITCH(
    Input!$C$4,
    "Actual/365 Fixed",
      YEARFRAC(
        B790 + IF(INDEX(Input!$K$7:$K1503,ROW()-1),0,1),
        C790 + IF(INDEX(Input!$L$7:$L1503,ROW()-1),1,0),
        3
      ),
    "Anniversary/365",
      DATEDIF(
        B790 + IF(INDEX(Input!$K$7:$K1503,ROW()-1),0,1),
        C790 + IF(INDEX(Input!$L$7:$L1503,ROW()-1),1,0),
        "Y"
      )
      +
      (
        (C790 + IF(INDEX(Input!$L$7:$L1503,ROW()-1),1,0))
        -
        EDATE(
          B790 + IF(INDEX(Input!$K$7:$K1503,ROW()-1),0,1),
          12*DATEDIF(
            B790 + IF(INDEX(Input!$K$7:$K1503,ROW()-1),0,1),
            C790 + IF(INDEX(Input!$L$7:$L1503,ROW()-1),1,0),
            "Y"
          )
        )
      ) / 365,
    "Actual/Actual",
      YEARFRAC(
        B790 + IF(INDEX(Input!$K$7:$K1503,ROW()-1),0,1),
        C790 + IF(INDEX(Input!$L$7:$L1503,ROW()-1),1,0),
        1
      ),
      YEARFRAC(
        B790 + IF(INDEX(Input!$K$7:$K1503,ROW()-1),0,1),
        C790 + IF(INDEX(Input!$L$7:$L1503,ROW()-1),1,0),
        3
      )
  )
)</f>
        <v/>
      </c>
      <c r="S790" s="22" t="str">
        <f t="shared" si="4"/>
        <v/>
      </c>
      <c r="T790" s="6" t="str">
        <f t="array" ref="T790">IF(
  B790="",
  ,
  DATEDIF(
    B790 + IF(INDEX(Input!$K$7:$K1503,ROW()-1),0,1),
    C790 + IF(INDEX(Input!$L$7:$L1503,ROW()-1),1,0),
    "Y"
  )
)</f>
        <v/>
      </c>
      <c r="U790" s="6" t="str">
        <f t="array" ref="U790">IF(
  B790="",
  ,
  (C790 + IF(INDEX(Input!$L$7:$L1503,ROW()-1),1,0))
  - EDATE(
      B790 + IF(INDEX(Input!$K$7:$K1503,ROW()-1),0,1),
      12*S790
    )
)</f>
        <v/>
      </c>
      <c r="V790" s="6" t="str">
        <f t="shared" si="5"/>
        <v/>
      </c>
      <c r="W790" s="6" t="str">
        <f t="shared" si="6"/>
        <v/>
      </c>
    </row>
    <row r="791">
      <c r="A791" s="18"/>
      <c r="B791" s="18"/>
      <c r="C791" s="18"/>
      <c r="D791" s="18"/>
      <c r="E791" s="18"/>
      <c r="F791" s="18"/>
      <c r="G791" s="22"/>
      <c r="H791" s="18"/>
      <c r="I791" s="18">
        <v>0.0</v>
      </c>
      <c r="J791" s="18">
        <v>0.0</v>
      </c>
      <c r="K791" s="18"/>
      <c r="L791" s="18"/>
      <c r="M791" s="22" t="str">
        <f t="shared" si="1"/>
        <v/>
      </c>
      <c r="N791" s="18" t="str">
        <f>IF(A791="",,IF(ROW()=2, Input!$C$2 + I791, P790 + I791))</f>
        <v/>
      </c>
      <c r="O791" s="23" t="str">
        <f>IF(A791="",,
 IF(K791="Initial principal",
   Input!$C$2 * M791,
   N791 * M791
 )
)</f>
        <v/>
      </c>
      <c r="P791" s="18" t="str">
        <f t="shared" si="2"/>
        <v/>
      </c>
      <c r="Q791" s="18" t="str">
        <f t="shared" si="3"/>
        <v/>
      </c>
      <c r="R791" s="18" t="str">
        <f t="array" ref="R791">IF(
  B791="",
  ,
  SWITCH(
    Input!$C$4,
    "Actual/365 Fixed",
      YEARFRAC(
        B791 + IF(INDEX(Input!$K$7:$K1503,ROW()-1),0,1),
        C791 + IF(INDEX(Input!$L$7:$L1503,ROW()-1),1,0),
        3
      ),
    "Anniversary/365",
      DATEDIF(
        B791 + IF(INDEX(Input!$K$7:$K1503,ROW()-1),0,1),
        C791 + IF(INDEX(Input!$L$7:$L1503,ROW()-1),1,0),
        "Y"
      )
      +
      (
        (C791 + IF(INDEX(Input!$L$7:$L1503,ROW()-1),1,0))
        -
        EDATE(
          B791 + IF(INDEX(Input!$K$7:$K1503,ROW()-1),0,1),
          12*DATEDIF(
            B791 + IF(INDEX(Input!$K$7:$K1503,ROW()-1),0,1),
            C791 + IF(INDEX(Input!$L$7:$L1503,ROW()-1),1,0),
            "Y"
          )
        )
      ) / 365,
    "Actual/Actual",
      YEARFRAC(
        B791 + IF(INDEX(Input!$K$7:$K1503,ROW()-1),0,1),
        C791 + IF(INDEX(Input!$L$7:$L1503,ROW()-1),1,0),
        1
      ),
      YEARFRAC(
        B791 + IF(INDEX(Input!$K$7:$K1503,ROW()-1),0,1),
        C791 + IF(INDEX(Input!$L$7:$L1503,ROW()-1),1,0),
        3
      )
  )
)</f>
        <v/>
      </c>
      <c r="S791" s="22" t="str">
        <f t="shared" si="4"/>
        <v/>
      </c>
      <c r="T791" s="6" t="str">
        <f t="array" ref="T791">IF(
  B791="",
  ,
  DATEDIF(
    B791 + IF(INDEX(Input!$K$7:$K1503,ROW()-1),0,1),
    C791 + IF(INDEX(Input!$L$7:$L1503,ROW()-1),1,0),
    "Y"
  )
)</f>
        <v/>
      </c>
      <c r="U791" s="6" t="str">
        <f t="array" ref="U791">IF(
  B791="",
  ,
  (C791 + IF(INDEX(Input!$L$7:$L1503,ROW()-1),1,0))
  - EDATE(
      B791 + IF(INDEX(Input!$K$7:$K1503,ROW()-1),0,1),
      12*S791
    )
)</f>
        <v/>
      </c>
      <c r="V791" s="6" t="str">
        <f t="shared" si="5"/>
        <v/>
      </c>
      <c r="W791" s="6" t="str">
        <f t="shared" si="6"/>
        <v/>
      </c>
    </row>
    <row r="792">
      <c r="A792" s="18"/>
      <c r="B792" s="18"/>
      <c r="C792" s="18"/>
      <c r="D792" s="18"/>
      <c r="E792" s="18"/>
      <c r="F792" s="18"/>
      <c r="G792" s="22"/>
      <c r="H792" s="18"/>
      <c r="I792" s="18">
        <v>0.0</v>
      </c>
      <c r="J792" s="18">
        <v>0.0</v>
      </c>
      <c r="K792" s="18"/>
      <c r="L792" s="18"/>
      <c r="M792" s="22" t="str">
        <f t="shared" si="1"/>
        <v/>
      </c>
      <c r="N792" s="18" t="str">
        <f>IF(A792="",,IF(ROW()=2, Input!$C$2 + I792, P791 + I792))</f>
        <v/>
      </c>
      <c r="O792" s="23" t="str">
        <f>IF(A792="",,
 IF(K792="Initial principal",
   Input!$C$2 * M792,
   N792 * M792
 )
)</f>
        <v/>
      </c>
      <c r="P792" s="18" t="str">
        <f t="shared" si="2"/>
        <v/>
      </c>
      <c r="Q792" s="18" t="str">
        <f t="shared" si="3"/>
        <v/>
      </c>
      <c r="R792" s="18" t="str">
        <f t="array" ref="R792">IF(
  B792="",
  ,
  SWITCH(
    Input!$C$4,
    "Actual/365 Fixed",
      YEARFRAC(
        B792 + IF(INDEX(Input!$K$7:$K1503,ROW()-1),0,1),
        C792 + IF(INDEX(Input!$L$7:$L1503,ROW()-1),1,0),
        3
      ),
    "Anniversary/365",
      DATEDIF(
        B792 + IF(INDEX(Input!$K$7:$K1503,ROW()-1),0,1),
        C792 + IF(INDEX(Input!$L$7:$L1503,ROW()-1),1,0),
        "Y"
      )
      +
      (
        (C792 + IF(INDEX(Input!$L$7:$L1503,ROW()-1),1,0))
        -
        EDATE(
          B792 + IF(INDEX(Input!$K$7:$K1503,ROW()-1),0,1),
          12*DATEDIF(
            B792 + IF(INDEX(Input!$K$7:$K1503,ROW()-1),0,1),
            C792 + IF(INDEX(Input!$L$7:$L1503,ROW()-1),1,0),
            "Y"
          )
        )
      ) / 365,
    "Actual/Actual",
      YEARFRAC(
        B792 + IF(INDEX(Input!$K$7:$K1503,ROW()-1),0,1),
        C792 + IF(INDEX(Input!$L$7:$L1503,ROW()-1),1,0),
        1
      ),
      YEARFRAC(
        B792 + IF(INDEX(Input!$K$7:$K1503,ROW()-1),0,1),
        C792 + IF(INDEX(Input!$L$7:$L1503,ROW()-1),1,0),
        3
      )
  )
)</f>
        <v/>
      </c>
      <c r="S792" s="22" t="str">
        <f t="shared" si="4"/>
        <v/>
      </c>
      <c r="T792" s="6" t="str">
        <f t="array" ref="T792">IF(
  B792="",
  ,
  DATEDIF(
    B792 + IF(INDEX(Input!$K$7:$K1503,ROW()-1),0,1),
    C792 + IF(INDEX(Input!$L$7:$L1503,ROW()-1),1,0),
    "Y"
  )
)</f>
        <v/>
      </c>
      <c r="U792" s="6" t="str">
        <f t="array" ref="U792">IF(
  B792="",
  ,
  (C792 + IF(INDEX(Input!$L$7:$L1503,ROW()-1),1,0))
  - EDATE(
      B792 + IF(INDEX(Input!$K$7:$K1503,ROW()-1),0,1),
      12*S792
    )
)</f>
        <v/>
      </c>
      <c r="V792" s="6" t="str">
        <f t="shared" si="5"/>
        <v/>
      </c>
      <c r="W792" s="6" t="str">
        <f t="shared" si="6"/>
        <v/>
      </c>
    </row>
    <row r="793">
      <c r="A793" s="18"/>
      <c r="B793" s="18"/>
      <c r="C793" s="18"/>
      <c r="D793" s="18"/>
      <c r="E793" s="18"/>
      <c r="F793" s="18"/>
      <c r="G793" s="22"/>
      <c r="H793" s="18"/>
      <c r="I793" s="18">
        <v>0.0</v>
      </c>
      <c r="J793" s="18">
        <v>0.0</v>
      </c>
      <c r="K793" s="18"/>
      <c r="L793" s="18"/>
      <c r="M793" s="22" t="str">
        <f t="shared" si="1"/>
        <v/>
      </c>
      <c r="N793" s="18" t="str">
        <f>IF(A793="",,IF(ROW()=2, Input!$C$2 + I793, P792 + I793))</f>
        <v/>
      </c>
      <c r="O793" s="23" t="str">
        <f>IF(A793="",,
 IF(K793="Initial principal",
   Input!$C$2 * M793,
   N793 * M793
 )
)</f>
        <v/>
      </c>
      <c r="P793" s="18" t="str">
        <f t="shared" si="2"/>
        <v/>
      </c>
      <c r="Q793" s="18" t="str">
        <f t="shared" si="3"/>
        <v/>
      </c>
      <c r="R793" s="18" t="str">
        <f t="array" ref="R793">IF(
  B793="",
  ,
  SWITCH(
    Input!$C$4,
    "Actual/365 Fixed",
      YEARFRAC(
        B793 + IF(INDEX(Input!$K$7:$K1503,ROW()-1),0,1),
        C793 + IF(INDEX(Input!$L$7:$L1503,ROW()-1),1,0),
        3
      ),
    "Anniversary/365",
      DATEDIF(
        B793 + IF(INDEX(Input!$K$7:$K1503,ROW()-1),0,1),
        C793 + IF(INDEX(Input!$L$7:$L1503,ROW()-1),1,0),
        "Y"
      )
      +
      (
        (C793 + IF(INDEX(Input!$L$7:$L1503,ROW()-1),1,0))
        -
        EDATE(
          B793 + IF(INDEX(Input!$K$7:$K1503,ROW()-1),0,1),
          12*DATEDIF(
            B793 + IF(INDEX(Input!$K$7:$K1503,ROW()-1),0,1),
            C793 + IF(INDEX(Input!$L$7:$L1503,ROW()-1),1,0),
            "Y"
          )
        )
      ) / 365,
    "Actual/Actual",
      YEARFRAC(
        B793 + IF(INDEX(Input!$K$7:$K1503,ROW()-1),0,1),
        C793 + IF(INDEX(Input!$L$7:$L1503,ROW()-1),1,0),
        1
      ),
      YEARFRAC(
        B793 + IF(INDEX(Input!$K$7:$K1503,ROW()-1),0,1),
        C793 + IF(INDEX(Input!$L$7:$L1503,ROW()-1),1,0),
        3
      )
  )
)</f>
        <v/>
      </c>
      <c r="S793" s="22" t="str">
        <f t="shared" si="4"/>
        <v/>
      </c>
      <c r="T793" s="6" t="str">
        <f t="array" ref="T793">IF(
  B793="",
  ,
  DATEDIF(
    B793 + IF(INDEX(Input!$K$7:$K1503,ROW()-1),0,1),
    C793 + IF(INDEX(Input!$L$7:$L1503,ROW()-1),1,0),
    "Y"
  )
)</f>
        <v/>
      </c>
      <c r="U793" s="6" t="str">
        <f t="array" ref="U793">IF(
  B793="",
  ,
  (C793 + IF(INDEX(Input!$L$7:$L1503,ROW()-1),1,0))
  - EDATE(
      B793 + IF(INDEX(Input!$K$7:$K1503,ROW()-1),0,1),
      12*S793
    )
)</f>
        <v/>
      </c>
      <c r="V793" s="6" t="str">
        <f t="shared" si="5"/>
        <v/>
      </c>
      <c r="W793" s="6" t="str">
        <f t="shared" si="6"/>
        <v/>
      </c>
    </row>
    <row r="794">
      <c r="A794" s="18"/>
      <c r="B794" s="18"/>
      <c r="C794" s="18"/>
      <c r="D794" s="18"/>
      <c r="E794" s="18"/>
      <c r="F794" s="18"/>
      <c r="G794" s="22"/>
      <c r="H794" s="18"/>
      <c r="I794" s="18">
        <v>0.0</v>
      </c>
      <c r="J794" s="18">
        <v>0.0</v>
      </c>
      <c r="K794" s="18"/>
      <c r="L794" s="18"/>
      <c r="M794" s="22" t="str">
        <f t="shared" si="1"/>
        <v/>
      </c>
      <c r="N794" s="18" t="str">
        <f>IF(A794="",,IF(ROW()=2, Input!$C$2 + I794, P793 + I794))</f>
        <v/>
      </c>
      <c r="O794" s="23" t="str">
        <f>IF(A794="",,
 IF(K794="Initial principal",
   Input!$C$2 * M794,
   N794 * M794
 )
)</f>
        <v/>
      </c>
      <c r="P794" s="18" t="str">
        <f t="shared" si="2"/>
        <v/>
      </c>
      <c r="Q794" s="18" t="str">
        <f t="shared" si="3"/>
        <v/>
      </c>
      <c r="R794" s="18" t="str">
        <f t="array" ref="R794">IF(
  B794="",
  ,
  SWITCH(
    Input!$C$4,
    "Actual/365 Fixed",
      YEARFRAC(
        B794 + IF(INDEX(Input!$K$7:$K1503,ROW()-1),0,1),
        C794 + IF(INDEX(Input!$L$7:$L1503,ROW()-1),1,0),
        3
      ),
    "Anniversary/365",
      DATEDIF(
        B794 + IF(INDEX(Input!$K$7:$K1503,ROW()-1),0,1),
        C794 + IF(INDEX(Input!$L$7:$L1503,ROW()-1),1,0),
        "Y"
      )
      +
      (
        (C794 + IF(INDEX(Input!$L$7:$L1503,ROW()-1),1,0))
        -
        EDATE(
          B794 + IF(INDEX(Input!$K$7:$K1503,ROW()-1),0,1),
          12*DATEDIF(
            B794 + IF(INDEX(Input!$K$7:$K1503,ROW()-1),0,1),
            C794 + IF(INDEX(Input!$L$7:$L1503,ROW()-1),1,0),
            "Y"
          )
        )
      ) / 365,
    "Actual/Actual",
      YEARFRAC(
        B794 + IF(INDEX(Input!$K$7:$K1503,ROW()-1),0,1),
        C794 + IF(INDEX(Input!$L$7:$L1503,ROW()-1),1,0),
        1
      ),
      YEARFRAC(
        B794 + IF(INDEX(Input!$K$7:$K1503,ROW()-1),0,1),
        C794 + IF(INDEX(Input!$L$7:$L1503,ROW()-1),1,0),
        3
      )
  )
)</f>
        <v/>
      </c>
      <c r="S794" s="22" t="str">
        <f t="shared" si="4"/>
        <v/>
      </c>
      <c r="T794" s="6" t="str">
        <f t="array" ref="T794">IF(
  B794="",
  ,
  DATEDIF(
    B794 + IF(INDEX(Input!$K$7:$K1503,ROW()-1),0,1),
    C794 + IF(INDEX(Input!$L$7:$L1503,ROW()-1),1,0),
    "Y"
  )
)</f>
        <v/>
      </c>
      <c r="U794" s="6" t="str">
        <f t="array" ref="U794">IF(
  B794="",
  ,
  (C794 + IF(INDEX(Input!$L$7:$L1503,ROW()-1),1,0))
  - EDATE(
      B794 + IF(INDEX(Input!$K$7:$K1503,ROW()-1),0,1),
      12*S794
    )
)</f>
        <v/>
      </c>
      <c r="V794" s="6" t="str">
        <f t="shared" si="5"/>
        <v/>
      </c>
      <c r="W794" s="6" t="str">
        <f t="shared" si="6"/>
        <v/>
      </c>
    </row>
    <row r="795">
      <c r="A795" s="18"/>
      <c r="B795" s="18"/>
      <c r="C795" s="18"/>
      <c r="D795" s="18"/>
      <c r="E795" s="18"/>
      <c r="F795" s="18"/>
      <c r="G795" s="22"/>
      <c r="H795" s="18"/>
      <c r="I795" s="18">
        <v>0.0</v>
      </c>
      <c r="J795" s="18">
        <v>0.0</v>
      </c>
      <c r="K795" s="18"/>
      <c r="L795" s="18"/>
      <c r="M795" s="22" t="str">
        <f t="shared" si="1"/>
        <v/>
      </c>
      <c r="N795" s="18" t="str">
        <f>IF(A795="",,IF(ROW()=2, Input!$C$2 + I795, P794 + I795))</f>
        <v/>
      </c>
      <c r="O795" s="23" t="str">
        <f>IF(A795="",,
 IF(K795="Initial principal",
   Input!$C$2 * M795,
   N795 * M795
 )
)</f>
        <v/>
      </c>
      <c r="P795" s="18" t="str">
        <f t="shared" si="2"/>
        <v/>
      </c>
      <c r="Q795" s="18" t="str">
        <f t="shared" si="3"/>
        <v/>
      </c>
      <c r="R795" s="18" t="str">
        <f t="array" ref="R795">IF(
  B795="",
  ,
  SWITCH(
    Input!$C$4,
    "Actual/365 Fixed",
      YEARFRAC(
        B795 + IF(INDEX(Input!$K$7:$K1503,ROW()-1),0,1),
        C795 + IF(INDEX(Input!$L$7:$L1503,ROW()-1),1,0),
        3
      ),
    "Anniversary/365",
      DATEDIF(
        B795 + IF(INDEX(Input!$K$7:$K1503,ROW()-1),0,1),
        C795 + IF(INDEX(Input!$L$7:$L1503,ROW()-1),1,0),
        "Y"
      )
      +
      (
        (C795 + IF(INDEX(Input!$L$7:$L1503,ROW()-1),1,0))
        -
        EDATE(
          B795 + IF(INDEX(Input!$K$7:$K1503,ROW()-1),0,1),
          12*DATEDIF(
            B795 + IF(INDEX(Input!$K$7:$K1503,ROW()-1),0,1),
            C795 + IF(INDEX(Input!$L$7:$L1503,ROW()-1),1,0),
            "Y"
          )
        )
      ) / 365,
    "Actual/Actual",
      YEARFRAC(
        B795 + IF(INDEX(Input!$K$7:$K1503,ROW()-1),0,1),
        C795 + IF(INDEX(Input!$L$7:$L1503,ROW()-1),1,0),
        1
      ),
      YEARFRAC(
        B795 + IF(INDEX(Input!$K$7:$K1503,ROW()-1),0,1),
        C795 + IF(INDEX(Input!$L$7:$L1503,ROW()-1),1,0),
        3
      )
  )
)</f>
        <v/>
      </c>
      <c r="S795" s="22" t="str">
        <f t="shared" si="4"/>
        <v/>
      </c>
      <c r="T795" s="6" t="str">
        <f t="array" ref="T795">IF(
  B795="",
  ,
  DATEDIF(
    B795 + IF(INDEX(Input!$K$7:$K1503,ROW()-1),0,1),
    C795 + IF(INDEX(Input!$L$7:$L1503,ROW()-1),1,0),
    "Y"
  )
)</f>
        <v/>
      </c>
      <c r="U795" s="6" t="str">
        <f t="array" ref="U795">IF(
  B795="",
  ,
  (C795 + IF(INDEX(Input!$L$7:$L1503,ROW()-1),1,0))
  - EDATE(
      B795 + IF(INDEX(Input!$K$7:$K1503,ROW()-1),0,1),
      12*S795
    )
)</f>
        <v/>
      </c>
      <c r="V795" s="6" t="str">
        <f t="shared" si="5"/>
        <v/>
      </c>
      <c r="W795" s="6" t="str">
        <f t="shared" si="6"/>
        <v/>
      </c>
    </row>
    <row r="796">
      <c r="A796" s="18"/>
      <c r="B796" s="18"/>
      <c r="C796" s="18"/>
      <c r="D796" s="18"/>
      <c r="E796" s="18"/>
      <c r="F796" s="18"/>
      <c r="G796" s="22"/>
      <c r="H796" s="18"/>
      <c r="I796" s="18">
        <v>0.0</v>
      </c>
      <c r="J796" s="18">
        <v>0.0</v>
      </c>
      <c r="K796" s="18"/>
      <c r="L796" s="18"/>
      <c r="M796" s="22" t="str">
        <f t="shared" si="1"/>
        <v/>
      </c>
      <c r="N796" s="18" t="str">
        <f>IF(A796="",,IF(ROW()=2, Input!$C$2 + I796, P795 + I796))</f>
        <v/>
      </c>
      <c r="O796" s="23" t="str">
        <f>IF(A796="",,
 IF(K796="Initial principal",
   Input!$C$2 * M796,
   N796 * M796
 )
)</f>
        <v/>
      </c>
      <c r="P796" s="18" t="str">
        <f t="shared" si="2"/>
        <v/>
      </c>
      <c r="Q796" s="18" t="str">
        <f t="shared" si="3"/>
        <v/>
      </c>
      <c r="R796" s="18" t="str">
        <f t="array" ref="R796">IF(
  B796="",
  ,
  SWITCH(
    Input!$C$4,
    "Actual/365 Fixed",
      YEARFRAC(
        B796 + IF(INDEX(Input!$K$7:$K1503,ROW()-1),0,1),
        C796 + IF(INDEX(Input!$L$7:$L1503,ROW()-1),1,0),
        3
      ),
    "Anniversary/365",
      DATEDIF(
        B796 + IF(INDEX(Input!$K$7:$K1503,ROW()-1),0,1),
        C796 + IF(INDEX(Input!$L$7:$L1503,ROW()-1),1,0),
        "Y"
      )
      +
      (
        (C796 + IF(INDEX(Input!$L$7:$L1503,ROW()-1),1,0))
        -
        EDATE(
          B796 + IF(INDEX(Input!$K$7:$K1503,ROW()-1),0,1),
          12*DATEDIF(
            B796 + IF(INDEX(Input!$K$7:$K1503,ROW()-1),0,1),
            C796 + IF(INDEX(Input!$L$7:$L1503,ROW()-1),1,0),
            "Y"
          )
        )
      ) / 365,
    "Actual/Actual",
      YEARFRAC(
        B796 + IF(INDEX(Input!$K$7:$K1503,ROW()-1),0,1),
        C796 + IF(INDEX(Input!$L$7:$L1503,ROW()-1),1,0),
        1
      ),
      YEARFRAC(
        B796 + IF(INDEX(Input!$K$7:$K1503,ROW()-1),0,1),
        C796 + IF(INDEX(Input!$L$7:$L1503,ROW()-1),1,0),
        3
      )
  )
)</f>
        <v/>
      </c>
      <c r="S796" s="22" t="str">
        <f t="shared" si="4"/>
        <v/>
      </c>
      <c r="T796" s="6" t="str">
        <f t="array" ref="T796">IF(
  B796="",
  ,
  DATEDIF(
    B796 + IF(INDEX(Input!$K$7:$K1503,ROW()-1),0,1),
    C796 + IF(INDEX(Input!$L$7:$L1503,ROW()-1),1,0),
    "Y"
  )
)</f>
        <v/>
      </c>
      <c r="U796" s="6" t="str">
        <f t="array" ref="U796">IF(
  B796="",
  ,
  (C796 + IF(INDEX(Input!$L$7:$L1503,ROW()-1),1,0))
  - EDATE(
      B796 + IF(INDEX(Input!$K$7:$K1503,ROW()-1),0,1),
      12*S796
    )
)</f>
        <v/>
      </c>
      <c r="V796" s="6" t="str">
        <f t="shared" si="5"/>
        <v/>
      </c>
      <c r="W796" s="6" t="str">
        <f t="shared" si="6"/>
        <v/>
      </c>
    </row>
    <row r="797">
      <c r="A797" s="18"/>
      <c r="B797" s="18"/>
      <c r="C797" s="18"/>
      <c r="D797" s="18"/>
      <c r="E797" s="18"/>
      <c r="F797" s="18"/>
      <c r="G797" s="22"/>
      <c r="H797" s="18"/>
      <c r="I797" s="18">
        <v>0.0</v>
      </c>
      <c r="J797" s="18">
        <v>0.0</v>
      </c>
      <c r="K797" s="18"/>
      <c r="L797" s="18"/>
      <c r="M797" s="22" t="str">
        <f t="shared" si="1"/>
        <v/>
      </c>
      <c r="N797" s="18" t="str">
        <f>IF(A797="",,IF(ROW()=2, Input!$C$2 + I797, P796 + I797))</f>
        <v/>
      </c>
      <c r="O797" s="23" t="str">
        <f>IF(A797="",,
 IF(K797="Initial principal",
   Input!$C$2 * M797,
   N797 * M797
 )
)</f>
        <v/>
      </c>
      <c r="P797" s="18" t="str">
        <f t="shared" si="2"/>
        <v/>
      </c>
      <c r="Q797" s="18" t="str">
        <f t="shared" si="3"/>
        <v/>
      </c>
      <c r="R797" s="18" t="str">
        <f t="array" ref="R797">IF(
  B797="",
  ,
  SWITCH(
    Input!$C$4,
    "Actual/365 Fixed",
      YEARFRAC(
        B797 + IF(INDEX(Input!$K$7:$K1503,ROW()-1),0,1),
        C797 + IF(INDEX(Input!$L$7:$L1503,ROW()-1),1,0),
        3
      ),
    "Anniversary/365",
      DATEDIF(
        B797 + IF(INDEX(Input!$K$7:$K1503,ROW()-1),0,1),
        C797 + IF(INDEX(Input!$L$7:$L1503,ROW()-1),1,0),
        "Y"
      )
      +
      (
        (C797 + IF(INDEX(Input!$L$7:$L1503,ROW()-1),1,0))
        -
        EDATE(
          B797 + IF(INDEX(Input!$K$7:$K1503,ROW()-1),0,1),
          12*DATEDIF(
            B797 + IF(INDEX(Input!$K$7:$K1503,ROW()-1),0,1),
            C797 + IF(INDEX(Input!$L$7:$L1503,ROW()-1),1,0),
            "Y"
          )
        )
      ) / 365,
    "Actual/Actual",
      YEARFRAC(
        B797 + IF(INDEX(Input!$K$7:$K1503,ROW()-1),0,1),
        C797 + IF(INDEX(Input!$L$7:$L1503,ROW()-1),1,0),
        1
      ),
      YEARFRAC(
        B797 + IF(INDEX(Input!$K$7:$K1503,ROW()-1),0,1),
        C797 + IF(INDEX(Input!$L$7:$L1503,ROW()-1),1,0),
        3
      )
  )
)</f>
        <v/>
      </c>
      <c r="S797" s="22" t="str">
        <f t="shared" si="4"/>
        <v/>
      </c>
      <c r="T797" s="6" t="str">
        <f t="array" ref="T797">IF(
  B797="",
  ,
  DATEDIF(
    B797 + IF(INDEX(Input!$K$7:$K1503,ROW()-1),0,1),
    C797 + IF(INDEX(Input!$L$7:$L1503,ROW()-1),1,0),
    "Y"
  )
)</f>
        <v/>
      </c>
      <c r="U797" s="6" t="str">
        <f t="array" ref="U797">IF(
  B797="",
  ,
  (C797 + IF(INDEX(Input!$L$7:$L1503,ROW()-1),1,0))
  - EDATE(
      B797 + IF(INDEX(Input!$K$7:$K1503,ROW()-1),0,1),
      12*S797
    )
)</f>
        <v/>
      </c>
      <c r="V797" s="6" t="str">
        <f t="shared" si="5"/>
        <v/>
      </c>
      <c r="W797" s="6" t="str">
        <f t="shared" si="6"/>
        <v/>
      </c>
    </row>
    <row r="798">
      <c r="A798" s="18"/>
      <c r="B798" s="18"/>
      <c r="C798" s="18"/>
      <c r="D798" s="18"/>
      <c r="E798" s="18"/>
      <c r="F798" s="18"/>
      <c r="G798" s="22"/>
      <c r="H798" s="18"/>
      <c r="I798" s="18">
        <v>0.0</v>
      </c>
      <c r="J798" s="18">
        <v>0.0</v>
      </c>
      <c r="K798" s="18"/>
      <c r="L798" s="18"/>
      <c r="M798" s="22" t="str">
        <f t="shared" si="1"/>
        <v/>
      </c>
      <c r="N798" s="18" t="str">
        <f>IF(A798="",,IF(ROW()=2, Input!$C$2 + I798, P797 + I798))</f>
        <v/>
      </c>
      <c r="O798" s="23" t="str">
        <f>IF(A798="",,
 IF(K798="Initial principal",
   Input!$C$2 * M798,
   N798 * M798
 )
)</f>
        <v/>
      </c>
      <c r="P798" s="18" t="str">
        <f t="shared" si="2"/>
        <v/>
      </c>
      <c r="Q798" s="18" t="str">
        <f t="shared" si="3"/>
        <v/>
      </c>
      <c r="R798" s="18" t="str">
        <f t="array" ref="R798">IF(
  B798="",
  ,
  SWITCH(
    Input!$C$4,
    "Actual/365 Fixed",
      YEARFRAC(
        B798 + IF(INDEX(Input!$K$7:$K1503,ROW()-1),0,1),
        C798 + IF(INDEX(Input!$L$7:$L1503,ROW()-1),1,0),
        3
      ),
    "Anniversary/365",
      DATEDIF(
        B798 + IF(INDEX(Input!$K$7:$K1503,ROW()-1),0,1),
        C798 + IF(INDEX(Input!$L$7:$L1503,ROW()-1),1,0),
        "Y"
      )
      +
      (
        (C798 + IF(INDEX(Input!$L$7:$L1503,ROW()-1),1,0))
        -
        EDATE(
          B798 + IF(INDEX(Input!$K$7:$K1503,ROW()-1),0,1),
          12*DATEDIF(
            B798 + IF(INDEX(Input!$K$7:$K1503,ROW()-1),0,1),
            C798 + IF(INDEX(Input!$L$7:$L1503,ROW()-1),1,0),
            "Y"
          )
        )
      ) / 365,
    "Actual/Actual",
      YEARFRAC(
        B798 + IF(INDEX(Input!$K$7:$K1503,ROW()-1),0,1),
        C798 + IF(INDEX(Input!$L$7:$L1503,ROW()-1),1,0),
        1
      ),
      YEARFRAC(
        B798 + IF(INDEX(Input!$K$7:$K1503,ROW()-1),0,1),
        C798 + IF(INDEX(Input!$L$7:$L1503,ROW()-1),1,0),
        3
      )
  )
)</f>
        <v/>
      </c>
      <c r="S798" s="22" t="str">
        <f t="shared" si="4"/>
        <v/>
      </c>
      <c r="T798" s="6" t="str">
        <f t="array" ref="T798">IF(
  B798="",
  ,
  DATEDIF(
    B798 + IF(INDEX(Input!$K$7:$K1503,ROW()-1),0,1),
    C798 + IF(INDEX(Input!$L$7:$L1503,ROW()-1),1,0),
    "Y"
  )
)</f>
        <v/>
      </c>
      <c r="U798" s="6" t="str">
        <f t="array" ref="U798">IF(
  B798="",
  ,
  (C798 + IF(INDEX(Input!$L$7:$L1503,ROW()-1),1,0))
  - EDATE(
      B798 + IF(INDEX(Input!$K$7:$K1503,ROW()-1),0,1),
      12*S798
    )
)</f>
        <v/>
      </c>
      <c r="V798" s="6" t="str">
        <f t="shared" si="5"/>
        <v/>
      </c>
      <c r="W798" s="6" t="str">
        <f t="shared" si="6"/>
        <v/>
      </c>
    </row>
    <row r="799">
      <c r="A799" s="18"/>
      <c r="B799" s="18"/>
      <c r="C799" s="18"/>
      <c r="D799" s="18"/>
      <c r="E799" s="18"/>
      <c r="F799" s="18"/>
      <c r="G799" s="22"/>
      <c r="H799" s="18"/>
      <c r="I799" s="18">
        <v>0.0</v>
      </c>
      <c r="J799" s="18">
        <v>0.0</v>
      </c>
      <c r="K799" s="18"/>
      <c r="L799" s="18"/>
      <c r="M799" s="22" t="str">
        <f t="shared" si="1"/>
        <v/>
      </c>
      <c r="N799" s="18" t="str">
        <f>IF(A799="",,IF(ROW()=2, Input!$C$2 + I799, P798 + I799))</f>
        <v/>
      </c>
      <c r="O799" s="23" t="str">
        <f>IF(A799="",,
 IF(K799="Initial principal",
   Input!$C$2 * M799,
   N799 * M799
 )
)</f>
        <v/>
      </c>
      <c r="P799" s="18" t="str">
        <f t="shared" si="2"/>
        <v/>
      </c>
      <c r="Q799" s="18" t="str">
        <f t="shared" si="3"/>
        <v/>
      </c>
      <c r="R799" s="18" t="str">
        <f t="array" ref="R799">IF(
  B799="",
  ,
  SWITCH(
    Input!$C$4,
    "Actual/365 Fixed",
      YEARFRAC(
        B799 + IF(INDEX(Input!$K$7:$K1503,ROW()-1),0,1),
        C799 + IF(INDEX(Input!$L$7:$L1503,ROW()-1),1,0),
        3
      ),
    "Anniversary/365",
      DATEDIF(
        B799 + IF(INDEX(Input!$K$7:$K1503,ROW()-1),0,1),
        C799 + IF(INDEX(Input!$L$7:$L1503,ROW()-1),1,0),
        "Y"
      )
      +
      (
        (C799 + IF(INDEX(Input!$L$7:$L1503,ROW()-1),1,0))
        -
        EDATE(
          B799 + IF(INDEX(Input!$K$7:$K1503,ROW()-1),0,1),
          12*DATEDIF(
            B799 + IF(INDEX(Input!$K$7:$K1503,ROW()-1),0,1),
            C799 + IF(INDEX(Input!$L$7:$L1503,ROW()-1),1,0),
            "Y"
          )
        )
      ) / 365,
    "Actual/Actual",
      YEARFRAC(
        B799 + IF(INDEX(Input!$K$7:$K1503,ROW()-1),0,1),
        C799 + IF(INDEX(Input!$L$7:$L1503,ROW()-1),1,0),
        1
      ),
      YEARFRAC(
        B799 + IF(INDEX(Input!$K$7:$K1503,ROW()-1),0,1),
        C799 + IF(INDEX(Input!$L$7:$L1503,ROW()-1),1,0),
        3
      )
  )
)</f>
        <v/>
      </c>
      <c r="S799" s="22" t="str">
        <f t="shared" si="4"/>
        <v/>
      </c>
      <c r="T799" s="6" t="str">
        <f t="array" ref="T799">IF(
  B799="",
  ,
  DATEDIF(
    B799 + IF(INDEX(Input!$K$7:$K1503,ROW()-1),0,1),
    C799 + IF(INDEX(Input!$L$7:$L1503,ROW()-1),1,0),
    "Y"
  )
)</f>
        <v/>
      </c>
      <c r="U799" s="6" t="str">
        <f t="array" ref="U799">IF(
  B799="",
  ,
  (C799 + IF(INDEX(Input!$L$7:$L1503,ROW()-1),1,0))
  - EDATE(
      B799 + IF(INDEX(Input!$K$7:$K1503,ROW()-1),0,1),
      12*S799
    )
)</f>
        <v/>
      </c>
      <c r="V799" s="6" t="str">
        <f t="shared" si="5"/>
        <v/>
      </c>
      <c r="W799" s="6" t="str">
        <f t="shared" si="6"/>
        <v/>
      </c>
    </row>
    <row r="800">
      <c r="A800" s="18"/>
      <c r="B800" s="18"/>
      <c r="C800" s="18"/>
      <c r="D800" s="18"/>
      <c r="E800" s="18"/>
      <c r="F800" s="18"/>
      <c r="G800" s="22"/>
      <c r="H800" s="18"/>
      <c r="I800" s="18">
        <v>0.0</v>
      </c>
      <c r="J800" s="18">
        <v>0.0</v>
      </c>
      <c r="K800" s="18"/>
      <c r="L800" s="18"/>
      <c r="M800" s="22" t="str">
        <f t="shared" si="1"/>
        <v/>
      </c>
      <c r="N800" s="18" t="str">
        <f>IF(A800="",,IF(ROW()=2, Input!$C$2 + I800, P799 + I800))</f>
        <v/>
      </c>
      <c r="O800" s="23" t="str">
        <f>IF(A800="",,
 IF(K800="Initial principal",
   Input!$C$2 * M800,
   N800 * M800
 )
)</f>
        <v/>
      </c>
      <c r="P800" s="18" t="str">
        <f t="shared" si="2"/>
        <v/>
      </c>
      <c r="Q800" s="18" t="str">
        <f t="shared" si="3"/>
        <v/>
      </c>
      <c r="R800" s="18" t="str">
        <f t="array" ref="R800">IF(
  B800="",
  ,
  SWITCH(
    Input!$C$4,
    "Actual/365 Fixed",
      YEARFRAC(
        B800 + IF(INDEX(Input!$K$7:$K1503,ROW()-1),0,1),
        C800 + IF(INDEX(Input!$L$7:$L1503,ROW()-1),1,0),
        3
      ),
    "Anniversary/365",
      DATEDIF(
        B800 + IF(INDEX(Input!$K$7:$K1503,ROW()-1),0,1),
        C800 + IF(INDEX(Input!$L$7:$L1503,ROW()-1),1,0),
        "Y"
      )
      +
      (
        (C800 + IF(INDEX(Input!$L$7:$L1503,ROW()-1),1,0))
        -
        EDATE(
          B800 + IF(INDEX(Input!$K$7:$K1503,ROW()-1),0,1),
          12*DATEDIF(
            B800 + IF(INDEX(Input!$K$7:$K1503,ROW()-1),0,1),
            C800 + IF(INDEX(Input!$L$7:$L1503,ROW()-1),1,0),
            "Y"
          )
        )
      ) / 365,
    "Actual/Actual",
      YEARFRAC(
        B800 + IF(INDEX(Input!$K$7:$K1503,ROW()-1),0,1),
        C800 + IF(INDEX(Input!$L$7:$L1503,ROW()-1),1,0),
        1
      ),
      YEARFRAC(
        B800 + IF(INDEX(Input!$K$7:$K1503,ROW()-1),0,1),
        C800 + IF(INDEX(Input!$L$7:$L1503,ROW()-1),1,0),
        3
      )
  )
)</f>
        <v/>
      </c>
      <c r="S800" s="22" t="str">
        <f t="shared" si="4"/>
        <v/>
      </c>
      <c r="T800" s="6" t="str">
        <f t="array" ref="T800">IF(
  B800="",
  ,
  DATEDIF(
    B800 + IF(INDEX(Input!$K$7:$K1503,ROW()-1),0,1),
    C800 + IF(INDEX(Input!$L$7:$L1503,ROW()-1),1,0),
    "Y"
  )
)</f>
        <v/>
      </c>
      <c r="U800" s="6" t="str">
        <f t="array" ref="U800">IF(
  B800="",
  ,
  (C800 + IF(INDEX(Input!$L$7:$L1503,ROW()-1),1,0))
  - EDATE(
      B800 + IF(INDEX(Input!$K$7:$K1503,ROW()-1),0,1),
      12*S800
    )
)</f>
        <v/>
      </c>
      <c r="V800" s="6" t="str">
        <f t="shared" si="5"/>
        <v/>
      </c>
      <c r="W800" s="6" t="str">
        <f t="shared" si="6"/>
        <v/>
      </c>
    </row>
    <row r="801">
      <c r="A801" s="18"/>
      <c r="B801" s="18"/>
      <c r="C801" s="18"/>
      <c r="D801" s="18"/>
      <c r="E801" s="18"/>
      <c r="F801" s="18"/>
      <c r="G801" s="22"/>
      <c r="H801" s="18"/>
      <c r="I801" s="18">
        <v>0.0</v>
      </c>
      <c r="J801" s="18">
        <v>0.0</v>
      </c>
      <c r="K801" s="18"/>
      <c r="L801" s="18"/>
      <c r="M801" s="22" t="str">
        <f t="shared" si="1"/>
        <v/>
      </c>
      <c r="N801" s="18" t="str">
        <f>IF(A801="",,IF(ROW()=2, Input!$C$2 + I801, P800 + I801))</f>
        <v/>
      </c>
      <c r="O801" s="23" t="str">
        <f>IF(A801="",,
 IF(K801="Initial principal",
   Input!$C$2 * M801,
   N801 * M801
 )
)</f>
        <v/>
      </c>
      <c r="P801" s="18" t="str">
        <f t="shared" si="2"/>
        <v/>
      </c>
      <c r="Q801" s="18" t="str">
        <f t="shared" si="3"/>
        <v/>
      </c>
      <c r="R801" s="18" t="str">
        <f t="array" ref="R801">IF(
  B801="",
  ,
  SWITCH(
    Input!$C$4,
    "Actual/365 Fixed",
      YEARFRAC(
        B801 + IF(INDEX(Input!$K$7:$K1503,ROW()-1),0,1),
        C801 + IF(INDEX(Input!$L$7:$L1503,ROW()-1),1,0),
        3
      ),
    "Anniversary/365",
      DATEDIF(
        B801 + IF(INDEX(Input!$K$7:$K1503,ROW()-1),0,1),
        C801 + IF(INDEX(Input!$L$7:$L1503,ROW()-1),1,0),
        "Y"
      )
      +
      (
        (C801 + IF(INDEX(Input!$L$7:$L1503,ROW()-1),1,0))
        -
        EDATE(
          B801 + IF(INDEX(Input!$K$7:$K1503,ROW()-1),0,1),
          12*DATEDIF(
            B801 + IF(INDEX(Input!$K$7:$K1503,ROW()-1),0,1),
            C801 + IF(INDEX(Input!$L$7:$L1503,ROW()-1),1,0),
            "Y"
          )
        )
      ) / 365,
    "Actual/Actual",
      YEARFRAC(
        B801 + IF(INDEX(Input!$K$7:$K1503,ROW()-1),0,1),
        C801 + IF(INDEX(Input!$L$7:$L1503,ROW()-1),1,0),
        1
      ),
      YEARFRAC(
        B801 + IF(INDEX(Input!$K$7:$K1503,ROW()-1),0,1),
        C801 + IF(INDEX(Input!$L$7:$L1503,ROW()-1),1,0),
        3
      )
  )
)</f>
        <v/>
      </c>
      <c r="S801" s="22" t="str">
        <f t="shared" si="4"/>
        <v/>
      </c>
      <c r="T801" s="6" t="str">
        <f t="array" ref="T801">IF(
  B801="",
  ,
  DATEDIF(
    B801 + IF(INDEX(Input!$K$7:$K1503,ROW()-1),0,1),
    C801 + IF(INDEX(Input!$L$7:$L1503,ROW()-1),1,0),
    "Y"
  )
)</f>
        <v/>
      </c>
      <c r="U801" s="6" t="str">
        <f t="array" ref="U801">IF(
  B801="",
  ,
  (C801 + IF(INDEX(Input!$L$7:$L1503,ROW()-1),1,0))
  - EDATE(
      B801 + IF(INDEX(Input!$K$7:$K1503,ROW()-1),0,1),
      12*S801
    )
)</f>
        <v/>
      </c>
      <c r="V801" s="6" t="str">
        <f t="shared" si="5"/>
        <v/>
      </c>
      <c r="W801" s="6" t="str">
        <f t="shared" si="6"/>
        <v/>
      </c>
    </row>
    <row r="802">
      <c r="A802" s="18"/>
      <c r="B802" s="18"/>
      <c r="C802" s="18"/>
      <c r="D802" s="18"/>
      <c r="E802" s="18"/>
      <c r="F802" s="18"/>
      <c r="G802" s="22"/>
      <c r="H802" s="18"/>
      <c r="I802" s="18">
        <v>0.0</v>
      </c>
      <c r="J802" s="18">
        <v>0.0</v>
      </c>
      <c r="K802" s="18"/>
      <c r="L802" s="18"/>
      <c r="M802" s="22" t="str">
        <f t="shared" si="1"/>
        <v/>
      </c>
      <c r="N802" s="18" t="str">
        <f>IF(A802="",,IF(ROW()=2, Input!$C$2 + I802, P801 + I802))</f>
        <v/>
      </c>
      <c r="O802" s="23" t="str">
        <f>IF(A802="",,
 IF(K802="Initial principal",
   Input!$C$2 * M802,
   N802 * M802
 )
)</f>
        <v/>
      </c>
      <c r="P802" s="18" t="str">
        <f t="shared" si="2"/>
        <v/>
      </c>
      <c r="Q802" s="18" t="str">
        <f t="shared" si="3"/>
        <v/>
      </c>
      <c r="R802" s="18" t="str">
        <f t="array" ref="R802">IF(
  B802="",
  ,
  SWITCH(
    Input!$C$4,
    "Actual/365 Fixed",
      YEARFRAC(
        B802 + IF(INDEX(Input!$K$7:$K1503,ROW()-1),0,1),
        C802 + IF(INDEX(Input!$L$7:$L1503,ROW()-1),1,0),
        3
      ),
    "Anniversary/365",
      DATEDIF(
        B802 + IF(INDEX(Input!$K$7:$K1503,ROW()-1),0,1),
        C802 + IF(INDEX(Input!$L$7:$L1503,ROW()-1),1,0),
        "Y"
      )
      +
      (
        (C802 + IF(INDEX(Input!$L$7:$L1503,ROW()-1),1,0))
        -
        EDATE(
          B802 + IF(INDEX(Input!$K$7:$K1503,ROW()-1),0,1),
          12*DATEDIF(
            B802 + IF(INDEX(Input!$K$7:$K1503,ROW()-1),0,1),
            C802 + IF(INDEX(Input!$L$7:$L1503,ROW()-1),1,0),
            "Y"
          )
        )
      ) / 365,
    "Actual/Actual",
      YEARFRAC(
        B802 + IF(INDEX(Input!$K$7:$K1503,ROW()-1),0,1),
        C802 + IF(INDEX(Input!$L$7:$L1503,ROW()-1),1,0),
        1
      ),
      YEARFRAC(
        B802 + IF(INDEX(Input!$K$7:$K1503,ROW()-1),0,1),
        C802 + IF(INDEX(Input!$L$7:$L1503,ROW()-1),1,0),
        3
      )
  )
)</f>
        <v/>
      </c>
      <c r="S802" s="22" t="str">
        <f t="shared" si="4"/>
        <v/>
      </c>
      <c r="T802" s="6" t="str">
        <f t="array" ref="T802">IF(
  B802="",
  ,
  DATEDIF(
    B802 + IF(INDEX(Input!$K$7:$K1503,ROW()-1),0,1),
    C802 + IF(INDEX(Input!$L$7:$L1503,ROW()-1),1,0),
    "Y"
  )
)</f>
        <v/>
      </c>
      <c r="U802" s="6" t="str">
        <f t="array" ref="U802">IF(
  B802="",
  ,
  (C802 + IF(INDEX(Input!$L$7:$L1503,ROW()-1),1,0))
  - EDATE(
      B802 + IF(INDEX(Input!$K$7:$K1503,ROW()-1),0,1),
      12*S802
    )
)</f>
        <v/>
      </c>
      <c r="V802" s="6" t="str">
        <f t="shared" si="5"/>
        <v/>
      </c>
      <c r="W802" s="6" t="str">
        <f t="shared" si="6"/>
        <v/>
      </c>
    </row>
    <row r="803">
      <c r="A803" s="18"/>
      <c r="B803" s="18"/>
      <c r="C803" s="18"/>
      <c r="D803" s="18"/>
      <c r="E803" s="18"/>
      <c r="F803" s="18"/>
      <c r="G803" s="22"/>
      <c r="H803" s="18"/>
      <c r="I803" s="18">
        <v>0.0</v>
      </c>
      <c r="J803" s="18">
        <v>0.0</v>
      </c>
      <c r="K803" s="18"/>
      <c r="L803" s="18"/>
      <c r="M803" s="22" t="str">
        <f t="shared" si="1"/>
        <v/>
      </c>
      <c r="N803" s="18" t="str">
        <f>IF(A803="",,IF(ROW()=2, Input!$C$2 + I803, P802 + I803))</f>
        <v/>
      </c>
      <c r="O803" s="23" t="str">
        <f>IF(A803="",,
 IF(K803="Initial principal",
   Input!$C$2 * M803,
   N803 * M803
 )
)</f>
        <v/>
      </c>
      <c r="P803" s="18" t="str">
        <f t="shared" si="2"/>
        <v/>
      </c>
      <c r="Q803" s="18" t="str">
        <f t="shared" si="3"/>
        <v/>
      </c>
      <c r="R803" s="18" t="str">
        <f t="array" ref="R803">IF(
  B803="",
  ,
  SWITCH(
    Input!$C$4,
    "Actual/365 Fixed",
      YEARFRAC(
        B803 + IF(INDEX(Input!$K$7:$K1503,ROW()-1),0,1),
        C803 + IF(INDEX(Input!$L$7:$L1503,ROW()-1),1,0),
        3
      ),
    "Anniversary/365",
      DATEDIF(
        B803 + IF(INDEX(Input!$K$7:$K1503,ROW()-1),0,1),
        C803 + IF(INDEX(Input!$L$7:$L1503,ROW()-1),1,0),
        "Y"
      )
      +
      (
        (C803 + IF(INDEX(Input!$L$7:$L1503,ROW()-1),1,0))
        -
        EDATE(
          B803 + IF(INDEX(Input!$K$7:$K1503,ROW()-1),0,1),
          12*DATEDIF(
            B803 + IF(INDEX(Input!$K$7:$K1503,ROW()-1),0,1),
            C803 + IF(INDEX(Input!$L$7:$L1503,ROW()-1),1,0),
            "Y"
          )
        )
      ) / 365,
    "Actual/Actual",
      YEARFRAC(
        B803 + IF(INDEX(Input!$K$7:$K1503,ROW()-1),0,1),
        C803 + IF(INDEX(Input!$L$7:$L1503,ROW()-1),1,0),
        1
      ),
      YEARFRAC(
        B803 + IF(INDEX(Input!$K$7:$K1503,ROW()-1),0,1),
        C803 + IF(INDEX(Input!$L$7:$L1503,ROW()-1),1,0),
        3
      )
  )
)</f>
        <v/>
      </c>
      <c r="S803" s="22" t="str">
        <f t="shared" si="4"/>
        <v/>
      </c>
      <c r="T803" s="6" t="str">
        <f t="array" ref="T803">IF(
  B803="",
  ,
  DATEDIF(
    B803 + IF(INDEX(Input!$K$7:$K1503,ROW()-1),0,1),
    C803 + IF(INDEX(Input!$L$7:$L1503,ROW()-1),1,0),
    "Y"
  )
)</f>
        <v/>
      </c>
      <c r="U803" s="6" t="str">
        <f t="array" ref="U803">IF(
  B803="",
  ,
  (C803 + IF(INDEX(Input!$L$7:$L1503,ROW()-1),1,0))
  - EDATE(
      B803 + IF(INDEX(Input!$K$7:$K1503,ROW()-1),0,1),
      12*S803
    )
)</f>
        <v/>
      </c>
      <c r="V803" s="6" t="str">
        <f t="shared" si="5"/>
        <v/>
      </c>
      <c r="W803" s="6" t="str">
        <f t="shared" si="6"/>
        <v/>
      </c>
    </row>
    <row r="804">
      <c r="A804" s="18"/>
      <c r="B804" s="18"/>
      <c r="C804" s="18"/>
      <c r="D804" s="18"/>
      <c r="E804" s="18"/>
      <c r="F804" s="18"/>
      <c r="G804" s="22"/>
      <c r="H804" s="18"/>
      <c r="I804" s="18">
        <v>0.0</v>
      </c>
      <c r="J804" s="18">
        <v>0.0</v>
      </c>
      <c r="K804" s="18"/>
      <c r="L804" s="18"/>
      <c r="M804" s="22" t="str">
        <f t="shared" si="1"/>
        <v/>
      </c>
      <c r="N804" s="18" t="str">
        <f>IF(A804="",,IF(ROW()=2, Input!$C$2 + I804, P803 + I804))</f>
        <v/>
      </c>
      <c r="O804" s="23" t="str">
        <f>IF(A804="",,
 IF(K804="Initial principal",
   Input!$C$2 * M804,
   N804 * M804
 )
)</f>
        <v/>
      </c>
      <c r="P804" s="18" t="str">
        <f t="shared" si="2"/>
        <v/>
      </c>
      <c r="Q804" s="18" t="str">
        <f t="shared" si="3"/>
        <v/>
      </c>
      <c r="R804" s="18" t="str">
        <f t="array" ref="R804">IF(
  B804="",
  ,
  SWITCH(
    Input!$C$4,
    "Actual/365 Fixed",
      YEARFRAC(
        B804 + IF(INDEX(Input!$K$7:$K1503,ROW()-1),0,1),
        C804 + IF(INDEX(Input!$L$7:$L1503,ROW()-1),1,0),
        3
      ),
    "Anniversary/365",
      DATEDIF(
        B804 + IF(INDEX(Input!$K$7:$K1503,ROW()-1),0,1),
        C804 + IF(INDEX(Input!$L$7:$L1503,ROW()-1),1,0),
        "Y"
      )
      +
      (
        (C804 + IF(INDEX(Input!$L$7:$L1503,ROW()-1),1,0))
        -
        EDATE(
          B804 + IF(INDEX(Input!$K$7:$K1503,ROW()-1),0,1),
          12*DATEDIF(
            B804 + IF(INDEX(Input!$K$7:$K1503,ROW()-1),0,1),
            C804 + IF(INDEX(Input!$L$7:$L1503,ROW()-1),1,0),
            "Y"
          )
        )
      ) / 365,
    "Actual/Actual",
      YEARFRAC(
        B804 + IF(INDEX(Input!$K$7:$K1503,ROW()-1),0,1),
        C804 + IF(INDEX(Input!$L$7:$L1503,ROW()-1),1,0),
        1
      ),
      YEARFRAC(
        B804 + IF(INDEX(Input!$K$7:$K1503,ROW()-1),0,1),
        C804 + IF(INDEX(Input!$L$7:$L1503,ROW()-1),1,0),
        3
      )
  )
)</f>
        <v/>
      </c>
      <c r="S804" s="22" t="str">
        <f t="shared" si="4"/>
        <v/>
      </c>
      <c r="T804" s="6" t="str">
        <f t="array" ref="T804">IF(
  B804="",
  ,
  DATEDIF(
    B804 + IF(INDEX(Input!$K$7:$K1503,ROW()-1),0,1),
    C804 + IF(INDEX(Input!$L$7:$L1503,ROW()-1),1,0),
    "Y"
  )
)</f>
        <v/>
      </c>
      <c r="U804" s="6" t="str">
        <f t="array" ref="U804">IF(
  B804="",
  ,
  (C804 + IF(INDEX(Input!$L$7:$L1503,ROW()-1),1,0))
  - EDATE(
      B804 + IF(INDEX(Input!$K$7:$K1503,ROW()-1),0,1),
      12*S804
    )
)</f>
        <v/>
      </c>
      <c r="V804" s="6" t="str">
        <f t="shared" si="5"/>
        <v/>
      </c>
      <c r="W804" s="6" t="str">
        <f t="shared" si="6"/>
        <v/>
      </c>
    </row>
    <row r="805">
      <c r="A805" s="18"/>
      <c r="B805" s="18"/>
      <c r="C805" s="18"/>
      <c r="D805" s="18"/>
      <c r="E805" s="18"/>
      <c r="F805" s="18"/>
      <c r="G805" s="22"/>
      <c r="H805" s="18"/>
      <c r="I805" s="18">
        <v>0.0</v>
      </c>
      <c r="J805" s="18">
        <v>0.0</v>
      </c>
      <c r="K805" s="18"/>
      <c r="L805" s="18"/>
      <c r="M805" s="22" t="str">
        <f t="shared" si="1"/>
        <v/>
      </c>
      <c r="N805" s="18" t="str">
        <f>IF(A805="",,IF(ROW()=2, Input!$C$2 + I805, P804 + I805))</f>
        <v/>
      </c>
      <c r="O805" s="23" t="str">
        <f>IF(A805="",,
 IF(K805="Initial principal",
   Input!$C$2 * M805,
   N805 * M805
 )
)</f>
        <v/>
      </c>
      <c r="P805" s="18" t="str">
        <f t="shared" si="2"/>
        <v/>
      </c>
      <c r="Q805" s="18" t="str">
        <f t="shared" si="3"/>
        <v/>
      </c>
      <c r="R805" s="18" t="str">
        <f t="array" ref="R805">IF(
  B805="",
  ,
  SWITCH(
    Input!$C$4,
    "Actual/365 Fixed",
      YEARFRAC(
        B805 + IF(INDEX(Input!$K$7:$K1503,ROW()-1),0,1),
        C805 + IF(INDEX(Input!$L$7:$L1503,ROW()-1),1,0),
        3
      ),
    "Anniversary/365",
      DATEDIF(
        B805 + IF(INDEX(Input!$K$7:$K1503,ROW()-1),0,1),
        C805 + IF(INDEX(Input!$L$7:$L1503,ROW()-1),1,0),
        "Y"
      )
      +
      (
        (C805 + IF(INDEX(Input!$L$7:$L1503,ROW()-1),1,0))
        -
        EDATE(
          B805 + IF(INDEX(Input!$K$7:$K1503,ROW()-1),0,1),
          12*DATEDIF(
            B805 + IF(INDEX(Input!$K$7:$K1503,ROW()-1),0,1),
            C805 + IF(INDEX(Input!$L$7:$L1503,ROW()-1),1,0),
            "Y"
          )
        )
      ) / 365,
    "Actual/Actual",
      YEARFRAC(
        B805 + IF(INDEX(Input!$K$7:$K1503,ROW()-1),0,1),
        C805 + IF(INDEX(Input!$L$7:$L1503,ROW()-1),1,0),
        1
      ),
      YEARFRAC(
        B805 + IF(INDEX(Input!$K$7:$K1503,ROW()-1),0,1),
        C805 + IF(INDEX(Input!$L$7:$L1503,ROW()-1),1,0),
        3
      )
  )
)</f>
        <v/>
      </c>
      <c r="S805" s="22" t="str">
        <f t="shared" si="4"/>
        <v/>
      </c>
      <c r="T805" s="6" t="str">
        <f t="array" ref="T805">IF(
  B805="",
  ,
  DATEDIF(
    B805 + IF(INDEX(Input!$K$7:$K1503,ROW()-1),0,1),
    C805 + IF(INDEX(Input!$L$7:$L1503,ROW()-1),1,0),
    "Y"
  )
)</f>
        <v/>
      </c>
      <c r="U805" s="6" t="str">
        <f t="array" ref="U805">IF(
  B805="",
  ,
  (C805 + IF(INDEX(Input!$L$7:$L1503,ROW()-1),1,0))
  - EDATE(
      B805 + IF(INDEX(Input!$K$7:$K1503,ROW()-1),0,1),
      12*S805
    )
)</f>
        <v/>
      </c>
      <c r="V805" s="6" t="str">
        <f t="shared" si="5"/>
        <v/>
      </c>
      <c r="W805" s="6" t="str">
        <f t="shared" si="6"/>
        <v/>
      </c>
    </row>
    <row r="806">
      <c r="A806" s="18"/>
      <c r="B806" s="18"/>
      <c r="C806" s="18"/>
      <c r="D806" s="18"/>
      <c r="E806" s="18"/>
      <c r="F806" s="18"/>
      <c r="G806" s="22"/>
      <c r="H806" s="18"/>
      <c r="I806" s="18">
        <v>0.0</v>
      </c>
      <c r="J806" s="18">
        <v>0.0</v>
      </c>
      <c r="K806" s="18"/>
      <c r="L806" s="18"/>
      <c r="M806" s="22" t="str">
        <f t="shared" si="1"/>
        <v/>
      </c>
      <c r="N806" s="18" t="str">
        <f>IF(A806="",,IF(ROW()=2, Input!$C$2 + I806, P805 + I806))</f>
        <v/>
      </c>
      <c r="O806" s="23" t="str">
        <f>IF(A806="",,
 IF(K806="Initial principal",
   Input!$C$2 * M806,
   N806 * M806
 )
)</f>
        <v/>
      </c>
      <c r="P806" s="18" t="str">
        <f t="shared" si="2"/>
        <v/>
      </c>
      <c r="Q806" s="18" t="str">
        <f t="shared" si="3"/>
        <v/>
      </c>
      <c r="R806" s="18" t="str">
        <f t="array" ref="R806">IF(
  B806="",
  ,
  SWITCH(
    Input!$C$4,
    "Actual/365 Fixed",
      YEARFRAC(
        B806 + IF(INDEX(Input!$K$7:$K1503,ROW()-1),0,1),
        C806 + IF(INDEX(Input!$L$7:$L1503,ROW()-1),1,0),
        3
      ),
    "Anniversary/365",
      DATEDIF(
        B806 + IF(INDEX(Input!$K$7:$K1503,ROW()-1),0,1),
        C806 + IF(INDEX(Input!$L$7:$L1503,ROW()-1),1,0),
        "Y"
      )
      +
      (
        (C806 + IF(INDEX(Input!$L$7:$L1503,ROW()-1),1,0))
        -
        EDATE(
          B806 + IF(INDEX(Input!$K$7:$K1503,ROW()-1),0,1),
          12*DATEDIF(
            B806 + IF(INDEX(Input!$K$7:$K1503,ROW()-1),0,1),
            C806 + IF(INDEX(Input!$L$7:$L1503,ROW()-1),1,0),
            "Y"
          )
        )
      ) / 365,
    "Actual/Actual",
      YEARFRAC(
        B806 + IF(INDEX(Input!$K$7:$K1503,ROW()-1),0,1),
        C806 + IF(INDEX(Input!$L$7:$L1503,ROW()-1),1,0),
        1
      ),
      YEARFRAC(
        B806 + IF(INDEX(Input!$K$7:$K1503,ROW()-1),0,1),
        C806 + IF(INDEX(Input!$L$7:$L1503,ROW()-1),1,0),
        3
      )
  )
)</f>
        <v/>
      </c>
      <c r="S806" s="22" t="str">
        <f t="shared" si="4"/>
        <v/>
      </c>
      <c r="T806" s="6" t="str">
        <f t="array" ref="T806">IF(
  B806="",
  ,
  DATEDIF(
    B806 + IF(INDEX(Input!$K$7:$K1503,ROW()-1),0,1),
    C806 + IF(INDEX(Input!$L$7:$L1503,ROW()-1),1,0),
    "Y"
  )
)</f>
        <v/>
      </c>
      <c r="U806" s="6" t="str">
        <f t="array" ref="U806">IF(
  B806="",
  ,
  (C806 + IF(INDEX(Input!$L$7:$L1503,ROW()-1),1,0))
  - EDATE(
      B806 + IF(INDEX(Input!$K$7:$K1503,ROW()-1),0,1),
      12*S806
    )
)</f>
        <v/>
      </c>
      <c r="V806" s="6" t="str">
        <f t="shared" si="5"/>
        <v/>
      </c>
      <c r="W806" s="6" t="str">
        <f t="shared" si="6"/>
        <v/>
      </c>
    </row>
    <row r="807">
      <c r="A807" s="18"/>
      <c r="B807" s="18"/>
      <c r="C807" s="18"/>
      <c r="D807" s="18"/>
      <c r="E807" s="18"/>
      <c r="F807" s="18"/>
      <c r="G807" s="22"/>
      <c r="H807" s="18"/>
      <c r="I807" s="18">
        <v>0.0</v>
      </c>
      <c r="J807" s="18">
        <v>0.0</v>
      </c>
      <c r="K807" s="18"/>
      <c r="L807" s="18"/>
      <c r="M807" s="22" t="str">
        <f t="shared" si="1"/>
        <v/>
      </c>
      <c r="N807" s="18" t="str">
        <f>IF(A807="",,IF(ROW()=2, Input!$C$2 + I807, P806 + I807))</f>
        <v/>
      </c>
      <c r="O807" s="23" t="str">
        <f>IF(A807="",,
 IF(K807="Initial principal",
   Input!$C$2 * M807,
   N807 * M807
 )
)</f>
        <v/>
      </c>
      <c r="P807" s="18" t="str">
        <f t="shared" si="2"/>
        <v/>
      </c>
      <c r="Q807" s="18" t="str">
        <f t="shared" si="3"/>
        <v/>
      </c>
      <c r="R807" s="18" t="str">
        <f t="array" ref="R807">IF(
  B807="",
  ,
  SWITCH(
    Input!$C$4,
    "Actual/365 Fixed",
      YEARFRAC(
        B807 + IF(INDEX(Input!$K$7:$K1503,ROW()-1),0,1),
        C807 + IF(INDEX(Input!$L$7:$L1503,ROW()-1),1,0),
        3
      ),
    "Anniversary/365",
      DATEDIF(
        B807 + IF(INDEX(Input!$K$7:$K1503,ROW()-1),0,1),
        C807 + IF(INDEX(Input!$L$7:$L1503,ROW()-1),1,0),
        "Y"
      )
      +
      (
        (C807 + IF(INDEX(Input!$L$7:$L1503,ROW()-1),1,0))
        -
        EDATE(
          B807 + IF(INDEX(Input!$K$7:$K1503,ROW()-1),0,1),
          12*DATEDIF(
            B807 + IF(INDEX(Input!$K$7:$K1503,ROW()-1),0,1),
            C807 + IF(INDEX(Input!$L$7:$L1503,ROW()-1),1,0),
            "Y"
          )
        )
      ) / 365,
    "Actual/Actual",
      YEARFRAC(
        B807 + IF(INDEX(Input!$K$7:$K1503,ROW()-1),0,1),
        C807 + IF(INDEX(Input!$L$7:$L1503,ROW()-1),1,0),
        1
      ),
      YEARFRAC(
        B807 + IF(INDEX(Input!$K$7:$K1503,ROW()-1),0,1),
        C807 + IF(INDEX(Input!$L$7:$L1503,ROW()-1),1,0),
        3
      )
  )
)</f>
        <v/>
      </c>
      <c r="S807" s="22" t="str">
        <f t="shared" si="4"/>
        <v/>
      </c>
      <c r="T807" s="6" t="str">
        <f t="array" ref="T807">IF(
  B807="",
  ,
  DATEDIF(
    B807 + IF(INDEX(Input!$K$7:$K1503,ROW()-1),0,1),
    C807 + IF(INDEX(Input!$L$7:$L1503,ROW()-1),1,0),
    "Y"
  )
)</f>
        <v/>
      </c>
      <c r="U807" s="6" t="str">
        <f t="array" ref="U807">IF(
  B807="",
  ,
  (C807 + IF(INDEX(Input!$L$7:$L1503,ROW()-1),1,0))
  - EDATE(
      B807 + IF(INDEX(Input!$K$7:$K1503,ROW()-1),0,1),
      12*S807
    )
)</f>
        <v/>
      </c>
      <c r="V807" s="6" t="str">
        <f t="shared" si="5"/>
        <v/>
      </c>
      <c r="W807" s="6" t="str">
        <f t="shared" si="6"/>
        <v/>
      </c>
    </row>
    <row r="808">
      <c r="A808" s="18"/>
      <c r="B808" s="18"/>
      <c r="C808" s="18"/>
      <c r="D808" s="18"/>
      <c r="E808" s="18"/>
      <c r="F808" s="18"/>
      <c r="G808" s="22"/>
      <c r="H808" s="18"/>
      <c r="I808" s="18">
        <v>0.0</v>
      </c>
      <c r="J808" s="18">
        <v>0.0</v>
      </c>
      <c r="K808" s="18"/>
      <c r="L808" s="18"/>
      <c r="M808" s="22" t="str">
        <f t="shared" si="1"/>
        <v/>
      </c>
      <c r="N808" s="18" t="str">
        <f>IF(A808="",,IF(ROW()=2, Input!$C$2 + I808, P807 + I808))</f>
        <v/>
      </c>
      <c r="O808" s="23" t="str">
        <f>IF(A808="",,
 IF(K808="Initial principal",
   Input!$C$2 * M808,
   N808 * M808
 )
)</f>
        <v/>
      </c>
      <c r="P808" s="18" t="str">
        <f t="shared" si="2"/>
        <v/>
      </c>
      <c r="Q808" s="18" t="str">
        <f t="shared" si="3"/>
        <v/>
      </c>
      <c r="R808" s="18" t="str">
        <f t="array" ref="R808">IF(
  B808="",
  ,
  SWITCH(
    Input!$C$4,
    "Actual/365 Fixed",
      YEARFRAC(
        B808 + IF(INDEX(Input!$K$7:$K1503,ROW()-1),0,1),
        C808 + IF(INDEX(Input!$L$7:$L1503,ROW()-1),1,0),
        3
      ),
    "Anniversary/365",
      DATEDIF(
        B808 + IF(INDEX(Input!$K$7:$K1503,ROW()-1),0,1),
        C808 + IF(INDEX(Input!$L$7:$L1503,ROW()-1),1,0),
        "Y"
      )
      +
      (
        (C808 + IF(INDEX(Input!$L$7:$L1503,ROW()-1),1,0))
        -
        EDATE(
          B808 + IF(INDEX(Input!$K$7:$K1503,ROW()-1),0,1),
          12*DATEDIF(
            B808 + IF(INDEX(Input!$K$7:$K1503,ROW()-1),0,1),
            C808 + IF(INDEX(Input!$L$7:$L1503,ROW()-1),1,0),
            "Y"
          )
        )
      ) / 365,
    "Actual/Actual",
      YEARFRAC(
        B808 + IF(INDEX(Input!$K$7:$K1503,ROW()-1),0,1),
        C808 + IF(INDEX(Input!$L$7:$L1503,ROW()-1),1,0),
        1
      ),
      YEARFRAC(
        B808 + IF(INDEX(Input!$K$7:$K1503,ROW()-1),0,1),
        C808 + IF(INDEX(Input!$L$7:$L1503,ROW()-1),1,0),
        3
      )
  )
)</f>
        <v/>
      </c>
      <c r="S808" s="22" t="str">
        <f t="shared" si="4"/>
        <v/>
      </c>
      <c r="T808" s="6" t="str">
        <f t="array" ref="T808">IF(
  B808="",
  ,
  DATEDIF(
    B808 + IF(INDEX(Input!$K$7:$K1503,ROW()-1),0,1),
    C808 + IF(INDEX(Input!$L$7:$L1503,ROW()-1),1,0),
    "Y"
  )
)</f>
        <v/>
      </c>
      <c r="U808" s="6" t="str">
        <f t="array" ref="U808">IF(
  B808="",
  ,
  (C808 + IF(INDEX(Input!$L$7:$L1503,ROW()-1),1,0))
  - EDATE(
      B808 + IF(INDEX(Input!$K$7:$K1503,ROW()-1),0,1),
      12*S808
    )
)</f>
        <v/>
      </c>
      <c r="V808" s="6" t="str">
        <f t="shared" si="5"/>
        <v/>
      </c>
      <c r="W808" s="6" t="str">
        <f t="shared" si="6"/>
        <v/>
      </c>
    </row>
    <row r="809">
      <c r="A809" s="18"/>
      <c r="B809" s="18"/>
      <c r="C809" s="18"/>
      <c r="D809" s="18"/>
      <c r="E809" s="18"/>
      <c r="F809" s="18"/>
      <c r="G809" s="22"/>
      <c r="H809" s="18"/>
      <c r="I809" s="18">
        <v>0.0</v>
      </c>
      <c r="J809" s="18">
        <v>0.0</v>
      </c>
      <c r="K809" s="18"/>
      <c r="L809" s="18"/>
      <c r="M809" s="22" t="str">
        <f t="shared" si="1"/>
        <v/>
      </c>
      <c r="N809" s="18" t="str">
        <f>IF(A809="",,IF(ROW()=2, Input!$C$2 + I809, P808 + I809))</f>
        <v/>
      </c>
      <c r="O809" s="23" t="str">
        <f>IF(A809="",,
 IF(K809="Initial principal",
   Input!$C$2 * M809,
   N809 * M809
 )
)</f>
        <v/>
      </c>
      <c r="P809" s="18" t="str">
        <f t="shared" si="2"/>
        <v/>
      </c>
      <c r="Q809" s="18" t="str">
        <f t="shared" si="3"/>
        <v/>
      </c>
      <c r="R809" s="18" t="str">
        <f t="array" ref="R809">IF(
  B809="",
  ,
  SWITCH(
    Input!$C$4,
    "Actual/365 Fixed",
      YEARFRAC(
        B809 + IF(INDEX(Input!$K$7:$K1503,ROW()-1),0,1),
        C809 + IF(INDEX(Input!$L$7:$L1503,ROW()-1),1,0),
        3
      ),
    "Anniversary/365",
      DATEDIF(
        B809 + IF(INDEX(Input!$K$7:$K1503,ROW()-1),0,1),
        C809 + IF(INDEX(Input!$L$7:$L1503,ROW()-1),1,0),
        "Y"
      )
      +
      (
        (C809 + IF(INDEX(Input!$L$7:$L1503,ROW()-1),1,0))
        -
        EDATE(
          B809 + IF(INDEX(Input!$K$7:$K1503,ROW()-1),0,1),
          12*DATEDIF(
            B809 + IF(INDEX(Input!$K$7:$K1503,ROW()-1),0,1),
            C809 + IF(INDEX(Input!$L$7:$L1503,ROW()-1),1,0),
            "Y"
          )
        )
      ) / 365,
    "Actual/Actual",
      YEARFRAC(
        B809 + IF(INDEX(Input!$K$7:$K1503,ROW()-1),0,1),
        C809 + IF(INDEX(Input!$L$7:$L1503,ROW()-1),1,0),
        1
      ),
      YEARFRAC(
        B809 + IF(INDEX(Input!$K$7:$K1503,ROW()-1),0,1),
        C809 + IF(INDEX(Input!$L$7:$L1503,ROW()-1),1,0),
        3
      )
  )
)</f>
        <v/>
      </c>
      <c r="S809" s="22" t="str">
        <f t="shared" si="4"/>
        <v/>
      </c>
      <c r="T809" s="6" t="str">
        <f t="array" ref="T809">IF(
  B809="",
  ,
  DATEDIF(
    B809 + IF(INDEX(Input!$K$7:$K1503,ROW()-1),0,1),
    C809 + IF(INDEX(Input!$L$7:$L1503,ROW()-1),1,0),
    "Y"
  )
)</f>
        <v/>
      </c>
      <c r="U809" s="6" t="str">
        <f t="array" ref="U809">IF(
  B809="",
  ,
  (C809 + IF(INDEX(Input!$L$7:$L1503,ROW()-1),1,0))
  - EDATE(
      B809 + IF(INDEX(Input!$K$7:$K1503,ROW()-1),0,1),
      12*S809
    )
)</f>
        <v/>
      </c>
      <c r="V809" s="6" t="str">
        <f t="shared" si="5"/>
        <v/>
      </c>
      <c r="W809" s="6" t="str">
        <f t="shared" si="6"/>
        <v/>
      </c>
    </row>
    <row r="810">
      <c r="A810" s="18"/>
      <c r="B810" s="18"/>
      <c r="C810" s="18"/>
      <c r="D810" s="18"/>
      <c r="E810" s="18"/>
      <c r="F810" s="18"/>
      <c r="G810" s="22"/>
      <c r="H810" s="18"/>
      <c r="I810" s="18">
        <v>0.0</v>
      </c>
      <c r="J810" s="18">
        <v>0.0</v>
      </c>
      <c r="K810" s="18"/>
      <c r="L810" s="18"/>
      <c r="M810" s="22" t="str">
        <f t="shared" si="1"/>
        <v/>
      </c>
      <c r="N810" s="18" t="str">
        <f>IF(A810="",,IF(ROW()=2, Input!$C$2 + I810, P809 + I810))</f>
        <v/>
      </c>
      <c r="O810" s="23" t="str">
        <f>IF(A810="",,
 IF(K810="Initial principal",
   Input!$C$2 * M810,
   N810 * M810
 )
)</f>
        <v/>
      </c>
      <c r="P810" s="18" t="str">
        <f t="shared" si="2"/>
        <v/>
      </c>
      <c r="Q810" s="18" t="str">
        <f t="shared" si="3"/>
        <v/>
      </c>
      <c r="R810" s="18" t="str">
        <f t="array" ref="R810">IF(
  B810="",
  ,
  SWITCH(
    Input!$C$4,
    "Actual/365 Fixed",
      YEARFRAC(
        B810 + IF(INDEX(Input!$K$7:$K1503,ROW()-1),0,1),
        C810 + IF(INDEX(Input!$L$7:$L1503,ROW()-1),1,0),
        3
      ),
    "Anniversary/365",
      DATEDIF(
        B810 + IF(INDEX(Input!$K$7:$K1503,ROW()-1),0,1),
        C810 + IF(INDEX(Input!$L$7:$L1503,ROW()-1),1,0),
        "Y"
      )
      +
      (
        (C810 + IF(INDEX(Input!$L$7:$L1503,ROW()-1),1,0))
        -
        EDATE(
          B810 + IF(INDEX(Input!$K$7:$K1503,ROW()-1),0,1),
          12*DATEDIF(
            B810 + IF(INDEX(Input!$K$7:$K1503,ROW()-1),0,1),
            C810 + IF(INDEX(Input!$L$7:$L1503,ROW()-1),1,0),
            "Y"
          )
        )
      ) / 365,
    "Actual/Actual",
      YEARFRAC(
        B810 + IF(INDEX(Input!$K$7:$K1503,ROW()-1),0,1),
        C810 + IF(INDEX(Input!$L$7:$L1503,ROW()-1),1,0),
        1
      ),
      YEARFRAC(
        B810 + IF(INDEX(Input!$K$7:$K1503,ROW()-1),0,1),
        C810 + IF(INDEX(Input!$L$7:$L1503,ROW()-1),1,0),
        3
      )
  )
)</f>
        <v/>
      </c>
      <c r="S810" s="22" t="str">
        <f t="shared" si="4"/>
        <v/>
      </c>
      <c r="T810" s="6" t="str">
        <f t="array" ref="T810">IF(
  B810="",
  ,
  DATEDIF(
    B810 + IF(INDEX(Input!$K$7:$K1503,ROW()-1),0,1),
    C810 + IF(INDEX(Input!$L$7:$L1503,ROW()-1),1,0),
    "Y"
  )
)</f>
        <v/>
      </c>
      <c r="U810" s="6" t="str">
        <f t="array" ref="U810">IF(
  B810="",
  ,
  (C810 + IF(INDEX(Input!$L$7:$L1503,ROW()-1),1,0))
  - EDATE(
      B810 + IF(INDEX(Input!$K$7:$K1503,ROW()-1),0,1),
      12*S810
    )
)</f>
        <v/>
      </c>
      <c r="V810" s="6" t="str">
        <f t="shared" si="5"/>
        <v/>
      </c>
      <c r="W810" s="6" t="str">
        <f t="shared" si="6"/>
        <v/>
      </c>
    </row>
    <row r="811">
      <c r="A811" s="18"/>
      <c r="B811" s="18"/>
      <c r="C811" s="18"/>
      <c r="D811" s="18"/>
      <c r="E811" s="18"/>
      <c r="F811" s="18"/>
      <c r="G811" s="22"/>
      <c r="H811" s="18"/>
      <c r="I811" s="18">
        <v>0.0</v>
      </c>
      <c r="J811" s="18">
        <v>0.0</v>
      </c>
      <c r="K811" s="18"/>
      <c r="L811" s="18"/>
      <c r="M811" s="22" t="str">
        <f t="shared" si="1"/>
        <v/>
      </c>
      <c r="N811" s="18" t="str">
        <f>IF(A811="",,IF(ROW()=2, Input!$C$2 + I811, P810 + I811))</f>
        <v/>
      </c>
      <c r="O811" s="23" t="str">
        <f>IF(A811="",,
 IF(K811="Initial principal",
   Input!$C$2 * M811,
   N811 * M811
 )
)</f>
        <v/>
      </c>
      <c r="P811" s="18" t="str">
        <f t="shared" si="2"/>
        <v/>
      </c>
      <c r="Q811" s="18" t="str">
        <f t="shared" si="3"/>
        <v/>
      </c>
      <c r="R811" s="18" t="str">
        <f t="array" ref="R811">IF(
  B811="",
  ,
  SWITCH(
    Input!$C$4,
    "Actual/365 Fixed",
      YEARFRAC(
        B811 + IF(INDEX(Input!$K$7:$K1503,ROW()-1),0,1),
        C811 + IF(INDEX(Input!$L$7:$L1503,ROW()-1),1,0),
        3
      ),
    "Anniversary/365",
      DATEDIF(
        B811 + IF(INDEX(Input!$K$7:$K1503,ROW()-1),0,1),
        C811 + IF(INDEX(Input!$L$7:$L1503,ROW()-1),1,0),
        "Y"
      )
      +
      (
        (C811 + IF(INDEX(Input!$L$7:$L1503,ROW()-1),1,0))
        -
        EDATE(
          B811 + IF(INDEX(Input!$K$7:$K1503,ROW()-1),0,1),
          12*DATEDIF(
            B811 + IF(INDEX(Input!$K$7:$K1503,ROW()-1),0,1),
            C811 + IF(INDEX(Input!$L$7:$L1503,ROW()-1),1,0),
            "Y"
          )
        )
      ) / 365,
    "Actual/Actual",
      YEARFRAC(
        B811 + IF(INDEX(Input!$K$7:$K1503,ROW()-1),0,1),
        C811 + IF(INDEX(Input!$L$7:$L1503,ROW()-1),1,0),
        1
      ),
      YEARFRAC(
        B811 + IF(INDEX(Input!$K$7:$K1503,ROW()-1),0,1),
        C811 + IF(INDEX(Input!$L$7:$L1503,ROW()-1),1,0),
        3
      )
  )
)</f>
        <v/>
      </c>
      <c r="S811" s="22" t="str">
        <f t="shared" si="4"/>
        <v/>
      </c>
      <c r="T811" s="6" t="str">
        <f t="array" ref="T811">IF(
  B811="",
  ,
  DATEDIF(
    B811 + IF(INDEX(Input!$K$7:$K1503,ROW()-1),0,1),
    C811 + IF(INDEX(Input!$L$7:$L1503,ROW()-1),1,0),
    "Y"
  )
)</f>
        <v/>
      </c>
      <c r="U811" s="6" t="str">
        <f t="array" ref="U811">IF(
  B811="",
  ,
  (C811 + IF(INDEX(Input!$L$7:$L1503,ROW()-1),1,0))
  - EDATE(
      B811 + IF(INDEX(Input!$K$7:$K1503,ROW()-1),0,1),
      12*S811
    )
)</f>
        <v/>
      </c>
      <c r="V811" s="6" t="str">
        <f t="shared" si="5"/>
        <v/>
      </c>
      <c r="W811" s="6" t="str">
        <f t="shared" si="6"/>
        <v/>
      </c>
    </row>
    <row r="812">
      <c r="A812" s="18"/>
      <c r="B812" s="18"/>
      <c r="C812" s="18"/>
      <c r="D812" s="18"/>
      <c r="E812" s="18"/>
      <c r="F812" s="18"/>
      <c r="G812" s="22"/>
      <c r="H812" s="18"/>
      <c r="I812" s="18">
        <v>0.0</v>
      </c>
      <c r="J812" s="18">
        <v>0.0</v>
      </c>
      <c r="K812" s="18"/>
      <c r="L812" s="18"/>
      <c r="M812" s="22" t="str">
        <f t="shared" si="1"/>
        <v/>
      </c>
      <c r="N812" s="18" t="str">
        <f>IF(A812="",,IF(ROW()=2, Input!$C$2 + I812, P811 + I812))</f>
        <v/>
      </c>
      <c r="O812" s="23" t="str">
        <f>IF(A812="",,
 IF(K812="Initial principal",
   Input!$C$2 * M812,
   N812 * M812
 )
)</f>
        <v/>
      </c>
      <c r="P812" s="18" t="str">
        <f t="shared" si="2"/>
        <v/>
      </c>
      <c r="Q812" s="18" t="str">
        <f t="shared" si="3"/>
        <v/>
      </c>
      <c r="R812" s="18" t="str">
        <f t="array" ref="R812">IF(
  B812="",
  ,
  SWITCH(
    Input!$C$4,
    "Actual/365 Fixed",
      YEARFRAC(
        B812 + IF(INDEX(Input!$K$7:$K1503,ROW()-1),0,1),
        C812 + IF(INDEX(Input!$L$7:$L1503,ROW()-1),1,0),
        3
      ),
    "Anniversary/365",
      DATEDIF(
        B812 + IF(INDEX(Input!$K$7:$K1503,ROW()-1),0,1),
        C812 + IF(INDEX(Input!$L$7:$L1503,ROW()-1),1,0),
        "Y"
      )
      +
      (
        (C812 + IF(INDEX(Input!$L$7:$L1503,ROW()-1),1,0))
        -
        EDATE(
          B812 + IF(INDEX(Input!$K$7:$K1503,ROW()-1),0,1),
          12*DATEDIF(
            B812 + IF(INDEX(Input!$K$7:$K1503,ROW()-1),0,1),
            C812 + IF(INDEX(Input!$L$7:$L1503,ROW()-1),1,0),
            "Y"
          )
        )
      ) / 365,
    "Actual/Actual",
      YEARFRAC(
        B812 + IF(INDEX(Input!$K$7:$K1503,ROW()-1),0,1),
        C812 + IF(INDEX(Input!$L$7:$L1503,ROW()-1),1,0),
        1
      ),
      YEARFRAC(
        B812 + IF(INDEX(Input!$K$7:$K1503,ROW()-1),0,1),
        C812 + IF(INDEX(Input!$L$7:$L1503,ROW()-1),1,0),
        3
      )
  )
)</f>
        <v/>
      </c>
      <c r="S812" s="22" t="str">
        <f t="shared" si="4"/>
        <v/>
      </c>
      <c r="T812" s="6" t="str">
        <f t="array" ref="T812">IF(
  B812="",
  ,
  DATEDIF(
    B812 + IF(INDEX(Input!$K$7:$K1503,ROW()-1),0,1),
    C812 + IF(INDEX(Input!$L$7:$L1503,ROW()-1),1,0),
    "Y"
  )
)</f>
        <v/>
      </c>
      <c r="U812" s="6" t="str">
        <f t="array" ref="U812">IF(
  B812="",
  ,
  (C812 + IF(INDEX(Input!$L$7:$L1503,ROW()-1),1,0))
  - EDATE(
      B812 + IF(INDEX(Input!$K$7:$K1503,ROW()-1),0,1),
      12*S812
    )
)</f>
        <v/>
      </c>
      <c r="V812" s="6" t="str">
        <f t="shared" si="5"/>
        <v/>
      </c>
      <c r="W812" s="6" t="str">
        <f t="shared" si="6"/>
        <v/>
      </c>
    </row>
    <row r="813">
      <c r="A813" s="18"/>
      <c r="B813" s="18"/>
      <c r="C813" s="18"/>
      <c r="D813" s="18"/>
      <c r="E813" s="18"/>
      <c r="F813" s="18"/>
      <c r="G813" s="22"/>
      <c r="H813" s="18"/>
      <c r="I813" s="18">
        <v>0.0</v>
      </c>
      <c r="J813" s="18">
        <v>0.0</v>
      </c>
      <c r="K813" s="18"/>
      <c r="L813" s="18"/>
      <c r="M813" s="22" t="str">
        <f t="shared" si="1"/>
        <v/>
      </c>
      <c r="N813" s="18" t="str">
        <f>IF(A813="",,IF(ROW()=2, Input!$C$2 + I813, P812 + I813))</f>
        <v/>
      </c>
      <c r="O813" s="23" t="str">
        <f>IF(A813="",,
 IF(K813="Initial principal",
   Input!$C$2 * M813,
   N813 * M813
 )
)</f>
        <v/>
      </c>
      <c r="P813" s="18" t="str">
        <f t="shared" si="2"/>
        <v/>
      </c>
      <c r="Q813" s="18" t="str">
        <f t="shared" si="3"/>
        <v/>
      </c>
      <c r="R813" s="18" t="str">
        <f t="array" ref="R813">IF(
  B813="",
  ,
  SWITCH(
    Input!$C$4,
    "Actual/365 Fixed",
      YEARFRAC(
        B813 + IF(INDEX(Input!$K$7:$K1503,ROW()-1),0,1),
        C813 + IF(INDEX(Input!$L$7:$L1503,ROW()-1),1,0),
        3
      ),
    "Anniversary/365",
      DATEDIF(
        B813 + IF(INDEX(Input!$K$7:$K1503,ROW()-1),0,1),
        C813 + IF(INDEX(Input!$L$7:$L1503,ROW()-1),1,0),
        "Y"
      )
      +
      (
        (C813 + IF(INDEX(Input!$L$7:$L1503,ROW()-1),1,0))
        -
        EDATE(
          B813 + IF(INDEX(Input!$K$7:$K1503,ROW()-1),0,1),
          12*DATEDIF(
            B813 + IF(INDEX(Input!$K$7:$K1503,ROW()-1),0,1),
            C813 + IF(INDEX(Input!$L$7:$L1503,ROW()-1),1,0),
            "Y"
          )
        )
      ) / 365,
    "Actual/Actual",
      YEARFRAC(
        B813 + IF(INDEX(Input!$K$7:$K1503,ROW()-1),0,1),
        C813 + IF(INDEX(Input!$L$7:$L1503,ROW()-1),1,0),
        1
      ),
      YEARFRAC(
        B813 + IF(INDEX(Input!$K$7:$K1503,ROW()-1),0,1),
        C813 + IF(INDEX(Input!$L$7:$L1503,ROW()-1),1,0),
        3
      )
  )
)</f>
        <v/>
      </c>
      <c r="S813" s="22" t="str">
        <f t="shared" si="4"/>
        <v/>
      </c>
      <c r="T813" s="6" t="str">
        <f t="array" ref="T813">IF(
  B813="",
  ,
  DATEDIF(
    B813 + IF(INDEX(Input!$K$7:$K1503,ROW()-1),0,1),
    C813 + IF(INDEX(Input!$L$7:$L1503,ROW()-1),1,0),
    "Y"
  )
)</f>
        <v/>
      </c>
      <c r="U813" s="6" t="str">
        <f t="array" ref="U813">IF(
  B813="",
  ,
  (C813 + IF(INDEX(Input!$L$7:$L1503,ROW()-1),1,0))
  - EDATE(
      B813 + IF(INDEX(Input!$K$7:$K1503,ROW()-1),0,1),
      12*S813
    )
)</f>
        <v/>
      </c>
      <c r="V813" s="6" t="str">
        <f t="shared" si="5"/>
        <v/>
      </c>
      <c r="W813" s="6" t="str">
        <f t="shared" si="6"/>
        <v/>
      </c>
    </row>
    <row r="814">
      <c r="A814" s="18"/>
      <c r="B814" s="18"/>
      <c r="C814" s="18"/>
      <c r="D814" s="18"/>
      <c r="E814" s="18"/>
      <c r="F814" s="18"/>
      <c r="G814" s="22"/>
      <c r="H814" s="18"/>
      <c r="I814" s="18">
        <v>0.0</v>
      </c>
      <c r="J814" s="18">
        <v>0.0</v>
      </c>
      <c r="K814" s="18"/>
      <c r="L814" s="18"/>
      <c r="M814" s="22" t="str">
        <f t="shared" si="1"/>
        <v/>
      </c>
      <c r="N814" s="18" t="str">
        <f>IF(A814="",,IF(ROW()=2, Input!$C$2 + I814, P813 + I814))</f>
        <v/>
      </c>
      <c r="O814" s="23" t="str">
        <f>IF(A814="",,
 IF(K814="Initial principal",
   Input!$C$2 * M814,
   N814 * M814
 )
)</f>
        <v/>
      </c>
      <c r="P814" s="18" t="str">
        <f t="shared" si="2"/>
        <v/>
      </c>
      <c r="Q814" s="18" t="str">
        <f t="shared" si="3"/>
        <v/>
      </c>
      <c r="R814" s="18" t="str">
        <f t="array" ref="R814">IF(
  B814="",
  ,
  SWITCH(
    Input!$C$4,
    "Actual/365 Fixed",
      YEARFRAC(
        B814 + IF(INDEX(Input!$K$7:$K1503,ROW()-1),0,1),
        C814 + IF(INDEX(Input!$L$7:$L1503,ROW()-1),1,0),
        3
      ),
    "Anniversary/365",
      DATEDIF(
        B814 + IF(INDEX(Input!$K$7:$K1503,ROW()-1),0,1),
        C814 + IF(INDEX(Input!$L$7:$L1503,ROW()-1),1,0),
        "Y"
      )
      +
      (
        (C814 + IF(INDEX(Input!$L$7:$L1503,ROW()-1),1,0))
        -
        EDATE(
          B814 + IF(INDEX(Input!$K$7:$K1503,ROW()-1),0,1),
          12*DATEDIF(
            B814 + IF(INDEX(Input!$K$7:$K1503,ROW()-1),0,1),
            C814 + IF(INDEX(Input!$L$7:$L1503,ROW()-1),1,0),
            "Y"
          )
        )
      ) / 365,
    "Actual/Actual",
      YEARFRAC(
        B814 + IF(INDEX(Input!$K$7:$K1503,ROW()-1),0,1),
        C814 + IF(INDEX(Input!$L$7:$L1503,ROW()-1),1,0),
        1
      ),
      YEARFRAC(
        B814 + IF(INDEX(Input!$K$7:$K1503,ROW()-1),0,1),
        C814 + IF(INDEX(Input!$L$7:$L1503,ROW()-1),1,0),
        3
      )
  )
)</f>
        <v/>
      </c>
      <c r="S814" s="22" t="str">
        <f t="shared" si="4"/>
        <v/>
      </c>
      <c r="T814" s="6" t="str">
        <f t="array" ref="T814">IF(
  B814="",
  ,
  DATEDIF(
    B814 + IF(INDEX(Input!$K$7:$K1503,ROW()-1),0,1),
    C814 + IF(INDEX(Input!$L$7:$L1503,ROW()-1),1,0),
    "Y"
  )
)</f>
        <v/>
      </c>
      <c r="U814" s="6" t="str">
        <f t="array" ref="U814">IF(
  B814="",
  ,
  (C814 + IF(INDEX(Input!$L$7:$L1503,ROW()-1),1,0))
  - EDATE(
      B814 + IF(INDEX(Input!$K$7:$K1503,ROW()-1),0,1),
      12*S814
    )
)</f>
        <v/>
      </c>
      <c r="V814" s="6" t="str">
        <f t="shared" si="5"/>
        <v/>
      </c>
      <c r="W814" s="6" t="str">
        <f t="shared" si="6"/>
        <v/>
      </c>
    </row>
    <row r="815">
      <c r="A815" s="18"/>
      <c r="B815" s="18"/>
      <c r="C815" s="18"/>
      <c r="D815" s="18"/>
      <c r="E815" s="18"/>
      <c r="F815" s="18"/>
      <c r="G815" s="22"/>
      <c r="H815" s="18"/>
      <c r="I815" s="18">
        <v>0.0</v>
      </c>
      <c r="J815" s="18">
        <v>0.0</v>
      </c>
      <c r="K815" s="18"/>
      <c r="L815" s="18"/>
      <c r="M815" s="22" t="str">
        <f t="shared" si="1"/>
        <v/>
      </c>
      <c r="N815" s="18" t="str">
        <f>IF(A815="",,IF(ROW()=2, Input!$C$2 + I815, P814 + I815))</f>
        <v/>
      </c>
      <c r="O815" s="23" t="str">
        <f>IF(A815="",,
 IF(K815="Initial principal",
   Input!$C$2 * M815,
   N815 * M815
 )
)</f>
        <v/>
      </c>
      <c r="P815" s="18" t="str">
        <f t="shared" si="2"/>
        <v/>
      </c>
      <c r="Q815" s="18" t="str">
        <f t="shared" si="3"/>
        <v/>
      </c>
      <c r="R815" s="18" t="str">
        <f t="array" ref="R815">IF(
  B815="",
  ,
  SWITCH(
    Input!$C$4,
    "Actual/365 Fixed",
      YEARFRAC(
        B815 + IF(INDEX(Input!$K$7:$K1503,ROW()-1),0,1),
        C815 + IF(INDEX(Input!$L$7:$L1503,ROW()-1),1,0),
        3
      ),
    "Anniversary/365",
      DATEDIF(
        B815 + IF(INDEX(Input!$K$7:$K1503,ROW()-1),0,1),
        C815 + IF(INDEX(Input!$L$7:$L1503,ROW()-1),1,0),
        "Y"
      )
      +
      (
        (C815 + IF(INDEX(Input!$L$7:$L1503,ROW()-1),1,0))
        -
        EDATE(
          B815 + IF(INDEX(Input!$K$7:$K1503,ROW()-1),0,1),
          12*DATEDIF(
            B815 + IF(INDEX(Input!$K$7:$K1503,ROW()-1),0,1),
            C815 + IF(INDEX(Input!$L$7:$L1503,ROW()-1),1,0),
            "Y"
          )
        )
      ) / 365,
    "Actual/Actual",
      YEARFRAC(
        B815 + IF(INDEX(Input!$K$7:$K1503,ROW()-1),0,1),
        C815 + IF(INDEX(Input!$L$7:$L1503,ROW()-1),1,0),
        1
      ),
      YEARFRAC(
        B815 + IF(INDEX(Input!$K$7:$K1503,ROW()-1),0,1),
        C815 + IF(INDEX(Input!$L$7:$L1503,ROW()-1),1,0),
        3
      )
  )
)</f>
        <v/>
      </c>
      <c r="S815" s="22" t="str">
        <f t="shared" si="4"/>
        <v/>
      </c>
      <c r="T815" s="6" t="str">
        <f t="array" ref="T815">IF(
  B815="",
  ,
  DATEDIF(
    B815 + IF(INDEX(Input!$K$7:$K1503,ROW()-1),0,1),
    C815 + IF(INDEX(Input!$L$7:$L1503,ROW()-1),1,0),
    "Y"
  )
)</f>
        <v/>
      </c>
      <c r="U815" s="6" t="str">
        <f t="array" ref="U815">IF(
  B815="",
  ,
  (C815 + IF(INDEX(Input!$L$7:$L1503,ROW()-1),1,0))
  - EDATE(
      B815 + IF(INDEX(Input!$K$7:$K1503,ROW()-1),0,1),
      12*S815
    )
)</f>
        <v/>
      </c>
      <c r="V815" s="6" t="str">
        <f t="shared" si="5"/>
        <v/>
      </c>
      <c r="W815" s="6" t="str">
        <f t="shared" si="6"/>
        <v/>
      </c>
    </row>
    <row r="816">
      <c r="A816" s="18"/>
      <c r="B816" s="18"/>
      <c r="C816" s="18"/>
      <c r="D816" s="18"/>
      <c r="E816" s="18"/>
      <c r="F816" s="18"/>
      <c r="G816" s="22"/>
      <c r="H816" s="18"/>
      <c r="I816" s="18">
        <v>0.0</v>
      </c>
      <c r="J816" s="18">
        <v>0.0</v>
      </c>
      <c r="K816" s="18"/>
      <c r="L816" s="18"/>
      <c r="M816" s="22" t="str">
        <f t="shared" si="1"/>
        <v/>
      </c>
      <c r="N816" s="18" t="str">
        <f>IF(A816="",,IF(ROW()=2, Input!$C$2 + I816, P815 + I816))</f>
        <v/>
      </c>
      <c r="O816" s="23" t="str">
        <f>IF(A816="",,
 IF(K816="Initial principal",
   Input!$C$2 * M816,
   N816 * M816
 )
)</f>
        <v/>
      </c>
      <c r="P816" s="18" t="str">
        <f t="shared" si="2"/>
        <v/>
      </c>
      <c r="Q816" s="18" t="str">
        <f t="shared" si="3"/>
        <v/>
      </c>
      <c r="R816" s="18" t="str">
        <f t="array" ref="R816">IF(
  B816="",
  ,
  SWITCH(
    Input!$C$4,
    "Actual/365 Fixed",
      YEARFRAC(
        B816 + IF(INDEX(Input!$K$7:$K1503,ROW()-1),0,1),
        C816 + IF(INDEX(Input!$L$7:$L1503,ROW()-1),1,0),
        3
      ),
    "Anniversary/365",
      DATEDIF(
        B816 + IF(INDEX(Input!$K$7:$K1503,ROW()-1),0,1),
        C816 + IF(INDEX(Input!$L$7:$L1503,ROW()-1),1,0),
        "Y"
      )
      +
      (
        (C816 + IF(INDEX(Input!$L$7:$L1503,ROW()-1),1,0))
        -
        EDATE(
          B816 + IF(INDEX(Input!$K$7:$K1503,ROW()-1),0,1),
          12*DATEDIF(
            B816 + IF(INDEX(Input!$K$7:$K1503,ROW()-1),0,1),
            C816 + IF(INDEX(Input!$L$7:$L1503,ROW()-1),1,0),
            "Y"
          )
        )
      ) / 365,
    "Actual/Actual",
      YEARFRAC(
        B816 + IF(INDEX(Input!$K$7:$K1503,ROW()-1),0,1),
        C816 + IF(INDEX(Input!$L$7:$L1503,ROW()-1),1,0),
        1
      ),
      YEARFRAC(
        B816 + IF(INDEX(Input!$K$7:$K1503,ROW()-1),0,1),
        C816 + IF(INDEX(Input!$L$7:$L1503,ROW()-1),1,0),
        3
      )
  )
)</f>
        <v/>
      </c>
      <c r="S816" s="22" t="str">
        <f t="shared" si="4"/>
        <v/>
      </c>
      <c r="T816" s="6" t="str">
        <f t="array" ref="T816">IF(
  B816="",
  ,
  DATEDIF(
    B816 + IF(INDEX(Input!$K$7:$K1503,ROW()-1),0,1),
    C816 + IF(INDEX(Input!$L$7:$L1503,ROW()-1),1,0),
    "Y"
  )
)</f>
        <v/>
      </c>
      <c r="U816" s="6" t="str">
        <f t="array" ref="U816">IF(
  B816="",
  ,
  (C816 + IF(INDEX(Input!$L$7:$L1503,ROW()-1),1,0))
  - EDATE(
      B816 + IF(INDEX(Input!$K$7:$K1503,ROW()-1),0,1),
      12*S816
    )
)</f>
        <v/>
      </c>
      <c r="V816" s="6" t="str">
        <f t="shared" si="5"/>
        <v/>
      </c>
      <c r="W816" s="6" t="str">
        <f t="shared" si="6"/>
        <v/>
      </c>
    </row>
    <row r="817">
      <c r="A817" s="18"/>
      <c r="B817" s="18"/>
      <c r="C817" s="18"/>
      <c r="D817" s="18"/>
      <c r="E817" s="18"/>
      <c r="F817" s="18"/>
      <c r="G817" s="22"/>
      <c r="H817" s="18"/>
      <c r="I817" s="18">
        <v>0.0</v>
      </c>
      <c r="J817" s="18">
        <v>0.0</v>
      </c>
      <c r="K817" s="18"/>
      <c r="L817" s="18"/>
      <c r="M817" s="22" t="str">
        <f t="shared" si="1"/>
        <v/>
      </c>
      <c r="N817" s="18" t="str">
        <f>IF(A817="",,IF(ROW()=2, Input!$C$2 + I817, P816 + I817))</f>
        <v/>
      </c>
      <c r="O817" s="23" t="str">
        <f>IF(A817="",,
 IF(K817="Initial principal",
   Input!$C$2 * M817,
   N817 * M817
 )
)</f>
        <v/>
      </c>
      <c r="P817" s="18" t="str">
        <f t="shared" si="2"/>
        <v/>
      </c>
      <c r="Q817" s="18" t="str">
        <f t="shared" si="3"/>
        <v/>
      </c>
      <c r="R817" s="18" t="str">
        <f t="array" ref="R817">IF(
  B817="",
  ,
  SWITCH(
    Input!$C$4,
    "Actual/365 Fixed",
      YEARFRAC(
        B817 + IF(INDEX(Input!$K$7:$K1503,ROW()-1),0,1),
        C817 + IF(INDEX(Input!$L$7:$L1503,ROW()-1),1,0),
        3
      ),
    "Anniversary/365",
      DATEDIF(
        B817 + IF(INDEX(Input!$K$7:$K1503,ROW()-1),0,1),
        C817 + IF(INDEX(Input!$L$7:$L1503,ROW()-1),1,0),
        "Y"
      )
      +
      (
        (C817 + IF(INDEX(Input!$L$7:$L1503,ROW()-1),1,0))
        -
        EDATE(
          B817 + IF(INDEX(Input!$K$7:$K1503,ROW()-1),0,1),
          12*DATEDIF(
            B817 + IF(INDEX(Input!$K$7:$K1503,ROW()-1),0,1),
            C817 + IF(INDEX(Input!$L$7:$L1503,ROW()-1),1,0),
            "Y"
          )
        )
      ) / 365,
    "Actual/Actual",
      YEARFRAC(
        B817 + IF(INDEX(Input!$K$7:$K1503,ROW()-1),0,1),
        C817 + IF(INDEX(Input!$L$7:$L1503,ROW()-1),1,0),
        1
      ),
      YEARFRAC(
        B817 + IF(INDEX(Input!$K$7:$K1503,ROW()-1),0,1),
        C817 + IF(INDEX(Input!$L$7:$L1503,ROW()-1),1,0),
        3
      )
  )
)</f>
        <v/>
      </c>
      <c r="S817" s="22" t="str">
        <f t="shared" si="4"/>
        <v/>
      </c>
      <c r="T817" s="6" t="str">
        <f t="array" ref="T817">IF(
  B817="",
  ,
  DATEDIF(
    B817 + IF(INDEX(Input!$K$7:$K1503,ROW()-1),0,1),
    C817 + IF(INDEX(Input!$L$7:$L1503,ROW()-1),1,0),
    "Y"
  )
)</f>
        <v/>
      </c>
      <c r="U817" s="6" t="str">
        <f t="array" ref="U817">IF(
  B817="",
  ,
  (C817 + IF(INDEX(Input!$L$7:$L1503,ROW()-1),1,0))
  - EDATE(
      B817 + IF(INDEX(Input!$K$7:$K1503,ROW()-1),0,1),
      12*S817
    )
)</f>
        <v/>
      </c>
      <c r="V817" s="6" t="str">
        <f t="shared" si="5"/>
        <v/>
      </c>
      <c r="W817" s="6" t="str">
        <f t="shared" si="6"/>
        <v/>
      </c>
    </row>
    <row r="818">
      <c r="A818" s="18"/>
      <c r="B818" s="18"/>
      <c r="C818" s="18"/>
      <c r="D818" s="18"/>
      <c r="E818" s="18"/>
      <c r="F818" s="18"/>
      <c r="G818" s="22"/>
      <c r="H818" s="18"/>
      <c r="I818" s="18">
        <v>0.0</v>
      </c>
      <c r="J818" s="18">
        <v>0.0</v>
      </c>
      <c r="K818" s="18"/>
      <c r="L818" s="18"/>
      <c r="M818" s="22" t="str">
        <f t="shared" si="1"/>
        <v/>
      </c>
      <c r="N818" s="18" t="str">
        <f>IF(A818="",,IF(ROW()=2, Input!$C$2 + I818, P817 + I818))</f>
        <v/>
      </c>
      <c r="O818" s="23" t="str">
        <f>IF(A818="",,
 IF(K818="Initial principal",
   Input!$C$2 * M818,
   N818 * M818
 )
)</f>
        <v/>
      </c>
      <c r="P818" s="18" t="str">
        <f t="shared" si="2"/>
        <v/>
      </c>
      <c r="Q818" s="18" t="str">
        <f t="shared" si="3"/>
        <v/>
      </c>
      <c r="R818" s="18" t="str">
        <f t="array" ref="R818">IF(
  B818="",
  ,
  SWITCH(
    Input!$C$4,
    "Actual/365 Fixed",
      YEARFRAC(
        B818 + IF(INDEX(Input!$K$7:$K1503,ROW()-1),0,1),
        C818 + IF(INDEX(Input!$L$7:$L1503,ROW()-1),1,0),
        3
      ),
    "Anniversary/365",
      DATEDIF(
        B818 + IF(INDEX(Input!$K$7:$K1503,ROW()-1),0,1),
        C818 + IF(INDEX(Input!$L$7:$L1503,ROW()-1),1,0),
        "Y"
      )
      +
      (
        (C818 + IF(INDEX(Input!$L$7:$L1503,ROW()-1),1,0))
        -
        EDATE(
          B818 + IF(INDEX(Input!$K$7:$K1503,ROW()-1),0,1),
          12*DATEDIF(
            B818 + IF(INDEX(Input!$K$7:$K1503,ROW()-1),0,1),
            C818 + IF(INDEX(Input!$L$7:$L1503,ROW()-1),1,0),
            "Y"
          )
        )
      ) / 365,
    "Actual/Actual",
      YEARFRAC(
        B818 + IF(INDEX(Input!$K$7:$K1503,ROW()-1),0,1),
        C818 + IF(INDEX(Input!$L$7:$L1503,ROW()-1),1,0),
        1
      ),
      YEARFRAC(
        B818 + IF(INDEX(Input!$K$7:$K1503,ROW()-1),0,1),
        C818 + IF(INDEX(Input!$L$7:$L1503,ROW()-1),1,0),
        3
      )
  )
)</f>
        <v/>
      </c>
      <c r="S818" s="22" t="str">
        <f t="shared" si="4"/>
        <v/>
      </c>
      <c r="T818" s="6" t="str">
        <f t="array" ref="T818">IF(
  B818="",
  ,
  DATEDIF(
    B818 + IF(INDEX(Input!$K$7:$K1503,ROW()-1),0,1),
    C818 + IF(INDEX(Input!$L$7:$L1503,ROW()-1),1,0),
    "Y"
  )
)</f>
        <v/>
      </c>
      <c r="U818" s="6" t="str">
        <f t="array" ref="U818">IF(
  B818="",
  ,
  (C818 + IF(INDEX(Input!$L$7:$L1503,ROW()-1),1,0))
  - EDATE(
      B818 + IF(INDEX(Input!$K$7:$K1503,ROW()-1),0,1),
      12*S818
    )
)</f>
        <v/>
      </c>
      <c r="V818" s="6" t="str">
        <f t="shared" si="5"/>
        <v/>
      </c>
      <c r="W818" s="6" t="str">
        <f t="shared" si="6"/>
        <v/>
      </c>
    </row>
    <row r="819">
      <c r="A819" s="18"/>
      <c r="B819" s="18"/>
      <c r="C819" s="18"/>
      <c r="D819" s="18"/>
      <c r="E819" s="18"/>
      <c r="F819" s="18"/>
      <c r="G819" s="22"/>
      <c r="H819" s="18"/>
      <c r="I819" s="18">
        <v>0.0</v>
      </c>
      <c r="J819" s="18">
        <v>0.0</v>
      </c>
      <c r="K819" s="18"/>
      <c r="L819" s="18"/>
      <c r="M819" s="22" t="str">
        <f t="shared" si="1"/>
        <v/>
      </c>
      <c r="N819" s="18" t="str">
        <f>IF(A819="",,IF(ROW()=2, Input!$C$2 + I819, P818 + I819))</f>
        <v/>
      </c>
      <c r="O819" s="23" t="str">
        <f>IF(A819="",,
 IF(K819="Initial principal",
   Input!$C$2 * M819,
   N819 * M819
 )
)</f>
        <v/>
      </c>
      <c r="P819" s="18" t="str">
        <f t="shared" si="2"/>
        <v/>
      </c>
      <c r="Q819" s="18" t="str">
        <f t="shared" si="3"/>
        <v/>
      </c>
      <c r="R819" s="18" t="str">
        <f t="array" ref="R819">IF(
  B819="",
  ,
  SWITCH(
    Input!$C$4,
    "Actual/365 Fixed",
      YEARFRAC(
        B819 + IF(INDEX(Input!$K$7:$K1503,ROW()-1),0,1),
        C819 + IF(INDEX(Input!$L$7:$L1503,ROW()-1),1,0),
        3
      ),
    "Anniversary/365",
      DATEDIF(
        B819 + IF(INDEX(Input!$K$7:$K1503,ROW()-1),0,1),
        C819 + IF(INDEX(Input!$L$7:$L1503,ROW()-1),1,0),
        "Y"
      )
      +
      (
        (C819 + IF(INDEX(Input!$L$7:$L1503,ROW()-1),1,0))
        -
        EDATE(
          B819 + IF(INDEX(Input!$K$7:$K1503,ROW()-1),0,1),
          12*DATEDIF(
            B819 + IF(INDEX(Input!$K$7:$K1503,ROW()-1),0,1),
            C819 + IF(INDEX(Input!$L$7:$L1503,ROW()-1),1,0),
            "Y"
          )
        )
      ) / 365,
    "Actual/Actual",
      YEARFRAC(
        B819 + IF(INDEX(Input!$K$7:$K1503,ROW()-1),0,1),
        C819 + IF(INDEX(Input!$L$7:$L1503,ROW()-1),1,0),
        1
      ),
      YEARFRAC(
        B819 + IF(INDEX(Input!$K$7:$K1503,ROW()-1),0,1),
        C819 + IF(INDEX(Input!$L$7:$L1503,ROW()-1),1,0),
        3
      )
  )
)</f>
        <v/>
      </c>
      <c r="S819" s="22" t="str">
        <f t="shared" si="4"/>
        <v/>
      </c>
      <c r="T819" s="6" t="str">
        <f t="array" ref="T819">IF(
  B819="",
  ,
  DATEDIF(
    B819 + IF(INDEX(Input!$K$7:$K1503,ROW()-1),0,1),
    C819 + IF(INDEX(Input!$L$7:$L1503,ROW()-1),1,0),
    "Y"
  )
)</f>
        <v/>
      </c>
      <c r="U819" s="6" t="str">
        <f t="array" ref="U819">IF(
  B819="",
  ,
  (C819 + IF(INDEX(Input!$L$7:$L1503,ROW()-1),1,0))
  - EDATE(
      B819 + IF(INDEX(Input!$K$7:$K1503,ROW()-1),0,1),
      12*S819
    )
)</f>
        <v/>
      </c>
      <c r="V819" s="6" t="str">
        <f t="shared" si="5"/>
        <v/>
      </c>
      <c r="W819" s="6" t="str">
        <f t="shared" si="6"/>
        <v/>
      </c>
    </row>
    <row r="820">
      <c r="A820" s="18"/>
      <c r="B820" s="18"/>
      <c r="C820" s="18"/>
      <c r="D820" s="18"/>
      <c r="E820" s="18"/>
      <c r="F820" s="18"/>
      <c r="G820" s="22"/>
      <c r="H820" s="18"/>
      <c r="I820" s="18">
        <v>0.0</v>
      </c>
      <c r="J820" s="18">
        <v>0.0</v>
      </c>
      <c r="K820" s="18"/>
      <c r="L820" s="18"/>
      <c r="M820" s="22" t="str">
        <f t="shared" si="1"/>
        <v/>
      </c>
      <c r="N820" s="18" t="str">
        <f>IF(A820="",,IF(ROW()=2, Input!$C$2 + I820, P819 + I820))</f>
        <v/>
      </c>
      <c r="O820" s="23" t="str">
        <f>IF(A820="",,
 IF(K820="Initial principal",
   Input!$C$2 * M820,
   N820 * M820
 )
)</f>
        <v/>
      </c>
      <c r="P820" s="18" t="str">
        <f t="shared" si="2"/>
        <v/>
      </c>
      <c r="Q820" s="18" t="str">
        <f t="shared" si="3"/>
        <v/>
      </c>
      <c r="R820" s="18" t="str">
        <f t="array" ref="R820">IF(
  B820="",
  ,
  SWITCH(
    Input!$C$4,
    "Actual/365 Fixed",
      YEARFRAC(
        B820 + IF(INDEX(Input!$K$7:$K1503,ROW()-1),0,1),
        C820 + IF(INDEX(Input!$L$7:$L1503,ROW()-1),1,0),
        3
      ),
    "Anniversary/365",
      DATEDIF(
        B820 + IF(INDEX(Input!$K$7:$K1503,ROW()-1),0,1),
        C820 + IF(INDEX(Input!$L$7:$L1503,ROW()-1),1,0),
        "Y"
      )
      +
      (
        (C820 + IF(INDEX(Input!$L$7:$L1503,ROW()-1),1,0))
        -
        EDATE(
          B820 + IF(INDEX(Input!$K$7:$K1503,ROW()-1),0,1),
          12*DATEDIF(
            B820 + IF(INDEX(Input!$K$7:$K1503,ROW()-1),0,1),
            C820 + IF(INDEX(Input!$L$7:$L1503,ROW()-1),1,0),
            "Y"
          )
        )
      ) / 365,
    "Actual/Actual",
      YEARFRAC(
        B820 + IF(INDEX(Input!$K$7:$K1503,ROW()-1),0,1),
        C820 + IF(INDEX(Input!$L$7:$L1503,ROW()-1),1,0),
        1
      ),
      YEARFRAC(
        B820 + IF(INDEX(Input!$K$7:$K1503,ROW()-1),0,1),
        C820 + IF(INDEX(Input!$L$7:$L1503,ROW()-1),1,0),
        3
      )
  )
)</f>
        <v/>
      </c>
      <c r="S820" s="22" t="str">
        <f t="shared" si="4"/>
        <v/>
      </c>
      <c r="T820" s="6" t="str">
        <f t="array" ref="T820">IF(
  B820="",
  ,
  DATEDIF(
    B820 + IF(INDEX(Input!$K$7:$K1503,ROW()-1),0,1),
    C820 + IF(INDEX(Input!$L$7:$L1503,ROW()-1),1,0),
    "Y"
  )
)</f>
        <v/>
      </c>
      <c r="U820" s="6" t="str">
        <f t="array" ref="U820">IF(
  B820="",
  ,
  (C820 + IF(INDEX(Input!$L$7:$L1503,ROW()-1),1,0))
  - EDATE(
      B820 + IF(INDEX(Input!$K$7:$K1503,ROW()-1),0,1),
      12*S820
    )
)</f>
        <v/>
      </c>
      <c r="V820" s="6" t="str">
        <f t="shared" si="5"/>
        <v/>
      </c>
      <c r="W820" s="6" t="str">
        <f t="shared" si="6"/>
        <v/>
      </c>
    </row>
    <row r="821">
      <c r="A821" s="18"/>
      <c r="B821" s="18"/>
      <c r="C821" s="18"/>
      <c r="D821" s="18"/>
      <c r="E821" s="18"/>
      <c r="F821" s="18"/>
      <c r="G821" s="22"/>
      <c r="H821" s="18"/>
      <c r="I821" s="18">
        <v>0.0</v>
      </c>
      <c r="J821" s="18">
        <v>0.0</v>
      </c>
      <c r="K821" s="18"/>
      <c r="L821" s="18"/>
      <c r="M821" s="22" t="str">
        <f t="shared" si="1"/>
        <v/>
      </c>
      <c r="N821" s="18" t="str">
        <f>IF(A821="",,IF(ROW()=2, Input!$C$2 + I821, P820 + I821))</f>
        <v/>
      </c>
      <c r="O821" s="23" t="str">
        <f>IF(A821="",,
 IF(K821="Initial principal",
   Input!$C$2 * M821,
   N821 * M821
 )
)</f>
        <v/>
      </c>
      <c r="P821" s="18" t="str">
        <f t="shared" si="2"/>
        <v/>
      </c>
      <c r="Q821" s="18" t="str">
        <f t="shared" si="3"/>
        <v/>
      </c>
      <c r="R821" s="18" t="str">
        <f t="array" ref="R821">IF(
  B821="",
  ,
  SWITCH(
    Input!$C$4,
    "Actual/365 Fixed",
      YEARFRAC(
        B821 + IF(INDEX(Input!$K$7:$K1503,ROW()-1),0,1),
        C821 + IF(INDEX(Input!$L$7:$L1503,ROW()-1),1,0),
        3
      ),
    "Anniversary/365",
      DATEDIF(
        B821 + IF(INDEX(Input!$K$7:$K1503,ROW()-1),0,1),
        C821 + IF(INDEX(Input!$L$7:$L1503,ROW()-1),1,0),
        "Y"
      )
      +
      (
        (C821 + IF(INDEX(Input!$L$7:$L1503,ROW()-1),1,0))
        -
        EDATE(
          B821 + IF(INDEX(Input!$K$7:$K1503,ROW()-1),0,1),
          12*DATEDIF(
            B821 + IF(INDEX(Input!$K$7:$K1503,ROW()-1),0,1),
            C821 + IF(INDEX(Input!$L$7:$L1503,ROW()-1),1,0),
            "Y"
          )
        )
      ) / 365,
    "Actual/Actual",
      YEARFRAC(
        B821 + IF(INDEX(Input!$K$7:$K1503,ROW()-1),0,1),
        C821 + IF(INDEX(Input!$L$7:$L1503,ROW()-1),1,0),
        1
      ),
      YEARFRAC(
        B821 + IF(INDEX(Input!$K$7:$K1503,ROW()-1),0,1),
        C821 + IF(INDEX(Input!$L$7:$L1503,ROW()-1),1,0),
        3
      )
  )
)</f>
        <v/>
      </c>
      <c r="S821" s="22" t="str">
        <f t="shared" si="4"/>
        <v/>
      </c>
      <c r="T821" s="6" t="str">
        <f t="array" ref="T821">IF(
  B821="",
  ,
  DATEDIF(
    B821 + IF(INDEX(Input!$K$7:$K1503,ROW()-1),0,1),
    C821 + IF(INDEX(Input!$L$7:$L1503,ROW()-1),1,0),
    "Y"
  )
)</f>
        <v/>
      </c>
      <c r="U821" s="6" t="str">
        <f t="array" ref="U821">IF(
  B821="",
  ,
  (C821 + IF(INDEX(Input!$L$7:$L1503,ROW()-1),1,0))
  - EDATE(
      B821 + IF(INDEX(Input!$K$7:$K1503,ROW()-1),0,1),
      12*S821
    )
)</f>
        <v/>
      </c>
      <c r="V821" s="6" t="str">
        <f t="shared" si="5"/>
        <v/>
      </c>
      <c r="W821" s="6" t="str">
        <f t="shared" si="6"/>
        <v/>
      </c>
    </row>
    <row r="822">
      <c r="A822" s="18"/>
      <c r="B822" s="18"/>
      <c r="C822" s="18"/>
      <c r="D822" s="18"/>
      <c r="E822" s="18"/>
      <c r="F822" s="18"/>
      <c r="G822" s="22"/>
      <c r="H822" s="18"/>
      <c r="I822" s="18">
        <v>0.0</v>
      </c>
      <c r="J822" s="18">
        <v>0.0</v>
      </c>
      <c r="K822" s="18"/>
      <c r="L822" s="18"/>
      <c r="M822" s="22" t="str">
        <f t="shared" si="1"/>
        <v/>
      </c>
      <c r="N822" s="18" t="str">
        <f>IF(A822="",,IF(ROW()=2, Input!$C$2 + I822, P821 + I822))</f>
        <v/>
      </c>
      <c r="O822" s="23" t="str">
        <f>IF(A822="",,
 IF(K822="Initial principal",
   Input!$C$2 * M822,
   N822 * M822
 )
)</f>
        <v/>
      </c>
      <c r="P822" s="18" t="str">
        <f t="shared" si="2"/>
        <v/>
      </c>
      <c r="Q822" s="18" t="str">
        <f t="shared" si="3"/>
        <v/>
      </c>
      <c r="R822" s="18" t="str">
        <f t="array" ref="R822">IF(
  B822="",
  ,
  SWITCH(
    Input!$C$4,
    "Actual/365 Fixed",
      YEARFRAC(
        B822 + IF(INDEX(Input!$K$7:$K1503,ROW()-1),0,1),
        C822 + IF(INDEX(Input!$L$7:$L1503,ROW()-1),1,0),
        3
      ),
    "Anniversary/365",
      DATEDIF(
        B822 + IF(INDEX(Input!$K$7:$K1503,ROW()-1),0,1),
        C822 + IF(INDEX(Input!$L$7:$L1503,ROW()-1),1,0),
        "Y"
      )
      +
      (
        (C822 + IF(INDEX(Input!$L$7:$L1503,ROW()-1),1,0))
        -
        EDATE(
          B822 + IF(INDEX(Input!$K$7:$K1503,ROW()-1),0,1),
          12*DATEDIF(
            B822 + IF(INDEX(Input!$K$7:$K1503,ROW()-1),0,1),
            C822 + IF(INDEX(Input!$L$7:$L1503,ROW()-1),1,0),
            "Y"
          )
        )
      ) / 365,
    "Actual/Actual",
      YEARFRAC(
        B822 + IF(INDEX(Input!$K$7:$K1503,ROW()-1),0,1),
        C822 + IF(INDEX(Input!$L$7:$L1503,ROW()-1),1,0),
        1
      ),
      YEARFRAC(
        B822 + IF(INDEX(Input!$K$7:$K1503,ROW()-1),0,1),
        C822 + IF(INDEX(Input!$L$7:$L1503,ROW()-1),1,0),
        3
      )
  )
)</f>
        <v/>
      </c>
      <c r="S822" s="22" t="str">
        <f t="shared" si="4"/>
        <v/>
      </c>
      <c r="T822" s="6" t="str">
        <f t="array" ref="T822">IF(
  B822="",
  ,
  DATEDIF(
    B822 + IF(INDEX(Input!$K$7:$K1503,ROW()-1),0,1),
    C822 + IF(INDEX(Input!$L$7:$L1503,ROW()-1),1,0),
    "Y"
  )
)</f>
        <v/>
      </c>
      <c r="U822" s="6" t="str">
        <f t="array" ref="U822">IF(
  B822="",
  ,
  (C822 + IF(INDEX(Input!$L$7:$L1503,ROW()-1),1,0))
  - EDATE(
      B822 + IF(INDEX(Input!$K$7:$K1503,ROW()-1),0,1),
      12*S822
    )
)</f>
        <v/>
      </c>
      <c r="V822" s="6" t="str">
        <f t="shared" si="5"/>
        <v/>
      </c>
      <c r="W822" s="6" t="str">
        <f t="shared" si="6"/>
        <v/>
      </c>
    </row>
    <row r="823">
      <c r="A823" s="18"/>
      <c r="B823" s="18"/>
      <c r="C823" s="18"/>
      <c r="D823" s="18"/>
      <c r="E823" s="18"/>
      <c r="F823" s="18"/>
      <c r="G823" s="22"/>
      <c r="H823" s="18"/>
      <c r="I823" s="18">
        <v>0.0</v>
      </c>
      <c r="J823" s="18">
        <v>0.0</v>
      </c>
      <c r="K823" s="18"/>
      <c r="L823" s="18"/>
      <c r="M823" s="22" t="str">
        <f t="shared" si="1"/>
        <v/>
      </c>
      <c r="N823" s="18" t="str">
        <f>IF(A823="",,IF(ROW()=2, Input!$C$2 + I823, P822 + I823))</f>
        <v/>
      </c>
      <c r="O823" s="23" t="str">
        <f>IF(A823="",,
 IF(K823="Initial principal",
   Input!$C$2 * M823,
   N823 * M823
 )
)</f>
        <v/>
      </c>
      <c r="P823" s="18" t="str">
        <f t="shared" si="2"/>
        <v/>
      </c>
      <c r="Q823" s="18" t="str">
        <f t="shared" si="3"/>
        <v/>
      </c>
      <c r="R823" s="18" t="str">
        <f t="array" ref="R823">IF(
  B823="",
  ,
  SWITCH(
    Input!$C$4,
    "Actual/365 Fixed",
      YEARFRAC(
        B823 + IF(INDEX(Input!$K$7:$K1503,ROW()-1),0,1),
        C823 + IF(INDEX(Input!$L$7:$L1503,ROW()-1),1,0),
        3
      ),
    "Anniversary/365",
      DATEDIF(
        B823 + IF(INDEX(Input!$K$7:$K1503,ROW()-1),0,1),
        C823 + IF(INDEX(Input!$L$7:$L1503,ROW()-1),1,0),
        "Y"
      )
      +
      (
        (C823 + IF(INDEX(Input!$L$7:$L1503,ROW()-1),1,0))
        -
        EDATE(
          B823 + IF(INDEX(Input!$K$7:$K1503,ROW()-1),0,1),
          12*DATEDIF(
            B823 + IF(INDEX(Input!$K$7:$K1503,ROW()-1),0,1),
            C823 + IF(INDEX(Input!$L$7:$L1503,ROW()-1),1,0),
            "Y"
          )
        )
      ) / 365,
    "Actual/Actual",
      YEARFRAC(
        B823 + IF(INDEX(Input!$K$7:$K1503,ROW()-1),0,1),
        C823 + IF(INDEX(Input!$L$7:$L1503,ROW()-1),1,0),
        1
      ),
      YEARFRAC(
        B823 + IF(INDEX(Input!$K$7:$K1503,ROW()-1),0,1),
        C823 + IF(INDEX(Input!$L$7:$L1503,ROW()-1),1,0),
        3
      )
  )
)</f>
        <v/>
      </c>
      <c r="S823" s="22" t="str">
        <f t="shared" si="4"/>
        <v/>
      </c>
      <c r="T823" s="6" t="str">
        <f t="array" ref="T823">IF(
  B823="",
  ,
  DATEDIF(
    B823 + IF(INDEX(Input!$K$7:$K1503,ROW()-1),0,1),
    C823 + IF(INDEX(Input!$L$7:$L1503,ROW()-1),1,0),
    "Y"
  )
)</f>
        <v/>
      </c>
      <c r="U823" s="6" t="str">
        <f t="array" ref="U823">IF(
  B823="",
  ,
  (C823 + IF(INDEX(Input!$L$7:$L1503,ROW()-1),1,0))
  - EDATE(
      B823 + IF(INDEX(Input!$K$7:$K1503,ROW()-1),0,1),
      12*S823
    )
)</f>
        <v/>
      </c>
      <c r="V823" s="6" t="str">
        <f t="shared" si="5"/>
        <v/>
      </c>
      <c r="W823" s="6" t="str">
        <f t="shared" si="6"/>
        <v/>
      </c>
    </row>
    <row r="824">
      <c r="A824" s="18"/>
      <c r="B824" s="18"/>
      <c r="C824" s="18"/>
      <c r="D824" s="18"/>
      <c r="E824" s="18"/>
      <c r="F824" s="18"/>
      <c r="G824" s="22"/>
      <c r="H824" s="18"/>
      <c r="I824" s="18">
        <v>0.0</v>
      </c>
      <c r="J824" s="18">
        <v>0.0</v>
      </c>
      <c r="K824" s="18"/>
      <c r="L824" s="18"/>
      <c r="M824" s="22" t="str">
        <f t="shared" si="1"/>
        <v/>
      </c>
      <c r="N824" s="18" t="str">
        <f>IF(A824="",,IF(ROW()=2, Input!$C$2 + I824, P823 + I824))</f>
        <v/>
      </c>
      <c r="O824" s="23" t="str">
        <f>IF(A824="",,
 IF(K824="Initial principal",
   Input!$C$2 * M824,
   N824 * M824
 )
)</f>
        <v/>
      </c>
      <c r="P824" s="18" t="str">
        <f t="shared" si="2"/>
        <v/>
      </c>
      <c r="Q824" s="18" t="str">
        <f t="shared" si="3"/>
        <v/>
      </c>
      <c r="R824" s="18" t="str">
        <f t="array" ref="R824">IF(
  B824="",
  ,
  SWITCH(
    Input!$C$4,
    "Actual/365 Fixed",
      YEARFRAC(
        B824 + IF(INDEX(Input!$K$7:$K1503,ROW()-1),0,1),
        C824 + IF(INDEX(Input!$L$7:$L1503,ROW()-1),1,0),
        3
      ),
    "Anniversary/365",
      DATEDIF(
        B824 + IF(INDEX(Input!$K$7:$K1503,ROW()-1),0,1),
        C824 + IF(INDEX(Input!$L$7:$L1503,ROW()-1),1,0),
        "Y"
      )
      +
      (
        (C824 + IF(INDEX(Input!$L$7:$L1503,ROW()-1),1,0))
        -
        EDATE(
          B824 + IF(INDEX(Input!$K$7:$K1503,ROW()-1),0,1),
          12*DATEDIF(
            B824 + IF(INDEX(Input!$K$7:$K1503,ROW()-1),0,1),
            C824 + IF(INDEX(Input!$L$7:$L1503,ROW()-1),1,0),
            "Y"
          )
        )
      ) / 365,
    "Actual/Actual",
      YEARFRAC(
        B824 + IF(INDEX(Input!$K$7:$K1503,ROW()-1),0,1),
        C824 + IF(INDEX(Input!$L$7:$L1503,ROW()-1),1,0),
        1
      ),
      YEARFRAC(
        B824 + IF(INDEX(Input!$K$7:$K1503,ROW()-1),0,1),
        C824 + IF(INDEX(Input!$L$7:$L1503,ROW()-1),1,0),
        3
      )
  )
)</f>
        <v/>
      </c>
      <c r="S824" s="22" t="str">
        <f t="shared" si="4"/>
        <v/>
      </c>
      <c r="T824" s="6" t="str">
        <f t="array" ref="T824">IF(
  B824="",
  ,
  DATEDIF(
    B824 + IF(INDEX(Input!$K$7:$K1503,ROW()-1),0,1),
    C824 + IF(INDEX(Input!$L$7:$L1503,ROW()-1),1,0),
    "Y"
  )
)</f>
        <v/>
      </c>
      <c r="U824" s="6" t="str">
        <f t="array" ref="U824">IF(
  B824="",
  ,
  (C824 + IF(INDEX(Input!$L$7:$L1503,ROW()-1),1,0))
  - EDATE(
      B824 + IF(INDEX(Input!$K$7:$K1503,ROW()-1),0,1),
      12*S824
    )
)</f>
        <v/>
      </c>
      <c r="V824" s="6" t="str">
        <f t="shared" si="5"/>
        <v/>
      </c>
      <c r="W824" s="6" t="str">
        <f t="shared" si="6"/>
        <v/>
      </c>
    </row>
    <row r="825">
      <c r="A825" s="18"/>
      <c r="B825" s="18"/>
      <c r="C825" s="18"/>
      <c r="D825" s="18"/>
      <c r="E825" s="18"/>
      <c r="F825" s="18"/>
      <c r="G825" s="22"/>
      <c r="H825" s="18"/>
      <c r="I825" s="18">
        <v>0.0</v>
      </c>
      <c r="J825" s="18">
        <v>0.0</v>
      </c>
      <c r="K825" s="18"/>
      <c r="L825" s="18"/>
      <c r="M825" s="22" t="str">
        <f t="shared" si="1"/>
        <v/>
      </c>
      <c r="N825" s="18" t="str">
        <f>IF(A825="",,IF(ROW()=2, Input!$C$2 + I825, P824 + I825))</f>
        <v/>
      </c>
      <c r="O825" s="23" t="str">
        <f>IF(A825="",,
 IF(K825="Initial principal",
   Input!$C$2 * M825,
   N825 * M825
 )
)</f>
        <v/>
      </c>
      <c r="P825" s="18" t="str">
        <f t="shared" si="2"/>
        <v/>
      </c>
      <c r="Q825" s="18" t="str">
        <f t="shared" si="3"/>
        <v/>
      </c>
      <c r="R825" s="18" t="str">
        <f t="array" ref="R825">IF(
  B825="",
  ,
  SWITCH(
    Input!$C$4,
    "Actual/365 Fixed",
      YEARFRAC(
        B825 + IF(INDEX(Input!$K$7:$K1503,ROW()-1),0,1),
        C825 + IF(INDEX(Input!$L$7:$L1503,ROW()-1),1,0),
        3
      ),
    "Anniversary/365",
      DATEDIF(
        B825 + IF(INDEX(Input!$K$7:$K1503,ROW()-1),0,1),
        C825 + IF(INDEX(Input!$L$7:$L1503,ROW()-1),1,0),
        "Y"
      )
      +
      (
        (C825 + IF(INDEX(Input!$L$7:$L1503,ROW()-1),1,0))
        -
        EDATE(
          B825 + IF(INDEX(Input!$K$7:$K1503,ROW()-1),0,1),
          12*DATEDIF(
            B825 + IF(INDEX(Input!$K$7:$K1503,ROW()-1),0,1),
            C825 + IF(INDEX(Input!$L$7:$L1503,ROW()-1),1,0),
            "Y"
          )
        )
      ) / 365,
    "Actual/Actual",
      YEARFRAC(
        B825 + IF(INDEX(Input!$K$7:$K1503,ROW()-1),0,1),
        C825 + IF(INDEX(Input!$L$7:$L1503,ROW()-1),1,0),
        1
      ),
      YEARFRAC(
        B825 + IF(INDEX(Input!$K$7:$K1503,ROW()-1),0,1),
        C825 + IF(INDEX(Input!$L$7:$L1503,ROW()-1),1,0),
        3
      )
  )
)</f>
        <v/>
      </c>
      <c r="S825" s="22" t="str">
        <f t="shared" si="4"/>
        <v/>
      </c>
      <c r="T825" s="6" t="str">
        <f t="array" ref="T825">IF(
  B825="",
  ,
  DATEDIF(
    B825 + IF(INDEX(Input!$K$7:$K1503,ROW()-1),0,1),
    C825 + IF(INDEX(Input!$L$7:$L1503,ROW()-1),1,0),
    "Y"
  )
)</f>
        <v/>
      </c>
      <c r="U825" s="6" t="str">
        <f t="array" ref="U825">IF(
  B825="",
  ,
  (C825 + IF(INDEX(Input!$L$7:$L1503,ROW()-1),1,0))
  - EDATE(
      B825 + IF(INDEX(Input!$K$7:$K1503,ROW()-1),0,1),
      12*S825
    )
)</f>
        <v/>
      </c>
      <c r="V825" s="6" t="str">
        <f t="shared" si="5"/>
        <v/>
      </c>
      <c r="W825" s="6" t="str">
        <f t="shared" si="6"/>
        <v/>
      </c>
    </row>
    <row r="826">
      <c r="A826" s="18"/>
      <c r="B826" s="18"/>
      <c r="C826" s="18"/>
      <c r="D826" s="18"/>
      <c r="E826" s="18"/>
      <c r="F826" s="18"/>
      <c r="G826" s="22"/>
      <c r="H826" s="18"/>
      <c r="I826" s="18">
        <v>0.0</v>
      </c>
      <c r="J826" s="18">
        <v>0.0</v>
      </c>
      <c r="K826" s="18"/>
      <c r="L826" s="18"/>
      <c r="M826" s="22" t="str">
        <f t="shared" si="1"/>
        <v/>
      </c>
      <c r="N826" s="18" t="str">
        <f>IF(A826="",,IF(ROW()=2, Input!$C$2 + I826, P825 + I826))</f>
        <v/>
      </c>
      <c r="O826" s="23" t="str">
        <f>IF(A826="",,
 IF(K826="Initial principal",
   Input!$C$2 * M826,
   N826 * M826
 )
)</f>
        <v/>
      </c>
      <c r="P826" s="18" t="str">
        <f t="shared" si="2"/>
        <v/>
      </c>
      <c r="Q826" s="18" t="str">
        <f t="shared" si="3"/>
        <v/>
      </c>
      <c r="R826" s="18" t="str">
        <f t="array" ref="R826">IF(
  B826="",
  ,
  SWITCH(
    Input!$C$4,
    "Actual/365 Fixed",
      YEARFRAC(
        B826 + IF(INDEX(Input!$K$7:$K1503,ROW()-1),0,1),
        C826 + IF(INDEX(Input!$L$7:$L1503,ROW()-1),1,0),
        3
      ),
    "Anniversary/365",
      DATEDIF(
        B826 + IF(INDEX(Input!$K$7:$K1503,ROW()-1),0,1),
        C826 + IF(INDEX(Input!$L$7:$L1503,ROW()-1),1,0),
        "Y"
      )
      +
      (
        (C826 + IF(INDEX(Input!$L$7:$L1503,ROW()-1),1,0))
        -
        EDATE(
          B826 + IF(INDEX(Input!$K$7:$K1503,ROW()-1),0,1),
          12*DATEDIF(
            B826 + IF(INDEX(Input!$K$7:$K1503,ROW()-1),0,1),
            C826 + IF(INDEX(Input!$L$7:$L1503,ROW()-1),1,0),
            "Y"
          )
        )
      ) / 365,
    "Actual/Actual",
      YEARFRAC(
        B826 + IF(INDEX(Input!$K$7:$K1503,ROW()-1),0,1),
        C826 + IF(INDEX(Input!$L$7:$L1503,ROW()-1),1,0),
        1
      ),
      YEARFRAC(
        B826 + IF(INDEX(Input!$K$7:$K1503,ROW()-1),0,1),
        C826 + IF(INDEX(Input!$L$7:$L1503,ROW()-1),1,0),
        3
      )
  )
)</f>
        <v/>
      </c>
      <c r="S826" s="22" t="str">
        <f t="shared" si="4"/>
        <v/>
      </c>
      <c r="T826" s="6" t="str">
        <f t="array" ref="T826">IF(
  B826="",
  ,
  DATEDIF(
    B826 + IF(INDEX(Input!$K$7:$K1503,ROW()-1),0,1),
    C826 + IF(INDEX(Input!$L$7:$L1503,ROW()-1),1,0),
    "Y"
  )
)</f>
        <v/>
      </c>
      <c r="U826" s="6" t="str">
        <f t="array" ref="U826">IF(
  B826="",
  ,
  (C826 + IF(INDEX(Input!$L$7:$L1503,ROW()-1),1,0))
  - EDATE(
      B826 + IF(INDEX(Input!$K$7:$K1503,ROW()-1),0,1),
      12*S826
    )
)</f>
        <v/>
      </c>
      <c r="V826" s="6" t="str">
        <f t="shared" si="5"/>
        <v/>
      </c>
      <c r="W826" s="6" t="str">
        <f t="shared" si="6"/>
        <v/>
      </c>
    </row>
    <row r="827">
      <c r="A827" s="18"/>
      <c r="B827" s="18"/>
      <c r="C827" s="18"/>
      <c r="D827" s="18"/>
      <c r="E827" s="18"/>
      <c r="F827" s="18"/>
      <c r="G827" s="22"/>
      <c r="H827" s="18"/>
      <c r="I827" s="18">
        <v>0.0</v>
      </c>
      <c r="J827" s="18">
        <v>0.0</v>
      </c>
      <c r="K827" s="18"/>
      <c r="L827" s="18"/>
      <c r="M827" s="22" t="str">
        <f t="shared" si="1"/>
        <v/>
      </c>
      <c r="N827" s="18" t="str">
        <f>IF(A827="",,IF(ROW()=2, Input!$C$2 + I827, P826 + I827))</f>
        <v/>
      </c>
      <c r="O827" s="23" t="str">
        <f>IF(A827="",,
 IF(K827="Initial principal",
   Input!$C$2 * M827,
   N827 * M827
 )
)</f>
        <v/>
      </c>
      <c r="P827" s="18" t="str">
        <f t="shared" si="2"/>
        <v/>
      </c>
      <c r="Q827" s="18" t="str">
        <f t="shared" si="3"/>
        <v/>
      </c>
      <c r="R827" s="18" t="str">
        <f t="array" ref="R827">IF(
  B827="",
  ,
  SWITCH(
    Input!$C$4,
    "Actual/365 Fixed",
      YEARFRAC(
        B827 + IF(INDEX(Input!$K$7:$K1503,ROW()-1),0,1),
        C827 + IF(INDEX(Input!$L$7:$L1503,ROW()-1),1,0),
        3
      ),
    "Anniversary/365",
      DATEDIF(
        B827 + IF(INDEX(Input!$K$7:$K1503,ROW()-1),0,1),
        C827 + IF(INDEX(Input!$L$7:$L1503,ROW()-1),1,0),
        "Y"
      )
      +
      (
        (C827 + IF(INDEX(Input!$L$7:$L1503,ROW()-1),1,0))
        -
        EDATE(
          B827 + IF(INDEX(Input!$K$7:$K1503,ROW()-1),0,1),
          12*DATEDIF(
            B827 + IF(INDEX(Input!$K$7:$K1503,ROW()-1),0,1),
            C827 + IF(INDEX(Input!$L$7:$L1503,ROW()-1),1,0),
            "Y"
          )
        )
      ) / 365,
    "Actual/Actual",
      YEARFRAC(
        B827 + IF(INDEX(Input!$K$7:$K1503,ROW()-1),0,1),
        C827 + IF(INDEX(Input!$L$7:$L1503,ROW()-1),1,0),
        1
      ),
      YEARFRAC(
        B827 + IF(INDEX(Input!$K$7:$K1503,ROW()-1),0,1),
        C827 + IF(INDEX(Input!$L$7:$L1503,ROW()-1),1,0),
        3
      )
  )
)</f>
        <v/>
      </c>
      <c r="S827" s="22" t="str">
        <f t="shared" si="4"/>
        <v/>
      </c>
      <c r="T827" s="6" t="str">
        <f t="array" ref="T827">IF(
  B827="",
  ,
  DATEDIF(
    B827 + IF(INDEX(Input!$K$7:$K1503,ROW()-1),0,1),
    C827 + IF(INDEX(Input!$L$7:$L1503,ROW()-1),1,0),
    "Y"
  )
)</f>
        <v/>
      </c>
      <c r="U827" s="6" t="str">
        <f t="array" ref="U827">IF(
  B827="",
  ,
  (C827 + IF(INDEX(Input!$L$7:$L1503,ROW()-1),1,0))
  - EDATE(
      B827 + IF(INDEX(Input!$K$7:$K1503,ROW()-1),0,1),
      12*S827
    )
)</f>
        <v/>
      </c>
      <c r="V827" s="6" t="str">
        <f t="shared" si="5"/>
        <v/>
      </c>
      <c r="W827" s="6" t="str">
        <f t="shared" si="6"/>
        <v/>
      </c>
    </row>
    <row r="828">
      <c r="A828" s="18"/>
      <c r="B828" s="18"/>
      <c r="C828" s="18"/>
      <c r="D828" s="18"/>
      <c r="E828" s="18"/>
      <c r="F828" s="18"/>
      <c r="G828" s="22"/>
      <c r="H828" s="18"/>
      <c r="I828" s="18">
        <v>0.0</v>
      </c>
      <c r="J828" s="18">
        <v>0.0</v>
      </c>
      <c r="K828" s="18"/>
      <c r="L828" s="18"/>
      <c r="M828" s="22" t="str">
        <f t="shared" si="1"/>
        <v/>
      </c>
      <c r="N828" s="18" t="str">
        <f>IF(A828="",,IF(ROW()=2, Input!$C$2 + I828, P827 + I828))</f>
        <v/>
      </c>
      <c r="O828" s="23" t="str">
        <f>IF(A828="",,
 IF(K828="Initial principal",
   Input!$C$2 * M828,
   N828 * M828
 )
)</f>
        <v/>
      </c>
      <c r="P828" s="18" t="str">
        <f t="shared" si="2"/>
        <v/>
      </c>
      <c r="Q828" s="18" t="str">
        <f t="shared" si="3"/>
        <v/>
      </c>
      <c r="R828" s="18" t="str">
        <f t="array" ref="R828">IF(
  B828="",
  ,
  SWITCH(
    Input!$C$4,
    "Actual/365 Fixed",
      YEARFRAC(
        B828 + IF(INDEX(Input!$K$7:$K1503,ROW()-1),0,1),
        C828 + IF(INDEX(Input!$L$7:$L1503,ROW()-1),1,0),
        3
      ),
    "Anniversary/365",
      DATEDIF(
        B828 + IF(INDEX(Input!$K$7:$K1503,ROW()-1),0,1),
        C828 + IF(INDEX(Input!$L$7:$L1503,ROW()-1),1,0),
        "Y"
      )
      +
      (
        (C828 + IF(INDEX(Input!$L$7:$L1503,ROW()-1),1,0))
        -
        EDATE(
          B828 + IF(INDEX(Input!$K$7:$K1503,ROW()-1),0,1),
          12*DATEDIF(
            B828 + IF(INDEX(Input!$K$7:$K1503,ROW()-1),0,1),
            C828 + IF(INDEX(Input!$L$7:$L1503,ROW()-1),1,0),
            "Y"
          )
        )
      ) / 365,
    "Actual/Actual",
      YEARFRAC(
        B828 + IF(INDEX(Input!$K$7:$K1503,ROW()-1),0,1),
        C828 + IF(INDEX(Input!$L$7:$L1503,ROW()-1),1,0),
        1
      ),
      YEARFRAC(
        B828 + IF(INDEX(Input!$K$7:$K1503,ROW()-1),0,1),
        C828 + IF(INDEX(Input!$L$7:$L1503,ROW()-1),1,0),
        3
      )
  )
)</f>
        <v/>
      </c>
      <c r="S828" s="22" t="str">
        <f t="shared" si="4"/>
        <v/>
      </c>
      <c r="T828" s="6" t="str">
        <f t="array" ref="T828">IF(
  B828="",
  ,
  DATEDIF(
    B828 + IF(INDEX(Input!$K$7:$K1503,ROW()-1),0,1),
    C828 + IF(INDEX(Input!$L$7:$L1503,ROW()-1),1,0),
    "Y"
  )
)</f>
        <v/>
      </c>
      <c r="U828" s="6" t="str">
        <f t="array" ref="U828">IF(
  B828="",
  ,
  (C828 + IF(INDEX(Input!$L$7:$L1503,ROW()-1),1,0))
  - EDATE(
      B828 + IF(INDEX(Input!$K$7:$K1503,ROW()-1),0,1),
      12*S828
    )
)</f>
        <v/>
      </c>
      <c r="V828" s="6" t="str">
        <f t="shared" si="5"/>
        <v/>
      </c>
      <c r="W828" s="6" t="str">
        <f t="shared" si="6"/>
        <v/>
      </c>
    </row>
    <row r="829">
      <c r="A829" s="18"/>
      <c r="B829" s="18"/>
      <c r="C829" s="18"/>
      <c r="D829" s="18"/>
      <c r="E829" s="18"/>
      <c r="F829" s="18"/>
      <c r="G829" s="22"/>
      <c r="H829" s="18"/>
      <c r="I829" s="18">
        <v>0.0</v>
      </c>
      <c r="J829" s="18">
        <v>0.0</v>
      </c>
      <c r="K829" s="18"/>
      <c r="L829" s="18"/>
      <c r="M829" s="22" t="str">
        <f t="shared" si="1"/>
        <v/>
      </c>
      <c r="N829" s="18" t="str">
        <f>IF(A829="",,IF(ROW()=2, Input!$C$2 + I829, P828 + I829))</f>
        <v/>
      </c>
      <c r="O829" s="23" t="str">
        <f>IF(A829="",,
 IF(K829="Initial principal",
   Input!$C$2 * M829,
   N829 * M829
 )
)</f>
        <v/>
      </c>
      <c r="P829" s="18" t="str">
        <f t="shared" si="2"/>
        <v/>
      </c>
      <c r="Q829" s="18" t="str">
        <f t="shared" si="3"/>
        <v/>
      </c>
      <c r="R829" s="18" t="str">
        <f t="array" ref="R829">IF(
  B829="",
  ,
  SWITCH(
    Input!$C$4,
    "Actual/365 Fixed",
      YEARFRAC(
        B829 + IF(INDEX(Input!$K$7:$K1503,ROW()-1),0,1),
        C829 + IF(INDEX(Input!$L$7:$L1503,ROW()-1),1,0),
        3
      ),
    "Anniversary/365",
      DATEDIF(
        B829 + IF(INDEX(Input!$K$7:$K1503,ROW()-1),0,1),
        C829 + IF(INDEX(Input!$L$7:$L1503,ROW()-1),1,0),
        "Y"
      )
      +
      (
        (C829 + IF(INDEX(Input!$L$7:$L1503,ROW()-1),1,0))
        -
        EDATE(
          B829 + IF(INDEX(Input!$K$7:$K1503,ROW()-1),0,1),
          12*DATEDIF(
            B829 + IF(INDEX(Input!$K$7:$K1503,ROW()-1),0,1),
            C829 + IF(INDEX(Input!$L$7:$L1503,ROW()-1),1,0),
            "Y"
          )
        )
      ) / 365,
    "Actual/Actual",
      YEARFRAC(
        B829 + IF(INDEX(Input!$K$7:$K1503,ROW()-1),0,1),
        C829 + IF(INDEX(Input!$L$7:$L1503,ROW()-1),1,0),
        1
      ),
      YEARFRAC(
        B829 + IF(INDEX(Input!$K$7:$K1503,ROW()-1),0,1),
        C829 + IF(INDEX(Input!$L$7:$L1503,ROW()-1),1,0),
        3
      )
  )
)</f>
        <v/>
      </c>
      <c r="S829" s="22" t="str">
        <f t="shared" si="4"/>
        <v/>
      </c>
      <c r="T829" s="6" t="str">
        <f t="array" ref="T829">IF(
  B829="",
  ,
  DATEDIF(
    B829 + IF(INDEX(Input!$K$7:$K1503,ROW()-1),0,1),
    C829 + IF(INDEX(Input!$L$7:$L1503,ROW()-1),1,0),
    "Y"
  )
)</f>
        <v/>
      </c>
      <c r="U829" s="6" t="str">
        <f t="array" ref="U829">IF(
  B829="",
  ,
  (C829 + IF(INDEX(Input!$L$7:$L1503,ROW()-1),1,0))
  - EDATE(
      B829 + IF(INDEX(Input!$K$7:$K1503,ROW()-1),0,1),
      12*S829
    )
)</f>
        <v/>
      </c>
      <c r="V829" s="6" t="str">
        <f t="shared" si="5"/>
        <v/>
      </c>
      <c r="W829" s="6" t="str">
        <f t="shared" si="6"/>
        <v/>
      </c>
    </row>
    <row r="830">
      <c r="A830" s="18"/>
      <c r="B830" s="18"/>
      <c r="C830" s="18"/>
      <c r="D830" s="18"/>
      <c r="E830" s="18"/>
      <c r="F830" s="18"/>
      <c r="G830" s="22"/>
      <c r="H830" s="18"/>
      <c r="I830" s="18">
        <v>0.0</v>
      </c>
      <c r="J830" s="18">
        <v>0.0</v>
      </c>
      <c r="K830" s="18"/>
      <c r="L830" s="18"/>
      <c r="M830" s="22" t="str">
        <f t="shared" si="1"/>
        <v/>
      </c>
      <c r="N830" s="18" t="str">
        <f>IF(A830="",,IF(ROW()=2, Input!$C$2 + I830, P829 + I830))</f>
        <v/>
      </c>
      <c r="O830" s="23" t="str">
        <f>IF(A830="",,
 IF(K830="Initial principal",
   Input!$C$2 * M830,
   N830 * M830
 )
)</f>
        <v/>
      </c>
      <c r="P830" s="18" t="str">
        <f t="shared" si="2"/>
        <v/>
      </c>
      <c r="Q830" s="18" t="str">
        <f t="shared" si="3"/>
        <v/>
      </c>
      <c r="R830" s="18" t="str">
        <f t="array" ref="R830">IF(
  B830="",
  ,
  SWITCH(
    Input!$C$4,
    "Actual/365 Fixed",
      YEARFRAC(
        B830 + IF(INDEX(Input!$K$7:$K1503,ROW()-1),0,1),
        C830 + IF(INDEX(Input!$L$7:$L1503,ROW()-1),1,0),
        3
      ),
    "Anniversary/365",
      DATEDIF(
        B830 + IF(INDEX(Input!$K$7:$K1503,ROW()-1),0,1),
        C830 + IF(INDEX(Input!$L$7:$L1503,ROW()-1),1,0),
        "Y"
      )
      +
      (
        (C830 + IF(INDEX(Input!$L$7:$L1503,ROW()-1),1,0))
        -
        EDATE(
          B830 + IF(INDEX(Input!$K$7:$K1503,ROW()-1),0,1),
          12*DATEDIF(
            B830 + IF(INDEX(Input!$K$7:$K1503,ROW()-1),0,1),
            C830 + IF(INDEX(Input!$L$7:$L1503,ROW()-1),1,0),
            "Y"
          )
        )
      ) / 365,
    "Actual/Actual",
      YEARFRAC(
        B830 + IF(INDEX(Input!$K$7:$K1503,ROW()-1),0,1),
        C830 + IF(INDEX(Input!$L$7:$L1503,ROW()-1),1,0),
        1
      ),
      YEARFRAC(
        B830 + IF(INDEX(Input!$K$7:$K1503,ROW()-1),0,1),
        C830 + IF(INDEX(Input!$L$7:$L1503,ROW()-1),1,0),
        3
      )
  )
)</f>
        <v/>
      </c>
      <c r="S830" s="22" t="str">
        <f t="shared" si="4"/>
        <v/>
      </c>
      <c r="T830" s="6" t="str">
        <f t="array" ref="T830">IF(
  B830="",
  ,
  DATEDIF(
    B830 + IF(INDEX(Input!$K$7:$K1503,ROW()-1),0,1),
    C830 + IF(INDEX(Input!$L$7:$L1503,ROW()-1),1,0),
    "Y"
  )
)</f>
        <v/>
      </c>
      <c r="U830" s="6" t="str">
        <f t="array" ref="U830">IF(
  B830="",
  ,
  (C830 + IF(INDEX(Input!$L$7:$L1503,ROW()-1),1,0))
  - EDATE(
      B830 + IF(INDEX(Input!$K$7:$K1503,ROW()-1),0,1),
      12*S830
    )
)</f>
        <v/>
      </c>
      <c r="V830" s="6" t="str">
        <f t="shared" si="5"/>
        <v/>
      </c>
      <c r="W830" s="6" t="str">
        <f t="shared" si="6"/>
        <v/>
      </c>
    </row>
    <row r="831">
      <c r="A831" s="18"/>
      <c r="B831" s="18"/>
      <c r="C831" s="18"/>
      <c r="D831" s="18"/>
      <c r="E831" s="18"/>
      <c r="F831" s="18"/>
      <c r="G831" s="22"/>
      <c r="H831" s="18"/>
      <c r="I831" s="18">
        <v>0.0</v>
      </c>
      <c r="J831" s="18">
        <v>0.0</v>
      </c>
      <c r="K831" s="18"/>
      <c r="L831" s="18"/>
      <c r="M831" s="22" t="str">
        <f t="shared" si="1"/>
        <v/>
      </c>
      <c r="N831" s="18" t="str">
        <f>IF(A831="",,IF(ROW()=2, Input!$C$2 + I831, P830 + I831))</f>
        <v/>
      </c>
      <c r="O831" s="23" t="str">
        <f>IF(A831="",,
 IF(K831="Initial principal",
   Input!$C$2 * M831,
   N831 * M831
 )
)</f>
        <v/>
      </c>
      <c r="P831" s="18" t="str">
        <f t="shared" si="2"/>
        <v/>
      </c>
      <c r="Q831" s="18" t="str">
        <f t="shared" si="3"/>
        <v/>
      </c>
      <c r="R831" s="18" t="str">
        <f t="array" ref="R831">IF(
  B831="",
  ,
  SWITCH(
    Input!$C$4,
    "Actual/365 Fixed",
      YEARFRAC(
        B831 + IF(INDEX(Input!$K$7:$K1503,ROW()-1),0,1),
        C831 + IF(INDEX(Input!$L$7:$L1503,ROW()-1),1,0),
        3
      ),
    "Anniversary/365",
      DATEDIF(
        B831 + IF(INDEX(Input!$K$7:$K1503,ROW()-1),0,1),
        C831 + IF(INDEX(Input!$L$7:$L1503,ROW()-1),1,0),
        "Y"
      )
      +
      (
        (C831 + IF(INDEX(Input!$L$7:$L1503,ROW()-1),1,0))
        -
        EDATE(
          B831 + IF(INDEX(Input!$K$7:$K1503,ROW()-1),0,1),
          12*DATEDIF(
            B831 + IF(INDEX(Input!$K$7:$K1503,ROW()-1),0,1),
            C831 + IF(INDEX(Input!$L$7:$L1503,ROW()-1),1,0),
            "Y"
          )
        )
      ) / 365,
    "Actual/Actual",
      YEARFRAC(
        B831 + IF(INDEX(Input!$K$7:$K1503,ROW()-1),0,1),
        C831 + IF(INDEX(Input!$L$7:$L1503,ROW()-1),1,0),
        1
      ),
      YEARFRAC(
        B831 + IF(INDEX(Input!$K$7:$K1503,ROW()-1),0,1),
        C831 + IF(INDEX(Input!$L$7:$L1503,ROW()-1),1,0),
        3
      )
  )
)</f>
        <v/>
      </c>
      <c r="S831" s="22" t="str">
        <f t="shared" si="4"/>
        <v/>
      </c>
      <c r="T831" s="6" t="str">
        <f t="array" ref="T831">IF(
  B831="",
  ,
  DATEDIF(
    B831 + IF(INDEX(Input!$K$7:$K1503,ROW()-1),0,1),
    C831 + IF(INDEX(Input!$L$7:$L1503,ROW()-1),1,0),
    "Y"
  )
)</f>
        <v/>
      </c>
      <c r="U831" s="6" t="str">
        <f t="array" ref="U831">IF(
  B831="",
  ,
  (C831 + IF(INDEX(Input!$L$7:$L1503,ROW()-1),1,0))
  - EDATE(
      B831 + IF(INDEX(Input!$K$7:$K1503,ROW()-1),0,1),
      12*S831
    )
)</f>
        <v/>
      </c>
      <c r="V831" s="6" t="str">
        <f t="shared" si="5"/>
        <v/>
      </c>
      <c r="W831" s="6" t="str">
        <f t="shared" si="6"/>
        <v/>
      </c>
    </row>
    <row r="832">
      <c r="A832" s="18"/>
      <c r="B832" s="18"/>
      <c r="C832" s="18"/>
      <c r="D832" s="18"/>
      <c r="E832" s="18"/>
      <c r="F832" s="18"/>
      <c r="G832" s="22"/>
      <c r="H832" s="18"/>
      <c r="I832" s="18">
        <v>0.0</v>
      </c>
      <c r="J832" s="18">
        <v>0.0</v>
      </c>
      <c r="K832" s="18"/>
      <c r="L832" s="18"/>
      <c r="M832" s="22" t="str">
        <f t="shared" si="1"/>
        <v/>
      </c>
      <c r="N832" s="18" t="str">
        <f>IF(A832="",,IF(ROW()=2, Input!$C$2 + I832, P831 + I832))</f>
        <v/>
      </c>
      <c r="O832" s="23" t="str">
        <f>IF(A832="",,
 IF(K832="Initial principal",
   Input!$C$2 * M832,
   N832 * M832
 )
)</f>
        <v/>
      </c>
      <c r="P832" s="18" t="str">
        <f t="shared" si="2"/>
        <v/>
      </c>
      <c r="Q832" s="18" t="str">
        <f t="shared" si="3"/>
        <v/>
      </c>
      <c r="R832" s="18" t="str">
        <f t="array" ref="R832">IF(
  B832="",
  ,
  SWITCH(
    Input!$C$4,
    "Actual/365 Fixed",
      YEARFRAC(
        B832 + IF(INDEX(Input!$K$7:$K1503,ROW()-1),0,1),
        C832 + IF(INDEX(Input!$L$7:$L1503,ROW()-1),1,0),
        3
      ),
    "Anniversary/365",
      DATEDIF(
        B832 + IF(INDEX(Input!$K$7:$K1503,ROW()-1),0,1),
        C832 + IF(INDEX(Input!$L$7:$L1503,ROW()-1),1,0),
        "Y"
      )
      +
      (
        (C832 + IF(INDEX(Input!$L$7:$L1503,ROW()-1),1,0))
        -
        EDATE(
          B832 + IF(INDEX(Input!$K$7:$K1503,ROW()-1),0,1),
          12*DATEDIF(
            B832 + IF(INDEX(Input!$K$7:$K1503,ROW()-1),0,1),
            C832 + IF(INDEX(Input!$L$7:$L1503,ROW()-1),1,0),
            "Y"
          )
        )
      ) / 365,
    "Actual/Actual",
      YEARFRAC(
        B832 + IF(INDEX(Input!$K$7:$K1503,ROW()-1),0,1),
        C832 + IF(INDEX(Input!$L$7:$L1503,ROW()-1),1,0),
        1
      ),
      YEARFRAC(
        B832 + IF(INDEX(Input!$K$7:$K1503,ROW()-1),0,1),
        C832 + IF(INDEX(Input!$L$7:$L1503,ROW()-1),1,0),
        3
      )
  )
)</f>
        <v/>
      </c>
      <c r="S832" s="22" t="str">
        <f t="shared" si="4"/>
        <v/>
      </c>
      <c r="T832" s="6" t="str">
        <f t="array" ref="T832">IF(
  B832="",
  ,
  DATEDIF(
    B832 + IF(INDEX(Input!$K$7:$K1503,ROW()-1),0,1),
    C832 + IF(INDEX(Input!$L$7:$L1503,ROW()-1),1,0),
    "Y"
  )
)</f>
        <v/>
      </c>
      <c r="U832" s="6" t="str">
        <f t="array" ref="U832">IF(
  B832="",
  ,
  (C832 + IF(INDEX(Input!$L$7:$L1503,ROW()-1),1,0))
  - EDATE(
      B832 + IF(INDEX(Input!$K$7:$K1503,ROW()-1),0,1),
      12*S832
    )
)</f>
        <v/>
      </c>
      <c r="V832" s="6" t="str">
        <f t="shared" si="5"/>
        <v/>
      </c>
      <c r="W832" s="6" t="str">
        <f t="shared" si="6"/>
        <v/>
      </c>
    </row>
    <row r="833">
      <c r="A833" s="18"/>
      <c r="B833" s="18"/>
      <c r="C833" s="18"/>
      <c r="D833" s="18"/>
      <c r="E833" s="18"/>
      <c r="F833" s="18"/>
      <c r="G833" s="22"/>
      <c r="H833" s="18"/>
      <c r="I833" s="18">
        <v>0.0</v>
      </c>
      <c r="J833" s="18">
        <v>0.0</v>
      </c>
      <c r="K833" s="18"/>
      <c r="L833" s="18"/>
      <c r="M833" s="22" t="str">
        <f t="shared" si="1"/>
        <v/>
      </c>
      <c r="N833" s="18" t="str">
        <f>IF(A833="",,IF(ROW()=2, Input!$C$2 + I833, P832 + I833))</f>
        <v/>
      </c>
      <c r="O833" s="23" t="str">
        <f>IF(A833="",,
 IF(K833="Initial principal",
   Input!$C$2 * M833,
   N833 * M833
 )
)</f>
        <v/>
      </c>
      <c r="P833" s="18" t="str">
        <f t="shared" si="2"/>
        <v/>
      </c>
      <c r="Q833" s="18" t="str">
        <f t="shared" si="3"/>
        <v/>
      </c>
      <c r="R833" s="18" t="str">
        <f t="array" ref="R833">IF(
  B833="",
  ,
  SWITCH(
    Input!$C$4,
    "Actual/365 Fixed",
      YEARFRAC(
        B833 + IF(INDEX(Input!$K$7:$K1503,ROW()-1),0,1),
        C833 + IF(INDEX(Input!$L$7:$L1503,ROW()-1),1,0),
        3
      ),
    "Anniversary/365",
      DATEDIF(
        B833 + IF(INDEX(Input!$K$7:$K1503,ROW()-1),0,1),
        C833 + IF(INDEX(Input!$L$7:$L1503,ROW()-1),1,0),
        "Y"
      )
      +
      (
        (C833 + IF(INDEX(Input!$L$7:$L1503,ROW()-1),1,0))
        -
        EDATE(
          B833 + IF(INDEX(Input!$K$7:$K1503,ROW()-1),0,1),
          12*DATEDIF(
            B833 + IF(INDEX(Input!$K$7:$K1503,ROW()-1),0,1),
            C833 + IF(INDEX(Input!$L$7:$L1503,ROW()-1),1,0),
            "Y"
          )
        )
      ) / 365,
    "Actual/Actual",
      YEARFRAC(
        B833 + IF(INDEX(Input!$K$7:$K1503,ROW()-1),0,1),
        C833 + IF(INDEX(Input!$L$7:$L1503,ROW()-1),1,0),
        1
      ),
      YEARFRAC(
        B833 + IF(INDEX(Input!$K$7:$K1503,ROW()-1),0,1),
        C833 + IF(INDEX(Input!$L$7:$L1503,ROW()-1),1,0),
        3
      )
  )
)</f>
        <v/>
      </c>
      <c r="S833" s="22" t="str">
        <f t="shared" si="4"/>
        <v/>
      </c>
      <c r="T833" s="6" t="str">
        <f t="array" ref="T833">IF(
  B833="",
  ,
  DATEDIF(
    B833 + IF(INDEX(Input!$K$7:$K1503,ROW()-1),0,1),
    C833 + IF(INDEX(Input!$L$7:$L1503,ROW()-1),1,0),
    "Y"
  )
)</f>
        <v/>
      </c>
      <c r="U833" s="6" t="str">
        <f t="array" ref="U833">IF(
  B833="",
  ,
  (C833 + IF(INDEX(Input!$L$7:$L1503,ROW()-1),1,0))
  - EDATE(
      B833 + IF(INDEX(Input!$K$7:$K1503,ROW()-1),0,1),
      12*S833
    )
)</f>
        <v/>
      </c>
      <c r="V833" s="6" t="str">
        <f t="shared" si="5"/>
        <v/>
      </c>
      <c r="W833" s="6" t="str">
        <f t="shared" si="6"/>
        <v/>
      </c>
    </row>
    <row r="834">
      <c r="A834" s="18"/>
      <c r="B834" s="18"/>
      <c r="C834" s="18"/>
      <c r="D834" s="18"/>
      <c r="E834" s="18"/>
      <c r="F834" s="18"/>
      <c r="G834" s="22"/>
      <c r="H834" s="18"/>
      <c r="I834" s="18">
        <v>0.0</v>
      </c>
      <c r="J834" s="18">
        <v>0.0</v>
      </c>
      <c r="K834" s="18"/>
      <c r="L834" s="18"/>
      <c r="M834" s="22" t="str">
        <f t="shared" si="1"/>
        <v/>
      </c>
      <c r="N834" s="18" t="str">
        <f>IF(A834="",,IF(ROW()=2, Input!$C$2 + I834, P833 + I834))</f>
        <v/>
      </c>
      <c r="O834" s="23" t="str">
        <f>IF(A834="",,
 IF(K834="Initial principal",
   Input!$C$2 * M834,
   N834 * M834
 )
)</f>
        <v/>
      </c>
      <c r="P834" s="18" t="str">
        <f t="shared" si="2"/>
        <v/>
      </c>
      <c r="Q834" s="18" t="str">
        <f t="shared" si="3"/>
        <v/>
      </c>
      <c r="R834" s="18" t="str">
        <f t="array" ref="R834">IF(
  B834="",
  ,
  SWITCH(
    Input!$C$4,
    "Actual/365 Fixed",
      YEARFRAC(
        B834 + IF(INDEX(Input!$K$7:$K1503,ROW()-1),0,1),
        C834 + IF(INDEX(Input!$L$7:$L1503,ROW()-1),1,0),
        3
      ),
    "Anniversary/365",
      DATEDIF(
        B834 + IF(INDEX(Input!$K$7:$K1503,ROW()-1),0,1),
        C834 + IF(INDEX(Input!$L$7:$L1503,ROW()-1),1,0),
        "Y"
      )
      +
      (
        (C834 + IF(INDEX(Input!$L$7:$L1503,ROW()-1),1,0))
        -
        EDATE(
          B834 + IF(INDEX(Input!$K$7:$K1503,ROW()-1),0,1),
          12*DATEDIF(
            B834 + IF(INDEX(Input!$K$7:$K1503,ROW()-1),0,1),
            C834 + IF(INDEX(Input!$L$7:$L1503,ROW()-1),1,0),
            "Y"
          )
        )
      ) / 365,
    "Actual/Actual",
      YEARFRAC(
        B834 + IF(INDEX(Input!$K$7:$K1503,ROW()-1),0,1),
        C834 + IF(INDEX(Input!$L$7:$L1503,ROW()-1),1,0),
        1
      ),
      YEARFRAC(
        B834 + IF(INDEX(Input!$K$7:$K1503,ROW()-1),0,1),
        C834 + IF(INDEX(Input!$L$7:$L1503,ROW()-1),1,0),
        3
      )
  )
)</f>
        <v/>
      </c>
      <c r="S834" s="22" t="str">
        <f t="shared" si="4"/>
        <v/>
      </c>
      <c r="T834" s="6" t="str">
        <f t="array" ref="T834">IF(
  B834="",
  ,
  DATEDIF(
    B834 + IF(INDEX(Input!$K$7:$K1503,ROW()-1),0,1),
    C834 + IF(INDEX(Input!$L$7:$L1503,ROW()-1),1,0),
    "Y"
  )
)</f>
        <v/>
      </c>
      <c r="U834" s="6" t="str">
        <f t="array" ref="U834">IF(
  B834="",
  ,
  (C834 + IF(INDEX(Input!$L$7:$L1503,ROW()-1),1,0))
  - EDATE(
      B834 + IF(INDEX(Input!$K$7:$K1503,ROW()-1),0,1),
      12*S834
    )
)</f>
        <v/>
      </c>
      <c r="V834" s="6" t="str">
        <f t="shared" si="5"/>
        <v/>
      </c>
      <c r="W834" s="6" t="str">
        <f t="shared" si="6"/>
        <v/>
      </c>
    </row>
    <row r="835">
      <c r="A835" s="18"/>
      <c r="B835" s="18"/>
      <c r="C835" s="18"/>
      <c r="D835" s="18"/>
      <c r="E835" s="18"/>
      <c r="F835" s="18"/>
      <c r="G835" s="22"/>
      <c r="H835" s="18"/>
      <c r="I835" s="18">
        <v>0.0</v>
      </c>
      <c r="J835" s="18">
        <v>0.0</v>
      </c>
      <c r="K835" s="18"/>
      <c r="L835" s="18"/>
      <c r="M835" s="22" t="str">
        <f t="shared" si="1"/>
        <v/>
      </c>
      <c r="N835" s="18" t="str">
        <f>IF(A835="",,IF(ROW()=2, Input!$C$2 + I835, P834 + I835))</f>
        <v/>
      </c>
      <c r="O835" s="23" t="str">
        <f>IF(A835="",,
 IF(K835="Initial principal",
   Input!$C$2 * M835,
   N835 * M835
 )
)</f>
        <v/>
      </c>
      <c r="P835" s="18" t="str">
        <f t="shared" si="2"/>
        <v/>
      </c>
      <c r="Q835" s="18" t="str">
        <f t="shared" si="3"/>
        <v/>
      </c>
      <c r="R835" s="18" t="str">
        <f t="array" ref="R835">IF(
  B835="",
  ,
  SWITCH(
    Input!$C$4,
    "Actual/365 Fixed",
      YEARFRAC(
        B835 + IF(INDEX(Input!$K$7:$K1503,ROW()-1),0,1),
        C835 + IF(INDEX(Input!$L$7:$L1503,ROW()-1),1,0),
        3
      ),
    "Anniversary/365",
      DATEDIF(
        B835 + IF(INDEX(Input!$K$7:$K1503,ROW()-1),0,1),
        C835 + IF(INDEX(Input!$L$7:$L1503,ROW()-1),1,0),
        "Y"
      )
      +
      (
        (C835 + IF(INDEX(Input!$L$7:$L1503,ROW()-1),1,0))
        -
        EDATE(
          B835 + IF(INDEX(Input!$K$7:$K1503,ROW()-1),0,1),
          12*DATEDIF(
            B835 + IF(INDEX(Input!$K$7:$K1503,ROW()-1),0,1),
            C835 + IF(INDEX(Input!$L$7:$L1503,ROW()-1),1,0),
            "Y"
          )
        )
      ) / 365,
    "Actual/Actual",
      YEARFRAC(
        B835 + IF(INDEX(Input!$K$7:$K1503,ROW()-1),0,1),
        C835 + IF(INDEX(Input!$L$7:$L1503,ROW()-1),1,0),
        1
      ),
      YEARFRAC(
        B835 + IF(INDEX(Input!$K$7:$K1503,ROW()-1),0,1),
        C835 + IF(INDEX(Input!$L$7:$L1503,ROW()-1),1,0),
        3
      )
  )
)</f>
        <v/>
      </c>
      <c r="S835" s="22" t="str">
        <f t="shared" si="4"/>
        <v/>
      </c>
      <c r="T835" s="6" t="str">
        <f t="array" ref="T835">IF(
  B835="",
  ,
  DATEDIF(
    B835 + IF(INDEX(Input!$K$7:$K1503,ROW()-1),0,1),
    C835 + IF(INDEX(Input!$L$7:$L1503,ROW()-1),1,0),
    "Y"
  )
)</f>
        <v/>
      </c>
      <c r="U835" s="6" t="str">
        <f t="array" ref="U835">IF(
  B835="",
  ,
  (C835 + IF(INDEX(Input!$L$7:$L1503,ROW()-1),1,0))
  - EDATE(
      B835 + IF(INDEX(Input!$K$7:$K1503,ROW()-1),0,1),
      12*S835
    )
)</f>
        <v/>
      </c>
      <c r="V835" s="6" t="str">
        <f t="shared" si="5"/>
        <v/>
      </c>
      <c r="W835" s="6" t="str">
        <f t="shared" si="6"/>
        <v/>
      </c>
    </row>
    <row r="836">
      <c r="A836" s="18"/>
      <c r="B836" s="18"/>
      <c r="C836" s="18"/>
      <c r="D836" s="18"/>
      <c r="E836" s="18"/>
      <c r="F836" s="18"/>
      <c r="G836" s="22"/>
      <c r="H836" s="18"/>
      <c r="I836" s="18">
        <v>0.0</v>
      </c>
      <c r="J836" s="18">
        <v>0.0</v>
      </c>
      <c r="K836" s="18"/>
      <c r="L836" s="18"/>
      <c r="M836" s="22" t="str">
        <f t="shared" si="1"/>
        <v/>
      </c>
      <c r="N836" s="18" t="str">
        <f>IF(A836="",,IF(ROW()=2, Input!$C$2 + I836, P835 + I836))</f>
        <v/>
      </c>
      <c r="O836" s="23" t="str">
        <f>IF(A836="",,
 IF(K836="Initial principal",
   Input!$C$2 * M836,
   N836 * M836
 )
)</f>
        <v/>
      </c>
      <c r="P836" s="18" t="str">
        <f t="shared" si="2"/>
        <v/>
      </c>
      <c r="Q836" s="18" t="str">
        <f t="shared" si="3"/>
        <v/>
      </c>
      <c r="R836" s="18" t="str">
        <f t="array" ref="R836">IF(
  B836="",
  ,
  SWITCH(
    Input!$C$4,
    "Actual/365 Fixed",
      YEARFRAC(
        B836 + IF(INDEX(Input!$K$7:$K1503,ROW()-1),0,1),
        C836 + IF(INDEX(Input!$L$7:$L1503,ROW()-1),1,0),
        3
      ),
    "Anniversary/365",
      DATEDIF(
        B836 + IF(INDEX(Input!$K$7:$K1503,ROW()-1),0,1),
        C836 + IF(INDEX(Input!$L$7:$L1503,ROW()-1),1,0),
        "Y"
      )
      +
      (
        (C836 + IF(INDEX(Input!$L$7:$L1503,ROW()-1),1,0))
        -
        EDATE(
          B836 + IF(INDEX(Input!$K$7:$K1503,ROW()-1),0,1),
          12*DATEDIF(
            B836 + IF(INDEX(Input!$K$7:$K1503,ROW()-1),0,1),
            C836 + IF(INDEX(Input!$L$7:$L1503,ROW()-1),1,0),
            "Y"
          )
        )
      ) / 365,
    "Actual/Actual",
      YEARFRAC(
        B836 + IF(INDEX(Input!$K$7:$K1503,ROW()-1),0,1),
        C836 + IF(INDEX(Input!$L$7:$L1503,ROW()-1),1,0),
        1
      ),
      YEARFRAC(
        B836 + IF(INDEX(Input!$K$7:$K1503,ROW()-1),0,1),
        C836 + IF(INDEX(Input!$L$7:$L1503,ROW()-1),1,0),
        3
      )
  )
)</f>
        <v/>
      </c>
      <c r="S836" s="22" t="str">
        <f t="shared" si="4"/>
        <v/>
      </c>
      <c r="T836" s="6" t="str">
        <f t="array" ref="T836">IF(
  B836="",
  ,
  DATEDIF(
    B836 + IF(INDEX(Input!$K$7:$K1503,ROW()-1),0,1),
    C836 + IF(INDEX(Input!$L$7:$L1503,ROW()-1),1,0),
    "Y"
  )
)</f>
        <v/>
      </c>
      <c r="U836" s="6" t="str">
        <f t="array" ref="U836">IF(
  B836="",
  ,
  (C836 + IF(INDEX(Input!$L$7:$L1503,ROW()-1),1,0))
  - EDATE(
      B836 + IF(INDEX(Input!$K$7:$K1503,ROW()-1),0,1),
      12*S836
    )
)</f>
        <v/>
      </c>
      <c r="V836" s="6" t="str">
        <f t="shared" si="5"/>
        <v/>
      </c>
      <c r="W836" s="6" t="str">
        <f t="shared" si="6"/>
        <v/>
      </c>
    </row>
    <row r="837">
      <c r="A837" s="18"/>
      <c r="B837" s="18"/>
      <c r="C837" s="18"/>
      <c r="D837" s="18"/>
      <c r="E837" s="18"/>
      <c r="F837" s="18"/>
      <c r="G837" s="22"/>
      <c r="H837" s="18"/>
      <c r="I837" s="18">
        <v>0.0</v>
      </c>
      <c r="J837" s="18">
        <v>0.0</v>
      </c>
      <c r="K837" s="18"/>
      <c r="L837" s="18"/>
      <c r="M837" s="22" t="str">
        <f t="shared" si="1"/>
        <v/>
      </c>
      <c r="N837" s="18" t="str">
        <f>IF(A837="",,IF(ROW()=2, Input!$C$2 + I837, P836 + I837))</f>
        <v/>
      </c>
      <c r="O837" s="23" t="str">
        <f>IF(A837="",,
 IF(K837="Initial principal",
   Input!$C$2 * M837,
   N837 * M837
 )
)</f>
        <v/>
      </c>
      <c r="P837" s="18" t="str">
        <f t="shared" si="2"/>
        <v/>
      </c>
      <c r="Q837" s="18" t="str">
        <f t="shared" si="3"/>
        <v/>
      </c>
      <c r="R837" s="18" t="str">
        <f t="array" ref="R837">IF(
  B837="",
  ,
  SWITCH(
    Input!$C$4,
    "Actual/365 Fixed",
      YEARFRAC(
        B837 + IF(INDEX(Input!$K$7:$K1503,ROW()-1),0,1),
        C837 + IF(INDEX(Input!$L$7:$L1503,ROW()-1),1,0),
        3
      ),
    "Anniversary/365",
      DATEDIF(
        B837 + IF(INDEX(Input!$K$7:$K1503,ROW()-1),0,1),
        C837 + IF(INDEX(Input!$L$7:$L1503,ROW()-1),1,0),
        "Y"
      )
      +
      (
        (C837 + IF(INDEX(Input!$L$7:$L1503,ROW()-1),1,0))
        -
        EDATE(
          B837 + IF(INDEX(Input!$K$7:$K1503,ROW()-1),0,1),
          12*DATEDIF(
            B837 + IF(INDEX(Input!$K$7:$K1503,ROW()-1),0,1),
            C837 + IF(INDEX(Input!$L$7:$L1503,ROW()-1),1,0),
            "Y"
          )
        )
      ) / 365,
    "Actual/Actual",
      YEARFRAC(
        B837 + IF(INDEX(Input!$K$7:$K1503,ROW()-1),0,1),
        C837 + IF(INDEX(Input!$L$7:$L1503,ROW()-1),1,0),
        1
      ),
      YEARFRAC(
        B837 + IF(INDEX(Input!$K$7:$K1503,ROW()-1),0,1),
        C837 + IF(INDEX(Input!$L$7:$L1503,ROW()-1),1,0),
        3
      )
  )
)</f>
        <v/>
      </c>
      <c r="S837" s="22" t="str">
        <f t="shared" si="4"/>
        <v/>
      </c>
      <c r="T837" s="6" t="str">
        <f t="array" ref="T837">IF(
  B837="",
  ,
  DATEDIF(
    B837 + IF(INDEX(Input!$K$7:$K1503,ROW()-1),0,1),
    C837 + IF(INDEX(Input!$L$7:$L1503,ROW()-1),1,0),
    "Y"
  )
)</f>
        <v/>
      </c>
      <c r="U837" s="6" t="str">
        <f t="array" ref="U837">IF(
  B837="",
  ,
  (C837 + IF(INDEX(Input!$L$7:$L1503,ROW()-1),1,0))
  - EDATE(
      B837 + IF(INDEX(Input!$K$7:$K1503,ROW()-1),0,1),
      12*S837
    )
)</f>
        <v/>
      </c>
      <c r="V837" s="6" t="str">
        <f t="shared" si="5"/>
        <v/>
      </c>
      <c r="W837" s="6" t="str">
        <f t="shared" si="6"/>
        <v/>
      </c>
    </row>
    <row r="838">
      <c r="A838" s="18"/>
      <c r="B838" s="18"/>
      <c r="C838" s="18"/>
      <c r="D838" s="18"/>
      <c r="E838" s="18"/>
      <c r="F838" s="18"/>
      <c r="G838" s="22"/>
      <c r="H838" s="18"/>
      <c r="I838" s="18">
        <v>0.0</v>
      </c>
      <c r="J838" s="18">
        <v>0.0</v>
      </c>
      <c r="K838" s="18"/>
      <c r="L838" s="18"/>
      <c r="M838" s="22" t="str">
        <f t="shared" si="1"/>
        <v/>
      </c>
      <c r="N838" s="18" t="str">
        <f>IF(A838="",,IF(ROW()=2, Input!$C$2 + I838, P837 + I838))</f>
        <v/>
      </c>
      <c r="O838" s="23" t="str">
        <f>IF(A838="",,
 IF(K838="Initial principal",
   Input!$C$2 * M838,
   N838 * M838
 )
)</f>
        <v/>
      </c>
      <c r="P838" s="18" t="str">
        <f t="shared" si="2"/>
        <v/>
      </c>
      <c r="Q838" s="18" t="str">
        <f t="shared" si="3"/>
        <v/>
      </c>
      <c r="R838" s="18" t="str">
        <f t="array" ref="R838">IF(
  B838="",
  ,
  SWITCH(
    Input!$C$4,
    "Actual/365 Fixed",
      YEARFRAC(
        B838 + IF(INDEX(Input!$K$7:$K1503,ROW()-1),0,1),
        C838 + IF(INDEX(Input!$L$7:$L1503,ROW()-1),1,0),
        3
      ),
    "Anniversary/365",
      DATEDIF(
        B838 + IF(INDEX(Input!$K$7:$K1503,ROW()-1),0,1),
        C838 + IF(INDEX(Input!$L$7:$L1503,ROW()-1),1,0),
        "Y"
      )
      +
      (
        (C838 + IF(INDEX(Input!$L$7:$L1503,ROW()-1),1,0))
        -
        EDATE(
          B838 + IF(INDEX(Input!$K$7:$K1503,ROW()-1),0,1),
          12*DATEDIF(
            B838 + IF(INDEX(Input!$K$7:$K1503,ROW()-1),0,1),
            C838 + IF(INDEX(Input!$L$7:$L1503,ROW()-1),1,0),
            "Y"
          )
        )
      ) / 365,
    "Actual/Actual",
      YEARFRAC(
        B838 + IF(INDEX(Input!$K$7:$K1503,ROW()-1),0,1),
        C838 + IF(INDEX(Input!$L$7:$L1503,ROW()-1),1,0),
        1
      ),
      YEARFRAC(
        B838 + IF(INDEX(Input!$K$7:$K1503,ROW()-1),0,1),
        C838 + IF(INDEX(Input!$L$7:$L1503,ROW()-1),1,0),
        3
      )
  )
)</f>
        <v/>
      </c>
      <c r="S838" s="22" t="str">
        <f t="shared" si="4"/>
        <v/>
      </c>
      <c r="T838" s="6" t="str">
        <f t="array" ref="T838">IF(
  B838="",
  ,
  DATEDIF(
    B838 + IF(INDEX(Input!$K$7:$K1503,ROW()-1),0,1),
    C838 + IF(INDEX(Input!$L$7:$L1503,ROW()-1),1,0),
    "Y"
  )
)</f>
        <v/>
      </c>
      <c r="U838" s="6" t="str">
        <f t="array" ref="U838">IF(
  B838="",
  ,
  (C838 + IF(INDEX(Input!$L$7:$L1503,ROW()-1),1,0))
  - EDATE(
      B838 + IF(INDEX(Input!$K$7:$K1503,ROW()-1),0,1),
      12*S838
    )
)</f>
        <v/>
      </c>
      <c r="V838" s="6" t="str">
        <f t="shared" si="5"/>
        <v/>
      </c>
      <c r="W838" s="6" t="str">
        <f t="shared" si="6"/>
        <v/>
      </c>
    </row>
    <row r="839">
      <c r="A839" s="18"/>
      <c r="B839" s="18"/>
      <c r="C839" s="18"/>
      <c r="D839" s="18"/>
      <c r="E839" s="18"/>
      <c r="F839" s="18"/>
      <c r="G839" s="22"/>
      <c r="H839" s="18"/>
      <c r="I839" s="18">
        <v>0.0</v>
      </c>
      <c r="J839" s="18">
        <v>0.0</v>
      </c>
      <c r="K839" s="18"/>
      <c r="L839" s="18"/>
      <c r="M839" s="22" t="str">
        <f t="shared" si="1"/>
        <v/>
      </c>
      <c r="N839" s="18" t="str">
        <f>IF(A839="",,IF(ROW()=2, Input!$C$2 + I839, P838 + I839))</f>
        <v/>
      </c>
      <c r="O839" s="23" t="str">
        <f>IF(A839="",,
 IF(K839="Initial principal",
   Input!$C$2 * M839,
   N839 * M839
 )
)</f>
        <v/>
      </c>
      <c r="P839" s="18" t="str">
        <f t="shared" si="2"/>
        <v/>
      </c>
      <c r="Q839" s="18" t="str">
        <f t="shared" si="3"/>
        <v/>
      </c>
      <c r="R839" s="18" t="str">
        <f t="array" ref="R839">IF(
  B839="",
  ,
  SWITCH(
    Input!$C$4,
    "Actual/365 Fixed",
      YEARFRAC(
        B839 + IF(INDEX(Input!$K$7:$K1503,ROW()-1),0,1),
        C839 + IF(INDEX(Input!$L$7:$L1503,ROW()-1),1,0),
        3
      ),
    "Anniversary/365",
      DATEDIF(
        B839 + IF(INDEX(Input!$K$7:$K1503,ROW()-1),0,1),
        C839 + IF(INDEX(Input!$L$7:$L1503,ROW()-1),1,0),
        "Y"
      )
      +
      (
        (C839 + IF(INDEX(Input!$L$7:$L1503,ROW()-1),1,0))
        -
        EDATE(
          B839 + IF(INDEX(Input!$K$7:$K1503,ROW()-1),0,1),
          12*DATEDIF(
            B839 + IF(INDEX(Input!$K$7:$K1503,ROW()-1),0,1),
            C839 + IF(INDEX(Input!$L$7:$L1503,ROW()-1),1,0),
            "Y"
          )
        )
      ) / 365,
    "Actual/Actual",
      YEARFRAC(
        B839 + IF(INDEX(Input!$K$7:$K1503,ROW()-1),0,1),
        C839 + IF(INDEX(Input!$L$7:$L1503,ROW()-1),1,0),
        1
      ),
      YEARFRAC(
        B839 + IF(INDEX(Input!$K$7:$K1503,ROW()-1),0,1),
        C839 + IF(INDEX(Input!$L$7:$L1503,ROW()-1),1,0),
        3
      )
  )
)</f>
        <v/>
      </c>
      <c r="S839" s="22" t="str">
        <f t="shared" si="4"/>
        <v/>
      </c>
      <c r="T839" s="6" t="str">
        <f t="array" ref="T839">IF(
  B839="",
  ,
  DATEDIF(
    B839 + IF(INDEX(Input!$K$7:$K1503,ROW()-1),0,1),
    C839 + IF(INDEX(Input!$L$7:$L1503,ROW()-1),1,0),
    "Y"
  )
)</f>
        <v/>
      </c>
      <c r="U839" s="6" t="str">
        <f t="array" ref="U839">IF(
  B839="",
  ,
  (C839 + IF(INDEX(Input!$L$7:$L1503,ROW()-1),1,0))
  - EDATE(
      B839 + IF(INDEX(Input!$K$7:$K1503,ROW()-1),0,1),
      12*S839
    )
)</f>
        <v/>
      </c>
      <c r="V839" s="6" t="str">
        <f t="shared" si="5"/>
        <v/>
      </c>
      <c r="W839" s="6" t="str">
        <f t="shared" si="6"/>
        <v/>
      </c>
    </row>
    <row r="840">
      <c r="A840" s="18"/>
      <c r="B840" s="18"/>
      <c r="C840" s="18"/>
      <c r="D840" s="18"/>
      <c r="E840" s="18"/>
      <c r="F840" s="18"/>
      <c r="G840" s="22"/>
      <c r="H840" s="18"/>
      <c r="I840" s="18">
        <v>0.0</v>
      </c>
      <c r="J840" s="18">
        <v>0.0</v>
      </c>
      <c r="K840" s="18"/>
      <c r="L840" s="18"/>
      <c r="M840" s="22" t="str">
        <f t="shared" si="1"/>
        <v/>
      </c>
      <c r="N840" s="18" t="str">
        <f>IF(A840="",,IF(ROW()=2, Input!$C$2 + I840, P839 + I840))</f>
        <v/>
      </c>
      <c r="O840" s="23" t="str">
        <f>IF(A840="",,
 IF(K840="Initial principal",
   Input!$C$2 * M840,
   N840 * M840
 )
)</f>
        <v/>
      </c>
      <c r="P840" s="18" t="str">
        <f t="shared" si="2"/>
        <v/>
      </c>
      <c r="Q840" s="18" t="str">
        <f t="shared" si="3"/>
        <v/>
      </c>
      <c r="R840" s="18" t="str">
        <f t="array" ref="R840">IF(
  B840="",
  ,
  SWITCH(
    Input!$C$4,
    "Actual/365 Fixed",
      YEARFRAC(
        B840 + IF(INDEX(Input!$K$7:$K1503,ROW()-1),0,1),
        C840 + IF(INDEX(Input!$L$7:$L1503,ROW()-1),1,0),
        3
      ),
    "Anniversary/365",
      DATEDIF(
        B840 + IF(INDEX(Input!$K$7:$K1503,ROW()-1),0,1),
        C840 + IF(INDEX(Input!$L$7:$L1503,ROW()-1),1,0),
        "Y"
      )
      +
      (
        (C840 + IF(INDEX(Input!$L$7:$L1503,ROW()-1),1,0))
        -
        EDATE(
          B840 + IF(INDEX(Input!$K$7:$K1503,ROW()-1),0,1),
          12*DATEDIF(
            B840 + IF(INDEX(Input!$K$7:$K1503,ROW()-1),0,1),
            C840 + IF(INDEX(Input!$L$7:$L1503,ROW()-1),1,0),
            "Y"
          )
        )
      ) / 365,
    "Actual/Actual",
      YEARFRAC(
        B840 + IF(INDEX(Input!$K$7:$K1503,ROW()-1),0,1),
        C840 + IF(INDEX(Input!$L$7:$L1503,ROW()-1),1,0),
        1
      ),
      YEARFRAC(
        B840 + IF(INDEX(Input!$K$7:$K1503,ROW()-1),0,1),
        C840 + IF(INDEX(Input!$L$7:$L1503,ROW()-1),1,0),
        3
      )
  )
)</f>
        <v/>
      </c>
      <c r="S840" s="22" t="str">
        <f t="shared" si="4"/>
        <v/>
      </c>
      <c r="T840" s="6" t="str">
        <f t="array" ref="T840">IF(
  B840="",
  ,
  DATEDIF(
    B840 + IF(INDEX(Input!$K$7:$K1503,ROW()-1),0,1),
    C840 + IF(INDEX(Input!$L$7:$L1503,ROW()-1),1,0),
    "Y"
  )
)</f>
        <v/>
      </c>
      <c r="U840" s="6" t="str">
        <f t="array" ref="U840">IF(
  B840="",
  ,
  (C840 + IF(INDEX(Input!$L$7:$L1503,ROW()-1),1,0))
  - EDATE(
      B840 + IF(INDEX(Input!$K$7:$K1503,ROW()-1),0,1),
      12*S840
    )
)</f>
        <v/>
      </c>
      <c r="V840" s="6" t="str">
        <f t="shared" si="5"/>
        <v/>
      </c>
      <c r="W840" s="6" t="str">
        <f t="shared" si="6"/>
        <v/>
      </c>
    </row>
    <row r="841">
      <c r="A841" s="18"/>
      <c r="B841" s="18"/>
      <c r="C841" s="18"/>
      <c r="D841" s="18"/>
      <c r="E841" s="18"/>
      <c r="F841" s="18"/>
      <c r="G841" s="22"/>
      <c r="H841" s="18"/>
      <c r="I841" s="18">
        <v>0.0</v>
      </c>
      <c r="J841" s="18">
        <v>0.0</v>
      </c>
      <c r="K841" s="18"/>
      <c r="L841" s="18"/>
      <c r="M841" s="22" t="str">
        <f t="shared" si="1"/>
        <v/>
      </c>
      <c r="N841" s="18" t="str">
        <f>IF(A841="",,IF(ROW()=2, Input!$C$2 + I841, P840 + I841))</f>
        <v/>
      </c>
      <c r="O841" s="23" t="str">
        <f>IF(A841="",,
 IF(K841="Initial principal",
   Input!$C$2 * M841,
   N841 * M841
 )
)</f>
        <v/>
      </c>
      <c r="P841" s="18" t="str">
        <f t="shared" si="2"/>
        <v/>
      </c>
      <c r="Q841" s="18" t="str">
        <f t="shared" si="3"/>
        <v/>
      </c>
      <c r="R841" s="18" t="str">
        <f t="array" ref="R841">IF(
  B841="",
  ,
  SWITCH(
    Input!$C$4,
    "Actual/365 Fixed",
      YEARFRAC(
        B841 + IF(INDEX(Input!$K$7:$K1503,ROW()-1),0,1),
        C841 + IF(INDEX(Input!$L$7:$L1503,ROW()-1),1,0),
        3
      ),
    "Anniversary/365",
      DATEDIF(
        B841 + IF(INDEX(Input!$K$7:$K1503,ROW()-1),0,1),
        C841 + IF(INDEX(Input!$L$7:$L1503,ROW()-1),1,0),
        "Y"
      )
      +
      (
        (C841 + IF(INDEX(Input!$L$7:$L1503,ROW()-1),1,0))
        -
        EDATE(
          B841 + IF(INDEX(Input!$K$7:$K1503,ROW()-1),0,1),
          12*DATEDIF(
            B841 + IF(INDEX(Input!$K$7:$K1503,ROW()-1),0,1),
            C841 + IF(INDEX(Input!$L$7:$L1503,ROW()-1),1,0),
            "Y"
          )
        )
      ) / 365,
    "Actual/Actual",
      YEARFRAC(
        B841 + IF(INDEX(Input!$K$7:$K1503,ROW()-1),0,1),
        C841 + IF(INDEX(Input!$L$7:$L1503,ROW()-1),1,0),
        1
      ),
      YEARFRAC(
        B841 + IF(INDEX(Input!$K$7:$K1503,ROW()-1),0,1),
        C841 + IF(INDEX(Input!$L$7:$L1503,ROW()-1),1,0),
        3
      )
  )
)</f>
        <v/>
      </c>
      <c r="S841" s="22" t="str">
        <f t="shared" si="4"/>
        <v/>
      </c>
      <c r="T841" s="6" t="str">
        <f t="array" ref="T841">IF(
  B841="",
  ,
  DATEDIF(
    B841 + IF(INDEX(Input!$K$7:$K1503,ROW()-1),0,1),
    C841 + IF(INDEX(Input!$L$7:$L1503,ROW()-1),1,0),
    "Y"
  )
)</f>
        <v/>
      </c>
      <c r="U841" s="6" t="str">
        <f t="array" ref="U841">IF(
  B841="",
  ,
  (C841 + IF(INDEX(Input!$L$7:$L1503,ROW()-1),1,0))
  - EDATE(
      B841 + IF(INDEX(Input!$K$7:$K1503,ROW()-1),0,1),
      12*S841
    )
)</f>
        <v/>
      </c>
      <c r="V841" s="6" t="str">
        <f t="shared" si="5"/>
        <v/>
      </c>
      <c r="W841" s="6" t="str">
        <f t="shared" si="6"/>
        <v/>
      </c>
    </row>
    <row r="842">
      <c r="A842" s="18"/>
      <c r="B842" s="18"/>
      <c r="C842" s="18"/>
      <c r="D842" s="18"/>
      <c r="E842" s="18"/>
      <c r="F842" s="18"/>
      <c r="G842" s="22"/>
      <c r="H842" s="18"/>
      <c r="I842" s="18">
        <v>0.0</v>
      </c>
      <c r="J842" s="18">
        <v>0.0</v>
      </c>
      <c r="K842" s="18"/>
      <c r="L842" s="18"/>
      <c r="M842" s="22" t="str">
        <f t="shared" si="1"/>
        <v/>
      </c>
      <c r="N842" s="18" t="str">
        <f>IF(A842="",,IF(ROW()=2, Input!$C$2 + I842, P841 + I842))</f>
        <v/>
      </c>
      <c r="O842" s="23" t="str">
        <f>IF(A842="",,
 IF(K842="Initial principal",
   Input!$C$2 * M842,
   N842 * M842
 )
)</f>
        <v/>
      </c>
      <c r="P842" s="18" t="str">
        <f t="shared" si="2"/>
        <v/>
      </c>
      <c r="Q842" s="18" t="str">
        <f t="shared" si="3"/>
        <v/>
      </c>
      <c r="R842" s="18" t="str">
        <f t="array" ref="R842">IF(
  B842="",
  ,
  SWITCH(
    Input!$C$4,
    "Actual/365 Fixed",
      YEARFRAC(
        B842 + IF(INDEX(Input!$K$7:$K1503,ROW()-1),0,1),
        C842 + IF(INDEX(Input!$L$7:$L1503,ROW()-1),1,0),
        3
      ),
    "Anniversary/365",
      DATEDIF(
        B842 + IF(INDEX(Input!$K$7:$K1503,ROW()-1),0,1),
        C842 + IF(INDEX(Input!$L$7:$L1503,ROW()-1),1,0),
        "Y"
      )
      +
      (
        (C842 + IF(INDEX(Input!$L$7:$L1503,ROW()-1),1,0))
        -
        EDATE(
          B842 + IF(INDEX(Input!$K$7:$K1503,ROW()-1),0,1),
          12*DATEDIF(
            B842 + IF(INDEX(Input!$K$7:$K1503,ROW()-1),0,1),
            C842 + IF(INDEX(Input!$L$7:$L1503,ROW()-1),1,0),
            "Y"
          )
        )
      ) / 365,
    "Actual/Actual",
      YEARFRAC(
        B842 + IF(INDEX(Input!$K$7:$K1503,ROW()-1),0,1),
        C842 + IF(INDEX(Input!$L$7:$L1503,ROW()-1),1,0),
        1
      ),
      YEARFRAC(
        B842 + IF(INDEX(Input!$K$7:$K1503,ROW()-1),0,1),
        C842 + IF(INDEX(Input!$L$7:$L1503,ROW()-1),1,0),
        3
      )
  )
)</f>
        <v/>
      </c>
      <c r="S842" s="22" t="str">
        <f t="shared" si="4"/>
        <v/>
      </c>
      <c r="T842" s="6" t="str">
        <f t="array" ref="T842">IF(
  B842="",
  ,
  DATEDIF(
    B842 + IF(INDEX(Input!$K$7:$K1503,ROW()-1),0,1),
    C842 + IF(INDEX(Input!$L$7:$L1503,ROW()-1),1,0),
    "Y"
  )
)</f>
        <v/>
      </c>
      <c r="U842" s="6" t="str">
        <f t="array" ref="U842">IF(
  B842="",
  ,
  (C842 + IF(INDEX(Input!$L$7:$L1503,ROW()-1),1,0))
  - EDATE(
      B842 + IF(INDEX(Input!$K$7:$K1503,ROW()-1),0,1),
      12*S842
    )
)</f>
        <v/>
      </c>
      <c r="V842" s="6" t="str">
        <f t="shared" si="5"/>
        <v/>
      </c>
      <c r="W842" s="6" t="str">
        <f t="shared" si="6"/>
        <v/>
      </c>
    </row>
    <row r="843">
      <c r="A843" s="18"/>
      <c r="B843" s="18"/>
      <c r="C843" s="18"/>
      <c r="D843" s="18"/>
      <c r="E843" s="18"/>
      <c r="F843" s="18"/>
      <c r="G843" s="22"/>
      <c r="H843" s="18"/>
      <c r="I843" s="18">
        <v>0.0</v>
      </c>
      <c r="J843" s="18">
        <v>0.0</v>
      </c>
      <c r="K843" s="18"/>
      <c r="L843" s="18"/>
      <c r="M843" s="22" t="str">
        <f t="shared" si="1"/>
        <v/>
      </c>
      <c r="N843" s="18" t="str">
        <f>IF(A843="",,IF(ROW()=2, Input!$C$2 + I843, P842 + I843))</f>
        <v/>
      </c>
      <c r="O843" s="23" t="str">
        <f>IF(A843="",,
 IF(K843="Initial principal",
   Input!$C$2 * M843,
   N843 * M843
 )
)</f>
        <v/>
      </c>
      <c r="P843" s="18" t="str">
        <f t="shared" si="2"/>
        <v/>
      </c>
      <c r="Q843" s="18" t="str">
        <f t="shared" si="3"/>
        <v/>
      </c>
      <c r="R843" s="18" t="str">
        <f t="array" ref="R843">IF(
  B843="",
  ,
  SWITCH(
    Input!$C$4,
    "Actual/365 Fixed",
      YEARFRAC(
        B843 + IF(INDEX(Input!$K$7:$K1503,ROW()-1),0,1),
        C843 + IF(INDEX(Input!$L$7:$L1503,ROW()-1),1,0),
        3
      ),
    "Anniversary/365",
      DATEDIF(
        B843 + IF(INDEX(Input!$K$7:$K1503,ROW()-1),0,1),
        C843 + IF(INDEX(Input!$L$7:$L1503,ROW()-1),1,0),
        "Y"
      )
      +
      (
        (C843 + IF(INDEX(Input!$L$7:$L1503,ROW()-1),1,0))
        -
        EDATE(
          B843 + IF(INDEX(Input!$K$7:$K1503,ROW()-1),0,1),
          12*DATEDIF(
            B843 + IF(INDEX(Input!$K$7:$K1503,ROW()-1),0,1),
            C843 + IF(INDEX(Input!$L$7:$L1503,ROW()-1),1,0),
            "Y"
          )
        )
      ) / 365,
    "Actual/Actual",
      YEARFRAC(
        B843 + IF(INDEX(Input!$K$7:$K1503,ROW()-1),0,1),
        C843 + IF(INDEX(Input!$L$7:$L1503,ROW()-1),1,0),
        1
      ),
      YEARFRAC(
        B843 + IF(INDEX(Input!$K$7:$K1503,ROW()-1),0,1),
        C843 + IF(INDEX(Input!$L$7:$L1503,ROW()-1),1,0),
        3
      )
  )
)</f>
        <v/>
      </c>
      <c r="S843" s="22" t="str">
        <f t="shared" si="4"/>
        <v/>
      </c>
      <c r="T843" s="6" t="str">
        <f t="array" ref="T843">IF(
  B843="",
  ,
  DATEDIF(
    B843 + IF(INDEX(Input!$K$7:$K1503,ROW()-1),0,1),
    C843 + IF(INDEX(Input!$L$7:$L1503,ROW()-1),1,0),
    "Y"
  )
)</f>
        <v/>
      </c>
      <c r="U843" s="6" t="str">
        <f t="array" ref="U843">IF(
  B843="",
  ,
  (C843 + IF(INDEX(Input!$L$7:$L1503,ROW()-1),1,0))
  - EDATE(
      B843 + IF(INDEX(Input!$K$7:$K1503,ROW()-1),0,1),
      12*S843
    )
)</f>
        <v/>
      </c>
      <c r="V843" s="6" t="str">
        <f t="shared" si="5"/>
        <v/>
      </c>
      <c r="W843" s="6" t="str">
        <f t="shared" si="6"/>
        <v/>
      </c>
    </row>
    <row r="844">
      <c r="A844" s="18"/>
      <c r="B844" s="18"/>
      <c r="C844" s="18"/>
      <c r="D844" s="18"/>
      <c r="E844" s="18"/>
      <c r="F844" s="18"/>
      <c r="G844" s="22"/>
      <c r="H844" s="18"/>
      <c r="I844" s="18">
        <v>0.0</v>
      </c>
      <c r="J844" s="18">
        <v>0.0</v>
      </c>
      <c r="K844" s="18"/>
      <c r="L844" s="18"/>
      <c r="M844" s="22" t="str">
        <f t="shared" si="1"/>
        <v/>
      </c>
      <c r="N844" s="18" t="str">
        <f>IF(A844="",,IF(ROW()=2, Input!$C$2 + I844, P843 + I844))</f>
        <v/>
      </c>
      <c r="O844" s="23" t="str">
        <f>IF(A844="",,
 IF(K844="Initial principal",
   Input!$C$2 * M844,
   N844 * M844
 )
)</f>
        <v/>
      </c>
      <c r="P844" s="18" t="str">
        <f t="shared" si="2"/>
        <v/>
      </c>
      <c r="Q844" s="18" t="str">
        <f t="shared" si="3"/>
        <v/>
      </c>
      <c r="R844" s="18" t="str">
        <f t="array" ref="R844">IF(
  B844="",
  ,
  SWITCH(
    Input!$C$4,
    "Actual/365 Fixed",
      YEARFRAC(
        B844 + IF(INDEX(Input!$K$7:$K1503,ROW()-1),0,1),
        C844 + IF(INDEX(Input!$L$7:$L1503,ROW()-1),1,0),
        3
      ),
    "Anniversary/365",
      DATEDIF(
        B844 + IF(INDEX(Input!$K$7:$K1503,ROW()-1),0,1),
        C844 + IF(INDEX(Input!$L$7:$L1503,ROW()-1),1,0),
        "Y"
      )
      +
      (
        (C844 + IF(INDEX(Input!$L$7:$L1503,ROW()-1),1,0))
        -
        EDATE(
          B844 + IF(INDEX(Input!$K$7:$K1503,ROW()-1),0,1),
          12*DATEDIF(
            B844 + IF(INDEX(Input!$K$7:$K1503,ROW()-1),0,1),
            C844 + IF(INDEX(Input!$L$7:$L1503,ROW()-1),1,0),
            "Y"
          )
        )
      ) / 365,
    "Actual/Actual",
      YEARFRAC(
        B844 + IF(INDEX(Input!$K$7:$K1503,ROW()-1),0,1),
        C844 + IF(INDEX(Input!$L$7:$L1503,ROW()-1),1,0),
        1
      ),
      YEARFRAC(
        B844 + IF(INDEX(Input!$K$7:$K1503,ROW()-1),0,1),
        C844 + IF(INDEX(Input!$L$7:$L1503,ROW()-1),1,0),
        3
      )
  )
)</f>
        <v/>
      </c>
      <c r="S844" s="22" t="str">
        <f t="shared" si="4"/>
        <v/>
      </c>
      <c r="T844" s="6" t="str">
        <f t="array" ref="T844">IF(
  B844="",
  ,
  DATEDIF(
    B844 + IF(INDEX(Input!$K$7:$K1503,ROW()-1),0,1),
    C844 + IF(INDEX(Input!$L$7:$L1503,ROW()-1),1,0),
    "Y"
  )
)</f>
        <v/>
      </c>
      <c r="U844" s="6" t="str">
        <f t="array" ref="U844">IF(
  B844="",
  ,
  (C844 + IF(INDEX(Input!$L$7:$L1503,ROW()-1),1,0))
  - EDATE(
      B844 + IF(INDEX(Input!$K$7:$K1503,ROW()-1),0,1),
      12*S844
    )
)</f>
        <v/>
      </c>
      <c r="V844" s="6" t="str">
        <f t="shared" si="5"/>
        <v/>
      </c>
      <c r="W844" s="6" t="str">
        <f t="shared" si="6"/>
        <v/>
      </c>
    </row>
    <row r="845">
      <c r="A845" s="18"/>
      <c r="B845" s="18"/>
      <c r="C845" s="18"/>
      <c r="D845" s="18"/>
      <c r="E845" s="18"/>
      <c r="F845" s="18"/>
      <c r="G845" s="22"/>
      <c r="H845" s="18"/>
      <c r="I845" s="18">
        <v>0.0</v>
      </c>
      <c r="J845" s="18">
        <v>0.0</v>
      </c>
      <c r="K845" s="18"/>
      <c r="L845" s="18"/>
      <c r="M845" s="22" t="str">
        <f t="shared" si="1"/>
        <v/>
      </c>
      <c r="N845" s="18" t="str">
        <f>IF(A845="",,IF(ROW()=2, Input!$C$2 + I845, P844 + I845))</f>
        <v/>
      </c>
      <c r="O845" s="23" t="str">
        <f>IF(A845="",,
 IF(K845="Initial principal",
   Input!$C$2 * M845,
   N845 * M845
 )
)</f>
        <v/>
      </c>
      <c r="P845" s="18" t="str">
        <f t="shared" si="2"/>
        <v/>
      </c>
      <c r="Q845" s="18" t="str">
        <f t="shared" si="3"/>
        <v/>
      </c>
      <c r="R845" s="18" t="str">
        <f t="array" ref="R845">IF(
  B845="",
  ,
  SWITCH(
    Input!$C$4,
    "Actual/365 Fixed",
      YEARFRAC(
        B845 + IF(INDEX(Input!$K$7:$K1503,ROW()-1),0,1),
        C845 + IF(INDEX(Input!$L$7:$L1503,ROW()-1),1,0),
        3
      ),
    "Anniversary/365",
      DATEDIF(
        B845 + IF(INDEX(Input!$K$7:$K1503,ROW()-1),0,1),
        C845 + IF(INDEX(Input!$L$7:$L1503,ROW()-1),1,0),
        "Y"
      )
      +
      (
        (C845 + IF(INDEX(Input!$L$7:$L1503,ROW()-1),1,0))
        -
        EDATE(
          B845 + IF(INDEX(Input!$K$7:$K1503,ROW()-1),0,1),
          12*DATEDIF(
            B845 + IF(INDEX(Input!$K$7:$K1503,ROW()-1),0,1),
            C845 + IF(INDEX(Input!$L$7:$L1503,ROW()-1),1,0),
            "Y"
          )
        )
      ) / 365,
    "Actual/Actual",
      YEARFRAC(
        B845 + IF(INDEX(Input!$K$7:$K1503,ROW()-1),0,1),
        C845 + IF(INDEX(Input!$L$7:$L1503,ROW()-1),1,0),
        1
      ),
      YEARFRAC(
        B845 + IF(INDEX(Input!$K$7:$K1503,ROW()-1),0,1),
        C845 + IF(INDEX(Input!$L$7:$L1503,ROW()-1),1,0),
        3
      )
  )
)</f>
        <v/>
      </c>
      <c r="S845" s="22" t="str">
        <f t="shared" si="4"/>
        <v/>
      </c>
      <c r="T845" s="6" t="str">
        <f t="array" ref="T845">IF(
  B845="",
  ,
  DATEDIF(
    B845 + IF(INDEX(Input!$K$7:$K1503,ROW()-1),0,1),
    C845 + IF(INDEX(Input!$L$7:$L1503,ROW()-1),1,0),
    "Y"
  )
)</f>
        <v/>
      </c>
      <c r="U845" s="6" t="str">
        <f t="array" ref="U845">IF(
  B845="",
  ,
  (C845 + IF(INDEX(Input!$L$7:$L1503,ROW()-1),1,0))
  - EDATE(
      B845 + IF(INDEX(Input!$K$7:$K1503,ROW()-1),0,1),
      12*S845
    )
)</f>
        <v/>
      </c>
      <c r="V845" s="6" t="str">
        <f t="shared" si="5"/>
        <v/>
      </c>
      <c r="W845" s="6" t="str">
        <f t="shared" si="6"/>
        <v/>
      </c>
    </row>
    <row r="846">
      <c r="A846" s="18"/>
      <c r="B846" s="18"/>
      <c r="C846" s="18"/>
      <c r="D846" s="18"/>
      <c r="E846" s="18"/>
      <c r="F846" s="18"/>
      <c r="G846" s="22"/>
      <c r="H846" s="18"/>
      <c r="I846" s="18">
        <v>0.0</v>
      </c>
      <c r="J846" s="18">
        <v>0.0</v>
      </c>
      <c r="K846" s="18"/>
      <c r="L846" s="18"/>
      <c r="M846" s="22" t="str">
        <f t="shared" si="1"/>
        <v/>
      </c>
      <c r="N846" s="18" t="str">
        <f>IF(A846="",,IF(ROW()=2, Input!$C$2 + I846, P845 + I846))</f>
        <v/>
      </c>
      <c r="O846" s="23" t="str">
        <f>IF(A846="",,
 IF(K846="Initial principal",
   Input!$C$2 * M846,
   N846 * M846
 )
)</f>
        <v/>
      </c>
      <c r="P846" s="18" t="str">
        <f t="shared" si="2"/>
        <v/>
      </c>
      <c r="Q846" s="18" t="str">
        <f t="shared" si="3"/>
        <v/>
      </c>
      <c r="R846" s="18" t="str">
        <f t="array" ref="R846">IF(
  B846="",
  ,
  SWITCH(
    Input!$C$4,
    "Actual/365 Fixed",
      YEARFRAC(
        B846 + IF(INDEX(Input!$K$7:$K1503,ROW()-1),0,1),
        C846 + IF(INDEX(Input!$L$7:$L1503,ROW()-1),1,0),
        3
      ),
    "Anniversary/365",
      DATEDIF(
        B846 + IF(INDEX(Input!$K$7:$K1503,ROW()-1),0,1),
        C846 + IF(INDEX(Input!$L$7:$L1503,ROW()-1),1,0),
        "Y"
      )
      +
      (
        (C846 + IF(INDEX(Input!$L$7:$L1503,ROW()-1),1,0))
        -
        EDATE(
          B846 + IF(INDEX(Input!$K$7:$K1503,ROW()-1),0,1),
          12*DATEDIF(
            B846 + IF(INDEX(Input!$K$7:$K1503,ROW()-1),0,1),
            C846 + IF(INDEX(Input!$L$7:$L1503,ROW()-1),1,0),
            "Y"
          )
        )
      ) / 365,
    "Actual/Actual",
      YEARFRAC(
        B846 + IF(INDEX(Input!$K$7:$K1503,ROW()-1),0,1),
        C846 + IF(INDEX(Input!$L$7:$L1503,ROW()-1),1,0),
        1
      ),
      YEARFRAC(
        B846 + IF(INDEX(Input!$K$7:$K1503,ROW()-1),0,1),
        C846 + IF(INDEX(Input!$L$7:$L1503,ROW()-1),1,0),
        3
      )
  )
)</f>
        <v/>
      </c>
      <c r="S846" s="22" t="str">
        <f t="shared" si="4"/>
        <v/>
      </c>
      <c r="T846" s="6" t="str">
        <f t="array" ref="T846">IF(
  B846="",
  ,
  DATEDIF(
    B846 + IF(INDEX(Input!$K$7:$K1503,ROW()-1),0,1),
    C846 + IF(INDEX(Input!$L$7:$L1503,ROW()-1),1,0),
    "Y"
  )
)</f>
        <v/>
      </c>
      <c r="U846" s="6" t="str">
        <f t="array" ref="U846">IF(
  B846="",
  ,
  (C846 + IF(INDEX(Input!$L$7:$L1503,ROW()-1),1,0))
  - EDATE(
      B846 + IF(INDEX(Input!$K$7:$K1503,ROW()-1),0,1),
      12*S846
    )
)</f>
        <v/>
      </c>
      <c r="V846" s="6" t="str">
        <f t="shared" si="5"/>
        <v/>
      </c>
      <c r="W846" s="6" t="str">
        <f t="shared" si="6"/>
        <v/>
      </c>
    </row>
    <row r="847">
      <c r="A847" s="18"/>
      <c r="B847" s="18"/>
      <c r="C847" s="18"/>
      <c r="D847" s="18"/>
      <c r="E847" s="18"/>
      <c r="F847" s="18"/>
      <c r="G847" s="22"/>
      <c r="H847" s="18"/>
      <c r="I847" s="18">
        <v>0.0</v>
      </c>
      <c r="J847" s="18">
        <v>0.0</v>
      </c>
      <c r="K847" s="18"/>
      <c r="L847" s="18"/>
      <c r="M847" s="22" t="str">
        <f t="shared" si="1"/>
        <v/>
      </c>
      <c r="N847" s="18" t="str">
        <f>IF(A847="",,IF(ROW()=2, Input!$C$2 + I847, P846 + I847))</f>
        <v/>
      </c>
      <c r="O847" s="23" t="str">
        <f>IF(A847="",,
 IF(K847="Initial principal",
   Input!$C$2 * M847,
   N847 * M847
 )
)</f>
        <v/>
      </c>
      <c r="P847" s="18" t="str">
        <f t="shared" si="2"/>
        <v/>
      </c>
      <c r="Q847" s="18" t="str">
        <f t="shared" si="3"/>
        <v/>
      </c>
      <c r="R847" s="18" t="str">
        <f t="array" ref="R847">IF(
  B847="",
  ,
  SWITCH(
    Input!$C$4,
    "Actual/365 Fixed",
      YEARFRAC(
        B847 + IF(INDEX(Input!$K$7:$K1503,ROW()-1),0,1),
        C847 + IF(INDEX(Input!$L$7:$L1503,ROW()-1),1,0),
        3
      ),
    "Anniversary/365",
      DATEDIF(
        B847 + IF(INDEX(Input!$K$7:$K1503,ROW()-1),0,1),
        C847 + IF(INDEX(Input!$L$7:$L1503,ROW()-1),1,0),
        "Y"
      )
      +
      (
        (C847 + IF(INDEX(Input!$L$7:$L1503,ROW()-1),1,0))
        -
        EDATE(
          B847 + IF(INDEX(Input!$K$7:$K1503,ROW()-1),0,1),
          12*DATEDIF(
            B847 + IF(INDEX(Input!$K$7:$K1503,ROW()-1),0,1),
            C847 + IF(INDEX(Input!$L$7:$L1503,ROW()-1),1,0),
            "Y"
          )
        )
      ) / 365,
    "Actual/Actual",
      YEARFRAC(
        B847 + IF(INDEX(Input!$K$7:$K1503,ROW()-1),0,1),
        C847 + IF(INDEX(Input!$L$7:$L1503,ROW()-1),1,0),
        1
      ),
      YEARFRAC(
        B847 + IF(INDEX(Input!$K$7:$K1503,ROW()-1),0,1),
        C847 + IF(INDEX(Input!$L$7:$L1503,ROW()-1),1,0),
        3
      )
  )
)</f>
        <v/>
      </c>
      <c r="S847" s="22" t="str">
        <f t="shared" si="4"/>
        <v/>
      </c>
      <c r="T847" s="6" t="str">
        <f t="array" ref="T847">IF(
  B847="",
  ,
  DATEDIF(
    B847 + IF(INDEX(Input!$K$7:$K1503,ROW()-1),0,1),
    C847 + IF(INDEX(Input!$L$7:$L1503,ROW()-1),1,0),
    "Y"
  )
)</f>
        <v/>
      </c>
      <c r="U847" s="6" t="str">
        <f t="array" ref="U847">IF(
  B847="",
  ,
  (C847 + IF(INDEX(Input!$L$7:$L1503,ROW()-1),1,0))
  - EDATE(
      B847 + IF(INDEX(Input!$K$7:$K1503,ROW()-1),0,1),
      12*S847
    )
)</f>
        <v/>
      </c>
      <c r="V847" s="6" t="str">
        <f t="shared" si="5"/>
        <v/>
      </c>
      <c r="W847" s="6" t="str">
        <f t="shared" si="6"/>
        <v/>
      </c>
    </row>
    <row r="848">
      <c r="A848" s="18"/>
      <c r="B848" s="18"/>
      <c r="C848" s="18"/>
      <c r="D848" s="18"/>
      <c r="E848" s="18"/>
      <c r="F848" s="18"/>
      <c r="G848" s="22"/>
      <c r="H848" s="18"/>
      <c r="I848" s="18">
        <v>0.0</v>
      </c>
      <c r="J848" s="18">
        <v>0.0</v>
      </c>
      <c r="K848" s="18"/>
      <c r="L848" s="18"/>
      <c r="M848" s="22" t="str">
        <f t="shared" si="1"/>
        <v/>
      </c>
      <c r="N848" s="18" t="str">
        <f>IF(A848="",,IF(ROW()=2, Input!$C$2 + I848, P847 + I848))</f>
        <v/>
      </c>
      <c r="O848" s="23" t="str">
        <f>IF(A848="",,
 IF(K848="Initial principal",
   Input!$C$2 * M848,
   N848 * M848
 )
)</f>
        <v/>
      </c>
      <c r="P848" s="18" t="str">
        <f t="shared" si="2"/>
        <v/>
      </c>
      <c r="Q848" s="18" t="str">
        <f t="shared" si="3"/>
        <v/>
      </c>
      <c r="R848" s="18" t="str">
        <f t="array" ref="R848">IF(
  B848="",
  ,
  SWITCH(
    Input!$C$4,
    "Actual/365 Fixed",
      YEARFRAC(
        B848 + IF(INDEX(Input!$K$7:$K1503,ROW()-1),0,1),
        C848 + IF(INDEX(Input!$L$7:$L1503,ROW()-1),1,0),
        3
      ),
    "Anniversary/365",
      DATEDIF(
        B848 + IF(INDEX(Input!$K$7:$K1503,ROW()-1),0,1),
        C848 + IF(INDEX(Input!$L$7:$L1503,ROW()-1),1,0),
        "Y"
      )
      +
      (
        (C848 + IF(INDEX(Input!$L$7:$L1503,ROW()-1),1,0))
        -
        EDATE(
          B848 + IF(INDEX(Input!$K$7:$K1503,ROW()-1),0,1),
          12*DATEDIF(
            B848 + IF(INDEX(Input!$K$7:$K1503,ROW()-1),0,1),
            C848 + IF(INDEX(Input!$L$7:$L1503,ROW()-1),1,0),
            "Y"
          )
        )
      ) / 365,
    "Actual/Actual",
      YEARFRAC(
        B848 + IF(INDEX(Input!$K$7:$K1503,ROW()-1),0,1),
        C848 + IF(INDEX(Input!$L$7:$L1503,ROW()-1),1,0),
        1
      ),
      YEARFRAC(
        B848 + IF(INDEX(Input!$K$7:$K1503,ROW()-1),0,1),
        C848 + IF(INDEX(Input!$L$7:$L1503,ROW()-1),1,0),
        3
      )
  )
)</f>
        <v/>
      </c>
      <c r="S848" s="22" t="str">
        <f t="shared" si="4"/>
        <v/>
      </c>
      <c r="T848" s="6" t="str">
        <f t="array" ref="T848">IF(
  B848="",
  ,
  DATEDIF(
    B848 + IF(INDEX(Input!$K$7:$K1503,ROW()-1),0,1),
    C848 + IF(INDEX(Input!$L$7:$L1503,ROW()-1),1,0),
    "Y"
  )
)</f>
        <v/>
      </c>
      <c r="U848" s="6" t="str">
        <f t="array" ref="U848">IF(
  B848="",
  ,
  (C848 + IF(INDEX(Input!$L$7:$L1503,ROW()-1),1,0))
  - EDATE(
      B848 + IF(INDEX(Input!$K$7:$K1503,ROW()-1),0,1),
      12*S848
    )
)</f>
        <v/>
      </c>
      <c r="V848" s="6" t="str">
        <f t="shared" si="5"/>
        <v/>
      </c>
      <c r="W848" s="6" t="str">
        <f t="shared" si="6"/>
        <v/>
      </c>
    </row>
    <row r="849">
      <c r="A849" s="18"/>
      <c r="B849" s="18"/>
      <c r="C849" s="18"/>
      <c r="D849" s="18"/>
      <c r="E849" s="18"/>
      <c r="F849" s="18"/>
      <c r="G849" s="22"/>
      <c r="H849" s="18"/>
      <c r="I849" s="18">
        <v>0.0</v>
      </c>
      <c r="J849" s="18">
        <v>0.0</v>
      </c>
      <c r="K849" s="18"/>
      <c r="L849" s="18"/>
      <c r="M849" s="22" t="str">
        <f t="shared" si="1"/>
        <v/>
      </c>
      <c r="N849" s="18" t="str">
        <f>IF(A849="",,IF(ROW()=2, Input!$C$2 + I849, P848 + I849))</f>
        <v/>
      </c>
      <c r="O849" s="23" t="str">
        <f>IF(A849="",,
 IF(K849="Initial principal",
   Input!$C$2 * M849,
   N849 * M849
 )
)</f>
        <v/>
      </c>
      <c r="P849" s="18" t="str">
        <f t="shared" si="2"/>
        <v/>
      </c>
      <c r="Q849" s="18" t="str">
        <f t="shared" si="3"/>
        <v/>
      </c>
      <c r="R849" s="18" t="str">
        <f t="array" ref="R849">IF(
  B849="",
  ,
  SWITCH(
    Input!$C$4,
    "Actual/365 Fixed",
      YEARFRAC(
        B849 + IF(INDEX(Input!$K$7:$K1503,ROW()-1),0,1),
        C849 + IF(INDEX(Input!$L$7:$L1503,ROW()-1),1,0),
        3
      ),
    "Anniversary/365",
      DATEDIF(
        B849 + IF(INDEX(Input!$K$7:$K1503,ROW()-1),0,1),
        C849 + IF(INDEX(Input!$L$7:$L1503,ROW()-1),1,0),
        "Y"
      )
      +
      (
        (C849 + IF(INDEX(Input!$L$7:$L1503,ROW()-1),1,0))
        -
        EDATE(
          B849 + IF(INDEX(Input!$K$7:$K1503,ROW()-1),0,1),
          12*DATEDIF(
            B849 + IF(INDEX(Input!$K$7:$K1503,ROW()-1),0,1),
            C849 + IF(INDEX(Input!$L$7:$L1503,ROW()-1),1,0),
            "Y"
          )
        )
      ) / 365,
    "Actual/Actual",
      YEARFRAC(
        B849 + IF(INDEX(Input!$K$7:$K1503,ROW()-1),0,1),
        C849 + IF(INDEX(Input!$L$7:$L1503,ROW()-1),1,0),
        1
      ),
      YEARFRAC(
        B849 + IF(INDEX(Input!$K$7:$K1503,ROW()-1),0,1),
        C849 + IF(INDEX(Input!$L$7:$L1503,ROW()-1),1,0),
        3
      )
  )
)</f>
        <v/>
      </c>
      <c r="S849" s="22" t="str">
        <f t="shared" si="4"/>
        <v/>
      </c>
      <c r="T849" s="6" t="str">
        <f t="array" ref="T849">IF(
  B849="",
  ,
  DATEDIF(
    B849 + IF(INDEX(Input!$K$7:$K1503,ROW()-1),0,1),
    C849 + IF(INDEX(Input!$L$7:$L1503,ROW()-1),1,0),
    "Y"
  )
)</f>
        <v/>
      </c>
      <c r="U849" s="6" t="str">
        <f t="array" ref="U849">IF(
  B849="",
  ,
  (C849 + IF(INDEX(Input!$L$7:$L1503,ROW()-1),1,0))
  - EDATE(
      B849 + IF(INDEX(Input!$K$7:$K1503,ROW()-1),0,1),
      12*S849
    )
)</f>
        <v/>
      </c>
      <c r="V849" s="6" t="str">
        <f t="shared" si="5"/>
        <v/>
      </c>
      <c r="W849" s="6" t="str">
        <f t="shared" si="6"/>
        <v/>
      </c>
    </row>
    <row r="850">
      <c r="A850" s="18"/>
      <c r="B850" s="18"/>
      <c r="C850" s="18"/>
      <c r="D850" s="18"/>
      <c r="E850" s="18"/>
      <c r="F850" s="18"/>
      <c r="G850" s="22"/>
      <c r="H850" s="18"/>
      <c r="I850" s="18">
        <v>0.0</v>
      </c>
      <c r="J850" s="18">
        <v>0.0</v>
      </c>
      <c r="K850" s="18"/>
      <c r="L850" s="18"/>
      <c r="M850" s="22" t="str">
        <f t="shared" si="1"/>
        <v/>
      </c>
      <c r="N850" s="18" t="str">
        <f>IF(A850="",,IF(ROW()=2, Input!$C$2 + I850, P849 + I850))</f>
        <v/>
      </c>
      <c r="O850" s="23" t="str">
        <f>IF(A850="",,
 IF(K850="Initial principal",
   Input!$C$2 * M850,
   N850 * M850
 )
)</f>
        <v/>
      </c>
      <c r="P850" s="18" t="str">
        <f t="shared" si="2"/>
        <v/>
      </c>
      <c r="Q850" s="18" t="str">
        <f t="shared" si="3"/>
        <v/>
      </c>
      <c r="R850" s="18" t="str">
        <f t="array" ref="R850">IF(
  B850="",
  ,
  SWITCH(
    Input!$C$4,
    "Actual/365 Fixed",
      YEARFRAC(
        B850 + IF(INDEX(Input!$K$7:$K1503,ROW()-1),0,1),
        C850 + IF(INDEX(Input!$L$7:$L1503,ROW()-1),1,0),
        3
      ),
    "Anniversary/365",
      DATEDIF(
        B850 + IF(INDEX(Input!$K$7:$K1503,ROW()-1),0,1),
        C850 + IF(INDEX(Input!$L$7:$L1503,ROW()-1),1,0),
        "Y"
      )
      +
      (
        (C850 + IF(INDEX(Input!$L$7:$L1503,ROW()-1),1,0))
        -
        EDATE(
          B850 + IF(INDEX(Input!$K$7:$K1503,ROW()-1),0,1),
          12*DATEDIF(
            B850 + IF(INDEX(Input!$K$7:$K1503,ROW()-1),0,1),
            C850 + IF(INDEX(Input!$L$7:$L1503,ROW()-1),1,0),
            "Y"
          )
        )
      ) / 365,
    "Actual/Actual",
      YEARFRAC(
        B850 + IF(INDEX(Input!$K$7:$K1503,ROW()-1),0,1),
        C850 + IF(INDEX(Input!$L$7:$L1503,ROW()-1),1,0),
        1
      ),
      YEARFRAC(
        B850 + IF(INDEX(Input!$K$7:$K1503,ROW()-1),0,1),
        C850 + IF(INDEX(Input!$L$7:$L1503,ROW()-1),1,0),
        3
      )
  )
)</f>
        <v/>
      </c>
      <c r="S850" s="22" t="str">
        <f t="shared" si="4"/>
        <v/>
      </c>
      <c r="T850" s="6" t="str">
        <f t="array" ref="T850">IF(
  B850="",
  ,
  DATEDIF(
    B850 + IF(INDEX(Input!$K$7:$K1503,ROW()-1),0,1),
    C850 + IF(INDEX(Input!$L$7:$L1503,ROW()-1),1,0),
    "Y"
  )
)</f>
        <v/>
      </c>
      <c r="U850" s="6" t="str">
        <f t="array" ref="U850">IF(
  B850="",
  ,
  (C850 + IF(INDEX(Input!$L$7:$L1503,ROW()-1),1,0))
  - EDATE(
      B850 + IF(INDEX(Input!$K$7:$K1503,ROW()-1),0,1),
      12*S850
    )
)</f>
        <v/>
      </c>
      <c r="V850" s="6" t="str">
        <f t="shared" si="5"/>
        <v/>
      </c>
      <c r="W850" s="6" t="str">
        <f t="shared" si="6"/>
        <v/>
      </c>
    </row>
    <row r="851">
      <c r="A851" s="18"/>
      <c r="B851" s="18"/>
      <c r="C851" s="18"/>
      <c r="D851" s="18"/>
      <c r="E851" s="18"/>
      <c r="F851" s="18"/>
      <c r="G851" s="22"/>
      <c r="H851" s="18"/>
      <c r="I851" s="18">
        <v>0.0</v>
      </c>
      <c r="J851" s="18">
        <v>0.0</v>
      </c>
      <c r="K851" s="18"/>
      <c r="L851" s="18"/>
      <c r="M851" s="22" t="str">
        <f t="shared" si="1"/>
        <v/>
      </c>
      <c r="N851" s="18" t="str">
        <f>IF(A851="",,IF(ROW()=2, Input!$C$2 + I851, P850 + I851))</f>
        <v/>
      </c>
      <c r="O851" s="23" t="str">
        <f>IF(A851="",,
 IF(K851="Initial principal",
   Input!$C$2 * M851,
   N851 * M851
 )
)</f>
        <v/>
      </c>
      <c r="P851" s="18" t="str">
        <f t="shared" si="2"/>
        <v/>
      </c>
      <c r="Q851" s="18" t="str">
        <f t="shared" si="3"/>
        <v/>
      </c>
      <c r="R851" s="18" t="str">
        <f t="array" ref="R851">IF(
  B851="",
  ,
  SWITCH(
    Input!$C$4,
    "Actual/365 Fixed",
      YEARFRAC(
        B851 + IF(INDEX(Input!$K$7:$K1503,ROW()-1),0,1),
        C851 + IF(INDEX(Input!$L$7:$L1503,ROW()-1),1,0),
        3
      ),
    "Anniversary/365",
      DATEDIF(
        B851 + IF(INDEX(Input!$K$7:$K1503,ROW()-1),0,1),
        C851 + IF(INDEX(Input!$L$7:$L1503,ROW()-1),1,0),
        "Y"
      )
      +
      (
        (C851 + IF(INDEX(Input!$L$7:$L1503,ROW()-1),1,0))
        -
        EDATE(
          B851 + IF(INDEX(Input!$K$7:$K1503,ROW()-1),0,1),
          12*DATEDIF(
            B851 + IF(INDEX(Input!$K$7:$K1503,ROW()-1),0,1),
            C851 + IF(INDEX(Input!$L$7:$L1503,ROW()-1),1,0),
            "Y"
          )
        )
      ) / 365,
    "Actual/Actual",
      YEARFRAC(
        B851 + IF(INDEX(Input!$K$7:$K1503,ROW()-1),0,1),
        C851 + IF(INDEX(Input!$L$7:$L1503,ROW()-1),1,0),
        1
      ),
      YEARFRAC(
        B851 + IF(INDEX(Input!$K$7:$K1503,ROW()-1),0,1),
        C851 + IF(INDEX(Input!$L$7:$L1503,ROW()-1),1,0),
        3
      )
  )
)</f>
        <v/>
      </c>
      <c r="S851" s="22" t="str">
        <f t="shared" si="4"/>
        <v/>
      </c>
      <c r="T851" s="6" t="str">
        <f t="array" ref="T851">IF(
  B851="",
  ,
  DATEDIF(
    B851 + IF(INDEX(Input!$K$7:$K1503,ROW()-1),0,1),
    C851 + IF(INDEX(Input!$L$7:$L1503,ROW()-1),1,0),
    "Y"
  )
)</f>
        <v/>
      </c>
      <c r="U851" s="6" t="str">
        <f t="array" ref="U851">IF(
  B851="",
  ,
  (C851 + IF(INDEX(Input!$L$7:$L1503,ROW()-1),1,0))
  - EDATE(
      B851 + IF(INDEX(Input!$K$7:$K1503,ROW()-1),0,1),
      12*S851
    )
)</f>
        <v/>
      </c>
      <c r="V851" s="6" t="str">
        <f t="shared" si="5"/>
        <v/>
      </c>
      <c r="W851" s="6" t="str">
        <f t="shared" si="6"/>
        <v/>
      </c>
    </row>
    <row r="852">
      <c r="A852" s="18"/>
      <c r="B852" s="18"/>
      <c r="C852" s="18"/>
      <c r="D852" s="18"/>
      <c r="E852" s="18"/>
      <c r="F852" s="18"/>
      <c r="G852" s="22"/>
      <c r="H852" s="18"/>
      <c r="I852" s="18">
        <v>0.0</v>
      </c>
      <c r="J852" s="18">
        <v>0.0</v>
      </c>
      <c r="K852" s="18"/>
      <c r="L852" s="18"/>
      <c r="M852" s="22" t="str">
        <f t="shared" si="1"/>
        <v/>
      </c>
      <c r="N852" s="18" t="str">
        <f>IF(A852="",,IF(ROW()=2, Input!$C$2 + I852, P851 + I852))</f>
        <v/>
      </c>
      <c r="O852" s="23" t="str">
        <f>IF(A852="",,
 IF(K852="Initial principal",
   Input!$C$2 * M852,
   N852 * M852
 )
)</f>
        <v/>
      </c>
      <c r="P852" s="18" t="str">
        <f t="shared" si="2"/>
        <v/>
      </c>
      <c r="Q852" s="18" t="str">
        <f t="shared" si="3"/>
        <v/>
      </c>
      <c r="R852" s="18" t="str">
        <f t="array" ref="R852">IF(
  B852="",
  ,
  SWITCH(
    Input!$C$4,
    "Actual/365 Fixed",
      YEARFRAC(
        B852 + IF(INDEX(Input!$K$7:$K1503,ROW()-1),0,1),
        C852 + IF(INDEX(Input!$L$7:$L1503,ROW()-1),1,0),
        3
      ),
    "Anniversary/365",
      DATEDIF(
        B852 + IF(INDEX(Input!$K$7:$K1503,ROW()-1),0,1),
        C852 + IF(INDEX(Input!$L$7:$L1503,ROW()-1),1,0),
        "Y"
      )
      +
      (
        (C852 + IF(INDEX(Input!$L$7:$L1503,ROW()-1),1,0))
        -
        EDATE(
          B852 + IF(INDEX(Input!$K$7:$K1503,ROW()-1),0,1),
          12*DATEDIF(
            B852 + IF(INDEX(Input!$K$7:$K1503,ROW()-1),0,1),
            C852 + IF(INDEX(Input!$L$7:$L1503,ROW()-1),1,0),
            "Y"
          )
        )
      ) / 365,
    "Actual/Actual",
      YEARFRAC(
        B852 + IF(INDEX(Input!$K$7:$K1503,ROW()-1),0,1),
        C852 + IF(INDEX(Input!$L$7:$L1503,ROW()-1),1,0),
        1
      ),
      YEARFRAC(
        B852 + IF(INDEX(Input!$K$7:$K1503,ROW()-1),0,1),
        C852 + IF(INDEX(Input!$L$7:$L1503,ROW()-1),1,0),
        3
      )
  )
)</f>
        <v/>
      </c>
      <c r="S852" s="22" t="str">
        <f t="shared" si="4"/>
        <v/>
      </c>
      <c r="T852" s="6" t="str">
        <f t="array" ref="T852">IF(
  B852="",
  ,
  DATEDIF(
    B852 + IF(INDEX(Input!$K$7:$K1503,ROW()-1),0,1),
    C852 + IF(INDEX(Input!$L$7:$L1503,ROW()-1),1,0),
    "Y"
  )
)</f>
        <v/>
      </c>
      <c r="U852" s="6" t="str">
        <f t="array" ref="U852">IF(
  B852="",
  ,
  (C852 + IF(INDEX(Input!$L$7:$L1503,ROW()-1),1,0))
  - EDATE(
      B852 + IF(INDEX(Input!$K$7:$K1503,ROW()-1),0,1),
      12*S852
    )
)</f>
        <v/>
      </c>
      <c r="V852" s="6" t="str">
        <f t="shared" si="5"/>
        <v/>
      </c>
      <c r="W852" s="6" t="str">
        <f t="shared" si="6"/>
        <v/>
      </c>
    </row>
    <row r="853">
      <c r="A853" s="18"/>
      <c r="B853" s="18"/>
      <c r="C853" s="18"/>
      <c r="D853" s="18"/>
      <c r="E853" s="18"/>
      <c r="F853" s="18"/>
      <c r="G853" s="22"/>
      <c r="H853" s="18"/>
      <c r="I853" s="18">
        <v>0.0</v>
      </c>
      <c r="J853" s="18">
        <v>0.0</v>
      </c>
      <c r="K853" s="18"/>
      <c r="L853" s="18"/>
      <c r="M853" s="22" t="str">
        <f t="shared" si="1"/>
        <v/>
      </c>
      <c r="N853" s="18" t="str">
        <f>IF(A853="",,IF(ROW()=2, Input!$C$2 + I853, P852 + I853))</f>
        <v/>
      </c>
      <c r="O853" s="23" t="str">
        <f>IF(A853="",,
 IF(K853="Initial principal",
   Input!$C$2 * M853,
   N853 * M853
 )
)</f>
        <v/>
      </c>
      <c r="P853" s="18" t="str">
        <f t="shared" si="2"/>
        <v/>
      </c>
      <c r="Q853" s="18" t="str">
        <f t="shared" si="3"/>
        <v/>
      </c>
      <c r="R853" s="18" t="str">
        <f t="array" ref="R853">IF(
  B853="",
  ,
  SWITCH(
    Input!$C$4,
    "Actual/365 Fixed",
      YEARFRAC(
        B853 + IF(INDEX(Input!$K$7:$K1503,ROW()-1),0,1),
        C853 + IF(INDEX(Input!$L$7:$L1503,ROW()-1),1,0),
        3
      ),
    "Anniversary/365",
      DATEDIF(
        B853 + IF(INDEX(Input!$K$7:$K1503,ROW()-1),0,1),
        C853 + IF(INDEX(Input!$L$7:$L1503,ROW()-1),1,0),
        "Y"
      )
      +
      (
        (C853 + IF(INDEX(Input!$L$7:$L1503,ROW()-1),1,0))
        -
        EDATE(
          B853 + IF(INDEX(Input!$K$7:$K1503,ROW()-1),0,1),
          12*DATEDIF(
            B853 + IF(INDEX(Input!$K$7:$K1503,ROW()-1),0,1),
            C853 + IF(INDEX(Input!$L$7:$L1503,ROW()-1),1,0),
            "Y"
          )
        )
      ) / 365,
    "Actual/Actual",
      YEARFRAC(
        B853 + IF(INDEX(Input!$K$7:$K1503,ROW()-1),0,1),
        C853 + IF(INDEX(Input!$L$7:$L1503,ROW()-1),1,0),
        1
      ),
      YEARFRAC(
        B853 + IF(INDEX(Input!$K$7:$K1503,ROW()-1),0,1),
        C853 + IF(INDEX(Input!$L$7:$L1503,ROW()-1),1,0),
        3
      )
  )
)</f>
        <v/>
      </c>
      <c r="S853" s="22" t="str">
        <f t="shared" si="4"/>
        <v/>
      </c>
      <c r="T853" s="6" t="str">
        <f t="array" ref="T853">IF(
  B853="",
  ,
  DATEDIF(
    B853 + IF(INDEX(Input!$K$7:$K1503,ROW()-1),0,1),
    C853 + IF(INDEX(Input!$L$7:$L1503,ROW()-1),1,0),
    "Y"
  )
)</f>
        <v/>
      </c>
      <c r="U853" s="6" t="str">
        <f t="array" ref="U853">IF(
  B853="",
  ,
  (C853 + IF(INDEX(Input!$L$7:$L1503,ROW()-1),1,0))
  - EDATE(
      B853 + IF(INDEX(Input!$K$7:$K1503,ROW()-1),0,1),
      12*S853
    )
)</f>
        <v/>
      </c>
      <c r="V853" s="6" t="str">
        <f t="shared" si="5"/>
        <v/>
      </c>
      <c r="W853" s="6" t="str">
        <f t="shared" si="6"/>
        <v/>
      </c>
    </row>
    <row r="854">
      <c r="A854" s="18"/>
      <c r="B854" s="18"/>
      <c r="C854" s="18"/>
      <c r="D854" s="18"/>
      <c r="E854" s="18"/>
      <c r="F854" s="18"/>
      <c r="G854" s="22"/>
      <c r="H854" s="18"/>
      <c r="I854" s="18">
        <v>0.0</v>
      </c>
      <c r="J854" s="18">
        <v>0.0</v>
      </c>
      <c r="K854" s="18"/>
      <c r="L854" s="18"/>
      <c r="M854" s="22" t="str">
        <f t="shared" si="1"/>
        <v/>
      </c>
      <c r="N854" s="18" t="str">
        <f>IF(A854="",,IF(ROW()=2, Input!$C$2 + I854, P853 + I854))</f>
        <v/>
      </c>
      <c r="O854" s="23" t="str">
        <f>IF(A854="",,
 IF(K854="Initial principal",
   Input!$C$2 * M854,
   N854 * M854
 )
)</f>
        <v/>
      </c>
      <c r="P854" s="18" t="str">
        <f t="shared" si="2"/>
        <v/>
      </c>
      <c r="Q854" s="18" t="str">
        <f t="shared" si="3"/>
        <v/>
      </c>
      <c r="R854" s="18" t="str">
        <f t="array" ref="R854">IF(
  B854="",
  ,
  SWITCH(
    Input!$C$4,
    "Actual/365 Fixed",
      YEARFRAC(
        B854 + IF(INDEX(Input!$K$7:$K1503,ROW()-1),0,1),
        C854 + IF(INDEX(Input!$L$7:$L1503,ROW()-1),1,0),
        3
      ),
    "Anniversary/365",
      DATEDIF(
        B854 + IF(INDEX(Input!$K$7:$K1503,ROW()-1),0,1),
        C854 + IF(INDEX(Input!$L$7:$L1503,ROW()-1),1,0),
        "Y"
      )
      +
      (
        (C854 + IF(INDEX(Input!$L$7:$L1503,ROW()-1),1,0))
        -
        EDATE(
          B854 + IF(INDEX(Input!$K$7:$K1503,ROW()-1),0,1),
          12*DATEDIF(
            B854 + IF(INDEX(Input!$K$7:$K1503,ROW()-1),0,1),
            C854 + IF(INDEX(Input!$L$7:$L1503,ROW()-1),1,0),
            "Y"
          )
        )
      ) / 365,
    "Actual/Actual",
      YEARFRAC(
        B854 + IF(INDEX(Input!$K$7:$K1503,ROW()-1),0,1),
        C854 + IF(INDEX(Input!$L$7:$L1503,ROW()-1),1,0),
        1
      ),
      YEARFRAC(
        B854 + IF(INDEX(Input!$K$7:$K1503,ROW()-1),0,1),
        C854 + IF(INDEX(Input!$L$7:$L1503,ROW()-1),1,0),
        3
      )
  )
)</f>
        <v/>
      </c>
      <c r="S854" s="22" t="str">
        <f t="shared" si="4"/>
        <v/>
      </c>
      <c r="T854" s="6" t="str">
        <f t="array" ref="T854">IF(
  B854="",
  ,
  DATEDIF(
    B854 + IF(INDEX(Input!$K$7:$K1503,ROW()-1),0,1),
    C854 + IF(INDEX(Input!$L$7:$L1503,ROW()-1),1,0),
    "Y"
  )
)</f>
        <v/>
      </c>
      <c r="U854" s="6" t="str">
        <f t="array" ref="U854">IF(
  B854="",
  ,
  (C854 + IF(INDEX(Input!$L$7:$L1503,ROW()-1),1,0))
  - EDATE(
      B854 + IF(INDEX(Input!$K$7:$K1503,ROW()-1),0,1),
      12*S854
    )
)</f>
        <v/>
      </c>
      <c r="V854" s="6" t="str">
        <f t="shared" si="5"/>
        <v/>
      </c>
      <c r="W854" s="6" t="str">
        <f t="shared" si="6"/>
        <v/>
      </c>
    </row>
    <row r="855">
      <c r="A855" s="18"/>
      <c r="B855" s="18"/>
      <c r="C855" s="18"/>
      <c r="D855" s="18"/>
      <c r="E855" s="18"/>
      <c r="F855" s="18"/>
      <c r="G855" s="22"/>
      <c r="H855" s="18"/>
      <c r="I855" s="18">
        <v>0.0</v>
      </c>
      <c r="J855" s="18">
        <v>0.0</v>
      </c>
      <c r="K855" s="18"/>
      <c r="L855" s="18"/>
      <c r="M855" s="22" t="str">
        <f t="shared" si="1"/>
        <v/>
      </c>
      <c r="N855" s="18" t="str">
        <f>IF(A855="",,IF(ROW()=2, Input!$C$2 + I855, P854 + I855))</f>
        <v/>
      </c>
      <c r="O855" s="23" t="str">
        <f>IF(A855="",,
 IF(K855="Initial principal",
   Input!$C$2 * M855,
   N855 * M855
 )
)</f>
        <v/>
      </c>
      <c r="P855" s="18" t="str">
        <f t="shared" si="2"/>
        <v/>
      </c>
      <c r="Q855" s="18" t="str">
        <f t="shared" si="3"/>
        <v/>
      </c>
      <c r="R855" s="18" t="str">
        <f t="array" ref="R855">IF(
  B855="",
  ,
  SWITCH(
    Input!$C$4,
    "Actual/365 Fixed",
      YEARFRAC(
        B855 + IF(INDEX(Input!$K$7:$K1503,ROW()-1),0,1),
        C855 + IF(INDEX(Input!$L$7:$L1503,ROW()-1),1,0),
        3
      ),
    "Anniversary/365",
      DATEDIF(
        B855 + IF(INDEX(Input!$K$7:$K1503,ROW()-1),0,1),
        C855 + IF(INDEX(Input!$L$7:$L1503,ROW()-1),1,0),
        "Y"
      )
      +
      (
        (C855 + IF(INDEX(Input!$L$7:$L1503,ROW()-1),1,0))
        -
        EDATE(
          B855 + IF(INDEX(Input!$K$7:$K1503,ROW()-1),0,1),
          12*DATEDIF(
            B855 + IF(INDEX(Input!$K$7:$K1503,ROW()-1),0,1),
            C855 + IF(INDEX(Input!$L$7:$L1503,ROW()-1),1,0),
            "Y"
          )
        )
      ) / 365,
    "Actual/Actual",
      YEARFRAC(
        B855 + IF(INDEX(Input!$K$7:$K1503,ROW()-1),0,1),
        C855 + IF(INDEX(Input!$L$7:$L1503,ROW()-1),1,0),
        1
      ),
      YEARFRAC(
        B855 + IF(INDEX(Input!$K$7:$K1503,ROW()-1),0,1),
        C855 + IF(INDEX(Input!$L$7:$L1503,ROW()-1),1,0),
        3
      )
  )
)</f>
        <v/>
      </c>
      <c r="S855" s="22" t="str">
        <f t="shared" si="4"/>
        <v/>
      </c>
      <c r="T855" s="6" t="str">
        <f t="array" ref="T855">IF(
  B855="",
  ,
  DATEDIF(
    B855 + IF(INDEX(Input!$K$7:$K1503,ROW()-1),0,1),
    C855 + IF(INDEX(Input!$L$7:$L1503,ROW()-1),1,0),
    "Y"
  )
)</f>
        <v/>
      </c>
      <c r="U855" s="6" t="str">
        <f t="array" ref="U855">IF(
  B855="",
  ,
  (C855 + IF(INDEX(Input!$L$7:$L1503,ROW()-1),1,0))
  - EDATE(
      B855 + IF(INDEX(Input!$K$7:$K1503,ROW()-1),0,1),
      12*S855
    )
)</f>
        <v/>
      </c>
      <c r="V855" s="6" t="str">
        <f t="shared" si="5"/>
        <v/>
      </c>
      <c r="W855" s="6" t="str">
        <f t="shared" si="6"/>
        <v/>
      </c>
    </row>
    <row r="856">
      <c r="A856" s="18"/>
      <c r="B856" s="18"/>
      <c r="C856" s="18"/>
      <c r="D856" s="18"/>
      <c r="E856" s="18"/>
      <c r="F856" s="18"/>
      <c r="G856" s="22"/>
      <c r="H856" s="18"/>
      <c r="I856" s="18">
        <v>0.0</v>
      </c>
      <c r="J856" s="18">
        <v>0.0</v>
      </c>
      <c r="K856" s="18"/>
      <c r="L856" s="18"/>
      <c r="M856" s="22" t="str">
        <f t="shared" si="1"/>
        <v/>
      </c>
      <c r="N856" s="18" t="str">
        <f>IF(A856="",,IF(ROW()=2, Input!$C$2 + I856, P855 + I856))</f>
        <v/>
      </c>
      <c r="O856" s="23" t="str">
        <f>IF(A856="",,
 IF(K856="Initial principal",
   Input!$C$2 * M856,
   N856 * M856
 )
)</f>
        <v/>
      </c>
      <c r="P856" s="18" t="str">
        <f t="shared" si="2"/>
        <v/>
      </c>
      <c r="Q856" s="18" t="str">
        <f t="shared" si="3"/>
        <v/>
      </c>
      <c r="R856" s="18" t="str">
        <f t="array" ref="R856">IF(
  B856="",
  ,
  SWITCH(
    Input!$C$4,
    "Actual/365 Fixed",
      YEARFRAC(
        B856 + IF(INDEX(Input!$K$7:$K1503,ROW()-1),0,1),
        C856 + IF(INDEX(Input!$L$7:$L1503,ROW()-1),1,0),
        3
      ),
    "Anniversary/365",
      DATEDIF(
        B856 + IF(INDEX(Input!$K$7:$K1503,ROW()-1),0,1),
        C856 + IF(INDEX(Input!$L$7:$L1503,ROW()-1),1,0),
        "Y"
      )
      +
      (
        (C856 + IF(INDEX(Input!$L$7:$L1503,ROW()-1),1,0))
        -
        EDATE(
          B856 + IF(INDEX(Input!$K$7:$K1503,ROW()-1),0,1),
          12*DATEDIF(
            B856 + IF(INDEX(Input!$K$7:$K1503,ROW()-1),0,1),
            C856 + IF(INDEX(Input!$L$7:$L1503,ROW()-1),1,0),
            "Y"
          )
        )
      ) / 365,
    "Actual/Actual",
      YEARFRAC(
        B856 + IF(INDEX(Input!$K$7:$K1503,ROW()-1),0,1),
        C856 + IF(INDEX(Input!$L$7:$L1503,ROW()-1),1,0),
        1
      ),
      YEARFRAC(
        B856 + IF(INDEX(Input!$K$7:$K1503,ROW()-1),0,1),
        C856 + IF(INDEX(Input!$L$7:$L1503,ROW()-1),1,0),
        3
      )
  )
)</f>
        <v/>
      </c>
      <c r="S856" s="22" t="str">
        <f t="shared" si="4"/>
        <v/>
      </c>
      <c r="T856" s="6" t="str">
        <f t="array" ref="T856">IF(
  B856="",
  ,
  DATEDIF(
    B856 + IF(INDEX(Input!$K$7:$K1503,ROW()-1),0,1),
    C856 + IF(INDEX(Input!$L$7:$L1503,ROW()-1),1,0),
    "Y"
  )
)</f>
        <v/>
      </c>
      <c r="U856" s="6" t="str">
        <f t="array" ref="U856">IF(
  B856="",
  ,
  (C856 + IF(INDEX(Input!$L$7:$L1503,ROW()-1),1,0))
  - EDATE(
      B856 + IF(INDEX(Input!$K$7:$K1503,ROW()-1),0,1),
      12*S856
    )
)</f>
        <v/>
      </c>
      <c r="V856" s="6" t="str">
        <f t="shared" si="5"/>
        <v/>
      </c>
      <c r="W856" s="6" t="str">
        <f t="shared" si="6"/>
        <v/>
      </c>
    </row>
    <row r="857">
      <c r="A857" s="18"/>
      <c r="B857" s="18"/>
      <c r="C857" s="18"/>
      <c r="D857" s="18"/>
      <c r="E857" s="18"/>
      <c r="F857" s="18"/>
      <c r="G857" s="22"/>
      <c r="H857" s="18"/>
      <c r="I857" s="18">
        <v>0.0</v>
      </c>
      <c r="J857" s="18">
        <v>0.0</v>
      </c>
      <c r="K857" s="18"/>
      <c r="L857" s="18"/>
      <c r="M857" s="22" t="str">
        <f t="shared" si="1"/>
        <v/>
      </c>
      <c r="N857" s="18" t="str">
        <f>IF(A857="",,IF(ROW()=2, Input!$C$2 + I857, P856 + I857))</f>
        <v/>
      </c>
      <c r="O857" s="23" t="str">
        <f>IF(A857="",,
 IF(K857="Initial principal",
   Input!$C$2 * M857,
   N857 * M857
 )
)</f>
        <v/>
      </c>
      <c r="P857" s="18" t="str">
        <f t="shared" si="2"/>
        <v/>
      </c>
      <c r="Q857" s="18" t="str">
        <f t="shared" si="3"/>
        <v/>
      </c>
      <c r="R857" s="18" t="str">
        <f t="array" ref="R857">IF(
  B857="",
  ,
  SWITCH(
    Input!$C$4,
    "Actual/365 Fixed",
      YEARFRAC(
        B857 + IF(INDEX(Input!$K$7:$K1503,ROW()-1),0,1),
        C857 + IF(INDEX(Input!$L$7:$L1503,ROW()-1),1,0),
        3
      ),
    "Anniversary/365",
      DATEDIF(
        B857 + IF(INDEX(Input!$K$7:$K1503,ROW()-1),0,1),
        C857 + IF(INDEX(Input!$L$7:$L1503,ROW()-1),1,0),
        "Y"
      )
      +
      (
        (C857 + IF(INDEX(Input!$L$7:$L1503,ROW()-1),1,0))
        -
        EDATE(
          B857 + IF(INDEX(Input!$K$7:$K1503,ROW()-1),0,1),
          12*DATEDIF(
            B857 + IF(INDEX(Input!$K$7:$K1503,ROW()-1),0,1),
            C857 + IF(INDEX(Input!$L$7:$L1503,ROW()-1),1,0),
            "Y"
          )
        )
      ) / 365,
    "Actual/Actual",
      YEARFRAC(
        B857 + IF(INDEX(Input!$K$7:$K1503,ROW()-1),0,1),
        C857 + IF(INDEX(Input!$L$7:$L1503,ROW()-1),1,0),
        1
      ),
      YEARFRAC(
        B857 + IF(INDEX(Input!$K$7:$K1503,ROW()-1),0,1),
        C857 + IF(INDEX(Input!$L$7:$L1503,ROW()-1),1,0),
        3
      )
  )
)</f>
        <v/>
      </c>
      <c r="S857" s="22" t="str">
        <f t="shared" si="4"/>
        <v/>
      </c>
      <c r="T857" s="6" t="str">
        <f t="array" ref="T857">IF(
  B857="",
  ,
  DATEDIF(
    B857 + IF(INDEX(Input!$K$7:$K1503,ROW()-1),0,1),
    C857 + IF(INDEX(Input!$L$7:$L1503,ROW()-1),1,0),
    "Y"
  )
)</f>
        <v/>
      </c>
      <c r="U857" s="6" t="str">
        <f t="array" ref="U857">IF(
  B857="",
  ,
  (C857 + IF(INDEX(Input!$L$7:$L1503,ROW()-1),1,0))
  - EDATE(
      B857 + IF(INDEX(Input!$K$7:$K1503,ROW()-1),0,1),
      12*S857
    )
)</f>
        <v/>
      </c>
      <c r="V857" s="6" t="str">
        <f t="shared" si="5"/>
        <v/>
      </c>
      <c r="W857" s="6" t="str">
        <f t="shared" si="6"/>
        <v/>
      </c>
    </row>
    <row r="858">
      <c r="A858" s="18"/>
      <c r="B858" s="18"/>
      <c r="C858" s="18"/>
      <c r="D858" s="18"/>
      <c r="E858" s="18"/>
      <c r="F858" s="18"/>
      <c r="G858" s="22"/>
      <c r="H858" s="18"/>
      <c r="I858" s="18">
        <v>0.0</v>
      </c>
      <c r="J858" s="18">
        <v>0.0</v>
      </c>
      <c r="K858" s="18"/>
      <c r="L858" s="18"/>
      <c r="M858" s="22" t="str">
        <f t="shared" si="1"/>
        <v/>
      </c>
      <c r="N858" s="18" t="str">
        <f>IF(A858="",,IF(ROW()=2, Input!$C$2 + I858, P857 + I858))</f>
        <v/>
      </c>
      <c r="O858" s="23" t="str">
        <f>IF(A858="",,
 IF(K858="Initial principal",
   Input!$C$2 * M858,
   N858 * M858
 )
)</f>
        <v/>
      </c>
      <c r="P858" s="18" t="str">
        <f t="shared" si="2"/>
        <v/>
      </c>
      <c r="Q858" s="18" t="str">
        <f t="shared" si="3"/>
        <v/>
      </c>
      <c r="R858" s="18" t="str">
        <f t="array" ref="R858">IF(
  B858="",
  ,
  SWITCH(
    Input!$C$4,
    "Actual/365 Fixed",
      YEARFRAC(
        B858 + IF(INDEX(Input!$K$7:$K1503,ROW()-1),0,1),
        C858 + IF(INDEX(Input!$L$7:$L1503,ROW()-1),1,0),
        3
      ),
    "Anniversary/365",
      DATEDIF(
        B858 + IF(INDEX(Input!$K$7:$K1503,ROW()-1),0,1),
        C858 + IF(INDEX(Input!$L$7:$L1503,ROW()-1),1,0),
        "Y"
      )
      +
      (
        (C858 + IF(INDEX(Input!$L$7:$L1503,ROW()-1),1,0))
        -
        EDATE(
          B858 + IF(INDEX(Input!$K$7:$K1503,ROW()-1),0,1),
          12*DATEDIF(
            B858 + IF(INDEX(Input!$K$7:$K1503,ROW()-1),0,1),
            C858 + IF(INDEX(Input!$L$7:$L1503,ROW()-1),1,0),
            "Y"
          )
        )
      ) / 365,
    "Actual/Actual",
      YEARFRAC(
        B858 + IF(INDEX(Input!$K$7:$K1503,ROW()-1),0,1),
        C858 + IF(INDEX(Input!$L$7:$L1503,ROW()-1),1,0),
        1
      ),
      YEARFRAC(
        B858 + IF(INDEX(Input!$K$7:$K1503,ROW()-1),0,1),
        C858 + IF(INDEX(Input!$L$7:$L1503,ROW()-1),1,0),
        3
      )
  )
)</f>
        <v/>
      </c>
      <c r="S858" s="22" t="str">
        <f t="shared" si="4"/>
        <v/>
      </c>
      <c r="T858" s="6" t="str">
        <f t="array" ref="T858">IF(
  B858="",
  ,
  DATEDIF(
    B858 + IF(INDEX(Input!$K$7:$K1503,ROW()-1),0,1),
    C858 + IF(INDEX(Input!$L$7:$L1503,ROW()-1),1,0),
    "Y"
  )
)</f>
        <v/>
      </c>
      <c r="U858" s="6" t="str">
        <f t="array" ref="U858">IF(
  B858="",
  ,
  (C858 + IF(INDEX(Input!$L$7:$L1503,ROW()-1),1,0))
  - EDATE(
      B858 + IF(INDEX(Input!$K$7:$K1503,ROW()-1),0,1),
      12*S858
    )
)</f>
        <v/>
      </c>
      <c r="V858" s="6" t="str">
        <f t="shared" si="5"/>
        <v/>
      </c>
      <c r="W858" s="6" t="str">
        <f t="shared" si="6"/>
        <v/>
      </c>
    </row>
    <row r="859">
      <c r="A859" s="18"/>
      <c r="B859" s="18"/>
      <c r="C859" s="18"/>
      <c r="D859" s="18"/>
      <c r="E859" s="18"/>
      <c r="F859" s="18"/>
      <c r="G859" s="22"/>
      <c r="H859" s="18"/>
      <c r="I859" s="18">
        <v>0.0</v>
      </c>
      <c r="J859" s="18">
        <v>0.0</v>
      </c>
      <c r="K859" s="18"/>
      <c r="L859" s="18"/>
      <c r="M859" s="22" t="str">
        <f t="shared" si="1"/>
        <v/>
      </c>
      <c r="N859" s="18" t="str">
        <f>IF(A859="",,IF(ROW()=2, Input!$C$2 + I859, P858 + I859))</f>
        <v/>
      </c>
      <c r="O859" s="23" t="str">
        <f>IF(A859="",,
 IF(K859="Initial principal",
   Input!$C$2 * M859,
   N859 * M859
 )
)</f>
        <v/>
      </c>
      <c r="P859" s="18" t="str">
        <f t="shared" si="2"/>
        <v/>
      </c>
      <c r="Q859" s="18" t="str">
        <f t="shared" si="3"/>
        <v/>
      </c>
      <c r="R859" s="18" t="str">
        <f t="array" ref="R859">IF(
  B859="",
  ,
  SWITCH(
    Input!$C$4,
    "Actual/365 Fixed",
      YEARFRAC(
        B859 + IF(INDEX(Input!$K$7:$K1503,ROW()-1),0,1),
        C859 + IF(INDEX(Input!$L$7:$L1503,ROW()-1),1,0),
        3
      ),
    "Anniversary/365",
      DATEDIF(
        B859 + IF(INDEX(Input!$K$7:$K1503,ROW()-1),0,1),
        C859 + IF(INDEX(Input!$L$7:$L1503,ROW()-1),1,0),
        "Y"
      )
      +
      (
        (C859 + IF(INDEX(Input!$L$7:$L1503,ROW()-1),1,0))
        -
        EDATE(
          B859 + IF(INDEX(Input!$K$7:$K1503,ROW()-1),0,1),
          12*DATEDIF(
            B859 + IF(INDEX(Input!$K$7:$K1503,ROW()-1),0,1),
            C859 + IF(INDEX(Input!$L$7:$L1503,ROW()-1),1,0),
            "Y"
          )
        )
      ) / 365,
    "Actual/Actual",
      YEARFRAC(
        B859 + IF(INDEX(Input!$K$7:$K1503,ROW()-1),0,1),
        C859 + IF(INDEX(Input!$L$7:$L1503,ROW()-1),1,0),
        1
      ),
      YEARFRAC(
        B859 + IF(INDEX(Input!$K$7:$K1503,ROW()-1),0,1),
        C859 + IF(INDEX(Input!$L$7:$L1503,ROW()-1),1,0),
        3
      )
  )
)</f>
        <v/>
      </c>
      <c r="S859" s="22" t="str">
        <f t="shared" si="4"/>
        <v/>
      </c>
      <c r="T859" s="6" t="str">
        <f t="array" ref="T859">IF(
  B859="",
  ,
  DATEDIF(
    B859 + IF(INDEX(Input!$K$7:$K1503,ROW()-1),0,1),
    C859 + IF(INDEX(Input!$L$7:$L1503,ROW()-1),1,0),
    "Y"
  )
)</f>
        <v/>
      </c>
      <c r="U859" s="6" t="str">
        <f t="array" ref="U859">IF(
  B859="",
  ,
  (C859 + IF(INDEX(Input!$L$7:$L1503,ROW()-1),1,0))
  - EDATE(
      B859 + IF(INDEX(Input!$K$7:$K1503,ROW()-1),0,1),
      12*S859
    )
)</f>
        <v/>
      </c>
      <c r="V859" s="6" t="str">
        <f t="shared" si="5"/>
        <v/>
      </c>
      <c r="W859" s="6" t="str">
        <f t="shared" si="6"/>
        <v/>
      </c>
    </row>
    <row r="860">
      <c r="A860" s="18"/>
      <c r="B860" s="18"/>
      <c r="C860" s="18"/>
      <c r="D860" s="18"/>
      <c r="E860" s="18"/>
      <c r="F860" s="18"/>
      <c r="G860" s="22"/>
      <c r="H860" s="18"/>
      <c r="I860" s="18">
        <v>0.0</v>
      </c>
      <c r="J860" s="18">
        <v>0.0</v>
      </c>
      <c r="K860" s="18"/>
      <c r="L860" s="18"/>
      <c r="M860" s="22" t="str">
        <f t="shared" si="1"/>
        <v/>
      </c>
      <c r="N860" s="18" t="str">
        <f>IF(A860="",,IF(ROW()=2, Input!$C$2 + I860, P859 + I860))</f>
        <v/>
      </c>
      <c r="O860" s="23" t="str">
        <f>IF(A860="",,
 IF(K860="Initial principal",
   Input!$C$2 * M860,
   N860 * M860
 )
)</f>
        <v/>
      </c>
      <c r="P860" s="18" t="str">
        <f t="shared" si="2"/>
        <v/>
      </c>
      <c r="Q860" s="18" t="str">
        <f t="shared" si="3"/>
        <v/>
      </c>
      <c r="R860" s="18" t="str">
        <f t="array" ref="R860">IF(
  B860="",
  ,
  SWITCH(
    Input!$C$4,
    "Actual/365 Fixed",
      YEARFRAC(
        B860 + IF(INDEX(Input!$K$7:$K1503,ROW()-1),0,1),
        C860 + IF(INDEX(Input!$L$7:$L1503,ROW()-1),1,0),
        3
      ),
    "Anniversary/365",
      DATEDIF(
        B860 + IF(INDEX(Input!$K$7:$K1503,ROW()-1),0,1),
        C860 + IF(INDEX(Input!$L$7:$L1503,ROW()-1),1,0),
        "Y"
      )
      +
      (
        (C860 + IF(INDEX(Input!$L$7:$L1503,ROW()-1),1,0))
        -
        EDATE(
          B860 + IF(INDEX(Input!$K$7:$K1503,ROW()-1),0,1),
          12*DATEDIF(
            B860 + IF(INDEX(Input!$K$7:$K1503,ROW()-1),0,1),
            C860 + IF(INDEX(Input!$L$7:$L1503,ROW()-1),1,0),
            "Y"
          )
        )
      ) / 365,
    "Actual/Actual",
      YEARFRAC(
        B860 + IF(INDEX(Input!$K$7:$K1503,ROW()-1),0,1),
        C860 + IF(INDEX(Input!$L$7:$L1503,ROW()-1),1,0),
        1
      ),
      YEARFRAC(
        B860 + IF(INDEX(Input!$K$7:$K1503,ROW()-1),0,1),
        C860 + IF(INDEX(Input!$L$7:$L1503,ROW()-1),1,0),
        3
      )
  )
)</f>
        <v/>
      </c>
      <c r="S860" s="22" t="str">
        <f t="shared" si="4"/>
        <v/>
      </c>
      <c r="T860" s="6" t="str">
        <f t="array" ref="T860">IF(
  B860="",
  ,
  DATEDIF(
    B860 + IF(INDEX(Input!$K$7:$K1503,ROW()-1),0,1),
    C860 + IF(INDEX(Input!$L$7:$L1503,ROW()-1),1,0),
    "Y"
  )
)</f>
        <v/>
      </c>
      <c r="U860" s="6" t="str">
        <f t="array" ref="U860">IF(
  B860="",
  ,
  (C860 + IF(INDEX(Input!$L$7:$L1503,ROW()-1),1,0))
  - EDATE(
      B860 + IF(INDEX(Input!$K$7:$K1503,ROW()-1),0,1),
      12*S860
    )
)</f>
        <v/>
      </c>
      <c r="V860" s="6" t="str">
        <f t="shared" si="5"/>
        <v/>
      </c>
      <c r="W860" s="6" t="str">
        <f t="shared" si="6"/>
        <v/>
      </c>
    </row>
    <row r="861">
      <c r="A861" s="18"/>
      <c r="B861" s="18"/>
      <c r="C861" s="18"/>
      <c r="D861" s="18"/>
      <c r="E861" s="18"/>
      <c r="F861" s="18"/>
      <c r="G861" s="22"/>
      <c r="H861" s="18"/>
      <c r="I861" s="18">
        <v>0.0</v>
      </c>
      <c r="J861" s="18">
        <v>0.0</v>
      </c>
      <c r="K861" s="18"/>
      <c r="L861" s="18"/>
      <c r="M861" s="22" t="str">
        <f t="shared" si="1"/>
        <v/>
      </c>
      <c r="N861" s="18" t="str">
        <f>IF(A861="",,IF(ROW()=2, Input!$C$2 + I861, P860 + I861))</f>
        <v/>
      </c>
      <c r="O861" s="23" t="str">
        <f>IF(A861="",,
 IF(K861="Initial principal",
   Input!$C$2 * M861,
   N861 * M861
 )
)</f>
        <v/>
      </c>
      <c r="P861" s="18" t="str">
        <f t="shared" si="2"/>
        <v/>
      </c>
      <c r="Q861" s="18" t="str">
        <f t="shared" si="3"/>
        <v/>
      </c>
      <c r="R861" s="18" t="str">
        <f t="array" ref="R861">IF(
  B861="",
  ,
  SWITCH(
    Input!$C$4,
    "Actual/365 Fixed",
      YEARFRAC(
        B861 + IF(INDEX(Input!$K$7:$K1503,ROW()-1),0,1),
        C861 + IF(INDEX(Input!$L$7:$L1503,ROW()-1),1,0),
        3
      ),
    "Anniversary/365",
      DATEDIF(
        B861 + IF(INDEX(Input!$K$7:$K1503,ROW()-1),0,1),
        C861 + IF(INDEX(Input!$L$7:$L1503,ROW()-1),1,0),
        "Y"
      )
      +
      (
        (C861 + IF(INDEX(Input!$L$7:$L1503,ROW()-1),1,0))
        -
        EDATE(
          B861 + IF(INDEX(Input!$K$7:$K1503,ROW()-1),0,1),
          12*DATEDIF(
            B861 + IF(INDEX(Input!$K$7:$K1503,ROW()-1),0,1),
            C861 + IF(INDEX(Input!$L$7:$L1503,ROW()-1),1,0),
            "Y"
          )
        )
      ) / 365,
    "Actual/Actual",
      YEARFRAC(
        B861 + IF(INDEX(Input!$K$7:$K1503,ROW()-1),0,1),
        C861 + IF(INDEX(Input!$L$7:$L1503,ROW()-1),1,0),
        1
      ),
      YEARFRAC(
        B861 + IF(INDEX(Input!$K$7:$K1503,ROW()-1),0,1),
        C861 + IF(INDEX(Input!$L$7:$L1503,ROW()-1),1,0),
        3
      )
  )
)</f>
        <v/>
      </c>
      <c r="S861" s="22" t="str">
        <f t="shared" si="4"/>
        <v/>
      </c>
      <c r="T861" s="6" t="str">
        <f t="array" ref="T861">IF(
  B861="",
  ,
  DATEDIF(
    B861 + IF(INDEX(Input!$K$7:$K1503,ROW()-1),0,1),
    C861 + IF(INDEX(Input!$L$7:$L1503,ROW()-1),1,0),
    "Y"
  )
)</f>
        <v/>
      </c>
      <c r="U861" s="6" t="str">
        <f t="array" ref="U861">IF(
  B861="",
  ,
  (C861 + IF(INDEX(Input!$L$7:$L1503,ROW()-1),1,0))
  - EDATE(
      B861 + IF(INDEX(Input!$K$7:$K1503,ROW()-1),0,1),
      12*S861
    )
)</f>
        <v/>
      </c>
      <c r="V861" s="6" t="str">
        <f t="shared" si="5"/>
        <v/>
      </c>
      <c r="W861" s="6" t="str">
        <f t="shared" si="6"/>
        <v/>
      </c>
    </row>
    <row r="862">
      <c r="A862" s="18"/>
      <c r="B862" s="18"/>
      <c r="C862" s="18"/>
      <c r="D862" s="18"/>
      <c r="E862" s="18"/>
      <c r="F862" s="18"/>
      <c r="G862" s="22"/>
      <c r="H862" s="18"/>
      <c r="I862" s="18">
        <v>0.0</v>
      </c>
      <c r="J862" s="18">
        <v>0.0</v>
      </c>
      <c r="K862" s="18"/>
      <c r="L862" s="18"/>
      <c r="M862" s="22" t="str">
        <f t="shared" si="1"/>
        <v/>
      </c>
      <c r="N862" s="18" t="str">
        <f>IF(A862="",,IF(ROW()=2, Input!$C$2 + I862, P861 + I862))</f>
        <v/>
      </c>
      <c r="O862" s="23" t="str">
        <f>IF(A862="",,
 IF(K862="Initial principal",
   Input!$C$2 * M862,
   N862 * M862
 )
)</f>
        <v/>
      </c>
      <c r="P862" s="18" t="str">
        <f t="shared" si="2"/>
        <v/>
      </c>
      <c r="Q862" s="18" t="str">
        <f t="shared" si="3"/>
        <v/>
      </c>
      <c r="R862" s="18" t="str">
        <f t="array" ref="R862">IF(
  B862="",
  ,
  SWITCH(
    Input!$C$4,
    "Actual/365 Fixed",
      YEARFRAC(
        B862 + IF(INDEX(Input!$K$7:$K1503,ROW()-1),0,1),
        C862 + IF(INDEX(Input!$L$7:$L1503,ROW()-1),1,0),
        3
      ),
    "Anniversary/365",
      DATEDIF(
        B862 + IF(INDEX(Input!$K$7:$K1503,ROW()-1),0,1),
        C862 + IF(INDEX(Input!$L$7:$L1503,ROW()-1),1,0),
        "Y"
      )
      +
      (
        (C862 + IF(INDEX(Input!$L$7:$L1503,ROW()-1),1,0))
        -
        EDATE(
          B862 + IF(INDEX(Input!$K$7:$K1503,ROW()-1),0,1),
          12*DATEDIF(
            B862 + IF(INDEX(Input!$K$7:$K1503,ROW()-1),0,1),
            C862 + IF(INDEX(Input!$L$7:$L1503,ROW()-1),1,0),
            "Y"
          )
        )
      ) / 365,
    "Actual/Actual",
      YEARFRAC(
        B862 + IF(INDEX(Input!$K$7:$K1503,ROW()-1),0,1),
        C862 + IF(INDEX(Input!$L$7:$L1503,ROW()-1),1,0),
        1
      ),
      YEARFRAC(
        B862 + IF(INDEX(Input!$K$7:$K1503,ROW()-1),0,1),
        C862 + IF(INDEX(Input!$L$7:$L1503,ROW()-1),1,0),
        3
      )
  )
)</f>
        <v/>
      </c>
      <c r="S862" s="22" t="str">
        <f t="shared" si="4"/>
        <v/>
      </c>
      <c r="T862" s="6" t="str">
        <f t="array" ref="T862">IF(
  B862="",
  ,
  DATEDIF(
    B862 + IF(INDEX(Input!$K$7:$K1503,ROW()-1),0,1),
    C862 + IF(INDEX(Input!$L$7:$L1503,ROW()-1),1,0),
    "Y"
  )
)</f>
        <v/>
      </c>
      <c r="U862" s="6" t="str">
        <f t="array" ref="U862">IF(
  B862="",
  ,
  (C862 + IF(INDEX(Input!$L$7:$L1503,ROW()-1),1,0))
  - EDATE(
      B862 + IF(INDEX(Input!$K$7:$K1503,ROW()-1),0,1),
      12*S862
    )
)</f>
        <v/>
      </c>
      <c r="V862" s="6" t="str">
        <f t="shared" si="5"/>
        <v/>
      </c>
      <c r="W862" s="6" t="str">
        <f t="shared" si="6"/>
        <v/>
      </c>
    </row>
    <row r="863">
      <c r="A863" s="18"/>
      <c r="B863" s="18"/>
      <c r="C863" s="18"/>
      <c r="D863" s="18"/>
      <c r="E863" s="18"/>
      <c r="F863" s="18"/>
      <c r="G863" s="22"/>
      <c r="H863" s="18"/>
      <c r="I863" s="18">
        <v>0.0</v>
      </c>
      <c r="J863" s="18">
        <v>0.0</v>
      </c>
      <c r="K863" s="18"/>
      <c r="L863" s="18"/>
      <c r="M863" s="22" t="str">
        <f t="shared" si="1"/>
        <v/>
      </c>
      <c r="N863" s="18" t="str">
        <f>IF(A863="",,IF(ROW()=2, Input!$C$2 + I863, P862 + I863))</f>
        <v/>
      </c>
      <c r="O863" s="23" t="str">
        <f>IF(A863="",,
 IF(K863="Initial principal",
   Input!$C$2 * M863,
   N863 * M863
 )
)</f>
        <v/>
      </c>
      <c r="P863" s="18" t="str">
        <f t="shared" si="2"/>
        <v/>
      </c>
      <c r="Q863" s="18" t="str">
        <f t="shared" si="3"/>
        <v/>
      </c>
      <c r="R863" s="18" t="str">
        <f t="array" ref="R863">IF(
  B863="",
  ,
  SWITCH(
    Input!$C$4,
    "Actual/365 Fixed",
      YEARFRAC(
        B863 + IF(INDEX(Input!$K$7:$K1503,ROW()-1),0,1),
        C863 + IF(INDEX(Input!$L$7:$L1503,ROW()-1),1,0),
        3
      ),
    "Anniversary/365",
      DATEDIF(
        B863 + IF(INDEX(Input!$K$7:$K1503,ROW()-1),0,1),
        C863 + IF(INDEX(Input!$L$7:$L1503,ROW()-1),1,0),
        "Y"
      )
      +
      (
        (C863 + IF(INDEX(Input!$L$7:$L1503,ROW()-1),1,0))
        -
        EDATE(
          B863 + IF(INDEX(Input!$K$7:$K1503,ROW()-1),0,1),
          12*DATEDIF(
            B863 + IF(INDEX(Input!$K$7:$K1503,ROW()-1),0,1),
            C863 + IF(INDEX(Input!$L$7:$L1503,ROW()-1),1,0),
            "Y"
          )
        )
      ) / 365,
    "Actual/Actual",
      YEARFRAC(
        B863 + IF(INDEX(Input!$K$7:$K1503,ROW()-1),0,1),
        C863 + IF(INDEX(Input!$L$7:$L1503,ROW()-1),1,0),
        1
      ),
      YEARFRAC(
        B863 + IF(INDEX(Input!$K$7:$K1503,ROW()-1),0,1),
        C863 + IF(INDEX(Input!$L$7:$L1503,ROW()-1),1,0),
        3
      )
  )
)</f>
        <v/>
      </c>
      <c r="S863" s="22" t="str">
        <f t="shared" si="4"/>
        <v/>
      </c>
      <c r="T863" s="6" t="str">
        <f t="array" ref="T863">IF(
  B863="",
  ,
  DATEDIF(
    B863 + IF(INDEX(Input!$K$7:$K1503,ROW()-1),0,1),
    C863 + IF(INDEX(Input!$L$7:$L1503,ROW()-1),1,0),
    "Y"
  )
)</f>
        <v/>
      </c>
      <c r="U863" s="6" t="str">
        <f t="array" ref="U863">IF(
  B863="",
  ,
  (C863 + IF(INDEX(Input!$L$7:$L1503,ROW()-1),1,0))
  - EDATE(
      B863 + IF(INDEX(Input!$K$7:$K1503,ROW()-1),0,1),
      12*S863
    )
)</f>
        <v/>
      </c>
      <c r="V863" s="6" t="str">
        <f t="shared" si="5"/>
        <v/>
      </c>
      <c r="W863" s="6" t="str">
        <f t="shared" si="6"/>
        <v/>
      </c>
    </row>
    <row r="864">
      <c r="A864" s="18"/>
      <c r="B864" s="18"/>
      <c r="C864" s="18"/>
      <c r="D864" s="18"/>
      <c r="E864" s="18"/>
      <c r="F864" s="18"/>
      <c r="G864" s="22"/>
      <c r="H864" s="18"/>
      <c r="I864" s="18">
        <v>0.0</v>
      </c>
      <c r="J864" s="18">
        <v>0.0</v>
      </c>
      <c r="K864" s="18"/>
      <c r="L864" s="18"/>
      <c r="M864" s="22" t="str">
        <f t="shared" si="1"/>
        <v/>
      </c>
      <c r="N864" s="18" t="str">
        <f>IF(A864="",,IF(ROW()=2, Input!$C$2 + I864, P863 + I864))</f>
        <v/>
      </c>
      <c r="O864" s="23" t="str">
        <f>IF(A864="",,
 IF(K864="Initial principal",
   Input!$C$2 * M864,
   N864 * M864
 )
)</f>
        <v/>
      </c>
      <c r="P864" s="18" t="str">
        <f t="shared" si="2"/>
        <v/>
      </c>
      <c r="Q864" s="18" t="str">
        <f t="shared" si="3"/>
        <v/>
      </c>
      <c r="R864" s="18" t="str">
        <f t="array" ref="R864">IF(
  B864="",
  ,
  SWITCH(
    Input!$C$4,
    "Actual/365 Fixed",
      YEARFRAC(
        B864 + IF(INDEX(Input!$K$7:$K1503,ROW()-1),0,1),
        C864 + IF(INDEX(Input!$L$7:$L1503,ROW()-1),1,0),
        3
      ),
    "Anniversary/365",
      DATEDIF(
        B864 + IF(INDEX(Input!$K$7:$K1503,ROW()-1),0,1),
        C864 + IF(INDEX(Input!$L$7:$L1503,ROW()-1),1,0),
        "Y"
      )
      +
      (
        (C864 + IF(INDEX(Input!$L$7:$L1503,ROW()-1),1,0))
        -
        EDATE(
          B864 + IF(INDEX(Input!$K$7:$K1503,ROW()-1),0,1),
          12*DATEDIF(
            B864 + IF(INDEX(Input!$K$7:$K1503,ROW()-1),0,1),
            C864 + IF(INDEX(Input!$L$7:$L1503,ROW()-1),1,0),
            "Y"
          )
        )
      ) / 365,
    "Actual/Actual",
      YEARFRAC(
        B864 + IF(INDEX(Input!$K$7:$K1503,ROW()-1),0,1),
        C864 + IF(INDEX(Input!$L$7:$L1503,ROW()-1),1,0),
        1
      ),
      YEARFRAC(
        B864 + IF(INDEX(Input!$K$7:$K1503,ROW()-1),0,1),
        C864 + IF(INDEX(Input!$L$7:$L1503,ROW()-1),1,0),
        3
      )
  )
)</f>
        <v/>
      </c>
      <c r="S864" s="22" t="str">
        <f t="shared" si="4"/>
        <v/>
      </c>
      <c r="T864" s="6" t="str">
        <f t="array" ref="T864">IF(
  B864="",
  ,
  DATEDIF(
    B864 + IF(INDEX(Input!$K$7:$K1503,ROW()-1),0,1),
    C864 + IF(INDEX(Input!$L$7:$L1503,ROW()-1),1,0),
    "Y"
  )
)</f>
        <v/>
      </c>
      <c r="U864" s="6" t="str">
        <f t="array" ref="U864">IF(
  B864="",
  ,
  (C864 + IF(INDEX(Input!$L$7:$L1503,ROW()-1),1,0))
  - EDATE(
      B864 + IF(INDEX(Input!$K$7:$K1503,ROW()-1),0,1),
      12*S864
    )
)</f>
        <v/>
      </c>
      <c r="V864" s="6" t="str">
        <f t="shared" si="5"/>
        <v/>
      </c>
      <c r="W864" s="6" t="str">
        <f t="shared" si="6"/>
        <v/>
      </c>
    </row>
    <row r="865">
      <c r="A865" s="18"/>
      <c r="B865" s="18"/>
      <c r="C865" s="18"/>
      <c r="D865" s="18"/>
      <c r="E865" s="18"/>
      <c r="F865" s="18"/>
      <c r="G865" s="22"/>
      <c r="H865" s="18"/>
      <c r="I865" s="18">
        <v>0.0</v>
      </c>
      <c r="J865" s="18">
        <v>0.0</v>
      </c>
      <c r="K865" s="18"/>
      <c r="L865" s="18"/>
      <c r="M865" s="22" t="str">
        <f t="shared" si="1"/>
        <v/>
      </c>
      <c r="N865" s="18" t="str">
        <f>IF(A865="",,IF(ROW()=2, Input!$C$2 + I865, P864 + I865))</f>
        <v/>
      </c>
      <c r="O865" s="23" t="str">
        <f>IF(A865="",,
 IF(K865="Initial principal",
   Input!$C$2 * M865,
   N865 * M865
 )
)</f>
        <v/>
      </c>
      <c r="P865" s="18" t="str">
        <f t="shared" si="2"/>
        <v/>
      </c>
      <c r="Q865" s="18" t="str">
        <f t="shared" si="3"/>
        <v/>
      </c>
      <c r="R865" s="18" t="str">
        <f t="array" ref="R865">IF(
  B865="",
  ,
  SWITCH(
    Input!$C$4,
    "Actual/365 Fixed",
      YEARFRAC(
        B865 + IF(INDEX(Input!$K$7:$K1503,ROW()-1),0,1),
        C865 + IF(INDEX(Input!$L$7:$L1503,ROW()-1),1,0),
        3
      ),
    "Anniversary/365",
      DATEDIF(
        B865 + IF(INDEX(Input!$K$7:$K1503,ROW()-1),0,1),
        C865 + IF(INDEX(Input!$L$7:$L1503,ROW()-1),1,0),
        "Y"
      )
      +
      (
        (C865 + IF(INDEX(Input!$L$7:$L1503,ROW()-1),1,0))
        -
        EDATE(
          B865 + IF(INDEX(Input!$K$7:$K1503,ROW()-1),0,1),
          12*DATEDIF(
            B865 + IF(INDEX(Input!$K$7:$K1503,ROW()-1),0,1),
            C865 + IF(INDEX(Input!$L$7:$L1503,ROW()-1),1,0),
            "Y"
          )
        )
      ) / 365,
    "Actual/Actual",
      YEARFRAC(
        B865 + IF(INDEX(Input!$K$7:$K1503,ROW()-1),0,1),
        C865 + IF(INDEX(Input!$L$7:$L1503,ROW()-1),1,0),
        1
      ),
      YEARFRAC(
        B865 + IF(INDEX(Input!$K$7:$K1503,ROW()-1),0,1),
        C865 + IF(INDEX(Input!$L$7:$L1503,ROW()-1),1,0),
        3
      )
  )
)</f>
        <v/>
      </c>
      <c r="S865" s="22" t="str">
        <f t="shared" si="4"/>
        <v/>
      </c>
      <c r="T865" s="6" t="str">
        <f t="array" ref="T865">IF(
  B865="",
  ,
  DATEDIF(
    B865 + IF(INDEX(Input!$K$7:$K1503,ROW()-1),0,1),
    C865 + IF(INDEX(Input!$L$7:$L1503,ROW()-1),1,0),
    "Y"
  )
)</f>
        <v/>
      </c>
      <c r="U865" s="6" t="str">
        <f t="array" ref="U865">IF(
  B865="",
  ,
  (C865 + IF(INDEX(Input!$L$7:$L1503,ROW()-1),1,0))
  - EDATE(
      B865 + IF(INDEX(Input!$K$7:$K1503,ROW()-1),0,1),
      12*S865
    )
)</f>
        <v/>
      </c>
      <c r="V865" s="6" t="str">
        <f t="shared" si="5"/>
        <v/>
      </c>
      <c r="W865" s="6" t="str">
        <f t="shared" si="6"/>
        <v/>
      </c>
    </row>
    <row r="866">
      <c r="A866" s="18"/>
      <c r="B866" s="18"/>
      <c r="C866" s="18"/>
      <c r="D866" s="18"/>
      <c r="E866" s="18"/>
      <c r="F866" s="18"/>
      <c r="G866" s="22"/>
      <c r="H866" s="18"/>
      <c r="I866" s="18">
        <v>0.0</v>
      </c>
      <c r="J866" s="18">
        <v>0.0</v>
      </c>
      <c r="K866" s="18"/>
      <c r="L866" s="18"/>
      <c r="M866" s="22" t="str">
        <f t="shared" si="1"/>
        <v/>
      </c>
      <c r="N866" s="18" t="str">
        <f>IF(A866="",,IF(ROW()=2, Input!$C$2 + I866, P865 + I866))</f>
        <v/>
      </c>
      <c r="O866" s="23" t="str">
        <f>IF(A866="",,
 IF(K866="Initial principal",
   Input!$C$2 * M866,
   N866 * M866
 )
)</f>
        <v/>
      </c>
      <c r="P866" s="18" t="str">
        <f t="shared" si="2"/>
        <v/>
      </c>
      <c r="Q866" s="18" t="str">
        <f t="shared" si="3"/>
        <v/>
      </c>
      <c r="R866" s="18" t="str">
        <f t="array" ref="R866">IF(
  B866="",
  ,
  SWITCH(
    Input!$C$4,
    "Actual/365 Fixed",
      YEARFRAC(
        B866 + IF(INDEX(Input!$K$7:$K1503,ROW()-1),0,1),
        C866 + IF(INDEX(Input!$L$7:$L1503,ROW()-1),1,0),
        3
      ),
    "Anniversary/365",
      DATEDIF(
        B866 + IF(INDEX(Input!$K$7:$K1503,ROW()-1),0,1),
        C866 + IF(INDEX(Input!$L$7:$L1503,ROW()-1),1,0),
        "Y"
      )
      +
      (
        (C866 + IF(INDEX(Input!$L$7:$L1503,ROW()-1),1,0))
        -
        EDATE(
          B866 + IF(INDEX(Input!$K$7:$K1503,ROW()-1),0,1),
          12*DATEDIF(
            B866 + IF(INDEX(Input!$K$7:$K1503,ROW()-1),0,1),
            C866 + IF(INDEX(Input!$L$7:$L1503,ROW()-1),1,0),
            "Y"
          )
        )
      ) / 365,
    "Actual/Actual",
      YEARFRAC(
        B866 + IF(INDEX(Input!$K$7:$K1503,ROW()-1),0,1),
        C866 + IF(INDEX(Input!$L$7:$L1503,ROW()-1),1,0),
        1
      ),
      YEARFRAC(
        B866 + IF(INDEX(Input!$K$7:$K1503,ROW()-1),0,1),
        C866 + IF(INDEX(Input!$L$7:$L1503,ROW()-1),1,0),
        3
      )
  )
)</f>
        <v/>
      </c>
      <c r="S866" s="22" t="str">
        <f t="shared" si="4"/>
        <v/>
      </c>
      <c r="T866" s="6" t="str">
        <f t="array" ref="T866">IF(
  B866="",
  ,
  DATEDIF(
    B866 + IF(INDEX(Input!$K$7:$K1503,ROW()-1),0,1),
    C866 + IF(INDEX(Input!$L$7:$L1503,ROW()-1),1,0),
    "Y"
  )
)</f>
        <v/>
      </c>
      <c r="U866" s="6" t="str">
        <f t="array" ref="U866">IF(
  B866="",
  ,
  (C866 + IF(INDEX(Input!$L$7:$L1503,ROW()-1),1,0))
  - EDATE(
      B866 + IF(INDEX(Input!$K$7:$K1503,ROW()-1),0,1),
      12*S866
    )
)</f>
        <v/>
      </c>
      <c r="V866" s="6" t="str">
        <f t="shared" si="5"/>
        <v/>
      </c>
      <c r="W866" s="6" t="str">
        <f t="shared" si="6"/>
        <v/>
      </c>
    </row>
    <row r="867">
      <c r="A867" s="18"/>
      <c r="B867" s="18"/>
      <c r="C867" s="18"/>
      <c r="D867" s="18"/>
      <c r="E867" s="18"/>
      <c r="F867" s="18"/>
      <c r="G867" s="22"/>
      <c r="H867" s="18"/>
      <c r="I867" s="18">
        <v>0.0</v>
      </c>
      <c r="J867" s="18">
        <v>0.0</v>
      </c>
      <c r="K867" s="18"/>
      <c r="L867" s="18"/>
      <c r="M867" s="22" t="str">
        <f t="shared" si="1"/>
        <v/>
      </c>
      <c r="N867" s="18" t="str">
        <f>IF(A867="",,IF(ROW()=2, Input!$C$2 + I867, P866 + I867))</f>
        <v/>
      </c>
      <c r="O867" s="23" t="str">
        <f>IF(A867="",,
 IF(K867="Initial principal",
   Input!$C$2 * M867,
   N867 * M867
 )
)</f>
        <v/>
      </c>
      <c r="P867" s="18" t="str">
        <f t="shared" si="2"/>
        <v/>
      </c>
      <c r="Q867" s="18" t="str">
        <f t="shared" si="3"/>
        <v/>
      </c>
      <c r="R867" s="18" t="str">
        <f t="array" ref="R867">IF(
  B867="",
  ,
  SWITCH(
    Input!$C$4,
    "Actual/365 Fixed",
      YEARFRAC(
        B867 + IF(INDEX(Input!$K$7:$K1503,ROW()-1),0,1),
        C867 + IF(INDEX(Input!$L$7:$L1503,ROW()-1),1,0),
        3
      ),
    "Anniversary/365",
      DATEDIF(
        B867 + IF(INDEX(Input!$K$7:$K1503,ROW()-1),0,1),
        C867 + IF(INDEX(Input!$L$7:$L1503,ROW()-1),1,0),
        "Y"
      )
      +
      (
        (C867 + IF(INDEX(Input!$L$7:$L1503,ROW()-1),1,0))
        -
        EDATE(
          B867 + IF(INDEX(Input!$K$7:$K1503,ROW()-1),0,1),
          12*DATEDIF(
            B867 + IF(INDEX(Input!$K$7:$K1503,ROW()-1),0,1),
            C867 + IF(INDEX(Input!$L$7:$L1503,ROW()-1),1,0),
            "Y"
          )
        )
      ) / 365,
    "Actual/Actual",
      YEARFRAC(
        B867 + IF(INDEX(Input!$K$7:$K1503,ROW()-1),0,1),
        C867 + IF(INDEX(Input!$L$7:$L1503,ROW()-1),1,0),
        1
      ),
      YEARFRAC(
        B867 + IF(INDEX(Input!$K$7:$K1503,ROW()-1),0,1),
        C867 + IF(INDEX(Input!$L$7:$L1503,ROW()-1),1,0),
        3
      )
  )
)</f>
        <v/>
      </c>
      <c r="S867" s="22" t="str">
        <f t="shared" si="4"/>
        <v/>
      </c>
      <c r="T867" s="6" t="str">
        <f t="array" ref="T867">IF(
  B867="",
  ,
  DATEDIF(
    B867 + IF(INDEX(Input!$K$7:$K1503,ROW()-1),0,1),
    C867 + IF(INDEX(Input!$L$7:$L1503,ROW()-1),1,0),
    "Y"
  )
)</f>
        <v/>
      </c>
      <c r="U867" s="6" t="str">
        <f t="array" ref="U867">IF(
  B867="",
  ,
  (C867 + IF(INDEX(Input!$L$7:$L1503,ROW()-1),1,0))
  - EDATE(
      B867 + IF(INDEX(Input!$K$7:$K1503,ROW()-1),0,1),
      12*S867
    )
)</f>
        <v/>
      </c>
      <c r="V867" s="6" t="str">
        <f t="shared" si="5"/>
        <v/>
      </c>
      <c r="W867" s="6" t="str">
        <f t="shared" si="6"/>
        <v/>
      </c>
    </row>
    <row r="868">
      <c r="A868" s="18"/>
      <c r="B868" s="18"/>
      <c r="C868" s="18"/>
      <c r="D868" s="18"/>
      <c r="E868" s="18"/>
      <c r="F868" s="18"/>
      <c r="G868" s="22"/>
      <c r="H868" s="18"/>
      <c r="I868" s="18">
        <v>0.0</v>
      </c>
      <c r="J868" s="18">
        <v>0.0</v>
      </c>
      <c r="K868" s="18"/>
      <c r="L868" s="18"/>
      <c r="M868" s="22" t="str">
        <f t="shared" si="1"/>
        <v/>
      </c>
      <c r="N868" s="18" t="str">
        <f>IF(A868="",,IF(ROW()=2, Input!$C$2 + I868, P867 + I868))</f>
        <v/>
      </c>
      <c r="O868" s="23" t="str">
        <f>IF(A868="",,
 IF(K868="Initial principal",
   Input!$C$2 * M868,
   N868 * M868
 )
)</f>
        <v/>
      </c>
      <c r="P868" s="18" t="str">
        <f t="shared" si="2"/>
        <v/>
      </c>
      <c r="Q868" s="18" t="str">
        <f t="shared" si="3"/>
        <v/>
      </c>
      <c r="R868" s="18" t="str">
        <f t="array" ref="R868">IF(
  B868="",
  ,
  SWITCH(
    Input!$C$4,
    "Actual/365 Fixed",
      YEARFRAC(
        B868 + IF(INDEX(Input!$K$7:$K1503,ROW()-1),0,1),
        C868 + IF(INDEX(Input!$L$7:$L1503,ROW()-1),1,0),
        3
      ),
    "Anniversary/365",
      DATEDIF(
        B868 + IF(INDEX(Input!$K$7:$K1503,ROW()-1),0,1),
        C868 + IF(INDEX(Input!$L$7:$L1503,ROW()-1),1,0),
        "Y"
      )
      +
      (
        (C868 + IF(INDEX(Input!$L$7:$L1503,ROW()-1),1,0))
        -
        EDATE(
          B868 + IF(INDEX(Input!$K$7:$K1503,ROW()-1),0,1),
          12*DATEDIF(
            B868 + IF(INDEX(Input!$K$7:$K1503,ROW()-1),0,1),
            C868 + IF(INDEX(Input!$L$7:$L1503,ROW()-1),1,0),
            "Y"
          )
        )
      ) / 365,
    "Actual/Actual",
      YEARFRAC(
        B868 + IF(INDEX(Input!$K$7:$K1503,ROW()-1),0,1),
        C868 + IF(INDEX(Input!$L$7:$L1503,ROW()-1),1,0),
        1
      ),
      YEARFRAC(
        B868 + IF(INDEX(Input!$K$7:$K1503,ROW()-1),0,1),
        C868 + IF(INDEX(Input!$L$7:$L1503,ROW()-1),1,0),
        3
      )
  )
)</f>
        <v/>
      </c>
      <c r="S868" s="22" t="str">
        <f t="shared" si="4"/>
        <v/>
      </c>
      <c r="T868" s="6" t="str">
        <f t="array" ref="T868">IF(
  B868="",
  ,
  DATEDIF(
    B868 + IF(INDEX(Input!$K$7:$K1503,ROW()-1),0,1),
    C868 + IF(INDEX(Input!$L$7:$L1503,ROW()-1),1,0),
    "Y"
  )
)</f>
        <v/>
      </c>
      <c r="U868" s="6" t="str">
        <f t="array" ref="U868">IF(
  B868="",
  ,
  (C868 + IF(INDEX(Input!$L$7:$L1503,ROW()-1),1,0))
  - EDATE(
      B868 + IF(INDEX(Input!$K$7:$K1503,ROW()-1),0,1),
      12*S868
    )
)</f>
        <v/>
      </c>
      <c r="V868" s="6" t="str">
        <f t="shared" si="5"/>
        <v/>
      </c>
      <c r="W868" s="6" t="str">
        <f t="shared" si="6"/>
        <v/>
      </c>
    </row>
    <row r="869">
      <c r="A869" s="18"/>
      <c r="B869" s="18"/>
      <c r="C869" s="18"/>
      <c r="D869" s="18"/>
      <c r="E869" s="18"/>
      <c r="F869" s="18"/>
      <c r="G869" s="22"/>
      <c r="H869" s="18"/>
      <c r="I869" s="18">
        <v>0.0</v>
      </c>
      <c r="J869" s="18">
        <v>0.0</v>
      </c>
      <c r="K869" s="18"/>
      <c r="L869" s="18"/>
      <c r="M869" s="22" t="str">
        <f t="shared" si="1"/>
        <v/>
      </c>
      <c r="N869" s="18" t="str">
        <f>IF(A869="",,IF(ROW()=2, Input!$C$2 + I869, P868 + I869))</f>
        <v/>
      </c>
      <c r="O869" s="23" t="str">
        <f>IF(A869="",,
 IF(K869="Initial principal",
   Input!$C$2 * M869,
   N869 * M869
 )
)</f>
        <v/>
      </c>
      <c r="P869" s="18" t="str">
        <f t="shared" si="2"/>
        <v/>
      </c>
      <c r="Q869" s="18" t="str">
        <f t="shared" si="3"/>
        <v/>
      </c>
      <c r="R869" s="18" t="str">
        <f t="array" ref="R869">IF(
  B869="",
  ,
  SWITCH(
    Input!$C$4,
    "Actual/365 Fixed",
      YEARFRAC(
        B869 + IF(INDEX(Input!$K$7:$K1503,ROW()-1),0,1),
        C869 + IF(INDEX(Input!$L$7:$L1503,ROW()-1),1,0),
        3
      ),
    "Anniversary/365",
      DATEDIF(
        B869 + IF(INDEX(Input!$K$7:$K1503,ROW()-1),0,1),
        C869 + IF(INDEX(Input!$L$7:$L1503,ROW()-1),1,0),
        "Y"
      )
      +
      (
        (C869 + IF(INDEX(Input!$L$7:$L1503,ROW()-1),1,0))
        -
        EDATE(
          B869 + IF(INDEX(Input!$K$7:$K1503,ROW()-1),0,1),
          12*DATEDIF(
            B869 + IF(INDEX(Input!$K$7:$K1503,ROW()-1),0,1),
            C869 + IF(INDEX(Input!$L$7:$L1503,ROW()-1),1,0),
            "Y"
          )
        )
      ) / 365,
    "Actual/Actual",
      YEARFRAC(
        B869 + IF(INDEX(Input!$K$7:$K1503,ROW()-1),0,1),
        C869 + IF(INDEX(Input!$L$7:$L1503,ROW()-1),1,0),
        1
      ),
      YEARFRAC(
        B869 + IF(INDEX(Input!$K$7:$K1503,ROW()-1),0,1),
        C869 + IF(INDEX(Input!$L$7:$L1503,ROW()-1),1,0),
        3
      )
  )
)</f>
        <v/>
      </c>
      <c r="S869" s="22" t="str">
        <f t="shared" si="4"/>
        <v/>
      </c>
      <c r="T869" s="6" t="str">
        <f t="array" ref="T869">IF(
  B869="",
  ,
  DATEDIF(
    B869 + IF(INDEX(Input!$K$7:$K1503,ROW()-1),0,1),
    C869 + IF(INDEX(Input!$L$7:$L1503,ROW()-1),1,0),
    "Y"
  )
)</f>
        <v/>
      </c>
      <c r="U869" s="6" t="str">
        <f t="array" ref="U869">IF(
  B869="",
  ,
  (C869 + IF(INDEX(Input!$L$7:$L1503,ROW()-1),1,0))
  - EDATE(
      B869 + IF(INDEX(Input!$K$7:$K1503,ROW()-1),0,1),
      12*S869
    )
)</f>
        <v/>
      </c>
      <c r="V869" s="6" t="str">
        <f t="shared" si="5"/>
        <v/>
      </c>
      <c r="W869" s="6" t="str">
        <f t="shared" si="6"/>
        <v/>
      </c>
    </row>
    <row r="870">
      <c r="A870" s="18"/>
      <c r="B870" s="18"/>
      <c r="C870" s="18"/>
      <c r="D870" s="18"/>
      <c r="E870" s="18"/>
      <c r="F870" s="18"/>
      <c r="G870" s="22"/>
      <c r="H870" s="18"/>
      <c r="I870" s="18">
        <v>0.0</v>
      </c>
      <c r="J870" s="18">
        <v>0.0</v>
      </c>
      <c r="K870" s="18"/>
      <c r="L870" s="18"/>
      <c r="M870" s="22" t="str">
        <f t="shared" si="1"/>
        <v/>
      </c>
      <c r="N870" s="18" t="str">
        <f>IF(A870="",,IF(ROW()=2, Input!$C$2 + I870, P869 + I870))</f>
        <v/>
      </c>
      <c r="O870" s="23" t="str">
        <f>IF(A870="",,
 IF(K870="Initial principal",
   Input!$C$2 * M870,
   N870 * M870
 )
)</f>
        <v/>
      </c>
      <c r="P870" s="18" t="str">
        <f t="shared" si="2"/>
        <v/>
      </c>
      <c r="Q870" s="18" t="str">
        <f t="shared" si="3"/>
        <v/>
      </c>
      <c r="R870" s="18" t="str">
        <f t="array" ref="R870">IF(
  B870="",
  ,
  SWITCH(
    Input!$C$4,
    "Actual/365 Fixed",
      YEARFRAC(
        B870 + IF(INDEX(Input!$K$7:$K1503,ROW()-1),0,1),
        C870 + IF(INDEX(Input!$L$7:$L1503,ROW()-1),1,0),
        3
      ),
    "Anniversary/365",
      DATEDIF(
        B870 + IF(INDEX(Input!$K$7:$K1503,ROW()-1),0,1),
        C870 + IF(INDEX(Input!$L$7:$L1503,ROW()-1),1,0),
        "Y"
      )
      +
      (
        (C870 + IF(INDEX(Input!$L$7:$L1503,ROW()-1),1,0))
        -
        EDATE(
          B870 + IF(INDEX(Input!$K$7:$K1503,ROW()-1),0,1),
          12*DATEDIF(
            B870 + IF(INDEX(Input!$K$7:$K1503,ROW()-1),0,1),
            C870 + IF(INDEX(Input!$L$7:$L1503,ROW()-1),1,0),
            "Y"
          )
        )
      ) / 365,
    "Actual/Actual",
      YEARFRAC(
        B870 + IF(INDEX(Input!$K$7:$K1503,ROW()-1),0,1),
        C870 + IF(INDEX(Input!$L$7:$L1503,ROW()-1),1,0),
        1
      ),
      YEARFRAC(
        B870 + IF(INDEX(Input!$K$7:$K1503,ROW()-1),0,1),
        C870 + IF(INDEX(Input!$L$7:$L1503,ROW()-1),1,0),
        3
      )
  )
)</f>
        <v/>
      </c>
      <c r="S870" s="22" t="str">
        <f t="shared" si="4"/>
        <v/>
      </c>
      <c r="T870" s="6" t="str">
        <f t="array" ref="T870">IF(
  B870="",
  ,
  DATEDIF(
    B870 + IF(INDEX(Input!$K$7:$K1503,ROW()-1),0,1),
    C870 + IF(INDEX(Input!$L$7:$L1503,ROW()-1),1,0),
    "Y"
  )
)</f>
        <v/>
      </c>
      <c r="U870" s="6" t="str">
        <f t="array" ref="U870">IF(
  B870="",
  ,
  (C870 + IF(INDEX(Input!$L$7:$L1503,ROW()-1),1,0))
  - EDATE(
      B870 + IF(INDEX(Input!$K$7:$K1503,ROW()-1),0,1),
      12*S870
    )
)</f>
        <v/>
      </c>
      <c r="V870" s="6" t="str">
        <f t="shared" si="5"/>
        <v/>
      </c>
      <c r="W870" s="6" t="str">
        <f t="shared" si="6"/>
        <v/>
      </c>
    </row>
    <row r="871">
      <c r="A871" s="18"/>
      <c r="B871" s="18"/>
      <c r="C871" s="18"/>
      <c r="D871" s="18"/>
      <c r="E871" s="18"/>
      <c r="F871" s="18"/>
      <c r="G871" s="22"/>
      <c r="H871" s="18"/>
      <c r="I871" s="18">
        <v>0.0</v>
      </c>
      <c r="J871" s="18">
        <v>0.0</v>
      </c>
      <c r="K871" s="18"/>
      <c r="L871" s="18"/>
      <c r="M871" s="22" t="str">
        <f t="shared" si="1"/>
        <v/>
      </c>
      <c r="N871" s="18" t="str">
        <f>IF(A871="",,IF(ROW()=2, Input!$C$2 + I871, P870 + I871))</f>
        <v/>
      </c>
      <c r="O871" s="23" t="str">
        <f>IF(A871="",,
 IF(K871="Initial principal",
   Input!$C$2 * M871,
   N871 * M871
 )
)</f>
        <v/>
      </c>
      <c r="P871" s="18" t="str">
        <f t="shared" si="2"/>
        <v/>
      </c>
      <c r="Q871" s="18" t="str">
        <f t="shared" si="3"/>
        <v/>
      </c>
      <c r="R871" s="18" t="str">
        <f t="array" ref="R871">IF(
  B871="",
  ,
  SWITCH(
    Input!$C$4,
    "Actual/365 Fixed",
      YEARFRAC(
        B871 + IF(INDEX(Input!$K$7:$K1503,ROW()-1),0,1),
        C871 + IF(INDEX(Input!$L$7:$L1503,ROW()-1),1,0),
        3
      ),
    "Anniversary/365",
      DATEDIF(
        B871 + IF(INDEX(Input!$K$7:$K1503,ROW()-1),0,1),
        C871 + IF(INDEX(Input!$L$7:$L1503,ROW()-1),1,0),
        "Y"
      )
      +
      (
        (C871 + IF(INDEX(Input!$L$7:$L1503,ROW()-1),1,0))
        -
        EDATE(
          B871 + IF(INDEX(Input!$K$7:$K1503,ROW()-1),0,1),
          12*DATEDIF(
            B871 + IF(INDEX(Input!$K$7:$K1503,ROW()-1),0,1),
            C871 + IF(INDEX(Input!$L$7:$L1503,ROW()-1),1,0),
            "Y"
          )
        )
      ) / 365,
    "Actual/Actual",
      YEARFRAC(
        B871 + IF(INDEX(Input!$K$7:$K1503,ROW()-1),0,1),
        C871 + IF(INDEX(Input!$L$7:$L1503,ROW()-1),1,0),
        1
      ),
      YEARFRAC(
        B871 + IF(INDEX(Input!$K$7:$K1503,ROW()-1),0,1),
        C871 + IF(INDEX(Input!$L$7:$L1503,ROW()-1),1,0),
        3
      )
  )
)</f>
        <v/>
      </c>
      <c r="S871" s="22" t="str">
        <f t="shared" si="4"/>
        <v/>
      </c>
      <c r="T871" s="6" t="str">
        <f t="array" ref="T871">IF(
  B871="",
  ,
  DATEDIF(
    B871 + IF(INDEX(Input!$K$7:$K1503,ROW()-1),0,1),
    C871 + IF(INDEX(Input!$L$7:$L1503,ROW()-1),1,0),
    "Y"
  )
)</f>
        <v/>
      </c>
      <c r="U871" s="6" t="str">
        <f t="array" ref="U871">IF(
  B871="",
  ,
  (C871 + IF(INDEX(Input!$L$7:$L1503,ROW()-1),1,0))
  - EDATE(
      B871 + IF(INDEX(Input!$K$7:$K1503,ROW()-1),0,1),
      12*S871
    )
)</f>
        <v/>
      </c>
      <c r="V871" s="6" t="str">
        <f t="shared" si="5"/>
        <v/>
      </c>
      <c r="W871" s="6" t="str">
        <f t="shared" si="6"/>
        <v/>
      </c>
    </row>
    <row r="872">
      <c r="A872" s="18"/>
      <c r="B872" s="18"/>
      <c r="C872" s="18"/>
      <c r="D872" s="18"/>
      <c r="E872" s="18"/>
      <c r="F872" s="18"/>
      <c r="G872" s="22"/>
      <c r="H872" s="18"/>
      <c r="I872" s="18">
        <v>0.0</v>
      </c>
      <c r="J872" s="18">
        <v>0.0</v>
      </c>
      <c r="K872" s="18"/>
      <c r="L872" s="18"/>
      <c r="M872" s="22" t="str">
        <f t="shared" si="1"/>
        <v/>
      </c>
      <c r="N872" s="18" t="str">
        <f>IF(A872="",,IF(ROW()=2, Input!$C$2 + I872, P871 + I872))</f>
        <v/>
      </c>
      <c r="O872" s="23" t="str">
        <f>IF(A872="",,
 IF(K872="Initial principal",
   Input!$C$2 * M872,
   N872 * M872
 )
)</f>
        <v/>
      </c>
      <c r="P872" s="18" t="str">
        <f t="shared" si="2"/>
        <v/>
      </c>
      <c r="Q872" s="18" t="str">
        <f t="shared" si="3"/>
        <v/>
      </c>
      <c r="R872" s="18" t="str">
        <f t="array" ref="R872">IF(
  B872="",
  ,
  SWITCH(
    Input!$C$4,
    "Actual/365 Fixed",
      YEARFRAC(
        B872 + IF(INDEX(Input!$K$7:$K1503,ROW()-1),0,1),
        C872 + IF(INDEX(Input!$L$7:$L1503,ROW()-1),1,0),
        3
      ),
    "Anniversary/365",
      DATEDIF(
        B872 + IF(INDEX(Input!$K$7:$K1503,ROW()-1),0,1),
        C872 + IF(INDEX(Input!$L$7:$L1503,ROW()-1),1,0),
        "Y"
      )
      +
      (
        (C872 + IF(INDEX(Input!$L$7:$L1503,ROW()-1),1,0))
        -
        EDATE(
          B872 + IF(INDEX(Input!$K$7:$K1503,ROW()-1),0,1),
          12*DATEDIF(
            B872 + IF(INDEX(Input!$K$7:$K1503,ROW()-1),0,1),
            C872 + IF(INDEX(Input!$L$7:$L1503,ROW()-1),1,0),
            "Y"
          )
        )
      ) / 365,
    "Actual/Actual",
      YEARFRAC(
        B872 + IF(INDEX(Input!$K$7:$K1503,ROW()-1),0,1),
        C872 + IF(INDEX(Input!$L$7:$L1503,ROW()-1),1,0),
        1
      ),
      YEARFRAC(
        B872 + IF(INDEX(Input!$K$7:$K1503,ROW()-1),0,1),
        C872 + IF(INDEX(Input!$L$7:$L1503,ROW()-1),1,0),
        3
      )
  )
)</f>
        <v/>
      </c>
      <c r="S872" s="22" t="str">
        <f t="shared" si="4"/>
        <v/>
      </c>
      <c r="T872" s="6" t="str">
        <f t="array" ref="T872">IF(
  B872="",
  ,
  DATEDIF(
    B872 + IF(INDEX(Input!$K$7:$K1503,ROW()-1),0,1),
    C872 + IF(INDEX(Input!$L$7:$L1503,ROW()-1),1,0),
    "Y"
  )
)</f>
        <v/>
      </c>
      <c r="U872" s="6" t="str">
        <f t="array" ref="U872">IF(
  B872="",
  ,
  (C872 + IF(INDEX(Input!$L$7:$L1503,ROW()-1),1,0))
  - EDATE(
      B872 + IF(INDEX(Input!$K$7:$K1503,ROW()-1),0,1),
      12*S872
    )
)</f>
        <v/>
      </c>
      <c r="V872" s="6" t="str">
        <f t="shared" si="5"/>
        <v/>
      </c>
      <c r="W872" s="6" t="str">
        <f t="shared" si="6"/>
        <v/>
      </c>
    </row>
    <row r="873">
      <c r="A873" s="18"/>
      <c r="B873" s="18"/>
      <c r="C873" s="18"/>
      <c r="D873" s="18"/>
      <c r="E873" s="18"/>
      <c r="F873" s="18"/>
      <c r="G873" s="22"/>
      <c r="H873" s="18"/>
      <c r="I873" s="18">
        <v>0.0</v>
      </c>
      <c r="J873" s="18">
        <v>0.0</v>
      </c>
      <c r="K873" s="18"/>
      <c r="L873" s="18"/>
      <c r="M873" s="22" t="str">
        <f t="shared" si="1"/>
        <v/>
      </c>
      <c r="N873" s="18" t="str">
        <f>IF(A873="",,IF(ROW()=2, Input!$C$2 + I873, P872 + I873))</f>
        <v/>
      </c>
      <c r="O873" s="23" t="str">
        <f>IF(A873="",,
 IF(K873="Initial principal",
   Input!$C$2 * M873,
   N873 * M873
 )
)</f>
        <v/>
      </c>
      <c r="P873" s="18" t="str">
        <f t="shared" si="2"/>
        <v/>
      </c>
      <c r="Q873" s="18" t="str">
        <f t="shared" si="3"/>
        <v/>
      </c>
      <c r="R873" s="18" t="str">
        <f t="array" ref="R873">IF(
  B873="",
  ,
  SWITCH(
    Input!$C$4,
    "Actual/365 Fixed",
      YEARFRAC(
        B873 + IF(INDEX(Input!$K$7:$K1503,ROW()-1),0,1),
        C873 + IF(INDEX(Input!$L$7:$L1503,ROW()-1),1,0),
        3
      ),
    "Anniversary/365",
      DATEDIF(
        B873 + IF(INDEX(Input!$K$7:$K1503,ROW()-1),0,1),
        C873 + IF(INDEX(Input!$L$7:$L1503,ROW()-1),1,0),
        "Y"
      )
      +
      (
        (C873 + IF(INDEX(Input!$L$7:$L1503,ROW()-1),1,0))
        -
        EDATE(
          B873 + IF(INDEX(Input!$K$7:$K1503,ROW()-1),0,1),
          12*DATEDIF(
            B873 + IF(INDEX(Input!$K$7:$K1503,ROW()-1),0,1),
            C873 + IF(INDEX(Input!$L$7:$L1503,ROW()-1),1,0),
            "Y"
          )
        )
      ) / 365,
    "Actual/Actual",
      YEARFRAC(
        B873 + IF(INDEX(Input!$K$7:$K1503,ROW()-1),0,1),
        C873 + IF(INDEX(Input!$L$7:$L1503,ROW()-1),1,0),
        1
      ),
      YEARFRAC(
        B873 + IF(INDEX(Input!$K$7:$K1503,ROW()-1),0,1),
        C873 + IF(INDEX(Input!$L$7:$L1503,ROW()-1),1,0),
        3
      )
  )
)</f>
        <v/>
      </c>
      <c r="S873" s="22" t="str">
        <f t="shared" si="4"/>
        <v/>
      </c>
      <c r="T873" s="6" t="str">
        <f t="array" ref="T873">IF(
  B873="",
  ,
  DATEDIF(
    B873 + IF(INDEX(Input!$K$7:$K1503,ROW()-1),0,1),
    C873 + IF(INDEX(Input!$L$7:$L1503,ROW()-1),1,0),
    "Y"
  )
)</f>
        <v/>
      </c>
      <c r="U873" s="6" t="str">
        <f t="array" ref="U873">IF(
  B873="",
  ,
  (C873 + IF(INDEX(Input!$L$7:$L1503,ROW()-1),1,0))
  - EDATE(
      B873 + IF(INDEX(Input!$K$7:$K1503,ROW()-1),0,1),
      12*S873
    )
)</f>
        <v/>
      </c>
      <c r="V873" s="6" t="str">
        <f t="shared" si="5"/>
        <v/>
      </c>
      <c r="W873" s="6" t="str">
        <f t="shared" si="6"/>
        <v/>
      </c>
    </row>
    <row r="874">
      <c r="A874" s="18"/>
      <c r="B874" s="18"/>
      <c r="C874" s="18"/>
      <c r="D874" s="18"/>
      <c r="E874" s="18"/>
      <c r="F874" s="18"/>
      <c r="G874" s="22"/>
      <c r="H874" s="18"/>
      <c r="I874" s="18">
        <v>0.0</v>
      </c>
      <c r="J874" s="18">
        <v>0.0</v>
      </c>
      <c r="K874" s="18"/>
      <c r="L874" s="18"/>
      <c r="M874" s="22" t="str">
        <f t="shared" si="1"/>
        <v/>
      </c>
      <c r="N874" s="18" t="str">
        <f>IF(A874="",,IF(ROW()=2, Input!$C$2 + I874, P873 + I874))</f>
        <v/>
      </c>
      <c r="O874" s="23" t="str">
        <f>IF(A874="",,
 IF(K874="Initial principal",
   Input!$C$2 * M874,
   N874 * M874
 )
)</f>
        <v/>
      </c>
      <c r="P874" s="18" t="str">
        <f t="shared" si="2"/>
        <v/>
      </c>
      <c r="Q874" s="18" t="str">
        <f t="shared" si="3"/>
        <v/>
      </c>
      <c r="R874" s="18" t="str">
        <f t="array" ref="R874">IF(
  B874="",
  ,
  SWITCH(
    Input!$C$4,
    "Actual/365 Fixed",
      YEARFRAC(
        B874 + IF(INDEX(Input!$K$7:$K1503,ROW()-1),0,1),
        C874 + IF(INDEX(Input!$L$7:$L1503,ROW()-1),1,0),
        3
      ),
    "Anniversary/365",
      DATEDIF(
        B874 + IF(INDEX(Input!$K$7:$K1503,ROW()-1),0,1),
        C874 + IF(INDEX(Input!$L$7:$L1503,ROW()-1),1,0),
        "Y"
      )
      +
      (
        (C874 + IF(INDEX(Input!$L$7:$L1503,ROW()-1),1,0))
        -
        EDATE(
          B874 + IF(INDEX(Input!$K$7:$K1503,ROW()-1),0,1),
          12*DATEDIF(
            B874 + IF(INDEX(Input!$K$7:$K1503,ROW()-1),0,1),
            C874 + IF(INDEX(Input!$L$7:$L1503,ROW()-1),1,0),
            "Y"
          )
        )
      ) / 365,
    "Actual/Actual",
      YEARFRAC(
        B874 + IF(INDEX(Input!$K$7:$K1503,ROW()-1),0,1),
        C874 + IF(INDEX(Input!$L$7:$L1503,ROW()-1),1,0),
        1
      ),
      YEARFRAC(
        B874 + IF(INDEX(Input!$K$7:$K1503,ROW()-1),0,1),
        C874 + IF(INDEX(Input!$L$7:$L1503,ROW()-1),1,0),
        3
      )
  )
)</f>
        <v/>
      </c>
      <c r="S874" s="22" t="str">
        <f t="shared" si="4"/>
        <v/>
      </c>
      <c r="T874" s="6" t="str">
        <f t="array" ref="T874">IF(
  B874="",
  ,
  DATEDIF(
    B874 + IF(INDEX(Input!$K$7:$K1503,ROW()-1),0,1),
    C874 + IF(INDEX(Input!$L$7:$L1503,ROW()-1),1,0),
    "Y"
  )
)</f>
        <v/>
      </c>
      <c r="U874" s="6" t="str">
        <f t="array" ref="U874">IF(
  B874="",
  ,
  (C874 + IF(INDEX(Input!$L$7:$L1503,ROW()-1),1,0))
  - EDATE(
      B874 + IF(INDEX(Input!$K$7:$K1503,ROW()-1),0,1),
      12*S874
    )
)</f>
        <v/>
      </c>
      <c r="V874" s="6" t="str">
        <f t="shared" si="5"/>
        <v/>
      </c>
      <c r="W874" s="6" t="str">
        <f t="shared" si="6"/>
        <v/>
      </c>
    </row>
    <row r="875">
      <c r="A875" s="18"/>
      <c r="B875" s="18"/>
      <c r="C875" s="18"/>
      <c r="D875" s="18"/>
      <c r="E875" s="18"/>
      <c r="F875" s="18"/>
      <c r="G875" s="22"/>
      <c r="H875" s="18"/>
      <c r="I875" s="18">
        <v>0.0</v>
      </c>
      <c r="J875" s="18">
        <v>0.0</v>
      </c>
      <c r="K875" s="18"/>
      <c r="L875" s="18"/>
      <c r="M875" s="22" t="str">
        <f t="shared" si="1"/>
        <v/>
      </c>
      <c r="N875" s="18" t="str">
        <f>IF(A875="",,IF(ROW()=2, Input!$C$2 + I875, P874 + I875))</f>
        <v/>
      </c>
      <c r="O875" s="23" t="str">
        <f>IF(A875="",,
 IF(K875="Initial principal",
   Input!$C$2 * M875,
   N875 * M875
 )
)</f>
        <v/>
      </c>
      <c r="P875" s="18" t="str">
        <f t="shared" si="2"/>
        <v/>
      </c>
      <c r="Q875" s="18" t="str">
        <f t="shared" si="3"/>
        <v/>
      </c>
      <c r="R875" s="18" t="str">
        <f t="array" ref="R875">IF(
  B875="",
  ,
  SWITCH(
    Input!$C$4,
    "Actual/365 Fixed",
      YEARFRAC(
        B875 + IF(INDEX(Input!$K$7:$K1503,ROW()-1),0,1),
        C875 + IF(INDEX(Input!$L$7:$L1503,ROW()-1),1,0),
        3
      ),
    "Anniversary/365",
      DATEDIF(
        B875 + IF(INDEX(Input!$K$7:$K1503,ROW()-1),0,1),
        C875 + IF(INDEX(Input!$L$7:$L1503,ROW()-1),1,0),
        "Y"
      )
      +
      (
        (C875 + IF(INDEX(Input!$L$7:$L1503,ROW()-1),1,0))
        -
        EDATE(
          B875 + IF(INDEX(Input!$K$7:$K1503,ROW()-1),0,1),
          12*DATEDIF(
            B875 + IF(INDEX(Input!$K$7:$K1503,ROW()-1),0,1),
            C875 + IF(INDEX(Input!$L$7:$L1503,ROW()-1),1,0),
            "Y"
          )
        )
      ) / 365,
    "Actual/Actual",
      YEARFRAC(
        B875 + IF(INDEX(Input!$K$7:$K1503,ROW()-1),0,1),
        C875 + IF(INDEX(Input!$L$7:$L1503,ROW()-1),1,0),
        1
      ),
      YEARFRAC(
        B875 + IF(INDEX(Input!$K$7:$K1503,ROW()-1),0,1),
        C875 + IF(INDEX(Input!$L$7:$L1503,ROW()-1),1,0),
        3
      )
  )
)</f>
        <v/>
      </c>
      <c r="S875" s="22" t="str">
        <f t="shared" si="4"/>
        <v/>
      </c>
      <c r="T875" s="6" t="str">
        <f t="array" ref="T875">IF(
  B875="",
  ,
  DATEDIF(
    B875 + IF(INDEX(Input!$K$7:$K1503,ROW()-1),0,1),
    C875 + IF(INDEX(Input!$L$7:$L1503,ROW()-1),1,0),
    "Y"
  )
)</f>
        <v/>
      </c>
      <c r="U875" s="6" t="str">
        <f t="array" ref="U875">IF(
  B875="",
  ,
  (C875 + IF(INDEX(Input!$L$7:$L1503,ROW()-1),1,0))
  - EDATE(
      B875 + IF(INDEX(Input!$K$7:$K1503,ROW()-1),0,1),
      12*S875
    )
)</f>
        <v/>
      </c>
      <c r="V875" s="6" t="str">
        <f t="shared" si="5"/>
        <v/>
      </c>
      <c r="W875" s="6" t="str">
        <f t="shared" si="6"/>
        <v/>
      </c>
    </row>
    <row r="876">
      <c r="A876" s="18"/>
      <c r="B876" s="18"/>
      <c r="C876" s="18"/>
      <c r="D876" s="18"/>
      <c r="E876" s="18"/>
      <c r="F876" s="18"/>
      <c r="G876" s="22"/>
      <c r="H876" s="18"/>
      <c r="I876" s="18">
        <v>0.0</v>
      </c>
      <c r="J876" s="18">
        <v>0.0</v>
      </c>
      <c r="K876" s="18"/>
      <c r="L876" s="18"/>
      <c r="M876" s="22" t="str">
        <f t="shared" si="1"/>
        <v/>
      </c>
      <c r="N876" s="18" t="str">
        <f>IF(A876="",,IF(ROW()=2, Input!$C$2 + I876, P875 + I876))</f>
        <v/>
      </c>
      <c r="O876" s="23" t="str">
        <f>IF(A876="",,
 IF(K876="Initial principal",
   Input!$C$2 * M876,
   N876 * M876
 )
)</f>
        <v/>
      </c>
      <c r="P876" s="18" t="str">
        <f t="shared" si="2"/>
        <v/>
      </c>
      <c r="Q876" s="18" t="str">
        <f t="shared" si="3"/>
        <v/>
      </c>
      <c r="R876" s="18" t="str">
        <f t="array" ref="R876">IF(
  B876="",
  ,
  SWITCH(
    Input!$C$4,
    "Actual/365 Fixed",
      YEARFRAC(
        B876 + IF(INDEX(Input!$K$7:$K1503,ROW()-1),0,1),
        C876 + IF(INDEX(Input!$L$7:$L1503,ROW()-1),1,0),
        3
      ),
    "Anniversary/365",
      DATEDIF(
        B876 + IF(INDEX(Input!$K$7:$K1503,ROW()-1),0,1),
        C876 + IF(INDEX(Input!$L$7:$L1503,ROW()-1),1,0),
        "Y"
      )
      +
      (
        (C876 + IF(INDEX(Input!$L$7:$L1503,ROW()-1),1,0))
        -
        EDATE(
          B876 + IF(INDEX(Input!$K$7:$K1503,ROW()-1),0,1),
          12*DATEDIF(
            B876 + IF(INDEX(Input!$K$7:$K1503,ROW()-1),0,1),
            C876 + IF(INDEX(Input!$L$7:$L1503,ROW()-1),1,0),
            "Y"
          )
        )
      ) / 365,
    "Actual/Actual",
      YEARFRAC(
        B876 + IF(INDEX(Input!$K$7:$K1503,ROW()-1),0,1),
        C876 + IF(INDEX(Input!$L$7:$L1503,ROW()-1),1,0),
        1
      ),
      YEARFRAC(
        B876 + IF(INDEX(Input!$K$7:$K1503,ROW()-1),0,1),
        C876 + IF(INDEX(Input!$L$7:$L1503,ROW()-1),1,0),
        3
      )
  )
)</f>
        <v/>
      </c>
      <c r="S876" s="22" t="str">
        <f t="shared" si="4"/>
        <v/>
      </c>
      <c r="T876" s="6" t="str">
        <f t="array" ref="T876">IF(
  B876="",
  ,
  DATEDIF(
    B876 + IF(INDEX(Input!$K$7:$K1503,ROW()-1),0,1),
    C876 + IF(INDEX(Input!$L$7:$L1503,ROW()-1),1,0),
    "Y"
  )
)</f>
        <v/>
      </c>
      <c r="U876" s="6" t="str">
        <f t="array" ref="U876">IF(
  B876="",
  ,
  (C876 + IF(INDEX(Input!$L$7:$L1503,ROW()-1),1,0))
  - EDATE(
      B876 + IF(INDEX(Input!$K$7:$K1503,ROW()-1),0,1),
      12*S876
    )
)</f>
        <v/>
      </c>
      <c r="V876" s="6" t="str">
        <f t="shared" si="5"/>
        <v/>
      </c>
      <c r="W876" s="6" t="str">
        <f t="shared" si="6"/>
        <v/>
      </c>
    </row>
    <row r="877">
      <c r="A877" s="18"/>
      <c r="B877" s="18"/>
      <c r="C877" s="18"/>
      <c r="D877" s="18"/>
      <c r="E877" s="18"/>
      <c r="F877" s="18"/>
      <c r="G877" s="22"/>
      <c r="H877" s="18"/>
      <c r="I877" s="18">
        <v>0.0</v>
      </c>
      <c r="J877" s="18">
        <v>0.0</v>
      </c>
      <c r="K877" s="18"/>
      <c r="L877" s="18"/>
      <c r="M877" s="22" t="str">
        <f t="shared" si="1"/>
        <v/>
      </c>
      <c r="N877" s="18" t="str">
        <f>IF(A877="",,IF(ROW()=2, Input!$C$2 + I877, P876 + I877))</f>
        <v/>
      </c>
      <c r="O877" s="23" t="str">
        <f>IF(A877="",,
 IF(K877="Initial principal",
   Input!$C$2 * M877,
   N877 * M877
 )
)</f>
        <v/>
      </c>
      <c r="P877" s="18" t="str">
        <f t="shared" si="2"/>
        <v/>
      </c>
      <c r="Q877" s="18" t="str">
        <f t="shared" si="3"/>
        <v/>
      </c>
      <c r="R877" s="18" t="str">
        <f t="array" ref="R877">IF(
  B877="",
  ,
  SWITCH(
    Input!$C$4,
    "Actual/365 Fixed",
      YEARFRAC(
        B877 + IF(INDEX(Input!$K$7:$K1503,ROW()-1),0,1),
        C877 + IF(INDEX(Input!$L$7:$L1503,ROW()-1),1,0),
        3
      ),
    "Anniversary/365",
      DATEDIF(
        B877 + IF(INDEX(Input!$K$7:$K1503,ROW()-1),0,1),
        C877 + IF(INDEX(Input!$L$7:$L1503,ROW()-1),1,0),
        "Y"
      )
      +
      (
        (C877 + IF(INDEX(Input!$L$7:$L1503,ROW()-1),1,0))
        -
        EDATE(
          B877 + IF(INDEX(Input!$K$7:$K1503,ROW()-1),0,1),
          12*DATEDIF(
            B877 + IF(INDEX(Input!$K$7:$K1503,ROW()-1),0,1),
            C877 + IF(INDEX(Input!$L$7:$L1503,ROW()-1),1,0),
            "Y"
          )
        )
      ) / 365,
    "Actual/Actual",
      YEARFRAC(
        B877 + IF(INDEX(Input!$K$7:$K1503,ROW()-1),0,1),
        C877 + IF(INDEX(Input!$L$7:$L1503,ROW()-1),1,0),
        1
      ),
      YEARFRAC(
        B877 + IF(INDEX(Input!$K$7:$K1503,ROW()-1),0,1),
        C877 + IF(INDEX(Input!$L$7:$L1503,ROW()-1),1,0),
        3
      )
  )
)</f>
        <v/>
      </c>
      <c r="S877" s="22" t="str">
        <f t="shared" si="4"/>
        <v/>
      </c>
      <c r="T877" s="6" t="str">
        <f t="array" ref="T877">IF(
  B877="",
  ,
  DATEDIF(
    B877 + IF(INDEX(Input!$K$7:$K1503,ROW()-1),0,1),
    C877 + IF(INDEX(Input!$L$7:$L1503,ROW()-1),1,0),
    "Y"
  )
)</f>
        <v/>
      </c>
      <c r="U877" s="6" t="str">
        <f t="array" ref="U877">IF(
  B877="",
  ,
  (C877 + IF(INDEX(Input!$L$7:$L1503,ROW()-1),1,0))
  - EDATE(
      B877 + IF(INDEX(Input!$K$7:$K1503,ROW()-1),0,1),
      12*S877
    )
)</f>
        <v/>
      </c>
      <c r="V877" s="6" t="str">
        <f t="shared" si="5"/>
        <v/>
      </c>
      <c r="W877" s="6" t="str">
        <f t="shared" si="6"/>
        <v/>
      </c>
    </row>
    <row r="878">
      <c r="A878" s="18"/>
      <c r="B878" s="18"/>
      <c r="C878" s="18"/>
      <c r="D878" s="18"/>
      <c r="E878" s="18"/>
      <c r="F878" s="18"/>
      <c r="G878" s="22"/>
      <c r="H878" s="18"/>
      <c r="I878" s="18">
        <v>0.0</v>
      </c>
      <c r="J878" s="18">
        <v>0.0</v>
      </c>
      <c r="K878" s="18"/>
      <c r="L878" s="18"/>
      <c r="M878" s="22" t="str">
        <f t="shared" si="1"/>
        <v/>
      </c>
      <c r="N878" s="18" t="str">
        <f>IF(A878="",,IF(ROW()=2, Input!$C$2 + I878, P877 + I878))</f>
        <v/>
      </c>
      <c r="O878" s="23" t="str">
        <f>IF(A878="",,
 IF(K878="Initial principal",
   Input!$C$2 * M878,
   N878 * M878
 )
)</f>
        <v/>
      </c>
      <c r="P878" s="18" t="str">
        <f t="shared" si="2"/>
        <v/>
      </c>
      <c r="Q878" s="18" t="str">
        <f t="shared" si="3"/>
        <v/>
      </c>
      <c r="R878" s="18" t="str">
        <f t="array" ref="R878">IF(
  B878="",
  ,
  SWITCH(
    Input!$C$4,
    "Actual/365 Fixed",
      YEARFRAC(
        B878 + IF(INDEX(Input!$K$7:$K1503,ROW()-1),0,1),
        C878 + IF(INDEX(Input!$L$7:$L1503,ROW()-1),1,0),
        3
      ),
    "Anniversary/365",
      DATEDIF(
        B878 + IF(INDEX(Input!$K$7:$K1503,ROW()-1),0,1),
        C878 + IF(INDEX(Input!$L$7:$L1503,ROW()-1),1,0),
        "Y"
      )
      +
      (
        (C878 + IF(INDEX(Input!$L$7:$L1503,ROW()-1),1,0))
        -
        EDATE(
          B878 + IF(INDEX(Input!$K$7:$K1503,ROW()-1),0,1),
          12*DATEDIF(
            B878 + IF(INDEX(Input!$K$7:$K1503,ROW()-1),0,1),
            C878 + IF(INDEX(Input!$L$7:$L1503,ROW()-1),1,0),
            "Y"
          )
        )
      ) / 365,
    "Actual/Actual",
      YEARFRAC(
        B878 + IF(INDEX(Input!$K$7:$K1503,ROW()-1),0,1),
        C878 + IF(INDEX(Input!$L$7:$L1503,ROW()-1),1,0),
        1
      ),
      YEARFRAC(
        B878 + IF(INDEX(Input!$K$7:$K1503,ROW()-1),0,1),
        C878 + IF(INDEX(Input!$L$7:$L1503,ROW()-1),1,0),
        3
      )
  )
)</f>
        <v/>
      </c>
      <c r="S878" s="22" t="str">
        <f t="shared" si="4"/>
        <v/>
      </c>
      <c r="T878" s="6" t="str">
        <f t="array" ref="T878">IF(
  B878="",
  ,
  DATEDIF(
    B878 + IF(INDEX(Input!$K$7:$K1503,ROW()-1),0,1),
    C878 + IF(INDEX(Input!$L$7:$L1503,ROW()-1),1,0),
    "Y"
  )
)</f>
        <v/>
      </c>
      <c r="U878" s="6" t="str">
        <f t="array" ref="U878">IF(
  B878="",
  ,
  (C878 + IF(INDEX(Input!$L$7:$L1503,ROW()-1),1,0))
  - EDATE(
      B878 + IF(INDEX(Input!$K$7:$K1503,ROW()-1),0,1),
      12*S878
    )
)</f>
        <v/>
      </c>
      <c r="V878" s="6" t="str">
        <f t="shared" si="5"/>
        <v/>
      </c>
      <c r="W878" s="6" t="str">
        <f t="shared" si="6"/>
        <v/>
      </c>
    </row>
    <row r="879">
      <c r="A879" s="18"/>
      <c r="B879" s="18"/>
      <c r="C879" s="18"/>
      <c r="D879" s="18"/>
      <c r="E879" s="18"/>
      <c r="F879" s="18"/>
      <c r="G879" s="22"/>
      <c r="H879" s="18"/>
      <c r="I879" s="18">
        <v>0.0</v>
      </c>
      <c r="J879" s="18">
        <v>0.0</v>
      </c>
      <c r="K879" s="18"/>
      <c r="L879" s="18"/>
      <c r="M879" s="22" t="str">
        <f t="shared" si="1"/>
        <v/>
      </c>
      <c r="N879" s="18" t="str">
        <f>IF(A879="",,IF(ROW()=2, Input!$C$2 + I879, P878 + I879))</f>
        <v/>
      </c>
      <c r="O879" s="23" t="str">
        <f>IF(A879="",,
 IF(K879="Initial principal",
   Input!$C$2 * M879,
   N879 * M879
 )
)</f>
        <v/>
      </c>
      <c r="P879" s="18" t="str">
        <f t="shared" si="2"/>
        <v/>
      </c>
      <c r="Q879" s="18" t="str">
        <f t="shared" si="3"/>
        <v/>
      </c>
      <c r="R879" s="18" t="str">
        <f t="array" ref="R879">IF(
  B879="",
  ,
  SWITCH(
    Input!$C$4,
    "Actual/365 Fixed",
      YEARFRAC(
        B879 + IF(INDEX(Input!$K$7:$K1503,ROW()-1),0,1),
        C879 + IF(INDEX(Input!$L$7:$L1503,ROW()-1),1,0),
        3
      ),
    "Anniversary/365",
      DATEDIF(
        B879 + IF(INDEX(Input!$K$7:$K1503,ROW()-1),0,1),
        C879 + IF(INDEX(Input!$L$7:$L1503,ROW()-1),1,0),
        "Y"
      )
      +
      (
        (C879 + IF(INDEX(Input!$L$7:$L1503,ROW()-1),1,0))
        -
        EDATE(
          B879 + IF(INDEX(Input!$K$7:$K1503,ROW()-1),0,1),
          12*DATEDIF(
            B879 + IF(INDEX(Input!$K$7:$K1503,ROW()-1),0,1),
            C879 + IF(INDEX(Input!$L$7:$L1503,ROW()-1),1,0),
            "Y"
          )
        )
      ) / 365,
    "Actual/Actual",
      YEARFRAC(
        B879 + IF(INDEX(Input!$K$7:$K1503,ROW()-1),0,1),
        C879 + IF(INDEX(Input!$L$7:$L1503,ROW()-1),1,0),
        1
      ),
      YEARFRAC(
        B879 + IF(INDEX(Input!$K$7:$K1503,ROW()-1),0,1),
        C879 + IF(INDEX(Input!$L$7:$L1503,ROW()-1),1,0),
        3
      )
  )
)</f>
        <v/>
      </c>
      <c r="S879" s="22" t="str">
        <f t="shared" si="4"/>
        <v/>
      </c>
      <c r="T879" s="6" t="str">
        <f t="array" ref="T879">IF(
  B879="",
  ,
  DATEDIF(
    B879 + IF(INDEX(Input!$K$7:$K1503,ROW()-1),0,1),
    C879 + IF(INDEX(Input!$L$7:$L1503,ROW()-1),1,0),
    "Y"
  )
)</f>
        <v/>
      </c>
      <c r="U879" s="6" t="str">
        <f t="array" ref="U879">IF(
  B879="",
  ,
  (C879 + IF(INDEX(Input!$L$7:$L1503,ROW()-1),1,0))
  - EDATE(
      B879 + IF(INDEX(Input!$K$7:$K1503,ROW()-1),0,1),
      12*S879
    )
)</f>
        <v/>
      </c>
      <c r="V879" s="6" t="str">
        <f t="shared" si="5"/>
        <v/>
      </c>
      <c r="W879" s="6" t="str">
        <f t="shared" si="6"/>
        <v/>
      </c>
    </row>
    <row r="880">
      <c r="A880" s="18"/>
      <c r="B880" s="18"/>
      <c r="C880" s="18"/>
      <c r="D880" s="18"/>
      <c r="E880" s="18"/>
      <c r="F880" s="18"/>
      <c r="G880" s="22"/>
      <c r="H880" s="18"/>
      <c r="I880" s="18">
        <v>0.0</v>
      </c>
      <c r="J880" s="18">
        <v>0.0</v>
      </c>
      <c r="K880" s="18"/>
      <c r="L880" s="18"/>
      <c r="M880" s="22" t="str">
        <f t="shared" si="1"/>
        <v/>
      </c>
      <c r="N880" s="18" t="str">
        <f>IF(A880="",,IF(ROW()=2, Input!$C$2 + I880, P879 + I880))</f>
        <v/>
      </c>
      <c r="O880" s="23" t="str">
        <f>IF(A880="",,
 IF(K880="Initial principal",
   Input!$C$2 * M880,
   N880 * M880
 )
)</f>
        <v/>
      </c>
      <c r="P880" s="18" t="str">
        <f t="shared" si="2"/>
        <v/>
      </c>
      <c r="Q880" s="18" t="str">
        <f t="shared" si="3"/>
        <v/>
      </c>
      <c r="R880" s="18" t="str">
        <f t="array" ref="R880">IF(
  B880="",
  ,
  SWITCH(
    Input!$C$4,
    "Actual/365 Fixed",
      YEARFRAC(
        B880 + IF(INDEX(Input!$K$7:$K1503,ROW()-1),0,1),
        C880 + IF(INDEX(Input!$L$7:$L1503,ROW()-1),1,0),
        3
      ),
    "Anniversary/365",
      DATEDIF(
        B880 + IF(INDEX(Input!$K$7:$K1503,ROW()-1),0,1),
        C880 + IF(INDEX(Input!$L$7:$L1503,ROW()-1),1,0),
        "Y"
      )
      +
      (
        (C880 + IF(INDEX(Input!$L$7:$L1503,ROW()-1),1,0))
        -
        EDATE(
          B880 + IF(INDEX(Input!$K$7:$K1503,ROW()-1),0,1),
          12*DATEDIF(
            B880 + IF(INDEX(Input!$K$7:$K1503,ROW()-1),0,1),
            C880 + IF(INDEX(Input!$L$7:$L1503,ROW()-1),1,0),
            "Y"
          )
        )
      ) / 365,
    "Actual/Actual",
      YEARFRAC(
        B880 + IF(INDEX(Input!$K$7:$K1503,ROW()-1),0,1),
        C880 + IF(INDEX(Input!$L$7:$L1503,ROW()-1),1,0),
        1
      ),
      YEARFRAC(
        B880 + IF(INDEX(Input!$K$7:$K1503,ROW()-1),0,1),
        C880 + IF(INDEX(Input!$L$7:$L1503,ROW()-1),1,0),
        3
      )
  )
)</f>
        <v/>
      </c>
      <c r="S880" s="22" t="str">
        <f t="shared" si="4"/>
        <v/>
      </c>
      <c r="T880" s="6" t="str">
        <f t="array" ref="T880">IF(
  B880="",
  ,
  DATEDIF(
    B880 + IF(INDEX(Input!$K$7:$K1503,ROW()-1),0,1),
    C880 + IF(INDEX(Input!$L$7:$L1503,ROW()-1),1,0),
    "Y"
  )
)</f>
        <v/>
      </c>
      <c r="U880" s="6" t="str">
        <f t="array" ref="U880">IF(
  B880="",
  ,
  (C880 + IF(INDEX(Input!$L$7:$L1503,ROW()-1),1,0))
  - EDATE(
      B880 + IF(INDEX(Input!$K$7:$K1503,ROW()-1),0,1),
      12*S880
    )
)</f>
        <v/>
      </c>
      <c r="V880" s="6" t="str">
        <f t="shared" si="5"/>
        <v/>
      </c>
      <c r="W880" s="6" t="str">
        <f t="shared" si="6"/>
        <v/>
      </c>
    </row>
    <row r="881">
      <c r="A881" s="18"/>
      <c r="B881" s="18"/>
      <c r="C881" s="18"/>
      <c r="D881" s="18"/>
      <c r="E881" s="18"/>
      <c r="F881" s="18"/>
      <c r="G881" s="22"/>
      <c r="H881" s="18"/>
      <c r="I881" s="18">
        <v>0.0</v>
      </c>
      <c r="J881" s="18">
        <v>0.0</v>
      </c>
      <c r="K881" s="18"/>
      <c r="L881" s="18"/>
      <c r="M881" s="22" t="str">
        <f t="shared" si="1"/>
        <v/>
      </c>
      <c r="N881" s="18" t="str">
        <f>IF(A881="",,IF(ROW()=2, Input!$C$2 + I881, P880 + I881))</f>
        <v/>
      </c>
      <c r="O881" s="23" t="str">
        <f>IF(A881="",,
 IF(K881="Initial principal",
   Input!$C$2 * M881,
   N881 * M881
 )
)</f>
        <v/>
      </c>
      <c r="P881" s="18" t="str">
        <f t="shared" si="2"/>
        <v/>
      </c>
      <c r="Q881" s="18" t="str">
        <f t="shared" si="3"/>
        <v/>
      </c>
      <c r="R881" s="18" t="str">
        <f t="array" ref="R881">IF(
  B881="",
  ,
  SWITCH(
    Input!$C$4,
    "Actual/365 Fixed",
      YEARFRAC(
        B881 + IF(INDEX(Input!$K$7:$K1503,ROW()-1),0,1),
        C881 + IF(INDEX(Input!$L$7:$L1503,ROW()-1),1,0),
        3
      ),
    "Anniversary/365",
      DATEDIF(
        B881 + IF(INDEX(Input!$K$7:$K1503,ROW()-1),0,1),
        C881 + IF(INDEX(Input!$L$7:$L1503,ROW()-1),1,0),
        "Y"
      )
      +
      (
        (C881 + IF(INDEX(Input!$L$7:$L1503,ROW()-1),1,0))
        -
        EDATE(
          B881 + IF(INDEX(Input!$K$7:$K1503,ROW()-1),0,1),
          12*DATEDIF(
            B881 + IF(INDEX(Input!$K$7:$K1503,ROW()-1),0,1),
            C881 + IF(INDEX(Input!$L$7:$L1503,ROW()-1),1,0),
            "Y"
          )
        )
      ) / 365,
    "Actual/Actual",
      YEARFRAC(
        B881 + IF(INDEX(Input!$K$7:$K1503,ROW()-1),0,1),
        C881 + IF(INDEX(Input!$L$7:$L1503,ROW()-1),1,0),
        1
      ),
      YEARFRAC(
        B881 + IF(INDEX(Input!$K$7:$K1503,ROW()-1),0,1),
        C881 + IF(INDEX(Input!$L$7:$L1503,ROW()-1),1,0),
        3
      )
  )
)</f>
        <v/>
      </c>
      <c r="S881" s="22" t="str">
        <f t="shared" si="4"/>
        <v/>
      </c>
      <c r="T881" s="6" t="str">
        <f t="array" ref="T881">IF(
  B881="",
  ,
  DATEDIF(
    B881 + IF(INDEX(Input!$K$7:$K1503,ROW()-1),0,1),
    C881 + IF(INDEX(Input!$L$7:$L1503,ROW()-1),1,0),
    "Y"
  )
)</f>
        <v/>
      </c>
      <c r="U881" s="6" t="str">
        <f t="array" ref="U881">IF(
  B881="",
  ,
  (C881 + IF(INDEX(Input!$L$7:$L1503,ROW()-1),1,0))
  - EDATE(
      B881 + IF(INDEX(Input!$K$7:$K1503,ROW()-1),0,1),
      12*S881
    )
)</f>
        <v/>
      </c>
      <c r="V881" s="6" t="str">
        <f t="shared" si="5"/>
        <v/>
      </c>
      <c r="W881" s="6" t="str">
        <f t="shared" si="6"/>
        <v/>
      </c>
    </row>
    <row r="882">
      <c r="A882" s="18"/>
      <c r="B882" s="18"/>
      <c r="C882" s="18"/>
      <c r="D882" s="18"/>
      <c r="E882" s="18"/>
      <c r="F882" s="18"/>
      <c r="G882" s="22"/>
      <c r="H882" s="18"/>
      <c r="I882" s="18">
        <v>0.0</v>
      </c>
      <c r="J882" s="18">
        <v>0.0</v>
      </c>
      <c r="K882" s="18"/>
      <c r="L882" s="18"/>
      <c r="M882" s="22" t="str">
        <f t="shared" si="1"/>
        <v/>
      </c>
      <c r="N882" s="18" t="str">
        <f>IF(A882="",,IF(ROW()=2, Input!$C$2 + I882, P881 + I882))</f>
        <v/>
      </c>
      <c r="O882" s="23" t="str">
        <f>IF(A882="",,
 IF(K882="Initial principal",
   Input!$C$2 * M882,
   N882 * M882
 )
)</f>
        <v/>
      </c>
      <c r="P882" s="18" t="str">
        <f t="shared" si="2"/>
        <v/>
      </c>
      <c r="Q882" s="18" t="str">
        <f t="shared" si="3"/>
        <v/>
      </c>
      <c r="R882" s="18" t="str">
        <f t="array" ref="R882">IF(
  B882="",
  ,
  SWITCH(
    Input!$C$4,
    "Actual/365 Fixed",
      YEARFRAC(
        B882 + IF(INDEX(Input!$K$7:$K1503,ROW()-1),0,1),
        C882 + IF(INDEX(Input!$L$7:$L1503,ROW()-1),1,0),
        3
      ),
    "Anniversary/365",
      DATEDIF(
        B882 + IF(INDEX(Input!$K$7:$K1503,ROW()-1),0,1),
        C882 + IF(INDEX(Input!$L$7:$L1503,ROW()-1),1,0),
        "Y"
      )
      +
      (
        (C882 + IF(INDEX(Input!$L$7:$L1503,ROW()-1),1,0))
        -
        EDATE(
          B882 + IF(INDEX(Input!$K$7:$K1503,ROW()-1),0,1),
          12*DATEDIF(
            B882 + IF(INDEX(Input!$K$7:$K1503,ROW()-1),0,1),
            C882 + IF(INDEX(Input!$L$7:$L1503,ROW()-1),1,0),
            "Y"
          )
        )
      ) / 365,
    "Actual/Actual",
      YEARFRAC(
        B882 + IF(INDEX(Input!$K$7:$K1503,ROW()-1),0,1),
        C882 + IF(INDEX(Input!$L$7:$L1503,ROW()-1),1,0),
        1
      ),
      YEARFRAC(
        B882 + IF(INDEX(Input!$K$7:$K1503,ROW()-1),0,1),
        C882 + IF(INDEX(Input!$L$7:$L1503,ROW()-1),1,0),
        3
      )
  )
)</f>
        <v/>
      </c>
      <c r="S882" s="22" t="str">
        <f t="shared" si="4"/>
        <v/>
      </c>
      <c r="T882" s="6" t="str">
        <f t="array" ref="T882">IF(
  B882="",
  ,
  DATEDIF(
    B882 + IF(INDEX(Input!$K$7:$K1503,ROW()-1),0,1),
    C882 + IF(INDEX(Input!$L$7:$L1503,ROW()-1),1,0),
    "Y"
  )
)</f>
        <v/>
      </c>
      <c r="U882" s="6" t="str">
        <f t="array" ref="U882">IF(
  B882="",
  ,
  (C882 + IF(INDEX(Input!$L$7:$L1503,ROW()-1),1,0))
  - EDATE(
      B882 + IF(INDEX(Input!$K$7:$K1503,ROW()-1),0,1),
      12*S882
    )
)</f>
        <v/>
      </c>
      <c r="V882" s="6" t="str">
        <f t="shared" si="5"/>
        <v/>
      </c>
      <c r="W882" s="6" t="str">
        <f t="shared" si="6"/>
        <v/>
      </c>
    </row>
    <row r="883">
      <c r="A883" s="18"/>
      <c r="B883" s="18"/>
      <c r="C883" s="18"/>
      <c r="D883" s="18"/>
      <c r="E883" s="18"/>
      <c r="F883" s="18"/>
      <c r="G883" s="22"/>
      <c r="H883" s="18"/>
      <c r="I883" s="18">
        <v>0.0</v>
      </c>
      <c r="J883" s="18">
        <v>0.0</v>
      </c>
      <c r="K883" s="18"/>
      <c r="L883" s="18"/>
      <c r="M883" s="22" t="str">
        <f t="shared" si="1"/>
        <v/>
      </c>
      <c r="N883" s="18" t="str">
        <f>IF(A883="",,IF(ROW()=2, Input!$C$2 + I883, P882 + I883))</f>
        <v/>
      </c>
      <c r="O883" s="23" t="str">
        <f>IF(A883="",,
 IF(K883="Initial principal",
   Input!$C$2 * M883,
   N883 * M883
 )
)</f>
        <v/>
      </c>
      <c r="P883" s="18" t="str">
        <f t="shared" si="2"/>
        <v/>
      </c>
      <c r="Q883" s="18" t="str">
        <f t="shared" si="3"/>
        <v/>
      </c>
      <c r="R883" s="18" t="str">
        <f t="array" ref="R883">IF(
  B883="",
  ,
  SWITCH(
    Input!$C$4,
    "Actual/365 Fixed",
      YEARFRAC(
        B883 + IF(INDEX(Input!$K$7:$K1503,ROW()-1),0,1),
        C883 + IF(INDEX(Input!$L$7:$L1503,ROW()-1),1,0),
        3
      ),
    "Anniversary/365",
      DATEDIF(
        B883 + IF(INDEX(Input!$K$7:$K1503,ROW()-1),0,1),
        C883 + IF(INDEX(Input!$L$7:$L1503,ROW()-1),1,0),
        "Y"
      )
      +
      (
        (C883 + IF(INDEX(Input!$L$7:$L1503,ROW()-1),1,0))
        -
        EDATE(
          B883 + IF(INDEX(Input!$K$7:$K1503,ROW()-1),0,1),
          12*DATEDIF(
            B883 + IF(INDEX(Input!$K$7:$K1503,ROW()-1),0,1),
            C883 + IF(INDEX(Input!$L$7:$L1503,ROW()-1),1,0),
            "Y"
          )
        )
      ) / 365,
    "Actual/Actual",
      YEARFRAC(
        B883 + IF(INDEX(Input!$K$7:$K1503,ROW()-1),0,1),
        C883 + IF(INDEX(Input!$L$7:$L1503,ROW()-1),1,0),
        1
      ),
      YEARFRAC(
        B883 + IF(INDEX(Input!$K$7:$K1503,ROW()-1),0,1),
        C883 + IF(INDEX(Input!$L$7:$L1503,ROW()-1),1,0),
        3
      )
  )
)</f>
        <v/>
      </c>
      <c r="S883" s="22" t="str">
        <f t="shared" si="4"/>
        <v/>
      </c>
      <c r="T883" s="6" t="str">
        <f t="array" ref="T883">IF(
  B883="",
  ,
  DATEDIF(
    B883 + IF(INDEX(Input!$K$7:$K1503,ROW()-1),0,1),
    C883 + IF(INDEX(Input!$L$7:$L1503,ROW()-1),1,0),
    "Y"
  )
)</f>
        <v/>
      </c>
      <c r="U883" s="6" t="str">
        <f t="array" ref="U883">IF(
  B883="",
  ,
  (C883 + IF(INDEX(Input!$L$7:$L1503,ROW()-1),1,0))
  - EDATE(
      B883 + IF(INDEX(Input!$K$7:$K1503,ROW()-1),0,1),
      12*S883
    )
)</f>
        <v/>
      </c>
      <c r="V883" s="6" t="str">
        <f t="shared" si="5"/>
        <v/>
      </c>
      <c r="W883" s="6" t="str">
        <f t="shared" si="6"/>
        <v/>
      </c>
    </row>
    <row r="884">
      <c r="A884" s="18"/>
      <c r="B884" s="18"/>
      <c r="C884" s="18"/>
      <c r="D884" s="18"/>
      <c r="E884" s="18"/>
      <c r="F884" s="18"/>
      <c r="G884" s="22"/>
      <c r="H884" s="18"/>
      <c r="I884" s="18">
        <v>0.0</v>
      </c>
      <c r="J884" s="18">
        <v>0.0</v>
      </c>
      <c r="K884" s="18"/>
      <c r="L884" s="18"/>
      <c r="M884" s="22" t="str">
        <f t="shared" si="1"/>
        <v/>
      </c>
      <c r="N884" s="18" t="str">
        <f>IF(A884="",,IF(ROW()=2, Input!$C$2 + I884, P883 + I884))</f>
        <v/>
      </c>
      <c r="O884" s="23" t="str">
        <f>IF(A884="",,
 IF(K884="Initial principal",
   Input!$C$2 * M884,
   N884 * M884
 )
)</f>
        <v/>
      </c>
      <c r="P884" s="18" t="str">
        <f t="shared" si="2"/>
        <v/>
      </c>
      <c r="Q884" s="18" t="str">
        <f t="shared" si="3"/>
        <v/>
      </c>
      <c r="R884" s="18" t="str">
        <f t="array" ref="R884">IF(
  B884="",
  ,
  SWITCH(
    Input!$C$4,
    "Actual/365 Fixed",
      YEARFRAC(
        B884 + IF(INDEX(Input!$K$7:$K1503,ROW()-1),0,1),
        C884 + IF(INDEX(Input!$L$7:$L1503,ROW()-1),1,0),
        3
      ),
    "Anniversary/365",
      DATEDIF(
        B884 + IF(INDEX(Input!$K$7:$K1503,ROW()-1),0,1),
        C884 + IF(INDEX(Input!$L$7:$L1503,ROW()-1),1,0),
        "Y"
      )
      +
      (
        (C884 + IF(INDEX(Input!$L$7:$L1503,ROW()-1),1,0))
        -
        EDATE(
          B884 + IF(INDEX(Input!$K$7:$K1503,ROW()-1),0,1),
          12*DATEDIF(
            B884 + IF(INDEX(Input!$K$7:$K1503,ROW()-1),0,1),
            C884 + IF(INDEX(Input!$L$7:$L1503,ROW()-1),1,0),
            "Y"
          )
        )
      ) / 365,
    "Actual/Actual",
      YEARFRAC(
        B884 + IF(INDEX(Input!$K$7:$K1503,ROW()-1),0,1),
        C884 + IF(INDEX(Input!$L$7:$L1503,ROW()-1),1,0),
        1
      ),
      YEARFRAC(
        B884 + IF(INDEX(Input!$K$7:$K1503,ROW()-1),0,1),
        C884 + IF(INDEX(Input!$L$7:$L1503,ROW()-1),1,0),
        3
      )
  )
)</f>
        <v/>
      </c>
      <c r="S884" s="22" t="str">
        <f t="shared" si="4"/>
        <v/>
      </c>
      <c r="T884" s="6" t="str">
        <f t="array" ref="T884">IF(
  B884="",
  ,
  DATEDIF(
    B884 + IF(INDEX(Input!$K$7:$K1503,ROW()-1),0,1),
    C884 + IF(INDEX(Input!$L$7:$L1503,ROW()-1),1,0),
    "Y"
  )
)</f>
        <v/>
      </c>
      <c r="U884" s="6" t="str">
        <f t="array" ref="U884">IF(
  B884="",
  ,
  (C884 + IF(INDEX(Input!$L$7:$L1503,ROW()-1),1,0))
  - EDATE(
      B884 + IF(INDEX(Input!$K$7:$K1503,ROW()-1),0,1),
      12*S884
    )
)</f>
        <v/>
      </c>
      <c r="V884" s="6" t="str">
        <f t="shared" si="5"/>
        <v/>
      </c>
      <c r="W884" s="6" t="str">
        <f t="shared" si="6"/>
        <v/>
      </c>
    </row>
    <row r="885">
      <c r="A885" s="18"/>
      <c r="B885" s="18"/>
      <c r="C885" s="18"/>
      <c r="D885" s="18"/>
      <c r="E885" s="18"/>
      <c r="F885" s="18"/>
      <c r="G885" s="22"/>
      <c r="H885" s="18"/>
      <c r="I885" s="18">
        <v>0.0</v>
      </c>
      <c r="J885" s="18">
        <v>0.0</v>
      </c>
      <c r="K885" s="18"/>
      <c r="L885" s="18"/>
      <c r="M885" s="22" t="str">
        <f t="shared" si="1"/>
        <v/>
      </c>
      <c r="N885" s="18" t="str">
        <f>IF(A885="",,IF(ROW()=2, Input!$C$2 + I885, P884 + I885))</f>
        <v/>
      </c>
      <c r="O885" s="23" t="str">
        <f>IF(A885="",,
 IF(K885="Initial principal",
   Input!$C$2 * M885,
   N885 * M885
 )
)</f>
        <v/>
      </c>
      <c r="P885" s="18" t="str">
        <f t="shared" si="2"/>
        <v/>
      </c>
      <c r="Q885" s="18" t="str">
        <f t="shared" si="3"/>
        <v/>
      </c>
      <c r="R885" s="18" t="str">
        <f t="array" ref="R885">IF(
  B885="",
  ,
  SWITCH(
    Input!$C$4,
    "Actual/365 Fixed",
      YEARFRAC(
        B885 + IF(INDEX(Input!$K$7:$K1503,ROW()-1),0,1),
        C885 + IF(INDEX(Input!$L$7:$L1503,ROW()-1),1,0),
        3
      ),
    "Anniversary/365",
      DATEDIF(
        B885 + IF(INDEX(Input!$K$7:$K1503,ROW()-1),0,1),
        C885 + IF(INDEX(Input!$L$7:$L1503,ROW()-1),1,0),
        "Y"
      )
      +
      (
        (C885 + IF(INDEX(Input!$L$7:$L1503,ROW()-1),1,0))
        -
        EDATE(
          B885 + IF(INDEX(Input!$K$7:$K1503,ROW()-1),0,1),
          12*DATEDIF(
            B885 + IF(INDEX(Input!$K$7:$K1503,ROW()-1),0,1),
            C885 + IF(INDEX(Input!$L$7:$L1503,ROW()-1),1,0),
            "Y"
          )
        )
      ) / 365,
    "Actual/Actual",
      YEARFRAC(
        B885 + IF(INDEX(Input!$K$7:$K1503,ROW()-1),0,1),
        C885 + IF(INDEX(Input!$L$7:$L1503,ROW()-1),1,0),
        1
      ),
      YEARFRAC(
        B885 + IF(INDEX(Input!$K$7:$K1503,ROW()-1),0,1),
        C885 + IF(INDEX(Input!$L$7:$L1503,ROW()-1),1,0),
        3
      )
  )
)</f>
        <v/>
      </c>
      <c r="S885" s="22" t="str">
        <f t="shared" si="4"/>
        <v/>
      </c>
      <c r="T885" s="6" t="str">
        <f t="array" ref="T885">IF(
  B885="",
  ,
  DATEDIF(
    B885 + IF(INDEX(Input!$K$7:$K1503,ROW()-1),0,1),
    C885 + IF(INDEX(Input!$L$7:$L1503,ROW()-1),1,0),
    "Y"
  )
)</f>
        <v/>
      </c>
      <c r="U885" s="6" t="str">
        <f t="array" ref="U885">IF(
  B885="",
  ,
  (C885 + IF(INDEX(Input!$L$7:$L1503,ROW()-1),1,0))
  - EDATE(
      B885 + IF(INDEX(Input!$K$7:$K1503,ROW()-1),0,1),
      12*S885
    )
)</f>
        <v/>
      </c>
      <c r="V885" s="6" t="str">
        <f t="shared" si="5"/>
        <v/>
      </c>
      <c r="W885" s="6" t="str">
        <f t="shared" si="6"/>
        <v/>
      </c>
    </row>
    <row r="886">
      <c r="A886" s="18"/>
      <c r="B886" s="18"/>
      <c r="C886" s="18"/>
      <c r="D886" s="18"/>
      <c r="E886" s="18"/>
      <c r="F886" s="18"/>
      <c r="G886" s="22"/>
      <c r="H886" s="18"/>
      <c r="I886" s="18">
        <v>0.0</v>
      </c>
      <c r="J886" s="18">
        <v>0.0</v>
      </c>
      <c r="K886" s="18"/>
      <c r="L886" s="18"/>
      <c r="M886" s="22" t="str">
        <f t="shared" si="1"/>
        <v/>
      </c>
      <c r="N886" s="18" t="str">
        <f>IF(A886="",,IF(ROW()=2, Input!$C$2 + I886, P885 + I886))</f>
        <v/>
      </c>
      <c r="O886" s="23" t="str">
        <f>IF(A886="",,
 IF(K886="Initial principal",
   Input!$C$2 * M886,
   N886 * M886
 )
)</f>
        <v/>
      </c>
      <c r="P886" s="18" t="str">
        <f t="shared" si="2"/>
        <v/>
      </c>
      <c r="Q886" s="18" t="str">
        <f t="shared" si="3"/>
        <v/>
      </c>
      <c r="R886" s="18" t="str">
        <f t="array" ref="R886">IF(
  B886="",
  ,
  SWITCH(
    Input!$C$4,
    "Actual/365 Fixed",
      YEARFRAC(
        B886 + IF(INDEX(Input!$K$7:$K1503,ROW()-1),0,1),
        C886 + IF(INDEX(Input!$L$7:$L1503,ROW()-1),1,0),
        3
      ),
    "Anniversary/365",
      DATEDIF(
        B886 + IF(INDEX(Input!$K$7:$K1503,ROW()-1),0,1),
        C886 + IF(INDEX(Input!$L$7:$L1503,ROW()-1),1,0),
        "Y"
      )
      +
      (
        (C886 + IF(INDEX(Input!$L$7:$L1503,ROW()-1),1,0))
        -
        EDATE(
          B886 + IF(INDEX(Input!$K$7:$K1503,ROW()-1),0,1),
          12*DATEDIF(
            B886 + IF(INDEX(Input!$K$7:$K1503,ROW()-1),0,1),
            C886 + IF(INDEX(Input!$L$7:$L1503,ROW()-1),1,0),
            "Y"
          )
        )
      ) / 365,
    "Actual/Actual",
      YEARFRAC(
        B886 + IF(INDEX(Input!$K$7:$K1503,ROW()-1),0,1),
        C886 + IF(INDEX(Input!$L$7:$L1503,ROW()-1),1,0),
        1
      ),
      YEARFRAC(
        B886 + IF(INDEX(Input!$K$7:$K1503,ROW()-1),0,1),
        C886 + IF(INDEX(Input!$L$7:$L1503,ROW()-1),1,0),
        3
      )
  )
)</f>
        <v/>
      </c>
      <c r="S886" s="22" t="str">
        <f t="shared" si="4"/>
        <v/>
      </c>
      <c r="T886" s="6" t="str">
        <f t="array" ref="T886">IF(
  B886="",
  ,
  DATEDIF(
    B886 + IF(INDEX(Input!$K$7:$K1503,ROW()-1),0,1),
    C886 + IF(INDEX(Input!$L$7:$L1503,ROW()-1),1,0),
    "Y"
  )
)</f>
        <v/>
      </c>
      <c r="U886" s="6" t="str">
        <f t="array" ref="U886">IF(
  B886="",
  ,
  (C886 + IF(INDEX(Input!$L$7:$L1503,ROW()-1),1,0))
  - EDATE(
      B886 + IF(INDEX(Input!$K$7:$K1503,ROW()-1),0,1),
      12*S886
    )
)</f>
        <v/>
      </c>
      <c r="V886" s="6" t="str">
        <f t="shared" si="5"/>
        <v/>
      </c>
      <c r="W886" s="6" t="str">
        <f t="shared" si="6"/>
        <v/>
      </c>
    </row>
    <row r="887">
      <c r="A887" s="18"/>
      <c r="B887" s="18"/>
      <c r="C887" s="18"/>
      <c r="D887" s="18"/>
      <c r="E887" s="18"/>
      <c r="F887" s="18"/>
      <c r="G887" s="22"/>
      <c r="H887" s="18"/>
      <c r="I887" s="18">
        <v>0.0</v>
      </c>
      <c r="J887" s="18">
        <v>0.0</v>
      </c>
      <c r="K887" s="18"/>
      <c r="L887" s="18"/>
      <c r="M887" s="22" t="str">
        <f t="shared" si="1"/>
        <v/>
      </c>
      <c r="N887" s="18" t="str">
        <f>IF(A887="",,IF(ROW()=2, Input!$C$2 + I887, P886 + I887))</f>
        <v/>
      </c>
      <c r="O887" s="23" t="str">
        <f>IF(A887="",,
 IF(K887="Initial principal",
   Input!$C$2 * M887,
   N887 * M887
 )
)</f>
        <v/>
      </c>
      <c r="P887" s="18" t="str">
        <f t="shared" si="2"/>
        <v/>
      </c>
      <c r="Q887" s="18" t="str">
        <f t="shared" si="3"/>
        <v/>
      </c>
      <c r="R887" s="18" t="str">
        <f t="array" ref="R887">IF(
  B887="",
  ,
  SWITCH(
    Input!$C$4,
    "Actual/365 Fixed",
      YEARFRAC(
        B887 + IF(INDEX(Input!$K$7:$K1503,ROW()-1),0,1),
        C887 + IF(INDEX(Input!$L$7:$L1503,ROW()-1),1,0),
        3
      ),
    "Anniversary/365",
      DATEDIF(
        B887 + IF(INDEX(Input!$K$7:$K1503,ROW()-1),0,1),
        C887 + IF(INDEX(Input!$L$7:$L1503,ROW()-1),1,0),
        "Y"
      )
      +
      (
        (C887 + IF(INDEX(Input!$L$7:$L1503,ROW()-1),1,0))
        -
        EDATE(
          B887 + IF(INDEX(Input!$K$7:$K1503,ROW()-1),0,1),
          12*DATEDIF(
            B887 + IF(INDEX(Input!$K$7:$K1503,ROW()-1),0,1),
            C887 + IF(INDEX(Input!$L$7:$L1503,ROW()-1),1,0),
            "Y"
          )
        )
      ) / 365,
    "Actual/Actual",
      YEARFRAC(
        B887 + IF(INDEX(Input!$K$7:$K1503,ROW()-1),0,1),
        C887 + IF(INDEX(Input!$L$7:$L1503,ROW()-1),1,0),
        1
      ),
      YEARFRAC(
        B887 + IF(INDEX(Input!$K$7:$K1503,ROW()-1),0,1),
        C887 + IF(INDEX(Input!$L$7:$L1503,ROW()-1),1,0),
        3
      )
  )
)</f>
        <v/>
      </c>
      <c r="S887" s="22" t="str">
        <f t="shared" si="4"/>
        <v/>
      </c>
      <c r="T887" s="6" t="str">
        <f t="array" ref="T887">IF(
  B887="",
  ,
  DATEDIF(
    B887 + IF(INDEX(Input!$K$7:$K1503,ROW()-1),0,1),
    C887 + IF(INDEX(Input!$L$7:$L1503,ROW()-1),1,0),
    "Y"
  )
)</f>
        <v/>
      </c>
      <c r="U887" s="6" t="str">
        <f t="array" ref="U887">IF(
  B887="",
  ,
  (C887 + IF(INDEX(Input!$L$7:$L1503,ROW()-1),1,0))
  - EDATE(
      B887 + IF(INDEX(Input!$K$7:$K1503,ROW()-1),0,1),
      12*S887
    )
)</f>
        <v/>
      </c>
      <c r="V887" s="6" t="str">
        <f t="shared" si="5"/>
        <v/>
      </c>
      <c r="W887" s="6" t="str">
        <f t="shared" si="6"/>
        <v/>
      </c>
    </row>
    <row r="888">
      <c r="A888" s="18"/>
      <c r="B888" s="18"/>
      <c r="C888" s="18"/>
      <c r="D888" s="18"/>
      <c r="E888" s="18"/>
      <c r="F888" s="18"/>
      <c r="G888" s="22"/>
      <c r="H888" s="18"/>
      <c r="I888" s="18">
        <v>0.0</v>
      </c>
      <c r="J888" s="18">
        <v>0.0</v>
      </c>
      <c r="K888" s="18"/>
      <c r="L888" s="18"/>
      <c r="M888" s="22" t="str">
        <f t="shared" si="1"/>
        <v/>
      </c>
      <c r="N888" s="18" t="str">
        <f>IF(A888="",,IF(ROW()=2, Input!$C$2 + I888, P887 + I888))</f>
        <v/>
      </c>
      <c r="O888" s="23" t="str">
        <f>IF(A888="",,
 IF(K888="Initial principal",
   Input!$C$2 * M888,
   N888 * M888
 )
)</f>
        <v/>
      </c>
      <c r="P888" s="18" t="str">
        <f t="shared" si="2"/>
        <v/>
      </c>
      <c r="Q888" s="18" t="str">
        <f t="shared" si="3"/>
        <v/>
      </c>
      <c r="R888" s="18" t="str">
        <f t="array" ref="R888">IF(
  B888="",
  ,
  SWITCH(
    Input!$C$4,
    "Actual/365 Fixed",
      YEARFRAC(
        B888 + IF(INDEX(Input!$K$7:$K1503,ROW()-1),0,1),
        C888 + IF(INDEX(Input!$L$7:$L1503,ROW()-1),1,0),
        3
      ),
    "Anniversary/365",
      DATEDIF(
        B888 + IF(INDEX(Input!$K$7:$K1503,ROW()-1),0,1),
        C888 + IF(INDEX(Input!$L$7:$L1503,ROW()-1),1,0),
        "Y"
      )
      +
      (
        (C888 + IF(INDEX(Input!$L$7:$L1503,ROW()-1),1,0))
        -
        EDATE(
          B888 + IF(INDEX(Input!$K$7:$K1503,ROW()-1),0,1),
          12*DATEDIF(
            B888 + IF(INDEX(Input!$K$7:$K1503,ROW()-1),0,1),
            C888 + IF(INDEX(Input!$L$7:$L1503,ROW()-1),1,0),
            "Y"
          )
        )
      ) / 365,
    "Actual/Actual",
      YEARFRAC(
        B888 + IF(INDEX(Input!$K$7:$K1503,ROW()-1),0,1),
        C888 + IF(INDEX(Input!$L$7:$L1503,ROW()-1),1,0),
        1
      ),
      YEARFRAC(
        B888 + IF(INDEX(Input!$K$7:$K1503,ROW()-1),0,1),
        C888 + IF(INDEX(Input!$L$7:$L1503,ROW()-1),1,0),
        3
      )
  )
)</f>
        <v/>
      </c>
      <c r="S888" s="22" t="str">
        <f t="shared" si="4"/>
        <v/>
      </c>
      <c r="T888" s="6" t="str">
        <f t="array" ref="T888">IF(
  B888="",
  ,
  DATEDIF(
    B888 + IF(INDEX(Input!$K$7:$K1503,ROW()-1),0,1),
    C888 + IF(INDEX(Input!$L$7:$L1503,ROW()-1),1,0),
    "Y"
  )
)</f>
        <v/>
      </c>
      <c r="U888" s="6" t="str">
        <f t="array" ref="U888">IF(
  B888="",
  ,
  (C888 + IF(INDEX(Input!$L$7:$L1503,ROW()-1),1,0))
  - EDATE(
      B888 + IF(INDEX(Input!$K$7:$K1503,ROW()-1),0,1),
      12*S888
    )
)</f>
        <v/>
      </c>
      <c r="V888" s="6" t="str">
        <f t="shared" si="5"/>
        <v/>
      </c>
      <c r="W888" s="6" t="str">
        <f t="shared" si="6"/>
        <v/>
      </c>
    </row>
    <row r="889">
      <c r="A889" s="18"/>
      <c r="B889" s="18"/>
      <c r="C889" s="18"/>
      <c r="D889" s="18"/>
      <c r="E889" s="18"/>
      <c r="F889" s="18"/>
      <c r="G889" s="22"/>
      <c r="H889" s="18"/>
      <c r="I889" s="18">
        <v>0.0</v>
      </c>
      <c r="J889" s="18">
        <v>0.0</v>
      </c>
      <c r="K889" s="18"/>
      <c r="L889" s="18"/>
      <c r="M889" s="22" t="str">
        <f t="shared" si="1"/>
        <v/>
      </c>
      <c r="N889" s="18" t="str">
        <f>IF(A889="",,IF(ROW()=2, Input!$C$2 + I889, P888 + I889))</f>
        <v/>
      </c>
      <c r="O889" s="23" t="str">
        <f>IF(A889="",,
 IF(K889="Initial principal",
   Input!$C$2 * M889,
   N889 * M889
 )
)</f>
        <v/>
      </c>
      <c r="P889" s="18" t="str">
        <f t="shared" si="2"/>
        <v/>
      </c>
      <c r="Q889" s="18" t="str">
        <f t="shared" si="3"/>
        <v/>
      </c>
      <c r="R889" s="18" t="str">
        <f t="array" ref="R889">IF(
  B889="",
  ,
  SWITCH(
    Input!$C$4,
    "Actual/365 Fixed",
      YEARFRAC(
        B889 + IF(INDEX(Input!$K$7:$K1503,ROW()-1),0,1),
        C889 + IF(INDEX(Input!$L$7:$L1503,ROW()-1),1,0),
        3
      ),
    "Anniversary/365",
      DATEDIF(
        B889 + IF(INDEX(Input!$K$7:$K1503,ROW()-1),0,1),
        C889 + IF(INDEX(Input!$L$7:$L1503,ROW()-1),1,0),
        "Y"
      )
      +
      (
        (C889 + IF(INDEX(Input!$L$7:$L1503,ROW()-1),1,0))
        -
        EDATE(
          B889 + IF(INDEX(Input!$K$7:$K1503,ROW()-1),0,1),
          12*DATEDIF(
            B889 + IF(INDEX(Input!$K$7:$K1503,ROW()-1),0,1),
            C889 + IF(INDEX(Input!$L$7:$L1503,ROW()-1),1,0),
            "Y"
          )
        )
      ) / 365,
    "Actual/Actual",
      YEARFRAC(
        B889 + IF(INDEX(Input!$K$7:$K1503,ROW()-1),0,1),
        C889 + IF(INDEX(Input!$L$7:$L1503,ROW()-1),1,0),
        1
      ),
      YEARFRAC(
        B889 + IF(INDEX(Input!$K$7:$K1503,ROW()-1),0,1),
        C889 + IF(INDEX(Input!$L$7:$L1503,ROW()-1),1,0),
        3
      )
  )
)</f>
        <v/>
      </c>
      <c r="S889" s="22" t="str">
        <f t="shared" si="4"/>
        <v/>
      </c>
      <c r="T889" s="6" t="str">
        <f t="array" ref="T889">IF(
  B889="",
  ,
  DATEDIF(
    B889 + IF(INDEX(Input!$K$7:$K1503,ROW()-1),0,1),
    C889 + IF(INDEX(Input!$L$7:$L1503,ROW()-1),1,0),
    "Y"
  )
)</f>
        <v/>
      </c>
      <c r="U889" s="6" t="str">
        <f t="array" ref="U889">IF(
  B889="",
  ,
  (C889 + IF(INDEX(Input!$L$7:$L1503,ROW()-1),1,0))
  - EDATE(
      B889 + IF(INDEX(Input!$K$7:$K1503,ROW()-1),0,1),
      12*S889
    )
)</f>
        <v/>
      </c>
      <c r="V889" s="6" t="str">
        <f t="shared" si="5"/>
        <v/>
      </c>
      <c r="W889" s="6" t="str">
        <f t="shared" si="6"/>
        <v/>
      </c>
    </row>
    <row r="890">
      <c r="A890" s="18"/>
      <c r="B890" s="18"/>
      <c r="C890" s="18"/>
      <c r="D890" s="18"/>
      <c r="E890" s="18"/>
      <c r="F890" s="18"/>
      <c r="G890" s="22"/>
      <c r="H890" s="18"/>
      <c r="I890" s="18">
        <v>0.0</v>
      </c>
      <c r="J890" s="18">
        <v>0.0</v>
      </c>
      <c r="K890" s="18"/>
      <c r="L890" s="18"/>
      <c r="M890" s="22" t="str">
        <f t="shared" si="1"/>
        <v/>
      </c>
      <c r="N890" s="18" t="str">
        <f>IF(A890="",,IF(ROW()=2, Input!$C$2 + I890, P889 + I890))</f>
        <v/>
      </c>
      <c r="O890" s="23" t="str">
        <f>IF(A890="",,
 IF(K890="Initial principal",
   Input!$C$2 * M890,
   N890 * M890
 )
)</f>
        <v/>
      </c>
      <c r="P890" s="18" t="str">
        <f t="shared" si="2"/>
        <v/>
      </c>
      <c r="Q890" s="18" t="str">
        <f t="shared" si="3"/>
        <v/>
      </c>
      <c r="R890" s="18" t="str">
        <f t="array" ref="R890">IF(
  B890="",
  ,
  SWITCH(
    Input!$C$4,
    "Actual/365 Fixed",
      YEARFRAC(
        B890 + IF(INDEX(Input!$K$7:$K1503,ROW()-1),0,1),
        C890 + IF(INDEX(Input!$L$7:$L1503,ROW()-1),1,0),
        3
      ),
    "Anniversary/365",
      DATEDIF(
        B890 + IF(INDEX(Input!$K$7:$K1503,ROW()-1),0,1),
        C890 + IF(INDEX(Input!$L$7:$L1503,ROW()-1),1,0),
        "Y"
      )
      +
      (
        (C890 + IF(INDEX(Input!$L$7:$L1503,ROW()-1),1,0))
        -
        EDATE(
          B890 + IF(INDEX(Input!$K$7:$K1503,ROW()-1),0,1),
          12*DATEDIF(
            B890 + IF(INDEX(Input!$K$7:$K1503,ROW()-1),0,1),
            C890 + IF(INDEX(Input!$L$7:$L1503,ROW()-1),1,0),
            "Y"
          )
        )
      ) / 365,
    "Actual/Actual",
      YEARFRAC(
        B890 + IF(INDEX(Input!$K$7:$K1503,ROW()-1),0,1),
        C890 + IF(INDEX(Input!$L$7:$L1503,ROW()-1),1,0),
        1
      ),
      YEARFRAC(
        B890 + IF(INDEX(Input!$K$7:$K1503,ROW()-1),0,1),
        C890 + IF(INDEX(Input!$L$7:$L1503,ROW()-1),1,0),
        3
      )
  )
)</f>
        <v/>
      </c>
      <c r="S890" s="22" t="str">
        <f t="shared" si="4"/>
        <v/>
      </c>
      <c r="T890" s="6" t="str">
        <f t="array" ref="T890">IF(
  B890="",
  ,
  DATEDIF(
    B890 + IF(INDEX(Input!$K$7:$K1503,ROW()-1),0,1),
    C890 + IF(INDEX(Input!$L$7:$L1503,ROW()-1),1,0),
    "Y"
  )
)</f>
        <v/>
      </c>
      <c r="U890" s="6" t="str">
        <f t="array" ref="U890">IF(
  B890="",
  ,
  (C890 + IF(INDEX(Input!$L$7:$L1503,ROW()-1),1,0))
  - EDATE(
      B890 + IF(INDEX(Input!$K$7:$K1503,ROW()-1),0,1),
      12*S890
    )
)</f>
        <v/>
      </c>
      <c r="V890" s="6" t="str">
        <f t="shared" si="5"/>
        <v/>
      </c>
      <c r="W890" s="6" t="str">
        <f t="shared" si="6"/>
        <v/>
      </c>
    </row>
    <row r="891">
      <c r="A891" s="18"/>
      <c r="B891" s="18"/>
      <c r="C891" s="18"/>
      <c r="D891" s="18"/>
      <c r="E891" s="18"/>
      <c r="F891" s="18"/>
      <c r="G891" s="22"/>
      <c r="H891" s="18"/>
      <c r="I891" s="18">
        <v>0.0</v>
      </c>
      <c r="J891" s="18">
        <v>0.0</v>
      </c>
      <c r="K891" s="18"/>
      <c r="L891" s="18"/>
      <c r="M891" s="22" t="str">
        <f t="shared" si="1"/>
        <v/>
      </c>
      <c r="N891" s="18" t="str">
        <f>IF(A891="",,IF(ROW()=2, Input!$C$2 + I891, P890 + I891))</f>
        <v/>
      </c>
      <c r="O891" s="23" t="str">
        <f>IF(A891="",,
 IF(K891="Initial principal",
   Input!$C$2 * M891,
   N891 * M891
 )
)</f>
        <v/>
      </c>
      <c r="P891" s="18" t="str">
        <f t="shared" si="2"/>
        <v/>
      </c>
      <c r="Q891" s="18" t="str">
        <f t="shared" si="3"/>
        <v/>
      </c>
      <c r="R891" s="18" t="str">
        <f t="array" ref="R891">IF(
  B891="",
  ,
  SWITCH(
    Input!$C$4,
    "Actual/365 Fixed",
      YEARFRAC(
        B891 + IF(INDEX(Input!$K$7:$K1503,ROW()-1),0,1),
        C891 + IF(INDEX(Input!$L$7:$L1503,ROW()-1),1,0),
        3
      ),
    "Anniversary/365",
      DATEDIF(
        B891 + IF(INDEX(Input!$K$7:$K1503,ROW()-1),0,1),
        C891 + IF(INDEX(Input!$L$7:$L1503,ROW()-1),1,0),
        "Y"
      )
      +
      (
        (C891 + IF(INDEX(Input!$L$7:$L1503,ROW()-1),1,0))
        -
        EDATE(
          B891 + IF(INDEX(Input!$K$7:$K1503,ROW()-1),0,1),
          12*DATEDIF(
            B891 + IF(INDEX(Input!$K$7:$K1503,ROW()-1),0,1),
            C891 + IF(INDEX(Input!$L$7:$L1503,ROW()-1),1,0),
            "Y"
          )
        )
      ) / 365,
    "Actual/Actual",
      YEARFRAC(
        B891 + IF(INDEX(Input!$K$7:$K1503,ROW()-1),0,1),
        C891 + IF(INDEX(Input!$L$7:$L1503,ROW()-1),1,0),
        1
      ),
      YEARFRAC(
        B891 + IF(INDEX(Input!$K$7:$K1503,ROW()-1),0,1),
        C891 + IF(INDEX(Input!$L$7:$L1503,ROW()-1),1,0),
        3
      )
  )
)</f>
        <v/>
      </c>
      <c r="S891" s="22" t="str">
        <f t="shared" si="4"/>
        <v/>
      </c>
      <c r="T891" s="6" t="str">
        <f t="array" ref="T891">IF(
  B891="",
  ,
  DATEDIF(
    B891 + IF(INDEX(Input!$K$7:$K1503,ROW()-1),0,1),
    C891 + IF(INDEX(Input!$L$7:$L1503,ROW()-1),1,0),
    "Y"
  )
)</f>
        <v/>
      </c>
      <c r="U891" s="6" t="str">
        <f t="array" ref="U891">IF(
  B891="",
  ,
  (C891 + IF(INDEX(Input!$L$7:$L1503,ROW()-1),1,0))
  - EDATE(
      B891 + IF(INDEX(Input!$K$7:$K1503,ROW()-1),0,1),
      12*S891
    )
)</f>
        <v/>
      </c>
      <c r="V891" s="6" t="str">
        <f t="shared" si="5"/>
        <v/>
      </c>
      <c r="W891" s="6" t="str">
        <f t="shared" si="6"/>
        <v/>
      </c>
    </row>
    <row r="892">
      <c r="A892" s="18"/>
      <c r="B892" s="18"/>
      <c r="C892" s="18"/>
      <c r="D892" s="18"/>
      <c r="E892" s="18"/>
      <c r="F892" s="18"/>
      <c r="G892" s="22"/>
      <c r="H892" s="18"/>
      <c r="I892" s="18">
        <v>0.0</v>
      </c>
      <c r="J892" s="18">
        <v>0.0</v>
      </c>
      <c r="K892" s="18"/>
      <c r="L892" s="18"/>
      <c r="M892" s="22" t="str">
        <f t="shared" si="1"/>
        <v/>
      </c>
      <c r="N892" s="18" t="str">
        <f>IF(A892="",,IF(ROW()=2, Input!$C$2 + I892, P891 + I892))</f>
        <v/>
      </c>
      <c r="O892" s="23" t="str">
        <f>IF(A892="",,
 IF(K892="Initial principal",
   Input!$C$2 * M892,
   N892 * M892
 )
)</f>
        <v/>
      </c>
      <c r="P892" s="18" t="str">
        <f t="shared" si="2"/>
        <v/>
      </c>
      <c r="Q892" s="18" t="str">
        <f t="shared" si="3"/>
        <v/>
      </c>
      <c r="R892" s="18" t="str">
        <f t="array" ref="R892">IF(
  B892="",
  ,
  SWITCH(
    Input!$C$4,
    "Actual/365 Fixed",
      YEARFRAC(
        B892 + IF(INDEX(Input!$K$7:$K1503,ROW()-1),0,1),
        C892 + IF(INDEX(Input!$L$7:$L1503,ROW()-1),1,0),
        3
      ),
    "Anniversary/365",
      DATEDIF(
        B892 + IF(INDEX(Input!$K$7:$K1503,ROW()-1),0,1),
        C892 + IF(INDEX(Input!$L$7:$L1503,ROW()-1),1,0),
        "Y"
      )
      +
      (
        (C892 + IF(INDEX(Input!$L$7:$L1503,ROW()-1),1,0))
        -
        EDATE(
          B892 + IF(INDEX(Input!$K$7:$K1503,ROW()-1),0,1),
          12*DATEDIF(
            B892 + IF(INDEX(Input!$K$7:$K1503,ROW()-1),0,1),
            C892 + IF(INDEX(Input!$L$7:$L1503,ROW()-1),1,0),
            "Y"
          )
        )
      ) / 365,
    "Actual/Actual",
      YEARFRAC(
        B892 + IF(INDEX(Input!$K$7:$K1503,ROW()-1),0,1),
        C892 + IF(INDEX(Input!$L$7:$L1503,ROW()-1),1,0),
        1
      ),
      YEARFRAC(
        B892 + IF(INDEX(Input!$K$7:$K1503,ROW()-1),0,1),
        C892 + IF(INDEX(Input!$L$7:$L1503,ROW()-1),1,0),
        3
      )
  )
)</f>
        <v/>
      </c>
      <c r="S892" s="22" t="str">
        <f t="shared" si="4"/>
        <v/>
      </c>
      <c r="T892" s="6" t="str">
        <f t="array" ref="T892">IF(
  B892="",
  ,
  DATEDIF(
    B892 + IF(INDEX(Input!$K$7:$K1503,ROW()-1),0,1),
    C892 + IF(INDEX(Input!$L$7:$L1503,ROW()-1),1,0),
    "Y"
  )
)</f>
        <v/>
      </c>
      <c r="U892" s="6" t="str">
        <f t="array" ref="U892">IF(
  B892="",
  ,
  (C892 + IF(INDEX(Input!$L$7:$L1503,ROW()-1),1,0))
  - EDATE(
      B892 + IF(INDEX(Input!$K$7:$K1503,ROW()-1),0,1),
      12*S892
    )
)</f>
        <v/>
      </c>
      <c r="V892" s="6" t="str">
        <f t="shared" si="5"/>
        <v/>
      </c>
      <c r="W892" s="6" t="str">
        <f t="shared" si="6"/>
        <v/>
      </c>
    </row>
    <row r="893">
      <c r="A893" s="18"/>
      <c r="B893" s="18"/>
      <c r="C893" s="18"/>
      <c r="D893" s="18"/>
      <c r="E893" s="18"/>
      <c r="F893" s="18"/>
      <c r="G893" s="22"/>
      <c r="H893" s="18"/>
      <c r="I893" s="18">
        <v>0.0</v>
      </c>
      <c r="J893" s="18">
        <v>0.0</v>
      </c>
      <c r="K893" s="18"/>
      <c r="L893" s="18"/>
      <c r="M893" s="22" t="str">
        <f t="shared" si="1"/>
        <v/>
      </c>
      <c r="N893" s="18" t="str">
        <f>IF(A893="",,IF(ROW()=2, Input!$C$2 + I893, P892 + I893))</f>
        <v/>
      </c>
      <c r="O893" s="23" t="str">
        <f>IF(A893="",,
 IF(K893="Initial principal",
   Input!$C$2 * M893,
   N893 * M893
 )
)</f>
        <v/>
      </c>
      <c r="P893" s="18" t="str">
        <f t="shared" si="2"/>
        <v/>
      </c>
      <c r="Q893" s="18" t="str">
        <f t="shared" si="3"/>
        <v/>
      </c>
      <c r="R893" s="18" t="str">
        <f t="array" ref="R893">IF(
  B893="",
  ,
  SWITCH(
    Input!$C$4,
    "Actual/365 Fixed",
      YEARFRAC(
        B893 + IF(INDEX(Input!$K$7:$K1503,ROW()-1),0,1),
        C893 + IF(INDEX(Input!$L$7:$L1503,ROW()-1),1,0),
        3
      ),
    "Anniversary/365",
      DATEDIF(
        B893 + IF(INDEX(Input!$K$7:$K1503,ROW()-1),0,1),
        C893 + IF(INDEX(Input!$L$7:$L1503,ROW()-1),1,0),
        "Y"
      )
      +
      (
        (C893 + IF(INDEX(Input!$L$7:$L1503,ROW()-1),1,0))
        -
        EDATE(
          B893 + IF(INDEX(Input!$K$7:$K1503,ROW()-1),0,1),
          12*DATEDIF(
            B893 + IF(INDEX(Input!$K$7:$K1503,ROW()-1),0,1),
            C893 + IF(INDEX(Input!$L$7:$L1503,ROW()-1),1,0),
            "Y"
          )
        )
      ) / 365,
    "Actual/Actual",
      YEARFRAC(
        B893 + IF(INDEX(Input!$K$7:$K1503,ROW()-1),0,1),
        C893 + IF(INDEX(Input!$L$7:$L1503,ROW()-1),1,0),
        1
      ),
      YEARFRAC(
        B893 + IF(INDEX(Input!$K$7:$K1503,ROW()-1),0,1),
        C893 + IF(INDEX(Input!$L$7:$L1503,ROW()-1),1,0),
        3
      )
  )
)</f>
        <v/>
      </c>
      <c r="S893" s="22" t="str">
        <f t="shared" si="4"/>
        <v/>
      </c>
      <c r="T893" s="6" t="str">
        <f t="array" ref="T893">IF(
  B893="",
  ,
  DATEDIF(
    B893 + IF(INDEX(Input!$K$7:$K1503,ROW()-1),0,1),
    C893 + IF(INDEX(Input!$L$7:$L1503,ROW()-1),1,0),
    "Y"
  )
)</f>
        <v/>
      </c>
      <c r="U893" s="6" t="str">
        <f t="array" ref="U893">IF(
  B893="",
  ,
  (C893 + IF(INDEX(Input!$L$7:$L1503,ROW()-1),1,0))
  - EDATE(
      B893 + IF(INDEX(Input!$K$7:$K1503,ROW()-1),0,1),
      12*S893
    )
)</f>
        <v/>
      </c>
      <c r="V893" s="6" t="str">
        <f t="shared" si="5"/>
        <v/>
      </c>
      <c r="W893" s="6" t="str">
        <f t="shared" si="6"/>
        <v/>
      </c>
    </row>
    <row r="894">
      <c r="A894" s="18"/>
      <c r="B894" s="18"/>
      <c r="C894" s="18"/>
      <c r="D894" s="18"/>
      <c r="E894" s="18"/>
      <c r="F894" s="18"/>
      <c r="G894" s="22"/>
      <c r="H894" s="18"/>
      <c r="I894" s="18">
        <v>0.0</v>
      </c>
      <c r="J894" s="18">
        <v>0.0</v>
      </c>
      <c r="K894" s="18"/>
      <c r="L894" s="18"/>
      <c r="M894" s="22" t="str">
        <f t="shared" si="1"/>
        <v/>
      </c>
      <c r="N894" s="18" t="str">
        <f>IF(A894="",,IF(ROW()=2, Input!$C$2 + I894, P893 + I894))</f>
        <v/>
      </c>
      <c r="O894" s="23" t="str">
        <f>IF(A894="",,
 IF(K894="Initial principal",
   Input!$C$2 * M894,
   N894 * M894
 )
)</f>
        <v/>
      </c>
      <c r="P894" s="18" t="str">
        <f t="shared" si="2"/>
        <v/>
      </c>
      <c r="Q894" s="18" t="str">
        <f t="shared" si="3"/>
        <v/>
      </c>
      <c r="R894" s="18" t="str">
        <f t="array" ref="R894">IF(
  B894="",
  ,
  SWITCH(
    Input!$C$4,
    "Actual/365 Fixed",
      YEARFRAC(
        B894 + IF(INDEX(Input!$K$7:$K1503,ROW()-1),0,1),
        C894 + IF(INDEX(Input!$L$7:$L1503,ROW()-1),1,0),
        3
      ),
    "Anniversary/365",
      DATEDIF(
        B894 + IF(INDEX(Input!$K$7:$K1503,ROW()-1),0,1),
        C894 + IF(INDEX(Input!$L$7:$L1503,ROW()-1),1,0),
        "Y"
      )
      +
      (
        (C894 + IF(INDEX(Input!$L$7:$L1503,ROW()-1),1,0))
        -
        EDATE(
          B894 + IF(INDEX(Input!$K$7:$K1503,ROW()-1),0,1),
          12*DATEDIF(
            B894 + IF(INDEX(Input!$K$7:$K1503,ROW()-1),0,1),
            C894 + IF(INDEX(Input!$L$7:$L1503,ROW()-1),1,0),
            "Y"
          )
        )
      ) / 365,
    "Actual/Actual",
      YEARFRAC(
        B894 + IF(INDEX(Input!$K$7:$K1503,ROW()-1),0,1),
        C894 + IF(INDEX(Input!$L$7:$L1503,ROW()-1),1,0),
        1
      ),
      YEARFRAC(
        B894 + IF(INDEX(Input!$K$7:$K1503,ROW()-1),0,1),
        C894 + IF(INDEX(Input!$L$7:$L1503,ROW()-1),1,0),
        3
      )
  )
)</f>
        <v/>
      </c>
      <c r="S894" s="22" t="str">
        <f t="shared" si="4"/>
        <v/>
      </c>
      <c r="T894" s="6" t="str">
        <f t="array" ref="T894">IF(
  B894="",
  ,
  DATEDIF(
    B894 + IF(INDEX(Input!$K$7:$K1503,ROW()-1),0,1),
    C894 + IF(INDEX(Input!$L$7:$L1503,ROW()-1),1,0),
    "Y"
  )
)</f>
        <v/>
      </c>
      <c r="U894" s="6" t="str">
        <f t="array" ref="U894">IF(
  B894="",
  ,
  (C894 + IF(INDEX(Input!$L$7:$L1503,ROW()-1),1,0))
  - EDATE(
      B894 + IF(INDEX(Input!$K$7:$K1503,ROW()-1),0,1),
      12*S894
    )
)</f>
        <v/>
      </c>
      <c r="V894" s="6" t="str">
        <f t="shared" si="5"/>
        <v/>
      </c>
      <c r="W894" s="6" t="str">
        <f t="shared" si="6"/>
        <v/>
      </c>
    </row>
    <row r="895">
      <c r="A895" s="18"/>
      <c r="B895" s="18"/>
      <c r="C895" s="18"/>
      <c r="D895" s="18"/>
      <c r="E895" s="18"/>
      <c r="F895" s="18"/>
      <c r="G895" s="22"/>
      <c r="H895" s="18"/>
      <c r="I895" s="18">
        <v>0.0</v>
      </c>
      <c r="J895" s="18">
        <v>0.0</v>
      </c>
      <c r="K895" s="18"/>
      <c r="L895" s="18"/>
      <c r="M895" s="22" t="str">
        <f t="shared" si="1"/>
        <v/>
      </c>
      <c r="N895" s="18" t="str">
        <f>IF(A895="",,IF(ROW()=2, Input!$C$2 + I895, P894 + I895))</f>
        <v/>
      </c>
      <c r="O895" s="23" t="str">
        <f>IF(A895="",,
 IF(K895="Initial principal",
   Input!$C$2 * M895,
   N895 * M895
 )
)</f>
        <v/>
      </c>
      <c r="P895" s="18" t="str">
        <f t="shared" si="2"/>
        <v/>
      </c>
      <c r="Q895" s="18" t="str">
        <f t="shared" si="3"/>
        <v/>
      </c>
      <c r="R895" s="18" t="str">
        <f t="array" ref="R895">IF(
  B895="",
  ,
  SWITCH(
    Input!$C$4,
    "Actual/365 Fixed",
      YEARFRAC(
        B895 + IF(INDEX(Input!$K$7:$K1503,ROW()-1),0,1),
        C895 + IF(INDEX(Input!$L$7:$L1503,ROW()-1),1,0),
        3
      ),
    "Anniversary/365",
      DATEDIF(
        B895 + IF(INDEX(Input!$K$7:$K1503,ROW()-1),0,1),
        C895 + IF(INDEX(Input!$L$7:$L1503,ROW()-1),1,0),
        "Y"
      )
      +
      (
        (C895 + IF(INDEX(Input!$L$7:$L1503,ROW()-1),1,0))
        -
        EDATE(
          B895 + IF(INDEX(Input!$K$7:$K1503,ROW()-1),0,1),
          12*DATEDIF(
            B895 + IF(INDEX(Input!$K$7:$K1503,ROW()-1),0,1),
            C895 + IF(INDEX(Input!$L$7:$L1503,ROW()-1),1,0),
            "Y"
          )
        )
      ) / 365,
    "Actual/Actual",
      YEARFRAC(
        B895 + IF(INDEX(Input!$K$7:$K1503,ROW()-1),0,1),
        C895 + IF(INDEX(Input!$L$7:$L1503,ROW()-1),1,0),
        1
      ),
      YEARFRAC(
        B895 + IF(INDEX(Input!$K$7:$K1503,ROW()-1),0,1),
        C895 + IF(INDEX(Input!$L$7:$L1503,ROW()-1),1,0),
        3
      )
  )
)</f>
        <v/>
      </c>
      <c r="S895" s="22" t="str">
        <f t="shared" si="4"/>
        <v/>
      </c>
      <c r="T895" s="6" t="str">
        <f t="array" ref="T895">IF(
  B895="",
  ,
  DATEDIF(
    B895 + IF(INDEX(Input!$K$7:$K1503,ROW()-1),0,1),
    C895 + IF(INDEX(Input!$L$7:$L1503,ROW()-1),1,0),
    "Y"
  )
)</f>
        <v/>
      </c>
      <c r="U895" s="6" t="str">
        <f t="array" ref="U895">IF(
  B895="",
  ,
  (C895 + IF(INDEX(Input!$L$7:$L1503,ROW()-1),1,0))
  - EDATE(
      B895 + IF(INDEX(Input!$K$7:$K1503,ROW()-1),0,1),
      12*S895
    )
)</f>
        <v/>
      </c>
      <c r="V895" s="6" t="str">
        <f t="shared" si="5"/>
        <v/>
      </c>
      <c r="W895" s="6" t="str">
        <f t="shared" si="6"/>
        <v/>
      </c>
    </row>
    <row r="896">
      <c r="A896" s="18"/>
      <c r="B896" s="18"/>
      <c r="C896" s="18"/>
      <c r="D896" s="18"/>
      <c r="E896" s="18"/>
      <c r="F896" s="18"/>
      <c r="G896" s="22"/>
      <c r="H896" s="18"/>
      <c r="I896" s="18">
        <v>0.0</v>
      </c>
      <c r="J896" s="18">
        <v>0.0</v>
      </c>
      <c r="K896" s="18"/>
      <c r="L896" s="18"/>
      <c r="M896" s="22" t="str">
        <f t="shared" si="1"/>
        <v/>
      </c>
      <c r="N896" s="18" t="str">
        <f>IF(A896="",,IF(ROW()=2, Input!$C$2 + I896, P895 + I896))</f>
        <v/>
      </c>
      <c r="O896" s="23" t="str">
        <f>IF(A896="",,
 IF(K896="Initial principal",
   Input!$C$2 * M896,
   N896 * M896
 )
)</f>
        <v/>
      </c>
      <c r="P896" s="18" t="str">
        <f t="shared" si="2"/>
        <v/>
      </c>
      <c r="Q896" s="18" t="str">
        <f t="shared" si="3"/>
        <v/>
      </c>
      <c r="R896" s="18" t="str">
        <f t="array" ref="R896">IF(
  B896="",
  ,
  SWITCH(
    Input!$C$4,
    "Actual/365 Fixed",
      YEARFRAC(
        B896 + IF(INDEX(Input!$K$7:$K1503,ROW()-1),0,1),
        C896 + IF(INDEX(Input!$L$7:$L1503,ROW()-1),1,0),
        3
      ),
    "Anniversary/365",
      DATEDIF(
        B896 + IF(INDEX(Input!$K$7:$K1503,ROW()-1),0,1),
        C896 + IF(INDEX(Input!$L$7:$L1503,ROW()-1),1,0),
        "Y"
      )
      +
      (
        (C896 + IF(INDEX(Input!$L$7:$L1503,ROW()-1),1,0))
        -
        EDATE(
          B896 + IF(INDEX(Input!$K$7:$K1503,ROW()-1),0,1),
          12*DATEDIF(
            B896 + IF(INDEX(Input!$K$7:$K1503,ROW()-1),0,1),
            C896 + IF(INDEX(Input!$L$7:$L1503,ROW()-1),1,0),
            "Y"
          )
        )
      ) / 365,
    "Actual/Actual",
      YEARFRAC(
        B896 + IF(INDEX(Input!$K$7:$K1503,ROW()-1),0,1),
        C896 + IF(INDEX(Input!$L$7:$L1503,ROW()-1),1,0),
        1
      ),
      YEARFRAC(
        B896 + IF(INDEX(Input!$K$7:$K1503,ROW()-1),0,1),
        C896 + IF(INDEX(Input!$L$7:$L1503,ROW()-1),1,0),
        3
      )
  )
)</f>
        <v/>
      </c>
      <c r="S896" s="22" t="str">
        <f t="shared" si="4"/>
        <v/>
      </c>
      <c r="T896" s="6" t="str">
        <f t="array" ref="T896">IF(
  B896="",
  ,
  DATEDIF(
    B896 + IF(INDEX(Input!$K$7:$K1503,ROW()-1),0,1),
    C896 + IF(INDEX(Input!$L$7:$L1503,ROW()-1),1,0),
    "Y"
  )
)</f>
        <v/>
      </c>
      <c r="U896" s="6" t="str">
        <f t="array" ref="U896">IF(
  B896="",
  ,
  (C896 + IF(INDEX(Input!$L$7:$L1503,ROW()-1),1,0))
  - EDATE(
      B896 + IF(INDEX(Input!$K$7:$K1503,ROW()-1),0,1),
      12*S896
    )
)</f>
        <v/>
      </c>
      <c r="V896" s="6" t="str">
        <f t="shared" si="5"/>
        <v/>
      </c>
      <c r="W896" s="6" t="str">
        <f t="shared" si="6"/>
        <v/>
      </c>
    </row>
    <row r="897">
      <c r="A897" s="18"/>
      <c r="B897" s="18"/>
      <c r="C897" s="18"/>
      <c r="D897" s="18"/>
      <c r="E897" s="18"/>
      <c r="F897" s="18"/>
      <c r="G897" s="22"/>
      <c r="H897" s="18"/>
      <c r="I897" s="18">
        <v>0.0</v>
      </c>
      <c r="J897" s="18">
        <v>0.0</v>
      </c>
      <c r="K897" s="18"/>
      <c r="L897" s="18"/>
      <c r="M897" s="22" t="str">
        <f t="shared" si="1"/>
        <v/>
      </c>
      <c r="N897" s="18" t="str">
        <f>IF(A897="",,IF(ROW()=2, Input!$C$2 + I897, P896 + I897))</f>
        <v/>
      </c>
      <c r="O897" s="23" t="str">
        <f>IF(A897="",,
 IF(K897="Initial principal",
   Input!$C$2 * M897,
   N897 * M897
 )
)</f>
        <v/>
      </c>
      <c r="P897" s="18" t="str">
        <f t="shared" si="2"/>
        <v/>
      </c>
      <c r="Q897" s="18" t="str">
        <f t="shared" si="3"/>
        <v/>
      </c>
      <c r="R897" s="18" t="str">
        <f t="array" ref="R897">IF(
  B897="",
  ,
  SWITCH(
    Input!$C$4,
    "Actual/365 Fixed",
      YEARFRAC(
        B897 + IF(INDEX(Input!$K$7:$K1503,ROW()-1),0,1),
        C897 + IF(INDEX(Input!$L$7:$L1503,ROW()-1),1,0),
        3
      ),
    "Anniversary/365",
      DATEDIF(
        B897 + IF(INDEX(Input!$K$7:$K1503,ROW()-1),0,1),
        C897 + IF(INDEX(Input!$L$7:$L1503,ROW()-1),1,0),
        "Y"
      )
      +
      (
        (C897 + IF(INDEX(Input!$L$7:$L1503,ROW()-1),1,0))
        -
        EDATE(
          B897 + IF(INDEX(Input!$K$7:$K1503,ROW()-1),0,1),
          12*DATEDIF(
            B897 + IF(INDEX(Input!$K$7:$K1503,ROW()-1),0,1),
            C897 + IF(INDEX(Input!$L$7:$L1503,ROW()-1),1,0),
            "Y"
          )
        )
      ) / 365,
    "Actual/Actual",
      YEARFRAC(
        B897 + IF(INDEX(Input!$K$7:$K1503,ROW()-1),0,1),
        C897 + IF(INDEX(Input!$L$7:$L1503,ROW()-1),1,0),
        1
      ),
      YEARFRAC(
        B897 + IF(INDEX(Input!$K$7:$K1503,ROW()-1),0,1),
        C897 + IF(INDEX(Input!$L$7:$L1503,ROW()-1),1,0),
        3
      )
  )
)</f>
        <v/>
      </c>
      <c r="S897" s="22" t="str">
        <f t="shared" si="4"/>
        <v/>
      </c>
      <c r="T897" s="6" t="str">
        <f t="array" ref="T897">IF(
  B897="",
  ,
  DATEDIF(
    B897 + IF(INDEX(Input!$K$7:$K1503,ROW()-1),0,1),
    C897 + IF(INDEX(Input!$L$7:$L1503,ROW()-1),1,0),
    "Y"
  )
)</f>
        <v/>
      </c>
      <c r="U897" s="6" t="str">
        <f t="array" ref="U897">IF(
  B897="",
  ,
  (C897 + IF(INDEX(Input!$L$7:$L1503,ROW()-1),1,0))
  - EDATE(
      B897 + IF(INDEX(Input!$K$7:$K1503,ROW()-1),0,1),
      12*S897
    )
)</f>
        <v/>
      </c>
      <c r="V897" s="6" t="str">
        <f t="shared" si="5"/>
        <v/>
      </c>
      <c r="W897" s="6" t="str">
        <f t="shared" si="6"/>
        <v/>
      </c>
    </row>
    <row r="898">
      <c r="A898" s="18"/>
      <c r="B898" s="18"/>
      <c r="C898" s="18"/>
      <c r="D898" s="18"/>
      <c r="E898" s="18"/>
      <c r="F898" s="18"/>
      <c r="G898" s="22"/>
      <c r="H898" s="18"/>
      <c r="I898" s="18">
        <v>0.0</v>
      </c>
      <c r="J898" s="18">
        <v>0.0</v>
      </c>
      <c r="K898" s="18"/>
      <c r="L898" s="18"/>
      <c r="M898" s="22" t="str">
        <f t="shared" si="1"/>
        <v/>
      </c>
      <c r="N898" s="18" t="str">
        <f>IF(A898="",,IF(ROW()=2, Input!$C$2 + I898, P897 + I898))</f>
        <v/>
      </c>
      <c r="O898" s="23" t="str">
        <f>IF(A898="",,
 IF(K898="Initial principal",
   Input!$C$2 * M898,
   N898 * M898
 )
)</f>
        <v/>
      </c>
      <c r="P898" s="18" t="str">
        <f t="shared" si="2"/>
        <v/>
      </c>
      <c r="Q898" s="18" t="str">
        <f t="shared" si="3"/>
        <v/>
      </c>
      <c r="R898" s="18" t="str">
        <f t="array" ref="R898">IF(
  B898="",
  ,
  SWITCH(
    Input!$C$4,
    "Actual/365 Fixed",
      YEARFRAC(
        B898 + IF(INDEX(Input!$K$7:$K1503,ROW()-1),0,1),
        C898 + IF(INDEX(Input!$L$7:$L1503,ROW()-1),1,0),
        3
      ),
    "Anniversary/365",
      DATEDIF(
        B898 + IF(INDEX(Input!$K$7:$K1503,ROW()-1),0,1),
        C898 + IF(INDEX(Input!$L$7:$L1503,ROW()-1),1,0),
        "Y"
      )
      +
      (
        (C898 + IF(INDEX(Input!$L$7:$L1503,ROW()-1),1,0))
        -
        EDATE(
          B898 + IF(INDEX(Input!$K$7:$K1503,ROW()-1),0,1),
          12*DATEDIF(
            B898 + IF(INDEX(Input!$K$7:$K1503,ROW()-1),0,1),
            C898 + IF(INDEX(Input!$L$7:$L1503,ROW()-1),1,0),
            "Y"
          )
        )
      ) / 365,
    "Actual/Actual",
      YEARFRAC(
        B898 + IF(INDEX(Input!$K$7:$K1503,ROW()-1),0,1),
        C898 + IF(INDEX(Input!$L$7:$L1503,ROW()-1),1,0),
        1
      ),
      YEARFRAC(
        B898 + IF(INDEX(Input!$K$7:$K1503,ROW()-1),0,1),
        C898 + IF(INDEX(Input!$L$7:$L1503,ROW()-1),1,0),
        3
      )
  )
)</f>
        <v/>
      </c>
      <c r="S898" s="22" t="str">
        <f t="shared" si="4"/>
        <v/>
      </c>
      <c r="T898" s="6" t="str">
        <f t="array" ref="T898">IF(
  B898="",
  ,
  DATEDIF(
    B898 + IF(INDEX(Input!$K$7:$K1503,ROW()-1),0,1),
    C898 + IF(INDEX(Input!$L$7:$L1503,ROW()-1),1,0),
    "Y"
  )
)</f>
        <v/>
      </c>
      <c r="U898" s="6" t="str">
        <f t="array" ref="U898">IF(
  B898="",
  ,
  (C898 + IF(INDEX(Input!$L$7:$L1503,ROW()-1),1,0))
  - EDATE(
      B898 + IF(INDEX(Input!$K$7:$K1503,ROW()-1),0,1),
      12*S898
    )
)</f>
        <v/>
      </c>
      <c r="V898" s="6" t="str">
        <f t="shared" si="5"/>
        <v/>
      </c>
      <c r="W898" s="6" t="str">
        <f t="shared" si="6"/>
        <v/>
      </c>
    </row>
    <row r="899">
      <c r="A899" s="18"/>
      <c r="B899" s="18"/>
      <c r="C899" s="18"/>
      <c r="D899" s="18"/>
      <c r="E899" s="18"/>
      <c r="F899" s="18"/>
      <c r="G899" s="22"/>
      <c r="H899" s="18"/>
      <c r="I899" s="18">
        <v>0.0</v>
      </c>
      <c r="J899" s="18">
        <v>0.0</v>
      </c>
      <c r="K899" s="18"/>
      <c r="L899" s="18"/>
      <c r="M899" s="22" t="str">
        <f t="shared" si="1"/>
        <v/>
      </c>
      <c r="N899" s="18" t="str">
        <f>IF(A899="",,IF(ROW()=2, Input!$C$2 + I899, P898 + I899))</f>
        <v/>
      </c>
      <c r="O899" s="23" t="str">
        <f>IF(A899="",,
 IF(K899="Initial principal",
   Input!$C$2 * M899,
   N899 * M899
 )
)</f>
        <v/>
      </c>
      <c r="P899" s="18" t="str">
        <f t="shared" si="2"/>
        <v/>
      </c>
      <c r="Q899" s="18" t="str">
        <f t="shared" si="3"/>
        <v/>
      </c>
      <c r="R899" s="18" t="str">
        <f t="array" ref="R899">IF(
  B899="",
  ,
  SWITCH(
    Input!$C$4,
    "Actual/365 Fixed",
      YEARFRAC(
        B899 + IF(INDEX(Input!$K$7:$K1503,ROW()-1),0,1),
        C899 + IF(INDEX(Input!$L$7:$L1503,ROW()-1),1,0),
        3
      ),
    "Anniversary/365",
      DATEDIF(
        B899 + IF(INDEX(Input!$K$7:$K1503,ROW()-1),0,1),
        C899 + IF(INDEX(Input!$L$7:$L1503,ROW()-1),1,0),
        "Y"
      )
      +
      (
        (C899 + IF(INDEX(Input!$L$7:$L1503,ROW()-1),1,0))
        -
        EDATE(
          B899 + IF(INDEX(Input!$K$7:$K1503,ROW()-1),0,1),
          12*DATEDIF(
            B899 + IF(INDEX(Input!$K$7:$K1503,ROW()-1),0,1),
            C899 + IF(INDEX(Input!$L$7:$L1503,ROW()-1),1,0),
            "Y"
          )
        )
      ) / 365,
    "Actual/Actual",
      YEARFRAC(
        B899 + IF(INDEX(Input!$K$7:$K1503,ROW()-1),0,1),
        C899 + IF(INDEX(Input!$L$7:$L1503,ROW()-1),1,0),
        1
      ),
      YEARFRAC(
        B899 + IF(INDEX(Input!$K$7:$K1503,ROW()-1),0,1),
        C899 + IF(INDEX(Input!$L$7:$L1503,ROW()-1),1,0),
        3
      )
  )
)</f>
        <v/>
      </c>
      <c r="S899" s="22" t="str">
        <f t="shared" si="4"/>
        <v/>
      </c>
      <c r="T899" s="6" t="str">
        <f t="array" ref="T899">IF(
  B899="",
  ,
  DATEDIF(
    B899 + IF(INDEX(Input!$K$7:$K1503,ROW()-1),0,1),
    C899 + IF(INDEX(Input!$L$7:$L1503,ROW()-1),1,0),
    "Y"
  )
)</f>
        <v/>
      </c>
      <c r="U899" s="6" t="str">
        <f t="array" ref="U899">IF(
  B899="",
  ,
  (C899 + IF(INDEX(Input!$L$7:$L1503,ROW()-1),1,0))
  - EDATE(
      B899 + IF(INDEX(Input!$K$7:$K1503,ROW()-1),0,1),
      12*S899
    )
)</f>
        <v/>
      </c>
      <c r="V899" s="6" t="str">
        <f t="shared" si="5"/>
        <v/>
      </c>
      <c r="W899" s="6" t="str">
        <f t="shared" si="6"/>
        <v/>
      </c>
    </row>
    <row r="900">
      <c r="A900" s="18"/>
      <c r="B900" s="18"/>
      <c r="C900" s="18"/>
      <c r="D900" s="18"/>
      <c r="E900" s="18"/>
      <c r="F900" s="18"/>
      <c r="G900" s="22"/>
      <c r="H900" s="18"/>
      <c r="I900" s="18">
        <v>0.0</v>
      </c>
      <c r="J900" s="18">
        <v>0.0</v>
      </c>
      <c r="K900" s="18"/>
      <c r="L900" s="18"/>
      <c r="M900" s="22" t="str">
        <f t="shared" si="1"/>
        <v/>
      </c>
      <c r="N900" s="18" t="str">
        <f>IF(A900="",,IF(ROW()=2, Input!$C$2 + I900, P899 + I900))</f>
        <v/>
      </c>
      <c r="O900" s="23" t="str">
        <f>IF(A900="",,
 IF(K900="Initial principal",
   Input!$C$2 * M900,
   N900 * M900
 )
)</f>
        <v/>
      </c>
      <c r="P900" s="18" t="str">
        <f t="shared" si="2"/>
        <v/>
      </c>
      <c r="Q900" s="18" t="str">
        <f t="shared" si="3"/>
        <v/>
      </c>
      <c r="R900" s="18" t="str">
        <f t="array" ref="R900">IF(
  B900="",
  ,
  SWITCH(
    Input!$C$4,
    "Actual/365 Fixed",
      YEARFRAC(
        B900 + IF(INDEX(Input!$K$7:$K1503,ROW()-1),0,1),
        C900 + IF(INDEX(Input!$L$7:$L1503,ROW()-1),1,0),
        3
      ),
    "Anniversary/365",
      DATEDIF(
        B900 + IF(INDEX(Input!$K$7:$K1503,ROW()-1),0,1),
        C900 + IF(INDEX(Input!$L$7:$L1503,ROW()-1),1,0),
        "Y"
      )
      +
      (
        (C900 + IF(INDEX(Input!$L$7:$L1503,ROW()-1),1,0))
        -
        EDATE(
          B900 + IF(INDEX(Input!$K$7:$K1503,ROW()-1),0,1),
          12*DATEDIF(
            B900 + IF(INDEX(Input!$K$7:$K1503,ROW()-1),0,1),
            C900 + IF(INDEX(Input!$L$7:$L1503,ROW()-1),1,0),
            "Y"
          )
        )
      ) / 365,
    "Actual/Actual",
      YEARFRAC(
        B900 + IF(INDEX(Input!$K$7:$K1503,ROW()-1),0,1),
        C900 + IF(INDEX(Input!$L$7:$L1503,ROW()-1),1,0),
        1
      ),
      YEARFRAC(
        B900 + IF(INDEX(Input!$K$7:$K1503,ROW()-1),0,1),
        C900 + IF(INDEX(Input!$L$7:$L1503,ROW()-1),1,0),
        3
      )
  )
)</f>
        <v/>
      </c>
      <c r="S900" s="22" t="str">
        <f t="shared" si="4"/>
        <v/>
      </c>
      <c r="T900" s="6" t="str">
        <f t="array" ref="T900">IF(
  B900="",
  ,
  DATEDIF(
    B900 + IF(INDEX(Input!$K$7:$K1503,ROW()-1),0,1),
    C900 + IF(INDEX(Input!$L$7:$L1503,ROW()-1),1,0),
    "Y"
  )
)</f>
        <v/>
      </c>
      <c r="U900" s="6" t="str">
        <f t="array" ref="U900">IF(
  B900="",
  ,
  (C900 + IF(INDEX(Input!$L$7:$L1503,ROW()-1),1,0))
  - EDATE(
      B900 + IF(INDEX(Input!$K$7:$K1503,ROW()-1),0,1),
      12*S900
    )
)</f>
        <v/>
      </c>
      <c r="V900" s="6" t="str">
        <f t="shared" si="5"/>
        <v/>
      </c>
      <c r="W900" s="6" t="str">
        <f t="shared" si="6"/>
        <v/>
      </c>
    </row>
    <row r="901">
      <c r="A901" s="18"/>
      <c r="B901" s="18"/>
      <c r="C901" s="18"/>
      <c r="D901" s="18"/>
      <c r="E901" s="18"/>
      <c r="F901" s="18"/>
      <c r="G901" s="22"/>
      <c r="H901" s="18"/>
      <c r="I901" s="18">
        <v>0.0</v>
      </c>
      <c r="J901" s="18">
        <v>0.0</v>
      </c>
      <c r="K901" s="18"/>
      <c r="L901" s="18"/>
      <c r="M901" s="22" t="str">
        <f t="shared" si="1"/>
        <v/>
      </c>
      <c r="N901" s="18" t="str">
        <f>IF(A901="",,IF(ROW()=2, Input!$C$2 + I901, P900 + I901))</f>
        <v/>
      </c>
      <c r="O901" s="23" t="str">
        <f>IF(A901="",,
 IF(K901="Initial principal",
   Input!$C$2 * M901,
   N901 * M901
 )
)</f>
        <v/>
      </c>
      <c r="P901" s="18" t="str">
        <f t="shared" si="2"/>
        <v/>
      </c>
      <c r="Q901" s="18" t="str">
        <f t="shared" si="3"/>
        <v/>
      </c>
      <c r="R901" s="18" t="str">
        <f t="array" ref="R901">IF(
  B901="",
  ,
  SWITCH(
    Input!$C$4,
    "Actual/365 Fixed",
      YEARFRAC(
        B901 + IF(INDEX(Input!$K$7:$K1503,ROW()-1),0,1),
        C901 + IF(INDEX(Input!$L$7:$L1503,ROW()-1),1,0),
        3
      ),
    "Anniversary/365",
      DATEDIF(
        B901 + IF(INDEX(Input!$K$7:$K1503,ROW()-1),0,1),
        C901 + IF(INDEX(Input!$L$7:$L1503,ROW()-1),1,0),
        "Y"
      )
      +
      (
        (C901 + IF(INDEX(Input!$L$7:$L1503,ROW()-1),1,0))
        -
        EDATE(
          B901 + IF(INDEX(Input!$K$7:$K1503,ROW()-1),0,1),
          12*DATEDIF(
            B901 + IF(INDEX(Input!$K$7:$K1503,ROW()-1),0,1),
            C901 + IF(INDEX(Input!$L$7:$L1503,ROW()-1),1,0),
            "Y"
          )
        )
      ) / 365,
    "Actual/Actual",
      YEARFRAC(
        B901 + IF(INDEX(Input!$K$7:$K1503,ROW()-1),0,1),
        C901 + IF(INDEX(Input!$L$7:$L1503,ROW()-1),1,0),
        1
      ),
      YEARFRAC(
        B901 + IF(INDEX(Input!$K$7:$K1503,ROW()-1),0,1),
        C901 + IF(INDEX(Input!$L$7:$L1503,ROW()-1),1,0),
        3
      )
  )
)</f>
        <v/>
      </c>
      <c r="S901" s="22" t="str">
        <f t="shared" si="4"/>
        <v/>
      </c>
      <c r="T901" s="6" t="str">
        <f t="array" ref="T901">IF(
  B901="",
  ,
  DATEDIF(
    B901 + IF(INDEX(Input!$K$7:$K1503,ROW()-1),0,1),
    C901 + IF(INDEX(Input!$L$7:$L1503,ROW()-1),1,0),
    "Y"
  )
)</f>
        <v/>
      </c>
      <c r="U901" s="6" t="str">
        <f t="array" ref="U901">IF(
  B901="",
  ,
  (C901 + IF(INDEX(Input!$L$7:$L1503,ROW()-1),1,0))
  - EDATE(
      B901 + IF(INDEX(Input!$K$7:$K1503,ROW()-1),0,1),
      12*S901
    )
)</f>
        <v/>
      </c>
      <c r="V901" s="6" t="str">
        <f t="shared" si="5"/>
        <v/>
      </c>
      <c r="W901" s="6" t="str">
        <f t="shared" si="6"/>
        <v/>
      </c>
    </row>
    <row r="902">
      <c r="A902" s="18"/>
      <c r="B902" s="18"/>
      <c r="C902" s="18"/>
      <c r="D902" s="18"/>
      <c r="E902" s="18"/>
      <c r="F902" s="18"/>
      <c r="G902" s="22"/>
      <c r="H902" s="18"/>
      <c r="I902" s="18">
        <v>0.0</v>
      </c>
      <c r="J902" s="18">
        <v>0.0</v>
      </c>
      <c r="K902" s="18"/>
      <c r="L902" s="18"/>
      <c r="M902" s="22" t="str">
        <f t="shared" si="1"/>
        <v/>
      </c>
      <c r="N902" s="18" t="str">
        <f>IF(A902="",,IF(ROW()=2, Input!$C$2 + I902, P901 + I902))</f>
        <v/>
      </c>
      <c r="O902" s="23" t="str">
        <f>IF(A902="",,
 IF(K902="Initial principal",
   Input!$C$2 * M902,
   N902 * M902
 )
)</f>
        <v/>
      </c>
      <c r="P902" s="18" t="str">
        <f t="shared" si="2"/>
        <v/>
      </c>
      <c r="Q902" s="18" t="str">
        <f t="shared" si="3"/>
        <v/>
      </c>
      <c r="R902" s="18" t="str">
        <f t="array" ref="R902">IF(
  B902="",
  ,
  SWITCH(
    Input!$C$4,
    "Actual/365 Fixed",
      YEARFRAC(
        B902 + IF(INDEX(Input!$K$7:$K1503,ROW()-1),0,1),
        C902 + IF(INDEX(Input!$L$7:$L1503,ROW()-1),1,0),
        3
      ),
    "Anniversary/365",
      DATEDIF(
        B902 + IF(INDEX(Input!$K$7:$K1503,ROW()-1),0,1),
        C902 + IF(INDEX(Input!$L$7:$L1503,ROW()-1),1,0),
        "Y"
      )
      +
      (
        (C902 + IF(INDEX(Input!$L$7:$L1503,ROW()-1),1,0))
        -
        EDATE(
          B902 + IF(INDEX(Input!$K$7:$K1503,ROW()-1),0,1),
          12*DATEDIF(
            B902 + IF(INDEX(Input!$K$7:$K1503,ROW()-1),0,1),
            C902 + IF(INDEX(Input!$L$7:$L1503,ROW()-1),1,0),
            "Y"
          )
        )
      ) / 365,
    "Actual/Actual",
      YEARFRAC(
        B902 + IF(INDEX(Input!$K$7:$K1503,ROW()-1),0,1),
        C902 + IF(INDEX(Input!$L$7:$L1503,ROW()-1),1,0),
        1
      ),
      YEARFRAC(
        B902 + IF(INDEX(Input!$K$7:$K1503,ROW()-1),0,1),
        C902 + IF(INDEX(Input!$L$7:$L1503,ROW()-1),1,0),
        3
      )
  )
)</f>
        <v/>
      </c>
      <c r="S902" s="22" t="str">
        <f t="shared" si="4"/>
        <v/>
      </c>
      <c r="T902" s="6" t="str">
        <f t="array" ref="T902">IF(
  B902="",
  ,
  DATEDIF(
    B902 + IF(INDEX(Input!$K$7:$K1503,ROW()-1),0,1),
    C902 + IF(INDEX(Input!$L$7:$L1503,ROW()-1),1,0),
    "Y"
  )
)</f>
        <v/>
      </c>
      <c r="U902" s="6" t="str">
        <f t="array" ref="U902">IF(
  B902="",
  ,
  (C902 + IF(INDEX(Input!$L$7:$L1503,ROW()-1),1,0))
  - EDATE(
      B902 + IF(INDEX(Input!$K$7:$K1503,ROW()-1),0,1),
      12*S902
    )
)</f>
        <v/>
      </c>
      <c r="V902" s="6" t="str">
        <f t="shared" si="5"/>
        <v/>
      </c>
      <c r="W902" s="6" t="str">
        <f t="shared" si="6"/>
        <v/>
      </c>
    </row>
    <row r="903">
      <c r="A903" s="18"/>
      <c r="B903" s="18"/>
      <c r="C903" s="18"/>
      <c r="D903" s="18"/>
      <c r="E903" s="18"/>
      <c r="F903" s="18"/>
      <c r="G903" s="22"/>
      <c r="H903" s="18"/>
      <c r="I903" s="18">
        <v>0.0</v>
      </c>
      <c r="J903" s="18">
        <v>0.0</v>
      </c>
      <c r="K903" s="18"/>
      <c r="L903" s="18"/>
      <c r="M903" s="22" t="str">
        <f t="shared" si="1"/>
        <v/>
      </c>
      <c r="N903" s="18" t="str">
        <f>IF(A903="",,IF(ROW()=2, Input!$C$2 + I903, P902 + I903))</f>
        <v/>
      </c>
      <c r="O903" s="23" t="str">
        <f>IF(A903="",,
 IF(K903="Initial principal",
   Input!$C$2 * M903,
   N903 * M903
 )
)</f>
        <v/>
      </c>
      <c r="P903" s="18" t="str">
        <f t="shared" si="2"/>
        <v/>
      </c>
      <c r="Q903" s="18" t="str">
        <f t="shared" si="3"/>
        <v/>
      </c>
      <c r="R903" s="18" t="str">
        <f t="array" ref="R903">IF(
  B903="",
  ,
  SWITCH(
    Input!$C$4,
    "Actual/365 Fixed",
      YEARFRAC(
        B903 + IF(INDEX(Input!$K$7:$K1503,ROW()-1),0,1),
        C903 + IF(INDEX(Input!$L$7:$L1503,ROW()-1),1,0),
        3
      ),
    "Anniversary/365",
      DATEDIF(
        B903 + IF(INDEX(Input!$K$7:$K1503,ROW()-1),0,1),
        C903 + IF(INDEX(Input!$L$7:$L1503,ROW()-1),1,0),
        "Y"
      )
      +
      (
        (C903 + IF(INDEX(Input!$L$7:$L1503,ROW()-1),1,0))
        -
        EDATE(
          B903 + IF(INDEX(Input!$K$7:$K1503,ROW()-1),0,1),
          12*DATEDIF(
            B903 + IF(INDEX(Input!$K$7:$K1503,ROW()-1),0,1),
            C903 + IF(INDEX(Input!$L$7:$L1503,ROW()-1),1,0),
            "Y"
          )
        )
      ) / 365,
    "Actual/Actual",
      YEARFRAC(
        B903 + IF(INDEX(Input!$K$7:$K1503,ROW()-1),0,1),
        C903 + IF(INDEX(Input!$L$7:$L1503,ROW()-1),1,0),
        1
      ),
      YEARFRAC(
        B903 + IF(INDEX(Input!$K$7:$K1503,ROW()-1),0,1),
        C903 + IF(INDEX(Input!$L$7:$L1503,ROW()-1),1,0),
        3
      )
  )
)</f>
        <v/>
      </c>
      <c r="S903" s="22" t="str">
        <f t="shared" si="4"/>
        <v/>
      </c>
      <c r="T903" s="6" t="str">
        <f t="array" ref="T903">IF(
  B903="",
  ,
  DATEDIF(
    B903 + IF(INDEX(Input!$K$7:$K1503,ROW()-1),0,1),
    C903 + IF(INDEX(Input!$L$7:$L1503,ROW()-1),1,0),
    "Y"
  )
)</f>
        <v/>
      </c>
      <c r="U903" s="6" t="str">
        <f t="array" ref="U903">IF(
  B903="",
  ,
  (C903 + IF(INDEX(Input!$L$7:$L1503,ROW()-1),1,0))
  - EDATE(
      B903 + IF(INDEX(Input!$K$7:$K1503,ROW()-1),0,1),
      12*S903
    )
)</f>
        <v/>
      </c>
      <c r="V903" s="6" t="str">
        <f t="shared" si="5"/>
        <v/>
      </c>
      <c r="W903" s="6" t="str">
        <f t="shared" si="6"/>
        <v/>
      </c>
    </row>
    <row r="904">
      <c r="A904" s="18"/>
      <c r="B904" s="18"/>
      <c r="C904" s="18"/>
      <c r="D904" s="18"/>
      <c r="E904" s="18"/>
      <c r="F904" s="18"/>
      <c r="G904" s="22"/>
      <c r="H904" s="18"/>
      <c r="I904" s="18">
        <v>0.0</v>
      </c>
      <c r="J904" s="18">
        <v>0.0</v>
      </c>
      <c r="K904" s="18"/>
      <c r="L904" s="18"/>
      <c r="M904" s="22" t="str">
        <f t="shared" si="1"/>
        <v/>
      </c>
      <c r="N904" s="18" t="str">
        <f>IF(A904="",,IF(ROW()=2, Input!$C$2 + I904, P903 + I904))</f>
        <v/>
      </c>
      <c r="O904" s="23" t="str">
        <f>IF(A904="",,
 IF(K904="Initial principal",
   Input!$C$2 * M904,
   N904 * M904
 )
)</f>
        <v/>
      </c>
      <c r="P904" s="18" t="str">
        <f t="shared" si="2"/>
        <v/>
      </c>
      <c r="Q904" s="18" t="str">
        <f t="shared" si="3"/>
        <v/>
      </c>
      <c r="R904" s="18" t="str">
        <f t="array" ref="R904">IF(
  B904="",
  ,
  SWITCH(
    Input!$C$4,
    "Actual/365 Fixed",
      YEARFRAC(
        B904 + IF(INDEX(Input!$K$7:$K1503,ROW()-1),0,1),
        C904 + IF(INDEX(Input!$L$7:$L1503,ROW()-1),1,0),
        3
      ),
    "Anniversary/365",
      DATEDIF(
        B904 + IF(INDEX(Input!$K$7:$K1503,ROW()-1),0,1),
        C904 + IF(INDEX(Input!$L$7:$L1503,ROW()-1),1,0),
        "Y"
      )
      +
      (
        (C904 + IF(INDEX(Input!$L$7:$L1503,ROW()-1),1,0))
        -
        EDATE(
          B904 + IF(INDEX(Input!$K$7:$K1503,ROW()-1),0,1),
          12*DATEDIF(
            B904 + IF(INDEX(Input!$K$7:$K1503,ROW()-1),0,1),
            C904 + IF(INDEX(Input!$L$7:$L1503,ROW()-1),1,0),
            "Y"
          )
        )
      ) / 365,
    "Actual/Actual",
      YEARFRAC(
        B904 + IF(INDEX(Input!$K$7:$K1503,ROW()-1),0,1),
        C904 + IF(INDEX(Input!$L$7:$L1503,ROW()-1),1,0),
        1
      ),
      YEARFRAC(
        B904 + IF(INDEX(Input!$K$7:$K1503,ROW()-1),0,1),
        C904 + IF(INDEX(Input!$L$7:$L1503,ROW()-1),1,0),
        3
      )
  )
)</f>
        <v/>
      </c>
      <c r="S904" s="22" t="str">
        <f t="shared" si="4"/>
        <v/>
      </c>
      <c r="T904" s="6" t="str">
        <f t="array" ref="T904">IF(
  B904="",
  ,
  DATEDIF(
    B904 + IF(INDEX(Input!$K$7:$K1503,ROW()-1),0,1),
    C904 + IF(INDEX(Input!$L$7:$L1503,ROW()-1),1,0),
    "Y"
  )
)</f>
        <v/>
      </c>
      <c r="U904" s="6" t="str">
        <f t="array" ref="U904">IF(
  B904="",
  ,
  (C904 + IF(INDEX(Input!$L$7:$L1503,ROW()-1),1,0))
  - EDATE(
      B904 + IF(INDEX(Input!$K$7:$K1503,ROW()-1),0,1),
      12*S904
    )
)</f>
        <v/>
      </c>
      <c r="V904" s="6" t="str">
        <f t="shared" si="5"/>
        <v/>
      </c>
      <c r="W904" s="6" t="str">
        <f t="shared" si="6"/>
        <v/>
      </c>
    </row>
    <row r="905">
      <c r="A905" s="18"/>
      <c r="B905" s="18"/>
      <c r="C905" s="18"/>
      <c r="D905" s="18"/>
      <c r="E905" s="18"/>
      <c r="F905" s="18"/>
      <c r="G905" s="22"/>
      <c r="H905" s="18"/>
      <c r="I905" s="18">
        <v>0.0</v>
      </c>
      <c r="J905" s="18">
        <v>0.0</v>
      </c>
      <c r="K905" s="18"/>
      <c r="L905" s="18"/>
      <c r="M905" s="22" t="str">
        <f t="shared" si="1"/>
        <v/>
      </c>
      <c r="N905" s="18" t="str">
        <f>IF(A905="",,IF(ROW()=2, Input!$C$2 + I905, P904 + I905))</f>
        <v/>
      </c>
      <c r="O905" s="23" t="str">
        <f>IF(A905="",,
 IF(K905="Initial principal",
   Input!$C$2 * M905,
   N905 * M905
 )
)</f>
        <v/>
      </c>
      <c r="P905" s="18" t="str">
        <f t="shared" si="2"/>
        <v/>
      </c>
      <c r="Q905" s="18" t="str">
        <f t="shared" si="3"/>
        <v/>
      </c>
      <c r="R905" s="18" t="str">
        <f t="array" ref="R905">IF(
  B905="",
  ,
  SWITCH(
    Input!$C$4,
    "Actual/365 Fixed",
      YEARFRAC(
        B905 + IF(INDEX(Input!$K$7:$K1503,ROW()-1),0,1),
        C905 + IF(INDEX(Input!$L$7:$L1503,ROW()-1),1,0),
        3
      ),
    "Anniversary/365",
      DATEDIF(
        B905 + IF(INDEX(Input!$K$7:$K1503,ROW()-1),0,1),
        C905 + IF(INDEX(Input!$L$7:$L1503,ROW()-1),1,0),
        "Y"
      )
      +
      (
        (C905 + IF(INDEX(Input!$L$7:$L1503,ROW()-1),1,0))
        -
        EDATE(
          B905 + IF(INDEX(Input!$K$7:$K1503,ROW()-1),0,1),
          12*DATEDIF(
            B905 + IF(INDEX(Input!$K$7:$K1503,ROW()-1),0,1),
            C905 + IF(INDEX(Input!$L$7:$L1503,ROW()-1),1,0),
            "Y"
          )
        )
      ) / 365,
    "Actual/Actual",
      YEARFRAC(
        B905 + IF(INDEX(Input!$K$7:$K1503,ROW()-1),0,1),
        C905 + IF(INDEX(Input!$L$7:$L1503,ROW()-1),1,0),
        1
      ),
      YEARFRAC(
        B905 + IF(INDEX(Input!$K$7:$K1503,ROW()-1),0,1),
        C905 + IF(INDEX(Input!$L$7:$L1503,ROW()-1),1,0),
        3
      )
  )
)</f>
        <v/>
      </c>
      <c r="S905" s="22" t="str">
        <f t="shared" si="4"/>
        <v/>
      </c>
      <c r="T905" s="6" t="str">
        <f t="array" ref="T905">IF(
  B905="",
  ,
  DATEDIF(
    B905 + IF(INDEX(Input!$K$7:$K1503,ROW()-1),0,1),
    C905 + IF(INDEX(Input!$L$7:$L1503,ROW()-1),1,0),
    "Y"
  )
)</f>
        <v/>
      </c>
      <c r="U905" s="6" t="str">
        <f t="array" ref="U905">IF(
  B905="",
  ,
  (C905 + IF(INDEX(Input!$L$7:$L1503,ROW()-1),1,0))
  - EDATE(
      B905 + IF(INDEX(Input!$K$7:$K1503,ROW()-1),0,1),
      12*S905
    )
)</f>
        <v/>
      </c>
      <c r="V905" s="6" t="str">
        <f t="shared" si="5"/>
        <v/>
      </c>
      <c r="W905" s="6" t="str">
        <f t="shared" si="6"/>
        <v/>
      </c>
    </row>
    <row r="906">
      <c r="A906" s="18"/>
      <c r="B906" s="18"/>
      <c r="C906" s="18"/>
      <c r="D906" s="18"/>
      <c r="E906" s="18"/>
      <c r="F906" s="18"/>
      <c r="G906" s="22"/>
      <c r="H906" s="18"/>
      <c r="I906" s="18">
        <v>0.0</v>
      </c>
      <c r="J906" s="18">
        <v>0.0</v>
      </c>
      <c r="K906" s="18"/>
      <c r="L906" s="18"/>
      <c r="M906" s="22" t="str">
        <f t="shared" si="1"/>
        <v/>
      </c>
      <c r="N906" s="18" t="str">
        <f>IF(A906="",,IF(ROW()=2, Input!$C$2 + I906, P905 + I906))</f>
        <v/>
      </c>
      <c r="O906" s="23" t="str">
        <f>IF(A906="",,
 IF(K906="Initial principal",
   Input!$C$2 * M906,
   N906 * M906
 )
)</f>
        <v/>
      </c>
      <c r="P906" s="18" t="str">
        <f t="shared" si="2"/>
        <v/>
      </c>
      <c r="Q906" s="18" t="str">
        <f t="shared" si="3"/>
        <v/>
      </c>
      <c r="R906" s="18" t="str">
        <f t="array" ref="R906">IF(
  B906="",
  ,
  SWITCH(
    Input!$C$4,
    "Actual/365 Fixed",
      YEARFRAC(
        B906 + IF(INDEX(Input!$K$7:$K1503,ROW()-1),0,1),
        C906 + IF(INDEX(Input!$L$7:$L1503,ROW()-1),1,0),
        3
      ),
    "Anniversary/365",
      DATEDIF(
        B906 + IF(INDEX(Input!$K$7:$K1503,ROW()-1),0,1),
        C906 + IF(INDEX(Input!$L$7:$L1503,ROW()-1),1,0),
        "Y"
      )
      +
      (
        (C906 + IF(INDEX(Input!$L$7:$L1503,ROW()-1),1,0))
        -
        EDATE(
          B906 + IF(INDEX(Input!$K$7:$K1503,ROW()-1),0,1),
          12*DATEDIF(
            B906 + IF(INDEX(Input!$K$7:$K1503,ROW()-1),0,1),
            C906 + IF(INDEX(Input!$L$7:$L1503,ROW()-1),1,0),
            "Y"
          )
        )
      ) / 365,
    "Actual/Actual",
      YEARFRAC(
        B906 + IF(INDEX(Input!$K$7:$K1503,ROW()-1),0,1),
        C906 + IF(INDEX(Input!$L$7:$L1503,ROW()-1),1,0),
        1
      ),
      YEARFRAC(
        B906 + IF(INDEX(Input!$K$7:$K1503,ROW()-1),0,1),
        C906 + IF(INDEX(Input!$L$7:$L1503,ROW()-1),1,0),
        3
      )
  )
)</f>
        <v/>
      </c>
      <c r="S906" s="22" t="str">
        <f t="shared" si="4"/>
        <v/>
      </c>
      <c r="T906" s="6" t="str">
        <f t="array" ref="T906">IF(
  B906="",
  ,
  DATEDIF(
    B906 + IF(INDEX(Input!$K$7:$K1503,ROW()-1),0,1),
    C906 + IF(INDEX(Input!$L$7:$L1503,ROW()-1),1,0),
    "Y"
  )
)</f>
        <v/>
      </c>
      <c r="U906" s="6" t="str">
        <f t="array" ref="U906">IF(
  B906="",
  ,
  (C906 + IF(INDEX(Input!$L$7:$L1503,ROW()-1),1,0))
  - EDATE(
      B906 + IF(INDEX(Input!$K$7:$K1503,ROW()-1),0,1),
      12*S906
    )
)</f>
        <v/>
      </c>
      <c r="V906" s="6" t="str">
        <f t="shared" si="5"/>
        <v/>
      </c>
      <c r="W906" s="6" t="str">
        <f t="shared" si="6"/>
        <v/>
      </c>
    </row>
    <row r="907">
      <c r="A907" s="18"/>
      <c r="B907" s="18"/>
      <c r="C907" s="18"/>
      <c r="D907" s="18"/>
      <c r="E907" s="18"/>
      <c r="F907" s="18"/>
      <c r="G907" s="22"/>
      <c r="H907" s="18"/>
      <c r="I907" s="18">
        <v>0.0</v>
      </c>
      <c r="J907" s="18">
        <v>0.0</v>
      </c>
      <c r="K907" s="18"/>
      <c r="L907" s="18"/>
      <c r="M907" s="22" t="str">
        <f t="shared" si="1"/>
        <v/>
      </c>
      <c r="N907" s="18" t="str">
        <f>IF(A907="",,IF(ROW()=2, Input!$C$2 + I907, P906 + I907))</f>
        <v/>
      </c>
      <c r="O907" s="23" t="str">
        <f>IF(A907="",,
 IF(K907="Initial principal",
   Input!$C$2 * M907,
   N907 * M907
 )
)</f>
        <v/>
      </c>
      <c r="P907" s="18" t="str">
        <f t="shared" si="2"/>
        <v/>
      </c>
      <c r="Q907" s="18" t="str">
        <f t="shared" si="3"/>
        <v/>
      </c>
      <c r="R907" s="18" t="str">
        <f t="array" ref="R907">IF(
  B907="",
  ,
  SWITCH(
    Input!$C$4,
    "Actual/365 Fixed",
      YEARFRAC(
        B907 + IF(INDEX(Input!$K$7:$K1503,ROW()-1),0,1),
        C907 + IF(INDEX(Input!$L$7:$L1503,ROW()-1),1,0),
        3
      ),
    "Anniversary/365",
      DATEDIF(
        B907 + IF(INDEX(Input!$K$7:$K1503,ROW()-1),0,1),
        C907 + IF(INDEX(Input!$L$7:$L1503,ROW()-1),1,0),
        "Y"
      )
      +
      (
        (C907 + IF(INDEX(Input!$L$7:$L1503,ROW()-1),1,0))
        -
        EDATE(
          B907 + IF(INDEX(Input!$K$7:$K1503,ROW()-1),0,1),
          12*DATEDIF(
            B907 + IF(INDEX(Input!$K$7:$K1503,ROW()-1),0,1),
            C907 + IF(INDEX(Input!$L$7:$L1503,ROW()-1),1,0),
            "Y"
          )
        )
      ) / 365,
    "Actual/Actual",
      YEARFRAC(
        B907 + IF(INDEX(Input!$K$7:$K1503,ROW()-1),0,1),
        C907 + IF(INDEX(Input!$L$7:$L1503,ROW()-1),1,0),
        1
      ),
      YEARFRAC(
        B907 + IF(INDEX(Input!$K$7:$K1503,ROW()-1),0,1),
        C907 + IF(INDEX(Input!$L$7:$L1503,ROW()-1),1,0),
        3
      )
  )
)</f>
        <v/>
      </c>
      <c r="S907" s="22" t="str">
        <f t="shared" si="4"/>
        <v/>
      </c>
      <c r="T907" s="6" t="str">
        <f t="array" ref="T907">IF(
  B907="",
  ,
  DATEDIF(
    B907 + IF(INDEX(Input!$K$7:$K1503,ROW()-1),0,1),
    C907 + IF(INDEX(Input!$L$7:$L1503,ROW()-1),1,0),
    "Y"
  )
)</f>
        <v/>
      </c>
      <c r="U907" s="6" t="str">
        <f t="array" ref="U907">IF(
  B907="",
  ,
  (C907 + IF(INDEX(Input!$L$7:$L1503,ROW()-1),1,0))
  - EDATE(
      B907 + IF(INDEX(Input!$K$7:$K1503,ROW()-1),0,1),
      12*S907
    )
)</f>
        <v/>
      </c>
      <c r="V907" s="6" t="str">
        <f t="shared" si="5"/>
        <v/>
      </c>
      <c r="W907" s="6" t="str">
        <f t="shared" si="6"/>
        <v/>
      </c>
    </row>
    <row r="908">
      <c r="A908" s="18"/>
      <c r="B908" s="18"/>
      <c r="C908" s="18"/>
      <c r="D908" s="18"/>
      <c r="E908" s="18"/>
      <c r="F908" s="18"/>
      <c r="G908" s="22"/>
      <c r="H908" s="18"/>
      <c r="I908" s="18">
        <v>0.0</v>
      </c>
      <c r="J908" s="18">
        <v>0.0</v>
      </c>
      <c r="K908" s="18"/>
      <c r="L908" s="18"/>
      <c r="M908" s="22" t="str">
        <f t="shared" si="1"/>
        <v/>
      </c>
      <c r="N908" s="18" t="str">
        <f>IF(A908="",,IF(ROW()=2, Input!$C$2 + I908, P907 + I908))</f>
        <v/>
      </c>
      <c r="O908" s="23" t="str">
        <f>IF(A908="",,
 IF(K908="Initial principal",
   Input!$C$2 * M908,
   N908 * M908
 )
)</f>
        <v/>
      </c>
      <c r="P908" s="18" t="str">
        <f t="shared" si="2"/>
        <v/>
      </c>
      <c r="Q908" s="18" t="str">
        <f t="shared" si="3"/>
        <v/>
      </c>
      <c r="R908" s="18" t="str">
        <f t="array" ref="R908">IF(
  B908="",
  ,
  SWITCH(
    Input!$C$4,
    "Actual/365 Fixed",
      YEARFRAC(
        B908 + IF(INDEX(Input!$K$7:$K1503,ROW()-1),0,1),
        C908 + IF(INDEX(Input!$L$7:$L1503,ROW()-1),1,0),
        3
      ),
    "Anniversary/365",
      DATEDIF(
        B908 + IF(INDEX(Input!$K$7:$K1503,ROW()-1),0,1),
        C908 + IF(INDEX(Input!$L$7:$L1503,ROW()-1),1,0),
        "Y"
      )
      +
      (
        (C908 + IF(INDEX(Input!$L$7:$L1503,ROW()-1),1,0))
        -
        EDATE(
          B908 + IF(INDEX(Input!$K$7:$K1503,ROW()-1),0,1),
          12*DATEDIF(
            B908 + IF(INDEX(Input!$K$7:$K1503,ROW()-1),0,1),
            C908 + IF(INDEX(Input!$L$7:$L1503,ROW()-1),1,0),
            "Y"
          )
        )
      ) / 365,
    "Actual/Actual",
      YEARFRAC(
        B908 + IF(INDEX(Input!$K$7:$K1503,ROW()-1),0,1),
        C908 + IF(INDEX(Input!$L$7:$L1503,ROW()-1),1,0),
        1
      ),
      YEARFRAC(
        B908 + IF(INDEX(Input!$K$7:$K1503,ROW()-1),0,1),
        C908 + IF(INDEX(Input!$L$7:$L1503,ROW()-1),1,0),
        3
      )
  )
)</f>
        <v/>
      </c>
      <c r="S908" s="22" t="str">
        <f t="shared" si="4"/>
        <v/>
      </c>
      <c r="T908" s="6" t="str">
        <f t="array" ref="T908">IF(
  B908="",
  ,
  DATEDIF(
    B908 + IF(INDEX(Input!$K$7:$K1503,ROW()-1),0,1),
    C908 + IF(INDEX(Input!$L$7:$L1503,ROW()-1),1,0),
    "Y"
  )
)</f>
        <v/>
      </c>
      <c r="U908" s="6" t="str">
        <f t="array" ref="U908">IF(
  B908="",
  ,
  (C908 + IF(INDEX(Input!$L$7:$L1503,ROW()-1),1,0))
  - EDATE(
      B908 + IF(INDEX(Input!$K$7:$K1503,ROW()-1),0,1),
      12*S908
    )
)</f>
        <v/>
      </c>
      <c r="V908" s="6" t="str">
        <f t="shared" si="5"/>
        <v/>
      </c>
      <c r="W908" s="6" t="str">
        <f t="shared" si="6"/>
        <v/>
      </c>
    </row>
    <row r="909">
      <c r="A909" s="18"/>
      <c r="B909" s="18"/>
      <c r="C909" s="18"/>
      <c r="D909" s="18"/>
      <c r="E909" s="18"/>
      <c r="F909" s="18"/>
      <c r="G909" s="22"/>
      <c r="H909" s="18"/>
      <c r="I909" s="18">
        <v>0.0</v>
      </c>
      <c r="J909" s="18">
        <v>0.0</v>
      </c>
      <c r="K909" s="18"/>
      <c r="L909" s="18"/>
      <c r="M909" s="22" t="str">
        <f t="shared" si="1"/>
        <v/>
      </c>
      <c r="N909" s="18" t="str">
        <f>IF(A909="",,IF(ROW()=2, Input!$C$2 + I909, P908 + I909))</f>
        <v/>
      </c>
      <c r="O909" s="23" t="str">
        <f>IF(A909="",,
 IF(K909="Initial principal",
   Input!$C$2 * M909,
   N909 * M909
 )
)</f>
        <v/>
      </c>
      <c r="P909" s="18" t="str">
        <f t="shared" si="2"/>
        <v/>
      </c>
      <c r="Q909" s="18" t="str">
        <f t="shared" si="3"/>
        <v/>
      </c>
      <c r="R909" s="18" t="str">
        <f t="array" ref="R909">IF(
  B909="",
  ,
  SWITCH(
    Input!$C$4,
    "Actual/365 Fixed",
      YEARFRAC(
        B909 + IF(INDEX(Input!$K$7:$K1503,ROW()-1),0,1),
        C909 + IF(INDEX(Input!$L$7:$L1503,ROW()-1),1,0),
        3
      ),
    "Anniversary/365",
      DATEDIF(
        B909 + IF(INDEX(Input!$K$7:$K1503,ROW()-1),0,1),
        C909 + IF(INDEX(Input!$L$7:$L1503,ROW()-1),1,0),
        "Y"
      )
      +
      (
        (C909 + IF(INDEX(Input!$L$7:$L1503,ROW()-1),1,0))
        -
        EDATE(
          B909 + IF(INDEX(Input!$K$7:$K1503,ROW()-1),0,1),
          12*DATEDIF(
            B909 + IF(INDEX(Input!$K$7:$K1503,ROW()-1),0,1),
            C909 + IF(INDEX(Input!$L$7:$L1503,ROW()-1),1,0),
            "Y"
          )
        )
      ) / 365,
    "Actual/Actual",
      YEARFRAC(
        B909 + IF(INDEX(Input!$K$7:$K1503,ROW()-1),0,1),
        C909 + IF(INDEX(Input!$L$7:$L1503,ROW()-1),1,0),
        1
      ),
      YEARFRAC(
        B909 + IF(INDEX(Input!$K$7:$K1503,ROW()-1),0,1),
        C909 + IF(INDEX(Input!$L$7:$L1503,ROW()-1),1,0),
        3
      )
  )
)</f>
        <v/>
      </c>
      <c r="S909" s="22" t="str">
        <f t="shared" si="4"/>
        <v/>
      </c>
      <c r="T909" s="6" t="str">
        <f t="array" ref="T909">IF(
  B909="",
  ,
  DATEDIF(
    B909 + IF(INDEX(Input!$K$7:$K1503,ROW()-1),0,1),
    C909 + IF(INDEX(Input!$L$7:$L1503,ROW()-1),1,0),
    "Y"
  )
)</f>
        <v/>
      </c>
      <c r="U909" s="6" t="str">
        <f t="array" ref="U909">IF(
  B909="",
  ,
  (C909 + IF(INDEX(Input!$L$7:$L1503,ROW()-1),1,0))
  - EDATE(
      B909 + IF(INDEX(Input!$K$7:$K1503,ROW()-1),0,1),
      12*S909
    )
)</f>
        <v/>
      </c>
      <c r="V909" s="6" t="str">
        <f t="shared" si="5"/>
        <v/>
      </c>
      <c r="W909" s="6" t="str">
        <f t="shared" si="6"/>
        <v/>
      </c>
    </row>
    <row r="910">
      <c r="A910" s="18"/>
      <c r="B910" s="18"/>
      <c r="C910" s="18"/>
      <c r="D910" s="18"/>
      <c r="E910" s="18"/>
      <c r="F910" s="18"/>
      <c r="G910" s="22"/>
      <c r="H910" s="18"/>
      <c r="I910" s="18">
        <v>0.0</v>
      </c>
      <c r="J910" s="18">
        <v>0.0</v>
      </c>
      <c r="K910" s="18"/>
      <c r="L910" s="18"/>
      <c r="M910" s="22" t="str">
        <f t="shared" si="1"/>
        <v/>
      </c>
      <c r="N910" s="18" t="str">
        <f>IF(A910="",,IF(ROW()=2, Input!$C$2 + I910, P909 + I910))</f>
        <v/>
      </c>
      <c r="O910" s="23" t="str">
        <f>IF(A910="",,
 IF(K910="Initial principal",
   Input!$C$2 * M910,
   N910 * M910
 )
)</f>
        <v/>
      </c>
      <c r="P910" s="18" t="str">
        <f t="shared" si="2"/>
        <v/>
      </c>
      <c r="Q910" s="18" t="str">
        <f t="shared" si="3"/>
        <v/>
      </c>
      <c r="R910" s="18" t="str">
        <f t="array" ref="R910">IF(
  B910="",
  ,
  SWITCH(
    Input!$C$4,
    "Actual/365 Fixed",
      YEARFRAC(
        B910 + IF(INDEX(Input!$K$7:$K1503,ROW()-1),0,1),
        C910 + IF(INDEX(Input!$L$7:$L1503,ROW()-1),1,0),
        3
      ),
    "Anniversary/365",
      DATEDIF(
        B910 + IF(INDEX(Input!$K$7:$K1503,ROW()-1),0,1),
        C910 + IF(INDEX(Input!$L$7:$L1503,ROW()-1),1,0),
        "Y"
      )
      +
      (
        (C910 + IF(INDEX(Input!$L$7:$L1503,ROW()-1),1,0))
        -
        EDATE(
          B910 + IF(INDEX(Input!$K$7:$K1503,ROW()-1),0,1),
          12*DATEDIF(
            B910 + IF(INDEX(Input!$K$7:$K1503,ROW()-1),0,1),
            C910 + IF(INDEX(Input!$L$7:$L1503,ROW()-1),1,0),
            "Y"
          )
        )
      ) / 365,
    "Actual/Actual",
      YEARFRAC(
        B910 + IF(INDEX(Input!$K$7:$K1503,ROW()-1),0,1),
        C910 + IF(INDEX(Input!$L$7:$L1503,ROW()-1),1,0),
        1
      ),
      YEARFRAC(
        B910 + IF(INDEX(Input!$K$7:$K1503,ROW()-1),0,1),
        C910 + IF(INDEX(Input!$L$7:$L1503,ROW()-1),1,0),
        3
      )
  )
)</f>
        <v/>
      </c>
      <c r="S910" s="22" t="str">
        <f t="shared" si="4"/>
        <v/>
      </c>
      <c r="T910" s="6" t="str">
        <f t="array" ref="T910">IF(
  B910="",
  ,
  DATEDIF(
    B910 + IF(INDEX(Input!$K$7:$K1503,ROW()-1),0,1),
    C910 + IF(INDEX(Input!$L$7:$L1503,ROW()-1),1,0),
    "Y"
  )
)</f>
        <v/>
      </c>
      <c r="U910" s="6" t="str">
        <f t="array" ref="U910">IF(
  B910="",
  ,
  (C910 + IF(INDEX(Input!$L$7:$L1503,ROW()-1),1,0))
  - EDATE(
      B910 + IF(INDEX(Input!$K$7:$K1503,ROW()-1),0,1),
      12*S910
    )
)</f>
        <v/>
      </c>
      <c r="V910" s="6" t="str">
        <f t="shared" si="5"/>
        <v/>
      </c>
      <c r="W910" s="6" t="str">
        <f t="shared" si="6"/>
        <v/>
      </c>
    </row>
    <row r="911">
      <c r="A911" s="18"/>
      <c r="B911" s="18"/>
      <c r="C911" s="18"/>
      <c r="D911" s="18"/>
      <c r="E911" s="18"/>
      <c r="F911" s="18"/>
      <c r="G911" s="22"/>
      <c r="H911" s="18"/>
      <c r="I911" s="18">
        <v>0.0</v>
      </c>
      <c r="J911" s="18">
        <v>0.0</v>
      </c>
      <c r="K911" s="18"/>
      <c r="L911" s="18"/>
      <c r="M911" s="22" t="str">
        <f t="shared" si="1"/>
        <v/>
      </c>
      <c r="N911" s="18" t="str">
        <f>IF(A911="",,IF(ROW()=2, Input!$C$2 + I911, P910 + I911))</f>
        <v/>
      </c>
      <c r="O911" s="23" t="str">
        <f>IF(A911="",,
 IF(K911="Initial principal",
   Input!$C$2 * M911,
   N911 * M911
 )
)</f>
        <v/>
      </c>
      <c r="P911" s="18" t="str">
        <f t="shared" si="2"/>
        <v/>
      </c>
      <c r="Q911" s="18" t="str">
        <f t="shared" si="3"/>
        <v/>
      </c>
      <c r="R911" s="18" t="str">
        <f t="array" ref="R911">IF(
  B911="",
  ,
  SWITCH(
    Input!$C$4,
    "Actual/365 Fixed",
      YEARFRAC(
        B911 + IF(INDEX(Input!$K$7:$K1503,ROW()-1),0,1),
        C911 + IF(INDEX(Input!$L$7:$L1503,ROW()-1),1,0),
        3
      ),
    "Anniversary/365",
      DATEDIF(
        B911 + IF(INDEX(Input!$K$7:$K1503,ROW()-1),0,1),
        C911 + IF(INDEX(Input!$L$7:$L1503,ROW()-1),1,0),
        "Y"
      )
      +
      (
        (C911 + IF(INDEX(Input!$L$7:$L1503,ROW()-1),1,0))
        -
        EDATE(
          B911 + IF(INDEX(Input!$K$7:$K1503,ROW()-1),0,1),
          12*DATEDIF(
            B911 + IF(INDEX(Input!$K$7:$K1503,ROW()-1),0,1),
            C911 + IF(INDEX(Input!$L$7:$L1503,ROW()-1),1,0),
            "Y"
          )
        )
      ) / 365,
    "Actual/Actual",
      YEARFRAC(
        B911 + IF(INDEX(Input!$K$7:$K1503,ROW()-1),0,1),
        C911 + IF(INDEX(Input!$L$7:$L1503,ROW()-1),1,0),
        1
      ),
      YEARFRAC(
        B911 + IF(INDEX(Input!$K$7:$K1503,ROW()-1),0,1),
        C911 + IF(INDEX(Input!$L$7:$L1503,ROW()-1),1,0),
        3
      )
  )
)</f>
        <v/>
      </c>
      <c r="S911" s="22" t="str">
        <f t="shared" si="4"/>
        <v/>
      </c>
      <c r="T911" s="6" t="str">
        <f t="array" ref="T911">IF(
  B911="",
  ,
  DATEDIF(
    B911 + IF(INDEX(Input!$K$7:$K1503,ROW()-1),0,1),
    C911 + IF(INDEX(Input!$L$7:$L1503,ROW()-1),1,0),
    "Y"
  )
)</f>
        <v/>
      </c>
      <c r="U911" s="6" t="str">
        <f t="array" ref="U911">IF(
  B911="",
  ,
  (C911 + IF(INDEX(Input!$L$7:$L1503,ROW()-1),1,0))
  - EDATE(
      B911 + IF(INDEX(Input!$K$7:$K1503,ROW()-1),0,1),
      12*S911
    )
)</f>
        <v/>
      </c>
      <c r="V911" s="6" t="str">
        <f t="shared" si="5"/>
        <v/>
      </c>
      <c r="W911" s="6" t="str">
        <f t="shared" si="6"/>
        <v/>
      </c>
    </row>
    <row r="912">
      <c r="A912" s="18"/>
      <c r="B912" s="18"/>
      <c r="C912" s="18"/>
      <c r="D912" s="18"/>
      <c r="E912" s="18"/>
      <c r="F912" s="18"/>
      <c r="G912" s="22"/>
      <c r="H912" s="18"/>
      <c r="I912" s="18">
        <v>0.0</v>
      </c>
      <c r="J912" s="18">
        <v>0.0</v>
      </c>
      <c r="K912" s="18"/>
      <c r="L912" s="18"/>
      <c r="M912" s="22" t="str">
        <f t="shared" si="1"/>
        <v/>
      </c>
      <c r="N912" s="18" t="str">
        <f>IF(A912="",,IF(ROW()=2, Input!$C$2 + I912, P911 + I912))</f>
        <v/>
      </c>
      <c r="O912" s="23" t="str">
        <f>IF(A912="",,
 IF(K912="Initial principal",
   Input!$C$2 * M912,
   N912 * M912
 )
)</f>
        <v/>
      </c>
      <c r="P912" s="18" t="str">
        <f t="shared" si="2"/>
        <v/>
      </c>
      <c r="Q912" s="18" t="str">
        <f t="shared" si="3"/>
        <v/>
      </c>
      <c r="R912" s="18" t="str">
        <f t="array" ref="R912">IF(
  B912="",
  ,
  SWITCH(
    Input!$C$4,
    "Actual/365 Fixed",
      YEARFRAC(
        B912 + IF(INDEX(Input!$K$7:$K1503,ROW()-1),0,1),
        C912 + IF(INDEX(Input!$L$7:$L1503,ROW()-1),1,0),
        3
      ),
    "Anniversary/365",
      DATEDIF(
        B912 + IF(INDEX(Input!$K$7:$K1503,ROW()-1),0,1),
        C912 + IF(INDEX(Input!$L$7:$L1503,ROW()-1),1,0),
        "Y"
      )
      +
      (
        (C912 + IF(INDEX(Input!$L$7:$L1503,ROW()-1),1,0))
        -
        EDATE(
          B912 + IF(INDEX(Input!$K$7:$K1503,ROW()-1),0,1),
          12*DATEDIF(
            B912 + IF(INDEX(Input!$K$7:$K1503,ROW()-1),0,1),
            C912 + IF(INDEX(Input!$L$7:$L1503,ROW()-1),1,0),
            "Y"
          )
        )
      ) / 365,
    "Actual/Actual",
      YEARFRAC(
        B912 + IF(INDEX(Input!$K$7:$K1503,ROW()-1),0,1),
        C912 + IF(INDEX(Input!$L$7:$L1503,ROW()-1),1,0),
        1
      ),
      YEARFRAC(
        B912 + IF(INDEX(Input!$K$7:$K1503,ROW()-1),0,1),
        C912 + IF(INDEX(Input!$L$7:$L1503,ROW()-1),1,0),
        3
      )
  )
)</f>
        <v/>
      </c>
      <c r="S912" s="22" t="str">
        <f t="shared" si="4"/>
        <v/>
      </c>
      <c r="T912" s="6" t="str">
        <f t="array" ref="T912">IF(
  B912="",
  ,
  DATEDIF(
    B912 + IF(INDEX(Input!$K$7:$K1503,ROW()-1),0,1),
    C912 + IF(INDEX(Input!$L$7:$L1503,ROW()-1),1,0),
    "Y"
  )
)</f>
        <v/>
      </c>
      <c r="U912" s="6" t="str">
        <f t="array" ref="U912">IF(
  B912="",
  ,
  (C912 + IF(INDEX(Input!$L$7:$L1503,ROW()-1),1,0))
  - EDATE(
      B912 + IF(INDEX(Input!$K$7:$K1503,ROW()-1),0,1),
      12*S912
    )
)</f>
        <v/>
      </c>
      <c r="V912" s="6" t="str">
        <f t="shared" si="5"/>
        <v/>
      </c>
      <c r="W912" s="6" t="str">
        <f t="shared" si="6"/>
        <v/>
      </c>
    </row>
    <row r="913">
      <c r="A913" s="18"/>
      <c r="B913" s="18"/>
      <c r="C913" s="18"/>
      <c r="D913" s="18"/>
      <c r="E913" s="18"/>
      <c r="F913" s="18"/>
      <c r="G913" s="22"/>
      <c r="H913" s="18"/>
      <c r="I913" s="18">
        <v>0.0</v>
      </c>
      <c r="J913" s="18">
        <v>0.0</v>
      </c>
      <c r="K913" s="18"/>
      <c r="L913" s="18"/>
      <c r="M913" s="22" t="str">
        <f t="shared" si="1"/>
        <v/>
      </c>
      <c r="N913" s="18" t="str">
        <f>IF(A913="",,IF(ROW()=2, Input!$C$2 + I913, P912 + I913))</f>
        <v/>
      </c>
      <c r="O913" s="23" t="str">
        <f>IF(A913="",,
 IF(K913="Initial principal",
   Input!$C$2 * M913,
   N913 * M913
 )
)</f>
        <v/>
      </c>
      <c r="P913" s="18" t="str">
        <f t="shared" si="2"/>
        <v/>
      </c>
      <c r="Q913" s="18" t="str">
        <f t="shared" si="3"/>
        <v/>
      </c>
      <c r="R913" s="18" t="str">
        <f t="array" ref="R913">IF(
  B913="",
  ,
  SWITCH(
    Input!$C$4,
    "Actual/365 Fixed",
      YEARFRAC(
        B913 + IF(INDEX(Input!$K$7:$K1503,ROW()-1),0,1),
        C913 + IF(INDEX(Input!$L$7:$L1503,ROW()-1),1,0),
        3
      ),
    "Anniversary/365",
      DATEDIF(
        B913 + IF(INDEX(Input!$K$7:$K1503,ROW()-1),0,1),
        C913 + IF(INDEX(Input!$L$7:$L1503,ROW()-1),1,0),
        "Y"
      )
      +
      (
        (C913 + IF(INDEX(Input!$L$7:$L1503,ROW()-1),1,0))
        -
        EDATE(
          B913 + IF(INDEX(Input!$K$7:$K1503,ROW()-1),0,1),
          12*DATEDIF(
            B913 + IF(INDEX(Input!$K$7:$K1503,ROW()-1),0,1),
            C913 + IF(INDEX(Input!$L$7:$L1503,ROW()-1),1,0),
            "Y"
          )
        )
      ) / 365,
    "Actual/Actual",
      YEARFRAC(
        B913 + IF(INDEX(Input!$K$7:$K1503,ROW()-1),0,1),
        C913 + IF(INDEX(Input!$L$7:$L1503,ROW()-1),1,0),
        1
      ),
      YEARFRAC(
        B913 + IF(INDEX(Input!$K$7:$K1503,ROW()-1),0,1),
        C913 + IF(INDEX(Input!$L$7:$L1503,ROW()-1),1,0),
        3
      )
  )
)</f>
        <v/>
      </c>
      <c r="S913" s="22" t="str">
        <f t="shared" si="4"/>
        <v/>
      </c>
      <c r="T913" s="6" t="str">
        <f t="array" ref="T913">IF(
  B913="",
  ,
  DATEDIF(
    B913 + IF(INDEX(Input!$K$7:$K1503,ROW()-1),0,1),
    C913 + IF(INDEX(Input!$L$7:$L1503,ROW()-1),1,0),
    "Y"
  )
)</f>
        <v/>
      </c>
      <c r="U913" s="6" t="str">
        <f t="array" ref="U913">IF(
  B913="",
  ,
  (C913 + IF(INDEX(Input!$L$7:$L1503,ROW()-1),1,0))
  - EDATE(
      B913 + IF(INDEX(Input!$K$7:$K1503,ROW()-1),0,1),
      12*S913
    )
)</f>
        <v/>
      </c>
      <c r="V913" s="6" t="str">
        <f t="shared" si="5"/>
        <v/>
      </c>
      <c r="W913" s="6" t="str">
        <f t="shared" si="6"/>
        <v/>
      </c>
    </row>
    <row r="914">
      <c r="A914" s="18"/>
      <c r="B914" s="18"/>
      <c r="C914" s="18"/>
      <c r="D914" s="18"/>
      <c r="E914" s="18"/>
      <c r="F914" s="18"/>
      <c r="G914" s="22"/>
      <c r="H914" s="18"/>
      <c r="I914" s="18">
        <v>0.0</v>
      </c>
      <c r="J914" s="18">
        <v>0.0</v>
      </c>
      <c r="K914" s="18"/>
      <c r="L914" s="18"/>
      <c r="M914" s="22" t="str">
        <f t="shared" si="1"/>
        <v/>
      </c>
      <c r="N914" s="18" t="str">
        <f>IF(A914="",,IF(ROW()=2, Input!$C$2 + I914, P913 + I914))</f>
        <v/>
      </c>
      <c r="O914" s="23" t="str">
        <f>IF(A914="",,
 IF(K914="Initial principal",
   Input!$C$2 * M914,
   N914 * M914
 )
)</f>
        <v/>
      </c>
      <c r="P914" s="18" t="str">
        <f t="shared" si="2"/>
        <v/>
      </c>
      <c r="Q914" s="18" t="str">
        <f t="shared" si="3"/>
        <v/>
      </c>
      <c r="R914" s="18" t="str">
        <f t="array" ref="R914">IF(
  B914="",
  ,
  SWITCH(
    Input!$C$4,
    "Actual/365 Fixed",
      YEARFRAC(
        B914 + IF(INDEX(Input!$K$7:$K1503,ROW()-1),0,1),
        C914 + IF(INDEX(Input!$L$7:$L1503,ROW()-1),1,0),
        3
      ),
    "Anniversary/365",
      DATEDIF(
        B914 + IF(INDEX(Input!$K$7:$K1503,ROW()-1),0,1),
        C914 + IF(INDEX(Input!$L$7:$L1503,ROW()-1),1,0),
        "Y"
      )
      +
      (
        (C914 + IF(INDEX(Input!$L$7:$L1503,ROW()-1),1,0))
        -
        EDATE(
          B914 + IF(INDEX(Input!$K$7:$K1503,ROW()-1),0,1),
          12*DATEDIF(
            B914 + IF(INDEX(Input!$K$7:$K1503,ROW()-1),0,1),
            C914 + IF(INDEX(Input!$L$7:$L1503,ROW()-1),1,0),
            "Y"
          )
        )
      ) / 365,
    "Actual/Actual",
      YEARFRAC(
        B914 + IF(INDEX(Input!$K$7:$K1503,ROW()-1),0,1),
        C914 + IF(INDEX(Input!$L$7:$L1503,ROW()-1),1,0),
        1
      ),
      YEARFRAC(
        B914 + IF(INDEX(Input!$K$7:$K1503,ROW()-1),0,1),
        C914 + IF(INDEX(Input!$L$7:$L1503,ROW()-1),1,0),
        3
      )
  )
)</f>
        <v/>
      </c>
      <c r="S914" s="22" t="str">
        <f t="shared" si="4"/>
        <v/>
      </c>
      <c r="T914" s="6" t="str">
        <f t="array" ref="T914">IF(
  B914="",
  ,
  DATEDIF(
    B914 + IF(INDEX(Input!$K$7:$K1503,ROW()-1),0,1),
    C914 + IF(INDEX(Input!$L$7:$L1503,ROW()-1),1,0),
    "Y"
  )
)</f>
        <v/>
      </c>
      <c r="U914" s="6" t="str">
        <f t="array" ref="U914">IF(
  B914="",
  ,
  (C914 + IF(INDEX(Input!$L$7:$L1503,ROW()-1),1,0))
  - EDATE(
      B914 + IF(INDEX(Input!$K$7:$K1503,ROW()-1),0,1),
      12*S914
    )
)</f>
        <v/>
      </c>
      <c r="V914" s="6" t="str">
        <f t="shared" si="5"/>
        <v/>
      </c>
      <c r="W914" s="6" t="str">
        <f t="shared" si="6"/>
        <v/>
      </c>
    </row>
    <row r="915">
      <c r="A915" s="18"/>
      <c r="B915" s="18"/>
      <c r="C915" s="18"/>
      <c r="D915" s="18"/>
      <c r="E915" s="18"/>
      <c r="F915" s="18"/>
      <c r="G915" s="22"/>
      <c r="H915" s="18"/>
      <c r="I915" s="18">
        <v>0.0</v>
      </c>
      <c r="J915" s="18">
        <v>0.0</v>
      </c>
      <c r="K915" s="18"/>
      <c r="L915" s="18"/>
      <c r="M915" s="22" t="str">
        <f t="shared" si="1"/>
        <v/>
      </c>
      <c r="N915" s="18" t="str">
        <f>IF(A915="",,IF(ROW()=2, Input!$C$2 + I915, P914 + I915))</f>
        <v/>
      </c>
      <c r="O915" s="23" t="str">
        <f>IF(A915="",,
 IF(K915="Initial principal",
   Input!$C$2 * M915,
   N915 * M915
 )
)</f>
        <v/>
      </c>
      <c r="P915" s="18" t="str">
        <f t="shared" si="2"/>
        <v/>
      </c>
      <c r="Q915" s="18" t="str">
        <f t="shared" si="3"/>
        <v/>
      </c>
      <c r="R915" s="18" t="str">
        <f t="array" ref="R915">IF(
  B915="",
  ,
  SWITCH(
    Input!$C$4,
    "Actual/365 Fixed",
      YEARFRAC(
        B915 + IF(INDEX(Input!$K$7:$K1503,ROW()-1),0,1),
        C915 + IF(INDEX(Input!$L$7:$L1503,ROW()-1),1,0),
        3
      ),
    "Anniversary/365",
      DATEDIF(
        B915 + IF(INDEX(Input!$K$7:$K1503,ROW()-1),0,1),
        C915 + IF(INDEX(Input!$L$7:$L1503,ROW()-1),1,0),
        "Y"
      )
      +
      (
        (C915 + IF(INDEX(Input!$L$7:$L1503,ROW()-1),1,0))
        -
        EDATE(
          B915 + IF(INDEX(Input!$K$7:$K1503,ROW()-1),0,1),
          12*DATEDIF(
            B915 + IF(INDEX(Input!$K$7:$K1503,ROW()-1),0,1),
            C915 + IF(INDEX(Input!$L$7:$L1503,ROW()-1),1,0),
            "Y"
          )
        )
      ) / 365,
    "Actual/Actual",
      YEARFRAC(
        B915 + IF(INDEX(Input!$K$7:$K1503,ROW()-1),0,1),
        C915 + IF(INDEX(Input!$L$7:$L1503,ROW()-1),1,0),
        1
      ),
      YEARFRAC(
        B915 + IF(INDEX(Input!$K$7:$K1503,ROW()-1),0,1),
        C915 + IF(INDEX(Input!$L$7:$L1503,ROW()-1),1,0),
        3
      )
  )
)</f>
        <v/>
      </c>
      <c r="S915" s="22" t="str">
        <f t="shared" si="4"/>
        <v/>
      </c>
      <c r="T915" s="6" t="str">
        <f t="array" ref="T915">IF(
  B915="",
  ,
  DATEDIF(
    B915 + IF(INDEX(Input!$K$7:$K1503,ROW()-1),0,1),
    C915 + IF(INDEX(Input!$L$7:$L1503,ROW()-1),1,0),
    "Y"
  )
)</f>
        <v/>
      </c>
      <c r="U915" s="6" t="str">
        <f t="array" ref="U915">IF(
  B915="",
  ,
  (C915 + IF(INDEX(Input!$L$7:$L1503,ROW()-1),1,0))
  - EDATE(
      B915 + IF(INDEX(Input!$K$7:$K1503,ROW()-1),0,1),
      12*S915
    )
)</f>
        <v/>
      </c>
      <c r="V915" s="6" t="str">
        <f t="shared" si="5"/>
        <v/>
      </c>
      <c r="W915" s="6" t="str">
        <f t="shared" si="6"/>
        <v/>
      </c>
    </row>
    <row r="916">
      <c r="A916" s="18"/>
      <c r="B916" s="18"/>
      <c r="C916" s="18"/>
      <c r="D916" s="18"/>
      <c r="E916" s="18"/>
      <c r="F916" s="18"/>
      <c r="G916" s="22"/>
      <c r="H916" s="18"/>
      <c r="I916" s="18">
        <v>0.0</v>
      </c>
      <c r="J916" s="18">
        <v>0.0</v>
      </c>
      <c r="K916" s="18"/>
      <c r="L916" s="18"/>
      <c r="M916" s="22" t="str">
        <f t="shared" si="1"/>
        <v/>
      </c>
      <c r="N916" s="18" t="str">
        <f>IF(A916="",,IF(ROW()=2, Input!$C$2 + I916, P915 + I916))</f>
        <v/>
      </c>
      <c r="O916" s="23" t="str">
        <f>IF(A916="",,
 IF(K916="Initial principal",
   Input!$C$2 * M916,
   N916 * M916
 )
)</f>
        <v/>
      </c>
      <c r="P916" s="18" t="str">
        <f t="shared" si="2"/>
        <v/>
      </c>
      <c r="Q916" s="18" t="str">
        <f t="shared" si="3"/>
        <v/>
      </c>
      <c r="R916" s="18" t="str">
        <f t="array" ref="R916">IF(
  B916="",
  ,
  SWITCH(
    Input!$C$4,
    "Actual/365 Fixed",
      YEARFRAC(
        B916 + IF(INDEX(Input!$K$7:$K1503,ROW()-1),0,1),
        C916 + IF(INDEX(Input!$L$7:$L1503,ROW()-1),1,0),
        3
      ),
    "Anniversary/365",
      DATEDIF(
        B916 + IF(INDEX(Input!$K$7:$K1503,ROW()-1),0,1),
        C916 + IF(INDEX(Input!$L$7:$L1503,ROW()-1),1,0),
        "Y"
      )
      +
      (
        (C916 + IF(INDEX(Input!$L$7:$L1503,ROW()-1),1,0))
        -
        EDATE(
          B916 + IF(INDEX(Input!$K$7:$K1503,ROW()-1),0,1),
          12*DATEDIF(
            B916 + IF(INDEX(Input!$K$7:$K1503,ROW()-1),0,1),
            C916 + IF(INDEX(Input!$L$7:$L1503,ROW()-1),1,0),
            "Y"
          )
        )
      ) / 365,
    "Actual/Actual",
      YEARFRAC(
        B916 + IF(INDEX(Input!$K$7:$K1503,ROW()-1),0,1),
        C916 + IF(INDEX(Input!$L$7:$L1503,ROW()-1),1,0),
        1
      ),
      YEARFRAC(
        B916 + IF(INDEX(Input!$K$7:$K1503,ROW()-1),0,1),
        C916 + IF(INDEX(Input!$L$7:$L1503,ROW()-1),1,0),
        3
      )
  )
)</f>
        <v/>
      </c>
      <c r="S916" s="22" t="str">
        <f t="shared" si="4"/>
        <v/>
      </c>
      <c r="T916" s="6" t="str">
        <f t="array" ref="T916">IF(
  B916="",
  ,
  DATEDIF(
    B916 + IF(INDEX(Input!$K$7:$K1503,ROW()-1),0,1),
    C916 + IF(INDEX(Input!$L$7:$L1503,ROW()-1),1,0),
    "Y"
  )
)</f>
        <v/>
      </c>
      <c r="U916" s="6" t="str">
        <f t="array" ref="U916">IF(
  B916="",
  ,
  (C916 + IF(INDEX(Input!$L$7:$L1503,ROW()-1),1,0))
  - EDATE(
      B916 + IF(INDEX(Input!$K$7:$K1503,ROW()-1),0,1),
      12*S916
    )
)</f>
        <v/>
      </c>
      <c r="V916" s="6" t="str">
        <f t="shared" si="5"/>
        <v/>
      </c>
      <c r="W916" s="6" t="str">
        <f t="shared" si="6"/>
        <v/>
      </c>
    </row>
    <row r="917">
      <c r="A917" s="18"/>
      <c r="B917" s="18"/>
      <c r="C917" s="18"/>
      <c r="D917" s="18"/>
      <c r="E917" s="18"/>
      <c r="F917" s="18"/>
      <c r="G917" s="22"/>
      <c r="H917" s="18"/>
      <c r="I917" s="18">
        <v>0.0</v>
      </c>
      <c r="J917" s="18">
        <v>0.0</v>
      </c>
      <c r="K917" s="18"/>
      <c r="L917" s="18"/>
      <c r="M917" s="22" t="str">
        <f t="shared" si="1"/>
        <v/>
      </c>
      <c r="N917" s="18" t="str">
        <f>IF(A917="",,IF(ROW()=2, Input!$C$2 + I917, P916 + I917))</f>
        <v/>
      </c>
      <c r="O917" s="23" t="str">
        <f>IF(A917="",,
 IF(K917="Initial principal",
   Input!$C$2 * M917,
   N917 * M917
 )
)</f>
        <v/>
      </c>
      <c r="P917" s="18" t="str">
        <f t="shared" si="2"/>
        <v/>
      </c>
      <c r="Q917" s="18" t="str">
        <f t="shared" si="3"/>
        <v/>
      </c>
      <c r="R917" s="18" t="str">
        <f t="array" ref="R917">IF(
  B917="",
  ,
  SWITCH(
    Input!$C$4,
    "Actual/365 Fixed",
      YEARFRAC(
        B917 + IF(INDEX(Input!$K$7:$K1503,ROW()-1),0,1),
        C917 + IF(INDEX(Input!$L$7:$L1503,ROW()-1),1,0),
        3
      ),
    "Anniversary/365",
      DATEDIF(
        B917 + IF(INDEX(Input!$K$7:$K1503,ROW()-1),0,1),
        C917 + IF(INDEX(Input!$L$7:$L1503,ROW()-1),1,0),
        "Y"
      )
      +
      (
        (C917 + IF(INDEX(Input!$L$7:$L1503,ROW()-1),1,0))
        -
        EDATE(
          B917 + IF(INDEX(Input!$K$7:$K1503,ROW()-1),0,1),
          12*DATEDIF(
            B917 + IF(INDEX(Input!$K$7:$K1503,ROW()-1),0,1),
            C917 + IF(INDEX(Input!$L$7:$L1503,ROW()-1),1,0),
            "Y"
          )
        )
      ) / 365,
    "Actual/Actual",
      YEARFRAC(
        B917 + IF(INDEX(Input!$K$7:$K1503,ROW()-1),0,1),
        C917 + IF(INDEX(Input!$L$7:$L1503,ROW()-1),1,0),
        1
      ),
      YEARFRAC(
        B917 + IF(INDEX(Input!$K$7:$K1503,ROW()-1),0,1),
        C917 + IF(INDEX(Input!$L$7:$L1503,ROW()-1),1,0),
        3
      )
  )
)</f>
        <v/>
      </c>
      <c r="S917" s="22" t="str">
        <f t="shared" si="4"/>
        <v/>
      </c>
      <c r="T917" s="6" t="str">
        <f t="array" ref="T917">IF(
  B917="",
  ,
  DATEDIF(
    B917 + IF(INDEX(Input!$K$7:$K1503,ROW()-1),0,1),
    C917 + IF(INDEX(Input!$L$7:$L1503,ROW()-1),1,0),
    "Y"
  )
)</f>
        <v/>
      </c>
      <c r="U917" s="6" t="str">
        <f t="array" ref="U917">IF(
  B917="",
  ,
  (C917 + IF(INDEX(Input!$L$7:$L1503,ROW()-1),1,0))
  - EDATE(
      B917 + IF(INDEX(Input!$K$7:$K1503,ROW()-1),0,1),
      12*S917
    )
)</f>
        <v/>
      </c>
      <c r="V917" s="6" t="str">
        <f t="shared" si="5"/>
        <v/>
      </c>
      <c r="W917" s="6" t="str">
        <f t="shared" si="6"/>
        <v/>
      </c>
    </row>
    <row r="918">
      <c r="A918" s="18"/>
      <c r="B918" s="18"/>
      <c r="C918" s="18"/>
      <c r="D918" s="18"/>
      <c r="E918" s="18"/>
      <c r="F918" s="18"/>
      <c r="G918" s="22"/>
      <c r="H918" s="18"/>
      <c r="I918" s="18">
        <v>0.0</v>
      </c>
      <c r="J918" s="18">
        <v>0.0</v>
      </c>
      <c r="K918" s="18"/>
      <c r="L918" s="18"/>
      <c r="M918" s="22" t="str">
        <f t="shared" si="1"/>
        <v/>
      </c>
      <c r="N918" s="18" t="str">
        <f>IF(A918="",,IF(ROW()=2, Input!$C$2 + I918, P917 + I918))</f>
        <v/>
      </c>
      <c r="O918" s="23" t="str">
        <f>IF(A918="",,
 IF(K918="Initial principal",
   Input!$C$2 * M918,
   N918 * M918
 )
)</f>
        <v/>
      </c>
      <c r="P918" s="18" t="str">
        <f t="shared" si="2"/>
        <v/>
      </c>
      <c r="Q918" s="18" t="str">
        <f t="shared" si="3"/>
        <v/>
      </c>
      <c r="R918" s="18" t="str">
        <f t="array" ref="R918">IF(
  B918="",
  ,
  SWITCH(
    Input!$C$4,
    "Actual/365 Fixed",
      YEARFRAC(
        B918 + IF(INDEX(Input!$K$7:$K1503,ROW()-1),0,1),
        C918 + IF(INDEX(Input!$L$7:$L1503,ROW()-1),1,0),
        3
      ),
    "Anniversary/365",
      DATEDIF(
        B918 + IF(INDEX(Input!$K$7:$K1503,ROW()-1),0,1),
        C918 + IF(INDEX(Input!$L$7:$L1503,ROW()-1),1,0),
        "Y"
      )
      +
      (
        (C918 + IF(INDEX(Input!$L$7:$L1503,ROW()-1),1,0))
        -
        EDATE(
          B918 + IF(INDEX(Input!$K$7:$K1503,ROW()-1),0,1),
          12*DATEDIF(
            B918 + IF(INDEX(Input!$K$7:$K1503,ROW()-1),0,1),
            C918 + IF(INDEX(Input!$L$7:$L1503,ROW()-1),1,0),
            "Y"
          )
        )
      ) / 365,
    "Actual/Actual",
      YEARFRAC(
        B918 + IF(INDEX(Input!$K$7:$K1503,ROW()-1),0,1),
        C918 + IF(INDEX(Input!$L$7:$L1503,ROW()-1),1,0),
        1
      ),
      YEARFRAC(
        B918 + IF(INDEX(Input!$K$7:$K1503,ROW()-1),0,1),
        C918 + IF(INDEX(Input!$L$7:$L1503,ROW()-1),1,0),
        3
      )
  )
)</f>
        <v/>
      </c>
      <c r="S918" s="22" t="str">
        <f t="shared" si="4"/>
        <v/>
      </c>
      <c r="T918" s="6" t="str">
        <f t="array" ref="T918">IF(
  B918="",
  ,
  DATEDIF(
    B918 + IF(INDEX(Input!$K$7:$K1503,ROW()-1),0,1),
    C918 + IF(INDEX(Input!$L$7:$L1503,ROW()-1),1,0),
    "Y"
  )
)</f>
        <v/>
      </c>
      <c r="U918" s="6" t="str">
        <f t="array" ref="U918">IF(
  B918="",
  ,
  (C918 + IF(INDEX(Input!$L$7:$L1503,ROW()-1),1,0))
  - EDATE(
      B918 + IF(INDEX(Input!$K$7:$K1503,ROW()-1),0,1),
      12*S918
    )
)</f>
        <v/>
      </c>
      <c r="V918" s="6" t="str">
        <f t="shared" si="5"/>
        <v/>
      </c>
      <c r="W918" s="6" t="str">
        <f t="shared" si="6"/>
        <v/>
      </c>
    </row>
    <row r="919">
      <c r="A919" s="18"/>
      <c r="B919" s="18"/>
      <c r="C919" s="18"/>
      <c r="D919" s="18"/>
      <c r="E919" s="18"/>
      <c r="F919" s="18"/>
      <c r="G919" s="22"/>
      <c r="H919" s="18"/>
      <c r="I919" s="18">
        <v>0.0</v>
      </c>
      <c r="J919" s="18">
        <v>0.0</v>
      </c>
      <c r="K919" s="18"/>
      <c r="L919" s="18"/>
      <c r="M919" s="22" t="str">
        <f t="shared" si="1"/>
        <v/>
      </c>
      <c r="N919" s="18" t="str">
        <f>IF(A919="",,IF(ROW()=2, Input!$C$2 + I919, P918 + I919))</f>
        <v/>
      </c>
      <c r="O919" s="23" t="str">
        <f>IF(A919="",,
 IF(K919="Initial principal",
   Input!$C$2 * M919,
   N919 * M919
 )
)</f>
        <v/>
      </c>
      <c r="P919" s="18" t="str">
        <f t="shared" si="2"/>
        <v/>
      </c>
      <c r="Q919" s="18" t="str">
        <f t="shared" si="3"/>
        <v/>
      </c>
      <c r="R919" s="18" t="str">
        <f t="array" ref="R919">IF(
  B919="",
  ,
  SWITCH(
    Input!$C$4,
    "Actual/365 Fixed",
      YEARFRAC(
        B919 + IF(INDEX(Input!$K$7:$K1503,ROW()-1),0,1),
        C919 + IF(INDEX(Input!$L$7:$L1503,ROW()-1),1,0),
        3
      ),
    "Anniversary/365",
      DATEDIF(
        B919 + IF(INDEX(Input!$K$7:$K1503,ROW()-1),0,1),
        C919 + IF(INDEX(Input!$L$7:$L1503,ROW()-1),1,0),
        "Y"
      )
      +
      (
        (C919 + IF(INDEX(Input!$L$7:$L1503,ROW()-1),1,0))
        -
        EDATE(
          B919 + IF(INDEX(Input!$K$7:$K1503,ROW()-1),0,1),
          12*DATEDIF(
            B919 + IF(INDEX(Input!$K$7:$K1503,ROW()-1),0,1),
            C919 + IF(INDEX(Input!$L$7:$L1503,ROW()-1),1,0),
            "Y"
          )
        )
      ) / 365,
    "Actual/Actual",
      YEARFRAC(
        B919 + IF(INDEX(Input!$K$7:$K1503,ROW()-1),0,1),
        C919 + IF(INDEX(Input!$L$7:$L1503,ROW()-1),1,0),
        1
      ),
      YEARFRAC(
        B919 + IF(INDEX(Input!$K$7:$K1503,ROW()-1),0,1),
        C919 + IF(INDEX(Input!$L$7:$L1503,ROW()-1),1,0),
        3
      )
  )
)</f>
        <v/>
      </c>
      <c r="S919" s="22" t="str">
        <f t="shared" si="4"/>
        <v/>
      </c>
      <c r="T919" s="6" t="str">
        <f t="array" ref="T919">IF(
  B919="",
  ,
  DATEDIF(
    B919 + IF(INDEX(Input!$K$7:$K1503,ROW()-1),0,1),
    C919 + IF(INDEX(Input!$L$7:$L1503,ROW()-1),1,0),
    "Y"
  )
)</f>
        <v/>
      </c>
      <c r="U919" s="6" t="str">
        <f t="array" ref="U919">IF(
  B919="",
  ,
  (C919 + IF(INDEX(Input!$L$7:$L1503,ROW()-1),1,0))
  - EDATE(
      B919 + IF(INDEX(Input!$K$7:$K1503,ROW()-1),0,1),
      12*S919
    )
)</f>
        <v/>
      </c>
      <c r="V919" s="6" t="str">
        <f t="shared" si="5"/>
        <v/>
      </c>
      <c r="W919" s="6" t="str">
        <f t="shared" si="6"/>
        <v/>
      </c>
    </row>
    <row r="920">
      <c r="A920" s="18"/>
      <c r="B920" s="18"/>
      <c r="C920" s="18"/>
      <c r="D920" s="18"/>
      <c r="E920" s="18"/>
      <c r="F920" s="18"/>
      <c r="G920" s="22"/>
      <c r="H920" s="18"/>
      <c r="I920" s="18">
        <v>0.0</v>
      </c>
      <c r="J920" s="18">
        <v>0.0</v>
      </c>
      <c r="K920" s="18"/>
      <c r="L920" s="18"/>
      <c r="M920" s="22" t="str">
        <f t="shared" si="1"/>
        <v/>
      </c>
      <c r="N920" s="18" t="str">
        <f>IF(A920="",,IF(ROW()=2, Input!$C$2 + I920, P919 + I920))</f>
        <v/>
      </c>
      <c r="O920" s="23" t="str">
        <f>IF(A920="",,
 IF(K920="Initial principal",
   Input!$C$2 * M920,
   N920 * M920
 )
)</f>
        <v/>
      </c>
      <c r="P920" s="18" t="str">
        <f t="shared" si="2"/>
        <v/>
      </c>
      <c r="Q920" s="18" t="str">
        <f t="shared" si="3"/>
        <v/>
      </c>
      <c r="R920" s="18" t="str">
        <f t="array" ref="R920">IF(
  B920="",
  ,
  SWITCH(
    Input!$C$4,
    "Actual/365 Fixed",
      YEARFRAC(
        B920 + IF(INDEX(Input!$K$7:$K1503,ROW()-1),0,1),
        C920 + IF(INDEX(Input!$L$7:$L1503,ROW()-1),1,0),
        3
      ),
    "Anniversary/365",
      DATEDIF(
        B920 + IF(INDEX(Input!$K$7:$K1503,ROW()-1),0,1),
        C920 + IF(INDEX(Input!$L$7:$L1503,ROW()-1),1,0),
        "Y"
      )
      +
      (
        (C920 + IF(INDEX(Input!$L$7:$L1503,ROW()-1),1,0))
        -
        EDATE(
          B920 + IF(INDEX(Input!$K$7:$K1503,ROW()-1),0,1),
          12*DATEDIF(
            B920 + IF(INDEX(Input!$K$7:$K1503,ROW()-1),0,1),
            C920 + IF(INDEX(Input!$L$7:$L1503,ROW()-1),1,0),
            "Y"
          )
        )
      ) / 365,
    "Actual/Actual",
      YEARFRAC(
        B920 + IF(INDEX(Input!$K$7:$K1503,ROW()-1),0,1),
        C920 + IF(INDEX(Input!$L$7:$L1503,ROW()-1),1,0),
        1
      ),
      YEARFRAC(
        B920 + IF(INDEX(Input!$K$7:$K1503,ROW()-1),0,1),
        C920 + IF(INDEX(Input!$L$7:$L1503,ROW()-1),1,0),
        3
      )
  )
)</f>
        <v/>
      </c>
      <c r="S920" s="22" t="str">
        <f t="shared" si="4"/>
        <v/>
      </c>
      <c r="T920" s="6" t="str">
        <f t="array" ref="T920">IF(
  B920="",
  ,
  DATEDIF(
    B920 + IF(INDEX(Input!$K$7:$K1503,ROW()-1),0,1),
    C920 + IF(INDEX(Input!$L$7:$L1503,ROW()-1),1,0),
    "Y"
  )
)</f>
        <v/>
      </c>
      <c r="U920" s="6" t="str">
        <f t="array" ref="U920">IF(
  B920="",
  ,
  (C920 + IF(INDEX(Input!$L$7:$L1503,ROW()-1),1,0))
  - EDATE(
      B920 + IF(INDEX(Input!$K$7:$K1503,ROW()-1),0,1),
      12*S920
    )
)</f>
        <v/>
      </c>
      <c r="V920" s="6" t="str">
        <f t="shared" si="5"/>
        <v/>
      </c>
      <c r="W920" s="6" t="str">
        <f t="shared" si="6"/>
        <v/>
      </c>
    </row>
    <row r="921">
      <c r="A921" s="18"/>
      <c r="B921" s="18"/>
      <c r="C921" s="18"/>
      <c r="D921" s="18"/>
      <c r="E921" s="18"/>
      <c r="F921" s="18"/>
      <c r="G921" s="22"/>
      <c r="H921" s="18"/>
      <c r="I921" s="18">
        <v>0.0</v>
      </c>
      <c r="J921" s="18">
        <v>0.0</v>
      </c>
      <c r="K921" s="18"/>
      <c r="L921" s="18"/>
      <c r="M921" s="22" t="str">
        <f t="shared" si="1"/>
        <v/>
      </c>
      <c r="N921" s="18" t="str">
        <f>IF(A921="",,IF(ROW()=2, Input!$C$2 + I921, P920 + I921))</f>
        <v/>
      </c>
      <c r="O921" s="23" t="str">
        <f>IF(A921="",,
 IF(K921="Initial principal",
   Input!$C$2 * M921,
   N921 * M921
 )
)</f>
        <v/>
      </c>
      <c r="P921" s="18" t="str">
        <f t="shared" si="2"/>
        <v/>
      </c>
      <c r="Q921" s="18" t="str">
        <f t="shared" si="3"/>
        <v/>
      </c>
      <c r="R921" s="18" t="str">
        <f t="array" ref="R921">IF(
  B921="",
  ,
  SWITCH(
    Input!$C$4,
    "Actual/365 Fixed",
      YEARFRAC(
        B921 + IF(INDEX(Input!$K$7:$K1503,ROW()-1),0,1),
        C921 + IF(INDEX(Input!$L$7:$L1503,ROW()-1),1,0),
        3
      ),
    "Anniversary/365",
      DATEDIF(
        B921 + IF(INDEX(Input!$K$7:$K1503,ROW()-1),0,1),
        C921 + IF(INDEX(Input!$L$7:$L1503,ROW()-1),1,0),
        "Y"
      )
      +
      (
        (C921 + IF(INDEX(Input!$L$7:$L1503,ROW()-1),1,0))
        -
        EDATE(
          B921 + IF(INDEX(Input!$K$7:$K1503,ROW()-1),0,1),
          12*DATEDIF(
            B921 + IF(INDEX(Input!$K$7:$K1503,ROW()-1),0,1),
            C921 + IF(INDEX(Input!$L$7:$L1503,ROW()-1),1,0),
            "Y"
          )
        )
      ) / 365,
    "Actual/Actual",
      YEARFRAC(
        B921 + IF(INDEX(Input!$K$7:$K1503,ROW()-1),0,1),
        C921 + IF(INDEX(Input!$L$7:$L1503,ROW()-1),1,0),
        1
      ),
      YEARFRAC(
        B921 + IF(INDEX(Input!$K$7:$K1503,ROW()-1),0,1),
        C921 + IF(INDEX(Input!$L$7:$L1503,ROW()-1),1,0),
        3
      )
  )
)</f>
        <v/>
      </c>
      <c r="S921" s="22" t="str">
        <f t="shared" si="4"/>
        <v/>
      </c>
      <c r="T921" s="6" t="str">
        <f t="array" ref="T921">IF(
  B921="",
  ,
  DATEDIF(
    B921 + IF(INDEX(Input!$K$7:$K1503,ROW()-1),0,1),
    C921 + IF(INDEX(Input!$L$7:$L1503,ROW()-1),1,0),
    "Y"
  )
)</f>
        <v/>
      </c>
      <c r="U921" s="6" t="str">
        <f t="array" ref="U921">IF(
  B921="",
  ,
  (C921 + IF(INDEX(Input!$L$7:$L1503,ROW()-1),1,0))
  - EDATE(
      B921 + IF(INDEX(Input!$K$7:$K1503,ROW()-1),0,1),
      12*S921
    )
)</f>
        <v/>
      </c>
      <c r="V921" s="6" t="str">
        <f t="shared" si="5"/>
        <v/>
      </c>
      <c r="W921" s="6" t="str">
        <f t="shared" si="6"/>
        <v/>
      </c>
    </row>
    <row r="922">
      <c r="A922" s="18"/>
      <c r="B922" s="18"/>
      <c r="C922" s="18"/>
      <c r="D922" s="18"/>
      <c r="E922" s="18"/>
      <c r="F922" s="18"/>
      <c r="G922" s="22"/>
      <c r="H922" s="18"/>
      <c r="I922" s="18">
        <v>0.0</v>
      </c>
      <c r="J922" s="18">
        <v>0.0</v>
      </c>
      <c r="K922" s="18"/>
      <c r="L922" s="18"/>
      <c r="M922" s="22" t="str">
        <f t="shared" si="1"/>
        <v/>
      </c>
      <c r="N922" s="18" t="str">
        <f>IF(A922="",,IF(ROW()=2, Input!$C$2 + I922, P921 + I922))</f>
        <v/>
      </c>
      <c r="O922" s="23" t="str">
        <f>IF(A922="",,
 IF(K922="Initial principal",
   Input!$C$2 * M922,
   N922 * M922
 )
)</f>
        <v/>
      </c>
      <c r="P922" s="18" t="str">
        <f t="shared" si="2"/>
        <v/>
      </c>
      <c r="Q922" s="18" t="str">
        <f t="shared" si="3"/>
        <v/>
      </c>
      <c r="R922" s="18" t="str">
        <f t="array" ref="R922">IF(
  B922="",
  ,
  SWITCH(
    Input!$C$4,
    "Actual/365 Fixed",
      YEARFRAC(
        B922 + IF(INDEX(Input!$K$7:$K1503,ROW()-1),0,1),
        C922 + IF(INDEX(Input!$L$7:$L1503,ROW()-1),1,0),
        3
      ),
    "Anniversary/365",
      DATEDIF(
        B922 + IF(INDEX(Input!$K$7:$K1503,ROW()-1),0,1),
        C922 + IF(INDEX(Input!$L$7:$L1503,ROW()-1),1,0),
        "Y"
      )
      +
      (
        (C922 + IF(INDEX(Input!$L$7:$L1503,ROW()-1),1,0))
        -
        EDATE(
          B922 + IF(INDEX(Input!$K$7:$K1503,ROW()-1),0,1),
          12*DATEDIF(
            B922 + IF(INDEX(Input!$K$7:$K1503,ROW()-1),0,1),
            C922 + IF(INDEX(Input!$L$7:$L1503,ROW()-1),1,0),
            "Y"
          )
        )
      ) / 365,
    "Actual/Actual",
      YEARFRAC(
        B922 + IF(INDEX(Input!$K$7:$K1503,ROW()-1),0,1),
        C922 + IF(INDEX(Input!$L$7:$L1503,ROW()-1),1,0),
        1
      ),
      YEARFRAC(
        B922 + IF(INDEX(Input!$K$7:$K1503,ROW()-1),0,1),
        C922 + IF(INDEX(Input!$L$7:$L1503,ROW()-1),1,0),
        3
      )
  )
)</f>
        <v/>
      </c>
      <c r="S922" s="22" t="str">
        <f t="shared" si="4"/>
        <v/>
      </c>
      <c r="T922" s="6" t="str">
        <f t="array" ref="T922">IF(
  B922="",
  ,
  DATEDIF(
    B922 + IF(INDEX(Input!$K$7:$K1503,ROW()-1),0,1),
    C922 + IF(INDEX(Input!$L$7:$L1503,ROW()-1),1,0),
    "Y"
  )
)</f>
        <v/>
      </c>
      <c r="U922" s="6" t="str">
        <f t="array" ref="U922">IF(
  B922="",
  ,
  (C922 + IF(INDEX(Input!$L$7:$L1503,ROW()-1),1,0))
  - EDATE(
      B922 + IF(INDEX(Input!$K$7:$K1503,ROW()-1),0,1),
      12*S922
    )
)</f>
        <v/>
      </c>
      <c r="V922" s="6" t="str">
        <f t="shared" si="5"/>
        <v/>
      </c>
      <c r="W922" s="6" t="str">
        <f t="shared" si="6"/>
        <v/>
      </c>
    </row>
    <row r="923">
      <c r="A923" s="18"/>
      <c r="B923" s="18"/>
      <c r="C923" s="18"/>
      <c r="D923" s="18"/>
      <c r="E923" s="18"/>
      <c r="F923" s="18"/>
      <c r="G923" s="22"/>
      <c r="H923" s="18"/>
      <c r="I923" s="18">
        <v>0.0</v>
      </c>
      <c r="J923" s="18">
        <v>0.0</v>
      </c>
      <c r="K923" s="18"/>
      <c r="L923" s="18"/>
      <c r="M923" s="22" t="str">
        <f t="shared" si="1"/>
        <v/>
      </c>
      <c r="N923" s="18" t="str">
        <f>IF(A923="",,IF(ROW()=2, Input!$C$2 + I923, P922 + I923))</f>
        <v/>
      </c>
      <c r="O923" s="23" t="str">
        <f>IF(A923="",,
 IF(K923="Initial principal",
   Input!$C$2 * M923,
   N923 * M923
 )
)</f>
        <v/>
      </c>
      <c r="P923" s="18" t="str">
        <f t="shared" si="2"/>
        <v/>
      </c>
      <c r="Q923" s="18" t="str">
        <f t="shared" si="3"/>
        <v/>
      </c>
      <c r="R923" s="18" t="str">
        <f t="array" ref="R923">IF(
  B923="",
  ,
  SWITCH(
    Input!$C$4,
    "Actual/365 Fixed",
      YEARFRAC(
        B923 + IF(INDEX(Input!$K$7:$K1503,ROW()-1),0,1),
        C923 + IF(INDEX(Input!$L$7:$L1503,ROW()-1),1,0),
        3
      ),
    "Anniversary/365",
      DATEDIF(
        B923 + IF(INDEX(Input!$K$7:$K1503,ROW()-1),0,1),
        C923 + IF(INDEX(Input!$L$7:$L1503,ROW()-1),1,0),
        "Y"
      )
      +
      (
        (C923 + IF(INDEX(Input!$L$7:$L1503,ROW()-1),1,0))
        -
        EDATE(
          B923 + IF(INDEX(Input!$K$7:$K1503,ROW()-1),0,1),
          12*DATEDIF(
            B923 + IF(INDEX(Input!$K$7:$K1503,ROW()-1),0,1),
            C923 + IF(INDEX(Input!$L$7:$L1503,ROW()-1),1,0),
            "Y"
          )
        )
      ) / 365,
    "Actual/Actual",
      YEARFRAC(
        B923 + IF(INDEX(Input!$K$7:$K1503,ROW()-1),0,1),
        C923 + IF(INDEX(Input!$L$7:$L1503,ROW()-1),1,0),
        1
      ),
      YEARFRAC(
        B923 + IF(INDEX(Input!$K$7:$K1503,ROW()-1),0,1),
        C923 + IF(INDEX(Input!$L$7:$L1503,ROW()-1),1,0),
        3
      )
  )
)</f>
        <v/>
      </c>
      <c r="S923" s="22" t="str">
        <f t="shared" si="4"/>
        <v/>
      </c>
      <c r="T923" s="6" t="str">
        <f t="array" ref="T923">IF(
  B923="",
  ,
  DATEDIF(
    B923 + IF(INDEX(Input!$K$7:$K1503,ROW()-1),0,1),
    C923 + IF(INDEX(Input!$L$7:$L1503,ROW()-1),1,0),
    "Y"
  )
)</f>
        <v/>
      </c>
      <c r="U923" s="6" t="str">
        <f t="array" ref="U923">IF(
  B923="",
  ,
  (C923 + IF(INDEX(Input!$L$7:$L1503,ROW()-1),1,0))
  - EDATE(
      B923 + IF(INDEX(Input!$K$7:$K1503,ROW()-1),0,1),
      12*S923
    )
)</f>
        <v/>
      </c>
      <c r="V923" s="6" t="str">
        <f t="shared" si="5"/>
        <v/>
      </c>
      <c r="W923" s="6" t="str">
        <f t="shared" si="6"/>
        <v/>
      </c>
    </row>
    <row r="924">
      <c r="A924" s="18"/>
      <c r="B924" s="18"/>
      <c r="C924" s="18"/>
      <c r="D924" s="18"/>
      <c r="E924" s="18"/>
      <c r="F924" s="18"/>
      <c r="G924" s="22"/>
      <c r="H924" s="18"/>
      <c r="I924" s="18">
        <v>0.0</v>
      </c>
      <c r="J924" s="18">
        <v>0.0</v>
      </c>
      <c r="K924" s="18"/>
      <c r="L924" s="18"/>
      <c r="M924" s="22" t="str">
        <f t="shared" si="1"/>
        <v/>
      </c>
      <c r="N924" s="18" t="str">
        <f>IF(A924="",,IF(ROW()=2, Input!$C$2 + I924, P923 + I924))</f>
        <v/>
      </c>
      <c r="O924" s="23" t="str">
        <f>IF(A924="",,
 IF(K924="Initial principal",
   Input!$C$2 * M924,
   N924 * M924
 )
)</f>
        <v/>
      </c>
      <c r="P924" s="18" t="str">
        <f t="shared" si="2"/>
        <v/>
      </c>
      <c r="Q924" s="18" t="str">
        <f t="shared" si="3"/>
        <v/>
      </c>
      <c r="R924" s="18" t="str">
        <f t="array" ref="R924">IF(
  B924="",
  ,
  SWITCH(
    Input!$C$4,
    "Actual/365 Fixed",
      YEARFRAC(
        B924 + IF(INDEX(Input!$K$7:$K1503,ROW()-1),0,1),
        C924 + IF(INDEX(Input!$L$7:$L1503,ROW()-1),1,0),
        3
      ),
    "Anniversary/365",
      DATEDIF(
        B924 + IF(INDEX(Input!$K$7:$K1503,ROW()-1),0,1),
        C924 + IF(INDEX(Input!$L$7:$L1503,ROW()-1),1,0),
        "Y"
      )
      +
      (
        (C924 + IF(INDEX(Input!$L$7:$L1503,ROW()-1),1,0))
        -
        EDATE(
          B924 + IF(INDEX(Input!$K$7:$K1503,ROW()-1),0,1),
          12*DATEDIF(
            B924 + IF(INDEX(Input!$K$7:$K1503,ROW()-1),0,1),
            C924 + IF(INDEX(Input!$L$7:$L1503,ROW()-1),1,0),
            "Y"
          )
        )
      ) / 365,
    "Actual/Actual",
      YEARFRAC(
        B924 + IF(INDEX(Input!$K$7:$K1503,ROW()-1),0,1),
        C924 + IF(INDEX(Input!$L$7:$L1503,ROW()-1),1,0),
        1
      ),
      YEARFRAC(
        B924 + IF(INDEX(Input!$K$7:$K1503,ROW()-1),0,1),
        C924 + IF(INDEX(Input!$L$7:$L1503,ROW()-1),1,0),
        3
      )
  )
)</f>
        <v/>
      </c>
      <c r="S924" s="22" t="str">
        <f t="shared" si="4"/>
        <v/>
      </c>
      <c r="T924" s="6" t="str">
        <f t="array" ref="T924">IF(
  B924="",
  ,
  DATEDIF(
    B924 + IF(INDEX(Input!$K$7:$K1503,ROW()-1),0,1),
    C924 + IF(INDEX(Input!$L$7:$L1503,ROW()-1),1,0),
    "Y"
  )
)</f>
        <v/>
      </c>
      <c r="U924" s="6" t="str">
        <f t="array" ref="U924">IF(
  B924="",
  ,
  (C924 + IF(INDEX(Input!$L$7:$L1503,ROW()-1),1,0))
  - EDATE(
      B924 + IF(INDEX(Input!$K$7:$K1503,ROW()-1),0,1),
      12*S924
    )
)</f>
        <v/>
      </c>
      <c r="V924" s="6" t="str">
        <f t="shared" si="5"/>
        <v/>
      </c>
      <c r="W924" s="6" t="str">
        <f t="shared" si="6"/>
        <v/>
      </c>
    </row>
    <row r="925">
      <c r="A925" s="18"/>
      <c r="B925" s="18"/>
      <c r="C925" s="18"/>
      <c r="D925" s="18"/>
      <c r="E925" s="18"/>
      <c r="F925" s="18"/>
      <c r="G925" s="22"/>
      <c r="H925" s="18"/>
      <c r="I925" s="18">
        <v>0.0</v>
      </c>
      <c r="J925" s="18">
        <v>0.0</v>
      </c>
      <c r="K925" s="18"/>
      <c r="L925" s="18"/>
      <c r="M925" s="22" t="str">
        <f t="shared" si="1"/>
        <v/>
      </c>
      <c r="N925" s="18" t="str">
        <f>IF(A925="",,IF(ROW()=2, Input!$C$2 + I925, P924 + I925))</f>
        <v/>
      </c>
      <c r="O925" s="23" t="str">
        <f>IF(A925="",,
 IF(K925="Initial principal",
   Input!$C$2 * M925,
   N925 * M925
 )
)</f>
        <v/>
      </c>
      <c r="P925" s="18" t="str">
        <f t="shared" si="2"/>
        <v/>
      </c>
      <c r="Q925" s="18" t="str">
        <f t="shared" si="3"/>
        <v/>
      </c>
      <c r="R925" s="18" t="str">
        <f t="array" ref="R925">IF(
  B925="",
  ,
  SWITCH(
    Input!$C$4,
    "Actual/365 Fixed",
      YEARFRAC(
        B925 + IF(INDEX(Input!$K$7:$K1503,ROW()-1),0,1),
        C925 + IF(INDEX(Input!$L$7:$L1503,ROW()-1),1,0),
        3
      ),
    "Anniversary/365",
      DATEDIF(
        B925 + IF(INDEX(Input!$K$7:$K1503,ROW()-1),0,1),
        C925 + IF(INDEX(Input!$L$7:$L1503,ROW()-1),1,0),
        "Y"
      )
      +
      (
        (C925 + IF(INDEX(Input!$L$7:$L1503,ROW()-1),1,0))
        -
        EDATE(
          B925 + IF(INDEX(Input!$K$7:$K1503,ROW()-1),0,1),
          12*DATEDIF(
            B925 + IF(INDEX(Input!$K$7:$K1503,ROW()-1),0,1),
            C925 + IF(INDEX(Input!$L$7:$L1503,ROW()-1),1,0),
            "Y"
          )
        )
      ) / 365,
    "Actual/Actual",
      YEARFRAC(
        B925 + IF(INDEX(Input!$K$7:$K1503,ROW()-1),0,1),
        C925 + IF(INDEX(Input!$L$7:$L1503,ROW()-1),1,0),
        1
      ),
      YEARFRAC(
        B925 + IF(INDEX(Input!$K$7:$K1503,ROW()-1),0,1),
        C925 + IF(INDEX(Input!$L$7:$L1503,ROW()-1),1,0),
        3
      )
  )
)</f>
        <v/>
      </c>
      <c r="S925" s="22" t="str">
        <f t="shared" si="4"/>
        <v/>
      </c>
      <c r="T925" s="6" t="str">
        <f t="array" ref="T925">IF(
  B925="",
  ,
  DATEDIF(
    B925 + IF(INDEX(Input!$K$7:$K1503,ROW()-1),0,1),
    C925 + IF(INDEX(Input!$L$7:$L1503,ROW()-1),1,0),
    "Y"
  )
)</f>
        <v/>
      </c>
      <c r="U925" s="6" t="str">
        <f t="array" ref="U925">IF(
  B925="",
  ,
  (C925 + IF(INDEX(Input!$L$7:$L1503,ROW()-1),1,0))
  - EDATE(
      B925 + IF(INDEX(Input!$K$7:$K1503,ROW()-1),0,1),
      12*S925
    )
)</f>
        <v/>
      </c>
      <c r="V925" s="6" t="str">
        <f t="shared" si="5"/>
        <v/>
      </c>
      <c r="W925" s="6" t="str">
        <f t="shared" si="6"/>
        <v/>
      </c>
    </row>
    <row r="926">
      <c r="A926" s="18"/>
      <c r="B926" s="18"/>
      <c r="C926" s="18"/>
      <c r="D926" s="18"/>
      <c r="E926" s="18"/>
      <c r="F926" s="18"/>
      <c r="G926" s="22"/>
      <c r="H926" s="18"/>
      <c r="I926" s="18">
        <v>0.0</v>
      </c>
      <c r="J926" s="18">
        <v>0.0</v>
      </c>
      <c r="K926" s="18"/>
      <c r="L926" s="18"/>
      <c r="M926" s="22" t="str">
        <f t="shared" si="1"/>
        <v/>
      </c>
      <c r="N926" s="18" t="str">
        <f>IF(A926="",,IF(ROW()=2, Input!$C$2 + I926, P925 + I926))</f>
        <v/>
      </c>
      <c r="O926" s="23" t="str">
        <f>IF(A926="",,
 IF(K926="Initial principal",
   Input!$C$2 * M926,
   N926 * M926
 )
)</f>
        <v/>
      </c>
      <c r="P926" s="18" t="str">
        <f t="shared" si="2"/>
        <v/>
      </c>
      <c r="Q926" s="18" t="str">
        <f t="shared" si="3"/>
        <v/>
      </c>
      <c r="R926" s="18" t="str">
        <f t="array" ref="R926">IF(
  B926="",
  ,
  SWITCH(
    Input!$C$4,
    "Actual/365 Fixed",
      YEARFRAC(
        B926 + IF(INDEX(Input!$K$7:$K1503,ROW()-1),0,1),
        C926 + IF(INDEX(Input!$L$7:$L1503,ROW()-1),1,0),
        3
      ),
    "Anniversary/365",
      DATEDIF(
        B926 + IF(INDEX(Input!$K$7:$K1503,ROW()-1),0,1),
        C926 + IF(INDEX(Input!$L$7:$L1503,ROW()-1),1,0),
        "Y"
      )
      +
      (
        (C926 + IF(INDEX(Input!$L$7:$L1503,ROW()-1),1,0))
        -
        EDATE(
          B926 + IF(INDEX(Input!$K$7:$K1503,ROW()-1),0,1),
          12*DATEDIF(
            B926 + IF(INDEX(Input!$K$7:$K1503,ROW()-1),0,1),
            C926 + IF(INDEX(Input!$L$7:$L1503,ROW()-1),1,0),
            "Y"
          )
        )
      ) / 365,
    "Actual/Actual",
      YEARFRAC(
        B926 + IF(INDEX(Input!$K$7:$K1503,ROW()-1),0,1),
        C926 + IF(INDEX(Input!$L$7:$L1503,ROW()-1),1,0),
        1
      ),
      YEARFRAC(
        B926 + IF(INDEX(Input!$K$7:$K1503,ROW()-1),0,1),
        C926 + IF(INDEX(Input!$L$7:$L1503,ROW()-1),1,0),
        3
      )
  )
)</f>
        <v/>
      </c>
      <c r="S926" s="22" t="str">
        <f t="shared" si="4"/>
        <v/>
      </c>
      <c r="T926" s="6" t="str">
        <f t="array" ref="T926">IF(
  B926="",
  ,
  DATEDIF(
    B926 + IF(INDEX(Input!$K$7:$K1503,ROW()-1),0,1),
    C926 + IF(INDEX(Input!$L$7:$L1503,ROW()-1),1,0),
    "Y"
  )
)</f>
        <v/>
      </c>
      <c r="U926" s="6" t="str">
        <f t="array" ref="U926">IF(
  B926="",
  ,
  (C926 + IF(INDEX(Input!$L$7:$L1503,ROW()-1),1,0))
  - EDATE(
      B926 + IF(INDEX(Input!$K$7:$K1503,ROW()-1),0,1),
      12*S926
    )
)</f>
        <v/>
      </c>
      <c r="V926" s="6" t="str">
        <f t="shared" si="5"/>
        <v/>
      </c>
      <c r="W926" s="6" t="str">
        <f t="shared" si="6"/>
        <v/>
      </c>
    </row>
    <row r="927">
      <c r="A927" s="18"/>
      <c r="B927" s="18"/>
      <c r="C927" s="18"/>
      <c r="D927" s="18"/>
      <c r="E927" s="18"/>
      <c r="F927" s="18"/>
      <c r="G927" s="22"/>
      <c r="H927" s="18"/>
      <c r="I927" s="18">
        <v>0.0</v>
      </c>
      <c r="J927" s="18">
        <v>0.0</v>
      </c>
      <c r="K927" s="18"/>
      <c r="L927" s="18"/>
      <c r="M927" s="22" t="str">
        <f t="shared" si="1"/>
        <v/>
      </c>
      <c r="N927" s="18" t="str">
        <f>IF(A927="",,IF(ROW()=2, Input!$C$2 + I927, P926 + I927))</f>
        <v/>
      </c>
      <c r="O927" s="23" t="str">
        <f>IF(A927="",,
 IF(K927="Initial principal",
   Input!$C$2 * M927,
   N927 * M927
 )
)</f>
        <v/>
      </c>
      <c r="P927" s="18" t="str">
        <f t="shared" si="2"/>
        <v/>
      </c>
      <c r="Q927" s="18" t="str">
        <f t="shared" si="3"/>
        <v/>
      </c>
      <c r="R927" s="18" t="str">
        <f t="array" ref="R927">IF(
  B927="",
  ,
  SWITCH(
    Input!$C$4,
    "Actual/365 Fixed",
      YEARFRAC(
        B927 + IF(INDEX(Input!$K$7:$K1503,ROW()-1),0,1),
        C927 + IF(INDEX(Input!$L$7:$L1503,ROW()-1),1,0),
        3
      ),
    "Anniversary/365",
      DATEDIF(
        B927 + IF(INDEX(Input!$K$7:$K1503,ROW()-1),0,1),
        C927 + IF(INDEX(Input!$L$7:$L1503,ROW()-1),1,0),
        "Y"
      )
      +
      (
        (C927 + IF(INDEX(Input!$L$7:$L1503,ROW()-1),1,0))
        -
        EDATE(
          B927 + IF(INDEX(Input!$K$7:$K1503,ROW()-1),0,1),
          12*DATEDIF(
            B927 + IF(INDEX(Input!$K$7:$K1503,ROW()-1),0,1),
            C927 + IF(INDEX(Input!$L$7:$L1503,ROW()-1),1,0),
            "Y"
          )
        )
      ) / 365,
    "Actual/Actual",
      YEARFRAC(
        B927 + IF(INDEX(Input!$K$7:$K1503,ROW()-1),0,1),
        C927 + IF(INDEX(Input!$L$7:$L1503,ROW()-1),1,0),
        1
      ),
      YEARFRAC(
        B927 + IF(INDEX(Input!$K$7:$K1503,ROW()-1),0,1),
        C927 + IF(INDEX(Input!$L$7:$L1503,ROW()-1),1,0),
        3
      )
  )
)</f>
        <v/>
      </c>
      <c r="S927" s="22" t="str">
        <f t="shared" si="4"/>
        <v/>
      </c>
      <c r="T927" s="6" t="str">
        <f t="array" ref="T927">IF(
  B927="",
  ,
  DATEDIF(
    B927 + IF(INDEX(Input!$K$7:$K1503,ROW()-1),0,1),
    C927 + IF(INDEX(Input!$L$7:$L1503,ROW()-1),1,0),
    "Y"
  )
)</f>
        <v/>
      </c>
      <c r="U927" s="6" t="str">
        <f t="array" ref="U927">IF(
  B927="",
  ,
  (C927 + IF(INDEX(Input!$L$7:$L1503,ROW()-1),1,0))
  - EDATE(
      B927 + IF(INDEX(Input!$K$7:$K1503,ROW()-1),0,1),
      12*S927
    )
)</f>
        <v/>
      </c>
      <c r="V927" s="6" t="str">
        <f t="shared" si="5"/>
        <v/>
      </c>
      <c r="W927" s="6" t="str">
        <f t="shared" si="6"/>
        <v/>
      </c>
    </row>
    <row r="928">
      <c r="A928" s="18"/>
      <c r="B928" s="18"/>
      <c r="C928" s="18"/>
      <c r="D928" s="18"/>
      <c r="E928" s="18"/>
      <c r="F928" s="18"/>
      <c r="G928" s="22"/>
      <c r="H928" s="18"/>
      <c r="I928" s="18">
        <v>0.0</v>
      </c>
      <c r="J928" s="18">
        <v>0.0</v>
      </c>
      <c r="K928" s="18"/>
      <c r="L928" s="18"/>
      <c r="M928" s="22" t="str">
        <f t="shared" si="1"/>
        <v/>
      </c>
      <c r="N928" s="18" t="str">
        <f>IF(A928="",,IF(ROW()=2, Input!$C$2 + I928, P927 + I928))</f>
        <v/>
      </c>
      <c r="O928" s="23" t="str">
        <f>IF(A928="",,
 IF(K928="Initial principal",
   Input!$C$2 * M928,
   N928 * M928
 )
)</f>
        <v/>
      </c>
      <c r="P928" s="18" t="str">
        <f t="shared" si="2"/>
        <v/>
      </c>
      <c r="Q928" s="18" t="str">
        <f t="shared" si="3"/>
        <v/>
      </c>
      <c r="R928" s="18" t="str">
        <f t="array" ref="R928">IF(
  B928="",
  ,
  SWITCH(
    Input!$C$4,
    "Actual/365 Fixed",
      YEARFRAC(
        B928 + IF(INDEX(Input!$K$7:$K1503,ROW()-1),0,1),
        C928 + IF(INDEX(Input!$L$7:$L1503,ROW()-1),1,0),
        3
      ),
    "Anniversary/365",
      DATEDIF(
        B928 + IF(INDEX(Input!$K$7:$K1503,ROW()-1),0,1),
        C928 + IF(INDEX(Input!$L$7:$L1503,ROW()-1),1,0),
        "Y"
      )
      +
      (
        (C928 + IF(INDEX(Input!$L$7:$L1503,ROW()-1),1,0))
        -
        EDATE(
          B928 + IF(INDEX(Input!$K$7:$K1503,ROW()-1),0,1),
          12*DATEDIF(
            B928 + IF(INDEX(Input!$K$7:$K1503,ROW()-1),0,1),
            C928 + IF(INDEX(Input!$L$7:$L1503,ROW()-1),1,0),
            "Y"
          )
        )
      ) / 365,
    "Actual/Actual",
      YEARFRAC(
        B928 + IF(INDEX(Input!$K$7:$K1503,ROW()-1),0,1),
        C928 + IF(INDEX(Input!$L$7:$L1503,ROW()-1),1,0),
        1
      ),
      YEARFRAC(
        B928 + IF(INDEX(Input!$K$7:$K1503,ROW()-1),0,1),
        C928 + IF(INDEX(Input!$L$7:$L1503,ROW()-1),1,0),
        3
      )
  )
)</f>
        <v/>
      </c>
      <c r="S928" s="22" t="str">
        <f t="shared" si="4"/>
        <v/>
      </c>
      <c r="T928" s="6" t="str">
        <f t="array" ref="T928">IF(
  B928="",
  ,
  DATEDIF(
    B928 + IF(INDEX(Input!$K$7:$K1503,ROW()-1),0,1),
    C928 + IF(INDEX(Input!$L$7:$L1503,ROW()-1),1,0),
    "Y"
  )
)</f>
        <v/>
      </c>
      <c r="U928" s="6" t="str">
        <f t="array" ref="U928">IF(
  B928="",
  ,
  (C928 + IF(INDEX(Input!$L$7:$L1503,ROW()-1),1,0))
  - EDATE(
      B928 + IF(INDEX(Input!$K$7:$K1503,ROW()-1),0,1),
      12*S928
    )
)</f>
        <v/>
      </c>
      <c r="V928" s="6" t="str">
        <f t="shared" si="5"/>
        <v/>
      </c>
      <c r="W928" s="6" t="str">
        <f t="shared" si="6"/>
        <v/>
      </c>
    </row>
    <row r="929">
      <c r="A929" s="18"/>
      <c r="B929" s="18"/>
      <c r="C929" s="18"/>
      <c r="D929" s="18"/>
      <c r="E929" s="18"/>
      <c r="F929" s="18"/>
      <c r="G929" s="22"/>
      <c r="H929" s="18"/>
      <c r="I929" s="18">
        <v>0.0</v>
      </c>
      <c r="J929" s="18">
        <v>0.0</v>
      </c>
      <c r="K929" s="18"/>
      <c r="L929" s="18"/>
      <c r="M929" s="22" t="str">
        <f t="shared" si="1"/>
        <v/>
      </c>
      <c r="N929" s="18" t="str">
        <f>IF(A929="",,IF(ROW()=2, Input!$C$2 + I929, P928 + I929))</f>
        <v/>
      </c>
      <c r="O929" s="23" t="str">
        <f>IF(A929="",,
 IF(K929="Initial principal",
   Input!$C$2 * M929,
   N929 * M929
 )
)</f>
        <v/>
      </c>
      <c r="P929" s="18" t="str">
        <f t="shared" si="2"/>
        <v/>
      </c>
      <c r="Q929" s="18" t="str">
        <f t="shared" si="3"/>
        <v/>
      </c>
      <c r="R929" s="18" t="str">
        <f t="array" ref="R929">IF(
  B929="",
  ,
  SWITCH(
    Input!$C$4,
    "Actual/365 Fixed",
      YEARFRAC(
        B929 + IF(INDEX(Input!$K$7:$K1503,ROW()-1),0,1),
        C929 + IF(INDEX(Input!$L$7:$L1503,ROW()-1),1,0),
        3
      ),
    "Anniversary/365",
      DATEDIF(
        B929 + IF(INDEX(Input!$K$7:$K1503,ROW()-1),0,1),
        C929 + IF(INDEX(Input!$L$7:$L1503,ROW()-1),1,0),
        "Y"
      )
      +
      (
        (C929 + IF(INDEX(Input!$L$7:$L1503,ROW()-1),1,0))
        -
        EDATE(
          B929 + IF(INDEX(Input!$K$7:$K1503,ROW()-1),0,1),
          12*DATEDIF(
            B929 + IF(INDEX(Input!$K$7:$K1503,ROW()-1),0,1),
            C929 + IF(INDEX(Input!$L$7:$L1503,ROW()-1),1,0),
            "Y"
          )
        )
      ) / 365,
    "Actual/Actual",
      YEARFRAC(
        B929 + IF(INDEX(Input!$K$7:$K1503,ROW()-1),0,1),
        C929 + IF(INDEX(Input!$L$7:$L1503,ROW()-1),1,0),
        1
      ),
      YEARFRAC(
        B929 + IF(INDEX(Input!$K$7:$K1503,ROW()-1),0,1),
        C929 + IF(INDEX(Input!$L$7:$L1503,ROW()-1),1,0),
        3
      )
  )
)</f>
        <v/>
      </c>
      <c r="S929" s="22" t="str">
        <f t="shared" si="4"/>
        <v/>
      </c>
      <c r="T929" s="6" t="str">
        <f t="array" ref="T929">IF(
  B929="",
  ,
  DATEDIF(
    B929 + IF(INDEX(Input!$K$7:$K1503,ROW()-1),0,1),
    C929 + IF(INDEX(Input!$L$7:$L1503,ROW()-1),1,0),
    "Y"
  )
)</f>
        <v/>
      </c>
      <c r="U929" s="6" t="str">
        <f t="array" ref="U929">IF(
  B929="",
  ,
  (C929 + IF(INDEX(Input!$L$7:$L1503,ROW()-1),1,0))
  - EDATE(
      B929 + IF(INDEX(Input!$K$7:$K1503,ROW()-1),0,1),
      12*S929
    )
)</f>
        <v/>
      </c>
      <c r="V929" s="6" t="str">
        <f t="shared" si="5"/>
        <v/>
      </c>
      <c r="W929" s="6" t="str">
        <f t="shared" si="6"/>
        <v/>
      </c>
    </row>
    <row r="930">
      <c r="A930" s="18"/>
      <c r="B930" s="18"/>
      <c r="C930" s="18"/>
      <c r="D930" s="18"/>
      <c r="E930" s="18"/>
      <c r="F930" s="18"/>
      <c r="G930" s="22"/>
      <c r="H930" s="18"/>
      <c r="I930" s="18">
        <v>0.0</v>
      </c>
      <c r="J930" s="18">
        <v>0.0</v>
      </c>
      <c r="K930" s="18"/>
      <c r="L930" s="18"/>
      <c r="M930" s="22" t="str">
        <f t="shared" si="1"/>
        <v/>
      </c>
      <c r="N930" s="18" t="str">
        <f>IF(A930="",,IF(ROW()=2, Input!$C$2 + I930, P929 + I930))</f>
        <v/>
      </c>
      <c r="O930" s="23" t="str">
        <f>IF(A930="",,
 IF(K930="Initial principal",
   Input!$C$2 * M930,
   N930 * M930
 )
)</f>
        <v/>
      </c>
      <c r="P930" s="18" t="str">
        <f t="shared" si="2"/>
        <v/>
      </c>
      <c r="Q930" s="18" t="str">
        <f t="shared" si="3"/>
        <v/>
      </c>
      <c r="R930" s="18" t="str">
        <f t="array" ref="R930">IF(
  B930="",
  ,
  SWITCH(
    Input!$C$4,
    "Actual/365 Fixed",
      YEARFRAC(
        B930 + IF(INDEX(Input!$K$7:$K1503,ROW()-1),0,1),
        C930 + IF(INDEX(Input!$L$7:$L1503,ROW()-1),1,0),
        3
      ),
    "Anniversary/365",
      DATEDIF(
        B930 + IF(INDEX(Input!$K$7:$K1503,ROW()-1),0,1),
        C930 + IF(INDEX(Input!$L$7:$L1503,ROW()-1),1,0),
        "Y"
      )
      +
      (
        (C930 + IF(INDEX(Input!$L$7:$L1503,ROW()-1),1,0))
        -
        EDATE(
          B930 + IF(INDEX(Input!$K$7:$K1503,ROW()-1),0,1),
          12*DATEDIF(
            B930 + IF(INDEX(Input!$K$7:$K1503,ROW()-1),0,1),
            C930 + IF(INDEX(Input!$L$7:$L1503,ROW()-1),1,0),
            "Y"
          )
        )
      ) / 365,
    "Actual/Actual",
      YEARFRAC(
        B930 + IF(INDEX(Input!$K$7:$K1503,ROW()-1),0,1),
        C930 + IF(INDEX(Input!$L$7:$L1503,ROW()-1),1,0),
        1
      ),
      YEARFRAC(
        B930 + IF(INDEX(Input!$K$7:$K1503,ROW()-1),0,1),
        C930 + IF(INDEX(Input!$L$7:$L1503,ROW()-1),1,0),
        3
      )
  )
)</f>
        <v/>
      </c>
      <c r="S930" s="22" t="str">
        <f t="shared" si="4"/>
        <v/>
      </c>
      <c r="T930" s="6" t="str">
        <f t="array" ref="T930">IF(
  B930="",
  ,
  DATEDIF(
    B930 + IF(INDEX(Input!$K$7:$K1503,ROW()-1),0,1),
    C930 + IF(INDEX(Input!$L$7:$L1503,ROW()-1),1,0),
    "Y"
  )
)</f>
        <v/>
      </c>
      <c r="U930" s="6" t="str">
        <f t="array" ref="U930">IF(
  B930="",
  ,
  (C930 + IF(INDEX(Input!$L$7:$L1503,ROW()-1),1,0))
  - EDATE(
      B930 + IF(INDEX(Input!$K$7:$K1503,ROW()-1),0,1),
      12*S930
    )
)</f>
        <v/>
      </c>
      <c r="V930" s="6" t="str">
        <f t="shared" si="5"/>
        <v/>
      </c>
      <c r="W930" s="6" t="str">
        <f t="shared" si="6"/>
        <v/>
      </c>
    </row>
    <row r="931">
      <c r="A931" s="18"/>
      <c r="B931" s="18"/>
      <c r="C931" s="18"/>
      <c r="D931" s="18"/>
      <c r="E931" s="18"/>
      <c r="F931" s="18"/>
      <c r="G931" s="22"/>
      <c r="H931" s="18"/>
      <c r="I931" s="18">
        <v>0.0</v>
      </c>
      <c r="J931" s="18">
        <v>0.0</v>
      </c>
      <c r="K931" s="18"/>
      <c r="L931" s="18"/>
      <c r="M931" s="22" t="str">
        <f t="shared" si="1"/>
        <v/>
      </c>
      <c r="N931" s="18" t="str">
        <f>IF(A931="",,IF(ROW()=2, Input!$C$2 + I931, P930 + I931))</f>
        <v/>
      </c>
      <c r="O931" s="23" t="str">
        <f>IF(A931="",,
 IF(K931="Initial principal",
   Input!$C$2 * M931,
   N931 * M931
 )
)</f>
        <v/>
      </c>
      <c r="P931" s="18" t="str">
        <f t="shared" si="2"/>
        <v/>
      </c>
      <c r="Q931" s="18" t="str">
        <f t="shared" si="3"/>
        <v/>
      </c>
      <c r="R931" s="18" t="str">
        <f t="array" ref="R931">IF(
  B931="",
  ,
  SWITCH(
    Input!$C$4,
    "Actual/365 Fixed",
      YEARFRAC(
        B931 + IF(INDEX(Input!$K$7:$K1503,ROW()-1),0,1),
        C931 + IF(INDEX(Input!$L$7:$L1503,ROW()-1),1,0),
        3
      ),
    "Anniversary/365",
      DATEDIF(
        B931 + IF(INDEX(Input!$K$7:$K1503,ROW()-1),0,1),
        C931 + IF(INDEX(Input!$L$7:$L1503,ROW()-1),1,0),
        "Y"
      )
      +
      (
        (C931 + IF(INDEX(Input!$L$7:$L1503,ROW()-1),1,0))
        -
        EDATE(
          B931 + IF(INDEX(Input!$K$7:$K1503,ROW()-1),0,1),
          12*DATEDIF(
            B931 + IF(INDEX(Input!$K$7:$K1503,ROW()-1),0,1),
            C931 + IF(INDEX(Input!$L$7:$L1503,ROW()-1),1,0),
            "Y"
          )
        )
      ) / 365,
    "Actual/Actual",
      YEARFRAC(
        B931 + IF(INDEX(Input!$K$7:$K1503,ROW()-1),0,1),
        C931 + IF(INDEX(Input!$L$7:$L1503,ROW()-1),1,0),
        1
      ),
      YEARFRAC(
        B931 + IF(INDEX(Input!$K$7:$K1503,ROW()-1),0,1),
        C931 + IF(INDEX(Input!$L$7:$L1503,ROW()-1),1,0),
        3
      )
  )
)</f>
        <v/>
      </c>
      <c r="S931" s="22" t="str">
        <f t="shared" si="4"/>
        <v/>
      </c>
      <c r="T931" s="6" t="str">
        <f t="array" ref="T931">IF(
  B931="",
  ,
  DATEDIF(
    B931 + IF(INDEX(Input!$K$7:$K1503,ROW()-1),0,1),
    C931 + IF(INDEX(Input!$L$7:$L1503,ROW()-1),1,0),
    "Y"
  )
)</f>
        <v/>
      </c>
      <c r="U931" s="6" t="str">
        <f t="array" ref="U931">IF(
  B931="",
  ,
  (C931 + IF(INDEX(Input!$L$7:$L1503,ROW()-1),1,0))
  - EDATE(
      B931 + IF(INDEX(Input!$K$7:$K1503,ROW()-1),0,1),
      12*S931
    )
)</f>
        <v/>
      </c>
      <c r="V931" s="6" t="str">
        <f t="shared" si="5"/>
        <v/>
      </c>
      <c r="W931" s="6" t="str">
        <f t="shared" si="6"/>
        <v/>
      </c>
    </row>
    <row r="932">
      <c r="A932" s="18"/>
      <c r="B932" s="18"/>
      <c r="C932" s="18"/>
      <c r="D932" s="18"/>
      <c r="E932" s="18"/>
      <c r="F932" s="18"/>
      <c r="G932" s="22"/>
      <c r="H932" s="18"/>
      <c r="I932" s="18">
        <v>0.0</v>
      </c>
      <c r="J932" s="18">
        <v>0.0</v>
      </c>
      <c r="K932" s="18"/>
      <c r="L932" s="18"/>
      <c r="M932" s="22" t="str">
        <f t="shared" si="1"/>
        <v/>
      </c>
      <c r="N932" s="18" t="str">
        <f>IF(A932="",,IF(ROW()=2, Input!$C$2 + I932, P931 + I932))</f>
        <v/>
      </c>
      <c r="O932" s="23" t="str">
        <f>IF(A932="",,
 IF(K932="Initial principal",
   Input!$C$2 * M932,
   N932 * M932
 )
)</f>
        <v/>
      </c>
      <c r="P932" s="18" t="str">
        <f t="shared" si="2"/>
        <v/>
      </c>
      <c r="Q932" s="18" t="str">
        <f t="shared" si="3"/>
        <v/>
      </c>
      <c r="R932" s="18" t="str">
        <f t="array" ref="R932">IF(
  B932="",
  ,
  SWITCH(
    Input!$C$4,
    "Actual/365 Fixed",
      YEARFRAC(
        B932 + IF(INDEX(Input!$K$7:$K1503,ROW()-1),0,1),
        C932 + IF(INDEX(Input!$L$7:$L1503,ROW()-1),1,0),
        3
      ),
    "Anniversary/365",
      DATEDIF(
        B932 + IF(INDEX(Input!$K$7:$K1503,ROW()-1),0,1),
        C932 + IF(INDEX(Input!$L$7:$L1503,ROW()-1),1,0),
        "Y"
      )
      +
      (
        (C932 + IF(INDEX(Input!$L$7:$L1503,ROW()-1),1,0))
        -
        EDATE(
          B932 + IF(INDEX(Input!$K$7:$K1503,ROW()-1),0,1),
          12*DATEDIF(
            B932 + IF(INDEX(Input!$K$7:$K1503,ROW()-1),0,1),
            C932 + IF(INDEX(Input!$L$7:$L1503,ROW()-1),1,0),
            "Y"
          )
        )
      ) / 365,
    "Actual/Actual",
      YEARFRAC(
        B932 + IF(INDEX(Input!$K$7:$K1503,ROW()-1),0,1),
        C932 + IF(INDEX(Input!$L$7:$L1503,ROW()-1),1,0),
        1
      ),
      YEARFRAC(
        B932 + IF(INDEX(Input!$K$7:$K1503,ROW()-1),0,1),
        C932 + IF(INDEX(Input!$L$7:$L1503,ROW()-1),1,0),
        3
      )
  )
)</f>
        <v/>
      </c>
      <c r="S932" s="22" t="str">
        <f t="shared" si="4"/>
        <v/>
      </c>
      <c r="T932" s="6" t="str">
        <f t="array" ref="T932">IF(
  B932="",
  ,
  DATEDIF(
    B932 + IF(INDEX(Input!$K$7:$K1503,ROW()-1),0,1),
    C932 + IF(INDEX(Input!$L$7:$L1503,ROW()-1),1,0),
    "Y"
  )
)</f>
        <v/>
      </c>
      <c r="U932" s="6" t="str">
        <f t="array" ref="U932">IF(
  B932="",
  ,
  (C932 + IF(INDEX(Input!$L$7:$L1503,ROW()-1),1,0))
  - EDATE(
      B932 + IF(INDEX(Input!$K$7:$K1503,ROW()-1),0,1),
      12*S932
    )
)</f>
        <v/>
      </c>
      <c r="V932" s="6" t="str">
        <f t="shared" si="5"/>
        <v/>
      </c>
      <c r="W932" s="6" t="str">
        <f t="shared" si="6"/>
        <v/>
      </c>
    </row>
    <row r="933">
      <c r="A933" s="18"/>
      <c r="B933" s="18"/>
      <c r="C933" s="18"/>
      <c r="D933" s="18"/>
      <c r="E933" s="18"/>
      <c r="F933" s="18"/>
      <c r="G933" s="22"/>
      <c r="H933" s="18"/>
      <c r="I933" s="18">
        <v>0.0</v>
      </c>
      <c r="J933" s="18">
        <v>0.0</v>
      </c>
      <c r="K933" s="18"/>
      <c r="L933" s="18"/>
      <c r="M933" s="22" t="str">
        <f t="shared" si="1"/>
        <v/>
      </c>
      <c r="N933" s="18" t="str">
        <f>IF(A933="",,IF(ROW()=2, Input!$C$2 + I933, P932 + I933))</f>
        <v/>
      </c>
      <c r="O933" s="23" t="str">
        <f>IF(A933="",,
 IF(K933="Initial principal",
   Input!$C$2 * M933,
   N933 * M933
 )
)</f>
        <v/>
      </c>
      <c r="P933" s="18" t="str">
        <f t="shared" si="2"/>
        <v/>
      </c>
      <c r="Q933" s="18" t="str">
        <f t="shared" si="3"/>
        <v/>
      </c>
      <c r="R933" s="18" t="str">
        <f t="array" ref="R933">IF(
  B933="",
  ,
  SWITCH(
    Input!$C$4,
    "Actual/365 Fixed",
      YEARFRAC(
        B933 + IF(INDEX(Input!$K$7:$K1503,ROW()-1),0,1),
        C933 + IF(INDEX(Input!$L$7:$L1503,ROW()-1),1,0),
        3
      ),
    "Anniversary/365",
      DATEDIF(
        B933 + IF(INDEX(Input!$K$7:$K1503,ROW()-1),0,1),
        C933 + IF(INDEX(Input!$L$7:$L1503,ROW()-1),1,0),
        "Y"
      )
      +
      (
        (C933 + IF(INDEX(Input!$L$7:$L1503,ROW()-1),1,0))
        -
        EDATE(
          B933 + IF(INDEX(Input!$K$7:$K1503,ROW()-1),0,1),
          12*DATEDIF(
            B933 + IF(INDEX(Input!$K$7:$K1503,ROW()-1),0,1),
            C933 + IF(INDEX(Input!$L$7:$L1503,ROW()-1),1,0),
            "Y"
          )
        )
      ) / 365,
    "Actual/Actual",
      YEARFRAC(
        B933 + IF(INDEX(Input!$K$7:$K1503,ROW()-1),0,1),
        C933 + IF(INDEX(Input!$L$7:$L1503,ROW()-1),1,0),
        1
      ),
      YEARFRAC(
        B933 + IF(INDEX(Input!$K$7:$K1503,ROW()-1),0,1),
        C933 + IF(INDEX(Input!$L$7:$L1503,ROW()-1),1,0),
        3
      )
  )
)</f>
        <v/>
      </c>
      <c r="S933" s="22" t="str">
        <f t="shared" si="4"/>
        <v/>
      </c>
      <c r="T933" s="6" t="str">
        <f t="array" ref="T933">IF(
  B933="",
  ,
  DATEDIF(
    B933 + IF(INDEX(Input!$K$7:$K1503,ROW()-1),0,1),
    C933 + IF(INDEX(Input!$L$7:$L1503,ROW()-1),1,0),
    "Y"
  )
)</f>
        <v/>
      </c>
      <c r="U933" s="6" t="str">
        <f t="array" ref="U933">IF(
  B933="",
  ,
  (C933 + IF(INDEX(Input!$L$7:$L1503,ROW()-1),1,0))
  - EDATE(
      B933 + IF(INDEX(Input!$K$7:$K1503,ROW()-1),0,1),
      12*S933
    )
)</f>
        <v/>
      </c>
      <c r="V933" s="6" t="str">
        <f t="shared" si="5"/>
        <v/>
      </c>
      <c r="W933" s="6" t="str">
        <f t="shared" si="6"/>
        <v/>
      </c>
    </row>
    <row r="934">
      <c r="A934" s="18"/>
      <c r="B934" s="18"/>
      <c r="C934" s="18"/>
      <c r="D934" s="18"/>
      <c r="E934" s="18"/>
      <c r="F934" s="18"/>
      <c r="G934" s="22"/>
      <c r="H934" s="18"/>
      <c r="I934" s="18">
        <v>0.0</v>
      </c>
      <c r="J934" s="18">
        <v>0.0</v>
      </c>
      <c r="K934" s="18"/>
      <c r="L934" s="18"/>
      <c r="M934" s="22" t="str">
        <f t="shared" si="1"/>
        <v/>
      </c>
      <c r="N934" s="18" t="str">
        <f>IF(A934="",,IF(ROW()=2, Input!$C$2 + I934, P933 + I934))</f>
        <v/>
      </c>
      <c r="O934" s="23" t="str">
        <f>IF(A934="",,
 IF(K934="Initial principal",
   Input!$C$2 * M934,
   N934 * M934
 )
)</f>
        <v/>
      </c>
      <c r="P934" s="18" t="str">
        <f t="shared" si="2"/>
        <v/>
      </c>
      <c r="Q934" s="18" t="str">
        <f t="shared" si="3"/>
        <v/>
      </c>
      <c r="R934" s="18" t="str">
        <f t="array" ref="R934">IF(
  B934="",
  ,
  SWITCH(
    Input!$C$4,
    "Actual/365 Fixed",
      YEARFRAC(
        B934 + IF(INDEX(Input!$K$7:$K1503,ROW()-1),0,1),
        C934 + IF(INDEX(Input!$L$7:$L1503,ROW()-1),1,0),
        3
      ),
    "Anniversary/365",
      DATEDIF(
        B934 + IF(INDEX(Input!$K$7:$K1503,ROW()-1),0,1),
        C934 + IF(INDEX(Input!$L$7:$L1503,ROW()-1),1,0),
        "Y"
      )
      +
      (
        (C934 + IF(INDEX(Input!$L$7:$L1503,ROW()-1),1,0))
        -
        EDATE(
          B934 + IF(INDEX(Input!$K$7:$K1503,ROW()-1),0,1),
          12*DATEDIF(
            B934 + IF(INDEX(Input!$K$7:$K1503,ROW()-1),0,1),
            C934 + IF(INDEX(Input!$L$7:$L1503,ROW()-1),1,0),
            "Y"
          )
        )
      ) / 365,
    "Actual/Actual",
      YEARFRAC(
        B934 + IF(INDEX(Input!$K$7:$K1503,ROW()-1),0,1),
        C934 + IF(INDEX(Input!$L$7:$L1503,ROW()-1),1,0),
        1
      ),
      YEARFRAC(
        B934 + IF(INDEX(Input!$K$7:$K1503,ROW()-1),0,1),
        C934 + IF(INDEX(Input!$L$7:$L1503,ROW()-1),1,0),
        3
      )
  )
)</f>
        <v/>
      </c>
      <c r="S934" s="22" t="str">
        <f t="shared" si="4"/>
        <v/>
      </c>
      <c r="T934" s="6" t="str">
        <f t="array" ref="T934">IF(
  B934="",
  ,
  DATEDIF(
    B934 + IF(INDEX(Input!$K$7:$K1503,ROW()-1),0,1),
    C934 + IF(INDEX(Input!$L$7:$L1503,ROW()-1),1,0),
    "Y"
  )
)</f>
        <v/>
      </c>
      <c r="U934" s="6" t="str">
        <f t="array" ref="U934">IF(
  B934="",
  ,
  (C934 + IF(INDEX(Input!$L$7:$L1503,ROW()-1),1,0))
  - EDATE(
      B934 + IF(INDEX(Input!$K$7:$K1503,ROW()-1),0,1),
      12*S934
    )
)</f>
        <v/>
      </c>
      <c r="V934" s="6" t="str">
        <f t="shared" si="5"/>
        <v/>
      </c>
      <c r="W934" s="6" t="str">
        <f t="shared" si="6"/>
        <v/>
      </c>
    </row>
    <row r="935">
      <c r="A935" s="18"/>
      <c r="B935" s="18"/>
      <c r="C935" s="18"/>
      <c r="D935" s="18"/>
      <c r="E935" s="18"/>
      <c r="F935" s="18"/>
      <c r="G935" s="22"/>
      <c r="H935" s="18"/>
      <c r="I935" s="18">
        <v>0.0</v>
      </c>
      <c r="J935" s="18">
        <v>0.0</v>
      </c>
      <c r="K935" s="18"/>
      <c r="L935" s="18"/>
      <c r="M935" s="22" t="str">
        <f t="shared" si="1"/>
        <v/>
      </c>
      <c r="N935" s="18" t="str">
        <f>IF(A935="",,IF(ROW()=2, Input!$C$2 + I935, P934 + I935))</f>
        <v/>
      </c>
      <c r="O935" s="23" t="str">
        <f>IF(A935="",,
 IF(K935="Initial principal",
   Input!$C$2 * M935,
   N935 * M935
 )
)</f>
        <v/>
      </c>
      <c r="P935" s="18" t="str">
        <f t="shared" si="2"/>
        <v/>
      </c>
      <c r="Q935" s="18" t="str">
        <f t="shared" si="3"/>
        <v/>
      </c>
      <c r="R935" s="18" t="str">
        <f t="array" ref="R935">IF(
  B935="",
  ,
  SWITCH(
    Input!$C$4,
    "Actual/365 Fixed",
      YEARFRAC(
        B935 + IF(INDEX(Input!$K$7:$K1503,ROW()-1),0,1),
        C935 + IF(INDEX(Input!$L$7:$L1503,ROW()-1),1,0),
        3
      ),
    "Anniversary/365",
      DATEDIF(
        B935 + IF(INDEX(Input!$K$7:$K1503,ROW()-1),0,1),
        C935 + IF(INDEX(Input!$L$7:$L1503,ROW()-1),1,0),
        "Y"
      )
      +
      (
        (C935 + IF(INDEX(Input!$L$7:$L1503,ROW()-1),1,0))
        -
        EDATE(
          B935 + IF(INDEX(Input!$K$7:$K1503,ROW()-1),0,1),
          12*DATEDIF(
            B935 + IF(INDEX(Input!$K$7:$K1503,ROW()-1),0,1),
            C935 + IF(INDEX(Input!$L$7:$L1503,ROW()-1),1,0),
            "Y"
          )
        )
      ) / 365,
    "Actual/Actual",
      YEARFRAC(
        B935 + IF(INDEX(Input!$K$7:$K1503,ROW()-1),0,1),
        C935 + IF(INDEX(Input!$L$7:$L1503,ROW()-1),1,0),
        1
      ),
      YEARFRAC(
        B935 + IF(INDEX(Input!$K$7:$K1503,ROW()-1),0,1),
        C935 + IF(INDEX(Input!$L$7:$L1503,ROW()-1),1,0),
        3
      )
  )
)</f>
        <v/>
      </c>
      <c r="S935" s="22" t="str">
        <f t="shared" si="4"/>
        <v/>
      </c>
      <c r="T935" s="6" t="str">
        <f t="array" ref="T935">IF(
  B935="",
  ,
  DATEDIF(
    B935 + IF(INDEX(Input!$K$7:$K1503,ROW()-1),0,1),
    C935 + IF(INDEX(Input!$L$7:$L1503,ROW()-1),1,0),
    "Y"
  )
)</f>
        <v/>
      </c>
      <c r="U935" s="6" t="str">
        <f t="array" ref="U935">IF(
  B935="",
  ,
  (C935 + IF(INDEX(Input!$L$7:$L1503,ROW()-1),1,0))
  - EDATE(
      B935 + IF(INDEX(Input!$K$7:$K1503,ROW()-1),0,1),
      12*S935
    )
)</f>
        <v/>
      </c>
      <c r="V935" s="6" t="str">
        <f t="shared" si="5"/>
        <v/>
      </c>
      <c r="W935" s="6" t="str">
        <f t="shared" si="6"/>
        <v/>
      </c>
    </row>
    <row r="936">
      <c r="A936" s="18"/>
      <c r="B936" s="18"/>
      <c r="C936" s="18"/>
      <c r="D936" s="18"/>
      <c r="E936" s="18"/>
      <c r="F936" s="18"/>
      <c r="G936" s="22"/>
      <c r="H936" s="18"/>
      <c r="I936" s="18">
        <v>0.0</v>
      </c>
      <c r="J936" s="18">
        <v>0.0</v>
      </c>
      <c r="K936" s="18"/>
      <c r="L936" s="18"/>
      <c r="M936" s="22" t="str">
        <f t="shared" si="1"/>
        <v/>
      </c>
      <c r="N936" s="18" t="str">
        <f>IF(A936="",,IF(ROW()=2, Input!$C$2 + I936, P935 + I936))</f>
        <v/>
      </c>
      <c r="O936" s="23" t="str">
        <f>IF(A936="",,
 IF(K936="Initial principal",
   Input!$C$2 * M936,
   N936 * M936
 )
)</f>
        <v/>
      </c>
      <c r="P936" s="18" t="str">
        <f t="shared" si="2"/>
        <v/>
      </c>
      <c r="Q936" s="18" t="str">
        <f t="shared" si="3"/>
        <v/>
      </c>
      <c r="R936" s="18" t="str">
        <f t="array" ref="R936">IF(
  B936="",
  ,
  SWITCH(
    Input!$C$4,
    "Actual/365 Fixed",
      YEARFRAC(
        B936 + IF(INDEX(Input!$K$7:$K1503,ROW()-1),0,1),
        C936 + IF(INDEX(Input!$L$7:$L1503,ROW()-1),1,0),
        3
      ),
    "Anniversary/365",
      DATEDIF(
        B936 + IF(INDEX(Input!$K$7:$K1503,ROW()-1),0,1),
        C936 + IF(INDEX(Input!$L$7:$L1503,ROW()-1),1,0),
        "Y"
      )
      +
      (
        (C936 + IF(INDEX(Input!$L$7:$L1503,ROW()-1),1,0))
        -
        EDATE(
          B936 + IF(INDEX(Input!$K$7:$K1503,ROW()-1),0,1),
          12*DATEDIF(
            B936 + IF(INDEX(Input!$K$7:$K1503,ROW()-1),0,1),
            C936 + IF(INDEX(Input!$L$7:$L1503,ROW()-1),1,0),
            "Y"
          )
        )
      ) / 365,
    "Actual/Actual",
      YEARFRAC(
        B936 + IF(INDEX(Input!$K$7:$K1503,ROW()-1),0,1),
        C936 + IF(INDEX(Input!$L$7:$L1503,ROW()-1),1,0),
        1
      ),
      YEARFRAC(
        B936 + IF(INDEX(Input!$K$7:$K1503,ROW()-1),0,1),
        C936 + IF(INDEX(Input!$L$7:$L1503,ROW()-1),1,0),
        3
      )
  )
)</f>
        <v/>
      </c>
      <c r="S936" s="22" t="str">
        <f t="shared" si="4"/>
        <v/>
      </c>
      <c r="T936" s="6" t="str">
        <f t="array" ref="T936">IF(
  B936="",
  ,
  DATEDIF(
    B936 + IF(INDEX(Input!$K$7:$K1503,ROW()-1),0,1),
    C936 + IF(INDEX(Input!$L$7:$L1503,ROW()-1),1,0),
    "Y"
  )
)</f>
        <v/>
      </c>
      <c r="U936" s="6" t="str">
        <f t="array" ref="U936">IF(
  B936="",
  ,
  (C936 + IF(INDEX(Input!$L$7:$L1503,ROW()-1),1,0))
  - EDATE(
      B936 + IF(INDEX(Input!$K$7:$K1503,ROW()-1),0,1),
      12*S936
    )
)</f>
        <v/>
      </c>
      <c r="V936" s="6" t="str">
        <f t="shared" si="5"/>
        <v/>
      </c>
      <c r="W936" s="6" t="str">
        <f t="shared" si="6"/>
        <v/>
      </c>
    </row>
    <row r="937">
      <c r="A937" s="18"/>
      <c r="B937" s="18"/>
      <c r="C937" s="18"/>
      <c r="D937" s="18"/>
      <c r="E937" s="18"/>
      <c r="F937" s="18"/>
      <c r="G937" s="22"/>
      <c r="H937" s="18"/>
      <c r="I937" s="18">
        <v>0.0</v>
      </c>
      <c r="J937" s="18">
        <v>0.0</v>
      </c>
      <c r="K937" s="18"/>
      <c r="L937" s="18"/>
      <c r="M937" s="22" t="str">
        <f t="shared" si="1"/>
        <v/>
      </c>
      <c r="N937" s="18" t="str">
        <f>IF(A937="",,IF(ROW()=2, Input!$C$2 + I937, P936 + I937))</f>
        <v/>
      </c>
      <c r="O937" s="23" t="str">
        <f>IF(A937="",,
 IF(K937="Initial principal",
   Input!$C$2 * M937,
   N937 * M937
 )
)</f>
        <v/>
      </c>
      <c r="P937" s="18" t="str">
        <f t="shared" si="2"/>
        <v/>
      </c>
      <c r="Q937" s="18" t="str">
        <f t="shared" si="3"/>
        <v/>
      </c>
      <c r="R937" s="18" t="str">
        <f t="array" ref="R937">IF(
  B937="",
  ,
  SWITCH(
    Input!$C$4,
    "Actual/365 Fixed",
      YEARFRAC(
        B937 + IF(INDEX(Input!$K$7:$K1503,ROW()-1),0,1),
        C937 + IF(INDEX(Input!$L$7:$L1503,ROW()-1),1,0),
        3
      ),
    "Anniversary/365",
      DATEDIF(
        B937 + IF(INDEX(Input!$K$7:$K1503,ROW()-1),0,1),
        C937 + IF(INDEX(Input!$L$7:$L1503,ROW()-1),1,0),
        "Y"
      )
      +
      (
        (C937 + IF(INDEX(Input!$L$7:$L1503,ROW()-1),1,0))
        -
        EDATE(
          B937 + IF(INDEX(Input!$K$7:$K1503,ROW()-1),0,1),
          12*DATEDIF(
            B937 + IF(INDEX(Input!$K$7:$K1503,ROW()-1),0,1),
            C937 + IF(INDEX(Input!$L$7:$L1503,ROW()-1),1,0),
            "Y"
          )
        )
      ) / 365,
    "Actual/Actual",
      YEARFRAC(
        B937 + IF(INDEX(Input!$K$7:$K1503,ROW()-1),0,1),
        C937 + IF(INDEX(Input!$L$7:$L1503,ROW()-1),1,0),
        1
      ),
      YEARFRAC(
        B937 + IF(INDEX(Input!$K$7:$K1503,ROW()-1),0,1),
        C937 + IF(INDEX(Input!$L$7:$L1503,ROW()-1),1,0),
        3
      )
  )
)</f>
        <v/>
      </c>
      <c r="S937" s="22" t="str">
        <f t="shared" si="4"/>
        <v/>
      </c>
      <c r="T937" s="6" t="str">
        <f t="array" ref="T937">IF(
  B937="",
  ,
  DATEDIF(
    B937 + IF(INDEX(Input!$K$7:$K1503,ROW()-1),0,1),
    C937 + IF(INDEX(Input!$L$7:$L1503,ROW()-1),1,0),
    "Y"
  )
)</f>
        <v/>
      </c>
      <c r="U937" s="6" t="str">
        <f t="array" ref="U937">IF(
  B937="",
  ,
  (C937 + IF(INDEX(Input!$L$7:$L1503,ROW()-1),1,0))
  - EDATE(
      B937 + IF(INDEX(Input!$K$7:$K1503,ROW()-1),0,1),
      12*S937
    )
)</f>
        <v/>
      </c>
      <c r="V937" s="6" t="str">
        <f t="shared" si="5"/>
        <v/>
      </c>
      <c r="W937" s="6" t="str">
        <f t="shared" si="6"/>
        <v/>
      </c>
    </row>
    <row r="938">
      <c r="A938" s="18"/>
      <c r="B938" s="18"/>
      <c r="C938" s="18"/>
      <c r="D938" s="18"/>
      <c r="E938" s="18"/>
      <c r="F938" s="18"/>
      <c r="G938" s="22"/>
      <c r="H938" s="18"/>
      <c r="I938" s="18">
        <v>0.0</v>
      </c>
      <c r="J938" s="18">
        <v>0.0</v>
      </c>
      <c r="K938" s="18"/>
      <c r="L938" s="18"/>
      <c r="M938" s="22" t="str">
        <f t="shared" si="1"/>
        <v/>
      </c>
      <c r="N938" s="18" t="str">
        <f>IF(A938="",,IF(ROW()=2, Input!$C$2 + I938, P937 + I938))</f>
        <v/>
      </c>
      <c r="O938" s="23" t="str">
        <f>IF(A938="",,
 IF(K938="Initial principal",
   Input!$C$2 * M938,
   N938 * M938
 )
)</f>
        <v/>
      </c>
      <c r="P938" s="18" t="str">
        <f t="shared" si="2"/>
        <v/>
      </c>
      <c r="Q938" s="18" t="str">
        <f t="shared" si="3"/>
        <v/>
      </c>
      <c r="R938" s="18" t="str">
        <f t="array" ref="R938">IF(
  B938="",
  ,
  SWITCH(
    Input!$C$4,
    "Actual/365 Fixed",
      YEARFRAC(
        B938 + IF(INDEX(Input!$K$7:$K1503,ROW()-1),0,1),
        C938 + IF(INDEX(Input!$L$7:$L1503,ROW()-1),1,0),
        3
      ),
    "Anniversary/365",
      DATEDIF(
        B938 + IF(INDEX(Input!$K$7:$K1503,ROW()-1),0,1),
        C938 + IF(INDEX(Input!$L$7:$L1503,ROW()-1),1,0),
        "Y"
      )
      +
      (
        (C938 + IF(INDEX(Input!$L$7:$L1503,ROW()-1),1,0))
        -
        EDATE(
          B938 + IF(INDEX(Input!$K$7:$K1503,ROW()-1),0,1),
          12*DATEDIF(
            B938 + IF(INDEX(Input!$K$7:$K1503,ROW()-1),0,1),
            C938 + IF(INDEX(Input!$L$7:$L1503,ROW()-1),1,0),
            "Y"
          )
        )
      ) / 365,
    "Actual/Actual",
      YEARFRAC(
        B938 + IF(INDEX(Input!$K$7:$K1503,ROW()-1),0,1),
        C938 + IF(INDEX(Input!$L$7:$L1503,ROW()-1),1,0),
        1
      ),
      YEARFRAC(
        B938 + IF(INDEX(Input!$K$7:$K1503,ROW()-1),0,1),
        C938 + IF(INDEX(Input!$L$7:$L1503,ROW()-1),1,0),
        3
      )
  )
)</f>
        <v/>
      </c>
      <c r="S938" s="22" t="str">
        <f t="shared" si="4"/>
        <v/>
      </c>
      <c r="T938" s="6" t="str">
        <f t="array" ref="T938">IF(
  B938="",
  ,
  DATEDIF(
    B938 + IF(INDEX(Input!$K$7:$K1503,ROW()-1),0,1),
    C938 + IF(INDEX(Input!$L$7:$L1503,ROW()-1),1,0),
    "Y"
  )
)</f>
        <v/>
      </c>
      <c r="U938" s="6" t="str">
        <f t="array" ref="U938">IF(
  B938="",
  ,
  (C938 + IF(INDEX(Input!$L$7:$L1503,ROW()-1),1,0))
  - EDATE(
      B938 + IF(INDEX(Input!$K$7:$K1503,ROW()-1),0,1),
      12*S938
    )
)</f>
        <v/>
      </c>
      <c r="V938" s="6" t="str">
        <f t="shared" si="5"/>
        <v/>
      </c>
      <c r="W938" s="6" t="str">
        <f t="shared" si="6"/>
        <v/>
      </c>
    </row>
    <row r="939">
      <c r="A939" s="18"/>
      <c r="B939" s="18"/>
      <c r="C939" s="18"/>
      <c r="D939" s="18"/>
      <c r="E939" s="18"/>
      <c r="F939" s="18"/>
      <c r="G939" s="22"/>
      <c r="H939" s="18"/>
      <c r="I939" s="18">
        <v>0.0</v>
      </c>
      <c r="J939" s="18">
        <v>0.0</v>
      </c>
      <c r="K939" s="18"/>
      <c r="L939" s="18"/>
      <c r="M939" s="22" t="str">
        <f t="shared" si="1"/>
        <v/>
      </c>
      <c r="N939" s="18" t="str">
        <f>IF(A939="",,IF(ROW()=2, Input!$C$2 + I939, P938 + I939))</f>
        <v/>
      </c>
      <c r="O939" s="23" t="str">
        <f>IF(A939="",,
 IF(K939="Initial principal",
   Input!$C$2 * M939,
   N939 * M939
 )
)</f>
        <v/>
      </c>
      <c r="P939" s="18" t="str">
        <f t="shared" si="2"/>
        <v/>
      </c>
      <c r="Q939" s="18" t="str">
        <f t="shared" si="3"/>
        <v/>
      </c>
      <c r="R939" s="18" t="str">
        <f t="array" ref="R939">IF(
  B939="",
  ,
  SWITCH(
    Input!$C$4,
    "Actual/365 Fixed",
      YEARFRAC(
        B939 + IF(INDEX(Input!$K$7:$K1503,ROW()-1),0,1),
        C939 + IF(INDEX(Input!$L$7:$L1503,ROW()-1),1,0),
        3
      ),
    "Anniversary/365",
      DATEDIF(
        B939 + IF(INDEX(Input!$K$7:$K1503,ROW()-1),0,1),
        C939 + IF(INDEX(Input!$L$7:$L1503,ROW()-1),1,0),
        "Y"
      )
      +
      (
        (C939 + IF(INDEX(Input!$L$7:$L1503,ROW()-1),1,0))
        -
        EDATE(
          B939 + IF(INDEX(Input!$K$7:$K1503,ROW()-1),0,1),
          12*DATEDIF(
            B939 + IF(INDEX(Input!$K$7:$K1503,ROW()-1),0,1),
            C939 + IF(INDEX(Input!$L$7:$L1503,ROW()-1),1,0),
            "Y"
          )
        )
      ) / 365,
    "Actual/Actual",
      YEARFRAC(
        B939 + IF(INDEX(Input!$K$7:$K1503,ROW()-1),0,1),
        C939 + IF(INDEX(Input!$L$7:$L1503,ROW()-1),1,0),
        1
      ),
      YEARFRAC(
        B939 + IF(INDEX(Input!$K$7:$K1503,ROW()-1),0,1),
        C939 + IF(INDEX(Input!$L$7:$L1503,ROW()-1),1,0),
        3
      )
  )
)</f>
        <v/>
      </c>
      <c r="S939" s="22" t="str">
        <f t="shared" si="4"/>
        <v/>
      </c>
      <c r="T939" s="6" t="str">
        <f t="array" ref="T939">IF(
  B939="",
  ,
  DATEDIF(
    B939 + IF(INDEX(Input!$K$7:$K1503,ROW()-1),0,1),
    C939 + IF(INDEX(Input!$L$7:$L1503,ROW()-1),1,0),
    "Y"
  )
)</f>
        <v/>
      </c>
      <c r="U939" s="6" t="str">
        <f t="array" ref="U939">IF(
  B939="",
  ,
  (C939 + IF(INDEX(Input!$L$7:$L1503,ROW()-1),1,0))
  - EDATE(
      B939 + IF(INDEX(Input!$K$7:$K1503,ROW()-1),0,1),
      12*S939
    )
)</f>
        <v/>
      </c>
      <c r="V939" s="6" t="str">
        <f t="shared" si="5"/>
        <v/>
      </c>
      <c r="W939" s="6" t="str">
        <f t="shared" si="6"/>
        <v/>
      </c>
    </row>
    <row r="940">
      <c r="A940" s="18"/>
      <c r="B940" s="18"/>
      <c r="C940" s="18"/>
      <c r="D940" s="18"/>
      <c r="E940" s="18"/>
      <c r="F940" s="18"/>
      <c r="G940" s="22"/>
      <c r="H940" s="18"/>
      <c r="I940" s="18">
        <v>0.0</v>
      </c>
      <c r="J940" s="18">
        <v>0.0</v>
      </c>
      <c r="K940" s="18"/>
      <c r="L940" s="18"/>
      <c r="M940" s="22" t="str">
        <f t="shared" si="1"/>
        <v/>
      </c>
      <c r="N940" s="18" t="str">
        <f>IF(A940="",,IF(ROW()=2, Input!$C$2 + I940, P939 + I940))</f>
        <v/>
      </c>
      <c r="O940" s="23" t="str">
        <f>IF(A940="",,
 IF(K940="Initial principal",
   Input!$C$2 * M940,
   N940 * M940
 )
)</f>
        <v/>
      </c>
      <c r="P940" s="18" t="str">
        <f t="shared" si="2"/>
        <v/>
      </c>
      <c r="Q940" s="18" t="str">
        <f t="shared" si="3"/>
        <v/>
      </c>
      <c r="R940" s="18" t="str">
        <f t="array" ref="R940">IF(
  B940="",
  ,
  SWITCH(
    Input!$C$4,
    "Actual/365 Fixed",
      YEARFRAC(
        B940 + IF(INDEX(Input!$K$7:$K1503,ROW()-1),0,1),
        C940 + IF(INDEX(Input!$L$7:$L1503,ROW()-1),1,0),
        3
      ),
    "Anniversary/365",
      DATEDIF(
        B940 + IF(INDEX(Input!$K$7:$K1503,ROW()-1),0,1),
        C940 + IF(INDEX(Input!$L$7:$L1503,ROW()-1),1,0),
        "Y"
      )
      +
      (
        (C940 + IF(INDEX(Input!$L$7:$L1503,ROW()-1),1,0))
        -
        EDATE(
          B940 + IF(INDEX(Input!$K$7:$K1503,ROW()-1),0,1),
          12*DATEDIF(
            B940 + IF(INDEX(Input!$K$7:$K1503,ROW()-1),0,1),
            C940 + IF(INDEX(Input!$L$7:$L1503,ROW()-1),1,0),
            "Y"
          )
        )
      ) / 365,
    "Actual/Actual",
      YEARFRAC(
        B940 + IF(INDEX(Input!$K$7:$K1503,ROW()-1),0,1),
        C940 + IF(INDEX(Input!$L$7:$L1503,ROW()-1),1,0),
        1
      ),
      YEARFRAC(
        B940 + IF(INDEX(Input!$K$7:$K1503,ROW()-1),0,1),
        C940 + IF(INDEX(Input!$L$7:$L1503,ROW()-1),1,0),
        3
      )
  )
)</f>
        <v/>
      </c>
      <c r="S940" s="22" t="str">
        <f t="shared" si="4"/>
        <v/>
      </c>
      <c r="T940" s="6" t="str">
        <f t="array" ref="T940">IF(
  B940="",
  ,
  DATEDIF(
    B940 + IF(INDEX(Input!$K$7:$K1503,ROW()-1),0,1),
    C940 + IF(INDEX(Input!$L$7:$L1503,ROW()-1),1,0),
    "Y"
  )
)</f>
        <v/>
      </c>
      <c r="U940" s="6" t="str">
        <f t="array" ref="U940">IF(
  B940="",
  ,
  (C940 + IF(INDEX(Input!$L$7:$L1503,ROW()-1),1,0))
  - EDATE(
      B940 + IF(INDEX(Input!$K$7:$K1503,ROW()-1),0,1),
      12*S940
    )
)</f>
        <v/>
      </c>
      <c r="V940" s="6" t="str">
        <f t="shared" si="5"/>
        <v/>
      </c>
      <c r="W940" s="6" t="str">
        <f t="shared" si="6"/>
        <v/>
      </c>
    </row>
    <row r="941">
      <c r="A941" s="18"/>
      <c r="B941" s="18"/>
      <c r="C941" s="18"/>
      <c r="D941" s="18"/>
      <c r="E941" s="18"/>
      <c r="F941" s="18"/>
      <c r="G941" s="22"/>
      <c r="H941" s="18"/>
      <c r="I941" s="18">
        <v>0.0</v>
      </c>
      <c r="J941" s="18">
        <v>0.0</v>
      </c>
      <c r="K941" s="18"/>
      <c r="L941" s="18"/>
      <c r="M941" s="22" t="str">
        <f t="shared" si="1"/>
        <v/>
      </c>
      <c r="N941" s="18" t="str">
        <f>IF(A941="",,IF(ROW()=2, Input!$C$2 + I941, P940 + I941))</f>
        <v/>
      </c>
      <c r="O941" s="23" t="str">
        <f>IF(A941="",,
 IF(K941="Initial principal",
   Input!$C$2 * M941,
   N941 * M941
 )
)</f>
        <v/>
      </c>
      <c r="P941" s="18" t="str">
        <f t="shared" si="2"/>
        <v/>
      </c>
      <c r="Q941" s="18" t="str">
        <f t="shared" si="3"/>
        <v/>
      </c>
      <c r="R941" s="18" t="str">
        <f t="array" ref="R941">IF(
  B941="",
  ,
  SWITCH(
    Input!$C$4,
    "Actual/365 Fixed",
      YEARFRAC(
        B941 + IF(INDEX(Input!$K$7:$K1503,ROW()-1),0,1),
        C941 + IF(INDEX(Input!$L$7:$L1503,ROW()-1),1,0),
        3
      ),
    "Anniversary/365",
      DATEDIF(
        B941 + IF(INDEX(Input!$K$7:$K1503,ROW()-1),0,1),
        C941 + IF(INDEX(Input!$L$7:$L1503,ROW()-1),1,0),
        "Y"
      )
      +
      (
        (C941 + IF(INDEX(Input!$L$7:$L1503,ROW()-1),1,0))
        -
        EDATE(
          B941 + IF(INDEX(Input!$K$7:$K1503,ROW()-1),0,1),
          12*DATEDIF(
            B941 + IF(INDEX(Input!$K$7:$K1503,ROW()-1),0,1),
            C941 + IF(INDEX(Input!$L$7:$L1503,ROW()-1),1,0),
            "Y"
          )
        )
      ) / 365,
    "Actual/Actual",
      YEARFRAC(
        B941 + IF(INDEX(Input!$K$7:$K1503,ROW()-1),0,1),
        C941 + IF(INDEX(Input!$L$7:$L1503,ROW()-1),1,0),
        1
      ),
      YEARFRAC(
        B941 + IF(INDEX(Input!$K$7:$K1503,ROW()-1),0,1),
        C941 + IF(INDEX(Input!$L$7:$L1503,ROW()-1),1,0),
        3
      )
  )
)</f>
        <v/>
      </c>
      <c r="S941" s="22" t="str">
        <f t="shared" si="4"/>
        <v/>
      </c>
      <c r="T941" s="6" t="str">
        <f t="array" ref="T941">IF(
  B941="",
  ,
  DATEDIF(
    B941 + IF(INDEX(Input!$K$7:$K1503,ROW()-1),0,1),
    C941 + IF(INDEX(Input!$L$7:$L1503,ROW()-1),1,0),
    "Y"
  )
)</f>
        <v/>
      </c>
      <c r="U941" s="6" t="str">
        <f t="array" ref="U941">IF(
  B941="",
  ,
  (C941 + IF(INDEX(Input!$L$7:$L1503,ROW()-1),1,0))
  - EDATE(
      B941 + IF(INDEX(Input!$K$7:$K1503,ROW()-1),0,1),
      12*S941
    )
)</f>
        <v/>
      </c>
      <c r="V941" s="6" t="str">
        <f t="shared" si="5"/>
        <v/>
      </c>
      <c r="W941" s="6" t="str">
        <f t="shared" si="6"/>
        <v/>
      </c>
    </row>
    <row r="942">
      <c r="A942" s="18"/>
      <c r="B942" s="18"/>
      <c r="C942" s="18"/>
      <c r="D942" s="18"/>
      <c r="E942" s="18"/>
      <c r="F942" s="18"/>
      <c r="G942" s="22"/>
      <c r="H942" s="18"/>
      <c r="I942" s="18">
        <v>0.0</v>
      </c>
      <c r="J942" s="18">
        <v>0.0</v>
      </c>
      <c r="K942" s="18"/>
      <c r="L942" s="18"/>
      <c r="M942" s="22" t="str">
        <f t="shared" si="1"/>
        <v/>
      </c>
      <c r="N942" s="18" t="str">
        <f>IF(A942="",,IF(ROW()=2, Input!$C$2 + I942, P941 + I942))</f>
        <v/>
      </c>
      <c r="O942" s="23" t="str">
        <f>IF(A942="",,
 IF(K942="Initial principal",
   Input!$C$2 * M942,
   N942 * M942
 )
)</f>
        <v/>
      </c>
      <c r="P942" s="18" t="str">
        <f t="shared" si="2"/>
        <v/>
      </c>
      <c r="Q942" s="18" t="str">
        <f t="shared" si="3"/>
        <v/>
      </c>
      <c r="R942" s="18" t="str">
        <f t="array" ref="R942">IF(
  B942="",
  ,
  SWITCH(
    Input!$C$4,
    "Actual/365 Fixed",
      YEARFRAC(
        B942 + IF(INDEX(Input!$K$7:$K1503,ROW()-1),0,1),
        C942 + IF(INDEX(Input!$L$7:$L1503,ROW()-1),1,0),
        3
      ),
    "Anniversary/365",
      DATEDIF(
        B942 + IF(INDEX(Input!$K$7:$K1503,ROW()-1),0,1),
        C942 + IF(INDEX(Input!$L$7:$L1503,ROW()-1),1,0),
        "Y"
      )
      +
      (
        (C942 + IF(INDEX(Input!$L$7:$L1503,ROW()-1),1,0))
        -
        EDATE(
          B942 + IF(INDEX(Input!$K$7:$K1503,ROW()-1),0,1),
          12*DATEDIF(
            B942 + IF(INDEX(Input!$K$7:$K1503,ROW()-1),0,1),
            C942 + IF(INDEX(Input!$L$7:$L1503,ROW()-1),1,0),
            "Y"
          )
        )
      ) / 365,
    "Actual/Actual",
      YEARFRAC(
        B942 + IF(INDEX(Input!$K$7:$K1503,ROW()-1),0,1),
        C942 + IF(INDEX(Input!$L$7:$L1503,ROW()-1),1,0),
        1
      ),
      YEARFRAC(
        B942 + IF(INDEX(Input!$K$7:$K1503,ROW()-1),0,1),
        C942 + IF(INDEX(Input!$L$7:$L1503,ROW()-1),1,0),
        3
      )
  )
)</f>
        <v/>
      </c>
      <c r="S942" s="22" t="str">
        <f t="shared" si="4"/>
        <v/>
      </c>
      <c r="T942" s="6" t="str">
        <f t="array" ref="T942">IF(
  B942="",
  ,
  DATEDIF(
    B942 + IF(INDEX(Input!$K$7:$K1503,ROW()-1),0,1),
    C942 + IF(INDEX(Input!$L$7:$L1503,ROW()-1),1,0),
    "Y"
  )
)</f>
        <v/>
      </c>
      <c r="U942" s="6" t="str">
        <f t="array" ref="U942">IF(
  B942="",
  ,
  (C942 + IF(INDEX(Input!$L$7:$L1503,ROW()-1),1,0))
  - EDATE(
      B942 + IF(INDEX(Input!$K$7:$K1503,ROW()-1),0,1),
      12*S942
    )
)</f>
        <v/>
      </c>
      <c r="V942" s="6" t="str">
        <f t="shared" si="5"/>
        <v/>
      </c>
      <c r="W942" s="6" t="str">
        <f t="shared" si="6"/>
        <v/>
      </c>
    </row>
    <row r="943">
      <c r="A943" s="18"/>
      <c r="B943" s="18"/>
      <c r="C943" s="18"/>
      <c r="D943" s="18"/>
      <c r="E943" s="18"/>
      <c r="F943" s="18"/>
      <c r="G943" s="22"/>
      <c r="H943" s="18"/>
      <c r="I943" s="18">
        <v>0.0</v>
      </c>
      <c r="J943" s="18">
        <v>0.0</v>
      </c>
      <c r="K943" s="18"/>
      <c r="L943" s="18"/>
      <c r="M943" s="22" t="str">
        <f t="shared" si="1"/>
        <v/>
      </c>
      <c r="N943" s="18" t="str">
        <f>IF(A943="",,IF(ROW()=2, Input!$C$2 + I943, P942 + I943))</f>
        <v/>
      </c>
      <c r="O943" s="23" t="str">
        <f>IF(A943="",,
 IF(K943="Initial principal",
   Input!$C$2 * M943,
   N943 * M943
 )
)</f>
        <v/>
      </c>
      <c r="P943" s="18" t="str">
        <f t="shared" si="2"/>
        <v/>
      </c>
      <c r="Q943" s="18" t="str">
        <f t="shared" si="3"/>
        <v/>
      </c>
      <c r="R943" s="18" t="str">
        <f t="array" ref="R943">IF(
  B943="",
  ,
  SWITCH(
    Input!$C$4,
    "Actual/365 Fixed",
      YEARFRAC(
        B943 + IF(INDEX(Input!$K$7:$K1503,ROW()-1),0,1),
        C943 + IF(INDEX(Input!$L$7:$L1503,ROW()-1),1,0),
        3
      ),
    "Anniversary/365",
      DATEDIF(
        B943 + IF(INDEX(Input!$K$7:$K1503,ROW()-1),0,1),
        C943 + IF(INDEX(Input!$L$7:$L1503,ROW()-1),1,0),
        "Y"
      )
      +
      (
        (C943 + IF(INDEX(Input!$L$7:$L1503,ROW()-1),1,0))
        -
        EDATE(
          B943 + IF(INDEX(Input!$K$7:$K1503,ROW()-1),0,1),
          12*DATEDIF(
            B943 + IF(INDEX(Input!$K$7:$K1503,ROW()-1),0,1),
            C943 + IF(INDEX(Input!$L$7:$L1503,ROW()-1),1,0),
            "Y"
          )
        )
      ) / 365,
    "Actual/Actual",
      YEARFRAC(
        B943 + IF(INDEX(Input!$K$7:$K1503,ROW()-1),0,1),
        C943 + IF(INDEX(Input!$L$7:$L1503,ROW()-1),1,0),
        1
      ),
      YEARFRAC(
        B943 + IF(INDEX(Input!$K$7:$K1503,ROW()-1),0,1),
        C943 + IF(INDEX(Input!$L$7:$L1503,ROW()-1),1,0),
        3
      )
  )
)</f>
        <v/>
      </c>
      <c r="S943" s="22" t="str">
        <f t="shared" si="4"/>
        <v/>
      </c>
      <c r="T943" s="6" t="str">
        <f t="array" ref="T943">IF(
  B943="",
  ,
  DATEDIF(
    B943 + IF(INDEX(Input!$K$7:$K1503,ROW()-1),0,1),
    C943 + IF(INDEX(Input!$L$7:$L1503,ROW()-1),1,0),
    "Y"
  )
)</f>
        <v/>
      </c>
      <c r="U943" s="6" t="str">
        <f t="array" ref="U943">IF(
  B943="",
  ,
  (C943 + IF(INDEX(Input!$L$7:$L1503,ROW()-1),1,0))
  - EDATE(
      B943 + IF(INDEX(Input!$K$7:$K1503,ROW()-1),0,1),
      12*S943
    )
)</f>
        <v/>
      </c>
      <c r="V943" s="6" t="str">
        <f t="shared" si="5"/>
        <v/>
      </c>
      <c r="W943" s="6" t="str">
        <f t="shared" si="6"/>
        <v/>
      </c>
    </row>
    <row r="944">
      <c r="A944" s="18"/>
      <c r="B944" s="18"/>
      <c r="C944" s="18"/>
      <c r="D944" s="18"/>
      <c r="E944" s="18"/>
      <c r="F944" s="18"/>
      <c r="G944" s="22"/>
      <c r="H944" s="18"/>
      <c r="I944" s="18">
        <v>0.0</v>
      </c>
      <c r="J944" s="18">
        <v>0.0</v>
      </c>
      <c r="K944" s="18"/>
      <c r="L944" s="18"/>
      <c r="M944" s="22" t="str">
        <f t="shared" si="1"/>
        <v/>
      </c>
      <c r="N944" s="18" t="str">
        <f>IF(A944="",,IF(ROW()=2, Input!$C$2 + I944, P943 + I944))</f>
        <v/>
      </c>
      <c r="O944" s="23" t="str">
        <f>IF(A944="",,
 IF(K944="Initial principal",
   Input!$C$2 * M944,
   N944 * M944
 )
)</f>
        <v/>
      </c>
      <c r="P944" s="18" t="str">
        <f t="shared" si="2"/>
        <v/>
      </c>
      <c r="Q944" s="18" t="str">
        <f t="shared" si="3"/>
        <v/>
      </c>
      <c r="R944" s="18" t="str">
        <f t="array" ref="R944">IF(
  B944="",
  ,
  SWITCH(
    Input!$C$4,
    "Actual/365 Fixed",
      YEARFRAC(
        B944 + IF(INDEX(Input!$K$7:$K1503,ROW()-1),0,1),
        C944 + IF(INDEX(Input!$L$7:$L1503,ROW()-1),1,0),
        3
      ),
    "Anniversary/365",
      DATEDIF(
        B944 + IF(INDEX(Input!$K$7:$K1503,ROW()-1),0,1),
        C944 + IF(INDEX(Input!$L$7:$L1503,ROW()-1),1,0),
        "Y"
      )
      +
      (
        (C944 + IF(INDEX(Input!$L$7:$L1503,ROW()-1),1,0))
        -
        EDATE(
          B944 + IF(INDEX(Input!$K$7:$K1503,ROW()-1),0,1),
          12*DATEDIF(
            B944 + IF(INDEX(Input!$K$7:$K1503,ROW()-1),0,1),
            C944 + IF(INDEX(Input!$L$7:$L1503,ROW()-1),1,0),
            "Y"
          )
        )
      ) / 365,
    "Actual/Actual",
      YEARFRAC(
        B944 + IF(INDEX(Input!$K$7:$K1503,ROW()-1),0,1),
        C944 + IF(INDEX(Input!$L$7:$L1503,ROW()-1),1,0),
        1
      ),
      YEARFRAC(
        B944 + IF(INDEX(Input!$K$7:$K1503,ROW()-1),0,1),
        C944 + IF(INDEX(Input!$L$7:$L1503,ROW()-1),1,0),
        3
      )
  )
)</f>
        <v/>
      </c>
      <c r="S944" s="22" t="str">
        <f t="shared" si="4"/>
        <v/>
      </c>
      <c r="T944" s="6" t="str">
        <f t="array" ref="T944">IF(
  B944="",
  ,
  DATEDIF(
    B944 + IF(INDEX(Input!$K$7:$K1503,ROW()-1),0,1),
    C944 + IF(INDEX(Input!$L$7:$L1503,ROW()-1),1,0),
    "Y"
  )
)</f>
        <v/>
      </c>
      <c r="U944" s="6" t="str">
        <f t="array" ref="U944">IF(
  B944="",
  ,
  (C944 + IF(INDEX(Input!$L$7:$L1503,ROW()-1),1,0))
  - EDATE(
      B944 + IF(INDEX(Input!$K$7:$K1503,ROW()-1),0,1),
      12*S944
    )
)</f>
        <v/>
      </c>
      <c r="V944" s="6" t="str">
        <f t="shared" si="5"/>
        <v/>
      </c>
      <c r="W944" s="6" t="str">
        <f t="shared" si="6"/>
        <v/>
      </c>
    </row>
    <row r="945">
      <c r="A945" s="18"/>
      <c r="B945" s="18"/>
      <c r="C945" s="18"/>
      <c r="D945" s="18"/>
      <c r="E945" s="18"/>
      <c r="F945" s="18"/>
      <c r="G945" s="22"/>
      <c r="H945" s="18"/>
      <c r="I945" s="18">
        <v>0.0</v>
      </c>
      <c r="J945" s="18">
        <v>0.0</v>
      </c>
      <c r="K945" s="18"/>
      <c r="L945" s="18"/>
      <c r="M945" s="22" t="str">
        <f t="shared" si="1"/>
        <v/>
      </c>
      <c r="N945" s="18" t="str">
        <f>IF(A945="",,IF(ROW()=2, Input!$C$2 + I945, P944 + I945))</f>
        <v/>
      </c>
      <c r="O945" s="23" t="str">
        <f>IF(A945="",,
 IF(K945="Initial principal",
   Input!$C$2 * M945,
   N945 * M945
 )
)</f>
        <v/>
      </c>
      <c r="P945" s="18" t="str">
        <f t="shared" si="2"/>
        <v/>
      </c>
      <c r="Q945" s="18" t="str">
        <f t="shared" si="3"/>
        <v/>
      </c>
      <c r="R945" s="18" t="str">
        <f t="array" ref="R945">IF(
  B945="",
  ,
  SWITCH(
    Input!$C$4,
    "Actual/365 Fixed",
      YEARFRAC(
        B945 + IF(INDEX(Input!$K$7:$K1503,ROW()-1),0,1),
        C945 + IF(INDEX(Input!$L$7:$L1503,ROW()-1),1,0),
        3
      ),
    "Anniversary/365",
      DATEDIF(
        B945 + IF(INDEX(Input!$K$7:$K1503,ROW()-1),0,1),
        C945 + IF(INDEX(Input!$L$7:$L1503,ROW()-1),1,0),
        "Y"
      )
      +
      (
        (C945 + IF(INDEX(Input!$L$7:$L1503,ROW()-1),1,0))
        -
        EDATE(
          B945 + IF(INDEX(Input!$K$7:$K1503,ROW()-1),0,1),
          12*DATEDIF(
            B945 + IF(INDEX(Input!$K$7:$K1503,ROW()-1),0,1),
            C945 + IF(INDEX(Input!$L$7:$L1503,ROW()-1),1,0),
            "Y"
          )
        )
      ) / 365,
    "Actual/Actual",
      YEARFRAC(
        B945 + IF(INDEX(Input!$K$7:$K1503,ROW()-1),0,1),
        C945 + IF(INDEX(Input!$L$7:$L1503,ROW()-1),1,0),
        1
      ),
      YEARFRAC(
        B945 + IF(INDEX(Input!$K$7:$K1503,ROW()-1),0,1),
        C945 + IF(INDEX(Input!$L$7:$L1503,ROW()-1),1,0),
        3
      )
  )
)</f>
        <v/>
      </c>
      <c r="S945" s="22" t="str">
        <f t="shared" si="4"/>
        <v/>
      </c>
      <c r="T945" s="6" t="str">
        <f t="array" ref="T945">IF(
  B945="",
  ,
  DATEDIF(
    B945 + IF(INDEX(Input!$K$7:$K1503,ROW()-1),0,1),
    C945 + IF(INDEX(Input!$L$7:$L1503,ROW()-1),1,0),
    "Y"
  )
)</f>
        <v/>
      </c>
      <c r="U945" s="6" t="str">
        <f t="array" ref="U945">IF(
  B945="",
  ,
  (C945 + IF(INDEX(Input!$L$7:$L1503,ROW()-1),1,0))
  - EDATE(
      B945 + IF(INDEX(Input!$K$7:$K1503,ROW()-1),0,1),
      12*S945
    )
)</f>
        <v/>
      </c>
      <c r="V945" s="6" t="str">
        <f t="shared" si="5"/>
        <v/>
      </c>
      <c r="W945" s="6" t="str">
        <f t="shared" si="6"/>
        <v/>
      </c>
    </row>
    <row r="946">
      <c r="A946" s="18"/>
      <c r="B946" s="18"/>
      <c r="C946" s="18"/>
      <c r="D946" s="18"/>
      <c r="E946" s="18"/>
      <c r="F946" s="18"/>
      <c r="G946" s="22"/>
      <c r="H946" s="18"/>
      <c r="I946" s="18">
        <v>0.0</v>
      </c>
      <c r="J946" s="18">
        <v>0.0</v>
      </c>
      <c r="K946" s="18"/>
      <c r="L946" s="18"/>
      <c r="M946" s="22" t="str">
        <f t="shared" si="1"/>
        <v/>
      </c>
      <c r="N946" s="18" t="str">
        <f>IF(A946="",,IF(ROW()=2, Input!$C$2 + I946, P945 + I946))</f>
        <v/>
      </c>
      <c r="O946" s="23" t="str">
        <f>IF(A946="",,
 IF(K946="Initial principal",
   Input!$C$2 * M946,
   N946 * M946
 )
)</f>
        <v/>
      </c>
      <c r="P946" s="18" t="str">
        <f t="shared" si="2"/>
        <v/>
      </c>
      <c r="Q946" s="18" t="str">
        <f t="shared" si="3"/>
        <v/>
      </c>
      <c r="R946" s="18" t="str">
        <f t="array" ref="R946">IF(
  B946="",
  ,
  SWITCH(
    Input!$C$4,
    "Actual/365 Fixed",
      YEARFRAC(
        B946 + IF(INDEX(Input!$K$7:$K1503,ROW()-1),0,1),
        C946 + IF(INDEX(Input!$L$7:$L1503,ROW()-1),1,0),
        3
      ),
    "Anniversary/365",
      DATEDIF(
        B946 + IF(INDEX(Input!$K$7:$K1503,ROW()-1),0,1),
        C946 + IF(INDEX(Input!$L$7:$L1503,ROW()-1),1,0),
        "Y"
      )
      +
      (
        (C946 + IF(INDEX(Input!$L$7:$L1503,ROW()-1),1,0))
        -
        EDATE(
          B946 + IF(INDEX(Input!$K$7:$K1503,ROW()-1),0,1),
          12*DATEDIF(
            B946 + IF(INDEX(Input!$K$7:$K1503,ROW()-1),0,1),
            C946 + IF(INDEX(Input!$L$7:$L1503,ROW()-1),1,0),
            "Y"
          )
        )
      ) / 365,
    "Actual/Actual",
      YEARFRAC(
        B946 + IF(INDEX(Input!$K$7:$K1503,ROW()-1),0,1),
        C946 + IF(INDEX(Input!$L$7:$L1503,ROW()-1),1,0),
        1
      ),
      YEARFRAC(
        B946 + IF(INDEX(Input!$K$7:$K1503,ROW()-1),0,1),
        C946 + IF(INDEX(Input!$L$7:$L1503,ROW()-1),1,0),
        3
      )
  )
)</f>
        <v/>
      </c>
      <c r="S946" s="22" t="str">
        <f t="shared" si="4"/>
        <v/>
      </c>
      <c r="T946" s="6" t="str">
        <f t="array" ref="T946">IF(
  B946="",
  ,
  DATEDIF(
    B946 + IF(INDEX(Input!$K$7:$K1503,ROW()-1),0,1),
    C946 + IF(INDEX(Input!$L$7:$L1503,ROW()-1),1,0),
    "Y"
  )
)</f>
        <v/>
      </c>
      <c r="U946" s="6" t="str">
        <f t="array" ref="U946">IF(
  B946="",
  ,
  (C946 + IF(INDEX(Input!$L$7:$L1503,ROW()-1),1,0))
  - EDATE(
      B946 + IF(INDEX(Input!$K$7:$K1503,ROW()-1),0,1),
      12*S946
    )
)</f>
        <v/>
      </c>
      <c r="V946" s="6" t="str">
        <f t="shared" si="5"/>
        <v/>
      </c>
      <c r="W946" s="6" t="str">
        <f t="shared" si="6"/>
        <v/>
      </c>
    </row>
    <row r="947">
      <c r="A947" s="18"/>
      <c r="B947" s="18"/>
      <c r="C947" s="18"/>
      <c r="D947" s="18"/>
      <c r="E947" s="18"/>
      <c r="F947" s="18"/>
      <c r="G947" s="22"/>
      <c r="H947" s="18"/>
      <c r="I947" s="18">
        <v>0.0</v>
      </c>
      <c r="J947" s="18">
        <v>0.0</v>
      </c>
      <c r="K947" s="18"/>
      <c r="L947" s="18"/>
      <c r="M947" s="22" t="str">
        <f t="shared" si="1"/>
        <v/>
      </c>
      <c r="N947" s="18" t="str">
        <f>IF(A947="",,IF(ROW()=2, Input!$C$2 + I947, P946 + I947))</f>
        <v/>
      </c>
      <c r="O947" s="23" t="str">
        <f>IF(A947="",,
 IF(K947="Initial principal",
   Input!$C$2 * M947,
   N947 * M947
 )
)</f>
        <v/>
      </c>
      <c r="P947" s="18" t="str">
        <f t="shared" si="2"/>
        <v/>
      </c>
      <c r="Q947" s="18" t="str">
        <f t="shared" si="3"/>
        <v/>
      </c>
      <c r="R947" s="18" t="str">
        <f t="array" ref="R947">IF(
  B947="",
  ,
  SWITCH(
    Input!$C$4,
    "Actual/365 Fixed",
      YEARFRAC(
        B947 + IF(INDEX(Input!$K$7:$K1503,ROW()-1),0,1),
        C947 + IF(INDEX(Input!$L$7:$L1503,ROW()-1),1,0),
        3
      ),
    "Anniversary/365",
      DATEDIF(
        B947 + IF(INDEX(Input!$K$7:$K1503,ROW()-1),0,1),
        C947 + IF(INDEX(Input!$L$7:$L1503,ROW()-1),1,0),
        "Y"
      )
      +
      (
        (C947 + IF(INDEX(Input!$L$7:$L1503,ROW()-1),1,0))
        -
        EDATE(
          B947 + IF(INDEX(Input!$K$7:$K1503,ROW()-1),0,1),
          12*DATEDIF(
            B947 + IF(INDEX(Input!$K$7:$K1503,ROW()-1),0,1),
            C947 + IF(INDEX(Input!$L$7:$L1503,ROW()-1),1,0),
            "Y"
          )
        )
      ) / 365,
    "Actual/Actual",
      YEARFRAC(
        B947 + IF(INDEX(Input!$K$7:$K1503,ROW()-1),0,1),
        C947 + IF(INDEX(Input!$L$7:$L1503,ROW()-1),1,0),
        1
      ),
      YEARFRAC(
        B947 + IF(INDEX(Input!$K$7:$K1503,ROW()-1),0,1),
        C947 + IF(INDEX(Input!$L$7:$L1503,ROW()-1),1,0),
        3
      )
  )
)</f>
        <v/>
      </c>
      <c r="S947" s="22" t="str">
        <f t="shared" si="4"/>
        <v/>
      </c>
      <c r="T947" s="6" t="str">
        <f t="array" ref="T947">IF(
  B947="",
  ,
  DATEDIF(
    B947 + IF(INDEX(Input!$K$7:$K1503,ROW()-1),0,1),
    C947 + IF(INDEX(Input!$L$7:$L1503,ROW()-1),1,0),
    "Y"
  )
)</f>
        <v/>
      </c>
      <c r="U947" s="6" t="str">
        <f t="array" ref="U947">IF(
  B947="",
  ,
  (C947 + IF(INDEX(Input!$L$7:$L1503,ROW()-1),1,0))
  - EDATE(
      B947 + IF(INDEX(Input!$K$7:$K1503,ROW()-1),0,1),
      12*S947
    )
)</f>
        <v/>
      </c>
      <c r="V947" s="6" t="str">
        <f t="shared" si="5"/>
        <v/>
      </c>
      <c r="W947" s="6" t="str">
        <f t="shared" si="6"/>
        <v/>
      </c>
    </row>
    <row r="948">
      <c r="A948" s="18"/>
      <c r="B948" s="18"/>
      <c r="C948" s="18"/>
      <c r="D948" s="18"/>
      <c r="E948" s="18"/>
      <c r="F948" s="18"/>
      <c r="G948" s="22"/>
      <c r="H948" s="18"/>
      <c r="I948" s="18">
        <v>0.0</v>
      </c>
      <c r="J948" s="18">
        <v>0.0</v>
      </c>
      <c r="K948" s="18"/>
      <c r="L948" s="18"/>
      <c r="M948" s="22" t="str">
        <f t="shared" si="1"/>
        <v/>
      </c>
      <c r="N948" s="18" t="str">
        <f>IF(A948="",,IF(ROW()=2, Input!$C$2 + I948, P947 + I948))</f>
        <v/>
      </c>
      <c r="O948" s="23" t="str">
        <f>IF(A948="",,
 IF(K948="Initial principal",
   Input!$C$2 * M948,
   N948 * M948
 )
)</f>
        <v/>
      </c>
      <c r="P948" s="18" t="str">
        <f t="shared" si="2"/>
        <v/>
      </c>
      <c r="Q948" s="18" t="str">
        <f t="shared" si="3"/>
        <v/>
      </c>
      <c r="R948" s="18" t="str">
        <f t="array" ref="R948">IF(
  B948="",
  ,
  SWITCH(
    Input!$C$4,
    "Actual/365 Fixed",
      YEARFRAC(
        B948 + IF(INDEX(Input!$K$7:$K1503,ROW()-1),0,1),
        C948 + IF(INDEX(Input!$L$7:$L1503,ROW()-1),1,0),
        3
      ),
    "Anniversary/365",
      DATEDIF(
        B948 + IF(INDEX(Input!$K$7:$K1503,ROW()-1),0,1),
        C948 + IF(INDEX(Input!$L$7:$L1503,ROW()-1),1,0),
        "Y"
      )
      +
      (
        (C948 + IF(INDEX(Input!$L$7:$L1503,ROW()-1),1,0))
        -
        EDATE(
          B948 + IF(INDEX(Input!$K$7:$K1503,ROW()-1),0,1),
          12*DATEDIF(
            B948 + IF(INDEX(Input!$K$7:$K1503,ROW()-1),0,1),
            C948 + IF(INDEX(Input!$L$7:$L1503,ROW()-1),1,0),
            "Y"
          )
        )
      ) / 365,
    "Actual/Actual",
      YEARFRAC(
        B948 + IF(INDEX(Input!$K$7:$K1503,ROW()-1),0,1),
        C948 + IF(INDEX(Input!$L$7:$L1503,ROW()-1),1,0),
        1
      ),
      YEARFRAC(
        B948 + IF(INDEX(Input!$K$7:$K1503,ROW()-1),0,1),
        C948 + IF(INDEX(Input!$L$7:$L1503,ROW()-1),1,0),
        3
      )
  )
)</f>
        <v/>
      </c>
      <c r="S948" s="22" t="str">
        <f t="shared" si="4"/>
        <v/>
      </c>
      <c r="T948" s="6" t="str">
        <f t="array" ref="T948">IF(
  B948="",
  ,
  DATEDIF(
    B948 + IF(INDEX(Input!$K$7:$K1503,ROW()-1),0,1),
    C948 + IF(INDEX(Input!$L$7:$L1503,ROW()-1),1,0),
    "Y"
  )
)</f>
        <v/>
      </c>
      <c r="U948" s="6" t="str">
        <f t="array" ref="U948">IF(
  B948="",
  ,
  (C948 + IF(INDEX(Input!$L$7:$L1503,ROW()-1),1,0))
  - EDATE(
      B948 + IF(INDEX(Input!$K$7:$K1503,ROW()-1),0,1),
      12*S948
    )
)</f>
        <v/>
      </c>
      <c r="V948" s="6" t="str">
        <f t="shared" si="5"/>
        <v/>
      </c>
      <c r="W948" s="6" t="str">
        <f t="shared" si="6"/>
        <v/>
      </c>
    </row>
    <row r="949">
      <c r="A949" s="18"/>
      <c r="B949" s="18"/>
      <c r="C949" s="18"/>
      <c r="D949" s="18"/>
      <c r="E949" s="18"/>
      <c r="F949" s="18"/>
      <c r="G949" s="22"/>
      <c r="H949" s="18"/>
      <c r="I949" s="18">
        <v>0.0</v>
      </c>
      <c r="J949" s="18">
        <v>0.0</v>
      </c>
      <c r="K949" s="18"/>
      <c r="L949" s="18"/>
      <c r="M949" s="22" t="str">
        <f t="shared" si="1"/>
        <v/>
      </c>
      <c r="N949" s="18" t="str">
        <f>IF(A949="",,IF(ROW()=2, Input!$C$2 + I949, P948 + I949))</f>
        <v/>
      </c>
      <c r="O949" s="23" t="str">
        <f>IF(A949="",,
 IF(K949="Initial principal",
   Input!$C$2 * M949,
   N949 * M949
 )
)</f>
        <v/>
      </c>
      <c r="P949" s="18" t="str">
        <f t="shared" si="2"/>
        <v/>
      </c>
      <c r="Q949" s="18" t="str">
        <f t="shared" si="3"/>
        <v/>
      </c>
      <c r="R949" s="18" t="str">
        <f t="array" ref="R949">IF(
  B949="",
  ,
  SWITCH(
    Input!$C$4,
    "Actual/365 Fixed",
      YEARFRAC(
        B949 + IF(INDEX(Input!$K$7:$K1503,ROW()-1),0,1),
        C949 + IF(INDEX(Input!$L$7:$L1503,ROW()-1),1,0),
        3
      ),
    "Anniversary/365",
      DATEDIF(
        B949 + IF(INDEX(Input!$K$7:$K1503,ROW()-1),0,1),
        C949 + IF(INDEX(Input!$L$7:$L1503,ROW()-1),1,0),
        "Y"
      )
      +
      (
        (C949 + IF(INDEX(Input!$L$7:$L1503,ROW()-1),1,0))
        -
        EDATE(
          B949 + IF(INDEX(Input!$K$7:$K1503,ROW()-1),0,1),
          12*DATEDIF(
            B949 + IF(INDEX(Input!$K$7:$K1503,ROW()-1),0,1),
            C949 + IF(INDEX(Input!$L$7:$L1503,ROW()-1),1,0),
            "Y"
          )
        )
      ) / 365,
    "Actual/Actual",
      YEARFRAC(
        B949 + IF(INDEX(Input!$K$7:$K1503,ROW()-1),0,1),
        C949 + IF(INDEX(Input!$L$7:$L1503,ROW()-1),1,0),
        1
      ),
      YEARFRAC(
        B949 + IF(INDEX(Input!$K$7:$K1503,ROW()-1),0,1),
        C949 + IF(INDEX(Input!$L$7:$L1503,ROW()-1),1,0),
        3
      )
  )
)</f>
        <v/>
      </c>
      <c r="S949" s="22" t="str">
        <f t="shared" si="4"/>
        <v/>
      </c>
      <c r="T949" s="6" t="str">
        <f t="array" ref="T949">IF(
  B949="",
  ,
  DATEDIF(
    B949 + IF(INDEX(Input!$K$7:$K1503,ROW()-1),0,1),
    C949 + IF(INDEX(Input!$L$7:$L1503,ROW()-1),1,0),
    "Y"
  )
)</f>
        <v/>
      </c>
      <c r="U949" s="6" t="str">
        <f t="array" ref="U949">IF(
  B949="",
  ,
  (C949 + IF(INDEX(Input!$L$7:$L1503,ROW()-1),1,0))
  - EDATE(
      B949 + IF(INDEX(Input!$K$7:$K1503,ROW()-1),0,1),
      12*S949
    )
)</f>
        <v/>
      </c>
      <c r="V949" s="6" t="str">
        <f t="shared" si="5"/>
        <v/>
      </c>
      <c r="W949" s="6" t="str">
        <f t="shared" si="6"/>
        <v/>
      </c>
    </row>
    <row r="950">
      <c r="A950" s="18"/>
      <c r="B950" s="18"/>
      <c r="C950" s="18"/>
      <c r="D950" s="18"/>
      <c r="E950" s="18"/>
      <c r="F950" s="18"/>
      <c r="G950" s="22"/>
      <c r="H950" s="18"/>
      <c r="I950" s="18">
        <v>0.0</v>
      </c>
      <c r="J950" s="18">
        <v>0.0</v>
      </c>
      <c r="K950" s="18"/>
      <c r="L950" s="18"/>
      <c r="M950" s="22" t="str">
        <f t="shared" si="1"/>
        <v/>
      </c>
      <c r="N950" s="18" t="str">
        <f>IF(A950="",,IF(ROW()=2, Input!$C$2 + I950, P949 + I950))</f>
        <v/>
      </c>
      <c r="O950" s="23" t="str">
        <f>IF(A950="",,
 IF(K950="Initial principal",
   Input!$C$2 * M950,
   N950 * M950
 )
)</f>
        <v/>
      </c>
      <c r="P950" s="18" t="str">
        <f t="shared" si="2"/>
        <v/>
      </c>
      <c r="Q950" s="18" t="str">
        <f t="shared" si="3"/>
        <v/>
      </c>
      <c r="R950" s="18" t="str">
        <f t="array" ref="R950">IF(
  B950="",
  ,
  SWITCH(
    Input!$C$4,
    "Actual/365 Fixed",
      YEARFRAC(
        B950 + IF(INDEX(Input!$K$7:$K1503,ROW()-1),0,1),
        C950 + IF(INDEX(Input!$L$7:$L1503,ROW()-1),1,0),
        3
      ),
    "Anniversary/365",
      DATEDIF(
        B950 + IF(INDEX(Input!$K$7:$K1503,ROW()-1),0,1),
        C950 + IF(INDEX(Input!$L$7:$L1503,ROW()-1),1,0),
        "Y"
      )
      +
      (
        (C950 + IF(INDEX(Input!$L$7:$L1503,ROW()-1),1,0))
        -
        EDATE(
          B950 + IF(INDEX(Input!$K$7:$K1503,ROW()-1),0,1),
          12*DATEDIF(
            B950 + IF(INDEX(Input!$K$7:$K1503,ROW()-1),0,1),
            C950 + IF(INDEX(Input!$L$7:$L1503,ROW()-1),1,0),
            "Y"
          )
        )
      ) / 365,
    "Actual/Actual",
      YEARFRAC(
        B950 + IF(INDEX(Input!$K$7:$K1503,ROW()-1),0,1),
        C950 + IF(INDEX(Input!$L$7:$L1503,ROW()-1),1,0),
        1
      ),
      YEARFRAC(
        B950 + IF(INDEX(Input!$K$7:$K1503,ROW()-1),0,1),
        C950 + IF(INDEX(Input!$L$7:$L1503,ROW()-1),1,0),
        3
      )
  )
)</f>
        <v/>
      </c>
      <c r="S950" s="22" t="str">
        <f t="shared" si="4"/>
        <v/>
      </c>
      <c r="T950" s="6" t="str">
        <f t="array" ref="T950">IF(
  B950="",
  ,
  DATEDIF(
    B950 + IF(INDEX(Input!$K$7:$K1503,ROW()-1),0,1),
    C950 + IF(INDEX(Input!$L$7:$L1503,ROW()-1),1,0),
    "Y"
  )
)</f>
        <v/>
      </c>
      <c r="U950" s="6" t="str">
        <f t="array" ref="U950">IF(
  B950="",
  ,
  (C950 + IF(INDEX(Input!$L$7:$L1503,ROW()-1),1,0))
  - EDATE(
      B950 + IF(INDEX(Input!$K$7:$K1503,ROW()-1),0,1),
      12*S950
    )
)</f>
        <v/>
      </c>
      <c r="V950" s="6" t="str">
        <f t="shared" si="5"/>
        <v/>
      </c>
      <c r="W950" s="6" t="str">
        <f t="shared" si="6"/>
        <v/>
      </c>
    </row>
    <row r="951">
      <c r="A951" s="18"/>
      <c r="B951" s="18"/>
      <c r="C951" s="18"/>
      <c r="D951" s="18"/>
      <c r="E951" s="18"/>
      <c r="F951" s="18"/>
      <c r="G951" s="22"/>
      <c r="H951" s="18"/>
      <c r="I951" s="18">
        <v>0.0</v>
      </c>
      <c r="J951" s="18">
        <v>0.0</v>
      </c>
      <c r="K951" s="18"/>
      <c r="L951" s="18"/>
      <c r="M951" s="22" t="str">
        <f t="shared" si="1"/>
        <v/>
      </c>
      <c r="N951" s="18" t="str">
        <f>IF(A951="",,IF(ROW()=2, Input!$C$2 + I951, P950 + I951))</f>
        <v/>
      </c>
      <c r="O951" s="23" t="str">
        <f>IF(A951="",,
 IF(K951="Initial principal",
   Input!$C$2 * M951,
   N951 * M951
 )
)</f>
        <v/>
      </c>
      <c r="P951" s="18" t="str">
        <f t="shared" si="2"/>
        <v/>
      </c>
      <c r="Q951" s="18" t="str">
        <f t="shared" si="3"/>
        <v/>
      </c>
      <c r="R951" s="18" t="str">
        <f t="array" ref="R951">IF(
  B951="",
  ,
  SWITCH(
    Input!$C$4,
    "Actual/365 Fixed",
      YEARFRAC(
        B951 + IF(INDEX(Input!$K$7:$K1503,ROW()-1),0,1),
        C951 + IF(INDEX(Input!$L$7:$L1503,ROW()-1),1,0),
        3
      ),
    "Anniversary/365",
      DATEDIF(
        B951 + IF(INDEX(Input!$K$7:$K1503,ROW()-1),0,1),
        C951 + IF(INDEX(Input!$L$7:$L1503,ROW()-1),1,0),
        "Y"
      )
      +
      (
        (C951 + IF(INDEX(Input!$L$7:$L1503,ROW()-1),1,0))
        -
        EDATE(
          B951 + IF(INDEX(Input!$K$7:$K1503,ROW()-1),0,1),
          12*DATEDIF(
            B951 + IF(INDEX(Input!$K$7:$K1503,ROW()-1),0,1),
            C951 + IF(INDEX(Input!$L$7:$L1503,ROW()-1),1,0),
            "Y"
          )
        )
      ) / 365,
    "Actual/Actual",
      YEARFRAC(
        B951 + IF(INDEX(Input!$K$7:$K1503,ROW()-1),0,1),
        C951 + IF(INDEX(Input!$L$7:$L1503,ROW()-1),1,0),
        1
      ),
      YEARFRAC(
        B951 + IF(INDEX(Input!$K$7:$K1503,ROW()-1),0,1),
        C951 + IF(INDEX(Input!$L$7:$L1503,ROW()-1),1,0),
        3
      )
  )
)</f>
        <v/>
      </c>
      <c r="S951" s="22" t="str">
        <f t="shared" si="4"/>
        <v/>
      </c>
      <c r="T951" s="6" t="str">
        <f t="array" ref="T951">IF(
  B951="",
  ,
  DATEDIF(
    B951 + IF(INDEX(Input!$K$7:$K1503,ROW()-1),0,1),
    C951 + IF(INDEX(Input!$L$7:$L1503,ROW()-1),1,0),
    "Y"
  )
)</f>
        <v/>
      </c>
      <c r="U951" s="6" t="str">
        <f t="array" ref="U951">IF(
  B951="",
  ,
  (C951 + IF(INDEX(Input!$L$7:$L1503,ROW()-1),1,0))
  - EDATE(
      B951 + IF(INDEX(Input!$K$7:$K1503,ROW()-1),0,1),
      12*S951
    )
)</f>
        <v/>
      </c>
      <c r="V951" s="6" t="str">
        <f t="shared" si="5"/>
        <v/>
      </c>
      <c r="W951" s="6" t="str">
        <f t="shared" si="6"/>
        <v/>
      </c>
    </row>
    <row r="952">
      <c r="A952" s="18"/>
      <c r="B952" s="18"/>
      <c r="C952" s="18"/>
      <c r="D952" s="18"/>
      <c r="E952" s="18"/>
      <c r="F952" s="18"/>
      <c r="G952" s="22"/>
      <c r="H952" s="18"/>
      <c r="I952" s="18">
        <v>0.0</v>
      </c>
      <c r="J952" s="18">
        <v>0.0</v>
      </c>
      <c r="K952" s="18"/>
      <c r="L952" s="18"/>
      <c r="M952" s="22" t="str">
        <f t="shared" si="1"/>
        <v/>
      </c>
      <c r="N952" s="18" t="str">
        <f>IF(A952="",,IF(ROW()=2, Input!$C$2 + I952, P951 + I952))</f>
        <v/>
      </c>
      <c r="O952" s="23" t="str">
        <f>IF(A952="",,
 IF(K952="Initial principal",
   Input!$C$2 * M952,
   N952 * M952
 )
)</f>
        <v/>
      </c>
      <c r="P952" s="18" t="str">
        <f t="shared" si="2"/>
        <v/>
      </c>
      <c r="Q952" s="18" t="str">
        <f t="shared" si="3"/>
        <v/>
      </c>
      <c r="R952" s="18" t="str">
        <f t="array" ref="R952">IF(
  B952="",
  ,
  SWITCH(
    Input!$C$4,
    "Actual/365 Fixed",
      YEARFRAC(
        B952 + IF(INDEX(Input!$K$7:$K1503,ROW()-1),0,1),
        C952 + IF(INDEX(Input!$L$7:$L1503,ROW()-1),1,0),
        3
      ),
    "Anniversary/365",
      DATEDIF(
        B952 + IF(INDEX(Input!$K$7:$K1503,ROW()-1),0,1),
        C952 + IF(INDEX(Input!$L$7:$L1503,ROW()-1),1,0),
        "Y"
      )
      +
      (
        (C952 + IF(INDEX(Input!$L$7:$L1503,ROW()-1),1,0))
        -
        EDATE(
          B952 + IF(INDEX(Input!$K$7:$K1503,ROW()-1),0,1),
          12*DATEDIF(
            B952 + IF(INDEX(Input!$K$7:$K1503,ROW()-1),0,1),
            C952 + IF(INDEX(Input!$L$7:$L1503,ROW()-1),1,0),
            "Y"
          )
        )
      ) / 365,
    "Actual/Actual",
      YEARFRAC(
        B952 + IF(INDEX(Input!$K$7:$K1503,ROW()-1),0,1),
        C952 + IF(INDEX(Input!$L$7:$L1503,ROW()-1),1,0),
        1
      ),
      YEARFRAC(
        B952 + IF(INDEX(Input!$K$7:$K1503,ROW()-1),0,1),
        C952 + IF(INDEX(Input!$L$7:$L1503,ROW()-1),1,0),
        3
      )
  )
)</f>
        <v/>
      </c>
      <c r="S952" s="22" t="str">
        <f t="shared" si="4"/>
        <v/>
      </c>
      <c r="T952" s="6" t="str">
        <f t="array" ref="T952">IF(
  B952="",
  ,
  DATEDIF(
    B952 + IF(INDEX(Input!$K$7:$K1503,ROW()-1),0,1),
    C952 + IF(INDEX(Input!$L$7:$L1503,ROW()-1),1,0),
    "Y"
  )
)</f>
        <v/>
      </c>
      <c r="U952" s="6" t="str">
        <f t="array" ref="U952">IF(
  B952="",
  ,
  (C952 + IF(INDEX(Input!$L$7:$L1503,ROW()-1),1,0))
  - EDATE(
      B952 + IF(INDEX(Input!$K$7:$K1503,ROW()-1),0,1),
      12*S952
    )
)</f>
        <v/>
      </c>
      <c r="V952" s="6" t="str">
        <f t="shared" si="5"/>
        <v/>
      </c>
      <c r="W952" s="6" t="str">
        <f t="shared" si="6"/>
        <v/>
      </c>
    </row>
    <row r="953">
      <c r="A953" s="18"/>
      <c r="B953" s="18"/>
      <c r="C953" s="18"/>
      <c r="D953" s="18"/>
      <c r="E953" s="18"/>
      <c r="F953" s="18"/>
      <c r="G953" s="22"/>
      <c r="H953" s="18"/>
      <c r="I953" s="18">
        <v>0.0</v>
      </c>
      <c r="J953" s="18">
        <v>0.0</v>
      </c>
      <c r="K953" s="18"/>
      <c r="L953" s="18"/>
      <c r="M953" s="22" t="str">
        <f t="shared" si="1"/>
        <v/>
      </c>
      <c r="N953" s="18" t="str">
        <f>IF(A953="",,IF(ROW()=2, Input!$C$2 + I953, P952 + I953))</f>
        <v/>
      </c>
      <c r="O953" s="23" t="str">
        <f>IF(A953="",,
 IF(K953="Initial principal",
   Input!$C$2 * M953,
   N953 * M953
 )
)</f>
        <v/>
      </c>
      <c r="P953" s="18" t="str">
        <f t="shared" si="2"/>
        <v/>
      </c>
      <c r="Q953" s="18" t="str">
        <f t="shared" si="3"/>
        <v/>
      </c>
      <c r="R953" s="18" t="str">
        <f t="array" ref="R953">IF(
  B953="",
  ,
  SWITCH(
    Input!$C$4,
    "Actual/365 Fixed",
      YEARFRAC(
        B953 + IF(INDEX(Input!$K$7:$K1503,ROW()-1),0,1),
        C953 + IF(INDEX(Input!$L$7:$L1503,ROW()-1),1,0),
        3
      ),
    "Anniversary/365",
      DATEDIF(
        B953 + IF(INDEX(Input!$K$7:$K1503,ROW()-1),0,1),
        C953 + IF(INDEX(Input!$L$7:$L1503,ROW()-1),1,0),
        "Y"
      )
      +
      (
        (C953 + IF(INDEX(Input!$L$7:$L1503,ROW()-1),1,0))
        -
        EDATE(
          B953 + IF(INDEX(Input!$K$7:$K1503,ROW()-1),0,1),
          12*DATEDIF(
            B953 + IF(INDEX(Input!$K$7:$K1503,ROW()-1),0,1),
            C953 + IF(INDEX(Input!$L$7:$L1503,ROW()-1),1,0),
            "Y"
          )
        )
      ) / 365,
    "Actual/Actual",
      YEARFRAC(
        B953 + IF(INDEX(Input!$K$7:$K1503,ROW()-1),0,1),
        C953 + IF(INDEX(Input!$L$7:$L1503,ROW()-1),1,0),
        1
      ),
      YEARFRAC(
        B953 + IF(INDEX(Input!$K$7:$K1503,ROW()-1),0,1),
        C953 + IF(INDEX(Input!$L$7:$L1503,ROW()-1),1,0),
        3
      )
  )
)</f>
        <v/>
      </c>
      <c r="S953" s="22" t="str">
        <f t="shared" si="4"/>
        <v/>
      </c>
      <c r="T953" s="6" t="str">
        <f t="array" ref="T953">IF(
  B953="",
  ,
  DATEDIF(
    B953 + IF(INDEX(Input!$K$7:$K1503,ROW()-1),0,1),
    C953 + IF(INDEX(Input!$L$7:$L1503,ROW()-1),1,0),
    "Y"
  )
)</f>
        <v/>
      </c>
      <c r="U953" s="6" t="str">
        <f t="array" ref="U953">IF(
  B953="",
  ,
  (C953 + IF(INDEX(Input!$L$7:$L1503,ROW()-1),1,0))
  - EDATE(
      B953 + IF(INDEX(Input!$K$7:$K1503,ROW()-1),0,1),
      12*S953
    )
)</f>
        <v/>
      </c>
      <c r="V953" s="6" t="str">
        <f t="shared" si="5"/>
        <v/>
      </c>
      <c r="W953" s="6" t="str">
        <f t="shared" si="6"/>
        <v/>
      </c>
    </row>
    <row r="954">
      <c r="A954" s="18"/>
      <c r="B954" s="18"/>
      <c r="C954" s="18"/>
      <c r="D954" s="18"/>
      <c r="E954" s="18"/>
      <c r="F954" s="18"/>
      <c r="G954" s="22"/>
      <c r="H954" s="18"/>
      <c r="I954" s="18">
        <v>0.0</v>
      </c>
      <c r="J954" s="18">
        <v>0.0</v>
      </c>
      <c r="K954" s="18"/>
      <c r="L954" s="18"/>
      <c r="M954" s="22" t="str">
        <f t="shared" si="1"/>
        <v/>
      </c>
      <c r="N954" s="18" t="str">
        <f>IF(A954="",,IF(ROW()=2, Input!$C$2 + I954, P953 + I954))</f>
        <v/>
      </c>
      <c r="O954" s="23" t="str">
        <f>IF(A954="",,
 IF(K954="Initial principal",
   Input!$C$2 * M954,
   N954 * M954
 )
)</f>
        <v/>
      </c>
      <c r="P954" s="18" t="str">
        <f t="shared" si="2"/>
        <v/>
      </c>
      <c r="Q954" s="18" t="str">
        <f t="shared" si="3"/>
        <v/>
      </c>
      <c r="R954" s="18" t="str">
        <f t="array" ref="R954">IF(
  B954="",
  ,
  SWITCH(
    Input!$C$4,
    "Actual/365 Fixed",
      YEARFRAC(
        B954 + IF(INDEX(Input!$K$7:$K1503,ROW()-1),0,1),
        C954 + IF(INDEX(Input!$L$7:$L1503,ROW()-1),1,0),
        3
      ),
    "Anniversary/365",
      DATEDIF(
        B954 + IF(INDEX(Input!$K$7:$K1503,ROW()-1),0,1),
        C954 + IF(INDEX(Input!$L$7:$L1503,ROW()-1),1,0),
        "Y"
      )
      +
      (
        (C954 + IF(INDEX(Input!$L$7:$L1503,ROW()-1),1,0))
        -
        EDATE(
          B954 + IF(INDEX(Input!$K$7:$K1503,ROW()-1),0,1),
          12*DATEDIF(
            B954 + IF(INDEX(Input!$K$7:$K1503,ROW()-1),0,1),
            C954 + IF(INDEX(Input!$L$7:$L1503,ROW()-1),1,0),
            "Y"
          )
        )
      ) / 365,
    "Actual/Actual",
      YEARFRAC(
        B954 + IF(INDEX(Input!$K$7:$K1503,ROW()-1),0,1),
        C954 + IF(INDEX(Input!$L$7:$L1503,ROW()-1),1,0),
        1
      ),
      YEARFRAC(
        B954 + IF(INDEX(Input!$K$7:$K1503,ROW()-1),0,1),
        C954 + IF(INDEX(Input!$L$7:$L1503,ROW()-1),1,0),
        3
      )
  )
)</f>
        <v/>
      </c>
      <c r="S954" s="22" t="str">
        <f t="shared" si="4"/>
        <v/>
      </c>
      <c r="T954" s="6" t="str">
        <f t="array" ref="T954">IF(
  B954="",
  ,
  DATEDIF(
    B954 + IF(INDEX(Input!$K$7:$K1503,ROW()-1),0,1),
    C954 + IF(INDEX(Input!$L$7:$L1503,ROW()-1),1,0),
    "Y"
  )
)</f>
        <v/>
      </c>
      <c r="U954" s="6" t="str">
        <f t="array" ref="U954">IF(
  B954="",
  ,
  (C954 + IF(INDEX(Input!$L$7:$L1503,ROW()-1),1,0))
  - EDATE(
      B954 + IF(INDEX(Input!$K$7:$K1503,ROW()-1),0,1),
      12*S954
    )
)</f>
        <v/>
      </c>
      <c r="V954" s="6" t="str">
        <f t="shared" si="5"/>
        <v/>
      </c>
      <c r="W954" s="6" t="str">
        <f t="shared" si="6"/>
        <v/>
      </c>
    </row>
    <row r="955">
      <c r="A955" s="18"/>
      <c r="B955" s="18"/>
      <c r="C955" s="18"/>
      <c r="D955" s="18"/>
      <c r="E955" s="18"/>
      <c r="F955" s="18"/>
      <c r="G955" s="22"/>
      <c r="H955" s="18"/>
      <c r="I955" s="18">
        <v>0.0</v>
      </c>
      <c r="J955" s="18">
        <v>0.0</v>
      </c>
      <c r="K955" s="18"/>
      <c r="L955" s="18"/>
      <c r="M955" s="22" t="str">
        <f t="shared" si="1"/>
        <v/>
      </c>
      <c r="N955" s="18" t="str">
        <f>IF(A955="",,IF(ROW()=2, Input!$C$2 + I955, P954 + I955))</f>
        <v/>
      </c>
      <c r="O955" s="23" t="str">
        <f>IF(A955="",,
 IF(K955="Initial principal",
   Input!$C$2 * M955,
   N955 * M955
 )
)</f>
        <v/>
      </c>
      <c r="P955" s="18" t="str">
        <f t="shared" si="2"/>
        <v/>
      </c>
      <c r="Q955" s="18" t="str">
        <f t="shared" si="3"/>
        <v/>
      </c>
      <c r="R955" s="18" t="str">
        <f t="array" ref="R955">IF(
  B955="",
  ,
  SWITCH(
    Input!$C$4,
    "Actual/365 Fixed",
      YEARFRAC(
        B955 + IF(INDEX(Input!$K$7:$K1503,ROW()-1),0,1),
        C955 + IF(INDEX(Input!$L$7:$L1503,ROW()-1),1,0),
        3
      ),
    "Anniversary/365",
      DATEDIF(
        B955 + IF(INDEX(Input!$K$7:$K1503,ROW()-1),0,1),
        C955 + IF(INDEX(Input!$L$7:$L1503,ROW()-1),1,0),
        "Y"
      )
      +
      (
        (C955 + IF(INDEX(Input!$L$7:$L1503,ROW()-1),1,0))
        -
        EDATE(
          B955 + IF(INDEX(Input!$K$7:$K1503,ROW()-1),0,1),
          12*DATEDIF(
            B955 + IF(INDEX(Input!$K$7:$K1503,ROW()-1),0,1),
            C955 + IF(INDEX(Input!$L$7:$L1503,ROW()-1),1,0),
            "Y"
          )
        )
      ) / 365,
    "Actual/Actual",
      YEARFRAC(
        B955 + IF(INDEX(Input!$K$7:$K1503,ROW()-1),0,1),
        C955 + IF(INDEX(Input!$L$7:$L1503,ROW()-1),1,0),
        1
      ),
      YEARFRAC(
        B955 + IF(INDEX(Input!$K$7:$K1503,ROW()-1),0,1),
        C955 + IF(INDEX(Input!$L$7:$L1503,ROW()-1),1,0),
        3
      )
  )
)</f>
        <v/>
      </c>
      <c r="S955" s="22" t="str">
        <f t="shared" si="4"/>
        <v/>
      </c>
      <c r="T955" s="6" t="str">
        <f t="array" ref="T955">IF(
  B955="",
  ,
  DATEDIF(
    B955 + IF(INDEX(Input!$K$7:$K1503,ROW()-1),0,1),
    C955 + IF(INDEX(Input!$L$7:$L1503,ROW()-1),1,0),
    "Y"
  )
)</f>
        <v/>
      </c>
      <c r="U955" s="6" t="str">
        <f t="array" ref="U955">IF(
  B955="",
  ,
  (C955 + IF(INDEX(Input!$L$7:$L1503,ROW()-1),1,0))
  - EDATE(
      B955 + IF(INDEX(Input!$K$7:$K1503,ROW()-1),0,1),
      12*S955
    )
)</f>
        <v/>
      </c>
      <c r="V955" s="6" t="str">
        <f t="shared" si="5"/>
        <v/>
      </c>
      <c r="W955" s="6" t="str">
        <f t="shared" si="6"/>
        <v/>
      </c>
    </row>
    <row r="956">
      <c r="A956" s="18"/>
      <c r="B956" s="18"/>
      <c r="C956" s="18"/>
      <c r="D956" s="18"/>
      <c r="E956" s="18"/>
      <c r="F956" s="18"/>
      <c r="G956" s="22"/>
      <c r="H956" s="18"/>
      <c r="I956" s="18">
        <v>0.0</v>
      </c>
      <c r="J956" s="18">
        <v>0.0</v>
      </c>
      <c r="K956" s="18"/>
      <c r="L956" s="18"/>
      <c r="M956" s="22" t="str">
        <f t="shared" si="1"/>
        <v/>
      </c>
      <c r="N956" s="18" t="str">
        <f>IF(A956="",,IF(ROW()=2, Input!$C$2 + I956, P955 + I956))</f>
        <v/>
      </c>
      <c r="O956" s="23" t="str">
        <f>IF(A956="",,
 IF(K956="Initial principal",
   Input!$C$2 * M956,
   N956 * M956
 )
)</f>
        <v/>
      </c>
      <c r="P956" s="18" t="str">
        <f t="shared" si="2"/>
        <v/>
      </c>
      <c r="Q956" s="18" t="str">
        <f t="shared" si="3"/>
        <v/>
      </c>
      <c r="R956" s="18" t="str">
        <f t="array" ref="R956">IF(
  B956="",
  ,
  SWITCH(
    Input!$C$4,
    "Actual/365 Fixed",
      YEARFRAC(
        B956 + IF(INDEX(Input!$K$7:$K1503,ROW()-1),0,1),
        C956 + IF(INDEX(Input!$L$7:$L1503,ROW()-1),1,0),
        3
      ),
    "Anniversary/365",
      DATEDIF(
        B956 + IF(INDEX(Input!$K$7:$K1503,ROW()-1),0,1),
        C956 + IF(INDEX(Input!$L$7:$L1503,ROW()-1),1,0),
        "Y"
      )
      +
      (
        (C956 + IF(INDEX(Input!$L$7:$L1503,ROW()-1),1,0))
        -
        EDATE(
          B956 + IF(INDEX(Input!$K$7:$K1503,ROW()-1),0,1),
          12*DATEDIF(
            B956 + IF(INDEX(Input!$K$7:$K1503,ROW()-1),0,1),
            C956 + IF(INDEX(Input!$L$7:$L1503,ROW()-1),1,0),
            "Y"
          )
        )
      ) / 365,
    "Actual/Actual",
      YEARFRAC(
        B956 + IF(INDEX(Input!$K$7:$K1503,ROW()-1),0,1),
        C956 + IF(INDEX(Input!$L$7:$L1503,ROW()-1),1,0),
        1
      ),
      YEARFRAC(
        B956 + IF(INDEX(Input!$K$7:$K1503,ROW()-1),0,1),
        C956 + IF(INDEX(Input!$L$7:$L1503,ROW()-1),1,0),
        3
      )
  )
)</f>
        <v/>
      </c>
      <c r="S956" s="22" t="str">
        <f t="shared" si="4"/>
        <v/>
      </c>
      <c r="T956" s="6" t="str">
        <f t="array" ref="T956">IF(
  B956="",
  ,
  DATEDIF(
    B956 + IF(INDEX(Input!$K$7:$K1503,ROW()-1),0,1),
    C956 + IF(INDEX(Input!$L$7:$L1503,ROW()-1),1,0),
    "Y"
  )
)</f>
        <v/>
      </c>
      <c r="U956" s="6" t="str">
        <f t="array" ref="U956">IF(
  B956="",
  ,
  (C956 + IF(INDEX(Input!$L$7:$L1503,ROW()-1),1,0))
  - EDATE(
      B956 + IF(INDEX(Input!$K$7:$K1503,ROW()-1),0,1),
      12*S956
    )
)</f>
        <v/>
      </c>
      <c r="V956" s="6" t="str">
        <f t="shared" si="5"/>
        <v/>
      </c>
      <c r="W956" s="6" t="str">
        <f t="shared" si="6"/>
        <v/>
      </c>
    </row>
    <row r="957">
      <c r="A957" s="18"/>
      <c r="B957" s="18"/>
      <c r="C957" s="18"/>
      <c r="D957" s="18"/>
      <c r="E957" s="18"/>
      <c r="F957" s="18"/>
      <c r="G957" s="22"/>
      <c r="H957" s="18"/>
      <c r="I957" s="18">
        <v>0.0</v>
      </c>
      <c r="J957" s="18">
        <v>0.0</v>
      </c>
      <c r="K957" s="18"/>
      <c r="L957" s="18"/>
      <c r="M957" s="22" t="str">
        <f t="shared" si="1"/>
        <v/>
      </c>
      <c r="N957" s="18" t="str">
        <f>IF(A957="",,IF(ROW()=2, Input!$C$2 + I957, P956 + I957))</f>
        <v/>
      </c>
      <c r="O957" s="23" t="str">
        <f>IF(A957="",,
 IF(K957="Initial principal",
   Input!$C$2 * M957,
   N957 * M957
 )
)</f>
        <v/>
      </c>
      <c r="P957" s="18" t="str">
        <f t="shared" si="2"/>
        <v/>
      </c>
      <c r="Q957" s="18" t="str">
        <f t="shared" si="3"/>
        <v/>
      </c>
      <c r="R957" s="18" t="str">
        <f t="array" ref="R957">IF(
  B957="",
  ,
  SWITCH(
    Input!$C$4,
    "Actual/365 Fixed",
      YEARFRAC(
        B957 + IF(INDEX(Input!$K$7:$K1503,ROW()-1),0,1),
        C957 + IF(INDEX(Input!$L$7:$L1503,ROW()-1),1,0),
        3
      ),
    "Anniversary/365",
      DATEDIF(
        B957 + IF(INDEX(Input!$K$7:$K1503,ROW()-1),0,1),
        C957 + IF(INDEX(Input!$L$7:$L1503,ROW()-1),1,0),
        "Y"
      )
      +
      (
        (C957 + IF(INDEX(Input!$L$7:$L1503,ROW()-1),1,0))
        -
        EDATE(
          B957 + IF(INDEX(Input!$K$7:$K1503,ROW()-1),0,1),
          12*DATEDIF(
            B957 + IF(INDEX(Input!$K$7:$K1503,ROW()-1),0,1),
            C957 + IF(INDEX(Input!$L$7:$L1503,ROW()-1),1,0),
            "Y"
          )
        )
      ) / 365,
    "Actual/Actual",
      YEARFRAC(
        B957 + IF(INDEX(Input!$K$7:$K1503,ROW()-1),0,1),
        C957 + IF(INDEX(Input!$L$7:$L1503,ROW()-1),1,0),
        1
      ),
      YEARFRAC(
        B957 + IF(INDEX(Input!$K$7:$K1503,ROW()-1),0,1),
        C957 + IF(INDEX(Input!$L$7:$L1503,ROW()-1),1,0),
        3
      )
  )
)</f>
        <v/>
      </c>
      <c r="S957" s="22" t="str">
        <f t="shared" si="4"/>
        <v/>
      </c>
      <c r="T957" s="6" t="str">
        <f t="array" ref="T957">IF(
  B957="",
  ,
  DATEDIF(
    B957 + IF(INDEX(Input!$K$7:$K1503,ROW()-1),0,1),
    C957 + IF(INDEX(Input!$L$7:$L1503,ROW()-1),1,0),
    "Y"
  )
)</f>
        <v/>
      </c>
      <c r="U957" s="6" t="str">
        <f t="array" ref="U957">IF(
  B957="",
  ,
  (C957 + IF(INDEX(Input!$L$7:$L1503,ROW()-1),1,0))
  - EDATE(
      B957 + IF(INDEX(Input!$K$7:$K1503,ROW()-1),0,1),
      12*S957
    )
)</f>
        <v/>
      </c>
      <c r="V957" s="6" t="str">
        <f t="shared" si="5"/>
        <v/>
      </c>
      <c r="W957" s="6" t="str">
        <f t="shared" si="6"/>
        <v/>
      </c>
    </row>
    <row r="958">
      <c r="A958" s="18"/>
      <c r="B958" s="18"/>
      <c r="C958" s="18"/>
      <c r="D958" s="18"/>
      <c r="E958" s="18"/>
      <c r="F958" s="18"/>
      <c r="G958" s="22"/>
      <c r="H958" s="18"/>
      <c r="I958" s="18">
        <v>0.0</v>
      </c>
      <c r="J958" s="18">
        <v>0.0</v>
      </c>
      <c r="K958" s="18"/>
      <c r="L958" s="18"/>
      <c r="M958" s="22" t="str">
        <f t="shared" si="1"/>
        <v/>
      </c>
      <c r="N958" s="18" t="str">
        <f>IF(A958="",,IF(ROW()=2, Input!$C$2 + I958, P957 + I958))</f>
        <v/>
      </c>
      <c r="O958" s="23" t="str">
        <f>IF(A958="",,
 IF(K958="Initial principal",
   Input!$C$2 * M958,
   N958 * M958
 )
)</f>
        <v/>
      </c>
      <c r="P958" s="18" t="str">
        <f t="shared" si="2"/>
        <v/>
      </c>
      <c r="Q958" s="18" t="str">
        <f t="shared" si="3"/>
        <v/>
      </c>
      <c r="R958" s="18" t="str">
        <f t="array" ref="R958">IF(
  B958="",
  ,
  SWITCH(
    Input!$C$4,
    "Actual/365 Fixed",
      YEARFRAC(
        B958 + IF(INDEX(Input!$K$7:$K1503,ROW()-1),0,1),
        C958 + IF(INDEX(Input!$L$7:$L1503,ROW()-1),1,0),
        3
      ),
    "Anniversary/365",
      DATEDIF(
        B958 + IF(INDEX(Input!$K$7:$K1503,ROW()-1),0,1),
        C958 + IF(INDEX(Input!$L$7:$L1503,ROW()-1),1,0),
        "Y"
      )
      +
      (
        (C958 + IF(INDEX(Input!$L$7:$L1503,ROW()-1),1,0))
        -
        EDATE(
          B958 + IF(INDEX(Input!$K$7:$K1503,ROW()-1),0,1),
          12*DATEDIF(
            B958 + IF(INDEX(Input!$K$7:$K1503,ROW()-1),0,1),
            C958 + IF(INDEX(Input!$L$7:$L1503,ROW()-1),1,0),
            "Y"
          )
        )
      ) / 365,
    "Actual/Actual",
      YEARFRAC(
        B958 + IF(INDEX(Input!$K$7:$K1503,ROW()-1),0,1),
        C958 + IF(INDEX(Input!$L$7:$L1503,ROW()-1),1,0),
        1
      ),
      YEARFRAC(
        B958 + IF(INDEX(Input!$K$7:$K1503,ROW()-1),0,1),
        C958 + IF(INDEX(Input!$L$7:$L1503,ROW()-1),1,0),
        3
      )
  )
)</f>
        <v/>
      </c>
      <c r="S958" s="22" t="str">
        <f t="shared" si="4"/>
        <v/>
      </c>
      <c r="T958" s="6" t="str">
        <f t="array" ref="T958">IF(
  B958="",
  ,
  DATEDIF(
    B958 + IF(INDEX(Input!$K$7:$K1503,ROW()-1),0,1),
    C958 + IF(INDEX(Input!$L$7:$L1503,ROW()-1),1,0),
    "Y"
  )
)</f>
        <v/>
      </c>
      <c r="U958" s="6" t="str">
        <f t="array" ref="U958">IF(
  B958="",
  ,
  (C958 + IF(INDEX(Input!$L$7:$L1503,ROW()-1),1,0))
  - EDATE(
      B958 + IF(INDEX(Input!$K$7:$K1503,ROW()-1),0,1),
      12*S958
    )
)</f>
        <v/>
      </c>
      <c r="V958" s="6" t="str">
        <f t="shared" si="5"/>
        <v/>
      </c>
      <c r="W958" s="6" t="str">
        <f t="shared" si="6"/>
        <v/>
      </c>
    </row>
    <row r="959">
      <c r="A959" s="18"/>
      <c r="B959" s="18"/>
      <c r="C959" s="18"/>
      <c r="D959" s="18"/>
      <c r="E959" s="18"/>
      <c r="F959" s="18"/>
      <c r="G959" s="22"/>
      <c r="H959" s="18"/>
      <c r="I959" s="18">
        <v>0.0</v>
      </c>
      <c r="J959" s="18">
        <v>0.0</v>
      </c>
      <c r="K959" s="18"/>
      <c r="L959" s="18"/>
      <c r="M959" s="22" t="str">
        <f t="shared" si="1"/>
        <v/>
      </c>
      <c r="N959" s="18" t="str">
        <f>IF(A959="",,IF(ROW()=2, Input!$C$2 + I959, P958 + I959))</f>
        <v/>
      </c>
      <c r="O959" s="23" t="str">
        <f>IF(A959="",,
 IF(K959="Initial principal",
   Input!$C$2 * M959,
   N959 * M959
 )
)</f>
        <v/>
      </c>
      <c r="P959" s="18" t="str">
        <f t="shared" si="2"/>
        <v/>
      </c>
      <c r="Q959" s="18" t="str">
        <f t="shared" si="3"/>
        <v/>
      </c>
      <c r="R959" s="18" t="str">
        <f t="array" ref="R959">IF(
  B959="",
  ,
  SWITCH(
    Input!$C$4,
    "Actual/365 Fixed",
      YEARFRAC(
        B959 + IF(INDEX(Input!$K$7:$K1503,ROW()-1),0,1),
        C959 + IF(INDEX(Input!$L$7:$L1503,ROW()-1),1,0),
        3
      ),
    "Anniversary/365",
      DATEDIF(
        B959 + IF(INDEX(Input!$K$7:$K1503,ROW()-1),0,1),
        C959 + IF(INDEX(Input!$L$7:$L1503,ROW()-1),1,0),
        "Y"
      )
      +
      (
        (C959 + IF(INDEX(Input!$L$7:$L1503,ROW()-1),1,0))
        -
        EDATE(
          B959 + IF(INDEX(Input!$K$7:$K1503,ROW()-1),0,1),
          12*DATEDIF(
            B959 + IF(INDEX(Input!$K$7:$K1503,ROW()-1),0,1),
            C959 + IF(INDEX(Input!$L$7:$L1503,ROW()-1),1,0),
            "Y"
          )
        )
      ) / 365,
    "Actual/Actual",
      YEARFRAC(
        B959 + IF(INDEX(Input!$K$7:$K1503,ROW()-1),0,1),
        C959 + IF(INDEX(Input!$L$7:$L1503,ROW()-1),1,0),
        1
      ),
      YEARFRAC(
        B959 + IF(INDEX(Input!$K$7:$K1503,ROW()-1),0,1),
        C959 + IF(INDEX(Input!$L$7:$L1503,ROW()-1),1,0),
        3
      )
  )
)</f>
        <v/>
      </c>
      <c r="S959" s="22" t="str">
        <f t="shared" si="4"/>
        <v/>
      </c>
      <c r="T959" s="6" t="str">
        <f t="array" ref="T959">IF(
  B959="",
  ,
  DATEDIF(
    B959 + IF(INDEX(Input!$K$7:$K1503,ROW()-1),0,1),
    C959 + IF(INDEX(Input!$L$7:$L1503,ROW()-1),1,0),
    "Y"
  )
)</f>
        <v/>
      </c>
      <c r="U959" s="6" t="str">
        <f t="array" ref="U959">IF(
  B959="",
  ,
  (C959 + IF(INDEX(Input!$L$7:$L1503,ROW()-1),1,0))
  - EDATE(
      B959 + IF(INDEX(Input!$K$7:$K1503,ROW()-1),0,1),
      12*S959
    )
)</f>
        <v/>
      </c>
      <c r="V959" s="6" t="str">
        <f t="shared" si="5"/>
        <v/>
      </c>
      <c r="W959" s="6" t="str">
        <f t="shared" si="6"/>
        <v/>
      </c>
    </row>
    <row r="960">
      <c r="A960" s="18"/>
      <c r="B960" s="18"/>
      <c r="C960" s="18"/>
      <c r="D960" s="18"/>
      <c r="E960" s="18"/>
      <c r="F960" s="18"/>
      <c r="G960" s="22"/>
      <c r="H960" s="18"/>
      <c r="I960" s="18">
        <v>0.0</v>
      </c>
      <c r="J960" s="18">
        <v>0.0</v>
      </c>
      <c r="K960" s="18"/>
      <c r="L960" s="18"/>
      <c r="M960" s="22" t="str">
        <f t="shared" si="1"/>
        <v/>
      </c>
      <c r="N960" s="18" t="str">
        <f>IF(A960="",,IF(ROW()=2, Input!$C$2 + I960, P959 + I960))</f>
        <v/>
      </c>
      <c r="O960" s="23" t="str">
        <f>IF(A960="",,
 IF(K960="Initial principal",
   Input!$C$2 * M960,
   N960 * M960
 )
)</f>
        <v/>
      </c>
      <c r="P960" s="18" t="str">
        <f t="shared" si="2"/>
        <v/>
      </c>
      <c r="Q960" s="18" t="str">
        <f t="shared" si="3"/>
        <v/>
      </c>
      <c r="R960" s="18" t="str">
        <f t="array" ref="R960">IF(
  B960="",
  ,
  SWITCH(
    Input!$C$4,
    "Actual/365 Fixed",
      YEARFRAC(
        B960 + IF(INDEX(Input!$K$7:$K1503,ROW()-1),0,1),
        C960 + IF(INDEX(Input!$L$7:$L1503,ROW()-1),1,0),
        3
      ),
    "Anniversary/365",
      DATEDIF(
        B960 + IF(INDEX(Input!$K$7:$K1503,ROW()-1),0,1),
        C960 + IF(INDEX(Input!$L$7:$L1503,ROW()-1),1,0),
        "Y"
      )
      +
      (
        (C960 + IF(INDEX(Input!$L$7:$L1503,ROW()-1),1,0))
        -
        EDATE(
          B960 + IF(INDEX(Input!$K$7:$K1503,ROW()-1),0,1),
          12*DATEDIF(
            B960 + IF(INDEX(Input!$K$7:$K1503,ROW()-1),0,1),
            C960 + IF(INDEX(Input!$L$7:$L1503,ROW()-1),1,0),
            "Y"
          )
        )
      ) / 365,
    "Actual/Actual",
      YEARFRAC(
        B960 + IF(INDEX(Input!$K$7:$K1503,ROW()-1),0,1),
        C960 + IF(INDEX(Input!$L$7:$L1503,ROW()-1),1,0),
        1
      ),
      YEARFRAC(
        B960 + IF(INDEX(Input!$K$7:$K1503,ROW()-1),0,1),
        C960 + IF(INDEX(Input!$L$7:$L1503,ROW()-1),1,0),
        3
      )
  )
)</f>
        <v/>
      </c>
      <c r="S960" s="22" t="str">
        <f t="shared" si="4"/>
        <v/>
      </c>
      <c r="T960" s="6" t="str">
        <f t="array" ref="T960">IF(
  B960="",
  ,
  DATEDIF(
    B960 + IF(INDEX(Input!$K$7:$K1503,ROW()-1),0,1),
    C960 + IF(INDEX(Input!$L$7:$L1503,ROW()-1),1,0),
    "Y"
  )
)</f>
        <v/>
      </c>
      <c r="U960" s="6" t="str">
        <f t="array" ref="U960">IF(
  B960="",
  ,
  (C960 + IF(INDEX(Input!$L$7:$L1503,ROW()-1),1,0))
  - EDATE(
      B960 + IF(INDEX(Input!$K$7:$K1503,ROW()-1),0,1),
      12*S960
    )
)</f>
        <v/>
      </c>
      <c r="V960" s="6" t="str">
        <f t="shared" si="5"/>
        <v/>
      </c>
      <c r="W960" s="6" t="str">
        <f t="shared" si="6"/>
        <v/>
      </c>
    </row>
    <row r="961">
      <c r="A961" s="18"/>
      <c r="B961" s="18"/>
      <c r="C961" s="18"/>
      <c r="D961" s="18"/>
      <c r="E961" s="18"/>
      <c r="F961" s="18"/>
      <c r="G961" s="22"/>
      <c r="H961" s="18"/>
      <c r="I961" s="18">
        <v>0.0</v>
      </c>
      <c r="J961" s="18">
        <v>0.0</v>
      </c>
      <c r="K961" s="18"/>
      <c r="L961" s="18"/>
      <c r="M961" s="22" t="str">
        <f t="shared" si="1"/>
        <v/>
      </c>
      <c r="N961" s="18" t="str">
        <f>IF(A961="",,IF(ROW()=2, Input!$C$2 + I961, P960 + I961))</f>
        <v/>
      </c>
      <c r="O961" s="23" t="str">
        <f>IF(A961="",,
 IF(K961="Initial principal",
   Input!$C$2 * M961,
   N961 * M961
 )
)</f>
        <v/>
      </c>
      <c r="P961" s="18" t="str">
        <f t="shared" si="2"/>
        <v/>
      </c>
      <c r="Q961" s="18" t="str">
        <f t="shared" si="3"/>
        <v/>
      </c>
      <c r="R961" s="18" t="str">
        <f t="array" ref="R961">IF(
  B961="",
  ,
  SWITCH(
    Input!$C$4,
    "Actual/365 Fixed",
      YEARFRAC(
        B961 + IF(INDEX(Input!$K$7:$K1503,ROW()-1),0,1),
        C961 + IF(INDEX(Input!$L$7:$L1503,ROW()-1),1,0),
        3
      ),
    "Anniversary/365",
      DATEDIF(
        B961 + IF(INDEX(Input!$K$7:$K1503,ROW()-1),0,1),
        C961 + IF(INDEX(Input!$L$7:$L1503,ROW()-1),1,0),
        "Y"
      )
      +
      (
        (C961 + IF(INDEX(Input!$L$7:$L1503,ROW()-1),1,0))
        -
        EDATE(
          B961 + IF(INDEX(Input!$K$7:$K1503,ROW()-1),0,1),
          12*DATEDIF(
            B961 + IF(INDEX(Input!$K$7:$K1503,ROW()-1),0,1),
            C961 + IF(INDEX(Input!$L$7:$L1503,ROW()-1),1,0),
            "Y"
          )
        )
      ) / 365,
    "Actual/Actual",
      YEARFRAC(
        B961 + IF(INDEX(Input!$K$7:$K1503,ROW()-1),0,1),
        C961 + IF(INDEX(Input!$L$7:$L1503,ROW()-1),1,0),
        1
      ),
      YEARFRAC(
        B961 + IF(INDEX(Input!$K$7:$K1503,ROW()-1),0,1),
        C961 + IF(INDEX(Input!$L$7:$L1503,ROW()-1),1,0),
        3
      )
  )
)</f>
        <v/>
      </c>
      <c r="S961" s="22" t="str">
        <f t="shared" si="4"/>
        <v/>
      </c>
      <c r="T961" s="6" t="str">
        <f t="array" ref="T961">IF(
  B961="",
  ,
  DATEDIF(
    B961 + IF(INDEX(Input!$K$7:$K1503,ROW()-1),0,1),
    C961 + IF(INDEX(Input!$L$7:$L1503,ROW()-1),1,0),
    "Y"
  )
)</f>
        <v/>
      </c>
      <c r="U961" s="6" t="str">
        <f t="array" ref="U961">IF(
  B961="",
  ,
  (C961 + IF(INDEX(Input!$L$7:$L1503,ROW()-1),1,0))
  - EDATE(
      B961 + IF(INDEX(Input!$K$7:$K1503,ROW()-1),0,1),
      12*S961
    )
)</f>
        <v/>
      </c>
      <c r="V961" s="6" t="str">
        <f t="shared" si="5"/>
        <v/>
      </c>
      <c r="W961" s="6" t="str">
        <f t="shared" si="6"/>
        <v/>
      </c>
    </row>
    <row r="962">
      <c r="A962" s="18"/>
      <c r="B962" s="18"/>
      <c r="C962" s="18"/>
      <c r="D962" s="18"/>
      <c r="E962" s="18"/>
      <c r="F962" s="18"/>
      <c r="G962" s="22"/>
      <c r="H962" s="18"/>
      <c r="I962" s="18">
        <v>0.0</v>
      </c>
      <c r="J962" s="18">
        <v>0.0</v>
      </c>
      <c r="K962" s="18"/>
      <c r="L962" s="18"/>
      <c r="M962" s="22" t="str">
        <f t="shared" si="1"/>
        <v/>
      </c>
      <c r="N962" s="18" t="str">
        <f>IF(A962="",,IF(ROW()=2, Input!$C$2 + I962, P961 + I962))</f>
        <v/>
      </c>
      <c r="O962" s="23" t="str">
        <f>IF(A962="",,
 IF(K962="Initial principal",
   Input!$C$2 * M962,
   N962 * M962
 )
)</f>
        <v/>
      </c>
      <c r="P962" s="18" t="str">
        <f t="shared" si="2"/>
        <v/>
      </c>
      <c r="Q962" s="18" t="str">
        <f t="shared" si="3"/>
        <v/>
      </c>
      <c r="R962" s="18" t="str">
        <f t="array" ref="R962">IF(
  B962="",
  ,
  SWITCH(
    Input!$C$4,
    "Actual/365 Fixed",
      YEARFRAC(
        B962 + IF(INDEX(Input!$K$7:$K1503,ROW()-1),0,1),
        C962 + IF(INDEX(Input!$L$7:$L1503,ROW()-1),1,0),
        3
      ),
    "Anniversary/365",
      DATEDIF(
        B962 + IF(INDEX(Input!$K$7:$K1503,ROW()-1),0,1),
        C962 + IF(INDEX(Input!$L$7:$L1503,ROW()-1),1,0),
        "Y"
      )
      +
      (
        (C962 + IF(INDEX(Input!$L$7:$L1503,ROW()-1),1,0))
        -
        EDATE(
          B962 + IF(INDEX(Input!$K$7:$K1503,ROW()-1),0,1),
          12*DATEDIF(
            B962 + IF(INDEX(Input!$K$7:$K1503,ROW()-1),0,1),
            C962 + IF(INDEX(Input!$L$7:$L1503,ROW()-1),1,0),
            "Y"
          )
        )
      ) / 365,
    "Actual/Actual",
      YEARFRAC(
        B962 + IF(INDEX(Input!$K$7:$K1503,ROW()-1),0,1),
        C962 + IF(INDEX(Input!$L$7:$L1503,ROW()-1),1,0),
        1
      ),
      YEARFRAC(
        B962 + IF(INDEX(Input!$K$7:$K1503,ROW()-1),0,1),
        C962 + IF(INDEX(Input!$L$7:$L1503,ROW()-1),1,0),
        3
      )
  )
)</f>
        <v/>
      </c>
      <c r="S962" s="22" t="str">
        <f t="shared" si="4"/>
        <v/>
      </c>
      <c r="T962" s="6" t="str">
        <f t="array" ref="T962">IF(
  B962="",
  ,
  DATEDIF(
    B962 + IF(INDEX(Input!$K$7:$K1503,ROW()-1),0,1),
    C962 + IF(INDEX(Input!$L$7:$L1503,ROW()-1),1,0),
    "Y"
  )
)</f>
        <v/>
      </c>
      <c r="U962" s="6" t="str">
        <f t="array" ref="U962">IF(
  B962="",
  ,
  (C962 + IF(INDEX(Input!$L$7:$L1503,ROW()-1),1,0))
  - EDATE(
      B962 + IF(INDEX(Input!$K$7:$K1503,ROW()-1),0,1),
      12*S962
    )
)</f>
        <v/>
      </c>
      <c r="V962" s="6" t="str">
        <f t="shared" si="5"/>
        <v/>
      </c>
      <c r="W962" s="6" t="str">
        <f t="shared" si="6"/>
        <v/>
      </c>
    </row>
    <row r="963">
      <c r="A963" s="18"/>
      <c r="B963" s="18"/>
      <c r="C963" s="18"/>
      <c r="D963" s="18"/>
      <c r="E963" s="18"/>
      <c r="F963" s="18"/>
      <c r="G963" s="22"/>
      <c r="H963" s="18"/>
      <c r="I963" s="18">
        <v>0.0</v>
      </c>
      <c r="J963" s="18">
        <v>0.0</v>
      </c>
      <c r="K963" s="18"/>
      <c r="L963" s="18"/>
      <c r="M963" s="22" t="str">
        <f t="shared" si="1"/>
        <v/>
      </c>
      <c r="N963" s="18" t="str">
        <f>IF(A963="",,IF(ROW()=2, Input!$C$2 + I963, P962 + I963))</f>
        <v/>
      </c>
      <c r="O963" s="23" t="str">
        <f>IF(A963="",,
 IF(K963="Initial principal",
   Input!$C$2 * M963,
   N963 * M963
 )
)</f>
        <v/>
      </c>
      <c r="P963" s="18" t="str">
        <f t="shared" si="2"/>
        <v/>
      </c>
      <c r="Q963" s="18" t="str">
        <f t="shared" si="3"/>
        <v/>
      </c>
      <c r="R963" s="18" t="str">
        <f t="array" ref="R963">IF(
  B963="",
  ,
  SWITCH(
    Input!$C$4,
    "Actual/365 Fixed",
      YEARFRAC(
        B963 + IF(INDEX(Input!$K$7:$K1503,ROW()-1),0,1),
        C963 + IF(INDEX(Input!$L$7:$L1503,ROW()-1),1,0),
        3
      ),
    "Anniversary/365",
      DATEDIF(
        B963 + IF(INDEX(Input!$K$7:$K1503,ROW()-1),0,1),
        C963 + IF(INDEX(Input!$L$7:$L1503,ROW()-1),1,0),
        "Y"
      )
      +
      (
        (C963 + IF(INDEX(Input!$L$7:$L1503,ROW()-1),1,0))
        -
        EDATE(
          B963 + IF(INDEX(Input!$K$7:$K1503,ROW()-1),0,1),
          12*DATEDIF(
            B963 + IF(INDEX(Input!$K$7:$K1503,ROW()-1),0,1),
            C963 + IF(INDEX(Input!$L$7:$L1503,ROW()-1),1,0),
            "Y"
          )
        )
      ) / 365,
    "Actual/Actual",
      YEARFRAC(
        B963 + IF(INDEX(Input!$K$7:$K1503,ROW()-1),0,1),
        C963 + IF(INDEX(Input!$L$7:$L1503,ROW()-1),1,0),
        1
      ),
      YEARFRAC(
        B963 + IF(INDEX(Input!$K$7:$K1503,ROW()-1),0,1),
        C963 + IF(INDEX(Input!$L$7:$L1503,ROW()-1),1,0),
        3
      )
  )
)</f>
        <v/>
      </c>
      <c r="S963" s="22" t="str">
        <f t="shared" si="4"/>
        <v/>
      </c>
      <c r="T963" s="6" t="str">
        <f t="array" ref="T963">IF(
  B963="",
  ,
  DATEDIF(
    B963 + IF(INDEX(Input!$K$7:$K1503,ROW()-1),0,1),
    C963 + IF(INDEX(Input!$L$7:$L1503,ROW()-1),1,0),
    "Y"
  )
)</f>
        <v/>
      </c>
      <c r="U963" s="6" t="str">
        <f t="array" ref="U963">IF(
  B963="",
  ,
  (C963 + IF(INDEX(Input!$L$7:$L1503,ROW()-1),1,0))
  - EDATE(
      B963 + IF(INDEX(Input!$K$7:$K1503,ROW()-1),0,1),
      12*S963
    )
)</f>
        <v/>
      </c>
      <c r="V963" s="6" t="str">
        <f t="shared" si="5"/>
        <v/>
      </c>
      <c r="W963" s="6" t="str">
        <f t="shared" si="6"/>
        <v/>
      </c>
    </row>
    <row r="964">
      <c r="A964" s="18"/>
      <c r="B964" s="18"/>
      <c r="C964" s="18"/>
      <c r="D964" s="18"/>
      <c r="E964" s="18"/>
      <c r="F964" s="18"/>
      <c r="G964" s="22"/>
      <c r="H964" s="18"/>
      <c r="I964" s="18">
        <v>0.0</v>
      </c>
      <c r="J964" s="18">
        <v>0.0</v>
      </c>
      <c r="K964" s="18"/>
      <c r="L964" s="18"/>
      <c r="M964" s="22" t="str">
        <f t="shared" si="1"/>
        <v/>
      </c>
      <c r="N964" s="18" t="str">
        <f>IF(A964="",,IF(ROW()=2, Input!$C$2 + I964, P963 + I964))</f>
        <v/>
      </c>
      <c r="O964" s="23" t="str">
        <f>IF(A964="",,
 IF(K964="Initial principal",
   Input!$C$2 * M964,
   N964 * M964
 )
)</f>
        <v/>
      </c>
      <c r="P964" s="18" t="str">
        <f t="shared" si="2"/>
        <v/>
      </c>
      <c r="Q964" s="18" t="str">
        <f t="shared" si="3"/>
        <v/>
      </c>
      <c r="R964" s="18" t="str">
        <f t="array" ref="R964">IF(
  B964="",
  ,
  SWITCH(
    Input!$C$4,
    "Actual/365 Fixed",
      YEARFRAC(
        B964 + IF(INDEX(Input!$K$7:$K1503,ROW()-1),0,1),
        C964 + IF(INDEX(Input!$L$7:$L1503,ROW()-1),1,0),
        3
      ),
    "Anniversary/365",
      DATEDIF(
        B964 + IF(INDEX(Input!$K$7:$K1503,ROW()-1),0,1),
        C964 + IF(INDEX(Input!$L$7:$L1503,ROW()-1),1,0),
        "Y"
      )
      +
      (
        (C964 + IF(INDEX(Input!$L$7:$L1503,ROW()-1),1,0))
        -
        EDATE(
          B964 + IF(INDEX(Input!$K$7:$K1503,ROW()-1),0,1),
          12*DATEDIF(
            B964 + IF(INDEX(Input!$K$7:$K1503,ROW()-1),0,1),
            C964 + IF(INDEX(Input!$L$7:$L1503,ROW()-1),1,0),
            "Y"
          )
        )
      ) / 365,
    "Actual/Actual",
      YEARFRAC(
        B964 + IF(INDEX(Input!$K$7:$K1503,ROW()-1),0,1),
        C964 + IF(INDEX(Input!$L$7:$L1503,ROW()-1),1,0),
        1
      ),
      YEARFRAC(
        B964 + IF(INDEX(Input!$K$7:$K1503,ROW()-1),0,1),
        C964 + IF(INDEX(Input!$L$7:$L1503,ROW()-1),1,0),
        3
      )
  )
)</f>
        <v/>
      </c>
      <c r="S964" s="22" t="str">
        <f t="shared" si="4"/>
        <v/>
      </c>
      <c r="T964" s="6" t="str">
        <f t="array" ref="T964">IF(
  B964="",
  ,
  DATEDIF(
    B964 + IF(INDEX(Input!$K$7:$K1503,ROW()-1),0,1),
    C964 + IF(INDEX(Input!$L$7:$L1503,ROW()-1),1,0),
    "Y"
  )
)</f>
        <v/>
      </c>
      <c r="U964" s="6" t="str">
        <f t="array" ref="U964">IF(
  B964="",
  ,
  (C964 + IF(INDEX(Input!$L$7:$L1503,ROW()-1),1,0))
  - EDATE(
      B964 + IF(INDEX(Input!$K$7:$K1503,ROW()-1),0,1),
      12*S964
    )
)</f>
        <v/>
      </c>
      <c r="V964" s="6" t="str">
        <f t="shared" si="5"/>
        <v/>
      </c>
      <c r="W964" s="6" t="str">
        <f t="shared" si="6"/>
        <v/>
      </c>
    </row>
    <row r="965">
      <c r="A965" s="18"/>
      <c r="B965" s="18"/>
      <c r="C965" s="18"/>
      <c r="D965" s="18"/>
      <c r="E965" s="18"/>
      <c r="F965" s="18"/>
      <c r="G965" s="22"/>
      <c r="H965" s="18"/>
      <c r="I965" s="18">
        <v>0.0</v>
      </c>
      <c r="J965" s="18">
        <v>0.0</v>
      </c>
      <c r="K965" s="18"/>
      <c r="L965" s="18"/>
      <c r="M965" s="22" t="str">
        <f t="shared" si="1"/>
        <v/>
      </c>
      <c r="N965" s="18" t="str">
        <f>IF(A965="",,IF(ROW()=2, Input!$C$2 + I965, P964 + I965))</f>
        <v/>
      </c>
      <c r="O965" s="23" t="str">
        <f>IF(A965="",,
 IF(K965="Initial principal",
   Input!$C$2 * M965,
   N965 * M965
 )
)</f>
        <v/>
      </c>
      <c r="P965" s="18" t="str">
        <f t="shared" si="2"/>
        <v/>
      </c>
      <c r="Q965" s="18" t="str">
        <f t="shared" si="3"/>
        <v/>
      </c>
      <c r="R965" s="18" t="str">
        <f t="array" ref="R965">IF(
  B965="",
  ,
  SWITCH(
    Input!$C$4,
    "Actual/365 Fixed",
      YEARFRAC(
        B965 + IF(INDEX(Input!$K$7:$K1503,ROW()-1),0,1),
        C965 + IF(INDEX(Input!$L$7:$L1503,ROW()-1),1,0),
        3
      ),
    "Anniversary/365",
      DATEDIF(
        B965 + IF(INDEX(Input!$K$7:$K1503,ROW()-1),0,1),
        C965 + IF(INDEX(Input!$L$7:$L1503,ROW()-1),1,0),
        "Y"
      )
      +
      (
        (C965 + IF(INDEX(Input!$L$7:$L1503,ROW()-1),1,0))
        -
        EDATE(
          B965 + IF(INDEX(Input!$K$7:$K1503,ROW()-1),0,1),
          12*DATEDIF(
            B965 + IF(INDEX(Input!$K$7:$K1503,ROW()-1),0,1),
            C965 + IF(INDEX(Input!$L$7:$L1503,ROW()-1),1,0),
            "Y"
          )
        )
      ) / 365,
    "Actual/Actual",
      YEARFRAC(
        B965 + IF(INDEX(Input!$K$7:$K1503,ROW()-1),0,1),
        C965 + IF(INDEX(Input!$L$7:$L1503,ROW()-1),1,0),
        1
      ),
      YEARFRAC(
        B965 + IF(INDEX(Input!$K$7:$K1503,ROW()-1),0,1),
        C965 + IF(INDEX(Input!$L$7:$L1503,ROW()-1),1,0),
        3
      )
  )
)</f>
        <v/>
      </c>
      <c r="S965" s="22" t="str">
        <f t="shared" si="4"/>
        <v/>
      </c>
      <c r="T965" s="6" t="str">
        <f t="array" ref="T965">IF(
  B965="",
  ,
  DATEDIF(
    B965 + IF(INDEX(Input!$K$7:$K1503,ROW()-1),0,1),
    C965 + IF(INDEX(Input!$L$7:$L1503,ROW()-1),1,0),
    "Y"
  )
)</f>
        <v/>
      </c>
      <c r="U965" s="6" t="str">
        <f t="array" ref="U965">IF(
  B965="",
  ,
  (C965 + IF(INDEX(Input!$L$7:$L1503,ROW()-1),1,0))
  - EDATE(
      B965 + IF(INDEX(Input!$K$7:$K1503,ROW()-1),0,1),
      12*S965
    )
)</f>
        <v/>
      </c>
      <c r="V965" s="6" t="str">
        <f t="shared" si="5"/>
        <v/>
      </c>
      <c r="W965" s="6" t="str">
        <f t="shared" si="6"/>
        <v/>
      </c>
    </row>
    <row r="966">
      <c r="A966" s="18"/>
      <c r="B966" s="18"/>
      <c r="C966" s="18"/>
      <c r="D966" s="18"/>
      <c r="E966" s="18"/>
      <c r="F966" s="18"/>
      <c r="G966" s="22"/>
      <c r="H966" s="18"/>
      <c r="I966" s="18">
        <v>0.0</v>
      </c>
      <c r="J966" s="18">
        <v>0.0</v>
      </c>
      <c r="K966" s="18"/>
      <c r="L966" s="18"/>
      <c r="M966" s="22" t="str">
        <f t="shared" si="1"/>
        <v/>
      </c>
      <c r="N966" s="18" t="str">
        <f>IF(A966="",,IF(ROW()=2, Input!$C$2 + I966, P965 + I966))</f>
        <v/>
      </c>
      <c r="O966" s="23" t="str">
        <f>IF(A966="",,
 IF(K966="Initial principal",
   Input!$C$2 * M966,
   N966 * M966
 )
)</f>
        <v/>
      </c>
      <c r="P966" s="18" t="str">
        <f t="shared" si="2"/>
        <v/>
      </c>
      <c r="Q966" s="18" t="str">
        <f t="shared" si="3"/>
        <v/>
      </c>
      <c r="R966" s="18" t="str">
        <f t="array" ref="R966">IF(
  B966="",
  ,
  SWITCH(
    Input!$C$4,
    "Actual/365 Fixed",
      YEARFRAC(
        B966 + IF(INDEX(Input!$K$7:$K1503,ROW()-1),0,1),
        C966 + IF(INDEX(Input!$L$7:$L1503,ROW()-1),1,0),
        3
      ),
    "Anniversary/365",
      DATEDIF(
        B966 + IF(INDEX(Input!$K$7:$K1503,ROW()-1),0,1),
        C966 + IF(INDEX(Input!$L$7:$L1503,ROW()-1),1,0),
        "Y"
      )
      +
      (
        (C966 + IF(INDEX(Input!$L$7:$L1503,ROW()-1),1,0))
        -
        EDATE(
          B966 + IF(INDEX(Input!$K$7:$K1503,ROW()-1),0,1),
          12*DATEDIF(
            B966 + IF(INDEX(Input!$K$7:$K1503,ROW()-1),0,1),
            C966 + IF(INDEX(Input!$L$7:$L1503,ROW()-1),1,0),
            "Y"
          )
        )
      ) / 365,
    "Actual/Actual",
      YEARFRAC(
        B966 + IF(INDEX(Input!$K$7:$K1503,ROW()-1),0,1),
        C966 + IF(INDEX(Input!$L$7:$L1503,ROW()-1),1,0),
        1
      ),
      YEARFRAC(
        B966 + IF(INDEX(Input!$K$7:$K1503,ROW()-1),0,1),
        C966 + IF(INDEX(Input!$L$7:$L1503,ROW()-1),1,0),
        3
      )
  )
)</f>
        <v/>
      </c>
      <c r="S966" s="22" t="str">
        <f t="shared" si="4"/>
        <v/>
      </c>
      <c r="T966" s="6" t="str">
        <f t="array" ref="T966">IF(
  B966="",
  ,
  DATEDIF(
    B966 + IF(INDEX(Input!$K$7:$K1503,ROW()-1),0,1),
    C966 + IF(INDEX(Input!$L$7:$L1503,ROW()-1),1,0),
    "Y"
  )
)</f>
        <v/>
      </c>
      <c r="U966" s="6" t="str">
        <f t="array" ref="U966">IF(
  B966="",
  ,
  (C966 + IF(INDEX(Input!$L$7:$L1503,ROW()-1),1,0))
  - EDATE(
      B966 + IF(INDEX(Input!$K$7:$K1503,ROW()-1),0,1),
      12*S966
    )
)</f>
        <v/>
      </c>
      <c r="V966" s="6" t="str">
        <f t="shared" si="5"/>
        <v/>
      </c>
      <c r="W966" s="6" t="str">
        <f t="shared" si="6"/>
        <v/>
      </c>
    </row>
    <row r="967">
      <c r="A967" s="18"/>
      <c r="B967" s="18"/>
      <c r="C967" s="18"/>
      <c r="D967" s="18"/>
      <c r="E967" s="18"/>
      <c r="F967" s="18"/>
      <c r="G967" s="22"/>
      <c r="H967" s="18"/>
      <c r="I967" s="18">
        <v>0.0</v>
      </c>
      <c r="J967" s="18">
        <v>0.0</v>
      </c>
      <c r="K967" s="18"/>
      <c r="L967" s="18"/>
      <c r="M967" s="22" t="str">
        <f t="shared" si="1"/>
        <v/>
      </c>
      <c r="N967" s="18" t="str">
        <f>IF(A967="",,IF(ROW()=2, Input!$C$2 + I967, P966 + I967))</f>
        <v/>
      </c>
      <c r="O967" s="23" t="str">
        <f>IF(A967="",,
 IF(K967="Initial principal",
   Input!$C$2 * M967,
   N967 * M967
 )
)</f>
        <v/>
      </c>
      <c r="P967" s="18" t="str">
        <f t="shared" si="2"/>
        <v/>
      </c>
      <c r="Q967" s="18" t="str">
        <f t="shared" si="3"/>
        <v/>
      </c>
      <c r="R967" s="18" t="str">
        <f t="array" ref="R967">IF(
  B967="",
  ,
  SWITCH(
    Input!$C$4,
    "Actual/365 Fixed",
      YEARFRAC(
        B967 + IF(INDEX(Input!$K$7:$K1503,ROW()-1),0,1),
        C967 + IF(INDEX(Input!$L$7:$L1503,ROW()-1),1,0),
        3
      ),
    "Anniversary/365",
      DATEDIF(
        B967 + IF(INDEX(Input!$K$7:$K1503,ROW()-1),0,1),
        C967 + IF(INDEX(Input!$L$7:$L1503,ROW()-1),1,0),
        "Y"
      )
      +
      (
        (C967 + IF(INDEX(Input!$L$7:$L1503,ROW()-1),1,0))
        -
        EDATE(
          B967 + IF(INDEX(Input!$K$7:$K1503,ROW()-1),0,1),
          12*DATEDIF(
            B967 + IF(INDEX(Input!$K$7:$K1503,ROW()-1),0,1),
            C967 + IF(INDEX(Input!$L$7:$L1503,ROW()-1),1,0),
            "Y"
          )
        )
      ) / 365,
    "Actual/Actual",
      YEARFRAC(
        B967 + IF(INDEX(Input!$K$7:$K1503,ROW()-1),0,1),
        C967 + IF(INDEX(Input!$L$7:$L1503,ROW()-1),1,0),
        1
      ),
      YEARFRAC(
        B967 + IF(INDEX(Input!$K$7:$K1503,ROW()-1),0,1),
        C967 + IF(INDEX(Input!$L$7:$L1503,ROW()-1),1,0),
        3
      )
  )
)</f>
        <v/>
      </c>
      <c r="S967" s="22" t="str">
        <f t="shared" si="4"/>
        <v/>
      </c>
      <c r="T967" s="6" t="str">
        <f t="array" ref="T967">IF(
  B967="",
  ,
  DATEDIF(
    B967 + IF(INDEX(Input!$K$7:$K1503,ROW()-1),0,1),
    C967 + IF(INDEX(Input!$L$7:$L1503,ROW()-1),1,0),
    "Y"
  )
)</f>
        <v/>
      </c>
      <c r="U967" s="6" t="str">
        <f t="array" ref="U967">IF(
  B967="",
  ,
  (C967 + IF(INDEX(Input!$L$7:$L1503,ROW()-1),1,0))
  - EDATE(
      B967 + IF(INDEX(Input!$K$7:$K1503,ROW()-1),0,1),
      12*S967
    )
)</f>
        <v/>
      </c>
      <c r="V967" s="6" t="str">
        <f t="shared" si="5"/>
        <v/>
      </c>
      <c r="W967" s="6" t="str">
        <f t="shared" si="6"/>
        <v/>
      </c>
    </row>
    <row r="968">
      <c r="A968" s="18"/>
      <c r="B968" s="18"/>
      <c r="C968" s="18"/>
      <c r="D968" s="18"/>
      <c r="E968" s="18"/>
      <c r="F968" s="18"/>
      <c r="G968" s="22"/>
      <c r="H968" s="18"/>
      <c r="I968" s="18">
        <v>0.0</v>
      </c>
      <c r="J968" s="18">
        <v>0.0</v>
      </c>
      <c r="K968" s="18"/>
      <c r="L968" s="18"/>
      <c r="M968" s="22" t="str">
        <f t="shared" si="1"/>
        <v/>
      </c>
      <c r="N968" s="18" t="str">
        <f>IF(A968="",,IF(ROW()=2, Input!$C$2 + I968, P967 + I968))</f>
        <v/>
      </c>
      <c r="O968" s="23" t="str">
        <f>IF(A968="",,
 IF(K968="Initial principal",
   Input!$C$2 * M968,
   N968 * M968
 )
)</f>
        <v/>
      </c>
      <c r="P968" s="18" t="str">
        <f t="shared" si="2"/>
        <v/>
      </c>
      <c r="Q968" s="18" t="str">
        <f t="shared" si="3"/>
        <v/>
      </c>
      <c r="R968" s="18" t="str">
        <f t="array" ref="R968">IF(
  B968="",
  ,
  SWITCH(
    Input!$C$4,
    "Actual/365 Fixed",
      YEARFRAC(
        B968 + IF(INDEX(Input!$K$7:$K1503,ROW()-1),0,1),
        C968 + IF(INDEX(Input!$L$7:$L1503,ROW()-1),1,0),
        3
      ),
    "Anniversary/365",
      DATEDIF(
        B968 + IF(INDEX(Input!$K$7:$K1503,ROW()-1),0,1),
        C968 + IF(INDEX(Input!$L$7:$L1503,ROW()-1),1,0),
        "Y"
      )
      +
      (
        (C968 + IF(INDEX(Input!$L$7:$L1503,ROW()-1),1,0))
        -
        EDATE(
          B968 + IF(INDEX(Input!$K$7:$K1503,ROW()-1),0,1),
          12*DATEDIF(
            B968 + IF(INDEX(Input!$K$7:$K1503,ROW()-1),0,1),
            C968 + IF(INDEX(Input!$L$7:$L1503,ROW()-1),1,0),
            "Y"
          )
        )
      ) / 365,
    "Actual/Actual",
      YEARFRAC(
        B968 + IF(INDEX(Input!$K$7:$K1503,ROW()-1),0,1),
        C968 + IF(INDEX(Input!$L$7:$L1503,ROW()-1),1,0),
        1
      ),
      YEARFRAC(
        B968 + IF(INDEX(Input!$K$7:$K1503,ROW()-1),0,1),
        C968 + IF(INDEX(Input!$L$7:$L1503,ROW()-1),1,0),
        3
      )
  )
)</f>
        <v/>
      </c>
      <c r="S968" s="22" t="str">
        <f t="shared" si="4"/>
        <v/>
      </c>
      <c r="T968" s="6" t="str">
        <f t="array" ref="T968">IF(
  B968="",
  ,
  DATEDIF(
    B968 + IF(INDEX(Input!$K$7:$K1503,ROW()-1),0,1),
    C968 + IF(INDEX(Input!$L$7:$L1503,ROW()-1),1,0),
    "Y"
  )
)</f>
        <v/>
      </c>
      <c r="U968" s="6" t="str">
        <f t="array" ref="U968">IF(
  B968="",
  ,
  (C968 + IF(INDEX(Input!$L$7:$L1503,ROW()-1),1,0))
  - EDATE(
      B968 + IF(INDEX(Input!$K$7:$K1503,ROW()-1),0,1),
      12*S968
    )
)</f>
        <v/>
      </c>
      <c r="V968" s="6" t="str">
        <f t="shared" si="5"/>
        <v/>
      </c>
      <c r="W968" s="6" t="str">
        <f t="shared" si="6"/>
        <v/>
      </c>
    </row>
    <row r="969">
      <c r="A969" s="18"/>
      <c r="B969" s="18"/>
      <c r="C969" s="18"/>
      <c r="D969" s="18"/>
      <c r="E969" s="18"/>
      <c r="F969" s="18"/>
      <c r="G969" s="22"/>
      <c r="H969" s="18"/>
      <c r="I969" s="18">
        <v>0.0</v>
      </c>
      <c r="J969" s="18">
        <v>0.0</v>
      </c>
      <c r="K969" s="18"/>
      <c r="L969" s="18"/>
      <c r="M969" s="22" t="str">
        <f t="shared" si="1"/>
        <v/>
      </c>
      <c r="N969" s="18" t="str">
        <f>IF(A969="",,IF(ROW()=2, Input!$C$2 + I969, P968 + I969))</f>
        <v/>
      </c>
      <c r="O969" s="23" t="str">
        <f>IF(A969="",,
 IF(K969="Initial principal",
   Input!$C$2 * M969,
   N969 * M969
 )
)</f>
        <v/>
      </c>
      <c r="P969" s="18" t="str">
        <f t="shared" si="2"/>
        <v/>
      </c>
      <c r="Q969" s="18" t="str">
        <f t="shared" si="3"/>
        <v/>
      </c>
      <c r="R969" s="18" t="str">
        <f t="array" ref="R969">IF(
  B969="",
  ,
  SWITCH(
    Input!$C$4,
    "Actual/365 Fixed",
      YEARFRAC(
        B969 + IF(INDEX(Input!$K$7:$K1503,ROW()-1),0,1),
        C969 + IF(INDEX(Input!$L$7:$L1503,ROW()-1),1,0),
        3
      ),
    "Anniversary/365",
      DATEDIF(
        B969 + IF(INDEX(Input!$K$7:$K1503,ROW()-1),0,1),
        C969 + IF(INDEX(Input!$L$7:$L1503,ROW()-1),1,0),
        "Y"
      )
      +
      (
        (C969 + IF(INDEX(Input!$L$7:$L1503,ROW()-1),1,0))
        -
        EDATE(
          B969 + IF(INDEX(Input!$K$7:$K1503,ROW()-1),0,1),
          12*DATEDIF(
            B969 + IF(INDEX(Input!$K$7:$K1503,ROW()-1),0,1),
            C969 + IF(INDEX(Input!$L$7:$L1503,ROW()-1),1,0),
            "Y"
          )
        )
      ) / 365,
    "Actual/Actual",
      YEARFRAC(
        B969 + IF(INDEX(Input!$K$7:$K1503,ROW()-1),0,1),
        C969 + IF(INDEX(Input!$L$7:$L1503,ROW()-1),1,0),
        1
      ),
      YEARFRAC(
        B969 + IF(INDEX(Input!$K$7:$K1503,ROW()-1),0,1),
        C969 + IF(INDEX(Input!$L$7:$L1503,ROW()-1),1,0),
        3
      )
  )
)</f>
        <v/>
      </c>
      <c r="S969" s="22" t="str">
        <f t="shared" si="4"/>
        <v/>
      </c>
      <c r="T969" s="6" t="str">
        <f t="array" ref="T969">IF(
  B969="",
  ,
  DATEDIF(
    B969 + IF(INDEX(Input!$K$7:$K1503,ROW()-1),0,1),
    C969 + IF(INDEX(Input!$L$7:$L1503,ROW()-1),1,0),
    "Y"
  )
)</f>
        <v/>
      </c>
      <c r="U969" s="6" t="str">
        <f t="array" ref="U969">IF(
  B969="",
  ,
  (C969 + IF(INDEX(Input!$L$7:$L1503,ROW()-1),1,0))
  - EDATE(
      B969 + IF(INDEX(Input!$K$7:$K1503,ROW()-1),0,1),
      12*S969
    )
)</f>
        <v/>
      </c>
      <c r="V969" s="6" t="str">
        <f t="shared" si="5"/>
        <v/>
      </c>
      <c r="W969" s="6" t="str">
        <f t="shared" si="6"/>
        <v/>
      </c>
    </row>
    <row r="970">
      <c r="A970" s="18"/>
      <c r="B970" s="18"/>
      <c r="C970" s="18"/>
      <c r="D970" s="18"/>
      <c r="E970" s="18"/>
      <c r="F970" s="18"/>
      <c r="G970" s="22"/>
      <c r="H970" s="18"/>
      <c r="I970" s="18">
        <v>0.0</v>
      </c>
      <c r="J970" s="18">
        <v>0.0</v>
      </c>
      <c r="K970" s="18"/>
      <c r="L970" s="18"/>
      <c r="M970" s="22" t="str">
        <f t="shared" si="1"/>
        <v/>
      </c>
      <c r="N970" s="18" t="str">
        <f>IF(A970="",,IF(ROW()=2, Input!$C$2 + I970, P969 + I970))</f>
        <v/>
      </c>
      <c r="O970" s="23" t="str">
        <f>IF(A970="",,
 IF(K970="Initial principal",
   Input!$C$2 * M970,
   N970 * M970
 )
)</f>
        <v/>
      </c>
      <c r="P970" s="18" t="str">
        <f t="shared" si="2"/>
        <v/>
      </c>
      <c r="Q970" s="18" t="str">
        <f t="shared" si="3"/>
        <v/>
      </c>
      <c r="R970" s="18" t="str">
        <f t="array" ref="R970">IF(
  B970="",
  ,
  SWITCH(
    Input!$C$4,
    "Actual/365 Fixed",
      YEARFRAC(
        B970 + IF(INDEX(Input!$K$7:$K1503,ROW()-1),0,1),
        C970 + IF(INDEX(Input!$L$7:$L1503,ROW()-1),1,0),
        3
      ),
    "Anniversary/365",
      DATEDIF(
        B970 + IF(INDEX(Input!$K$7:$K1503,ROW()-1),0,1),
        C970 + IF(INDEX(Input!$L$7:$L1503,ROW()-1),1,0),
        "Y"
      )
      +
      (
        (C970 + IF(INDEX(Input!$L$7:$L1503,ROW()-1),1,0))
        -
        EDATE(
          B970 + IF(INDEX(Input!$K$7:$K1503,ROW()-1),0,1),
          12*DATEDIF(
            B970 + IF(INDEX(Input!$K$7:$K1503,ROW()-1),0,1),
            C970 + IF(INDEX(Input!$L$7:$L1503,ROW()-1),1,0),
            "Y"
          )
        )
      ) / 365,
    "Actual/Actual",
      YEARFRAC(
        B970 + IF(INDEX(Input!$K$7:$K1503,ROW()-1),0,1),
        C970 + IF(INDEX(Input!$L$7:$L1503,ROW()-1),1,0),
        1
      ),
      YEARFRAC(
        B970 + IF(INDEX(Input!$K$7:$K1503,ROW()-1),0,1),
        C970 + IF(INDEX(Input!$L$7:$L1503,ROW()-1),1,0),
        3
      )
  )
)</f>
        <v/>
      </c>
      <c r="S970" s="22" t="str">
        <f t="shared" si="4"/>
        <v/>
      </c>
      <c r="T970" s="6" t="str">
        <f t="array" ref="T970">IF(
  B970="",
  ,
  DATEDIF(
    B970 + IF(INDEX(Input!$K$7:$K1503,ROW()-1),0,1),
    C970 + IF(INDEX(Input!$L$7:$L1503,ROW()-1),1,0),
    "Y"
  )
)</f>
        <v/>
      </c>
      <c r="U970" s="6" t="str">
        <f t="array" ref="U970">IF(
  B970="",
  ,
  (C970 + IF(INDEX(Input!$L$7:$L1503,ROW()-1),1,0))
  - EDATE(
      B970 + IF(INDEX(Input!$K$7:$K1503,ROW()-1),0,1),
      12*S970
    )
)</f>
        <v/>
      </c>
      <c r="V970" s="6" t="str">
        <f t="shared" si="5"/>
        <v/>
      </c>
      <c r="W970" s="6" t="str">
        <f t="shared" si="6"/>
        <v/>
      </c>
    </row>
    <row r="971">
      <c r="A971" s="18"/>
      <c r="B971" s="18"/>
      <c r="C971" s="18"/>
      <c r="D971" s="18"/>
      <c r="E971" s="18"/>
      <c r="F971" s="18"/>
      <c r="G971" s="22"/>
      <c r="H971" s="18"/>
      <c r="I971" s="18">
        <v>0.0</v>
      </c>
      <c r="J971" s="18">
        <v>0.0</v>
      </c>
      <c r="K971" s="18"/>
      <c r="L971" s="18"/>
      <c r="M971" s="22" t="str">
        <f t="shared" si="1"/>
        <v/>
      </c>
      <c r="N971" s="18" t="str">
        <f>IF(A971="",,IF(ROW()=2, Input!$C$2 + I971, P970 + I971))</f>
        <v/>
      </c>
      <c r="O971" s="23" t="str">
        <f>IF(A971="",,
 IF(K971="Initial principal",
   Input!$C$2 * M971,
   N971 * M971
 )
)</f>
        <v/>
      </c>
      <c r="P971" s="18" t="str">
        <f t="shared" si="2"/>
        <v/>
      </c>
      <c r="Q971" s="18" t="str">
        <f t="shared" si="3"/>
        <v/>
      </c>
      <c r="R971" s="18" t="str">
        <f t="array" ref="R971">IF(
  B971="",
  ,
  SWITCH(
    Input!$C$4,
    "Actual/365 Fixed",
      YEARFRAC(
        B971 + IF(INDEX(Input!$K$7:$K1503,ROW()-1),0,1),
        C971 + IF(INDEX(Input!$L$7:$L1503,ROW()-1),1,0),
        3
      ),
    "Anniversary/365",
      DATEDIF(
        B971 + IF(INDEX(Input!$K$7:$K1503,ROW()-1),0,1),
        C971 + IF(INDEX(Input!$L$7:$L1503,ROW()-1),1,0),
        "Y"
      )
      +
      (
        (C971 + IF(INDEX(Input!$L$7:$L1503,ROW()-1),1,0))
        -
        EDATE(
          B971 + IF(INDEX(Input!$K$7:$K1503,ROW()-1),0,1),
          12*DATEDIF(
            B971 + IF(INDEX(Input!$K$7:$K1503,ROW()-1),0,1),
            C971 + IF(INDEX(Input!$L$7:$L1503,ROW()-1),1,0),
            "Y"
          )
        )
      ) / 365,
    "Actual/Actual",
      YEARFRAC(
        B971 + IF(INDEX(Input!$K$7:$K1503,ROW()-1),0,1),
        C971 + IF(INDEX(Input!$L$7:$L1503,ROW()-1),1,0),
        1
      ),
      YEARFRAC(
        B971 + IF(INDEX(Input!$K$7:$K1503,ROW()-1),0,1),
        C971 + IF(INDEX(Input!$L$7:$L1503,ROW()-1),1,0),
        3
      )
  )
)</f>
        <v/>
      </c>
      <c r="S971" s="22" t="str">
        <f t="shared" si="4"/>
        <v/>
      </c>
      <c r="T971" s="6" t="str">
        <f t="array" ref="T971">IF(
  B971="",
  ,
  DATEDIF(
    B971 + IF(INDEX(Input!$K$7:$K1503,ROW()-1),0,1),
    C971 + IF(INDEX(Input!$L$7:$L1503,ROW()-1),1,0),
    "Y"
  )
)</f>
        <v/>
      </c>
      <c r="U971" s="6" t="str">
        <f t="array" ref="U971">IF(
  B971="",
  ,
  (C971 + IF(INDEX(Input!$L$7:$L1503,ROW()-1),1,0))
  - EDATE(
      B971 + IF(INDEX(Input!$K$7:$K1503,ROW()-1),0,1),
      12*S971
    )
)</f>
        <v/>
      </c>
      <c r="V971" s="6" t="str">
        <f t="shared" si="5"/>
        <v/>
      </c>
      <c r="W971" s="6" t="str">
        <f t="shared" si="6"/>
        <v/>
      </c>
    </row>
    <row r="972">
      <c r="A972" s="18"/>
      <c r="B972" s="18"/>
      <c r="C972" s="18"/>
      <c r="D972" s="18"/>
      <c r="E972" s="18"/>
      <c r="F972" s="18"/>
      <c r="G972" s="22"/>
      <c r="H972" s="18"/>
      <c r="I972" s="18">
        <v>0.0</v>
      </c>
      <c r="J972" s="18">
        <v>0.0</v>
      </c>
      <c r="K972" s="18"/>
      <c r="L972" s="18"/>
      <c r="M972" s="22" t="str">
        <f t="shared" si="1"/>
        <v/>
      </c>
      <c r="N972" s="18" t="str">
        <f>IF(A972="",,IF(ROW()=2, Input!$C$2 + I972, P971 + I972))</f>
        <v/>
      </c>
      <c r="O972" s="23" t="str">
        <f>IF(A972="",,
 IF(K972="Initial principal",
   Input!$C$2 * M972,
   N972 * M972
 )
)</f>
        <v/>
      </c>
      <c r="P972" s="18" t="str">
        <f t="shared" si="2"/>
        <v/>
      </c>
      <c r="Q972" s="18" t="str">
        <f t="shared" si="3"/>
        <v/>
      </c>
      <c r="R972" s="18" t="str">
        <f t="array" ref="R972">IF(
  B972="",
  ,
  SWITCH(
    Input!$C$4,
    "Actual/365 Fixed",
      YEARFRAC(
        B972 + IF(INDEX(Input!$K$7:$K1503,ROW()-1),0,1),
        C972 + IF(INDEX(Input!$L$7:$L1503,ROW()-1),1,0),
        3
      ),
    "Anniversary/365",
      DATEDIF(
        B972 + IF(INDEX(Input!$K$7:$K1503,ROW()-1),0,1),
        C972 + IF(INDEX(Input!$L$7:$L1503,ROW()-1),1,0),
        "Y"
      )
      +
      (
        (C972 + IF(INDEX(Input!$L$7:$L1503,ROW()-1),1,0))
        -
        EDATE(
          B972 + IF(INDEX(Input!$K$7:$K1503,ROW()-1),0,1),
          12*DATEDIF(
            B972 + IF(INDEX(Input!$K$7:$K1503,ROW()-1),0,1),
            C972 + IF(INDEX(Input!$L$7:$L1503,ROW()-1),1,0),
            "Y"
          )
        )
      ) / 365,
    "Actual/Actual",
      YEARFRAC(
        B972 + IF(INDEX(Input!$K$7:$K1503,ROW()-1),0,1),
        C972 + IF(INDEX(Input!$L$7:$L1503,ROW()-1),1,0),
        1
      ),
      YEARFRAC(
        B972 + IF(INDEX(Input!$K$7:$K1503,ROW()-1),0,1),
        C972 + IF(INDEX(Input!$L$7:$L1503,ROW()-1),1,0),
        3
      )
  )
)</f>
        <v/>
      </c>
      <c r="S972" s="22" t="str">
        <f t="shared" si="4"/>
        <v/>
      </c>
      <c r="T972" s="6" t="str">
        <f t="array" ref="T972">IF(
  B972="",
  ,
  DATEDIF(
    B972 + IF(INDEX(Input!$K$7:$K1503,ROW()-1),0,1),
    C972 + IF(INDEX(Input!$L$7:$L1503,ROW()-1),1,0),
    "Y"
  )
)</f>
        <v/>
      </c>
      <c r="U972" s="6" t="str">
        <f t="array" ref="U972">IF(
  B972="",
  ,
  (C972 + IF(INDEX(Input!$L$7:$L1503,ROW()-1),1,0))
  - EDATE(
      B972 + IF(INDEX(Input!$K$7:$K1503,ROW()-1),0,1),
      12*S972
    )
)</f>
        <v/>
      </c>
      <c r="V972" s="6" t="str">
        <f t="shared" si="5"/>
        <v/>
      </c>
      <c r="W972" s="6" t="str">
        <f t="shared" si="6"/>
        <v/>
      </c>
    </row>
    <row r="973">
      <c r="A973" s="18"/>
      <c r="B973" s="18"/>
      <c r="C973" s="18"/>
      <c r="D973" s="18"/>
      <c r="E973" s="18"/>
      <c r="F973" s="18"/>
      <c r="G973" s="22"/>
      <c r="H973" s="18"/>
      <c r="I973" s="18">
        <v>0.0</v>
      </c>
      <c r="J973" s="18">
        <v>0.0</v>
      </c>
      <c r="K973" s="18"/>
      <c r="L973" s="18"/>
      <c r="M973" s="22" t="str">
        <f t="shared" si="1"/>
        <v/>
      </c>
      <c r="N973" s="18" t="str">
        <f>IF(A973="",,IF(ROW()=2, Input!$C$2 + I973, P972 + I973))</f>
        <v/>
      </c>
      <c r="O973" s="23" t="str">
        <f>IF(A973="",,
 IF(K973="Initial principal",
   Input!$C$2 * M973,
   N973 * M973
 )
)</f>
        <v/>
      </c>
      <c r="P973" s="18" t="str">
        <f t="shared" si="2"/>
        <v/>
      </c>
      <c r="Q973" s="18" t="str">
        <f t="shared" si="3"/>
        <v/>
      </c>
      <c r="R973" s="18" t="str">
        <f t="array" ref="R973">IF(
  B973="",
  ,
  SWITCH(
    Input!$C$4,
    "Actual/365 Fixed",
      YEARFRAC(
        B973 + IF(INDEX(Input!$K$7:$K1503,ROW()-1),0,1),
        C973 + IF(INDEX(Input!$L$7:$L1503,ROW()-1),1,0),
        3
      ),
    "Anniversary/365",
      DATEDIF(
        B973 + IF(INDEX(Input!$K$7:$K1503,ROW()-1),0,1),
        C973 + IF(INDEX(Input!$L$7:$L1503,ROW()-1),1,0),
        "Y"
      )
      +
      (
        (C973 + IF(INDEX(Input!$L$7:$L1503,ROW()-1),1,0))
        -
        EDATE(
          B973 + IF(INDEX(Input!$K$7:$K1503,ROW()-1),0,1),
          12*DATEDIF(
            B973 + IF(INDEX(Input!$K$7:$K1503,ROW()-1),0,1),
            C973 + IF(INDEX(Input!$L$7:$L1503,ROW()-1),1,0),
            "Y"
          )
        )
      ) / 365,
    "Actual/Actual",
      YEARFRAC(
        B973 + IF(INDEX(Input!$K$7:$K1503,ROW()-1),0,1),
        C973 + IF(INDEX(Input!$L$7:$L1503,ROW()-1),1,0),
        1
      ),
      YEARFRAC(
        B973 + IF(INDEX(Input!$K$7:$K1503,ROW()-1),0,1),
        C973 + IF(INDEX(Input!$L$7:$L1503,ROW()-1),1,0),
        3
      )
  )
)</f>
        <v/>
      </c>
      <c r="S973" s="22" t="str">
        <f t="shared" si="4"/>
        <v/>
      </c>
      <c r="T973" s="6" t="str">
        <f t="array" ref="T973">IF(
  B973="",
  ,
  DATEDIF(
    B973 + IF(INDEX(Input!$K$7:$K1503,ROW()-1),0,1),
    C973 + IF(INDEX(Input!$L$7:$L1503,ROW()-1),1,0),
    "Y"
  )
)</f>
        <v/>
      </c>
      <c r="U973" s="6" t="str">
        <f t="array" ref="U973">IF(
  B973="",
  ,
  (C973 + IF(INDEX(Input!$L$7:$L1503,ROW()-1),1,0))
  - EDATE(
      B973 + IF(INDEX(Input!$K$7:$K1503,ROW()-1),0,1),
      12*S973
    )
)</f>
        <v/>
      </c>
      <c r="V973" s="6" t="str">
        <f t="shared" si="5"/>
        <v/>
      </c>
      <c r="W973" s="6" t="str">
        <f t="shared" si="6"/>
        <v/>
      </c>
    </row>
    <row r="974">
      <c r="A974" s="18"/>
      <c r="B974" s="18"/>
      <c r="C974" s="18"/>
      <c r="D974" s="18"/>
      <c r="E974" s="18"/>
      <c r="F974" s="18"/>
      <c r="G974" s="22"/>
      <c r="H974" s="18"/>
      <c r="I974" s="18">
        <v>0.0</v>
      </c>
      <c r="J974" s="18">
        <v>0.0</v>
      </c>
      <c r="K974" s="18"/>
      <c r="L974" s="18"/>
      <c r="M974" s="22" t="str">
        <f t="shared" si="1"/>
        <v/>
      </c>
      <c r="N974" s="18" t="str">
        <f>IF(A974="",,IF(ROW()=2, Input!$C$2 + I974, P973 + I974))</f>
        <v/>
      </c>
      <c r="O974" s="23" t="str">
        <f>IF(A974="",,
 IF(K974="Initial principal",
   Input!$C$2 * M974,
   N974 * M974
 )
)</f>
        <v/>
      </c>
      <c r="P974" s="18" t="str">
        <f t="shared" si="2"/>
        <v/>
      </c>
      <c r="Q974" s="18" t="str">
        <f t="shared" si="3"/>
        <v/>
      </c>
      <c r="R974" s="18" t="str">
        <f t="array" ref="R974">IF(
  B974="",
  ,
  SWITCH(
    Input!$C$4,
    "Actual/365 Fixed",
      YEARFRAC(
        B974 + IF(INDEX(Input!$K$7:$K1503,ROW()-1),0,1),
        C974 + IF(INDEX(Input!$L$7:$L1503,ROW()-1),1,0),
        3
      ),
    "Anniversary/365",
      DATEDIF(
        B974 + IF(INDEX(Input!$K$7:$K1503,ROW()-1),0,1),
        C974 + IF(INDEX(Input!$L$7:$L1503,ROW()-1),1,0),
        "Y"
      )
      +
      (
        (C974 + IF(INDEX(Input!$L$7:$L1503,ROW()-1),1,0))
        -
        EDATE(
          B974 + IF(INDEX(Input!$K$7:$K1503,ROW()-1),0,1),
          12*DATEDIF(
            B974 + IF(INDEX(Input!$K$7:$K1503,ROW()-1),0,1),
            C974 + IF(INDEX(Input!$L$7:$L1503,ROW()-1),1,0),
            "Y"
          )
        )
      ) / 365,
    "Actual/Actual",
      YEARFRAC(
        B974 + IF(INDEX(Input!$K$7:$K1503,ROW()-1),0,1),
        C974 + IF(INDEX(Input!$L$7:$L1503,ROW()-1),1,0),
        1
      ),
      YEARFRAC(
        B974 + IF(INDEX(Input!$K$7:$K1503,ROW()-1),0,1),
        C974 + IF(INDEX(Input!$L$7:$L1503,ROW()-1),1,0),
        3
      )
  )
)</f>
        <v/>
      </c>
      <c r="S974" s="22" t="str">
        <f t="shared" si="4"/>
        <v/>
      </c>
      <c r="T974" s="6" t="str">
        <f t="array" ref="T974">IF(
  B974="",
  ,
  DATEDIF(
    B974 + IF(INDEX(Input!$K$7:$K1503,ROW()-1),0,1),
    C974 + IF(INDEX(Input!$L$7:$L1503,ROW()-1),1,0),
    "Y"
  )
)</f>
        <v/>
      </c>
      <c r="U974" s="6" t="str">
        <f t="array" ref="U974">IF(
  B974="",
  ,
  (C974 + IF(INDEX(Input!$L$7:$L1503,ROW()-1),1,0))
  - EDATE(
      B974 + IF(INDEX(Input!$K$7:$K1503,ROW()-1),0,1),
      12*S974
    )
)</f>
        <v/>
      </c>
      <c r="V974" s="6" t="str">
        <f t="shared" si="5"/>
        <v/>
      </c>
      <c r="W974" s="6" t="str">
        <f t="shared" si="6"/>
        <v/>
      </c>
    </row>
    <row r="975">
      <c r="A975" s="18"/>
      <c r="B975" s="18"/>
      <c r="C975" s="18"/>
      <c r="D975" s="18"/>
      <c r="E975" s="18"/>
      <c r="F975" s="18"/>
      <c r="G975" s="22"/>
      <c r="H975" s="18"/>
      <c r="I975" s="18">
        <v>0.0</v>
      </c>
      <c r="J975" s="18">
        <v>0.0</v>
      </c>
      <c r="K975" s="18"/>
      <c r="L975" s="18"/>
      <c r="M975" s="22" t="str">
        <f t="shared" si="1"/>
        <v/>
      </c>
      <c r="N975" s="18" t="str">
        <f>IF(A975="",,IF(ROW()=2, Input!$C$2 + I975, P974 + I975))</f>
        <v/>
      </c>
      <c r="O975" s="23" t="str">
        <f>IF(A975="",,
 IF(K975="Initial principal",
   Input!$C$2 * M975,
   N975 * M975
 )
)</f>
        <v/>
      </c>
      <c r="P975" s="18" t="str">
        <f t="shared" si="2"/>
        <v/>
      </c>
      <c r="Q975" s="18" t="str">
        <f t="shared" si="3"/>
        <v/>
      </c>
      <c r="R975" s="18" t="str">
        <f t="array" ref="R975">IF(
  B975="",
  ,
  SWITCH(
    Input!$C$4,
    "Actual/365 Fixed",
      YEARFRAC(
        B975 + IF(INDEX(Input!$K$7:$K1503,ROW()-1),0,1),
        C975 + IF(INDEX(Input!$L$7:$L1503,ROW()-1),1,0),
        3
      ),
    "Anniversary/365",
      DATEDIF(
        B975 + IF(INDEX(Input!$K$7:$K1503,ROW()-1),0,1),
        C975 + IF(INDEX(Input!$L$7:$L1503,ROW()-1),1,0),
        "Y"
      )
      +
      (
        (C975 + IF(INDEX(Input!$L$7:$L1503,ROW()-1),1,0))
        -
        EDATE(
          B975 + IF(INDEX(Input!$K$7:$K1503,ROW()-1),0,1),
          12*DATEDIF(
            B975 + IF(INDEX(Input!$K$7:$K1503,ROW()-1),0,1),
            C975 + IF(INDEX(Input!$L$7:$L1503,ROW()-1),1,0),
            "Y"
          )
        )
      ) / 365,
    "Actual/Actual",
      YEARFRAC(
        B975 + IF(INDEX(Input!$K$7:$K1503,ROW()-1),0,1),
        C975 + IF(INDEX(Input!$L$7:$L1503,ROW()-1),1,0),
        1
      ),
      YEARFRAC(
        B975 + IF(INDEX(Input!$K$7:$K1503,ROW()-1),0,1),
        C975 + IF(INDEX(Input!$L$7:$L1503,ROW()-1),1,0),
        3
      )
  )
)</f>
        <v/>
      </c>
      <c r="S975" s="22" t="str">
        <f t="shared" si="4"/>
        <v/>
      </c>
      <c r="T975" s="6" t="str">
        <f t="array" ref="T975">IF(
  B975="",
  ,
  DATEDIF(
    B975 + IF(INDEX(Input!$K$7:$K1503,ROW()-1),0,1),
    C975 + IF(INDEX(Input!$L$7:$L1503,ROW()-1),1,0),
    "Y"
  )
)</f>
        <v/>
      </c>
      <c r="U975" s="6" t="str">
        <f t="array" ref="U975">IF(
  B975="",
  ,
  (C975 + IF(INDEX(Input!$L$7:$L1503,ROW()-1),1,0))
  - EDATE(
      B975 + IF(INDEX(Input!$K$7:$K1503,ROW()-1),0,1),
      12*S975
    )
)</f>
        <v/>
      </c>
      <c r="V975" s="6" t="str">
        <f t="shared" si="5"/>
        <v/>
      </c>
      <c r="W975" s="6" t="str">
        <f t="shared" si="6"/>
        <v/>
      </c>
    </row>
    <row r="976">
      <c r="A976" s="18"/>
      <c r="B976" s="18"/>
      <c r="C976" s="18"/>
      <c r="D976" s="18"/>
      <c r="E976" s="18"/>
      <c r="F976" s="18"/>
      <c r="G976" s="22"/>
      <c r="H976" s="18"/>
      <c r="I976" s="18">
        <v>0.0</v>
      </c>
      <c r="J976" s="18">
        <v>0.0</v>
      </c>
      <c r="K976" s="18"/>
      <c r="L976" s="18"/>
      <c r="M976" s="22" t="str">
        <f t="shared" si="1"/>
        <v/>
      </c>
      <c r="N976" s="18" t="str">
        <f>IF(A976="",,IF(ROW()=2, Input!$C$2 + I976, P975 + I976))</f>
        <v/>
      </c>
      <c r="O976" s="23" t="str">
        <f>IF(A976="",,
 IF(K976="Initial principal",
   Input!$C$2 * M976,
   N976 * M976
 )
)</f>
        <v/>
      </c>
      <c r="P976" s="18" t="str">
        <f t="shared" si="2"/>
        <v/>
      </c>
      <c r="Q976" s="18" t="str">
        <f t="shared" si="3"/>
        <v/>
      </c>
      <c r="R976" s="18" t="str">
        <f t="array" ref="R976">IF(
  B976="",
  ,
  SWITCH(
    Input!$C$4,
    "Actual/365 Fixed",
      YEARFRAC(
        B976 + IF(INDEX(Input!$K$7:$K1503,ROW()-1),0,1),
        C976 + IF(INDEX(Input!$L$7:$L1503,ROW()-1),1,0),
        3
      ),
    "Anniversary/365",
      DATEDIF(
        B976 + IF(INDEX(Input!$K$7:$K1503,ROW()-1),0,1),
        C976 + IF(INDEX(Input!$L$7:$L1503,ROW()-1),1,0),
        "Y"
      )
      +
      (
        (C976 + IF(INDEX(Input!$L$7:$L1503,ROW()-1),1,0))
        -
        EDATE(
          B976 + IF(INDEX(Input!$K$7:$K1503,ROW()-1),0,1),
          12*DATEDIF(
            B976 + IF(INDEX(Input!$K$7:$K1503,ROW()-1),0,1),
            C976 + IF(INDEX(Input!$L$7:$L1503,ROW()-1),1,0),
            "Y"
          )
        )
      ) / 365,
    "Actual/Actual",
      YEARFRAC(
        B976 + IF(INDEX(Input!$K$7:$K1503,ROW()-1),0,1),
        C976 + IF(INDEX(Input!$L$7:$L1503,ROW()-1),1,0),
        1
      ),
      YEARFRAC(
        B976 + IF(INDEX(Input!$K$7:$K1503,ROW()-1),0,1),
        C976 + IF(INDEX(Input!$L$7:$L1503,ROW()-1),1,0),
        3
      )
  )
)</f>
        <v/>
      </c>
      <c r="S976" s="22" t="str">
        <f t="shared" si="4"/>
        <v/>
      </c>
      <c r="T976" s="6" t="str">
        <f t="array" ref="T976">IF(
  B976="",
  ,
  DATEDIF(
    B976 + IF(INDEX(Input!$K$7:$K1503,ROW()-1),0,1),
    C976 + IF(INDEX(Input!$L$7:$L1503,ROW()-1),1,0),
    "Y"
  )
)</f>
        <v/>
      </c>
      <c r="U976" s="6" t="str">
        <f t="array" ref="U976">IF(
  B976="",
  ,
  (C976 + IF(INDEX(Input!$L$7:$L1503,ROW()-1),1,0))
  - EDATE(
      B976 + IF(INDEX(Input!$K$7:$K1503,ROW()-1),0,1),
      12*S976
    )
)</f>
        <v/>
      </c>
      <c r="V976" s="6" t="str">
        <f t="shared" si="5"/>
        <v/>
      </c>
      <c r="W976" s="6" t="str">
        <f t="shared" si="6"/>
        <v/>
      </c>
    </row>
    <row r="977">
      <c r="A977" s="18"/>
      <c r="B977" s="18"/>
      <c r="C977" s="18"/>
      <c r="D977" s="18"/>
      <c r="E977" s="18"/>
      <c r="F977" s="18"/>
      <c r="G977" s="22"/>
      <c r="H977" s="18"/>
      <c r="I977" s="18">
        <v>0.0</v>
      </c>
      <c r="J977" s="18">
        <v>0.0</v>
      </c>
      <c r="K977" s="18"/>
      <c r="L977" s="18"/>
      <c r="M977" s="22" t="str">
        <f t="shared" si="1"/>
        <v/>
      </c>
      <c r="N977" s="18" t="str">
        <f>IF(A977="",,IF(ROW()=2, Input!$C$2 + I977, P976 + I977))</f>
        <v/>
      </c>
      <c r="O977" s="23" t="str">
        <f>IF(A977="",,
 IF(K977="Initial principal",
   Input!$C$2 * M977,
   N977 * M977
 )
)</f>
        <v/>
      </c>
      <c r="P977" s="18" t="str">
        <f t="shared" si="2"/>
        <v/>
      </c>
      <c r="Q977" s="18" t="str">
        <f t="shared" si="3"/>
        <v/>
      </c>
      <c r="R977" s="18" t="str">
        <f t="array" ref="R977">IF(
  B977="",
  ,
  SWITCH(
    Input!$C$4,
    "Actual/365 Fixed",
      YEARFRAC(
        B977 + IF(INDEX(Input!$K$7:$K1503,ROW()-1),0,1),
        C977 + IF(INDEX(Input!$L$7:$L1503,ROW()-1),1,0),
        3
      ),
    "Anniversary/365",
      DATEDIF(
        B977 + IF(INDEX(Input!$K$7:$K1503,ROW()-1),0,1),
        C977 + IF(INDEX(Input!$L$7:$L1503,ROW()-1),1,0),
        "Y"
      )
      +
      (
        (C977 + IF(INDEX(Input!$L$7:$L1503,ROW()-1),1,0))
        -
        EDATE(
          B977 + IF(INDEX(Input!$K$7:$K1503,ROW()-1),0,1),
          12*DATEDIF(
            B977 + IF(INDEX(Input!$K$7:$K1503,ROW()-1),0,1),
            C977 + IF(INDEX(Input!$L$7:$L1503,ROW()-1),1,0),
            "Y"
          )
        )
      ) / 365,
    "Actual/Actual",
      YEARFRAC(
        B977 + IF(INDEX(Input!$K$7:$K1503,ROW()-1),0,1),
        C977 + IF(INDEX(Input!$L$7:$L1503,ROW()-1),1,0),
        1
      ),
      YEARFRAC(
        B977 + IF(INDEX(Input!$K$7:$K1503,ROW()-1),0,1),
        C977 + IF(INDEX(Input!$L$7:$L1503,ROW()-1),1,0),
        3
      )
  )
)</f>
        <v/>
      </c>
      <c r="S977" s="22" t="str">
        <f t="shared" si="4"/>
        <v/>
      </c>
      <c r="T977" s="6" t="str">
        <f t="array" ref="T977">IF(
  B977="",
  ,
  DATEDIF(
    B977 + IF(INDEX(Input!$K$7:$K1503,ROW()-1),0,1),
    C977 + IF(INDEX(Input!$L$7:$L1503,ROW()-1),1,0),
    "Y"
  )
)</f>
        <v/>
      </c>
      <c r="U977" s="6" t="str">
        <f t="array" ref="U977">IF(
  B977="",
  ,
  (C977 + IF(INDEX(Input!$L$7:$L1503,ROW()-1),1,0))
  - EDATE(
      B977 + IF(INDEX(Input!$K$7:$K1503,ROW()-1),0,1),
      12*S977
    )
)</f>
        <v/>
      </c>
      <c r="V977" s="6" t="str">
        <f t="shared" si="5"/>
        <v/>
      </c>
      <c r="W977" s="6" t="str">
        <f t="shared" si="6"/>
        <v/>
      </c>
    </row>
    <row r="978">
      <c r="A978" s="18"/>
      <c r="B978" s="18"/>
      <c r="C978" s="18"/>
      <c r="D978" s="18"/>
      <c r="E978" s="18"/>
      <c r="F978" s="18"/>
      <c r="G978" s="22"/>
      <c r="H978" s="18"/>
      <c r="I978" s="18">
        <v>0.0</v>
      </c>
      <c r="J978" s="18">
        <v>0.0</v>
      </c>
      <c r="K978" s="18"/>
      <c r="L978" s="18"/>
      <c r="M978" s="22" t="str">
        <f t="shared" si="1"/>
        <v/>
      </c>
      <c r="N978" s="18" t="str">
        <f>IF(A978="",,IF(ROW()=2, Input!$C$2 + I978, P977 + I978))</f>
        <v/>
      </c>
      <c r="O978" s="23" t="str">
        <f>IF(A978="",,
 IF(K978="Initial principal",
   Input!$C$2 * M978,
   N978 * M978
 )
)</f>
        <v/>
      </c>
      <c r="P978" s="18" t="str">
        <f t="shared" si="2"/>
        <v/>
      </c>
      <c r="Q978" s="18" t="str">
        <f t="shared" si="3"/>
        <v/>
      </c>
      <c r="R978" s="18" t="str">
        <f t="array" ref="R978">IF(
  B978="",
  ,
  SWITCH(
    Input!$C$4,
    "Actual/365 Fixed",
      YEARFRAC(
        B978 + IF(INDEX(Input!$K$7:$K1503,ROW()-1),0,1),
        C978 + IF(INDEX(Input!$L$7:$L1503,ROW()-1),1,0),
        3
      ),
    "Anniversary/365",
      DATEDIF(
        B978 + IF(INDEX(Input!$K$7:$K1503,ROW()-1),0,1),
        C978 + IF(INDEX(Input!$L$7:$L1503,ROW()-1),1,0),
        "Y"
      )
      +
      (
        (C978 + IF(INDEX(Input!$L$7:$L1503,ROW()-1),1,0))
        -
        EDATE(
          B978 + IF(INDEX(Input!$K$7:$K1503,ROW()-1),0,1),
          12*DATEDIF(
            B978 + IF(INDEX(Input!$K$7:$K1503,ROW()-1),0,1),
            C978 + IF(INDEX(Input!$L$7:$L1503,ROW()-1),1,0),
            "Y"
          )
        )
      ) / 365,
    "Actual/Actual",
      YEARFRAC(
        B978 + IF(INDEX(Input!$K$7:$K1503,ROW()-1),0,1),
        C978 + IF(INDEX(Input!$L$7:$L1503,ROW()-1),1,0),
        1
      ),
      YEARFRAC(
        B978 + IF(INDEX(Input!$K$7:$K1503,ROW()-1),0,1),
        C978 + IF(INDEX(Input!$L$7:$L1503,ROW()-1),1,0),
        3
      )
  )
)</f>
        <v/>
      </c>
      <c r="S978" s="22" t="str">
        <f t="shared" si="4"/>
        <v/>
      </c>
      <c r="T978" s="6" t="str">
        <f t="array" ref="T978">IF(
  B978="",
  ,
  DATEDIF(
    B978 + IF(INDEX(Input!$K$7:$K1503,ROW()-1),0,1),
    C978 + IF(INDEX(Input!$L$7:$L1503,ROW()-1),1,0),
    "Y"
  )
)</f>
        <v/>
      </c>
      <c r="U978" s="6" t="str">
        <f t="array" ref="U978">IF(
  B978="",
  ,
  (C978 + IF(INDEX(Input!$L$7:$L1503,ROW()-1),1,0))
  - EDATE(
      B978 + IF(INDEX(Input!$K$7:$K1503,ROW()-1),0,1),
      12*S978
    )
)</f>
        <v/>
      </c>
      <c r="V978" s="6" t="str">
        <f t="shared" si="5"/>
        <v/>
      </c>
      <c r="W978" s="6" t="str">
        <f t="shared" si="6"/>
        <v/>
      </c>
    </row>
    <row r="979">
      <c r="A979" s="18"/>
      <c r="B979" s="18"/>
      <c r="C979" s="18"/>
      <c r="D979" s="18"/>
      <c r="E979" s="18"/>
      <c r="F979" s="18"/>
      <c r="G979" s="22"/>
      <c r="H979" s="18"/>
      <c r="I979" s="18">
        <v>0.0</v>
      </c>
      <c r="J979" s="18">
        <v>0.0</v>
      </c>
      <c r="K979" s="18"/>
      <c r="L979" s="18"/>
      <c r="M979" s="22" t="str">
        <f t="shared" si="1"/>
        <v/>
      </c>
      <c r="N979" s="18" t="str">
        <f>IF(A979="",,IF(ROW()=2, Input!$C$2 + I979, P978 + I979))</f>
        <v/>
      </c>
      <c r="O979" s="23" t="str">
        <f>IF(A979="",,
 IF(K979="Initial principal",
   Input!$C$2 * M979,
   N979 * M979
 )
)</f>
        <v/>
      </c>
      <c r="P979" s="18" t="str">
        <f t="shared" si="2"/>
        <v/>
      </c>
      <c r="Q979" s="18" t="str">
        <f t="shared" si="3"/>
        <v/>
      </c>
      <c r="R979" s="18" t="str">
        <f t="array" ref="R979">IF(
  B979="",
  ,
  SWITCH(
    Input!$C$4,
    "Actual/365 Fixed",
      YEARFRAC(
        B979 + IF(INDEX(Input!$K$7:$K1503,ROW()-1),0,1),
        C979 + IF(INDEX(Input!$L$7:$L1503,ROW()-1),1,0),
        3
      ),
    "Anniversary/365",
      DATEDIF(
        B979 + IF(INDEX(Input!$K$7:$K1503,ROW()-1),0,1),
        C979 + IF(INDEX(Input!$L$7:$L1503,ROW()-1),1,0),
        "Y"
      )
      +
      (
        (C979 + IF(INDEX(Input!$L$7:$L1503,ROW()-1),1,0))
        -
        EDATE(
          B979 + IF(INDEX(Input!$K$7:$K1503,ROW()-1),0,1),
          12*DATEDIF(
            B979 + IF(INDEX(Input!$K$7:$K1503,ROW()-1),0,1),
            C979 + IF(INDEX(Input!$L$7:$L1503,ROW()-1),1,0),
            "Y"
          )
        )
      ) / 365,
    "Actual/Actual",
      YEARFRAC(
        B979 + IF(INDEX(Input!$K$7:$K1503,ROW()-1),0,1),
        C979 + IF(INDEX(Input!$L$7:$L1503,ROW()-1),1,0),
        1
      ),
      YEARFRAC(
        B979 + IF(INDEX(Input!$K$7:$K1503,ROW()-1),0,1),
        C979 + IF(INDEX(Input!$L$7:$L1503,ROW()-1),1,0),
        3
      )
  )
)</f>
        <v/>
      </c>
      <c r="S979" s="22" t="str">
        <f t="shared" si="4"/>
        <v/>
      </c>
      <c r="T979" s="6" t="str">
        <f t="array" ref="T979">IF(
  B979="",
  ,
  DATEDIF(
    B979 + IF(INDEX(Input!$K$7:$K1503,ROW()-1),0,1),
    C979 + IF(INDEX(Input!$L$7:$L1503,ROW()-1),1,0),
    "Y"
  )
)</f>
        <v/>
      </c>
      <c r="U979" s="6" t="str">
        <f t="array" ref="U979">IF(
  B979="",
  ,
  (C979 + IF(INDEX(Input!$L$7:$L1503,ROW()-1),1,0))
  - EDATE(
      B979 + IF(INDEX(Input!$K$7:$K1503,ROW()-1),0,1),
      12*S979
    )
)</f>
        <v/>
      </c>
      <c r="V979" s="6" t="str">
        <f t="shared" si="5"/>
        <v/>
      </c>
      <c r="W979" s="6" t="str">
        <f t="shared" si="6"/>
        <v/>
      </c>
    </row>
    <row r="980">
      <c r="A980" s="18"/>
      <c r="B980" s="18"/>
      <c r="C980" s="18"/>
      <c r="D980" s="18"/>
      <c r="E980" s="18"/>
      <c r="F980" s="18"/>
      <c r="G980" s="22"/>
      <c r="H980" s="18"/>
      <c r="I980" s="18">
        <v>0.0</v>
      </c>
      <c r="J980" s="18">
        <v>0.0</v>
      </c>
      <c r="K980" s="18"/>
      <c r="L980" s="18"/>
      <c r="M980" s="22" t="str">
        <f t="shared" si="1"/>
        <v/>
      </c>
      <c r="N980" s="18" t="str">
        <f>IF(A980="",,IF(ROW()=2, Input!$C$2 + I980, P979 + I980))</f>
        <v/>
      </c>
      <c r="O980" s="23" t="str">
        <f>IF(A980="",,
 IF(K980="Initial principal",
   Input!$C$2 * M980,
   N980 * M980
 )
)</f>
        <v/>
      </c>
      <c r="P980" s="18" t="str">
        <f t="shared" si="2"/>
        <v/>
      </c>
      <c r="Q980" s="18" t="str">
        <f t="shared" si="3"/>
        <v/>
      </c>
      <c r="R980" s="18" t="str">
        <f t="array" ref="R980">IF(
  B980="",
  ,
  SWITCH(
    Input!$C$4,
    "Actual/365 Fixed",
      YEARFRAC(
        B980 + IF(INDEX(Input!$K$7:$K1503,ROW()-1),0,1),
        C980 + IF(INDEX(Input!$L$7:$L1503,ROW()-1),1,0),
        3
      ),
    "Anniversary/365",
      DATEDIF(
        B980 + IF(INDEX(Input!$K$7:$K1503,ROW()-1),0,1),
        C980 + IF(INDEX(Input!$L$7:$L1503,ROW()-1),1,0),
        "Y"
      )
      +
      (
        (C980 + IF(INDEX(Input!$L$7:$L1503,ROW()-1),1,0))
        -
        EDATE(
          B980 + IF(INDEX(Input!$K$7:$K1503,ROW()-1),0,1),
          12*DATEDIF(
            B980 + IF(INDEX(Input!$K$7:$K1503,ROW()-1),0,1),
            C980 + IF(INDEX(Input!$L$7:$L1503,ROW()-1),1,0),
            "Y"
          )
        )
      ) / 365,
    "Actual/Actual",
      YEARFRAC(
        B980 + IF(INDEX(Input!$K$7:$K1503,ROW()-1),0,1),
        C980 + IF(INDEX(Input!$L$7:$L1503,ROW()-1),1,0),
        1
      ),
      YEARFRAC(
        B980 + IF(INDEX(Input!$K$7:$K1503,ROW()-1),0,1),
        C980 + IF(INDEX(Input!$L$7:$L1503,ROW()-1),1,0),
        3
      )
  )
)</f>
        <v/>
      </c>
      <c r="S980" s="22" t="str">
        <f t="shared" si="4"/>
        <v/>
      </c>
      <c r="T980" s="6" t="str">
        <f t="array" ref="T980">IF(
  B980="",
  ,
  DATEDIF(
    B980 + IF(INDEX(Input!$K$7:$K1503,ROW()-1),0,1),
    C980 + IF(INDEX(Input!$L$7:$L1503,ROW()-1),1,0),
    "Y"
  )
)</f>
        <v/>
      </c>
      <c r="U980" s="6" t="str">
        <f t="array" ref="U980">IF(
  B980="",
  ,
  (C980 + IF(INDEX(Input!$L$7:$L1503,ROW()-1),1,0))
  - EDATE(
      B980 + IF(INDEX(Input!$K$7:$K1503,ROW()-1),0,1),
      12*S980
    )
)</f>
        <v/>
      </c>
      <c r="V980" s="6" t="str">
        <f t="shared" si="5"/>
        <v/>
      </c>
      <c r="W980" s="6" t="str">
        <f t="shared" si="6"/>
        <v/>
      </c>
    </row>
    <row r="981">
      <c r="A981" s="18"/>
      <c r="B981" s="18"/>
      <c r="C981" s="18"/>
      <c r="D981" s="18"/>
      <c r="E981" s="18"/>
      <c r="F981" s="18"/>
      <c r="G981" s="22"/>
      <c r="H981" s="18"/>
      <c r="I981" s="18">
        <v>0.0</v>
      </c>
      <c r="J981" s="18">
        <v>0.0</v>
      </c>
      <c r="K981" s="18"/>
      <c r="L981" s="18"/>
      <c r="M981" s="22" t="str">
        <f t="shared" si="1"/>
        <v/>
      </c>
      <c r="N981" s="18" t="str">
        <f>IF(A981="",,IF(ROW()=2, Input!$C$2 + I981, P980 + I981))</f>
        <v/>
      </c>
      <c r="O981" s="23" t="str">
        <f>IF(A981="",,
 IF(K981="Initial principal",
   Input!$C$2 * M981,
   N981 * M981
 )
)</f>
        <v/>
      </c>
      <c r="P981" s="18" t="str">
        <f t="shared" si="2"/>
        <v/>
      </c>
      <c r="Q981" s="18" t="str">
        <f t="shared" si="3"/>
        <v/>
      </c>
      <c r="R981" s="18" t="str">
        <f t="array" ref="R981">IF(
  B981="",
  ,
  SWITCH(
    Input!$C$4,
    "Actual/365 Fixed",
      YEARFRAC(
        B981 + IF(INDEX(Input!$K$7:$K1503,ROW()-1),0,1),
        C981 + IF(INDEX(Input!$L$7:$L1503,ROW()-1),1,0),
        3
      ),
    "Anniversary/365",
      DATEDIF(
        B981 + IF(INDEX(Input!$K$7:$K1503,ROW()-1),0,1),
        C981 + IF(INDEX(Input!$L$7:$L1503,ROW()-1),1,0),
        "Y"
      )
      +
      (
        (C981 + IF(INDEX(Input!$L$7:$L1503,ROW()-1),1,0))
        -
        EDATE(
          B981 + IF(INDEX(Input!$K$7:$K1503,ROW()-1),0,1),
          12*DATEDIF(
            B981 + IF(INDEX(Input!$K$7:$K1503,ROW()-1),0,1),
            C981 + IF(INDEX(Input!$L$7:$L1503,ROW()-1),1,0),
            "Y"
          )
        )
      ) / 365,
    "Actual/Actual",
      YEARFRAC(
        B981 + IF(INDEX(Input!$K$7:$K1503,ROW()-1),0,1),
        C981 + IF(INDEX(Input!$L$7:$L1503,ROW()-1),1,0),
        1
      ),
      YEARFRAC(
        B981 + IF(INDEX(Input!$K$7:$K1503,ROW()-1),0,1),
        C981 + IF(INDEX(Input!$L$7:$L1503,ROW()-1),1,0),
        3
      )
  )
)</f>
        <v/>
      </c>
      <c r="S981" s="22" t="str">
        <f t="shared" si="4"/>
        <v/>
      </c>
      <c r="T981" s="6" t="str">
        <f t="array" ref="T981">IF(
  B981="",
  ,
  DATEDIF(
    B981 + IF(INDEX(Input!$K$7:$K1503,ROW()-1),0,1),
    C981 + IF(INDEX(Input!$L$7:$L1503,ROW()-1),1,0),
    "Y"
  )
)</f>
        <v/>
      </c>
      <c r="U981" s="6" t="str">
        <f t="array" ref="U981">IF(
  B981="",
  ,
  (C981 + IF(INDEX(Input!$L$7:$L1503,ROW()-1),1,0))
  - EDATE(
      B981 + IF(INDEX(Input!$K$7:$K1503,ROW()-1),0,1),
      12*S981
    )
)</f>
        <v/>
      </c>
      <c r="V981" s="6" t="str">
        <f t="shared" si="5"/>
        <v/>
      </c>
      <c r="W981" s="6" t="str">
        <f t="shared" si="6"/>
        <v/>
      </c>
    </row>
    <row r="982">
      <c r="A982" s="18"/>
      <c r="B982" s="18"/>
      <c r="C982" s="18"/>
      <c r="D982" s="18"/>
      <c r="E982" s="18"/>
      <c r="F982" s="18"/>
      <c r="G982" s="22"/>
      <c r="H982" s="18"/>
      <c r="I982" s="18">
        <v>0.0</v>
      </c>
      <c r="J982" s="18">
        <v>0.0</v>
      </c>
      <c r="K982" s="18"/>
      <c r="L982" s="18"/>
      <c r="M982" s="22" t="str">
        <f t="shared" si="1"/>
        <v/>
      </c>
      <c r="N982" s="18" t="str">
        <f>IF(A982="",,IF(ROW()=2, Input!$C$2 + I982, P981 + I982))</f>
        <v/>
      </c>
      <c r="O982" s="23" t="str">
        <f>IF(A982="",,
 IF(K982="Initial principal",
   Input!$C$2 * M982,
   N982 * M982
 )
)</f>
        <v/>
      </c>
      <c r="P982" s="18" t="str">
        <f t="shared" si="2"/>
        <v/>
      </c>
      <c r="Q982" s="18" t="str">
        <f t="shared" si="3"/>
        <v/>
      </c>
      <c r="R982" s="18" t="str">
        <f t="array" ref="R982">IF(
  B982="",
  ,
  SWITCH(
    Input!$C$4,
    "Actual/365 Fixed",
      YEARFRAC(
        B982 + IF(INDEX(Input!$K$7:$K1503,ROW()-1),0,1),
        C982 + IF(INDEX(Input!$L$7:$L1503,ROW()-1),1,0),
        3
      ),
    "Anniversary/365",
      DATEDIF(
        B982 + IF(INDEX(Input!$K$7:$K1503,ROW()-1),0,1),
        C982 + IF(INDEX(Input!$L$7:$L1503,ROW()-1),1,0),
        "Y"
      )
      +
      (
        (C982 + IF(INDEX(Input!$L$7:$L1503,ROW()-1),1,0))
        -
        EDATE(
          B982 + IF(INDEX(Input!$K$7:$K1503,ROW()-1),0,1),
          12*DATEDIF(
            B982 + IF(INDEX(Input!$K$7:$K1503,ROW()-1),0,1),
            C982 + IF(INDEX(Input!$L$7:$L1503,ROW()-1),1,0),
            "Y"
          )
        )
      ) / 365,
    "Actual/Actual",
      YEARFRAC(
        B982 + IF(INDEX(Input!$K$7:$K1503,ROW()-1),0,1),
        C982 + IF(INDEX(Input!$L$7:$L1503,ROW()-1),1,0),
        1
      ),
      YEARFRAC(
        B982 + IF(INDEX(Input!$K$7:$K1503,ROW()-1),0,1),
        C982 + IF(INDEX(Input!$L$7:$L1503,ROW()-1),1,0),
        3
      )
  )
)</f>
        <v/>
      </c>
      <c r="S982" s="22" t="str">
        <f t="shared" si="4"/>
        <v/>
      </c>
      <c r="T982" s="6" t="str">
        <f t="array" ref="T982">IF(
  B982="",
  ,
  DATEDIF(
    B982 + IF(INDEX(Input!$K$7:$K1503,ROW()-1),0,1),
    C982 + IF(INDEX(Input!$L$7:$L1503,ROW()-1),1,0),
    "Y"
  )
)</f>
        <v/>
      </c>
      <c r="U982" s="6" t="str">
        <f t="array" ref="U982">IF(
  B982="",
  ,
  (C982 + IF(INDEX(Input!$L$7:$L1503,ROW()-1),1,0))
  - EDATE(
      B982 + IF(INDEX(Input!$K$7:$K1503,ROW()-1),0,1),
      12*S982
    )
)</f>
        <v/>
      </c>
      <c r="V982" s="6" t="str">
        <f t="shared" si="5"/>
        <v/>
      </c>
      <c r="W982" s="6" t="str">
        <f t="shared" si="6"/>
        <v/>
      </c>
    </row>
    <row r="983">
      <c r="A983" s="18"/>
      <c r="B983" s="18"/>
      <c r="C983" s="18"/>
      <c r="D983" s="18"/>
      <c r="E983" s="18"/>
      <c r="F983" s="18"/>
      <c r="G983" s="22"/>
      <c r="H983" s="18"/>
      <c r="I983" s="18">
        <v>0.0</v>
      </c>
      <c r="J983" s="18">
        <v>0.0</v>
      </c>
      <c r="K983" s="18"/>
      <c r="L983" s="18"/>
      <c r="M983" s="22" t="str">
        <f t="shared" si="1"/>
        <v/>
      </c>
      <c r="N983" s="18" t="str">
        <f>IF(A983="",,IF(ROW()=2, Input!$C$2 + I983, P982 + I983))</f>
        <v/>
      </c>
      <c r="O983" s="23" t="str">
        <f>IF(A983="",,
 IF(K983="Initial principal",
   Input!$C$2 * M983,
   N983 * M983
 )
)</f>
        <v/>
      </c>
      <c r="P983" s="18" t="str">
        <f t="shared" si="2"/>
        <v/>
      </c>
      <c r="Q983" s="18" t="str">
        <f t="shared" si="3"/>
        <v/>
      </c>
      <c r="R983" s="18" t="str">
        <f t="array" ref="R983">IF(
  B983="",
  ,
  SWITCH(
    Input!$C$4,
    "Actual/365 Fixed",
      YEARFRAC(
        B983 + IF(INDEX(Input!$K$7:$K1503,ROW()-1),0,1),
        C983 + IF(INDEX(Input!$L$7:$L1503,ROW()-1),1,0),
        3
      ),
    "Anniversary/365",
      DATEDIF(
        B983 + IF(INDEX(Input!$K$7:$K1503,ROW()-1),0,1),
        C983 + IF(INDEX(Input!$L$7:$L1503,ROW()-1),1,0),
        "Y"
      )
      +
      (
        (C983 + IF(INDEX(Input!$L$7:$L1503,ROW()-1),1,0))
        -
        EDATE(
          B983 + IF(INDEX(Input!$K$7:$K1503,ROW()-1),0,1),
          12*DATEDIF(
            B983 + IF(INDEX(Input!$K$7:$K1503,ROW()-1),0,1),
            C983 + IF(INDEX(Input!$L$7:$L1503,ROW()-1),1,0),
            "Y"
          )
        )
      ) / 365,
    "Actual/Actual",
      YEARFRAC(
        B983 + IF(INDEX(Input!$K$7:$K1503,ROW()-1),0,1),
        C983 + IF(INDEX(Input!$L$7:$L1503,ROW()-1),1,0),
        1
      ),
      YEARFRAC(
        B983 + IF(INDEX(Input!$K$7:$K1503,ROW()-1),0,1),
        C983 + IF(INDEX(Input!$L$7:$L1503,ROW()-1),1,0),
        3
      )
  )
)</f>
        <v/>
      </c>
      <c r="S983" s="22" t="str">
        <f t="shared" si="4"/>
        <v/>
      </c>
      <c r="T983" s="6" t="str">
        <f t="array" ref="T983">IF(
  B983="",
  ,
  DATEDIF(
    B983 + IF(INDEX(Input!$K$7:$K1503,ROW()-1),0,1),
    C983 + IF(INDEX(Input!$L$7:$L1503,ROW()-1),1,0),
    "Y"
  )
)</f>
        <v/>
      </c>
      <c r="U983" s="6" t="str">
        <f t="array" ref="U983">IF(
  B983="",
  ,
  (C983 + IF(INDEX(Input!$L$7:$L1503,ROW()-1),1,0))
  - EDATE(
      B983 + IF(INDEX(Input!$K$7:$K1503,ROW()-1),0,1),
      12*S983
    )
)</f>
        <v/>
      </c>
      <c r="V983" s="6" t="str">
        <f t="shared" si="5"/>
        <v/>
      </c>
      <c r="W983" s="6" t="str">
        <f t="shared" si="6"/>
        <v/>
      </c>
    </row>
    <row r="984">
      <c r="A984" s="18"/>
      <c r="B984" s="18"/>
      <c r="C984" s="18"/>
      <c r="D984" s="18"/>
      <c r="E984" s="18"/>
      <c r="F984" s="18"/>
      <c r="G984" s="22"/>
      <c r="H984" s="18"/>
      <c r="I984" s="18">
        <v>0.0</v>
      </c>
      <c r="J984" s="18">
        <v>0.0</v>
      </c>
      <c r="K984" s="18"/>
      <c r="L984" s="18"/>
      <c r="M984" s="22" t="str">
        <f t="shared" si="1"/>
        <v/>
      </c>
      <c r="N984" s="18" t="str">
        <f>IF(A984="",,IF(ROW()=2, Input!$C$2 + I984, P983 + I984))</f>
        <v/>
      </c>
      <c r="O984" s="23" t="str">
        <f>IF(A984="",,
 IF(K984="Initial principal",
   Input!$C$2 * M984,
   N984 * M984
 )
)</f>
        <v/>
      </c>
      <c r="P984" s="18" t="str">
        <f t="shared" si="2"/>
        <v/>
      </c>
      <c r="Q984" s="18" t="str">
        <f t="shared" si="3"/>
        <v/>
      </c>
      <c r="R984" s="18" t="str">
        <f t="array" ref="R984">IF(
  B984="",
  ,
  SWITCH(
    Input!$C$4,
    "Actual/365 Fixed",
      YEARFRAC(
        B984 + IF(INDEX(Input!$K$7:$K1503,ROW()-1),0,1),
        C984 + IF(INDEX(Input!$L$7:$L1503,ROW()-1),1,0),
        3
      ),
    "Anniversary/365",
      DATEDIF(
        B984 + IF(INDEX(Input!$K$7:$K1503,ROW()-1),0,1),
        C984 + IF(INDEX(Input!$L$7:$L1503,ROW()-1),1,0),
        "Y"
      )
      +
      (
        (C984 + IF(INDEX(Input!$L$7:$L1503,ROW()-1),1,0))
        -
        EDATE(
          B984 + IF(INDEX(Input!$K$7:$K1503,ROW()-1),0,1),
          12*DATEDIF(
            B984 + IF(INDEX(Input!$K$7:$K1503,ROW()-1),0,1),
            C984 + IF(INDEX(Input!$L$7:$L1503,ROW()-1),1,0),
            "Y"
          )
        )
      ) / 365,
    "Actual/Actual",
      YEARFRAC(
        B984 + IF(INDEX(Input!$K$7:$K1503,ROW()-1),0,1),
        C984 + IF(INDEX(Input!$L$7:$L1503,ROW()-1),1,0),
        1
      ),
      YEARFRAC(
        B984 + IF(INDEX(Input!$K$7:$K1503,ROW()-1),0,1),
        C984 + IF(INDEX(Input!$L$7:$L1503,ROW()-1),1,0),
        3
      )
  )
)</f>
        <v/>
      </c>
      <c r="S984" s="22" t="str">
        <f t="shared" si="4"/>
        <v/>
      </c>
      <c r="T984" s="6" t="str">
        <f t="array" ref="T984">IF(
  B984="",
  ,
  DATEDIF(
    B984 + IF(INDEX(Input!$K$7:$K1503,ROW()-1),0,1),
    C984 + IF(INDEX(Input!$L$7:$L1503,ROW()-1),1,0),
    "Y"
  )
)</f>
        <v/>
      </c>
      <c r="U984" s="6" t="str">
        <f t="array" ref="U984">IF(
  B984="",
  ,
  (C984 + IF(INDEX(Input!$L$7:$L1503,ROW()-1),1,0))
  - EDATE(
      B984 + IF(INDEX(Input!$K$7:$K1503,ROW()-1),0,1),
      12*S984
    )
)</f>
        <v/>
      </c>
      <c r="V984" s="6" t="str">
        <f t="shared" si="5"/>
        <v/>
      </c>
      <c r="W984" s="6" t="str">
        <f t="shared" si="6"/>
        <v/>
      </c>
    </row>
    <row r="985">
      <c r="A985" s="18"/>
      <c r="B985" s="18"/>
      <c r="C985" s="18"/>
      <c r="D985" s="18"/>
      <c r="E985" s="18"/>
      <c r="F985" s="18"/>
      <c r="G985" s="22"/>
      <c r="H985" s="18"/>
      <c r="I985" s="18">
        <v>0.0</v>
      </c>
      <c r="J985" s="18">
        <v>0.0</v>
      </c>
      <c r="K985" s="18"/>
      <c r="L985" s="18"/>
      <c r="M985" s="22" t="str">
        <f t="shared" si="1"/>
        <v/>
      </c>
      <c r="N985" s="18" t="str">
        <f>IF(A985="",,IF(ROW()=2, Input!$C$2 + I985, P984 + I985))</f>
        <v/>
      </c>
      <c r="O985" s="23" t="str">
        <f>IF(A985="",,
 IF(K985="Initial principal",
   Input!$C$2 * M985,
   N985 * M985
 )
)</f>
        <v/>
      </c>
      <c r="P985" s="18" t="str">
        <f t="shared" si="2"/>
        <v/>
      </c>
      <c r="Q985" s="18" t="str">
        <f t="shared" si="3"/>
        <v/>
      </c>
      <c r="R985" s="18" t="str">
        <f t="array" ref="R985">IF(
  B985="",
  ,
  SWITCH(
    Input!$C$4,
    "Actual/365 Fixed",
      YEARFRAC(
        B985 + IF(INDEX(Input!$K$7:$K1503,ROW()-1),0,1),
        C985 + IF(INDEX(Input!$L$7:$L1503,ROW()-1),1,0),
        3
      ),
    "Anniversary/365",
      DATEDIF(
        B985 + IF(INDEX(Input!$K$7:$K1503,ROW()-1),0,1),
        C985 + IF(INDEX(Input!$L$7:$L1503,ROW()-1),1,0),
        "Y"
      )
      +
      (
        (C985 + IF(INDEX(Input!$L$7:$L1503,ROW()-1),1,0))
        -
        EDATE(
          B985 + IF(INDEX(Input!$K$7:$K1503,ROW()-1),0,1),
          12*DATEDIF(
            B985 + IF(INDEX(Input!$K$7:$K1503,ROW()-1),0,1),
            C985 + IF(INDEX(Input!$L$7:$L1503,ROW()-1),1,0),
            "Y"
          )
        )
      ) / 365,
    "Actual/Actual",
      YEARFRAC(
        B985 + IF(INDEX(Input!$K$7:$K1503,ROW()-1),0,1),
        C985 + IF(INDEX(Input!$L$7:$L1503,ROW()-1),1,0),
        1
      ),
      YEARFRAC(
        B985 + IF(INDEX(Input!$K$7:$K1503,ROW()-1),0,1),
        C985 + IF(INDEX(Input!$L$7:$L1503,ROW()-1),1,0),
        3
      )
  )
)</f>
        <v/>
      </c>
      <c r="S985" s="22" t="str">
        <f t="shared" si="4"/>
        <v/>
      </c>
      <c r="T985" s="6" t="str">
        <f t="array" ref="T985">IF(
  B985="",
  ,
  DATEDIF(
    B985 + IF(INDEX(Input!$K$7:$K1503,ROW()-1),0,1),
    C985 + IF(INDEX(Input!$L$7:$L1503,ROW()-1),1,0),
    "Y"
  )
)</f>
        <v/>
      </c>
      <c r="U985" s="6" t="str">
        <f t="array" ref="U985">IF(
  B985="",
  ,
  (C985 + IF(INDEX(Input!$L$7:$L1503,ROW()-1),1,0))
  - EDATE(
      B985 + IF(INDEX(Input!$K$7:$K1503,ROW()-1),0,1),
      12*S985
    )
)</f>
        <v/>
      </c>
      <c r="V985" s="6" t="str">
        <f t="shared" si="5"/>
        <v/>
      </c>
      <c r="W985" s="6" t="str">
        <f t="shared" si="6"/>
        <v/>
      </c>
    </row>
    <row r="986">
      <c r="A986" s="18"/>
      <c r="B986" s="18"/>
      <c r="C986" s="18"/>
      <c r="D986" s="18"/>
      <c r="E986" s="18"/>
      <c r="F986" s="18"/>
      <c r="G986" s="22"/>
      <c r="H986" s="18"/>
      <c r="I986" s="18">
        <v>0.0</v>
      </c>
      <c r="J986" s="18">
        <v>0.0</v>
      </c>
      <c r="K986" s="18"/>
      <c r="L986" s="18"/>
      <c r="M986" s="22" t="str">
        <f t="shared" si="1"/>
        <v/>
      </c>
      <c r="N986" s="18" t="str">
        <f>IF(A986="",,IF(ROW()=2, Input!$C$2 + I986, P985 + I986))</f>
        <v/>
      </c>
      <c r="O986" s="23" t="str">
        <f>IF(A986="",,
 IF(K986="Initial principal",
   Input!$C$2 * M986,
   N986 * M986
 )
)</f>
        <v/>
      </c>
      <c r="P986" s="18" t="str">
        <f t="shared" si="2"/>
        <v/>
      </c>
      <c r="Q986" s="18" t="str">
        <f t="shared" si="3"/>
        <v/>
      </c>
      <c r="R986" s="18" t="str">
        <f t="array" ref="R986">IF(
  B986="",
  ,
  SWITCH(
    Input!$C$4,
    "Actual/365 Fixed",
      YEARFRAC(
        B986 + IF(INDEX(Input!$K$7:$K1503,ROW()-1),0,1),
        C986 + IF(INDEX(Input!$L$7:$L1503,ROW()-1),1,0),
        3
      ),
    "Anniversary/365",
      DATEDIF(
        B986 + IF(INDEX(Input!$K$7:$K1503,ROW()-1),0,1),
        C986 + IF(INDEX(Input!$L$7:$L1503,ROW()-1),1,0),
        "Y"
      )
      +
      (
        (C986 + IF(INDEX(Input!$L$7:$L1503,ROW()-1),1,0))
        -
        EDATE(
          B986 + IF(INDEX(Input!$K$7:$K1503,ROW()-1),0,1),
          12*DATEDIF(
            B986 + IF(INDEX(Input!$K$7:$K1503,ROW()-1),0,1),
            C986 + IF(INDEX(Input!$L$7:$L1503,ROW()-1),1,0),
            "Y"
          )
        )
      ) / 365,
    "Actual/Actual",
      YEARFRAC(
        B986 + IF(INDEX(Input!$K$7:$K1503,ROW()-1),0,1),
        C986 + IF(INDEX(Input!$L$7:$L1503,ROW()-1),1,0),
        1
      ),
      YEARFRAC(
        B986 + IF(INDEX(Input!$K$7:$K1503,ROW()-1),0,1),
        C986 + IF(INDEX(Input!$L$7:$L1503,ROW()-1),1,0),
        3
      )
  )
)</f>
        <v/>
      </c>
      <c r="S986" s="22" t="str">
        <f t="shared" si="4"/>
        <v/>
      </c>
      <c r="T986" s="6" t="str">
        <f t="array" ref="T986">IF(
  B986="",
  ,
  DATEDIF(
    B986 + IF(INDEX(Input!$K$7:$K1503,ROW()-1),0,1),
    C986 + IF(INDEX(Input!$L$7:$L1503,ROW()-1),1,0),
    "Y"
  )
)</f>
        <v/>
      </c>
      <c r="U986" s="6" t="str">
        <f t="array" ref="U986">IF(
  B986="",
  ,
  (C986 + IF(INDEX(Input!$L$7:$L1503,ROW()-1),1,0))
  - EDATE(
      B986 + IF(INDEX(Input!$K$7:$K1503,ROW()-1),0,1),
      12*S986
    )
)</f>
        <v/>
      </c>
      <c r="V986" s="6" t="str">
        <f t="shared" si="5"/>
        <v/>
      </c>
      <c r="W986" s="6" t="str">
        <f t="shared" si="6"/>
        <v/>
      </c>
    </row>
    <row r="987">
      <c r="A987" s="18"/>
      <c r="B987" s="18"/>
      <c r="C987" s="18"/>
      <c r="D987" s="18"/>
      <c r="E987" s="18"/>
      <c r="F987" s="18"/>
      <c r="G987" s="22"/>
      <c r="H987" s="18"/>
      <c r="I987" s="18">
        <v>0.0</v>
      </c>
      <c r="J987" s="18">
        <v>0.0</v>
      </c>
      <c r="K987" s="18"/>
      <c r="L987" s="18"/>
      <c r="M987" s="22" t="str">
        <f t="shared" si="1"/>
        <v/>
      </c>
      <c r="N987" s="18" t="str">
        <f>IF(A987="",,IF(ROW()=2, Input!$C$2 + I987, P986 + I987))</f>
        <v/>
      </c>
      <c r="O987" s="23" t="str">
        <f>IF(A987="",,
 IF(K987="Initial principal",
   Input!$C$2 * M987,
   N987 * M987
 )
)</f>
        <v/>
      </c>
      <c r="P987" s="18" t="str">
        <f t="shared" si="2"/>
        <v/>
      </c>
      <c r="Q987" s="18" t="str">
        <f t="shared" si="3"/>
        <v/>
      </c>
      <c r="R987" s="18" t="str">
        <f t="array" ref="R987">IF(
  B987="",
  ,
  SWITCH(
    Input!$C$4,
    "Actual/365 Fixed",
      YEARFRAC(
        B987 + IF(INDEX(Input!$K$7:$K1503,ROW()-1),0,1),
        C987 + IF(INDEX(Input!$L$7:$L1503,ROW()-1),1,0),
        3
      ),
    "Anniversary/365",
      DATEDIF(
        B987 + IF(INDEX(Input!$K$7:$K1503,ROW()-1),0,1),
        C987 + IF(INDEX(Input!$L$7:$L1503,ROW()-1),1,0),
        "Y"
      )
      +
      (
        (C987 + IF(INDEX(Input!$L$7:$L1503,ROW()-1),1,0))
        -
        EDATE(
          B987 + IF(INDEX(Input!$K$7:$K1503,ROW()-1),0,1),
          12*DATEDIF(
            B987 + IF(INDEX(Input!$K$7:$K1503,ROW()-1),0,1),
            C987 + IF(INDEX(Input!$L$7:$L1503,ROW()-1),1,0),
            "Y"
          )
        )
      ) / 365,
    "Actual/Actual",
      YEARFRAC(
        B987 + IF(INDEX(Input!$K$7:$K1503,ROW()-1),0,1),
        C987 + IF(INDEX(Input!$L$7:$L1503,ROW()-1),1,0),
        1
      ),
      YEARFRAC(
        B987 + IF(INDEX(Input!$K$7:$K1503,ROW()-1),0,1),
        C987 + IF(INDEX(Input!$L$7:$L1503,ROW()-1),1,0),
        3
      )
  )
)</f>
        <v/>
      </c>
      <c r="S987" s="22" t="str">
        <f t="shared" si="4"/>
        <v/>
      </c>
      <c r="T987" s="6" t="str">
        <f t="array" ref="T987">IF(
  B987="",
  ,
  DATEDIF(
    B987 + IF(INDEX(Input!$K$7:$K1503,ROW()-1),0,1),
    C987 + IF(INDEX(Input!$L$7:$L1503,ROW()-1),1,0),
    "Y"
  )
)</f>
        <v/>
      </c>
      <c r="U987" s="6" t="str">
        <f t="array" ref="U987">IF(
  B987="",
  ,
  (C987 + IF(INDEX(Input!$L$7:$L1503,ROW()-1),1,0))
  - EDATE(
      B987 + IF(INDEX(Input!$K$7:$K1503,ROW()-1),0,1),
      12*S987
    )
)</f>
        <v/>
      </c>
      <c r="V987" s="6" t="str">
        <f t="shared" si="5"/>
        <v/>
      </c>
      <c r="W987" s="6" t="str">
        <f t="shared" si="6"/>
        <v/>
      </c>
    </row>
    <row r="988">
      <c r="A988" s="18"/>
      <c r="B988" s="18"/>
      <c r="C988" s="18"/>
      <c r="D988" s="18"/>
      <c r="E988" s="18"/>
      <c r="F988" s="18"/>
      <c r="G988" s="22"/>
      <c r="H988" s="18"/>
      <c r="I988" s="18">
        <v>0.0</v>
      </c>
      <c r="J988" s="18">
        <v>0.0</v>
      </c>
      <c r="K988" s="18"/>
      <c r="L988" s="18"/>
      <c r="M988" s="22" t="str">
        <f t="shared" si="1"/>
        <v/>
      </c>
      <c r="N988" s="18" t="str">
        <f>IF(A988="",,IF(ROW()=2, Input!$C$2 + I988, P987 + I988))</f>
        <v/>
      </c>
      <c r="O988" s="23" t="str">
        <f>IF(A988="",,
 IF(K988="Initial principal",
   Input!$C$2 * M988,
   N988 * M988
 )
)</f>
        <v/>
      </c>
      <c r="P988" s="18" t="str">
        <f t="shared" si="2"/>
        <v/>
      </c>
      <c r="Q988" s="18" t="str">
        <f t="shared" si="3"/>
        <v/>
      </c>
      <c r="R988" s="18" t="str">
        <f t="array" ref="R988">IF(
  B988="",
  ,
  SWITCH(
    Input!$C$4,
    "Actual/365 Fixed",
      YEARFRAC(
        B988 + IF(INDEX(Input!$K$7:$K1503,ROW()-1),0,1),
        C988 + IF(INDEX(Input!$L$7:$L1503,ROW()-1),1,0),
        3
      ),
    "Anniversary/365",
      DATEDIF(
        B988 + IF(INDEX(Input!$K$7:$K1503,ROW()-1),0,1),
        C988 + IF(INDEX(Input!$L$7:$L1503,ROW()-1),1,0),
        "Y"
      )
      +
      (
        (C988 + IF(INDEX(Input!$L$7:$L1503,ROW()-1),1,0))
        -
        EDATE(
          B988 + IF(INDEX(Input!$K$7:$K1503,ROW()-1),0,1),
          12*DATEDIF(
            B988 + IF(INDEX(Input!$K$7:$K1503,ROW()-1),0,1),
            C988 + IF(INDEX(Input!$L$7:$L1503,ROW()-1),1,0),
            "Y"
          )
        )
      ) / 365,
    "Actual/Actual",
      YEARFRAC(
        B988 + IF(INDEX(Input!$K$7:$K1503,ROW()-1),0,1),
        C988 + IF(INDEX(Input!$L$7:$L1503,ROW()-1),1,0),
        1
      ),
      YEARFRAC(
        B988 + IF(INDEX(Input!$K$7:$K1503,ROW()-1),0,1),
        C988 + IF(INDEX(Input!$L$7:$L1503,ROW()-1),1,0),
        3
      )
  )
)</f>
        <v/>
      </c>
      <c r="S988" s="22" t="str">
        <f t="shared" si="4"/>
        <v/>
      </c>
      <c r="T988" s="6" t="str">
        <f t="array" ref="T988">IF(
  B988="",
  ,
  DATEDIF(
    B988 + IF(INDEX(Input!$K$7:$K1503,ROW()-1),0,1),
    C988 + IF(INDEX(Input!$L$7:$L1503,ROW()-1),1,0),
    "Y"
  )
)</f>
        <v/>
      </c>
      <c r="U988" s="6" t="str">
        <f t="array" ref="U988">IF(
  B988="",
  ,
  (C988 + IF(INDEX(Input!$L$7:$L1503,ROW()-1),1,0))
  - EDATE(
      B988 + IF(INDEX(Input!$K$7:$K1503,ROW()-1),0,1),
      12*S988
    )
)</f>
        <v/>
      </c>
      <c r="V988" s="6" t="str">
        <f t="shared" si="5"/>
        <v/>
      </c>
      <c r="W988" s="6" t="str">
        <f t="shared" si="6"/>
        <v/>
      </c>
    </row>
    <row r="989">
      <c r="A989" s="18"/>
      <c r="B989" s="18"/>
      <c r="C989" s="18"/>
      <c r="D989" s="18"/>
      <c r="E989" s="18"/>
      <c r="F989" s="18"/>
      <c r="G989" s="22"/>
      <c r="H989" s="18"/>
      <c r="I989" s="18">
        <v>0.0</v>
      </c>
      <c r="J989" s="18">
        <v>0.0</v>
      </c>
      <c r="K989" s="18"/>
      <c r="L989" s="18"/>
      <c r="M989" s="22" t="str">
        <f t="shared" si="1"/>
        <v/>
      </c>
      <c r="N989" s="18" t="str">
        <f>IF(A989="",,IF(ROW()=2, Input!$C$2 + I989, P988 + I989))</f>
        <v/>
      </c>
      <c r="O989" s="23" t="str">
        <f>IF(A989="",,
 IF(K989="Initial principal",
   Input!$C$2 * M989,
   N989 * M989
 )
)</f>
        <v/>
      </c>
      <c r="P989" s="18" t="str">
        <f t="shared" si="2"/>
        <v/>
      </c>
      <c r="Q989" s="18" t="str">
        <f t="shared" si="3"/>
        <v/>
      </c>
      <c r="R989" s="18" t="str">
        <f t="array" ref="R989">IF(
  B989="",
  ,
  SWITCH(
    Input!$C$4,
    "Actual/365 Fixed",
      YEARFRAC(
        B989 + IF(INDEX(Input!$K$7:$K1503,ROW()-1),0,1),
        C989 + IF(INDEX(Input!$L$7:$L1503,ROW()-1),1,0),
        3
      ),
    "Anniversary/365",
      DATEDIF(
        B989 + IF(INDEX(Input!$K$7:$K1503,ROW()-1),0,1),
        C989 + IF(INDEX(Input!$L$7:$L1503,ROW()-1),1,0),
        "Y"
      )
      +
      (
        (C989 + IF(INDEX(Input!$L$7:$L1503,ROW()-1),1,0))
        -
        EDATE(
          B989 + IF(INDEX(Input!$K$7:$K1503,ROW()-1),0,1),
          12*DATEDIF(
            B989 + IF(INDEX(Input!$K$7:$K1503,ROW()-1),0,1),
            C989 + IF(INDEX(Input!$L$7:$L1503,ROW()-1),1,0),
            "Y"
          )
        )
      ) / 365,
    "Actual/Actual",
      YEARFRAC(
        B989 + IF(INDEX(Input!$K$7:$K1503,ROW()-1),0,1),
        C989 + IF(INDEX(Input!$L$7:$L1503,ROW()-1),1,0),
        1
      ),
      YEARFRAC(
        B989 + IF(INDEX(Input!$K$7:$K1503,ROW()-1),0,1),
        C989 + IF(INDEX(Input!$L$7:$L1503,ROW()-1),1,0),
        3
      )
  )
)</f>
        <v/>
      </c>
      <c r="S989" s="22" t="str">
        <f t="shared" si="4"/>
        <v/>
      </c>
      <c r="T989" s="6" t="str">
        <f t="array" ref="T989">IF(
  B989="",
  ,
  DATEDIF(
    B989 + IF(INDEX(Input!$K$7:$K1503,ROW()-1),0,1),
    C989 + IF(INDEX(Input!$L$7:$L1503,ROW()-1),1,0),
    "Y"
  )
)</f>
        <v/>
      </c>
      <c r="U989" s="6" t="str">
        <f t="array" ref="U989">IF(
  B989="",
  ,
  (C989 + IF(INDEX(Input!$L$7:$L1503,ROW()-1),1,0))
  - EDATE(
      B989 + IF(INDEX(Input!$K$7:$K1503,ROW()-1),0,1),
      12*S989
    )
)</f>
        <v/>
      </c>
      <c r="V989" s="6" t="str">
        <f t="shared" si="5"/>
        <v/>
      </c>
      <c r="W989" s="6" t="str">
        <f t="shared" si="6"/>
        <v/>
      </c>
    </row>
    <row r="990">
      <c r="A990" s="18"/>
      <c r="B990" s="18"/>
      <c r="C990" s="18"/>
      <c r="D990" s="18"/>
      <c r="E990" s="18"/>
      <c r="F990" s="18"/>
      <c r="G990" s="22"/>
      <c r="H990" s="18"/>
      <c r="I990" s="18">
        <v>0.0</v>
      </c>
      <c r="J990" s="18">
        <v>0.0</v>
      </c>
      <c r="K990" s="18"/>
      <c r="L990" s="18"/>
      <c r="M990" s="22" t="str">
        <f t="shared" si="1"/>
        <v/>
      </c>
      <c r="N990" s="18" t="str">
        <f>IF(A990="",,IF(ROW()=2, Input!$C$2 + I990, P989 + I990))</f>
        <v/>
      </c>
      <c r="O990" s="23" t="str">
        <f>IF(A990="",,
 IF(K990="Initial principal",
   Input!$C$2 * M990,
   N990 * M990
 )
)</f>
        <v/>
      </c>
      <c r="P990" s="18" t="str">
        <f t="shared" si="2"/>
        <v/>
      </c>
      <c r="Q990" s="18" t="str">
        <f t="shared" si="3"/>
        <v/>
      </c>
      <c r="R990" s="18" t="str">
        <f t="array" ref="R990">IF(
  B990="",
  ,
  SWITCH(
    Input!$C$4,
    "Actual/365 Fixed",
      YEARFRAC(
        B990 + IF(INDEX(Input!$K$7:$K1503,ROW()-1),0,1),
        C990 + IF(INDEX(Input!$L$7:$L1503,ROW()-1),1,0),
        3
      ),
    "Anniversary/365",
      DATEDIF(
        B990 + IF(INDEX(Input!$K$7:$K1503,ROW()-1),0,1),
        C990 + IF(INDEX(Input!$L$7:$L1503,ROW()-1),1,0),
        "Y"
      )
      +
      (
        (C990 + IF(INDEX(Input!$L$7:$L1503,ROW()-1),1,0))
        -
        EDATE(
          B990 + IF(INDEX(Input!$K$7:$K1503,ROW()-1),0,1),
          12*DATEDIF(
            B990 + IF(INDEX(Input!$K$7:$K1503,ROW()-1),0,1),
            C990 + IF(INDEX(Input!$L$7:$L1503,ROW()-1),1,0),
            "Y"
          )
        )
      ) / 365,
    "Actual/Actual",
      YEARFRAC(
        B990 + IF(INDEX(Input!$K$7:$K1503,ROW()-1),0,1),
        C990 + IF(INDEX(Input!$L$7:$L1503,ROW()-1),1,0),
        1
      ),
      YEARFRAC(
        B990 + IF(INDEX(Input!$K$7:$K1503,ROW()-1),0,1),
        C990 + IF(INDEX(Input!$L$7:$L1503,ROW()-1),1,0),
        3
      )
  )
)</f>
        <v/>
      </c>
      <c r="S990" s="22" t="str">
        <f t="shared" si="4"/>
        <v/>
      </c>
      <c r="T990" s="6" t="str">
        <f t="array" ref="T990">IF(
  B990="",
  ,
  DATEDIF(
    B990 + IF(INDEX(Input!$K$7:$K1503,ROW()-1),0,1),
    C990 + IF(INDEX(Input!$L$7:$L1503,ROW()-1),1,0),
    "Y"
  )
)</f>
        <v/>
      </c>
      <c r="U990" s="6" t="str">
        <f t="array" ref="U990">IF(
  B990="",
  ,
  (C990 + IF(INDEX(Input!$L$7:$L1503,ROW()-1),1,0))
  - EDATE(
      B990 + IF(INDEX(Input!$K$7:$K1503,ROW()-1),0,1),
      12*S990
    )
)</f>
        <v/>
      </c>
      <c r="V990" s="6" t="str">
        <f t="shared" si="5"/>
        <v/>
      </c>
      <c r="W990" s="6" t="str">
        <f t="shared" si="6"/>
        <v/>
      </c>
    </row>
    <row r="991">
      <c r="A991" s="18"/>
      <c r="B991" s="18"/>
      <c r="C991" s="18"/>
      <c r="D991" s="18"/>
      <c r="E991" s="18"/>
      <c r="F991" s="18"/>
      <c r="G991" s="22"/>
      <c r="H991" s="18"/>
      <c r="I991" s="18">
        <v>0.0</v>
      </c>
      <c r="J991" s="18">
        <v>0.0</v>
      </c>
      <c r="K991" s="18"/>
      <c r="L991" s="18"/>
      <c r="M991" s="22" t="str">
        <f t="shared" si="1"/>
        <v/>
      </c>
      <c r="N991" s="18" t="str">
        <f>IF(A991="",,IF(ROW()=2, Input!$C$2 + I991, P990 + I991))</f>
        <v/>
      </c>
      <c r="O991" s="23" t="str">
        <f>IF(A991="",,
 IF(K991="Initial principal",
   Input!$C$2 * M991,
   N991 * M991
 )
)</f>
        <v/>
      </c>
      <c r="P991" s="18" t="str">
        <f t="shared" si="2"/>
        <v/>
      </c>
      <c r="Q991" s="18" t="str">
        <f t="shared" si="3"/>
        <v/>
      </c>
      <c r="R991" s="18" t="str">
        <f t="array" ref="R991">IF(
  B991="",
  ,
  SWITCH(
    Input!$C$4,
    "Actual/365 Fixed",
      YEARFRAC(
        B991 + IF(INDEX(Input!$K$7:$K1503,ROW()-1),0,1),
        C991 + IF(INDEX(Input!$L$7:$L1503,ROW()-1),1,0),
        3
      ),
    "Anniversary/365",
      DATEDIF(
        B991 + IF(INDEX(Input!$K$7:$K1503,ROW()-1),0,1),
        C991 + IF(INDEX(Input!$L$7:$L1503,ROW()-1),1,0),
        "Y"
      )
      +
      (
        (C991 + IF(INDEX(Input!$L$7:$L1503,ROW()-1),1,0))
        -
        EDATE(
          B991 + IF(INDEX(Input!$K$7:$K1503,ROW()-1),0,1),
          12*DATEDIF(
            B991 + IF(INDEX(Input!$K$7:$K1503,ROW()-1),0,1),
            C991 + IF(INDEX(Input!$L$7:$L1503,ROW()-1),1,0),
            "Y"
          )
        )
      ) / 365,
    "Actual/Actual",
      YEARFRAC(
        B991 + IF(INDEX(Input!$K$7:$K1503,ROW()-1),0,1),
        C991 + IF(INDEX(Input!$L$7:$L1503,ROW()-1),1,0),
        1
      ),
      YEARFRAC(
        B991 + IF(INDEX(Input!$K$7:$K1503,ROW()-1),0,1),
        C991 + IF(INDEX(Input!$L$7:$L1503,ROW()-1),1,0),
        3
      )
  )
)</f>
        <v/>
      </c>
      <c r="S991" s="22" t="str">
        <f t="shared" si="4"/>
        <v/>
      </c>
      <c r="T991" s="6" t="str">
        <f t="array" ref="T991">IF(
  B991="",
  ,
  DATEDIF(
    B991 + IF(INDEX(Input!$K$7:$K1503,ROW()-1),0,1),
    C991 + IF(INDEX(Input!$L$7:$L1503,ROW()-1),1,0),
    "Y"
  )
)</f>
        <v/>
      </c>
      <c r="U991" s="6" t="str">
        <f t="array" ref="U991">IF(
  B991="",
  ,
  (C991 + IF(INDEX(Input!$L$7:$L1503,ROW()-1),1,0))
  - EDATE(
      B991 + IF(INDEX(Input!$K$7:$K1503,ROW()-1),0,1),
      12*S991
    )
)</f>
        <v/>
      </c>
      <c r="V991" s="6" t="str">
        <f t="shared" si="5"/>
        <v/>
      </c>
      <c r="W991" s="6" t="str">
        <f t="shared" si="6"/>
        <v/>
      </c>
    </row>
    <row r="992">
      <c r="A992" s="18"/>
      <c r="B992" s="18"/>
      <c r="C992" s="18"/>
      <c r="D992" s="18"/>
      <c r="E992" s="18"/>
      <c r="F992" s="18"/>
      <c r="G992" s="22"/>
      <c r="H992" s="18"/>
      <c r="I992" s="18">
        <v>0.0</v>
      </c>
      <c r="J992" s="18">
        <v>0.0</v>
      </c>
      <c r="K992" s="18"/>
      <c r="L992" s="18"/>
      <c r="M992" s="22" t="str">
        <f t="shared" si="1"/>
        <v/>
      </c>
      <c r="N992" s="18" t="str">
        <f>IF(A992="",,IF(ROW()=2, Input!$C$2 + I992, P991 + I992))</f>
        <v/>
      </c>
      <c r="O992" s="23" t="str">
        <f>IF(A992="",,
 IF(K992="Initial principal",
   Input!$C$2 * M992,
   N992 * M992
 )
)</f>
        <v/>
      </c>
      <c r="P992" s="18" t="str">
        <f t="shared" si="2"/>
        <v/>
      </c>
      <c r="Q992" s="18" t="str">
        <f t="shared" si="3"/>
        <v/>
      </c>
      <c r="R992" s="18" t="str">
        <f t="array" ref="R992">IF(
  B992="",
  ,
  SWITCH(
    Input!$C$4,
    "Actual/365 Fixed",
      YEARFRAC(
        B992 + IF(INDEX(Input!$K$7:$K1503,ROW()-1),0,1),
        C992 + IF(INDEX(Input!$L$7:$L1503,ROW()-1),1,0),
        3
      ),
    "Anniversary/365",
      DATEDIF(
        B992 + IF(INDEX(Input!$K$7:$K1503,ROW()-1),0,1),
        C992 + IF(INDEX(Input!$L$7:$L1503,ROW()-1),1,0),
        "Y"
      )
      +
      (
        (C992 + IF(INDEX(Input!$L$7:$L1503,ROW()-1),1,0))
        -
        EDATE(
          B992 + IF(INDEX(Input!$K$7:$K1503,ROW()-1),0,1),
          12*DATEDIF(
            B992 + IF(INDEX(Input!$K$7:$K1503,ROW()-1),0,1),
            C992 + IF(INDEX(Input!$L$7:$L1503,ROW()-1),1,0),
            "Y"
          )
        )
      ) / 365,
    "Actual/Actual",
      YEARFRAC(
        B992 + IF(INDEX(Input!$K$7:$K1503,ROW()-1),0,1),
        C992 + IF(INDEX(Input!$L$7:$L1503,ROW()-1),1,0),
        1
      ),
      YEARFRAC(
        B992 + IF(INDEX(Input!$K$7:$K1503,ROW()-1),0,1),
        C992 + IF(INDEX(Input!$L$7:$L1503,ROW()-1),1,0),
        3
      )
  )
)</f>
        <v/>
      </c>
      <c r="S992" s="22" t="str">
        <f t="shared" si="4"/>
        <v/>
      </c>
      <c r="T992" s="6" t="str">
        <f t="array" ref="T992">IF(
  B992="",
  ,
  DATEDIF(
    B992 + IF(INDEX(Input!$K$7:$K1503,ROW()-1),0,1),
    C992 + IF(INDEX(Input!$L$7:$L1503,ROW()-1),1,0),
    "Y"
  )
)</f>
        <v/>
      </c>
      <c r="U992" s="6" t="str">
        <f t="array" ref="U992">IF(
  B992="",
  ,
  (C992 + IF(INDEX(Input!$L$7:$L1503,ROW()-1),1,0))
  - EDATE(
      B992 + IF(INDEX(Input!$K$7:$K1503,ROW()-1),0,1),
      12*S992
    )
)</f>
        <v/>
      </c>
      <c r="V992" s="6" t="str">
        <f t="shared" si="5"/>
        <v/>
      </c>
      <c r="W992" s="6" t="str">
        <f t="shared" si="6"/>
        <v/>
      </c>
    </row>
    <row r="993">
      <c r="A993" s="18"/>
      <c r="B993" s="18"/>
      <c r="C993" s="18"/>
      <c r="D993" s="18"/>
      <c r="E993" s="18"/>
      <c r="F993" s="18"/>
      <c r="G993" s="22"/>
      <c r="H993" s="18"/>
      <c r="I993" s="18">
        <v>0.0</v>
      </c>
      <c r="J993" s="18">
        <v>0.0</v>
      </c>
      <c r="K993" s="18"/>
      <c r="L993" s="18"/>
      <c r="M993" s="22" t="str">
        <f t="shared" si="1"/>
        <v/>
      </c>
      <c r="N993" s="18" t="str">
        <f>IF(A993="",,IF(ROW()=2, Input!$C$2 + I993, P992 + I993))</f>
        <v/>
      </c>
      <c r="O993" s="23" t="str">
        <f>IF(A993="",,
 IF(K993="Initial principal",
   Input!$C$2 * M993,
   N993 * M993
 )
)</f>
        <v/>
      </c>
      <c r="P993" s="18" t="str">
        <f t="shared" si="2"/>
        <v/>
      </c>
      <c r="Q993" s="18" t="str">
        <f t="shared" si="3"/>
        <v/>
      </c>
      <c r="R993" s="18" t="str">
        <f t="array" ref="R993">IF(
  B993="",
  ,
  SWITCH(
    Input!$C$4,
    "Actual/365 Fixed",
      YEARFRAC(
        B993 + IF(INDEX(Input!$K$7:$K1503,ROW()-1),0,1),
        C993 + IF(INDEX(Input!$L$7:$L1503,ROW()-1),1,0),
        3
      ),
    "Anniversary/365",
      DATEDIF(
        B993 + IF(INDEX(Input!$K$7:$K1503,ROW()-1),0,1),
        C993 + IF(INDEX(Input!$L$7:$L1503,ROW()-1),1,0),
        "Y"
      )
      +
      (
        (C993 + IF(INDEX(Input!$L$7:$L1503,ROW()-1),1,0))
        -
        EDATE(
          B993 + IF(INDEX(Input!$K$7:$K1503,ROW()-1),0,1),
          12*DATEDIF(
            B993 + IF(INDEX(Input!$K$7:$K1503,ROW()-1),0,1),
            C993 + IF(INDEX(Input!$L$7:$L1503,ROW()-1),1,0),
            "Y"
          )
        )
      ) / 365,
    "Actual/Actual",
      YEARFRAC(
        B993 + IF(INDEX(Input!$K$7:$K1503,ROW()-1),0,1),
        C993 + IF(INDEX(Input!$L$7:$L1503,ROW()-1),1,0),
        1
      ),
      YEARFRAC(
        B993 + IF(INDEX(Input!$K$7:$K1503,ROW()-1),0,1),
        C993 + IF(INDEX(Input!$L$7:$L1503,ROW()-1),1,0),
        3
      )
  )
)</f>
        <v/>
      </c>
      <c r="S993" s="22" t="str">
        <f t="shared" si="4"/>
        <v/>
      </c>
      <c r="T993" s="6" t="str">
        <f t="array" ref="T993">IF(
  B993="",
  ,
  DATEDIF(
    B993 + IF(INDEX(Input!$K$7:$K1503,ROW()-1),0,1),
    C993 + IF(INDEX(Input!$L$7:$L1503,ROW()-1),1,0),
    "Y"
  )
)</f>
        <v/>
      </c>
      <c r="U993" s="6" t="str">
        <f t="array" ref="U993">IF(
  B993="",
  ,
  (C993 + IF(INDEX(Input!$L$7:$L1503,ROW()-1),1,0))
  - EDATE(
      B993 + IF(INDEX(Input!$K$7:$K1503,ROW()-1),0,1),
      12*S993
    )
)</f>
        <v/>
      </c>
      <c r="V993" s="6" t="str">
        <f t="shared" si="5"/>
        <v/>
      </c>
      <c r="W993" s="6" t="str">
        <f t="shared" si="6"/>
        <v/>
      </c>
    </row>
    <row r="994">
      <c r="A994" s="18"/>
      <c r="B994" s="18"/>
      <c r="C994" s="18"/>
      <c r="D994" s="18"/>
      <c r="E994" s="18"/>
      <c r="F994" s="18"/>
      <c r="G994" s="22"/>
      <c r="H994" s="18"/>
      <c r="I994" s="18">
        <v>0.0</v>
      </c>
      <c r="J994" s="18">
        <v>0.0</v>
      </c>
      <c r="K994" s="18"/>
      <c r="L994" s="18"/>
      <c r="M994" s="22" t="str">
        <f t="shared" si="1"/>
        <v/>
      </c>
      <c r="N994" s="18" t="str">
        <f>IF(A994="",,IF(ROW()=2, Input!$C$2 + I994, P993 + I994))</f>
        <v/>
      </c>
      <c r="O994" s="23" t="str">
        <f>IF(A994="",,
 IF(K994="Initial principal",
   Input!$C$2 * M994,
   N994 * M994
 )
)</f>
        <v/>
      </c>
      <c r="P994" s="18" t="str">
        <f t="shared" si="2"/>
        <v/>
      </c>
      <c r="Q994" s="18" t="str">
        <f t="shared" si="3"/>
        <v/>
      </c>
      <c r="R994" s="18" t="str">
        <f t="array" ref="R994">IF(
  B994="",
  ,
  SWITCH(
    Input!$C$4,
    "Actual/365 Fixed",
      YEARFRAC(
        B994 + IF(INDEX(Input!$K$7:$K1503,ROW()-1),0,1),
        C994 + IF(INDEX(Input!$L$7:$L1503,ROW()-1),1,0),
        3
      ),
    "Anniversary/365",
      DATEDIF(
        B994 + IF(INDEX(Input!$K$7:$K1503,ROW()-1),0,1),
        C994 + IF(INDEX(Input!$L$7:$L1503,ROW()-1),1,0),
        "Y"
      )
      +
      (
        (C994 + IF(INDEX(Input!$L$7:$L1503,ROW()-1),1,0))
        -
        EDATE(
          B994 + IF(INDEX(Input!$K$7:$K1503,ROW()-1),0,1),
          12*DATEDIF(
            B994 + IF(INDEX(Input!$K$7:$K1503,ROW()-1),0,1),
            C994 + IF(INDEX(Input!$L$7:$L1503,ROW()-1),1,0),
            "Y"
          )
        )
      ) / 365,
    "Actual/Actual",
      YEARFRAC(
        B994 + IF(INDEX(Input!$K$7:$K1503,ROW()-1),0,1),
        C994 + IF(INDEX(Input!$L$7:$L1503,ROW()-1),1,0),
        1
      ),
      YEARFRAC(
        B994 + IF(INDEX(Input!$K$7:$K1503,ROW()-1),0,1),
        C994 + IF(INDEX(Input!$L$7:$L1503,ROW()-1),1,0),
        3
      )
  )
)</f>
        <v/>
      </c>
      <c r="S994" s="22" t="str">
        <f t="shared" si="4"/>
        <v/>
      </c>
      <c r="T994" s="6" t="str">
        <f t="array" ref="T994">IF(
  B994="",
  ,
  DATEDIF(
    B994 + IF(INDEX(Input!$K$7:$K1503,ROW()-1),0,1),
    C994 + IF(INDEX(Input!$L$7:$L1503,ROW()-1),1,0),
    "Y"
  )
)</f>
        <v/>
      </c>
      <c r="U994" s="6" t="str">
        <f t="array" ref="U994">IF(
  B994="",
  ,
  (C994 + IF(INDEX(Input!$L$7:$L1503,ROW()-1),1,0))
  - EDATE(
      B994 + IF(INDEX(Input!$K$7:$K1503,ROW()-1),0,1),
      12*S994
    )
)</f>
        <v/>
      </c>
      <c r="V994" s="6" t="str">
        <f t="shared" si="5"/>
        <v/>
      </c>
      <c r="W994" s="6" t="str">
        <f t="shared" si="6"/>
        <v/>
      </c>
    </row>
    <row r="995">
      <c r="A995" s="18"/>
      <c r="B995" s="18"/>
      <c r="C995" s="18"/>
      <c r="D995" s="18"/>
      <c r="E995" s="18"/>
      <c r="F995" s="18"/>
      <c r="G995" s="22"/>
      <c r="H995" s="18"/>
      <c r="I995" s="18">
        <v>0.0</v>
      </c>
      <c r="J995" s="18">
        <v>0.0</v>
      </c>
      <c r="K995" s="18"/>
      <c r="L995" s="18"/>
      <c r="M995" s="22" t="str">
        <f t="shared" si="1"/>
        <v/>
      </c>
      <c r="N995" s="18" t="str">
        <f>IF(A995="",,IF(ROW()=2, Input!$C$2 + I995, P994 + I995))</f>
        <v/>
      </c>
      <c r="O995" s="23" t="str">
        <f>IF(A995="",,
 IF(K995="Initial principal",
   Input!$C$2 * M995,
   N995 * M995
 )
)</f>
        <v/>
      </c>
      <c r="P995" s="18" t="str">
        <f t="shared" si="2"/>
        <v/>
      </c>
      <c r="Q995" s="18" t="str">
        <f t="shared" si="3"/>
        <v/>
      </c>
      <c r="R995" s="18" t="str">
        <f t="array" ref="R995">IF(
  B995="",
  ,
  SWITCH(
    Input!$C$4,
    "Actual/365 Fixed",
      YEARFRAC(
        B995 + IF(INDEX(Input!$K$7:$K1503,ROW()-1),0,1),
        C995 + IF(INDEX(Input!$L$7:$L1503,ROW()-1),1,0),
        3
      ),
    "Anniversary/365",
      DATEDIF(
        B995 + IF(INDEX(Input!$K$7:$K1503,ROW()-1),0,1),
        C995 + IF(INDEX(Input!$L$7:$L1503,ROW()-1),1,0),
        "Y"
      )
      +
      (
        (C995 + IF(INDEX(Input!$L$7:$L1503,ROW()-1),1,0))
        -
        EDATE(
          B995 + IF(INDEX(Input!$K$7:$K1503,ROW()-1),0,1),
          12*DATEDIF(
            B995 + IF(INDEX(Input!$K$7:$K1503,ROW()-1),0,1),
            C995 + IF(INDEX(Input!$L$7:$L1503,ROW()-1),1,0),
            "Y"
          )
        )
      ) / 365,
    "Actual/Actual",
      YEARFRAC(
        B995 + IF(INDEX(Input!$K$7:$K1503,ROW()-1),0,1),
        C995 + IF(INDEX(Input!$L$7:$L1503,ROW()-1),1,0),
        1
      ),
      YEARFRAC(
        B995 + IF(INDEX(Input!$K$7:$K1503,ROW()-1),0,1),
        C995 + IF(INDEX(Input!$L$7:$L1503,ROW()-1),1,0),
        3
      )
  )
)</f>
        <v/>
      </c>
      <c r="S995" s="22" t="str">
        <f t="shared" si="4"/>
        <v/>
      </c>
      <c r="T995" s="6" t="str">
        <f t="array" ref="T995">IF(
  B995="",
  ,
  DATEDIF(
    B995 + IF(INDEX(Input!$K$7:$K1503,ROW()-1),0,1),
    C995 + IF(INDEX(Input!$L$7:$L1503,ROW()-1),1,0),
    "Y"
  )
)</f>
        <v/>
      </c>
      <c r="U995" s="6" t="str">
        <f t="array" ref="U995">IF(
  B995="",
  ,
  (C995 + IF(INDEX(Input!$L$7:$L1503,ROW()-1),1,0))
  - EDATE(
      B995 + IF(INDEX(Input!$K$7:$K1503,ROW()-1),0,1),
      12*S995
    )
)</f>
        <v/>
      </c>
      <c r="V995" s="6" t="str">
        <f t="shared" si="5"/>
        <v/>
      </c>
      <c r="W995" s="6" t="str">
        <f t="shared" si="6"/>
        <v/>
      </c>
    </row>
    <row r="996">
      <c r="A996" s="18"/>
      <c r="B996" s="18"/>
      <c r="C996" s="18"/>
      <c r="D996" s="18"/>
      <c r="E996" s="18"/>
      <c r="F996" s="18"/>
      <c r="G996" s="22"/>
      <c r="H996" s="18"/>
      <c r="I996" s="18">
        <v>0.0</v>
      </c>
      <c r="J996" s="18">
        <v>0.0</v>
      </c>
      <c r="K996" s="18"/>
      <c r="L996" s="18"/>
      <c r="M996" s="22" t="str">
        <f t="shared" si="1"/>
        <v/>
      </c>
      <c r="N996" s="18" t="str">
        <f>IF(A996="",,IF(ROW()=2, Input!$C$2 + I996, P995 + I996))</f>
        <v/>
      </c>
      <c r="O996" s="23" t="str">
        <f>IF(A996="",,
 IF(K996="Initial principal",
   Input!$C$2 * M996,
   N996 * M996
 )
)</f>
        <v/>
      </c>
      <c r="P996" s="18" t="str">
        <f t="shared" si="2"/>
        <v/>
      </c>
      <c r="Q996" s="18" t="str">
        <f t="shared" si="3"/>
        <v/>
      </c>
      <c r="R996" s="18" t="str">
        <f t="array" ref="R996">IF(
  B996="",
  ,
  SWITCH(
    Input!$C$4,
    "Actual/365 Fixed",
      YEARFRAC(
        B996 + IF(INDEX(Input!$K$7:$K1503,ROW()-1),0,1),
        C996 + IF(INDEX(Input!$L$7:$L1503,ROW()-1),1,0),
        3
      ),
    "Anniversary/365",
      DATEDIF(
        B996 + IF(INDEX(Input!$K$7:$K1503,ROW()-1),0,1),
        C996 + IF(INDEX(Input!$L$7:$L1503,ROW()-1),1,0),
        "Y"
      )
      +
      (
        (C996 + IF(INDEX(Input!$L$7:$L1503,ROW()-1),1,0))
        -
        EDATE(
          B996 + IF(INDEX(Input!$K$7:$K1503,ROW()-1),0,1),
          12*DATEDIF(
            B996 + IF(INDEX(Input!$K$7:$K1503,ROW()-1),0,1),
            C996 + IF(INDEX(Input!$L$7:$L1503,ROW()-1),1,0),
            "Y"
          )
        )
      ) / 365,
    "Actual/Actual",
      YEARFRAC(
        B996 + IF(INDEX(Input!$K$7:$K1503,ROW()-1),0,1),
        C996 + IF(INDEX(Input!$L$7:$L1503,ROW()-1),1,0),
        1
      ),
      YEARFRAC(
        B996 + IF(INDEX(Input!$K$7:$K1503,ROW()-1),0,1),
        C996 + IF(INDEX(Input!$L$7:$L1503,ROW()-1),1,0),
        3
      )
  )
)</f>
        <v/>
      </c>
      <c r="S996" s="22" t="str">
        <f t="shared" si="4"/>
        <v/>
      </c>
      <c r="T996" s="6" t="str">
        <f t="array" ref="T996">IF(
  B996="",
  ,
  DATEDIF(
    B996 + IF(INDEX(Input!$K$7:$K1503,ROW()-1),0,1),
    C996 + IF(INDEX(Input!$L$7:$L1503,ROW()-1),1,0),
    "Y"
  )
)</f>
        <v/>
      </c>
      <c r="U996" s="6" t="str">
        <f t="array" ref="U996">IF(
  B996="",
  ,
  (C996 + IF(INDEX(Input!$L$7:$L1503,ROW()-1),1,0))
  - EDATE(
      B996 + IF(INDEX(Input!$K$7:$K1503,ROW()-1),0,1),
      12*S996
    )
)</f>
        <v/>
      </c>
      <c r="V996" s="6" t="str">
        <f t="shared" si="5"/>
        <v/>
      </c>
      <c r="W996" s="6" t="str">
        <f t="shared" si="6"/>
        <v/>
      </c>
    </row>
    <row r="997">
      <c r="A997" s="18"/>
      <c r="B997" s="18"/>
      <c r="C997" s="18"/>
      <c r="D997" s="18"/>
      <c r="E997" s="18"/>
      <c r="F997" s="18"/>
      <c r="G997" s="22"/>
      <c r="H997" s="18"/>
      <c r="I997" s="18">
        <v>0.0</v>
      </c>
      <c r="J997" s="18">
        <v>0.0</v>
      </c>
      <c r="K997" s="18"/>
      <c r="L997" s="18"/>
      <c r="M997" s="22" t="str">
        <f t="shared" si="1"/>
        <v/>
      </c>
      <c r="N997" s="18" t="str">
        <f>IF(A997="",,IF(ROW()=2, Input!$C$2 + I997, P996 + I997))</f>
        <v/>
      </c>
      <c r="O997" s="23" t="str">
        <f>IF(A997="",,
 IF(K997="Initial principal",
   Input!$C$2 * M997,
   N997 * M997
 )
)</f>
        <v/>
      </c>
      <c r="P997" s="18" t="str">
        <f t="shared" si="2"/>
        <v/>
      </c>
      <c r="Q997" s="18" t="str">
        <f t="shared" si="3"/>
        <v/>
      </c>
      <c r="R997" s="18" t="str">
        <f t="array" ref="R997">IF(
  B997="",
  ,
  SWITCH(
    Input!$C$4,
    "Actual/365 Fixed",
      YEARFRAC(
        B997 + IF(INDEX(Input!$K$7:$K1503,ROW()-1),0,1),
        C997 + IF(INDEX(Input!$L$7:$L1503,ROW()-1),1,0),
        3
      ),
    "Anniversary/365",
      DATEDIF(
        B997 + IF(INDEX(Input!$K$7:$K1503,ROW()-1),0,1),
        C997 + IF(INDEX(Input!$L$7:$L1503,ROW()-1),1,0),
        "Y"
      )
      +
      (
        (C997 + IF(INDEX(Input!$L$7:$L1503,ROW()-1),1,0))
        -
        EDATE(
          B997 + IF(INDEX(Input!$K$7:$K1503,ROW()-1),0,1),
          12*DATEDIF(
            B997 + IF(INDEX(Input!$K$7:$K1503,ROW()-1),0,1),
            C997 + IF(INDEX(Input!$L$7:$L1503,ROW()-1),1,0),
            "Y"
          )
        )
      ) / 365,
    "Actual/Actual",
      YEARFRAC(
        B997 + IF(INDEX(Input!$K$7:$K1503,ROW()-1),0,1),
        C997 + IF(INDEX(Input!$L$7:$L1503,ROW()-1),1,0),
        1
      ),
      YEARFRAC(
        B997 + IF(INDEX(Input!$K$7:$K1503,ROW()-1),0,1),
        C997 + IF(INDEX(Input!$L$7:$L1503,ROW()-1),1,0),
        3
      )
  )
)</f>
        <v/>
      </c>
      <c r="S997" s="22" t="str">
        <f t="shared" si="4"/>
        <v/>
      </c>
      <c r="T997" s="6" t="str">
        <f t="array" ref="T997">IF(
  B997="",
  ,
  DATEDIF(
    B997 + IF(INDEX(Input!$K$7:$K1503,ROW()-1),0,1),
    C997 + IF(INDEX(Input!$L$7:$L1503,ROW()-1),1,0),
    "Y"
  )
)</f>
        <v/>
      </c>
      <c r="U997" s="6" t="str">
        <f t="array" ref="U997">IF(
  B997="",
  ,
  (C997 + IF(INDEX(Input!$L$7:$L1503,ROW()-1),1,0))
  - EDATE(
      B997 + IF(INDEX(Input!$K$7:$K1503,ROW()-1),0,1),
      12*S997
    )
)</f>
        <v/>
      </c>
      <c r="V997" s="6" t="str">
        <f t="shared" si="5"/>
        <v/>
      </c>
      <c r="W997" s="6" t="str">
        <f t="shared" si="6"/>
        <v/>
      </c>
    </row>
    <row r="998">
      <c r="A998" s="18"/>
      <c r="B998" s="18"/>
      <c r="C998" s="18"/>
      <c r="D998" s="18"/>
      <c r="E998" s="18"/>
      <c r="F998" s="18"/>
      <c r="G998" s="22"/>
      <c r="H998" s="18"/>
      <c r="I998" s="18">
        <v>0.0</v>
      </c>
      <c r="J998" s="18">
        <v>0.0</v>
      </c>
      <c r="K998" s="18"/>
      <c r="L998" s="18"/>
      <c r="M998" s="22" t="str">
        <f t="shared" si="1"/>
        <v/>
      </c>
      <c r="N998" s="18" t="str">
        <f>IF(A998="",,IF(ROW()=2, Input!$C$2 + I998, P997 + I998))</f>
        <v/>
      </c>
      <c r="O998" s="23" t="str">
        <f>IF(A998="",,
 IF(K998="Initial principal",
   Input!$C$2 * M998,
   N998 * M998
 )
)</f>
        <v/>
      </c>
      <c r="P998" s="18" t="str">
        <f t="shared" si="2"/>
        <v/>
      </c>
      <c r="Q998" s="18" t="str">
        <f t="shared" si="3"/>
        <v/>
      </c>
      <c r="R998" s="18" t="str">
        <f t="array" ref="R998">IF(
  B998="",
  ,
  SWITCH(
    Input!$C$4,
    "Actual/365 Fixed",
      YEARFRAC(
        B998 + IF(INDEX(Input!$K$7:$K1503,ROW()-1),0,1),
        C998 + IF(INDEX(Input!$L$7:$L1503,ROW()-1),1,0),
        3
      ),
    "Anniversary/365",
      DATEDIF(
        B998 + IF(INDEX(Input!$K$7:$K1503,ROW()-1),0,1),
        C998 + IF(INDEX(Input!$L$7:$L1503,ROW()-1),1,0),
        "Y"
      )
      +
      (
        (C998 + IF(INDEX(Input!$L$7:$L1503,ROW()-1),1,0))
        -
        EDATE(
          B998 + IF(INDEX(Input!$K$7:$K1503,ROW()-1),0,1),
          12*DATEDIF(
            B998 + IF(INDEX(Input!$K$7:$K1503,ROW()-1),0,1),
            C998 + IF(INDEX(Input!$L$7:$L1503,ROW()-1),1,0),
            "Y"
          )
        )
      ) / 365,
    "Actual/Actual",
      YEARFRAC(
        B998 + IF(INDEX(Input!$K$7:$K1503,ROW()-1),0,1),
        C998 + IF(INDEX(Input!$L$7:$L1503,ROW()-1),1,0),
        1
      ),
      YEARFRAC(
        B998 + IF(INDEX(Input!$K$7:$K1503,ROW()-1),0,1),
        C998 + IF(INDEX(Input!$L$7:$L1503,ROW()-1),1,0),
        3
      )
  )
)</f>
        <v/>
      </c>
      <c r="S998" s="22" t="str">
        <f t="shared" si="4"/>
        <v/>
      </c>
      <c r="T998" s="6" t="str">
        <f t="array" ref="T998">IF(
  B998="",
  ,
  DATEDIF(
    B998 + IF(INDEX(Input!$K$7:$K1503,ROW()-1),0,1),
    C998 + IF(INDEX(Input!$L$7:$L1503,ROW()-1),1,0),
    "Y"
  )
)</f>
        <v/>
      </c>
      <c r="U998" s="6" t="str">
        <f t="array" ref="U998">IF(
  B998="",
  ,
  (C998 + IF(INDEX(Input!$L$7:$L1503,ROW()-1),1,0))
  - EDATE(
      B998 + IF(INDEX(Input!$K$7:$K1503,ROW()-1),0,1),
      12*S998
    )
)</f>
        <v/>
      </c>
      <c r="V998" s="6" t="str">
        <f t="shared" si="5"/>
        <v/>
      </c>
      <c r="W998" s="6" t="str">
        <f t="shared" si="6"/>
        <v/>
      </c>
    </row>
    <row r="999">
      <c r="A999" s="18"/>
      <c r="B999" s="18"/>
      <c r="C999" s="18"/>
      <c r="D999" s="18"/>
      <c r="E999" s="18"/>
      <c r="F999" s="18"/>
      <c r="G999" s="22"/>
      <c r="H999" s="18"/>
      <c r="I999" s="18">
        <v>0.0</v>
      </c>
      <c r="J999" s="18">
        <v>0.0</v>
      </c>
      <c r="K999" s="18"/>
      <c r="L999" s="18"/>
      <c r="M999" s="22" t="str">
        <f t="shared" si="1"/>
        <v/>
      </c>
      <c r="N999" s="18" t="str">
        <f>IF(A999="",,IF(ROW()=2, Input!$C$2 + I999, P998 + I999))</f>
        <v/>
      </c>
      <c r="O999" s="23" t="str">
        <f>IF(A999="",,
 IF(K999="Initial principal",
   Input!$C$2 * M999,
   N999 * M999
 )
)</f>
        <v/>
      </c>
      <c r="P999" s="18" t="str">
        <f t="shared" si="2"/>
        <v/>
      </c>
      <c r="Q999" s="18" t="str">
        <f t="shared" si="3"/>
        <v/>
      </c>
      <c r="R999" s="18" t="str">
        <f t="array" ref="R999">IF(
  B999="",
  ,
  SWITCH(
    Input!$C$4,
    "Actual/365 Fixed",
      YEARFRAC(
        B999 + IF(INDEX(Input!$K$7:$K1503,ROW()-1),0,1),
        C999 + IF(INDEX(Input!$L$7:$L1503,ROW()-1),1,0),
        3
      ),
    "Anniversary/365",
      DATEDIF(
        B999 + IF(INDEX(Input!$K$7:$K1503,ROW()-1),0,1),
        C999 + IF(INDEX(Input!$L$7:$L1503,ROW()-1),1,0),
        "Y"
      )
      +
      (
        (C999 + IF(INDEX(Input!$L$7:$L1503,ROW()-1),1,0))
        -
        EDATE(
          B999 + IF(INDEX(Input!$K$7:$K1503,ROW()-1),0,1),
          12*DATEDIF(
            B999 + IF(INDEX(Input!$K$7:$K1503,ROW()-1),0,1),
            C999 + IF(INDEX(Input!$L$7:$L1503,ROW()-1),1,0),
            "Y"
          )
        )
      ) / 365,
    "Actual/Actual",
      YEARFRAC(
        B999 + IF(INDEX(Input!$K$7:$K1503,ROW()-1),0,1),
        C999 + IF(INDEX(Input!$L$7:$L1503,ROW()-1),1,0),
        1
      ),
      YEARFRAC(
        B999 + IF(INDEX(Input!$K$7:$K1503,ROW()-1),0,1),
        C999 + IF(INDEX(Input!$L$7:$L1503,ROW()-1),1,0),
        3
      )
  )
)</f>
        <v/>
      </c>
      <c r="S999" s="22" t="str">
        <f t="shared" si="4"/>
        <v/>
      </c>
      <c r="T999" s="6" t="str">
        <f t="array" ref="T999">IF(
  B999="",
  ,
  DATEDIF(
    B999 + IF(INDEX(Input!$K$7:$K1503,ROW()-1),0,1),
    C999 + IF(INDEX(Input!$L$7:$L1503,ROW()-1),1,0),
    "Y"
  )
)</f>
        <v/>
      </c>
      <c r="U999" s="6" t="str">
        <f t="array" ref="U999">IF(
  B999="",
  ,
  (C999 + IF(INDEX(Input!$L$7:$L1503,ROW()-1),1,0))
  - EDATE(
      B999 + IF(INDEX(Input!$K$7:$K1503,ROW()-1),0,1),
      12*S999
    )
)</f>
        <v/>
      </c>
      <c r="V999" s="6" t="str">
        <f t="shared" si="5"/>
        <v/>
      </c>
      <c r="W999" s="6" t="str">
        <f t="shared" si="6"/>
        <v/>
      </c>
    </row>
    <row r="1000">
      <c r="A1000" s="18"/>
      <c r="B1000" s="18"/>
      <c r="C1000" s="18"/>
      <c r="D1000" s="18"/>
      <c r="E1000" s="18"/>
      <c r="F1000" s="18"/>
      <c r="G1000" s="22"/>
      <c r="H1000" s="18"/>
      <c r="I1000" s="18">
        <v>0.0</v>
      </c>
      <c r="J1000" s="18">
        <v>0.0</v>
      </c>
      <c r="K1000" s="18"/>
      <c r="L1000" s="18"/>
      <c r="M1000" s="22" t="str">
        <f t="shared" si="1"/>
        <v/>
      </c>
      <c r="N1000" s="18" t="str">
        <f>IF(A1000="",,IF(ROW()=2, Input!$C$2 + I1000, P999 + I1000))</f>
        <v/>
      </c>
      <c r="O1000" s="23" t="str">
        <f>IF(A1000="",,
 IF(K1000="Initial principal",
   Input!$C$2 * M1000,
   N1000 * M1000
 )
)</f>
        <v/>
      </c>
      <c r="P1000" s="18" t="str">
        <f t="shared" si="2"/>
        <v/>
      </c>
      <c r="Q1000" s="18" t="str">
        <f t="shared" si="3"/>
        <v/>
      </c>
      <c r="R1000" s="18" t="str">
        <f t="array" ref="R1000">IF(
  B1000="",
  ,
  SWITCH(
    Input!$C$4,
    "Actual/365 Fixed",
      YEARFRAC(
        B1000 + IF(INDEX(Input!$K$7:$K1503,ROW()-1),0,1),
        C1000 + IF(INDEX(Input!$L$7:$L1503,ROW()-1),1,0),
        3
      ),
    "Anniversary/365",
      DATEDIF(
        B1000 + IF(INDEX(Input!$K$7:$K1503,ROW()-1),0,1),
        C1000 + IF(INDEX(Input!$L$7:$L1503,ROW()-1),1,0),
        "Y"
      )
      +
      (
        (C1000 + IF(INDEX(Input!$L$7:$L1503,ROW()-1),1,0))
        -
        EDATE(
          B1000 + IF(INDEX(Input!$K$7:$K1503,ROW()-1),0,1),
          12*DATEDIF(
            B1000 + IF(INDEX(Input!$K$7:$K1503,ROW()-1),0,1),
            C1000 + IF(INDEX(Input!$L$7:$L1503,ROW()-1),1,0),
            "Y"
          )
        )
      ) / 365,
    "Actual/Actual",
      YEARFRAC(
        B1000 + IF(INDEX(Input!$K$7:$K1503,ROW()-1),0,1),
        C1000 + IF(INDEX(Input!$L$7:$L1503,ROW()-1),1,0),
        1
      ),
      YEARFRAC(
        B1000 + IF(INDEX(Input!$K$7:$K1503,ROW()-1),0,1),
        C1000 + IF(INDEX(Input!$L$7:$L1503,ROW()-1),1,0),
        3
      )
  )
)</f>
        <v/>
      </c>
      <c r="S1000" s="22" t="str">
        <f t="shared" si="4"/>
        <v/>
      </c>
      <c r="T1000" s="6" t="str">
        <f t="array" ref="T1000">IF(
  B1000="",
  ,
  DATEDIF(
    B1000 + IF(INDEX(Input!$K$7:$K1503,ROW()-1),0,1),
    C1000 + IF(INDEX(Input!$L$7:$L1503,ROW()-1),1,0),
    "Y"
  )
)</f>
        <v/>
      </c>
      <c r="U1000" s="6" t="str">
        <f t="array" ref="U1000">IF(
  B1000="",
  ,
  (C1000 + IF(INDEX(Input!$L$7:$L1503,ROW()-1),1,0))
  - EDATE(
      B1000 + IF(INDEX(Input!$K$7:$K1503,ROW()-1),0,1),
      12*S1000
    )
)</f>
        <v/>
      </c>
      <c r="V1000" s="6" t="str">
        <f t="shared" si="5"/>
        <v/>
      </c>
      <c r="W1000" s="6" t="str">
        <f t="shared" si="6"/>
        <v/>
      </c>
    </row>
    <row r="1001">
      <c r="A1001" s="18"/>
      <c r="B1001" s="18"/>
      <c r="C1001" s="18"/>
      <c r="D1001" s="18"/>
      <c r="E1001" s="18"/>
      <c r="F1001" s="18"/>
      <c r="G1001" s="22"/>
      <c r="H1001" s="18"/>
      <c r="I1001" s="18">
        <v>0.0</v>
      </c>
      <c r="J1001" s="18">
        <v>0.0</v>
      </c>
      <c r="K1001" s="18"/>
      <c r="L1001" s="18"/>
      <c r="M1001" s="22"/>
      <c r="N1001" s="18"/>
      <c r="O1001" s="23"/>
      <c r="P1001" s="18"/>
      <c r="Q1001" s="18"/>
      <c r="R1001" s="18"/>
      <c r="S1001" s="22"/>
      <c r="T1001" s="6" t="str">
        <f t="array" ref="T1001">IF(
  B1001="",
  ,
  DATEDIF(
    B1001 + IF(INDEX(Input!$K$7:$K1503,ROW()-1),0,1),
    C1001 + IF(INDEX(Input!$L$7:$L1503,ROW()-1),1,0),
    "Y"
  )
)</f>
        <v/>
      </c>
      <c r="U1001" s="6" t="str">
        <f t="array" ref="U1001">IF(
  B1001="",
  ,
  (C1001 + IF(INDEX(Input!$L$7:$L1503,ROW()-1),1,0))
  - EDATE(
      B1001 + IF(INDEX(Input!$K$7:$K1503,ROW()-1),0,1),
      12*S1001
    )
)</f>
        <v/>
      </c>
      <c r="V1001" s="6" t="str">
        <f t="shared" si="5"/>
        <v/>
      </c>
      <c r="W1001" s="6" t="str">
        <f t="shared" si="6"/>
        <v/>
      </c>
    </row>
    <row r="1002">
      <c r="A1002" s="18"/>
      <c r="B1002" s="18"/>
      <c r="C1002" s="18"/>
      <c r="D1002" s="18"/>
      <c r="E1002" s="18"/>
      <c r="F1002" s="18"/>
      <c r="G1002" s="22"/>
      <c r="H1002" s="18"/>
      <c r="I1002" s="18">
        <v>0.0</v>
      </c>
      <c r="J1002" s="18">
        <v>0.0</v>
      </c>
      <c r="K1002" s="18"/>
      <c r="L1002" s="18"/>
      <c r="M1002" s="22"/>
      <c r="N1002" s="18"/>
      <c r="O1002" s="23"/>
      <c r="P1002" s="18"/>
      <c r="Q1002" s="18"/>
      <c r="R1002" s="18"/>
      <c r="S1002" s="22"/>
      <c r="T1002" s="6" t="str">
        <f t="array" ref="T1002">IF(
  B1002="",
  ,
  DATEDIF(
    B1002 + IF(INDEX(Input!$K$7:$K1503,ROW()-1),0,1),
    C1002 + IF(INDEX(Input!$L$7:$L1503,ROW()-1),1,0),
    "Y"
  )
)</f>
        <v/>
      </c>
      <c r="U1002" s="6" t="str">
        <f t="array" ref="U1002">IF(
  B1002="",
  ,
  (C1002 + IF(INDEX(Input!$L$7:$L1503,ROW()-1),1,0))
  - EDATE(
      B1002 + IF(INDEX(Input!$K$7:$K1503,ROW()-1),0,1),
      12*S1002
    )
)</f>
        <v/>
      </c>
      <c r="V1002" s="6" t="str">
        <f t="shared" si="5"/>
        <v/>
      </c>
      <c r="W1002" s="6" t="str">
        <f t="shared" si="6"/>
        <v/>
      </c>
    </row>
    <row r="1003">
      <c r="A1003" s="18"/>
      <c r="B1003" s="18"/>
      <c r="C1003" s="18"/>
      <c r="D1003" s="18"/>
      <c r="E1003" s="18"/>
      <c r="F1003" s="18"/>
      <c r="G1003" s="22"/>
      <c r="H1003" s="18"/>
      <c r="I1003" s="18">
        <v>0.0</v>
      </c>
      <c r="J1003" s="18">
        <v>0.0</v>
      </c>
      <c r="K1003" s="18"/>
      <c r="L1003" s="18"/>
      <c r="M1003" s="22"/>
      <c r="N1003" s="18"/>
      <c r="O1003" s="23"/>
      <c r="P1003" s="18"/>
      <c r="Q1003" s="18"/>
      <c r="R1003" s="18"/>
      <c r="S1003" s="22"/>
      <c r="T1003" s="6" t="str">
        <f t="array" ref="T1003">IF(
  B1003="",
  ,
  DATEDIF(
    B1003 + IF(INDEX(Input!$K$7:$K1503,ROW()-1),0,1),
    C1003 + IF(INDEX(Input!$L$7:$L1503,ROW()-1),1,0),
    "Y"
  )
)</f>
        <v/>
      </c>
      <c r="U1003" s="6" t="str">
        <f t="array" ref="U1003">IF(
  B1003="",
  ,
  (C1003 + IF(INDEX(Input!$L$7:$L1503,ROW()-1),1,0))
  - EDATE(
      B1003 + IF(INDEX(Input!$K$7:$K1503,ROW()-1),0,1),
      12*S1003
    )
)</f>
        <v/>
      </c>
      <c r="V1003" s="6" t="str">
        <f t="shared" si="5"/>
        <v/>
      </c>
      <c r="W1003" s="6" t="str">
        <f t="shared" si="6"/>
        <v/>
      </c>
    </row>
    <row r="1004">
      <c r="A1004" s="18"/>
      <c r="B1004" s="18"/>
      <c r="C1004" s="18"/>
      <c r="D1004" s="18"/>
      <c r="E1004" s="18"/>
      <c r="F1004" s="18"/>
      <c r="G1004" s="22"/>
      <c r="H1004" s="18"/>
      <c r="I1004" s="18"/>
      <c r="J1004" s="18"/>
      <c r="K1004" s="18"/>
      <c r="L1004" s="18"/>
      <c r="M1004" s="22"/>
      <c r="N1004" s="18"/>
      <c r="O1004" s="23"/>
      <c r="P1004" s="18"/>
      <c r="Q1004" s="18"/>
      <c r="R1004" s="18"/>
      <c r="S1004" s="22"/>
      <c r="T1004" s="6" t="str">
        <f t="array" ref="T1004">IF(
  B1004="",
  ,
  DATEDIF(
    B1004 + IF(INDEX(Input!$K$7:$K1503,ROW()-1),0,1),
    C1004 + IF(INDEX(Input!$L$7:$L1503,ROW()-1),1,0),
    "Y"
  )
)</f>
        <v/>
      </c>
      <c r="U1004" s="6" t="str">
        <f t="array" ref="U1004">IF(
  B1004="",
  ,
  (C1004 + IF(INDEX(Input!$L$7:$L1503,ROW()-1),1,0))
  - EDATE(
      B1004 + IF(INDEX(Input!$K$7:$K1503,ROW()-1),0,1),
      12*S1004
    )
)</f>
        <v/>
      </c>
      <c r="V1004" s="6" t="str">
        <f t="shared" si="5"/>
        <v/>
      </c>
      <c r="W1004" s="6" t="str">
        <f t="shared" si="6"/>
        <v/>
      </c>
    </row>
    <row r="1005">
      <c r="A1005" s="18"/>
      <c r="B1005" s="18"/>
      <c r="C1005" s="18"/>
      <c r="D1005" s="18"/>
      <c r="E1005" s="18"/>
      <c r="F1005" s="18"/>
      <c r="G1005" s="22"/>
      <c r="H1005" s="18"/>
      <c r="I1005" s="18"/>
      <c r="J1005" s="18"/>
      <c r="K1005" s="18"/>
      <c r="L1005" s="18"/>
      <c r="M1005" s="22"/>
      <c r="N1005" s="18"/>
      <c r="O1005" s="23"/>
      <c r="P1005" s="18"/>
      <c r="Q1005" s="18"/>
      <c r="R1005" s="18"/>
      <c r="S1005" s="22"/>
      <c r="T1005" s="6" t="str">
        <f t="array" ref="T1005">IF(
  B1005="",
  ,
  DATEDIF(
    B1005 + IF(INDEX(Input!$K$7:$K1503,ROW()-1),0,1),
    C1005 + IF(INDEX(Input!$L$7:$L1503,ROW()-1),1,0),
    "Y"
  )
)</f>
        <v/>
      </c>
      <c r="U1005" s="6" t="str">
        <f t="array" ref="U1005">IF(
  B1005="",
  ,
  (C1005 + IF(INDEX(Input!$L$7:$L1503,ROW()-1),1,0))
  - EDATE(
      B1005 + IF(INDEX(Input!$K$7:$K1503,ROW()-1),0,1),
      12*S1005
    )
)</f>
        <v/>
      </c>
      <c r="V1005" s="6" t="str">
        <f t="shared" si="5"/>
        <v/>
      </c>
      <c r="W1005" s="6" t="str">
        <f t="shared" si="6"/>
        <v/>
      </c>
    </row>
    <row r="1006">
      <c r="A1006" s="18"/>
      <c r="B1006" s="18"/>
      <c r="C1006" s="18"/>
      <c r="D1006" s="18"/>
      <c r="E1006" s="18"/>
      <c r="F1006" s="18"/>
      <c r="G1006" s="22"/>
      <c r="H1006" s="18"/>
      <c r="I1006" s="18"/>
      <c r="J1006" s="18"/>
      <c r="K1006" s="18"/>
      <c r="L1006" s="18"/>
      <c r="M1006" s="22"/>
      <c r="N1006" s="18"/>
      <c r="O1006" s="23"/>
      <c r="P1006" s="18"/>
      <c r="Q1006" s="18"/>
      <c r="R1006" s="18"/>
      <c r="S1006" s="22"/>
      <c r="T1006" s="6" t="str">
        <f t="array" ref="T1006">IF(
  B1006="",
  ,
  DATEDIF(
    B1006 + IF(INDEX(Input!$K$7:$K1503,ROW()-1),0,1),
    C1006 + IF(INDEX(Input!$L$7:$L1503,ROW()-1),1,0),
    "Y"
  )
)</f>
        <v/>
      </c>
      <c r="U1006" s="6" t="str">
        <f t="array" ref="U1006">IF(
  B1006="",
  ,
  (C1006 + IF(INDEX(Input!$L$7:$L1503,ROW()-1),1,0))
  - EDATE(
      B1006 + IF(INDEX(Input!$K$7:$K1503,ROW()-1),0,1),
      12*S1006
    )
)</f>
        <v/>
      </c>
      <c r="V1006" s="6" t="str">
        <f t="shared" si="5"/>
        <v/>
      </c>
      <c r="W1006" s="6" t="str">
        <f t="shared" si="6"/>
        <v/>
      </c>
    </row>
    <row r="1007">
      <c r="A1007" s="18"/>
      <c r="B1007" s="18"/>
      <c r="C1007" s="18"/>
      <c r="D1007" s="18"/>
      <c r="E1007" s="18"/>
      <c r="F1007" s="18"/>
      <c r="G1007" s="22"/>
      <c r="H1007" s="18"/>
      <c r="I1007" s="18"/>
      <c r="J1007" s="18"/>
      <c r="K1007" s="18"/>
      <c r="L1007" s="18"/>
      <c r="M1007" s="22"/>
      <c r="N1007" s="18"/>
      <c r="O1007" s="23"/>
      <c r="P1007" s="18"/>
      <c r="Q1007" s="18"/>
      <c r="R1007" s="18"/>
      <c r="S1007" s="22"/>
      <c r="T1007" s="6" t="str">
        <f t="array" ref="T1007">IF(
  B1007="",
  ,
  DATEDIF(
    B1007 + IF(INDEX(Input!$K$7:$K1503,ROW()-1),0,1),
    C1007 + IF(INDEX(Input!$L$7:$L1503,ROW()-1),1,0),
    "Y"
  )
)</f>
        <v/>
      </c>
      <c r="U1007" s="6" t="str">
        <f t="array" ref="U1007">IF(
  B1007="",
  ,
  (C1007 + IF(INDEX(Input!$L$7:$L1503,ROW()-1),1,0))
  - EDATE(
      B1007 + IF(INDEX(Input!$K$7:$K1503,ROW()-1),0,1),
      12*S1007
    )
)</f>
        <v/>
      </c>
      <c r="V1007" s="6" t="str">
        <f t="shared" si="5"/>
        <v/>
      </c>
      <c r="W1007" s="6" t="str">
        <f t="shared" si="6"/>
        <v/>
      </c>
    </row>
    <row r="1008">
      <c r="A1008" s="18"/>
      <c r="B1008" s="18"/>
      <c r="C1008" s="18"/>
      <c r="D1008" s="18"/>
      <c r="E1008" s="18"/>
      <c r="F1008" s="18"/>
      <c r="G1008" s="22"/>
      <c r="H1008" s="18"/>
      <c r="I1008" s="18"/>
      <c r="J1008" s="18"/>
      <c r="K1008" s="18"/>
      <c r="L1008" s="18"/>
      <c r="M1008" s="22"/>
      <c r="N1008" s="18"/>
      <c r="O1008" s="23"/>
      <c r="P1008" s="18"/>
      <c r="Q1008" s="18"/>
      <c r="R1008" s="18"/>
      <c r="S1008" s="22"/>
      <c r="T1008" s="6" t="str">
        <f t="array" ref="T1008">IF(
  B1008="",
  ,
  DATEDIF(
    B1008 + IF(INDEX(Input!$K$7:$K1503,ROW()-1),0,1),
    C1008 + IF(INDEX(Input!$L$7:$L1503,ROW()-1),1,0),
    "Y"
  )
)</f>
        <v/>
      </c>
      <c r="U1008" s="6" t="str">
        <f t="array" ref="U1008">IF(
  B1008="",
  ,
  (C1008 + IF(INDEX(Input!$L$7:$L1503,ROW()-1),1,0))
  - EDATE(
      B1008 + IF(INDEX(Input!$K$7:$K1503,ROW()-1),0,1),
      12*S1008
    )
)</f>
        <v/>
      </c>
      <c r="V1008" s="6" t="str">
        <f t="shared" si="5"/>
        <v/>
      </c>
      <c r="W1008" s="6" t="str">
        <f t="shared" si="6"/>
        <v/>
      </c>
    </row>
    <row r="1009">
      <c r="A1009" s="18"/>
      <c r="B1009" s="18"/>
      <c r="C1009" s="18"/>
      <c r="D1009" s="18"/>
      <c r="E1009" s="18"/>
      <c r="F1009" s="18"/>
      <c r="G1009" s="22"/>
      <c r="H1009" s="18"/>
      <c r="I1009" s="18"/>
      <c r="J1009" s="18"/>
      <c r="K1009" s="18"/>
      <c r="L1009" s="18"/>
      <c r="M1009" s="22"/>
      <c r="N1009" s="18"/>
      <c r="O1009" s="23"/>
      <c r="P1009" s="18"/>
      <c r="Q1009" s="18"/>
      <c r="R1009" s="18"/>
      <c r="S1009" s="22"/>
      <c r="T1009" s="6" t="str">
        <f t="array" ref="T1009">IF(
  B1009="",
  ,
  DATEDIF(
    B1009 + IF(INDEX(Input!$K$7:$K1503,ROW()-1),0,1),
    C1009 + IF(INDEX(Input!$L$7:$L1503,ROW()-1),1,0),
    "Y"
  )
)</f>
        <v/>
      </c>
      <c r="U1009" s="6" t="str">
        <f t="array" ref="U1009">IF(
  B1009="",
  ,
  (C1009 + IF(INDEX(Input!$L$7:$L1503,ROW()-1),1,0))
  - EDATE(
      B1009 + IF(INDEX(Input!$K$7:$K1503,ROW()-1),0,1),
      12*S1009
    )
)</f>
        <v/>
      </c>
      <c r="V1009" s="6" t="str">
        <f t="shared" si="5"/>
        <v/>
      </c>
      <c r="W1009" s="6" t="str">
        <f t="shared" si="6"/>
        <v/>
      </c>
    </row>
    <row r="1010">
      <c r="A1010" s="18"/>
      <c r="B1010" s="18"/>
      <c r="C1010" s="18"/>
      <c r="D1010" s="18"/>
      <c r="E1010" s="18"/>
      <c r="F1010" s="18"/>
      <c r="G1010" s="22"/>
      <c r="H1010" s="18"/>
      <c r="I1010" s="18"/>
      <c r="J1010" s="18"/>
      <c r="K1010" s="18"/>
      <c r="L1010" s="18"/>
      <c r="M1010" s="22"/>
      <c r="N1010" s="18"/>
      <c r="O1010" s="23"/>
      <c r="P1010" s="18"/>
      <c r="Q1010" s="18"/>
      <c r="R1010" s="18"/>
      <c r="S1010" s="22"/>
      <c r="T1010" s="6" t="str">
        <f t="array" ref="T1010">IF(
  B1010="",
  ,
  DATEDIF(
    B1010 + IF(INDEX(Input!$K$7:$K1503,ROW()-1),0,1),
    C1010 + IF(INDEX(Input!$L$7:$L1503,ROW()-1),1,0),
    "Y"
  )
)</f>
        <v/>
      </c>
      <c r="U1010" s="6" t="str">
        <f t="array" ref="U1010">IF(
  B1010="",
  ,
  (C1010 + IF(INDEX(Input!$L$7:$L1503,ROW()-1),1,0))
  - EDATE(
      B1010 + IF(INDEX(Input!$K$7:$K1503,ROW()-1),0,1),
      12*S1010
    )
)</f>
        <v/>
      </c>
      <c r="V1010" s="6" t="str">
        <f t="shared" si="5"/>
        <v/>
      </c>
      <c r="W1010" s="6" t="str">
        <f t="shared" si="6"/>
        <v/>
      </c>
    </row>
    <row r="1011">
      <c r="A1011" s="18"/>
      <c r="B1011" s="18"/>
      <c r="C1011" s="18"/>
      <c r="D1011" s="18"/>
      <c r="E1011" s="18"/>
      <c r="F1011" s="18"/>
      <c r="G1011" s="22"/>
      <c r="H1011" s="18"/>
      <c r="I1011" s="18"/>
      <c r="J1011" s="18"/>
      <c r="K1011" s="18"/>
      <c r="L1011" s="18"/>
      <c r="M1011" s="22"/>
      <c r="N1011" s="18"/>
      <c r="O1011" s="23"/>
      <c r="P1011" s="18"/>
      <c r="Q1011" s="18"/>
      <c r="R1011" s="18"/>
      <c r="S1011" s="22"/>
      <c r="T1011" s="6" t="str">
        <f t="array" ref="T1011">IF(
  B1011="",
  ,
  DATEDIF(
    B1011 + IF(INDEX(Input!$K$7:$K1503,ROW()-1),0,1),
    C1011 + IF(INDEX(Input!$L$7:$L1503,ROW()-1),1,0),
    "Y"
  )
)</f>
        <v/>
      </c>
      <c r="U1011" s="6" t="str">
        <f t="array" ref="U1011">IF(
  B1011="",
  ,
  (C1011 + IF(INDEX(Input!$L$7:$L1503,ROW()-1),1,0))
  - EDATE(
      B1011 + IF(INDEX(Input!$K$7:$K1503,ROW()-1),0,1),
      12*S1011
    )
)</f>
        <v/>
      </c>
      <c r="V1011" s="6" t="str">
        <f t="shared" si="5"/>
        <v/>
      </c>
      <c r="W1011" s="6" t="str">
        <f t="shared" si="6"/>
        <v/>
      </c>
    </row>
    <row r="1012">
      <c r="A1012" s="18"/>
      <c r="B1012" s="18"/>
      <c r="C1012" s="18"/>
      <c r="D1012" s="18"/>
      <c r="E1012" s="18"/>
      <c r="F1012" s="18"/>
      <c r="G1012" s="22"/>
      <c r="H1012" s="18"/>
      <c r="I1012" s="18"/>
      <c r="J1012" s="18"/>
      <c r="K1012" s="18"/>
      <c r="L1012" s="18"/>
      <c r="M1012" s="22"/>
      <c r="N1012" s="18"/>
      <c r="O1012" s="23"/>
      <c r="P1012" s="18"/>
      <c r="Q1012" s="18"/>
      <c r="R1012" s="18"/>
      <c r="S1012" s="22"/>
      <c r="T1012" s="6" t="str">
        <f t="array" ref="T1012">IF(
  B1012="",
  ,
  DATEDIF(
    B1012 + IF(INDEX(Input!$K$7:$K1503,ROW()-1),0,1),
    C1012 + IF(INDEX(Input!$L$7:$L1503,ROW()-1),1,0),
    "Y"
  )
)</f>
        <v/>
      </c>
      <c r="U1012" s="6" t="str">
        <f t="array" ref="U1012">IF(
  B1012="",
  ,
  (C1012 + IF(INDEX(Input!$L$7:$L1503,ROW()-1),1,0))
  - EDATE(
      B1012 + IF(INDEX(Input!$K$7:$K1503,ROW()-1),0,1),
      12*S1012
    )
)</f>
        <v/>
      </c>
      <c r="V1012" s="6" t="str">
        <f t="shared" si="5"/>
        <v/>
      </c>
      <c r="W1012" s="6" t="str">
        <f t="shared" si="6"/>
        <v/>
      </c>
    </row>
    <row r="1013">
      <c r="A1013" s="18"/>
      <c r="B1013" s="18"/>
      <c r="C1013" s="18"/>
      <c r="D1013" s="18"/>
      <c r="E1013" s="18"/>
      <c r="F1013" s="18"/>
      <c r="G1013" s="22"/>
      <c r="H1013" s="18"/>
      <c r="I1013" s="18"/>
      <c r="J1013" s="18"/>
      <c r="K1013" s="18"/>
      <c r="L1013" s="18"/>
      <c r="M1013" s="22"/>
      <c r="N1013" s="18"/>
      <c r="O1013" s="23"/>
      <c r="P1013" s="18"/>
      <c r="Q1013" s="18"/>
      <c r="R1013" s="18"/>
      <c r="S1013" s="22"/>
      <c r="T1013" s="6" t="str">
        <f t="array" ref="T1013">IF(
  B1013="",
  ,
  DATEDIF(
    B1013 + IF(INDEX(Input!$K$7:$K1503,ROW()-1),0,1),
    C1013 + IF(INDEX(Input!$L$7:$L1503,ROW()-1),1,0),
    "Y"
  )
)</f>
        <v/>
      </c>
      <c r="U1013" s="6" t="str">
        <f t="array" ref="U1013">IF(
  B1013="",
  ,
  (C1013 + IF(INDEX(Input!$L$7:$L1503,ROW()-1),1,0))
  - EDATE(
      B1013 + IF(INDEX(Input!$K$7:$K1503,ROW()-1),0,1),
      12*S1013
    )
)</f>
        <v/>
      </c>
      <c r="V1013" s="6" t="str">
        <f t="shared" si="5"/>
        <v/>
      </c>
      <c r="W1013" s="6" t="str">
        <f t="shared" si="6"/>
        <v/>
      </c>
    </row>
    <row r="1014">
      <c r="A1014" s="18"/>
      <c r="B1014" s="18"/>
      <c r="C1014" s="18"/>
      <c r="D1014" s="18"/>
      <c r="E1014" s="18"/>
      <c r="F1014" s="18"/>
      <c r="G1014" s="22"/>
      <c r="H1014" s="18"/>
      <c r="I1014" s="18"/>
      <c r="J1014" s="18"/>
      <c r="K1014" s="18"/>
      <c r="L1014" s="18"/>
      <c r="M1014" s="22"/>
      <c r="N1014" s="18"/>
      <c r="O1014" s="23"/>
      <c r="P1014" s="18"/>
      <c r="Q1014" s="18"/>
      <c r="R1014" s="18"/>
      <c r="S1014" s="22"/>
      <c r="T1014" s="6" t="str">
        <f t="array" ref="T1014">IF(
  B1014="",
  ,
  DATEDIF(
    B1014 + IF(INDEX(Input!$K$7:$K1503,ROW()-1),0,1),
    C1014 + IF(INDEX(Input!$L$7:$L1503,ROW()-1),1,0),
    "Y"
  )
)</f>
        <v/>
      </c>
      <c r="U1014" s="6" t="str">
        <f t="array" ref="U1014">IF(
  B1014="",
  ,
  (C1014 + IF(INDEX(Input!$L$7:$L1503,ROW()-1),1,0))
  - EDATE(
      B1014 + IF(INDEX(Input!$K$7:$K1503,ROW()-1),0,1),
      12*S1014
    )
)</f>
        <v/>
      </c>
      <c r="V1014" s="6" t="str">
        <f t="shared" si="5"/>
        <v/>
      </c>
      <c r="W1014" s="6" t="str">
        <f t="shared" si="6"/>
        <v/>
      </c>
    </row>
    <row r="1015">
      <c r="A1015" s="18"/>
      <c r="B1015" s="18"/>
      <c r="C1015" s="18"/>
      <c r="D1015" s="18"/>
      <c r="E1015" s="18"/>
      <c r="F1015" s="18"/>
      <c r="G1015" s="22"/>
      <c r="H1015" s="18"/>
      <c r="I1015" s="18"/>
      <c r="J1015" s="18"/>
      <c r="K1015" s="18"/>
      <c r="L1015" s="18"/>
      <c r="M1015" s="22"/>
      <c r="N1015" s="18"/>
      <c r="O1015" s="23"/>
      <c r="P1015" s="18"/>
      <c r="Q1015" s="18"/>
      <c r="R1015" s="18"/>
      <c r="S1015" s="22"/>
      <c r="T1015" s="6" t="str">
        <f t="array" ref="T1015">IF(
  B1015="",
  ,
  DATEDIF(
    B1015 + IF(INDEX(Input!$K$7:$K1503,ROW()-1),0,1),
    C1015 + IF(INDEX(Input!$L$7:$L1503,ROW()-1),1,0),
    "Y"
  )
)</f>
        <v/>
      </c>
      <c r="U1015" s="6" t="str">
        <f t="array" ref="U1015">IF(
  B1015="",
  ,
  (C1015 + IF(INDEX(Input!$L$7:$L1503,ROW()-1),1,0))
  - EDATE(
      B1015 + IF(INDEX(Input!$K$7:$K1503,ROW()-1),0,1),
      12*S1015
    )
)</f>
        <v/>
      </c>
      <c r="V1015" s="6" t="str">
        <f t="shared" si="5"/>
        <v/>
      </c>
      <c r="W1015" s="6" t="str">
        <f t="shared" si="6"/>
        <v/>
      </c>
    </row>
    <row r="1016">
      <c r="A1016" s="18"/>
      <c r="B1016" s="18"/>
      <c r="C1016" s="18"/>
      <c r="D1016" s="18"/>
      <c r="E1016" s="18"/>
      <c r="F1016" s="18"/>
      <c r="G1016" s="22"/>
      <c r="H1016" s="18"/>
      <c r="I1016" s="18"/>
      <c r="J1016" s="18"/>
      <c r="K1016" s="18"/>
      <c r="L1016" s="18"/>
      <c r="M1016" s="22"/>
      <c r="N1016" s="18"/>
      <c r="O1016" s="23"/>
      <c r="P1016" s="18"/>
      <c r="Q1016" s="18"/>
      <c r="R1016" s="18"/>
      <c r="S1016" s="22"/>
      <c r="T1016" s="6" t="str">
        <f t="array" ref="T1016">IF(
  B1016="",
  ,
  DATEDIF(
    B1016 + IF(INDEX(Input!$K$7:$K1503,ROW()-1),0,1),
    C1016 + IF(INDEX(Input!$L$7:$L1503,ROW()-1),1,0),
    "Y"
  )
)</f>
        <v/>
      </c>
      <c r="U1016" s="6" t="str">
        <f t="array" ref="U1016">IF(
  B1016="",
  ,
  (C1016 + IF(INDEX(Input!$L$7:$L1503,ROW()-1),1,0))
  - EDATE(
      B1016 + IF(INDEX(Input!$K$7:$K1503,ROW()-1),0,1),
      12*S1016
    )
)</f>
        <v/>
      </c>
      <c r="V1016" s="6" t="str">
        <f t="shared" si="5"/>
        <v/>
      </c>
      <c r="W1016" s="6" t="str">
        <f t="shared" si="6"/>
        <v/>
      </c>
    </row>
    <row r="1017">
      <c r="A1017" s="18"/>
      <c r="B1017" s="18"/>
      <c r="C1017" s="18"/>
      <c r="D1017" s="18"/>
      <c r="E1017" s="18"/>
      <c r="F1017" s="18"/>
      <c r="G1017" s="22"/>
      <c r="H1017" s="18"/>
      <c r="I1017" s="18"/>
      <c r="J1017" s="18"/>
      <c r="K1017" s="18"/>
      <c r="L1017" s="18"/>
      <c r="M1017" s="22"/>
      <c r="N1017" s="18"/>
      <c r="O1017" s="23"/>
      <c r="P1017" s="18"/>
      <c r="Q1017" s="18"/>
      <c r="R1017" s="18"/>
      <c r="S1017" s="22"/>
      <c r="T1017" s="6" t="str">
        <f t="array" ref="T1017">IF(
  B1017="",
  ,
  DATEDIF(
    B1017 + IF(INDEX(Input!$K$7:$K1503,ROW()-1),0,1),
    C1017 + IF(INDEX(Input!$L$7:$L1503,ROW()-1),1,0),
    "Y"
  )
)</f>
        <v/>
      </c>
      <c r="U1017" s="6" t="str">
        <f t="array" ref="U1017">IF(
  B1017="",
  ,
  (C1017 + IF(INDEX(Input!$L$7:$L1503,ROW()-1),1,0))
  - EDATE(
      B1017 + IF(INDEX(Input!$K$7:$K1503,ROW()-1),0,1),
      12*S1017
    )
)</f>
        <v/>
      </c>
      <c r="V1017" s="6" t="str">
        <f t="shared" si="5"/>
        <v/>
      </c>
      <c r="W1017" s="6" t="str">
        <f t="shared" si="6"/>
        <v/>
      </c>
    </row>
    <row r="1018">
      <c r="A1018" s="18"/>
      <c r="B1018" s="18"/>
      <c r="C1018" s="18"/>
      <c r="D1018" s="18"/>
      <c r="E1018" s="18"/>
      <c r="F1018" s="18"/>
      <c r="G1018" s="22"/>
      <c r="H1018" s="18"/>
      <c r="I1018" s="18"/>
      <c r="J1018" s="18"/>
      <c r="K1018" s="18"/>
      <c r="L1018" s="18"/>
      <c r="M1018" s="22"/>
      <c r="N1018" s="18"/>
      <c r="O1018" s="23"/>
      <c r="P1018" s="18"/>
      <c r="Q1018" s="18"/>
      <c r="R1018" s="18"/>
      <c r="S1018" s="22"/>
      <c r="T1018" s="6" t="str">
        <f t="array" ref="T1018">IF(
  B1018="",
  ,
  DATEDIF(
    B1018 + IF(INDEX(Input!$K$7:$K1503,ROW()-1),0,1),
    C1018 + IF(INDEX(Input!$L$7:$L1503,ROW()-1),1,0),
    "Y"
  )
)</f>
        <v/>
      </c>
      <c r="U1018" s="6" t="str">
        <f t="array" ref="U1018">IF(
  B1018="",
  ,
  (C1018 + IF(INDEX(Input!$L$7:$L1503,ROW()-1),1,0))
  - EDATE(
      B1018 + IF(INDEX(Input!$K$7:$K1503,ROW()-1),0,1),
      12*S1018
    )
)</f>
        <v/>
      </c>
      <c r="V1018" s="6" t="str">
        <f t="shared" si="5"/>
        <v/>
      </c>
      <c r="W1018" s="6" t="str">
        <f t="shared" si="6"/>
        <v/>
      </c>
    </row>
    <row r="1019">
      <c r="A1019" s="18"/>
      <c r="B1019" s="18"/>
      <c r="C1019" s="18"/>
      <c r="D1019" s="18"/>
      <c r="E1019" s="18"/>
      <c r="F1019" s="18"/>
      <c r="G1019" s="22"/>
      <c r="H1019" s="18"/>
      <c r="I1019" s="18"/>
      <c r="J1019" s="18"/>
      <c r="K1019" s="18"/>
      <c r="L1019" s="18"/>
      <c r="M1019" s="22"/>
      <c r="N1019" s="18"/>
      <c r="O1019" s="23"/>
      <c r="P1019" s="18"/>
      <c r="Q1019" s="18"/>
      <c r="R1019" s="18"/>
      <c r="S1019" s="22"/>
      <c r="T1019" s="6" t="str">
        <f t="array" ref="T1019">IF(
  B1019="",
  ,
  DATEDIF(
    B1019 + IF(INDEX(Input!$K$7:$K1503,ROW()-1),0,1),
    C1019 + IF(INDEX(Input!$L$7:$L1503,ROW()-1),1,0),
    "Y"
  )
)</f>
        <v/>
      </c>
      <c r="U1019" s="6" t="str">
        <f t="array" ref="U1019">IF(
  B1019="",
  ,
  (C1019 + IF(INDEX(Input!$L$7:$L1503,ROW()-1),1,0))
  - EDATE(
      B1019 + IF(INDEX(Input!$K$7:$K1503,ROW()-1),0,1),
      12*S1019
    )
)</f>
        <v/>
      </c>
      <c r="V1019" s="6" t="str">
        <f t="shared" si="5"/>
        <v/>
      </c>
      <c r="W1019" s="6" t="str">
        <f t="shared" si="6"/>
        <v/>
      </c>
    </row>
    <row r="1020">
      <c r="A1020" s="18"/>
      <c r="B1020" s="18"/>
      <c r="C1020" s="18"/>
      <c r="D1020" s="18"/>
      <c r="E1020" s="18"/>
      <c r="F1020" s="18"/>
      <c r="G1020" s="22"/>
      <c r="H1020" s="18"/>
      <c r="I1020" s="18"/>
      <c r="J1020" s="18"/>
      <c r="K1020" s="18"/>
      <c r="L1020" s="18"/>
      <c r="M1020" s="22"/>
      <c r="N1020" s="18"/>
      <c r="O1020" s="23"/>
      <c r="P1020" s="18"/>
      <c r="Q1020" s="18"/>
      <c r="R1020" s="18"/>
      <c r="S1020" s="22"/>
      <c r="T1020" s="6" t="str">
        <f t="array" ref="T1020">IF(
  B1020="",
  ,
  DATEDIF(
    B1020 + IF(INDEX(Input!$K$7:$K1503,ROW()-1),0,1),
    C1020 + IF(INDEX(Input!$L$7:$L1503,ROW()-1),1,0),
    "Y"
  )
)</f>
        <v/>
      </c>
      <c r="U1020" s="6" t="str">
        <f t="array" ref="U1020">IF(
  B1020="",
  ,
  (C1020 + IF(INDEX(Input!$L$7:$L1503,ROW()-1),1,0))
  - EDATE(
      B1020 + IF(INDEX(Input!$K$7:$K1503,ROW()-1),0,1),
      12*S1020
    )
)</f>
        <v/>
      </c>
      <c r="V1020" s="6" t="str">
        <f t="shared" si="5"/>
        <v/>
      </c>
      <c r="W1020" s="6" t="str">
        <f t="shared" si="6"/>
        <v/>
      </c>
    </row>
    <row r="1021">
      <c r="A1021" s="18"/>
      <c r="B1021" s="18"/>
      <c r="C1021" s="18"/>
      <c r="D1021" s="18"/>
      <c r="E1021" s="18"/>
      <c r="F1021" s="18"/>
      <c r="G1021" s="22"/>
      <c r="H1021" s="18"/>
      <c r="I1021" s="18"/>
      <c r="J1021" s="18"/>
      <c r="K1021" s="18"/>
      <c r="L1021" s="18"/>
      <c r="M1021" s="22"/>
      <c r="N1021" s="18"/>
      <c r="O1021" s="23"/>
      <c r="P1021" s="18"/>
      <c r="Q1021" s="18"/>
      <c r="R1021" s="18"/>
      <c r="S1021" s="22"/>
      <c r="T1021" s="6" t="str">
        <f t="array" ref="T1021">IF(
  B1021="",
  ,
  DATEDIF(
    B1021 + IF(INDEX(Input!$K$7:$K1503,ROW()-1),0,1),
    C1021 + IF(INDEX(Input!$L$7:$L1503,ROW()-1),1,0),
    "Y"
  )
)</f>
        <v/>
      </c>
      <c r="U1021" s="6" t="str">
        <f t="array" ref="U1021">IF(
  B1021="",
  ,
  (C1021 + IF(INDEX(Input!$L$7:$L1503,ROW()-1),1,0))
  - EDATE(
      B1021 + IF(INDEX(Input!$K$7:$K1503,ROW()-1),0,1),
      12*S1021
    )
)</f>
        <v/>
      </c>
      <c r="V1021" s="6" t="str">
        <f t="shared" si="5"/>
        <v/>
      </c>
      <c r="W1021" s="6" t="str">
        <f t="shared" si="6"/>
        <v/>
      </c>
    </row>
    <row r="1022">
      <c r="A1022" s="18"/>
      <c r="B1022" s="18"/>
      <c r="C1022" s="18"/>
      <c r="D1022" s="18"/>
      <c r="E1022" s="18"/>
      <c r="F1022" s="18"/>
      <c r="G1022" s="22"/>
      <c r="H1022" s="18"/>
      <c r="I1022" s="18"/>
      <c r="J1022" s="18"/>
      <c r="K1022" s="18"/>
      <c r="L1022" s="18"/>
      <c r="M1022" s="22"/>
      <c r="N1022" s="18"/>
      <c r="O1022" s="23"/>
      <c r="P1022" s="18"/>
      <c r="Q1022" s="18"/>
      <c r="R1022" s="18"/>
      <c r="S1022" s="22"/>
      <c r="T1022" s="6" t="str">
        <f t="array" ref="T1022">IF(
  B1022="",
  ,
  DATEDIF(
    B1022 + IF(INDEX(Input!$K$7:$K1503,ROW()-1),0,1),
    C1022 + IF(INDEX(Input!$L$7:$L1503,ROW()-1),1,0),
    "Y"
  )
)</f>
        <v/>
      </c>
      <c r="U1022" s="6" t="str">
        <f t="array" ref="U1022">IF(
  B1022="",
  ,
  (C1022 + IF(INDEX(Input!$L$7:$L1503,ROW()-1),1,0))
  - EDATE(
      B1022 + IF(INDEX(Input!$K$7:$K1503,ROW()-1),0,1),
      12*S1022
    )
)</f>
        <v/>
      </c>
      <c r="V1022" s="6" t="str">
        <f t="shared" si="5"/>
        <v/>
      </c>
      <c r="W1022" s="6" t="str">
        <f t="shared" si="6"/>
        <v/>
      </c>
    </row>
    <row r="1023">
      <c r="A1023" s="18"/>
      <c r="B1023" s="18"/>
      <c r="C1023" s="18"/>
      <c r="D1023" s="18"/>
      <c r="E1023" s="18"/>
      <c r="F1023" s="18"/>
      <c r="G1023" s="22"/>
      <c r="H1023" s="18"/>
      <c r="I1023" s="18"/>
      <c r="J1023" s="18"/>
      <c r="K1023" s="18"/>
      <c r="L1023" s="18"/>
      <c r="M1023" s="22"/>
      <c r="N1023" s="18"/>
      <c r="O1023" s="23"/>
      <c r="P1023" s="18"/>
      <c r="Q1023" s="18"/>
      <c r="R1023" s="18"/>
      <c r="S1023" s="22"/>
      <c r="T1023" s="6" t="str">
        <f t="array" ref="T1023">IF(
  B1023="",
  ,
  DATEDIF(
    B1023 + IF(INDEX(Input!$K$7:$K1503,ROW()-1),0,1),
    C1023 + IF(INDEX(Input!$L$7:$L1503,ROW()-1),1,0),
    "Y"
  )
)</f>
        <v/>
      </c>
      <c r="U1023" s="6" t="str">
        <f t="array" ref="U1023">IF(
  B1023="",
  ,
  (C1023 + IF(INDEX(Input!$L$7:$L1503,ROW()-1),1,0))
  - EDATE(
      B1023 + IF(INDEX(Input!$K$7:$K1503,ROW()-1),0,1),
      12*S1023
    )
)</f>
        <v/>
      </c>
      <c r="V1023" s="6" t="str">
        <f t="shared" si="5"/>
        <v/>
      </c>
      <c r="W1023" s="6" t="str">
        <f t="shared" si="6"/>
        <v/>
      </c>
    </row>
    <row r="1024">
      <c r="A1024" s="18"/>
      <c r="B1024" s="18"/>
      <c r="C1024" s="18"/>
      <c r="D1024" s="18"/>
      <c r="E1024" s="18"/>
      <c r="F1024" s="18"/>
      <c r="G1024" s="22"/>
      <c r="H1024" s="18"/>
      <c r="I1024" s="18"/>
      <c r="J1024" s="18"/>
      <c r="K1024" s="18"/>
      <c r="L1024" s="18"/>
      <c r="M1024" s="22"/>
      <c r="N1024" s="18"/>
      <c r="O1024" s="23"/>
      <c r="P1024" s="18"/>
      <c r="Q1024" s="18"/>
      <c r="R1024" s="18"/>
      <c r="S1024" s="22"/>
      <c r="T1024" s="6" t="str">
        <f t="array" ref="T1024">IF(
  B1024="",
  ,
  DATEDIF(
    B1024 + IF(INDEX(Input!$K$7:$K1503,ROW()-1),0,1),
    C1024 + IF(INDEX(Input!$L$7:$L1503,ROW()-1),1,0),
    "Y"
  )
)</f>
        <v/>
      </c>
      <c r="U1024" s="6" t="str">
        <f t="array" ref="U1024">IF(
  B1024="",
  ,
  (C1024 + IF(INDEX(Input!$L$7:$L1503,ROW()-1),1,0))
  - EDATE(
      B1024 + IF(INDEX(Input!$K$7:$K1503,ROW()-1),0,1),
      12*S1024
    )
)</f>
        <v/>
      </c>
      <c r="V1024" s="6" t="str">
        <f t="shared" si="5"/>
        <v/>
      </c>
      <c r="W1024" s="6" t="str">
        <f t="shared" si="6"/>
        <v/>
      </c>
    </row>
    <row r="1025">
      <c r="A1025" s="18"/>
      <c r="B1025" s="18"/>
      <c r="C1025" s="18"/>
      <c r="D1025" s="18"/>
      <c r="E1025" s="18"/>
      <c r="F1025" s="18"/>
      <c r="G1025" s="22"/>
      <c r="H1025" s="18"/>
      <c r="I1025" s="18"/>
      <c r="J1025" s="18"/>
      <c r="K1025" s="18"/>
      <c r="L1025" s="18"/>
      <c r="M1025" s="22"/>
      <c r="N1025" s="18"/>
      <c r="O1025" s="23"/>
      <c r="P1025" s="18"/>
      <c r="Q1025" s="18"/>
      <c r="R1025" s="18"/>
      <c r="S1025" s="22"/>
      <c r="T1025" s="6" t="str">
        <f t="array" ref="T1025">IF(
  B1025="",
  ,
  DATEDIF(
    B1025 + IF(INDEX(Input!$K$7:$K1503,ROW()-1),0,1),
    C1025 + IF(INDEX(Input!$L$7:$L1503,ROW()-1),1,0),
    "Y"
  )
)</f>
        <v/>
      </c>
      <c r="U1025" s="6" t="str">
        <f t="array" ref="U1025">IF(
  B1025="",
  ,
  (C1025 + IF(INDEX(Input!$L$7:$L1503,ROW()-1),1,0))
  - EDATE(
      B1025 + IF(INDEX(Input!$K$7:$K1503,ROW()-1),0,1),
      12*S1025
    )
)</f>
        <v/>
      </c>
      <c r="V1025" s="6" t="str">
        <f t="shared" si="5"/>
        <v/>
      </c>
      <c r="W1025" s="6" t="str">
        <f t="shared" si="6"/>
        <v/>
      </c>
    </row>
    <row r="1026">
      <c r="A1026" s="18"/>
      <c r="B1026" s="18"/>
      <c r="C1026" s="18"/>
      <c r="D1026" s="18"/>
      <c r="E1026" s="18"/>
      <c r="F1026" s="18"/>
      <c r="G1026" s="22"/>
      <c r="H1026" s="18"/>
      <c r="I1026" s="18"/>
      <c r="J1026" s="18"/>
      <c r="K1026" s="18"/>
      <c r="L1026" s="18"/>
      <c r="M1026" s="22"/>
      <c r="N1026" s="18"/>
      <c r="O1026" s="23"/>
      <c r="P1026" s="18"/>
      <c r="Q1026" s="18"/>
      <c r="R1026" s="18"/>
      <c r="S1026" s="22"/>
      <c r="T1026" s="6" t="str">
        <f t="array" ref="T1026">IF(
  B1026="",
  ,
  DATEDIF(
    B1026 + IF(INDEX(Input!$K$7:$K1503,ROW()-1),0,1),
    C1026 + IF(INDEX(Input!$L$7:$L1503,ROW()-1),1,0),
    "Y"
  )
)</f>
        <v/>
      </c>
      <c r="U1026" s="6" t="str">
        <f t="array" ref="U1026">IF(
  B1026="",
  ,
  (C1026 + IF(INDEX(Input!$L$7:$L1503,ROW()-1),1,0))
  - EDATE(
      B1026 + IF(INDEX(Input!$K$7:$K1503,ROW()-1),0,1),
      12*S1026
    )
)</f>
        <v/>
      </c>
      <c r="V1026" s="6" t="str">
        <f t="shared" si="5"/>
        <v/>
      </c>
      <c r="W1026" s="6" t="str">
        <f t="shared" si="6"/>
        <v/>
      </c>
    </row>
    <row r="1027">
      <c r="A1027" s="18"/>
      <c r="B1027" s="18"/>
      <c r="C1027" s="18"/>
      <c r="D1027" s="18"/>
      <c r="E1027" s="18"/>
      <c r="F1027" s="18"/>
      <c r="G1027" s="22"/>
      <c r="H1027" s="18"/>
      <c r="I1027" s="18"/>
      <c r="J1027" s="18"/>
      <c r="K1027" s="18"/>
      <c r="L1027" s="18"/>
      <c r="M1027" s="22"/>
      <c r="N1027" s="18"/>
      <c r="O1027" s="23"/>
      <c r="P1027" s="18"/>
      <c r="Q1027" s="18"/>
      <c r="R1027" s="18"/>
      <c r="S1027" s="22"/>
      <c r="T1027" s="6" t="str">
        <f t="array" ref="T1027">IF(
  B1027="",
  ,
  DATEDIF(
    B1027 + IF(INDEX(Input!$K$7:$K1503,ROW()-1),0,1),
    C1027 + IF(INDEX(Input!$L$7:$L1503,ROW()-1),1,0),
    "Y"
  )
)</f>
        <v/>
      </c>
      <c r="U1027" s="6" t="str">
        <f t="array" ref="U1027">IF(
  B1027="",
  ,
  (C1027 + IF(INDEX(Input!$L$7:$L1503,ROW()-1),1,0))
  - EDATE(
      B1027 + IF(INDEX(Input!$K$7:$K1503,ROW()-1),0,1),
      12*S1027
    )
)</f>
        <v/>
      </c>
      <c r="V1027" s="6" t="str">
        <f t="shared" si="5"/>
        <v/>
      </c>
      <c r="W1027" s="6" t="str">
        <f t="shared" si="6"/>
        <v/>
      </c>
    </row>
    <row r="1028">
      <c r="A1028" s="18"/>
      <c r="B1028" s="18"/>
      <c r="C1028" s="18"/>
      <c r="D1028" s="18"/>
      <c r="E1028" s="18"/>
      <c r="F1028" s="18"/>
      <c r="G1028" s="22"/>
      <c r="H1028" s="18"/>
      <c r="I1028" s="18"/>
      <c r="J1028" s="18"/>
      <c r="K1028" s="18"/>
      <c r="L1028" s="18"/>
      <c r="M1028" s="22"/>
      <c r="N1028" s="18"/>
      <c r="O1028" s="23"/>
      <c r="P1028" s="18"/>
      <c r="Q1028" s="18"/>
      <c r="R1028" s="18"/>
      <c r="S1028" s="22"/>
      <c r="T1028" s="6" t="str">
        <f t="array" ref="T1028">IF(
  B1028="",
  ,
  DATEDIF(
    B1028 + IF(INDEX(Input!$K$7:$K1503,ROW()-1),0,1),
    C1028 + IF(INDEX(Input!$L$7:$L1503,ROW()-1),1,0),
    "Y"
  )
)</f>
        <v/>
      </c>
      <c r="U1028" s="6" t="str">
        <f t="array" ref="U1028">IF(
  B1028="",
  ,
  (C1028 + IF(INDEX(Input!$L$7:$L1503,ROW()-1),1,0))
  - EDATE(
      B1028 + IF(INDEX(Input!$K$7:$K1503,ROW()-1),0,1),
      12*S1028
    )
)</f>
        <v/>
      </c>
      <c r="V1028" s="6" t="str">
        <f t="shared" si="5"/>
        <v/>
      </c>
      <c r="W1028" s="6" t="str">
        <f t="shared" si="6"/>
        <v/>
      </c>
    </row>
    <row r="1029">
      <c r="A1029" s="18"/>
      <c r="B1029" s="18"/>
      <c r="C1029" s="18"/>
      <c r="D1029" s="18"/>
      <c r="E1029" s="18"/>
      <c r="F1029" s="18"/>
      <c r="G1029" s="22"/>
      <c r="H1029" s="18"/>
      <c r="I1029" s="18"/>
      <c r="J1029" s="18"/>
      <c r="K1029" s="18"/>
      <c r="L1029" s="18"/>
      <c r="M1029" s="22"/>
      <c r="N1029" s="18"/>
      <c r="O1029" s="23"/>
      <c r="P1029" s="18"/>
      <c r="Q1029" s="18"/>
      <c r="R1029" s="18"/>
      <c r="S1029" s="22"/>
      <c r="T1029" s="6" t="str">
        <f t="array" ref="T1029">IF(
  B1029="",
  ,
  DATEDIF(
    B1029 + IF(INDEX(Input!$K$7:$K1503,ROW()-1),0,1),
    C1029 + IF(INDEX(Input!$L$7:$L1503,ROW()-1),1,0),
    "Y"
  )
)</f>
        <v/>
      </c>
      <c r="U1029" s="6" t="str">
        <f t="array" ref="U1029">IF(
  B1029="",
  ,
  (C1029 + IF(INDEX(Input!$L$7:$L1503,ROW()-1),1,0))
  - EDATE(
      B1029 + IF(INDEX(Input!$K$7:$K1503,ROW()-1),0,1),
      12*S1029
    )
)</f>
        <v/>
      </c>
      <c r="V1029" s="6" t="str">
        <f t="shared" si="5"/>
        <v/>
      </c>
      <c r="W1029" s="6" t="str">
        <f t="shared" si="6"/>
        <v/>
      </c>
    </row>
    <row r="1030">
      <c r="A1030" s="18"/>
      <c r="B1030" s="18"/>
      <c r="C1030" s="18"/>
      <c r="D1030" s="18"/>
      <c r="E1030" s="18"/>
      <c r="F1030" s="18"/>
      <c r="G1030" s="22"/>
      <c r="H1030" s="18"/>
      <c r="I1030" s="18"/>
      <c r="J1030" s="18"/>
      <c r="K1030" s="18"/>
      <c r="L1030" s="18"/>
      <c r="M1030" s="22"/>
      <c r="N1030" s="18"/>
      <c r="O1030" s="23"/>
      <c r="P1030" s="18"/>
      <c r="Q1030" s="18"/>
      <c r="R1030" s="18"/>
      <c r="S1030" s="22"/>
      <c r="T1030" s="6" t="str">
        <f t="array" ref="T1030">IF(
  B1030="",
  ,
  DATEDIF(
    B1030 + IF(INDEX(Input!$K$7:$K1503,ROW()-1),0,1),
    C1030 + IF(INDEX(Input!$L$7:$L1503,ROW()-1),1,0),
    "Y"
  )
)</f>
        <v/>
      </c>
      <c r="U1030" s="6" t="str">
        <f t="array" ref="U1030">IF(
  B1030="",
  ,
  (C1030 + IF(INDEX(Input!$L$7:$L1503,ROW()-1),1,0))
  - EDATE(
      B1030 + IF(INDEX(Input!$K$7:$K1503,ROW()-1),0,1),
      12*S1030
    )
)</f>
        <v/>
      </c>
      <c r="V1030" s="6" t="str">
        <f t="shared" si="5"/>
        <v/>
      </c>
      <c r="W1030" s="6" t="str">
        <f t="shared" si="6"/>
        <v/>
      </c>
    </row>
    <row r="1031">
      <c r="A1031" s="18"/>
      <c r="B1031" s="18"/>
      <c r="C1031" s="18"/>
      <c r="D1031" s="18"/>
      <c r="E1031" s="18"/>
      <c r="F1031" s="18"/>
      <c r="G1031" s="22"/>
      <c r="H1031" s="18"/>
      <c r="I1031" s="18"/>
      <c r="J1031" s="18"/>
      <c r="K1031" s="18"/>
      <c r="L1031" s="18"/>
      <c r="M1031" s="22"/>
      <c r="N1031" s="18"/>
      <c r="O1031" s="23"/>
      <c r="P1031" s="18"/>
      <c r="Q1031" s="18"/>
      <c r="R1031" s="18"/>
      <c r="S1031" s="22"/>
      <c r="T1031" s="6" t="str">
        <f t="array" ref="T1031">IF(
  B1031="",
  ,
  DATEDIF(
    B1031 + IF(INDEX(Input!$K$7:$K1503,ROW()-1),0,1),
    C1031 + IF(INDEX(Input!$L$7:$L1503,ROW()-1),1,0),
    "Y"
  )
)</f>
        <v/>
      </c>
      <c r="U1031" s="6" t="str">
        <f t="array" ref="U1031">IF(
  B1031="",
  ,
  (C1031 + IF(INDEX(Input!$L$7:$L1503,ROW()-1),1,0))
  - EDATE(
      B1031 + IF(INDEX(Input!$K$7:$K1503,ROW()-1),0,1),
      12*S1031
    )
)</f>
        <v/>
      </c>
      <c r="V1031" s="6" t="str">
        <f t="shared" si="5"/>
        <v/>
      </c>
      <c r="W1031" s="6" t="str">
        <f t="shared" si="6"/>
        <v/>
      </c>
    </row>
    <row r="1032">
      <c r="A1032" s="18"/>
      <c r="B1032" s="18"/>
      <c r="C1032" s="18"/>
      <c r="D1032" s="18"/>
      <c r="E1032" s="18"/>
      <c r="F1032" s="18"/>
      <c r="G1032" s="22"/>
      <c r="H1032" s="18"/>
      <c r="I1032" s="18"/>
      <c r="J1032" s="18"/>
      <c r="K1032" s="18"/>
      <c r="L1032" s="18"/>
      <c r="M1032" s="22"/>
      <c r="N1032" s="18"/>
      <c r="O1032" s="23"/>
      <c r="P1032" s="18"/>
      <c r="Q1032" s="18"/>
      <c r="R1032" s="18"/>
      <c r="S1032" s="22"/>
      <c r="T1032" s="6" t="str">
        <f t="array" ref="T1032">IF(
  B1032="",
  ,
  DATEDIF(
    B1032 + IF(INDEX(Input!$K$7:$K1503,ROW()-1),0,1),
    C1032 + IF(INDEX(Input!$L$7:$L1503,ROW()-1),1,0),
    "Y"
  )
)</f>
        <v/>
      </c>
      <c r="U1032" s="6" t="str">
        <f t="array" ref="U1032">IF(
  B1032="",
  ,
  (C1032 + IF(INDEX(Input!$L$7:$L1503,ROW()-1),1,0))
  - EDATE(
      B1032 + IF(INDEX(Input!$K$7:$K1503,ROW()-1),0,1),
      12*S1032
    )
)</f>
        <v/>
      </c>
      <c r="V1032" s="6" t="str">
        <f t="shared" si="5"/>
        <v/>
      </c>
      <c r="W1032" s="6" t="str">
        <f t="shared" si="6"/>
        <v/>
      </c>
    </row>
    <row r="1033">
      <c r="A1033" s="18"/>
      <c r="B1033" s="18"/>
      <c r="C1033" s="18"/>
      <c r="D1033" s="18"/>
      <c r="E1033" s="18"/>
      <c r="F1033" s="18"/>
      <c r="G1033" s="22"/>
      <c r="H1033" s="18"/>
      <c r="I1033" s="18"/>
      <c r="J1033" s="18"/>
      <c r="K1033" s="18"/>
      <c r="L1033" s="18"/>
      <c r="M1033" s="22"/>
      <c r="N1033" s="18"/>
      <c r="O1033" s="23"/>
      <c r="P1033" s="18"/>
      <c r="Q1033" s="18"/>
      <c r="R1033" s="18"/>
      <c r="S1033" s="22"/>
      <c r="T1033" s="6" t="str">
        <f t="array" ref="T1033">IF(
  B1033="",
  ,
  DATEDIF(
    B1033 + IF(INDEX(Input!$K$7:$K1503,ROW()-1),0,1),
    C1033 + IF(INDEX(Input!$L$7:$L1503,ROW()-1),1,0),
    "Y"
  )
)</f>
        <v/>
      </c>
      <c r="U1033" s="6" t="str">
        <f t="array" ref="U1033">IF(
  B1033="",
  ,
  (C1033 + IF(INDEX(Input!$L$7:$L1503,ROW()-1),1,0))
  - EDATE(
      B1033 + IF(INDEX(Input!$K$7:$K1503,ROW()-1),0,1),
      12*S1033
    )
)</f>
        <v/>
      </c>
      <c r="V1033" s="6" t="str">
        <f t="shared" si="5"/>
        <v/>
      </c>
      <c r="W1033" s="6" t="str">
        <f t="shared" si="6"/>
        <v/>
      </c>
    </row>
    <row r="1034">
      <c r="A1034" s="18"/>
      <c r="B1034" s="18"/>
      <c r="C1034" s="18"/>
      <c r="D1034" s="18"/>
      <c r="E1034" s="18"/>
      <c r="F1034" s="18"/>
      <c r="G1034" s="22"/>
      <c r="H1034" s="18"/>
      <c r="I1034" s="18"/>
      <c r="J1034" s="18"/>
      <c r="K1034" s="18"/>
      <c r="L1034" s="18"/>
      <c r="M1034" s="22"/>
      <c r="N1034" s="18"/>
      <c r="O1034" s="23"/>
      <c r="P1034" s="18"/>
      <c r="Q1034" s="18"/>
      <c r="R1034" s="18"/>
      <c r="S1034" s="22"/>
      <c r="T1034" s="6" t="str">
        <f t="array" ref="T1034">IF(
  B1034="",
  ,
  DATEDIF(
    B1034 + IF(INDEX(Input!$K$7:$K1503,ROW()-1),0,1),
    C1034 + IF(INDEX(Input!$L$7:$L1503,ROW()-1),1,0),
    "Y"
  )
)</f>
        <v/>
      </c>
      <c r="U1034" s="6" t="str">
        <f t="array" ref="U1034">IF(
  B1034="",
  ,
  (C1034 + IF(INDEX(Input!$L$7:$L1503,ROW()-1),1,0))
  - EDATE(
      B1034 + IF(INDEX(Input!$K$7:$K1503,ROW()-1),0,1),
      12*S1034
    )
)</f>
        <v/>
      </c>
      <c r="V1034" s="6" t="str">
        <f t="shared" si="5"/>
        <v/>
      </c>
      <c r="W1034" s="6" t="str">
        <f t="shared" si="6"/>
        <v/>
      </c>
    </row>
    <row r="1035">
      <c r="A1035" s="18"/>
      <c r="B1035" s="18"/>
      <c r="C1035" s="18"/>
      <c r="D1035" s="18"/>
      <c r="E1035" s="18"/>
      <c r="F1035" s="18"/>
      <c r="G1035" s="22"/>
      <c r="H1035" s="18"/>
      <c r="I1035" s="18"/>
      <c r="J1035" s="18"/>
      <c r="K1035" s="18"/>
      <c r="L1035" s="18"/>
      <c r="M1035" s="22"/>
      <c r="N1035" s="18"/>
      <c r="O1035" s="23"/>
      <c r="P1035" s="18"/>
      <c r="Q1035" s="18"/>
      <c r="R1035" s="18"/>
      <c r="S1035" s="22"/>
      <c r="T1035" s="6" t="str">
        <f t="array" ref="T1035">IF(
  B1035="",
  ,
  DATEDIF(
    B1035 + IF(INDEX(Input!$K$7:$K1503,ROW()-1),0,1),
    C1035 + IF(INDEX(Input!$L$7:$L1503,ROW()-1),1,0),
    "Y"
  )
)</f>
        <v/>
      </c>
      <c r="U1035" s="6" t="str">
        <f t="array" ref="U1035">IF(
  B1035="",
  ,
  (C1035 + IF(INDEX(Input!$L$7:$L1503,ROW()-1),1,0))
  - EDATE(
      B1035 + IF(INDEX(Input!$K$7:$K1503,ROW()-1),0,1),
      12*S1035
    )
)</f>
        <v/>
      </c>
      <c r="V1035" s="6" t="str">
        <f t="shared" si="5"/>
        <v/>
      </c>
      <c r="W1035" s="6" t="str">
        <f t="shared" si="6"/>
        <v/>
      </c>
    </row>
    <row r="1036">
      <c r="A1036" s="18"/>
      <c r="B1036" s="18"/>
      <c r="C1036" s="18"/>
      <c r="D1036" s="18"/>
      <c r="E1036" s="18"/>
      <c r="F1036" s="18"/>
      <c r="G1036" s="22"/>
      <c r="H1036" s="18"/>
      <c r="I1036" s="18"/>
      <c r="J1036" s="18"/>
      <c r="K1036" s="18"/>
      <c r="L1036" s="18"/>
      <c r="M1036" s="22"/>
      <c r="N1036" s="18"/>
      <c r="O1036" s="23"/>
      <c r="P1036" s="18"/>
      <c r="Q1036" s="18"/>
      <c r="R1036" s="18"/>
      <c r="S1036" s="22"/>
      <c r="T1036" s="6" t="str">
        <f t="array" ref="T1036">IF(
  B1036="",
  ,
  DATEDIF(
    B1036 + IF(INDEX(Input!$K$7:$K1503,ROW()-1),0,1),
    C1036 + IF(INDEX(Input!$L$7:$L1503,ROW()-1),1,0),
    "Y"
  )
)</f>
        <v/>
      </c>
      <c r="U1036" s="6" t="str">
        <f t="array" ref="U1036">IF(
  B1036="",
  ,
  (C1036 + IF(INDEX(Input!$L$7:$L1503,ROW()-1),1,0))
  - EDATE(
      B1036 + IF(INDEX(Input!$K$7:$K1503,ROW()-1),0,1),
      12*S1036
    )
)</f>
        <v/>
      </c>
      <c r="V1036" s="6" t="str">
        <f t="shared" si="5"/>
        <v/>
      </c>
      <c r="W1036" s="6" t="str">
        <f t="shared" si="6"/>
        <v/>
      </c>
    </row>
    <row r="1037">
      <c r="A1037" s="18"/>
      <c r="B1037" s="18"/>
      <c r="C1037" s="18"/>
      <c r="D1037" s="18"/>
      <c r="E1037" s="18"/>
      <c r="F1037" s="18"/>
      <c r="G1037" s="22"/>
      <c r="H1037" s="18"/>
      <c r="I1037" s="18"/>
      <c r="J1037" s="18"/>
      <c r="K1037" s="18"/>
      <c r="L1037" s="18"/>
      <c r="M1037" s="22"/>
      <c r="N1037" s="18"/>
      <c r="O1037" s="23"/>
      <c r="P1037" s="18"/>
      <c r="Q1037" s="18"/>
      <c r="R1037" s="18"/>
      <c r="S1037" s="22"/>
      <c r="T1037" s="6" t="str">
        <f t="array" ref="T1037">IF(
  B1037="",
  ,
  DATEDIF(
    B1037 + IF(INDEX(Input!$K$7:$K1503,ROW()-1),0,1),
    C1037 + IF(INDEX(Input!$L$7:$L1503,ROW()-1),1,0),
    "Y"
  )
)</f>
        <v/>
      </c>
      <c r="U1037" s="6" t="str">
        <f t="array" ref="U1037">IF(
  B1037="",
  ,
  (C1037 + IF(INDEX(Input!$L$7:$L1503,ROW()-1),1,0))
  - EDATE(
      B1037 + IF(INDEX(Input!$K$7:$K1503,ROW()-1),0,1),
      12*S1037
    )
)</f>
        <v/>
      </c>
      <c r="V1037" s="6" t="str">
        <f t="shared" si="5"/>
        <v/>
      </c>
      <c r="W1037" s="6" t="str">
        <f t="shared" si="6"/>
        <v/>
      </c>
    </row>
    <row r="1038">
      <c r="A1038" s="18"/>
      <c r="B1038" s="18"/>
      <c r="C1038" s="18"/>
      <c r="D1038" s="18"/>
      <c r="E1038" s="18"/>
      <c r="F1038" s="18"/>
      <c r="G1038" s="22"/>
      <c r="H1038" s="18"/>
      <c r="I1038" s="18"/>
      <c r="J1038" s="18"/>
      <c r="K1038" s="18"/>
      <c r="L1038" s="18"/>
      <c r="M1038" s="22"/>
      <c r="N1038" s="18"/>
      <c r="O1038" s="23"/>
      <c r="P1038" s="18"/>
      <c r="Q1038" s="18"/>
      <c r="R1038" s="18"/>
      <c r="S1038" s="22"/>
      <c r="T1038" s="6" t="str">
        <f t="array" ref="T1038">IF(
  B1038="",
  ,
  DATEDIF(
    B1038 + IF(INDEX(Input!$K$7:$K1503,ROW()-1),0,1),
    C1038 + IF(INDEX(Input!$L$7:$L1503,ROW()-1),1,0),
    "Y"
  )
)</f>
        <v/>
      </c>
      <c r="U1038" s="6" t="str">
        <f t="array" ref="U1038">IF(
  B1038="",
  ,
  (C1038 + IF(INDEX(Input!$L$7:$L1503,ROW()-1),1,0))
  - EDATE(
      B1038 + IF(INDEX(Input!$K$7:$K1503,ROW()-1),0,1),
      12*S1038
    )
)</f>
        <v/>
      </c>
      <c r="V1038" s="6" t="str">
        <f t="shared" si="5"/>
        <v/>
      </c>
      <c r="W1038" s="6" t="str">
        <f t="shared" si="6"/>
        <v/>
      </c>
    </row>
    <row r="1039">
      <c r="A1039" s="18"/>
      <c r="B1039" s="18"/>
      <c r="C1039" s="18"/>
      <c r="D1039" s="18"/>
      <c r="E1039" s="18"/>
      <c r="F1039" s="18"/>
      <c r="G1039" s="22"/>
      <c r="H1039" s="18"/>
      <c r="I1039" s="18"/>
      <c r="J1039" s="18"/>
      <c r="K1039" s="18"/>
      <c r="L1039" s="18"/>
      <c r="M1039" s="22"/>
      <c r="N1039" s="18"/>
      <c r="O1039" s="23"/>
      <c r="P1039" s="18"/>
      <c r="Q1039" s="18"/>
      <c r="R1039" s="18"/>
      <c r="S1039" s="22"/>
      <c r="T1039" s="6" t="str">
        <f t="array" ref="T1039">IF(
  B1039="",
  ,
  DATEDIF(
    B1039 + IF(INDEX(Input!$K$7:$K1503,ROW()-1),0,1),
    C1039 + IF(INDEX(Input!$L$7:$L1503,ROW()-1),1,0),
    "Y"
  )
)</f>
        <v/>
      </c>
      <c r="U1039" s="6" t="str">
        <f t="array" ref="U1039">IF(
  B1039="",
  ,
  (C1039 + IF(INDEX(Input!$L$7:$L1503,ROW()-1),1,0))
  - EDATE(
      B1039 + IF(INDEX(Input!$K$7:$K1503,ROW()-1),0,1),
      12*S1039
    )
)</f>
        <v/>
      </c>
      <c r="V1039" s="6" t="str">
        <f t="shared" si="5"/>
        <v/>
      </c>
      <c r="W1039" s="6" t="str">
        <f t="shared" si="6"/>
        <v/>
      </c>
    </row>
    <row r="1040">
      <c r="A1040" s="18"/>
      <c r="B1040" s="18"/>
      <c r="C1040" s="18"/>
      <c r="D1040" s="18"/>
      <c r="E1040" s="18"/>
      <c r="F1040" s="18"/>
      <c r="G1040" s="22"/>
      <c r="H1040" s="18"/>
      <c r="I1040" s="18"/>
      <c r="J1040" s="18"/>
      <c r="K1040" s="18"/>
      <c r="L1040" s="18"/>
      <c r="M1040" s="22"/>
      <c r="N1040" s="18"/>
      <c r="O1040" s="23"/>
      <c r="P1040" s="18"/>
      <c r="Q1040" s="18"/>
      <c r="R1040" s="18"/>
      <c r="S1040" s="22"/>
      <c r="T1040" s="6" t="str">
        <f t="array" ref="T1040">IF(
  B1040="",
  ,
  DATEDIF(
    B1040 + IF(INDEX(Input!$K$7:$K1503,ROW()-1),0,1),
    C1040 + IF(INDEX(Input!$L$7:$L1503,ROW()-1),1,0),
    "Y"
  )
)</f>
        <v/>
      </c>
      <c r="U1040" s="6" t="str">
        <f t="array" ref="U1040">IF(
  B1040="",
  ,
  (C1040 + IF(INDEX(Input!$L$7:$L1503,ROW()-1),1,0))
  - EDATE(
      B1040 + IF(INDEX(Input!$K$7:$K1503,ROW()-1),0,1),
      12*S1040
    )
)</f>
        <v/>
      </c>
      <c r="V1040" s="6" t="str">
        <f t="shared" si="5"/>
        <v/>
      </c>
      <c r="W1040" s="6" t="str">
        <f t="shared" si="6"/>
        <v/>
      </c>
    </row>
    <row r="1041">
      <c r="A1041" s="18"/>
      <c r="B1041" s="18"/>
      <c r="C1041" s="18"/>
      <c r="D1041" s="18"/>
      <c r="E1041" s="18"/>
      <c r="F1041" s="18"/>
      <c r="G1041" s="22"/>
      <c r="H1041" s="18"/>
      <c r="I1041" s="18"/>
      <c r="J1041" s="18"/>
      <c r="K1041" s="18"/>
      <c r="L1041" s="18"/>
      <c r="M1041" s="22"/>
      <c r="N1041" s="18"/>
      <c r="O1041" s="23"/>
      <c r="P1041" s="18"/>
      <c r="Q1041" s="18"/>
      <c r="R1041" s="18"/>
      <c r="S1041" s="22"/>
      <c r="T1041" s="6" t="str">
        <f t="array" ref="T1041">IF(
  B1041="",
  ,
  DATEDIF(
    B1041 + IF(INDEX(Input!$K$7:$K1503,ROW()-1),0,1),
    C1041 + IF(INDEX(Input!$L$7:$L1503,ROW()-1),1,0),
    "Y"
  )
)</f>
        <v/>
      </c>
      <c r="U1041" s="6" t="str">
        <f t="array" ref="U1041">IF(
  B1041="",
  ,
  (C1041 + IF(INDEX(Input!$L$7:$L1503,ROW()-1),1,0))
  - EDATE(
      B1041 + IF(INDEX(Input!$K$7:$K1503,ROW()-1),0,1),
      12*S1041
    )
)</f>
        <v/>
      </c>
      <c r="V1041" s="6" t="str">
        <f t="shared" si="5"/>
        <v/>
      </c>
      <c r="W1041" s="6" t="str">
        <f t="shared" si="6"/>
        <v/>
      </c>
    </row>
    <row r="1042">
      <c r="A1042" s="18"/>
      <c r="B1042" s="18"/>
      <c r="C1042" s="18"/>
      <c r="D1042" s="18"/>
      <c r="E1042" s="18"/>
      <c r="F1042" s="18"/>
      <c r="G1042" s="22"/>
      <c r="H1042" s="18"/>
      <c r="I1042" s="18"/>
      <c r="J1042" s="18"/>
      <c r="K1042" s="18"/>
      <c r="L1042" s="18"/>
      <c r="M1042" s="22"/>
      <c r="N1042" s="18"/>
      <c r="O1042" s="23"/>
      <c r="P1042" s="18"/>
      <c r="Q1042" s="18"/>
      <c r="R1042" s="18"/>
      <c r="S1042" s="22"/>
      <c r="T1042" s="6" t="str">
        <f t="array" ref="T1042">IF(
  B1042="",
  ,
  DATEDIF(
    B1042 + IF(INDEX(Input!$K$7:$K1503,ROW()-1),0,1),
    C1042 + IF(INDEX(Input!$L$7:$L1503,ROW()-1),1,0),
    "Y"
  )
)</f>
        <v/>
      </c>
      <c r="U1042" s="6" t="str">
        <f t="array" ref="U1042">IF(
  B1042="",
  ,
  (C1042 + IF(INDEX(Input!$L$7:$L1503,ROW()-1),1,0))
  - EDATE(
      B1042 + IF(INDEX(Input!$K$7:$K1503,ROW()-1),0,1),
      12*S1042
    )
)</f>
        <v/>
      </c>
      <c r="V1042" s="6" t="str">
        <f t="shared" si="5"/>
        <v/>
      </c>
      <c r="W1042" s="6" t="str">
        <f t="shared" si="6"/>
        <v/>
      </c>
    </row>
    <row r="1043">
      <c r="A1043" s="18"/>
      <c r="B1043" s="18"/>
      <c r="C1043" s="18"/>
      <c r="D1043" s="18"/>
      <c r="E1043" s="18"/>
      <c r="F1043" s="18"/>
      <c r="G1043" s="22"/>
      <c r="H1043" s="18"/>
      <c r="I1043" s="18"/>
      <c r="J1043" s="18"/>
      <c r="K1043" s="18"/>
      <c r="L1043" s="18"/>
      <c r="M1043" s="22"/>
      <c r="N1043" s="18"/>
      <c r="O1043" s="23"/>
      <c r="P1043" s="18"/>
      <c r="Q1043" s="18"/>
      <c r="R1043" s="18"/>
      <c r="S1043" s="22"/>
      <c r="T1043" s="6" t="str">
        <f t="array" ref="T1043">IF(
  B1043="",
  ,
  DATEDIF(
    B1043 + IF(INDEX(Input!$K$7:$K1503,ROW()-1),0,1),
    C1043 + IF(INDEX(Input!$L$7:$L1503,ROW()-1),1,0),
    "Y"
  )
)</f>
        <v/>
      </c>
      <c r="U1043" s="6" t="str">
        <f t="array" ref="U1043">IF(
  B1043="",
  ,
  (C1043 + IF(INDEX(Input!$L$7:$L1503,ROW()-1),1,0))
  - EDATE(
      B1043 + IF(INDEX(Input!$K$7:$K1503,ROW()-1),0,1),
      12*S1043
    )
)</f>
        <v/>
      </c>
      <c r="V1043" s="6" t="str">
        <f t="shared" si="5"/>
        <v/>
      </c>
      <c r="W1043" s="6" t="str">
        <f t="shared" si="6"/>
        <v/>
      </c>
    </row>
    <row r="1044">
      <c r="A1044" s="18"/>
      <c r="B1044" s="18"/>
      <c r="C1044" s="18"/>
      <c r="D1044" s="18"/>
      <c r="E1044" s="18"/>
      <c r="F1044" s="18"/>
      <c r="G1044" s="22"/>
      <c r="H1044" s="18"/>
      <c r="I1044" s="18"/>
      <c r="J1044" s="18"/>
      <c r="K1044" s="18"/>
      <c r="L1044" s="18"/>
      <c r="M1044" s="22"/>
      <c r="N1044" s="18"/>
      <c r="O1044" s="23"/>
      <c r="P1044" s="18"/>
      <c r="Q1044" s="18"/>
      <c r="R1044" s="18"/>
      <c r="S1044" s="22"/>
      <c r="T1044" s="6" t="str">
        <f t="array" ref="T1044">IF(
  B1044="",
  ,
  DATEDIF(
    B1044 + IF(INDEX(Input!$K$7:$K1503,ROW()-1),0,1),
    C1044 + IF(INDEX(Input!$L$7:$L1503,ROW()-1),1,0),
    "Y"
  )
)</f>
        <v/>
      </c>
      <c r="U1044" s="6" t="str">
        <f t="array" ref="U1044">IF(
  B1044="",
  ,
  (C1044 + IF(INDEX(Input!$L$7:$L1503,ROW()-1),1,0))
  - EDATE(
      B1044 + IF(INDEX(Input!$K$7:$K1503,ROW()-1),0,1),
      12*S1044
    )
)</f>
        <v/>
      </c>
      <c r="V1044" s="6" t="str">
        <f t="shared" si="5"/>
        <v/>
      </c>
      <c r="W1044" s="6" t="str">
        <f t="shared" si="6"/>
        <v/>
      </c>
    </row>
    <row r="1045">
      <c r="A1045" s="18"/>
      <c r="B1045" s="18"/>
      <c r="C1045" s="18"/>
      <c r="D1045" s="18"/>
      <c r="E1045" s="18"/>
      <c r="F1045" s="18"/>
      <c r="G1045" s="22"/>
      <c r="H1045" s="18"/>
      <c r="I1045" s="18"/>
      <c r="J1045" s="18"/>
      <c r="K1045" s="18"/>
      <c r="L1045" s="18"/>
      <c r="M1045" s="22"/>
      <c r="N1045" s="18"/>
      <c r="O1045" s="23"/>
      <c r="P1045" s="18"/>
      <c r="Q1045" s="18"/>
      <c r="R1045" s="18"/>
      <c r="S1045" s="22"/>
      <c r="T1045" s="6" t="str">
        <f t="array" ref="T1045">IF(
  B1045="",
  ,
  DATEDIF(
    B1045 + IF(INDEX(Input!$K$7:$K1503,ROW()-1),0,1),
    C1045 + IF(INDEX(Input!$L$7:$L1503,ROW()-1),1,0),
    "Y"
  )
)</f>
        <v/>
      </c>
      <c r="U1045" s="6" t="str">
        <f t="array" ref="U1045">IF(
  B1045="",
  ,
  (C1045 + IF(INDEX(Input!$L$7:$L1503,ROW()-1),1,0))
  - EDATE(
      B1045 + IF(INDEX(Input!$K$7:$K1503,ROW()-1),0,1),
      12*S1045
    )
)</f>
        <v/>
      </c>
      <c r="V1045" s="6" t="str">
        <f t="shared" si="5"/>
        <v/>
      </c>
      <c r="W1045" s="6" t="str">
        <f t="shared" si="6"/>
        <v/>
      </c>
    </row>
    <row r="1046">
      <c r="A1046" s="18"/>
      <c r="B1046" s="18"/>
      <c r="C1046" s="18"/>
      <c r="D1046" s="18"/>
      <c r="E1046" s="18"/>
      <c r="F1046" s="18"/>
      <c r="G1046" s="22"/>
      <c r="H1046" s="18"/>
      <c r="I1046" s="18"/>
      <c r="J1046" s="18"/>
      <c r="K1046" s="18"/>
      <c r="L1046" s="18"/>
      <c r="M1046" s="22"/>
      <c r="N1046" s="18"/>
      <c r="O1046" s="23"/>
      <c r="P1046" s="18"/>
      <c r="Q1046" s="18"/>
      <c r="R1046" s="18"/>
      <c r="S1046" s="22"/>
      <c r="T1046" s="6" t="str">
        <f t="array" ref="T1046">IF(
  B1046="",
  ,
  DATEDIF(
    B1046 + IF(INDEX(Input!$K$7:$K1503,ROW()-1),0,1),
    C1046 + IF(INDEX(Input!$L$7:$L1503,ROW()-1),1,0),
    "Y"
  )
)</f>
        <v/>
      </c>
      <c r="U1046" s="6" t="str">
        <f t="array" ref="U1046">IF(
  B1046="",
  ,
  (C1046 + IF(INDEX(Input!$L$7:$L1503,ROW()-1),1,0))
  - EDATE(
      B1046 + IF(INDEX(Input!$K$7:$K1503,ROW()-1),0,1),
      12*S1046
    )
)</f>
        <v/>
      </c>
      <c r="V1046" s="6" t="str">
        <f t="shared" si="5"/>
        <v/>
      </c>
      <c r="W1046" s="6" t="str">
        <f t="shared" si="6"/>
        <v/>
      </c>
    </row>
    <row r="1047">
      <c r="A1047" s="18"/>
      <c r="B1047" s="18"/>
      <c r="C1047" s="18"/>
      <c r="D1047" s="18"/>
      <c r="E1047" s="18"/>
      <c r="F1047" s="18"/>
      <c r="G1047" s="22"/>
      <c r="H1047" s="18"/>
      <c r="I1047" s="18"/>
      <c r="J1047" s="18"/>
      <c r="K1047" s="18"/>
      <c r="L1047" s="18"/>
      <c r="M1047" s="22"/>
      <c r="N1047" s="18"/>
      <c r="O1047" s="23"/>
      <c r="P1047" s="18"/>
      <c r="Q1047" s="18"/>
      <c r="R1047" s="18"/>
      <c r="S1047" s="22"/>
      <c r="T1047" s="6" t="str">
        <f t="array" ref="T1047">IF(
  B1047="",
  ,
  DATEDIF(
    B1047 + IF(INDEX(Input!$K$7:$K1503,ROW()-1),0,1),
    C1047 + IF(INDEX(Input!$L$7:$L1503,ROW()-1),1,0),
    "Y"
  )
)</f>
        <v/>
      </c>
      <c r="U1047" s="6" t="str">
        <f t="array" ref="U1047">IF(
  B1047="",
  ,
  (C1047 + IF(INDEX(Input!$L$7:$L1503,ROW()-1),1,0))
  - EDATE(
      B1047 + IF(INDEX(Input!$K$7:$K1503,ROW()-1),0,1),
      12*S1047
    )
)</f>
        <v/>
      </c>
      <c r="V1047" s="6" t="str">
        <f t="shared" si="5"/>
        <v/>
      </c>
      <c r="W1047" s="6" t="str">
        <f t="shared" si="6"/>
        <v/>
      </c>
    </row>
    <row r="1048">
      <c r="A1048" s="18"/>
      <c r="B1048" s="18"/>
      <c r="C1048" s="18"/>
      <c r="D1048" s="18"/>
      <c r="E1048" s="18"/>
      <c r="F1048" s="18"/>
      <c r="G1048" s="22"/>
      <c r="H1048" s="18"/>
      <c r="I1048" s="18"/>
      <c r="J1048" s="18"/>
      <c r="K1048" s="18"/>
      <c r="L1048" s="18"/>
      <c r="M1048" s="22"/>
      <c r="N1048" s="18"/>
      <c r="O1048" s="23"/>
      <c r="P1048" s="18"/>
      <c r="Q1048" s="18"/>
      <c r="R1048" s="18"/>
      <c r="S1048" s="22"/>
      <c r="T1048" s="6" t="str">
        <f t="array" ref="T1048">IF(
  B1048="",
  ,
  DATEDIF(
    B1048 + IF(INDEX(Input!$K$7:$K1503,ROW()-1),0,1),
    C1048 + IF(INDEX(Input!$L$7:$L1503,ROW()-1),1,0),
    "Y"
  )
)</f>
        <v/>
      </c>
      <c r="U1048" s="6" t="str">
        <f t="array" ref="U1048">IF(
  B1048="",
  ,
  (C1048 + IF(INDEX(Input!$L$7:$L1503,ROW()-1),1,0))
  - EDATE(
      B1048 + IF(INDEX(Input!$K$7:$K1503,ROW()-1),0,1),
      12*S1048
    )
)</f>
        <v/>
      </c>
      <c r="V1048" s="6" t="str">
        <f t="shared" si="5"/>
        <v/>
      </c>
      <c r="W1048" s="6" t="str">
        <f t="shared" si="6"/>
        <v/>
      </c>
    </row>
    <row r="1049">
      <c r="A1049" s="18"/>
      <c r="B1049" s="18"/>
      <c r="C1049" s="18"/>
      <c r="D1049" s="18"/>
      <c r="E1049" s="18"/>
      <c r="F1049" s="18"/>
      <c r="G1049" s="22"/>
      <c r="H1049" s="18"/>
      <c r="I1049" s="18"/>
      <c r="J1049" s="18"/>
      <c r="K1049" s="18"/>
      <c r="L1049" s="18"/>
      <c r="M1049" s="22"/>
      <c r="N1049" s="18"/>
      <c r="O1049" s="23"/>
      <c r="P1049" s="18"/>
      <c r="Q1049" s="18"/>
      <c r="R1049" s="18"/>
      <c r="S1049" s="22"/>
      <c r="T1049" s="6" t="str">
        <f t="array" ref="T1049">IF(
  B1049="",
  ,
  DATEDIF(
    B1049 + IF(INDEX(Input!$K$7:$K1503,ROW()-1),0,1),
    C1049 + IF(INDEX(Input!$L$7:$L1503,ROW()-1),1,0),
    "Y"
  )
)</f>
        <v/>
      </c>
      <c r="U1049" s="6" t="str">
        <f t="array" ref="U1049">IF(
  B1049="",
  ,
  (C1049 + IF(INDEX(Input!$L$7:$L1503,ROW()-1),1,0))
  - EDATE(
      B1049 + IF(INDEX(Input!$K$7:$K1503,ROW()-1),0,1),
      12*S1049
    )
)</f>
        <v/>
      </c>
      <c r="V1049" s="6" t="str">
        <f t="shared" si="5"/>
        <v/>
      </c>
      <c r="W1049" s="6" t="str">
        <f t="shared" si="6"/>
        <v/>
      </c>
    </row>
    <row r="1050">
      <c r="A1050" s="18"/>
      <c r="B1050" s="18"/>
      <c r="C1050" s="18"/>
      <c r="D1050" s="18"/>
      <c r="E1050" s="18"/>
      <c r="F1050" s="18"/>
      <c r="G1050" s="22"/>
      <c r="H1050" s="18"/>
      <c r="I1050" s="18"/>
      <c r="J1050" s="18"/>
      <c r="K1050" s="18"/>
      <c r="L1050" s="18"/>
      <c r="M1050" s="22"/>
      <c r="N1050" s="18"/>
      <c r="O1050" s="23"/>
      <c r="P1050" s="18"/>
      <c r="Q1050" s="18"/>
      <c r="R1050" s="18"/>
      <c r="S1050" s="22"/>
      <c r="T1050" s="6" t="str">
        <f t="array" ref="T1050">IF(
  B1050="",
  ,
  DATEDIF(
    B1050 + IF(INDEX(Input!$K$7:$K1503,ROW()-1),0,1),
    C1050 + IF(INDEX(Input!$L$7:$L1503,ROW()-1),1,0),
    "Y"
  )
)</f>
        <v/>
      </c>
      <c r="U1050" s="6" t="str">
        <f t="array" ref="U1050">IF(
  B1050="",
  ,
  (C1050 + IF(INDEX(Input!$L$7:$L1503,ROW()-1),1,0))
  - EDATE(
      B1050 + IF(INDEX(Input!$K$7:$K1503,ROW()-1),0,1),
      12*S1050
    )
)</f>
        <v/>
      </c>
      <c r="V1050" s="6" t="str">
        <f t="shared" si="5"/>
        <v/>
      </c>
      <c r="W1050" s="6" t="str">
        <f t="shared" si="6"/>
        <v/>
      </c>
    </row>
    <row r="1051">
      <c r="A1051" s="18"/>
      <c r="B1051" s="18"/>
      <c r="C1051" s="18"/>
      <c r="D1051" s="18"/>
      <c r="E1051" s="18"/>
      <c r="F1051" s="18"/>
      <c r="G1051" s="22"/>
      <c r="H1051" s="18"/>
      <c r="I1051" s="18"/>
      <c r="J1051" s="18"/>
      <c r="K1051" s="18"/>
      <c r="L1051" s="18"/>
      <c r="M1051" s="22"/>
      <c r="N1051" s="18"/>
      <c r="O1051" s="23"/>
      <c r="P1051" s="18"/>
      <c r="Q1051" s="18"/>
      <c r="R1051" s="18"/>
      <c r="S1051" s="22"/>
      <c r="T1051" s="6" t="str">
        <f t="array" ref="T1051">IF(
  B1051="",
  ,
  DATEDIF(
    B1051 + IF(INDEX(Input!$K$7:$K1503,ROW()-1),0,1),
    C1051 + IF(INDEX(Input!$L$7:$L1503,ROW()-1),1,0),
    "Y"
  )
)</f>
        <v/>
      </c>
      <c r="U1051" s="6" t="str">
        <f t="array" ref="U1051">IF(
  B1051="",
  ,
  (C1051 + IF(INDEX(Input!$L$7:$L1503,ROW()-1),1,0))
  - EDATE(
      B1051 + IF(INDEX(Input!$K$7:$K1503,ROW()-1),0,1),
      12*S1051
    )
)</f>
        <v/>
      </c>
      <c r="V1051" s="6" t="str">
        <f t="shared" si="5"/>
        <v/>
      </c>
      <c r="W1051" s="6" t="str">
        <f t="shared" si="6"/>
        <v/>
      </c>
    </row>
    <row r="1052">
      <c r="A1052" s="18"/>
      <c r="B1052" s="18"/>
      <c r="C1052" s="18"/>
      <c r="D1052" s="18"/>
      <c r="E1052" s="18"/>
      <c r="F1052" s="18"/>
      <c r="G1052" s="22"/>
      <c r="H1052" s="18"/>
      <c r="I1052" s="18"/>
      <c r="J1052" s="18"/>
      <c r="K1052" s="18"/>
      <c r="L1052" s="18"/>
      <c r="M1052" s="22"/>
      <c r="N1052" s="18"/>
      <c r="O1052" s="23"/>
      <c r="P1052" s="18"/>
      <c r="Q1052" s="18"/>
      <c r="R1052" s="18"/>
      <c r="S1052" s="22"/>
      <c r="T1052" s="6" t="str">
        <f t="array" ref="T1052">IF(
  B1052="",
  ,
  DATEDIF(
    B1052 + IF(INDEX(Input!$K$7:$K1503,ROW()-1),0,1),
    C1052 + IF(INDEX(Input!$L$7:$L1503,ROW()-1),1,0),
    "Y"
  )
)</f>
        <v/>
      </c>
      <c r="U1052" s="6" t="str">
        <f t="array" ref="U1052">IF(
  B1052="",
  ,
  (C1052 + IF(INDEX(Input!$L$7:$L1503,ROW()-1),1,0))
  - EDATE(
      B1052 + IF(INDEX(Input!$K$7:$K1503,ROW()-1),0,1),
      12*S1052
    )
)</f>
        <v/>
      </c>
      <c r="V1052" s="6" t="str">
        <f t="shared" si="5"/>
        <v/>
      </c>
      <c r="W1052" s="6" t="str">
        <f t="shared" si="6"/>
        <v/>
      </c>
    </row>
    <row r="1053">
      <c r="A1053" s="18"/>
      <c r="B1053" s="18"/>
      <c r="C1053" s="18"/>
      <c r="D1053" s="18"/>
      <c r="E1053" s="18"/>
      <c r="F1053" s="18"/>
      <c r="G1053" s="22"/>
      <c r="H1053" s="18"/>
      <c r="I1053" s="18"/>
      <c r="J1053" s="18"/>
      <c r="K1053" s="18"/>
      <c r="L1053" s="18"/>
      <c r="M1053" s="22"/>
      <c r="N1053" s="18"/>
      <c r="O1053" s="23"/>
      <c r="P1053" s="18"/>
      <c r="Q1053" s="18"/>
      <c r="R1053" s="18"/>
      <c r="S1053" s="22"/>
      <c r="T1053" s="6" t="str">
        <f t="array" ref="T1053">IF(
  B1053="",
  ,
  DATEDIF(
    B1053 + IF(INDEX(Input!$K$7:$K1503,ROW()-1),0,1),
    C1053 + IF(INDEX(Input!$L$7:$L1503,ROW()-1),1,0),
    "Y"
  )
)</f>
        <v/>
      </c>
      <c r="U1053" s="6" t="str">
        <f t="array" ref="U1053">IF(
  B1053="",
  ,
  (C1053 + IF(INDEX(Input!$L$7:$L1503,ROW()-1),1,0))
  - EDATE(
      B1053 + IF(INDEX(Input!$K$7:$K1503,ROW()-1),0,1),
      12*S1053
    )
)</f>
        <v/>
      </c>
      <c r="V1053" s="6" t="str">
        <f t="shared" si="5"/>
        <v/>
      </c>
      <c r="W1053" s="6" t="str">
        <f t="shared" si="6"/>
        <v/>
      </c>
    </row>
    <row r="1054">
      <c r="A1054" s="18"/>
      <c r="B1054" s="18"/>
      <c r="C1054" s="18"/>
      <c r="D1054" s="18"/>
      <c r="E1054" s="18"/>
      <c r="F1054" s="18"/>
      <c r="G1054" s="22"/>
      <c r="H1054" s="18"/>
      <c r="I1054" s="18"/>
      <c r="J1054" s="18"/>
      <c r="K1054" s="18"/>
      <c r="L1054" s="18"/>
      <c r="M1054" s="22"/>
      <c r="N1054" s="18"/>
      <c r="O1054" s="23"/>
      <c r="P1054" s="18"/>
      <c r="Q1054" s="18"/>
      <c r="R1054" s="18"/>
      <c r="S1054" s="22"/>
      <c r="T1054" s="6" t="str">
        <f t="array" ref="T1054">IF(
  B1054="",
  ,
  DATEDIF(
    B1054 + IF(INDEX(Input!$K$7:$K1503,ROW()-1),0,1),
    C1054 + IF(INDEX(Input!$L$7:$L1503,ROW()-1),1,0),
    "Y"
  )
)</f>
        <v/>
      </c>
      <c r="U1054" s="6" t="str">
        <f t="array" ref="U1054">IF(
  B1054="",
  ,
  (C1054 + IF(INDEX(Input!$L$7:$L1503,ROW()-1),1,0))
  - EDATE(
      B1054 + IF(INDEX(Input!$K$7:$K1503,ROW()-1),0,1),
      12*S1054
    )
)</f>
        <v/>
      </c>
      <c r="V1054" s="6" t="str">
        <f t="shared" si="5"/>
        <v/>
      </c>
      <c r="W1054" s="6" t="str">
        <f t="shared" si="6"/>
        <v/>
      </c>
    </row>
    <row r="1055">
      <c r="A1055" s="18"/>
      <c r="B1055" s="18"/>
      <c r="C1055" s="18"/>
      <c r="D1055" s="18"/>
      <c r="E1055" s="18"/>
      <c r="F1055" s="18"/>
      <c r="G1055" s="22"/>
      <c r="H1055" s="18"/>
      <c r="I1055" s="18"/>
      <c r="J1055" s="18"/>
      <c r="K1055" s="18"/>
      <c r="L1055" s="18"/>
      <c r="M1055" s="22"/>
      <c r="N1055" s="18"/>
      <c r="O1055" s="23"/>
      <c r="P1055" s="18"/>
      <c r="Q1055" s="18"/>
      <c r="R1055" s="18"/>
      <c r="S1055" s="22"/>
      <c r="T1055" s="6" t="str">
        <f t="array" ref="T1055">IF(
  B1055="",
  ,
  DATEDIF(
    B1055 + IF(INDEX(Input!$K$7:$K1503,ROW()-1),0,1),
    C1055 + IF(INDEX(Input!$L$7:$L1503,ROW()-1),1,0),
    "Y"
  )
)</f>
        <v/>
      </c>
      <c r="U1055" s="6" t="str">
        <f t="array" ref="U1055">IF(
  B1055="",
  ,
  (C1055 + IF(INDEX(Input!$L$7:$L1503,ROW()-1),1,0))
  - EDATE(
      B1055 + IF(INDEX(Input!$K$7:$K1503,ROW()-1),0,1),
      12*S1055
    )
)</f>
        <v/>
      </c>
      <c r="V1055" s="6" t="str">
        <f t="shared" si="5"/>
        <v/>
      </c>
      <c r="W1055" s="6" t="str">
        <f t="shared" si="6"/>
        <v/>
      </c>
    </row>
    <row r="1056">
      <c r="A1056" s="18"/>
      <c r="B1056" s="18"/>
      <c r="C1056" s="18"/>
      <c r="D1056" s="18"/>
      <c r="E1056" s="18"/>
      <c r="F1056" s="18"/>
      <c r="G1056" s="22"/>
      <c r="H1056" s="18"/>
      <c r="I1056" s="18"/>
      <c r="J1056" s="18"/>
      <c r="K1056" s="18"/>
      <c r="L1056" s="18"/>
      <c r="M1056" s="22"/>
      <c r="N1056" s="18"/>
      <c r="O1056" s="23"/>
      <c r="P1056" s="18"/>
      <c r="Q1056" s="18"/>
      <c r="R1056" s="18"/>
      <c r="S1056" s="22"/>
      <c r="T1056" s="6" t="str">
        <f t="array" ref="T1056">IF(
  B1056="",
  ,
  DATEDIF(
    B1056 + IF(INDEX(Input!$K$7:$K1503,ROW()-1),0,1),
    C1056 + IF(INDEX(Input!$L$7:$L1503,ROW()-1),1,0),
    "Y"
  )
)</f>
        <v/>
      </c>
      <c r="U1056" s="6" t="str">
        <f t="array" ref="U1056">IF(
  B1056="",
  ,
  (C1056 + IF(INDEX(Input!$L$7:$L1503,ROW()-1),1,0))
  - EDATE(
      B1056 + IF(INDEX(Input!$K$7:$K1503,ROW()-1),0,1),
      12*S1056
    )
)</f>
        <v/>
      </c>
      <c r="V1056" s="6" t="str">
        <f t="shared" si="5"/>
        <v/>
      </c>
      <c r="W1056" s="6" t="str">
        <f t="shared" si="6"/>
        <v/>
      </c>
    </row>
    <row r="1057">
      <c r="A1057" s="18"/>
      <c r="B1057" s="18"/>
      <c r="C1057" s="18"/>
      <c r="D1057" s="18"/>
      <c r="E1057" s="18"/>
      <c r="F1057" s="18"/>
      <c r="G1057" s="22"/>
      <c r="H1057" s="18"/>
      <c r="I1057" s="18"/>
      <c r="J1057" s="18"/>
      <c r="K1057" s="18"/>
      <c r="L1057" s="18"/>
      <c r="M1057" s="22"/>
      <c r="N1057" s="18"/>
      <c r="O1057" s="23"/>
      <c r="P1057" s="18"/>
      <c r="Q1057" s="18"/>
      <c r="R1057" s="18"/>
      <c r="S1057" s="22"/>
      <c r="T1057" s="6" t="str">
        <f t="array" ref="T1057">IF(
  B1057="",
  ,
  DATEDIF(
    B1057 + IF(INDEX(Input!$K$7:$K1503,ROW()-1),0,1),
    C1057 + IF(INDEX(Input!$L$7:$L1503,ROW()-1),1,0),
    "Y"
  )
)</f>
        <v/>
      </c>
      <c r="U1057" s="6" t="str">
        <f t="array" ref="U1057">IF(
  B1057="",
  ,
  (C1057 + IF(INDEX(Input!$L$7:$L1503,ROW()-1),1,0))
  - EDATE(
      B1057 + IF(INDEX(Input!$K$7:$K1503,ROW()-1),0,1),
      12*S1057
    )
)</f>
        <v/>
      </c>
      <c r="V1057" s="6" t="str">
        <f t="shared" si="5"/>
        <v/>
      </c>
      <c r="W1057" s="6" t="str">
        <f t="shared" si="6"/>
        <v/>
      </c>
    </row>
    <row r="1058">
      <c r="A1058" s="18"/>
      <c r="B1058" s="18"/>
      <c r="C1058" s="18"/>
      <c r="D1058" s="18"/>
      <c r="E1058" s="18"/>
      <c r="F1058" s="18"/>
      <c r="G1058" s="22"/>
      <c r="H1058" s="18"/>
      <c r="I1058" s="18"/>
      <c r="J1058" s="18"/>
      <c r="K1058" s="18"/>
      <c r="L1058" s="18"/>
      <c r="M1058" s="22"/>
      <c r="N1058" s="18"/>
      <c r="O1058" s="23"/>
      <c r="P1058" s="18"/>
      <c r="Q1058" s="18"/>
      <c r="R1058" s="18"/>
      <c r="S1058" s="22"/>
      <c r="T1058" s="6" t="str">
        <f t="array" ref="T1058">IF(
  B1058="",
  ,
  DATEDIF(
    B1058 + IF(INDEX(Input!$K$7:$K1503,ROW()-1),0,1),
    C1058 + IF(INDEX(Input!$L$7:$L1503,ROW()-1),1,0),
    "Y"
  )
)</f>
        <v/>
      </c>
      <c r="U1058" s="6" t="str">
        <f t="array" ref="U1058">IF(
  B1058="",
  ,
  (C1058 + IF(INDEX(Input!$L$7:$L1503,ROW()-1),1,0))
  - EDATE(
      B1058 + IF(INDEX(Input!$K$7:$K1503,ROW()-1),0,1),
      12*S1058
    )
)</f>
        <v/>
      </c>
      <c r="V1058" s="6" t="str">
        <f t="shared" si="5"/>
        <v/>
      </c>
      <c r="W1058" s="6" t="str">
        <f t="shared" si="6"/>
        <v/>
      </c>
    </row>
    <row r="1059">
      <c r="A1059" s="18"/>
      <c r="B1059" s="18"/>
      <c r="C1059" s="18"/>
      <c r="D1059" s="18"/>
      <c r="E1059" s="18"/>
      <c r="F1059" s="18"/>
      <c r="G1059" s="22"/>
      <c r="H1059" s="18"/>
      <c r="I1059" s="18"/>
      <c r="J1059" s="18"/>
      <c r="K1059" s="18"/>
      <c r="L1059" s="18"/>
      <c r="M1059" s="22"/>
      <c r="N1059" s="18"/>
      <c r="O1059" s="23"/>
      <c r="P1059" s="18"/>
      <c r="Q1059" s="18"/>
      <c r="R1059" s="18"/>
      <c r="S1059" s="22"/>
      <c r="T1059" s="6" t="str">
        <f t="array" ref="T1059">IF(
  B1059="",
  ,
  DATEDIF(
    B1059 + IF(INDEX(Input!$K$7:$K1503,ROW()-1),0,1),
    C1059 + IF(INDEX(Input!$L$7:$L1503,ROW()-1),1,0),
    "Y"
  )
)</f>
        <v/>
      </c>
      <c r="U1059" s="6" t="str">
        <f t="array" ref="U1059">IF(
  B1059="",
  ,
  (C1059 + IF(INDEX(Input!$L$7:$L1503,ROW()-1),1,0))
  - EDATE(
      B1059 + IF(INDEX(Input!$K$7:$K1503,ROW()-1),0,1),
      12*S1059
    )
)</f>
        <v/>
      </c>
      <c r="V1059" s="6" t="str">
        <f t="shared" si="5"/>
        <v/>
      </c>
      <c r="W1059" s="6" t="str">
        <f t="shared" si="6"/>
        <v/>
      </c>
    </row>
    <row r="1060">
      <c r="A1060" s="18"/>
      <c r="B1060" s="18"/>
      <c r="C1060" s="18"/>
      <c r="D1060" s="18"/>
      <c r="E1060" s="18"/>
      <c r="F1060" s="18"/>
      <c r="G1060" s="22"/>
      <c r="H1060" s="18"/>
      <c r="I1060" s="18"/>
      <c r="J1060" s="18"/>
      <c r="K1060" s="18"/>
      <c r="L1060" s="18"/>
      <c r="M1060" s="22"/>
      <c r="N1060" s="18"/>
      <c r="O1060" s="23"/>
      <c r="P1060" s="18"/>
      <c r="Q1060" s="18"/>
      <c r="R1060" s="18"/>
      <c r="S1060" s="22"/>
      <c r="T1060" s="6" t="str">
        <f t="array" ref="T1060">IF(
  B1060="",
  ,
  DATEDIF(
    B1060 + IF(INDEX(Input!$K$7:$K1503,ROW()-1),0,1),
    C1060 + IF(INDEX(Input!$L$7:$L1503,ROW()-1),1,0),
    "Y"
  )
)</f>
        <v/>
      </c>
      <c r="U1060" s="6" t="str">
        <f t="array" ref="U1060">IF(
  B1060="",
  ,
  (C1060 + IF(INDEX(Input!$L$7:$L1503,ROW()-1),1,0))
  - EDATE(
      B1060 + IF(INDEX(Input!$K$7:$K1503,ROW()-1),0,1),
      12*S1060
    )
)</f>
        <v/>
      </c>
      <c r="V1060" s="6" t="str">
        <f t="shared" si="5"/>
        <v/>
      </c>
      <c r="W1060" s="6" t="str">
        <f t="shared" si="6"/>
        <v/>
      </c>
    </row>
    <row r="1061">
      <c r="A1061" s="18"/>
      <c r="B1061" s="18"/>
      <c r="C1061" s="18"/>
      <c r="D1061" s="18"/>
      <c r="E1061" s="18"/>
      <c r="F1061" s="18"/>
      <c r="G1061" s="22"/>
      <c r="H1061" s="18"/>
      <c r="I1061" s="18"/>
      <c r="J1061" s="18"/>
      <c r="K1061" s="18"/>
      <c r="L1061" s="18"/>
      <c r="M1061" s="22"/>
      <c r="N1061" s="18"/>
      <c r="O1061" s="23"/>
      <c r="P1061" s="18"/>
      <c r="Q1061" s="18"/>
      <c r="R1061" s="18"/>
      <c r="S1061" s="22"/>
      <c r="T1061" s="6" t="str">
        <f t="array" ref="T1061">IF(
  B1061="",
  ,
  DATEDIF(
    B1061 + IF(INDEX(Input!$K$7:$K1503,ROW()-1),0,1),
    C1061 + IF(INDEX(Input!$L$7:$L1503,ROW()-1),1,0),
    "Y"
  )
)</f>
        <v/>
      </c>
      <c r="U1061" s="6" t="str">
        <f t="array" ref="U1061">IF(
  B1061="",
  ,
  (C1061 + IF(INDEX(Input!$L$7:$L1503,ROW()-1),1,0))
  - EDATE(
      B1061 + IF(INDEX(Input!$K$7:$K1503,ROW()-1),0,1),
      12*S1061
    )
)</f>
        <v/>
      </c>
      <c r="V1061" s="6" t="str">
        <f t="shared" si="5"/>
        <v/>
      </c>
      <c r="W1061" s="6" t="str">
        <f t="shared" si="6"/>
        <v/>
      </c>
    </row>
    <row r="1062">
      <c r="A1062" s="18"/>
      <c r="B1062" s="18"/>
      <c r="C1062" s="18"/>
      <c r="D1062" s="18"/>
      <c r="E1062" s="18"/>
      <c r="F1062" s="18"/>
      <c r="G1062" s="22"/>
      <c r="H1062" s="18"/>
      <c r="I1062" s="18"/>
      <c r="J1062" s="18"/>
      <c r="K1062" s="18"/>
      <c r="L1062" s="18"/>
      <c r="M1062" s="22"/>
      <c r="N1062" s="18"/>
      <c r="O1062" s="23"/>
      <c r="P1062" s="18"/>
      <c r="Q1062" s="18"/>
      <c r="R1062" s="18"/>
      <c r="S1062" s="22"/>
      <c r="T1062" s="6" t="str">
        <f t="array" ref="T1062">IF(
  B1062="",
  ,
  DATEDIF(
    B1062 + IF(INDEX(Input!$K$7:$K1503,ROW()-1),0,1),
    C1062 + IF(INDEX(Input!$L$7:$L1503,ROW()-1),1,0),
    "Y"
  )
)</f>
        <v/>
      </c>
      <c r="U1062" s="6" t="str">
        <f t="array" ref="U1062">IF(
  B1062="",
  ,
  (C1062 + IF(INDEX(Input!$L$7:$L1503,ROW()-1),1,0))
  - EDATE(
      B1062 + IF(INDEX(Input!$K$7:$K1503,ROW()-1),0,1),
      12*S1062
    )
)</f>
        <v/>
      </c>
      <c r="V1062" s="6" t="str">
        <f t="shared" si="5"/>
        <v/>
      </c>
      <c r="W1062" s="6" t="str">
        <f t="shared" si="6"/>
        <v/>
      </c>
    </row>
    <row r="1063">
      <c r="A1063" s="18"/>
      <c r="B1063" s="18"/>
      <c r="C1063" s="18"/>
      <c r="D1063" s="18"/>
      <c r="E1063" s="18"/>
      <c r="F1063" s="18"/>
      <c r="G1063" s="22"/>
      <c r="H1063" s="18"/>
      <c r="I1063" s="18"/>
      <c r="J1063" s="18"/>
      <c r="K1063" s="18"/>
      <c r="L1063" s="18"/>
      <c r="M1063" s="22"/>
      <c r="N1063" s="18"/>
      <c r="O1063" s="23"/>
      <c r="P1063" s="18"/>
      <c r="Q1063" s="18"/>
      <c r="R1063" s="18"/>
      <c r="S1063" s="22"/>
      <c r="T1063" s="6" t="str">
        <f t="array" ref="T1063">IF(
  B1063="",
  ,
  DATEDIF(
    B1063 + IF(INDEX(Input!$K$7:$K1503,ROW()-1),0,1),
    C1063 + IF(INDEX(Input!$L$7:$L1503,ROW()-1),1,0),
    "Y"
  )
)</f>
        <v/>
      </c>
      <c r="U1063" s="6" t="str">
        <f t="array" ref="U1063">IF(
  B1063="",
  ,
  (C1063 + IF(INDEX(Input!$L$7:$L1503,ROW()-1),1,0))
  - EDATE(
      B1063 + IF(INDEX(Input!$K$7:$K1503,ROW()-1),0,1),
      12*S1063
    )
)</f>
        <v/>
      </c>
      <c r="V1063" s="6" t="str">
        <f t="shared" si="5"/>
        <v/>
      </c>
      <c r="W1063" s="6" t="str">
        <f t="shared" si="6"/>
        <v/>
      </c>
    </row>
    <row r="1064">
      <c r="A1064" s="18"/>
      <c r="B1064" s="18"/>
      <c r="C1064" s="18"/>
      <c r="D1064" s="18"/>
      <c r="E1064" s="18"/>
      <c r="F1064" s="18"/>
      <c r="G1064" s="22"/>
      <c r="H1064" s="18"/>
      <c r="I1064" s="18"/>
      <c r="J1064" s="18"/>
      <c r="K1064" s="18"/>
      <c r="L1064" s="18"/>
      <c r="M1064" s="22"/>
      <c r="N1064" s="18"/>
      <c r="O1064" s="23"/>
      <c r="P1064" s="18"/>
      <c r="Q1064" s="18"/>
      <c r="R1064" s="18"/>
      <c r="S1064" s="22"/>
      <c r="T1064" s="6" t="str">
        <f t="array" ref="T1064">IF(
  B1064="",
  ,
  DATEDIF(
    B1064 + IF(INDEX(Input!$K$7:$K1503,ROW()-1),0,1),
    C1064 + IF(INDEX(Input!$L$7:$L1503,ROW()-1),1,0),
    "Y"
  )
)</f>
        <v/>
      </c>
      <c r="U1064" s="6" t="str">
        <f t="array" ref="U1064">IF(
  B1064="",
  ,
  (C1064 + IF(INDEX(Input!$L$7:$L1503,ROW()-1),1,0))
  - EDATE(
      B1064 + IF(INDEX(Input!$K$7:$K1503,ROW()-1),0,1),
      12*S1064
    )
)</f>
        <v/>
      </c>
      <c r="V1064" s="6" t="str">
        <f t="shared" si="5"/>
        <v/>
      </c>
      <c r="W1064" s="6" t="str">
        <f t="shared" si="6"/>
        <v/>
      </c>
    </row>
    <row r="1065">
      <c r="A1065" s="18"/>
      <c r="B1065" s="18"/>
      <c r="C1065" s="18"/>
      <c r="D1065" s="18"/>
      <c r="E1065" s="18"/>
      <c r="F1065" s="18"/>
      <c r="G1065" s="22"/>
      <c r="H1065" s="18"/>
      <c r="I1065" s="18"/>
      <c r="J1065" s="18"/>
      <c r="K1065" s="18"/>
      <c r="L1065" s="18"/>
      <c r="M1065" s="22"/>
      <c r="N1065" s="18"/>
      <c r="O1065" s="23"/>
      <c r="P1065" s="18"/>
      <c r="Q1065" s="18"/>
      <c r="R1065" s="18"/>
      <c r="S1065" s="22"/>
      <c r="T1065" s="6" t="str">
        <f t="array" ref="T1065">IF(
  B1065="",
  ,
  DATEDIF(
    B1065 + IF(INDEX(Input!$K$7:$K1503,ROW()-1),0,1),
    C1065 + IF(INDEX(Input!$L$7:$L1503,ROW()-1),1,0),
    "Y"
  )
)</f>
        <v/>
      </c>
      <c r="U1065" s="6" t="str">
        <f t="array" ref="U1065">IF(
  B1065="",
  ,
  (C1065 + IF(INDEX(Input!$L$7:$L1503,ROW()-1),1,0))
  - EDATE(
      B1065 + IF(INDEX(Input!$K$7:$K1503,ROW()-1),0,1),
      12*S1065
    )
)</f>
        <v/>
      </c>
      <c r="V1065" s="6" t="str">
        <f t="shared" si="5"/>
        <v/>
      </c>
      <c r="W1065" s="6" t="str">
        <f t="shared" si="6"/>
        <v/>
      </c>
    </row>
    <row r="1066">
      <c r="A1066" s="18"/>
      <c r="B1066" s="18"/>
      <c r="C1066" s="18"/>
      <c r="D1066" s="18"/>
      <c r="E1066" s="18"/>
      <c r="F1066" s="18"/>
      <c r="G1066" s="22"/>
      <c r="H1066" s="18"/>
      <c r="I1066" s="18"/>
      <c r="J1066" s="18"/>
      <c r="K1066" s="18"/>
      <c r="L1066" s="18"/>
      <c r="M1066" s="22"/>
      <c r="N1066" s="18"/>
      <c r="O1066" s="23"/>
      <c r="P1066" s="18"/>
      <c r="Q1066" s="18"/>
      <c r="R1066" s="18"/>
      <c r="S1066" s="22"/>
      <c r="T1066" s="6" t="str">
        <f t="array" ref="T1066">IF(
  B1066="",
  ,
  DATEDIF(
    B1066 + IF(INDEX(Input!$K$7:$K1503,ROW()-1),0,1),
    C1066 + IF(INDEX(Input!$L$7:$L1503,ROW()-1),1,0),
    "Y"
  )
)</f>
        <v/>
      </c>
      <c r="U1066" s="6" t="str">
        <f t="array" ref="U1066">IF(
  B1066="",
  ,
  (C1066 + IF(INDEX(Input!$L$7:$L1503,ROW()-1),1,0))
  - EDATE(
      B1066 + IF(INDEX(Input!$K$7:$K1503,ROW()-1),0,1),
      12*S1066
    )
)</f>
        <v/>
      </c>
      <c r="V1066" s="6" t="str">
        <f t="shared" si="5"/>
        <v/>
      </c>
      <c r="W1066" s="6" t="str">
        <f t="shared" si="6"/>
        <v/>
      </c>
    </row>
    <row r="1067">
      <c r="A1067" s="18"/>
      <c r="B1067" s="18"/>
      <c r="C1067" s="18"/>
      <c r="D1067" s="18"/>
      <c r="E1067" s="18"/>
      <c r="F1067" s="18"/>
      <c r="G1067" s="22"/>
      <c r="H1067" s="18"/>
      <c r="I1067" s="18"/>
      <c r="J1067" s="18"/>
      <c r="K1067" s="18"/>
      <c r="L1067" s="18"/>
      <c r="M1067" s="22"/>
      <c r="N1067" s="18"/>
      <c r="O1067" s="23"/>
      <c r="P1067" s="18"/>
      <c r="Q1067" s="18"/>
      <c r="R1067" s="18"/>
      <c r="S1067" s="22"/>
      <c r="T1067" s="6" t="str">
        <f t="array" ref="T1067">IF(
  B1067="",
  ,
  DATEDIF(
    B1067 + IF(INDEX(Input!$K$7:$K1503,ROW()-1),0,1),
    C1067 + IF(INDEX(Input!$L$7:$L1503,ROW()-1),1,0),
    "Y"
  )
)</f>
        <v/>
      </c>
      <c r="U1067" s="6" t="str">
        <f t="array" ref="U1067">IF(
  B1067="",
  ,
  (C1067 + IF(INDEX(Input!$L$7:$L1503,ROW()-1),1,0))
  - EDATE(
      B1067 + IF(INDEX(Input!$K$7:$K1503,ROW()-1),0,1),
      12*S1067
    )
)</f>
        <v/>
      </c>
      <c r="V1067" s="6" t="str">
        <f t="shared" si="5"/>
        <v/>
      </c>
      <c r="W1067" s="6" t="str">
        <f t="shared" si="6"/>
        <v/>
      </c>
    </row>
    <row r="1068">
      <c r="A1068" s="18"/>
      <c r="B1068" s="18"/>
      <c r="C1068" s="18"/>
      <c r="D1068" s="18"/>
      <c r="E1068" s="18"/>
      <c r="F1068" s="18"/>
      <c r="G1068" s="22"/>
      <c r="H1068" s="18"/>
      <c r="I1068" s="18"/>
      <c r="J1068" s="18"/>
      <c r="K1068" s="18"/>
      <c r="L1068" s="18"/>
      <c r="M1068" s="22"/>
      <c r="N1068" s="18"/>
      <c r="O1068" s="23"/>
      <c r="P1068" s="18"/>
      <c r="Q1068" s="18"/>
      <c r="R1068" s="18"/>
      <c r="S1068" s="22"/>
      <c r="T1068" s="6" t="str">
        <f t="array" ref="T1068">IF(
  B1068="",
  ,
  DATEDIF(
    B1068 + IF(INDEX(Input!$K$7:$K1503,ROW()-1),0,1),
    C1068 + IF(INDEX(Input!$L$7:$L1503,ROW()-1),1,0),
    "Y"
  )
)</f>
        <v/>
      </c>
      <c r="U1068" s="6" t="str">
        <f t="array" ref="U1068">IF(
  B1068="",
  ,
  (C1068 + IF(INDEX(Input!$L$7:$L1503,ROW()-1),1,0))
  - EDATE(
      B1068 + IF(INDEX(Input!$K$7:$K1503,ROW()-1),0,1),
      12*S1068
    )
)</f>
        <v/>
      </c>
      <c r="V1068" s="6" t="str">
        <f t="shared" si="5"/>
        <v/>
      </c>
      <c r="W1068" s="6" t="str">
        <f t="shared" si="6"/>
        <v/>
      </c>
    </row>
    <row r="1069">
      <c r="A1069" s="18"/>
      <c r="B1069" s="18"/>
      <c r="C1069" s="18"/>
      <c r="D1069" s="18"/>
      <c r="E1069" s="18"/>
      <c r="F1069" s="18"/>
      <c r="G1069" s="22"/>
      <c r="H1069" s="18"/>
      <c r="I1069" s="18"/>
      <c r="J1069" s="18"/>
      <c r="K1069" s="18"/>
      <c r="L1069" s="18"/>
      <c r="M1069" s="22"/>
      <c r="N1069" s="18"/>
      <c r="O1069" s="23"/>
      <c r="P1069" s="18"/>
      <c r="Q1069" s="18"/>
      <c r="R1069" s="18"/>
      <c r="S1069" s="22"/>
      <c r="T1069" s="6" t="str">
        <f t="array" ref="T1069">IF(
  B1069="",
  ,
  DATEDIF(
    B1069 + IF(INDEX(Input!$K$7:$K1503,ROW()-1),0,1),
    C1069 + IF(INDEX(Input!$L$7:$L1503,ROW()-1),1,0),
    "Y"
  )
)</f>
        <v/>
      </c>
      <c r="U1069" s="6" t="str">
        <f t="array" ref="U1069">IF(
  B1069="",
  ,
  (C1069 + IF(INDEX(Input!$L$7:$L1503,ROW()-1),1,0))
  - EDATE(
      B1069 + IF(INDEX(Input!$K$7:$K1503,ROW()-1),0,1),
      12*S1069
    )
)</f>
        <v/>
      </c>
      <c r="V1069" s="6" t="str">
        <f t="shared" si="5"/>
        <v/>
      </c>
      <c r="W1069" s="6" t="str">
        <f t="shared" si="6"/>
        <v/>
      </c>
    </row>
    <row r="1070">
      <c r="A1070" s="18"/>
      <c r="B1070" s="18"/>
      <c r="C1070" s="18"/>
      <c r="D1070" s="18"/>
      <c r="E1070" s="18"/>
      <c r="F1070" s="18"/>
      <c r="G1070" s="22"/>
      <c r="H1070" s="18"/>
      <c r="I1070" s="18"/>
      <c r="J1070" s="18"/>
      <c r="K1070" s="18"/>
      <c r="L1070" s="18"/>
      <c r="M1070" s="22"/>
      <c r="N1070" s="18"/>
      <c r="O1070" s="23"/>
      <c r="P1070" s="18"/>
      <c r="Q1070" s="18"/>
      <c r="R1070" s="18"/>
      <c r="S1070" s="22"/>
      <c r="T1070" s="6" t="str">
        <f t="array" ref="T1070">IF(
  B1070="",
  ,
  DATEDIF(
    B1070 + IF(INDEX(Input!$K$7:$K1503,ROW()-1),0,1),
    C1070 + IF(INDEX(Input!$L$7:$L1503,ROW()-1),1,0),
    "Y"
  )
)</f>
        <v/>
      </c>
      <c r="U1070" s="6" t="str">
        <f t="array" ref="U1070">IF(
  B1070="",
  ,
  (C1070 + IF(INDEX(Input!$L$7:$L1503,ROW()-1),1,0))
  - EDATE(
      B1070 + IF(INDEX(Input!$K$7:$K1503,ROW()-1),0,1),
      12*S1070
    )
)</f>
        <v/>
      </c>
      <c r="V1070" s="6" t="str">
        <f t="shared" si="5"/>
        <v/>
      </c>
      <c r="W1070" s="6" t="str">
        <f t="shared" si="6"/>
        <v/>
      </c>
    </row>
    <row r="1071">
      <c r="A1071" s="18"/>
      <c r="B1071" s="18"/>
      <c r="C1071" s="18"/>
      <c r="D1071" s="18"/>
      <c r="E1071" s="18"/>
      <c r="F1071" s="18"/>
      <c r="G1071" s="22"/>
      <c r="H1071" s="18"/>
      <c r="I1071" s="18"/>
      <c r="J1071" s="18"/>
      <c r="K1071" s="18"/>
      <c r="L1071" s="18"/>
      <c r="M1071" s="22"/>
      <c r="N1071" s="18"/>
      <c r="O1071" s="23"/>
      <c r="P1071" s="18"/>
      <c r="Q1071" s="18"/>
      <c r="R1071" s="18"/>
      <c r="S1071" s="22"/>
      <c r="T1071" s="6" t="str">
        <f t="array" ref="T1071">IF(
  B1071="",
  ,
  DATEDIF(
    B1071 + IF(INDEX(Input!$K$7:$K1503,ROW()-1),0,1),
    C1071 + IF(INDEX(Input!$L$7:$L1503,ROW()-1),1,0),
    "Y"
  )
)</f>
        <v/>
      </c>
      <c r="U1071" s="6" t="str">
        <f t="array" ref="U1071">IF(
  B1071="",
  ,
  (C1071 + IF(INDEX(Input!$L$7:$L1503,ROW()-1),1,0))
  - EDATE(
      B1071 + IF(INDEX(Input!$K$7:$K1503,ROW()-1),0,1),
      12*S1071
    )
)</f>
        <v/>
      </c>
      <c r="V1071" s="6" t="str">
        <f t="shared" si="5"/>
        <v/>
      </c>
      <c r="W1071" s="6" t="str">
        <f t="shared" si="6"/>
        <v/>
      </c>
    </row>
    <row r="1072">
      <c r="A1072" s="18"/>
      <c r="B1072" s="18"/>
      <c r="C1072" s="18"/>
      <c r="D1072" s="18"/>
      <c r="E1072" s="18"/>
      <c r="F1072" s="18"/>
      <c r="G1072" s="22"/>
      <c r="H1072" s="18"/>
      <c r="I1072" s="18"/>
      <c r="J1072" s="18"/>
      <c r="K1072" s="18"/>
      <c r="L1072" s="18"/>
      <c r="M1072" s="22"/>
      <c r="N1072" s="18"/>
      <c r="O1072" s="23"/>
      <c r="P1072" s="18"/>
      <c r="Q1072" s="18"/>
      <c r="R1072" s="18"/>
      <c r="S1072" s="22"/>
      <c r="T1072" s="6" t="str">
        <f t="array" ref="T1072">IF(
  B1072="",
  ,
  DATEDIF(
    B1072 + IF(INDEX(Input!$K$7:$K1503,ROW()-1),0,1),
    C1072 + IF(INDEX(Input!$L$7:$L1503,ROW()-1),1,0),
    "Y"
  )
)</f>
        <v/>
      </c>
      <c r="U1072" s="6" t="str">
        <f t="array" ref="U1072">IF(
  B1072="",
  ,
  (C1072 + IF(INDEX(Input!$L$7:$L1503,ROW()-1),1,0))
  - EDATE(
      B1072 + IF(INDEX(Input!$K$7:$K1503,ROW()-1),0,1),
      12*S1072
    )
)</f>
        <v/>
      </c>
      <c r="V1072" s="6" t="str">
        <f t="shared" si="5"/>
        <v/>
      </c>
      <c r="W1072" s="6" t="str">
        <f t="shared" si="6"/>
        <v/>
      </c>
    </row>
    <row r="1073">
      <c r="A1073" s="18"/>
      <c r="B1073" s="18"/>
      <c r="C1073" s="18"/>
      <c r="D1073" s="18"/>
      <c r="E1073" s="18"/>
      <c r="F1073" s="18"/>
      <c r="G1073" s="22"/>
      <c r="H1073" s="18"/>
      <c r="I1073" s="18"/>
      <c r="J1073" s="18"/>
      <c r="K1073" s="18"/>
      <c r="L1073" s="18"/>
      <c r="M1073" s="22"/>
      <c r="N1073" s="18"/>
      <c r="O1073" s="23"/>
      <c r="P1073" s="18"/>
      <c r="Q1073" s="18"/>
      <c r="R1073" s="18"/>
      <c r="S1073" s="22"/>
      <c r="T1073" s="6" t="str">
        <f t="array" ref="T1073">IF(
  B1073="",
  ,
  DATEDIF(
    B1073 + IF(INDEX(Input!$K$7:$K1503,ROW()-1),0,1),
    C1073 + IF(INDEX(Input!$L$7:$L1503,ROW()-1),1,0),
    "Y"
  )
)</f>
        <v/>
      </c>
      <c r="U1073" s="6" t="str">
        <f t="array" ref="U1073">IF(
  B1073="",
  ,
  (C1073 + IF(INDEX(Input!$L$7:$L1503,ROW()-1),1,0))
  - EDATE(
      B1073 + IF(INDEX(Input!$K$7:$K1503,ROW()-1),0,1),
      12*S1073
    )
)</f>
        <v/>
      </c>
      <c r="V1073" s="6" t="str">
        <f t="shared" si="5"/>
        <v/>
      </c>
      <c r="W1073" s="6" t="str">
        <f t="shared" si="6"/>
        <v/>
      </c>
    </row>
    <row r="1074">
      <c r="A1074" s="18"/>
      <c r="B1074" s="18"/>
      <c r="C1074" s="18"/>
      <c r="D1074" s="18"/>
      <c r="E1074" s="18"/>
      <c r="F1074" s="18"/>
      <c r="G1074" s="22"/>
      <c r="H1074" s="18"/>
      <c r="I1074" s="18"/>
      <c r="J1074" s="18"/>
      <c r="K1074" s="18"/>
      <c r="L1074" s="18"/>
      <c r="M1074" s="22"/>
      <c r="N1074" s="18"/>
      <c r="O1074" s="23"/>
      <c r="P1074" s="18"/>
      <c r="Q1074" s="18"/>
      <c r="R1074" s="18"/>
      <c r="S1074" s="22"/>
      <c r="T1074" s="6" t="str">
        <f t="array" ref="T1074">IF(
  B1074="",
  ,
  DATEDIF(
    B1074 + IF(INDEX(Input!$K$7:$K1503,ROW()-1),0,1),
    C1074 + IF(INDEX(Input!$L$7:$L1503,ROW()-1),1,0),
    "Y"
  )
)</f>
        <v/>
      </c>
      <c r="U1074" s="6" t="str">
        <f t="array" ref="U1074">IF(
  B1074="",
  ,
  (C1074 + IF(INDEX(Input!$L$7:$L1503,ROW()-1),1,0))
  - EDATE(
      B1074 + IF(INDEX(Input!$K$7:$K1503,ROW()-1),0,1),
      12*S1074
    )
)</f>
        <v/>
      </c>
      <c r="V1074" s="6" t="str">
        <f t="shared" si="5"/>
        <v/>
      </c>
      <c r="W1074" s="6" t="str">
        <f t="shared" si="6"/>
        <v/>
      </c>
    </row>
    <row r="1075">
      <c r="A1075" s="18"/>
      <c r="B1075" s="18"/>
      <c r="C1075" s="18"/>
      <c r="D1075" s="18"/>
      <c r="E1075" s="18"/>
      <c r="F1075" s="18"/>
      <c r="G1075" s="22"/>
      <c r="H1075" s="18"/>
      <c r="I1075" s="18"/>
      <c r="J1075" s="18"/>
      <c r="K1075" s="18"/>
      <c r="L1075" s="18"/>
      <c r="M1075" s="22"/>
      <c r="N1075" s="18"/>
      <c r="O1075" s="23"/>
      <c r="P1075" s="18"/>
      <c r="Q1075" s="18"/>
      <c r="R1075" s="18"/>
      <c r="S1075" s="22"/>
      <c r="T1075" s="6" t="str">
        <f t="array" ref="T1075">IF(
  B1075="",
  ,
  DATEDIF(
    B1075 + IF(INDEX(Input!$K$7:$K1503,ROW()-1),0,1),
    C1075 + IF(INDEX(Input!$L$7:$L1503,ROW()-1),1,0),
    "Y"
  )
)</f>
        <v/>
      </c>
      <c r="U1075" s="6" t="str">
        <f t="array" ref="U1075">IF(
  B1075="",
  ,
  (C1075 + IF(INDEX(Input!$L$7:$L1503,ROW()-1),1,0))
  - EDATE(
      B1075 + IF(INDEX(Input!$K$7:$K1503,ROW()-1),0,1),
      12*S1075
    )
)</f>
        <v/>
      </c>
      <c r="V1075" s="6" t="str">
        <f t="shared" si="5"/>
        <v/>
      </c>
      <c r="W1075" s="6" t="str">
        <f t="shared" si="6"/>
        <v/>
      </c>
    </row>
    <row r="1076">
      <c r="A1076" s="18"/>
      <c r="B1076" s="18"/>
      <c r="C1076" s="18"/>
      <c r="D1076" s="18"/>
      <c r="E1076" s="18"/>
      <c r="F1076" s="18"/>
      <c r="G1076" s="22"/>
      <c r="H1076" s="18"/>
      <c r="I1076" s="18"/>
      <c r="J1076" s="18"/>
      <c r="K1076" s="18"/>
      <c r="L1076" s="18"/>
      <c r="M1076" s="22"/>
      <c r="N1076" s="18"/>
      <c r="O1076" s="23"/>
      <c r="P1076" s="18"/>
      <c r="Q1076" s="18"/>
      <c r="R1076" s="18"/>
      <c r="S1076" s="22"/>
      <c r="T1076" s="6" t="str">
        <f t="array" ref="T1076">IF(
  B1076="",
  ,
  DATEDIF(
    B1076 + IF(INDEX(Input!$K$7:$K1503,ROW()-1),0,1),
    C1076 + IF(INDEX(Input!$L$7:$L1503,ROW()-1),1,0),
    "Y"
  )
)</f>
        <v/>
      </c>
      <c r="U1076" s="6" t="str">
        <f t="array" ref="U1076">IF(
  B1076="",
  ,
  (C1076 + IF(INDEX(Input!$L$7:$L1503,ROW()-1),1,0))
  - EDATE(
      B1076 + IF(INDEX(Input!$K$7:$K1503,ROW()-1),0,1),
      12*S1076
    )
)</f>
        <v/>
      </c>
      <c r="V1076" s="6" t="str">
        <f t="shared" si="5"/>
        <v/>
      </c>
      <c r="W1076" s="6" t="str">
        <f t="shared" si="6"/>
        <v/>
      </c>
    </row>
    <row r="1077">
      <c r="A1077" s="18"/>
      <c r="B1077" s="18"/>
      <c r="C1077" s="18"/>
      <c r="D1077" s="18"/>
      <c r="E1077" s="18"/>
      <c r="F1077" s="18"/>
      <c r="G1077" s="22"/>
      <c r="H1077" s="18"/>
      <c r="I1077" s="18"/>
      <c r="J1077" s="18"/>
      <c r="K1077" s="18"/>
      <c r="L1077" s="18"/>
      <c r="M1077" s="22"/>
      <c r="N1077" s="18"/>
      <c r="O1077" s="23"/>
      <c r="P1077" s="18"/>
      <c r="Q1077" s="18"/>
      <c r="R1077" s="18"/>
      <c r="S1077" s="22"/>
      <c r="T1077" s="6" t="str">
        <f t="array" ref="T1077">IF(
  B1077="",
  ,
  DATEDIF(
    B1077 + IF(INDEX(Input!$K$7:$K1503,ROW()-1),0,1),
    C1077 + IF(INDEX(Input!$L$7:$L1503,ROW()-1),1,0),
    "Y"
  )
)</f>
        <v/>
      </c>
      <c r="U1077" s="6" t="str">
        <f t="array" ref="U1077">IF(
  B1077="",
  ,
  (C1077 + IF(INDEX(Input!$L$7:$L1503,ROW()-1),1,0))
  - EDATE(
      B1077 + IF(INDEX(Input!$K$7:$K1503,ROW()-1),0,1),
      12*S1077
    )
)</f>
        <v/>
      </c>
      <c r="V1077" s="6" t="str">
        <f t="shared" si="5"/>
        <v/>
      </c>
      <c r="W1077" s="6" t="str">
        <f t="shared" si="6"/>
        <v/>
      </c>
    </row>
    <row r="1078">
      <c r="A1078" s="18"/>
      <c r="B1078" s="18"/>
      <c r="C1078" s="18"/>
      <c r="D1078" s="18"/>
      <c r="E1078" s="18"/>
      <c r="F1078" s="18"/>
      <c r="G1078" s="22"/>
      <c r="H1078" s="18"/>
      <c r="I1078" s="18"/>
      <c r="J1078" s="18"/>
      <c r="K1078" s="18"/>
      <c r="L1078" s="18"/>
      <c r="M1078" s="22"/>
      <c r="N1078" s="18"/>
      <c r="O1078" s="23"/>
      <c r="P1078" s="18"/>
      <c r="Q1078" s="18"/>
      <c r="R1078" s="18"/>
      <c r="S1078" s="22"/>
      <c r="T1078" s="6" t="str">
        <f t="array" ref="T1078">IF(
  B1078="",
  ,
  DATEDIF(
    B1078 + IF(INDEX(Input!$K$7:$K1503,ROW()-1),0,1),
    C1078 + IF(INDEX(Input!$L$7:$L1503,ROW()-1),1,0),
    "Y"
  )
)</f>
        <v/>
      </c>
      <c r="U1078" s="6" t="str">
        <f t="array" ref="U1078">IF(
  B1078="",
  ,
  (C1078 + IF(INDEX(Input!$L$7:$L1503,ROW()-1),1,0))
  - EDATE(
      B1078 + IF(INDEX(Input!$K$7:$K1503,ROW()-1),0,1),
      12*S1078
    )
)</f>
        <v/>
      </c>
      <c r="V1078" s="6" t="str">
        <f t="shared" si="5"/>
        <v/>
      </c>
      <c r="W1078" s="6" t="str">
        <f t="shared" si="6"/>
        <v/>
      </c>
    </row>
    <row r="1079">
      <c r="A1079" s="18"/>
      <c r="B1079" s="18"/>
      <c r="C1079" s="18"/>
      <c r="D1079" s="18"/>
      <c r="E1079" s="18"/>
      <c r="F1079" s="18"/>
      <c r="G1079" s="22"/>
      <c r="H1079" s="18"/>
      <c r="I1079" s="18"/>
      <c r="J1079" s="18"/>
      <c r="K1079" s="18"/>
      <c r="L1079" s="18"/>
      <c r="M1079" s="22"/>
      <c r="N1079" s="18"/>
      <c r="O1079" s="23"/>
      <c r="P1079" s="18"/>
      <c r="Q1079" s="18"/>
      <c r="R1079" s="18"/>
      <c r="S1079" s="22"/>
      <c r="T1079" s="6" t="str">
        <f t="array" ref="T1079">IF(
  B1079="",
  ,
  DATEDIF(
    B1079 + IF(INDEX(Input!$K$7:$K1503,ROW()-1),0,1),
    C1079 + IF(INDEX(Input!$L$7:$L1503,ROW()-1),1,0),
    "Y"
  )
)</f>
        <v/>
      </c>
      <c r="U1079" s="6" t="str">
        <f t="array" ref="U1079">IF(
  B1079="",
  ,
  (C1079 + IF(INDEX(Input!$L$7:$L1503,ROW()-1),1,0))
  - EDATE(
      B1079 + IF(INDEX(Input!$K$7:$K1503,ROW()-1),0,1),
      12*S1079
    )
)</f>
        <v/>
      </c>
      <c r="V1079" s="6" t="str">
        <f t="shared" si="5"/>
        <v/>
      </c>
      <c r="W1079" s="6" t="str">
        <f t="shared" si="6"/>
        <v/>
      </c>
    </row>
    <row r="1080">
      <c r="A1080" s="18"/>
      <c r="B1080" s="18"/>
      <c r="C1080" s="18"/>
      <c r="D1080" s="18"/>
      <c r="E1080" s="18"/>
      <c r="F1080" s="18"/>
      <c r="G1080" s="22"/>
      <c r="H1080" s="18"/>
      <c r="I1080" s="18"/>
      <c r="J1080" s="18"/>
      <c r="K1080" s="18"/>
      <c r="L1080" s="18"/>
      <c r="M1080" s="22"/>
      <c r="N1080" s="18"/>
      <c r="O1080" s="23"/>
      <c r="P1080" s="18"/>
      <c r="Q1080" s="18"/>
      <c r="R1080" s="18"/>
      <c r="S1080" s="22"/>
      <c r="T1080" s="6" t="str">
        <f t="array" ref="T1080">IF(
  B1080="",
  ,
  DATEDIF(
    B1080 + IF(INDEX(Input!$K$7:$K1503,ROW()-1),0,1),
    C1080 + IF(INDEX(Input!$L$7:$L1503,ROW()-1),1,0),
    "Y"
  )
)</f>
        <v/>
      </c>
      <c r="U1080" s="6" t="str">
        <f t="array" ref="U1080">IF(
  B1080="",
  ,
  (C1080 + IF(INDEX(Input!$L$7:$L1503,ROW()-1),1,0))
  - EDATE(
      B1080 + IF(INDEX(Input!$K$7:$K1503,ROW()-1),0,1),
      12*S1080
    )
)</f>
        <v/>
      </c>
      <c r="V1080" s="6" t="str">
        <f t="shared" si="5"/>
        <v/>
      </c>
      <c r="W1080" s="6" t="str">
        <f t="shared" si="6"/>
        <v/>
      </c>
    </row>
    <row r="1081">
      <c r="A1081" s="18"/>
      <c r="B1081" s="18"/>
      <c r="C1081" s="18"/>
      <c r="D1081" s="18"/>
      <c r="E1081" s="18"/>
      <c r="F1081" s="18"/>
      <c r="G1081" s="22"/>
      <c r="H1081" s="18"/>
      <c r="I1081" s="18"/>
      <c r="J1081" s="18"/>
      <c r="K1081" s="18"/>
      <c r="L1081" s="18"/>
      <c r="M1081" s="22"/>
      <c r="N1081" s="18"/>
      <c r="O1081" s="23"/>
      <c r="P1081" s="18"/>
      <c r="Q1081" s="18"/>
      <c r="R1081" s="18"/>
      <c r="S1081" s="22"/>
      <c r="T1081" s="6" t="str">
        <f t="array" ref="T1081">IF(
  B1081="",
  ,
  DATEDIF(
    B1081 + IF(INDEX(Input!$K$7:$K1503,ROW()-1),0,1),
    C1081 + IF(INDEX(Input!$L$7:$L1503,ROW()-1),1,0),
    "Y"
  )
)</f>
        <v/>
      </c>
      <c r="U1081" s="6" t="str">
        <f t="array" ref="U1081">IF(
  B1081="",
  ,
  (C1081 + IF(INDEX(Input!$L$7:$L1503,ROW()-1),1,0))
  - EDATE(
      B1081 + IF(INDEX(Input!$K$7:$K1503,ROW()-1),0,1),
      12*S1081
    )
)</f>
        <v/>
      </c>
      <c r="V1081" s="6" t="str">
        <f t="shared" si="5"/>
        <v/>
      </c>
      <c r="W1081" s="6" t="str">
        <f t="shared" si="6"/>
        <v/>
      </c>
    </row>
    <row r="1082">
      <c r="A1082" s="18"/>
      <c r="B1082" s="18"/>
      <c r="C1082" s="18"/>
      <c r="D1082" s="18"/>
      <c r="E1082" s="18"/>
      <c r="F1082" s="18"/>
      <c r="G1082" s="22"/>
      <c r="H1082" s="18"/>
      <c r="I1082" s="18"/>
      <c r="J1082" s="18"/>
      <c r="K1082" s="18"/>
      <c r="L1082" s="18"/>
      <c r="M1082" s="22"/>
      <c r="N1082" s="18"/>
      <c r="O1082" s="23"/>
      <c r="P1082" s="18"/>
      <c r="Q1082" s="18"/>
      <c r="R1082" s="18"/>
      <c r="S1082" s="22"/>
      <c r="T1082" s="6" t="str">
        <f t="array" ref="T1082">IF(
  B1082="",
  ,
  DATEDIF(
    B1082 + IF(INDEX(Input!$K$7:$K1503,ROW()-1),0,1),
    C1082 + IF(INDEX(Input!$L$7:$L1503,ROW()-1),1,0),
    "Y"
  )
)</f>
        <v/>
      </c>
      <c r="U1082" s="6" t="str">
        <f t="array" ref="U1082">IF(
  B1082="",
  ,
  (C1082 + IF(INDEX(Input!$L$7:$L1503,ROW()-1),1,0))
  - EDATE(
      B1082 + IF(INDEX(Input!$K$7:$K1503,ROW()-1),0,1),
      12*S1082
    )
)</f>
        <v/>
      </c>
      <c r="V1082" s="6" t="str">
        <f t="shared" si="5"/>
        <v/>
      </c>
      <c r="W1082" s="6" t="str">
        <f t="shared" si="6"/>
        <v/>
      </c>
    </row>
    <row r="1083">
      <c r="A1083" s="18"/>
      <c r="B1083" s="18"/>
      <c r="C1083" s="18"/>
      <c r="D1083" s="18"/>
      <c r="E1083" s="18"/>
      <c r="F1083" s="18"/>
      <c r="G1083" s="22"/>
      <c r="H1083" s="18"/>
      <c r="I1083" s="18"/>
      <c r="J1083" s="18"/>
      <c r="K1083" s="18"/>
      <c r="L1083" s="18"/>
      <c r="M1083" s="22"/>
      <c r="N1083" s="18"/>
      <c r="O1083" s="23"/>
      <c r="P1083" s="18"/>
      <c r="Q1083" s="18"/>
      <c r="R1083" s="18"/>
      <c r="S1083" s="22"/>
      <c r="T1083" s="6" t="str">
        <f t="array" ref="T1083">IF(
  B1083="",
  ,
  DATEDIF(
    B1083 + IF(INDEX(Input!$K$7:$K1503,ROW()-1),0,1),
    C1083 + IF(INDEX(Input!$L$7:$L1503,ROW()-1),1,0),
    "Y"
  )
)</f>
        <v/>
      </c>
      <c r="U1083" s="6" t="str">
        <f t="array" ref="U1083">IF(
  B1083="",
  ,
  (C1083 + IF(INDEX(Input!$L$7:$L1503,ROW()-1),1,0))
  - EDATE(
      B1083 + IF(INDEX(Input!$K$7:$K1503,ROW()-1),0,1),
      12*S1083
    )
)</f>
        <v/>
      </c>
      <c r="V1083" s="6" t="str">
        <f t="shared" si="5"/>
        <v/>
      </c>
      <c r="W1083" s="6" t="str">
        <f t="shared" si="6"/>
        <v/>
      </c>
    </row>
    <row r="1084">
      <c r="A1084" s="18"/>
      <c r="B1084" s="18"/>
      <c r="C1084" s="18"/>
      <c r="D1084" s="18"/>
      <c r="E1084" s="18"/>
      <c r="F1084" s="18"/>
      <c r="G1084" s="22"/>
      <c r="H1084" s="18"/>
      <c r="I1084" s="18"/>
      <c r="J1084" s="18"/>
      <c r="K1084" s="18"/>
      <c r="L1084" s="18"/>
      <c r="M1084" s="22"/>
      <c r="N1084" s="18"/>
      <c r="O1084" s="23"/>
      <c r="P1084" s="18"/>
      <c r="Q1084" s="18"/>
      <c r="R1084" s="18"/>
      <c r="S1084" s="22"/>
      <c r="T1084" s="6" t="str">
        <f t="array" ref="T1084">IF(
  B1084="",
  ,
  DATEDIF(
    B1084 + IF(INDEX(Input!$K$7:$K1503,ROW()-1),0,1),
    C1084 + IF(INDEX(Input!$L$7:$L1503,ROW()-1),1,0),
    "Y"
  )
)</f>
        <v/>
      </c>
      <c r="U1084" s="6" t="str">
        <f t="array" ref="U1084">IF(
  B1084="",
  ,
  (C1084 + IF(INDEX(Input!$L$7:$L1503,ROW()-1),1,0))
  - EDATE(
      B1084 + IF(INDEX(Input!$K$7:$K1503,ROW()-1),0,1),
      12*S1084
    )
)</f>
        <v/>
      </c>
      <c r="V1084" s="6" t="str">
        <f t="shared" si="5"/>
        <v/>
      </c>
      <c r="W1084" s="6" t="str">
        <f t="shared" si="6"/>
        <v/>
      </c>
    </row>
    <row r="1085">
      <c r="A1085" s="18"/>
      <c r="B1085" s="18"/>
      <c r="C1085" s="18"/>
      <c r="D1085" s="18"/>
      <c r="E1085" s="18"/>
      <c r="F1085" s="18"/>
      <c r="G1085" s="22"/>
      <c r="H1085" s="18"/>
      <c r="I1085" s="18"/>
      <c r="J1085" s="18"/>
      <c r="K1085" s="18"/>
      <c r="L1085" s="18"/>
      <c r="M1085" s="22"/>
      <c r="N1085" s="18"/>
      <c r="O1085" s="23"/>
      <c r="P1085" s="18"/>
      <c r="Q1085" s="18"/>
      <c r="R1085" s="18"/>
      <c r="S1085" s="22"/>
      <c r="T1085" s="6" t="str">
        <f t="array" ref="T1085">IF(
  B1085="",
  ,
  DATEDIF(
    B1085 + IF(INDEX(Input!$K$7:$K1503,ROW()-1),0,1),
    C1085 + IF(INDEX(Input!$L$7:$L1503,ROW()-1),1,0),
    "Y"
  )
)</f>
        <v/>
      </c>
      <c r="U1085" s="6" t="str">
        <f t="array" ref="U1085">IF(
  B1085="",
  ,
  (C1085 + IF(INDEX(Input!$L$7:$L1503,ROW()-1),1,0))
  - EDATE(
      B1085 + IF(INDEX(Input!$K$7:$K1503,ROW()-1),0,1),
      12*S1085
    )
)</f>
        <v/>
      </c>
      <c r="V1085" s="6" t="str">
        <f t="shared" si="5"/>
        <v/>
      </c>
      <c r="W1085" s="6" t="str">
        <f t="shared" si="6"/>
        <v/>
      </c>
    </row>
    <row r="1086">
      <c r="A1086" s="18"/>
      <c r="B1086" s="18"/>
      <c r="C1086" s="18"/>
      <c r="D1086" s="18"/>
      <c r="E1086" s="18"/>
      <c r="F1086" s="18"/>
      <c r="G1086" s="22"/>
      <c r="H1086" s="18"/>
      <c r="I1086" s="18"/>
      <c r="J1086" s="18"/>
      <c r="K1086" s="18"/>
      <c r="L1086" s="18"/>
      <c r="M1086" s="22"/>
      <c r="N1086" s="18"/>
      <c r="O1086" s="23"/>
      <c r="P1086" s="18"/>
      <c r="Q1086" s="18"/>
      <c r="R1086" s="18"/>
      <c r="S1086" s="22"/>
      <c r="T1086" s="6" t="str">
        <f t="array" ref="T1086">IF(
  B1086="",
  ,
  DATEDIF(
    B1086 + IF(INDEX(Input!$K$7:$K1503,ROW()-1),0,1),
    C1086 + IF(INDEX(Input!$L$7:$L1503,ROW()-1),1,0),
    "Y"
  )
)</f>
        <v/>
      </c>
      <c r="U1086" s="6" t="str">
        <f t="array" ref="U1086">IF(
  B1086="",
  ,
  (C1086 + IF(INDEX(Input!$L$7:$L1503,ROW()-1),1,0))
  - EDATE(
      B1086 + IF(INDEX(Input!$K$7:$K1503,ROW()-1),0,1),
      12*S1086
    )
)</f>
        <v/>
      </c>
      <c r="V1086" s="6" t="str">
        <f t="shared" si="5"/>
        <v/>
      </c>
      <c r="W1086" s="6" t="str">
        <f t="shared" si="6"/>
        <v/>
      </c>
    </row>
    <row r="1087">
      <c r="A1087" s="18"/>
      <c r="B1087" s="18"/>
      <c r="C1087" s="18"/>
      <c r="D1087" s="18"/>
      <c r="E1087" s="18"/>
      <c r="F1087" s="18"/>
      <c r="G1087" s="22"/>
      <c r="H1087" s="18"/>
      <c r="I1087" s="18"/>
      <c r="J1087" s="18"/>
      <c r="K1087" s="18"/>
      <c r="L1087" s="18"/>
      <c r="M1087" s="22"/>
      <c r="N1087" s="18"/>
      <c r="O1087" s="23"/>
      <c r="P1087" s="18"/>
      <c r="Q1087" s="18"/>
      <c r="R1087" s="18"/>
      <c r="S1087" s="22"/>
      <c r="T1087" s="6" t="str">
        <f t="array" ref="T1087">IF(
  B1087="",
  ,
  DATEDIF(
    B1087 + IF(INDEX(Input!$K$7:$K1503,ROW()-1),0,1),
    C1087 + IF(INDEX(Input!$L$7:$L1503,ROW()-1),1,0),
    "Y"
  )
)</f>
        <v/>
      </c>
      <c r="U1087" s="6" t="str">
        <f t="array" ref="U1087">IF(
  B1087="",
  ,
  (C1087 + IF(INDEX(Input!$L$7:$L1503,ROW()-1),1,0))
  - EDATE(
      B1087 + IF(INDEX(Input!$K$7:$K1503,ROW()-1),0,1),
      12*S1087
    )
)</f>
        <v/>
      </c>
      <c r="V1087" s="6" t="str">
        <f t="shared" si="5"/>
        <v/>
      </c>
      <c r="W1087" s="6" t="str">
        <f t="shared" si="6"/>
        <v/>
      </c>
    </row>
    <row r="1088">
      <c r="A1088" s="18"/>
      <c r="B1088" s="18"/>
      <c r="C1088" s="18"/>
      <c r="D1088" s="18"/>
      <c r="E1088" s="18"/>
      <c r="F1088" s="18"/>
      <c r="G1088" s="22"/>
      <c r="H1088" s="18"/>
      <c r="I1088" s="18"/>
      <c r="J1088" s="18"/>
      <c r="K1088" s="18"/>
      <c r="L1088" s="18"/>
      <c r="M1088" s="22"/>
      <c r="N1088" s="18"/>
      <c r="O1088" s="23"/>
      <c r="P1088" s="18"/>
      <c r="Q1088" s="18"/>
      <c r="R1088" s="18"/>
      <c r="S1088" s="22"/>
      <c r="T1088" s="6" t="str">
        <f t="array" ref="T1088">IF(
  B1088="",
  ,
  DATEDIF(
    B1088 + IF(INDEX(Input!$K$7:$K1503,ROW()-1),0,1),
    C1088 + IF(INDEX(Input!$L$7:$L1503,ROW()-1),1,0),
    "Y"
  )
)</f>
        <v/>
      </c>
      <c r="U1088" s="6" t="str">
        <f t="array" ref="U1088">IF(
  B1088="",
  ,
  (C1088 + IF(INDEX(Input!$L$7:$L1503,ROW()-1),1,0))
  - EDATE(
      B1088 + IF(INDEX(Input!$K$7:$K1503,ROW()-1),0,1),
      12*S1088
    )
)</f>
        <v/>
      </c>
      <c r="V1088" s="6" t="str">
        <f t="shared" si="5"/>
        <v/>
      </c>
      <c r="W1088" s="6" t="str">
        <f t="shared" si="6"/>
        <v/>
      </c>
    </row>
    <row r="1089">
      <c r="A1089" s="18"/>
      <c r="B1089" s="18"/>
      <c r="C1089" s="18"/>
      <c r="D1089" s="18"/>
      <c r="E1089" s="18"/>
      <c r="F1089" s="18"/>
      <c r="G1089" s="22"/>
      <c r="H1089" s="18"/>
      <c r="I1089" s="18"/>
      <c r="J1089" s="18"/>
      <c r="K1089" s="18"/>
      <c r="L1089" s="18"/>
      <c r="M1089" s="22"/>
      <c r="N1089" s="18"/>
      <c r="O1089" s="23"/>
      <c r="P1089" s="18"/>
      <c r="Q1089" s="18"/>
      <c r="R1089" s="18"/>
      <c r="S1089" s="22"/>
      <c r="T1089" s="6" t="str">
        <f t="array" ref="T1089">IF(
  B1089="",
  ,
  DATEDIF(
    B1089 + IF(INDEX(Input!$K$7:$K1503,ROW()-1),0,1),
    C1089 + IF(INDEX(Input!$L$7:$L1503,ROW()-1),1,0),
    "Y"
  )
)</f>
        <v/>
      </c>
      <c r="U1089" s="6" t="str">
        <f t="array" ref="U1089">IF(
  B1089="",
  ,
  (C1089 + IF(INDEX(Input!$L$7:$L1503,ROW()-1),1,0))
  - EDATE(
      B1089 + IF(INDEX(Input!$K$7:$K1503,ROW()-1),0,1),
      12*S1089
    )
)</f>
        <v/>
      </c>
      <c r="V1089" s="6" t="str">
        <f t="shared" si="5"/>
        <v/>
      </c>
      <c r="W1089" s="6" t="str">
        <f t="shared" si="6"/>
        <v/>
      </c>
    </row>
    <row r="1090">
      <c r="A1090" s="18"/>
      <c r="B1090" s="18"/>
      <c r="C1090" s="18"/>
      <c r="D1090" s="18"/>
      <c r="E1090" s="18"/>
      <c r="F1090" s="18"/>
      <c r="G1090" s="22"/>
      <c r="H1090" s="18"/>
      <c r="I1090" s="18"/>
      <c r="J1090" s="18"/>
      <c r="K1090" s="18"/>
      <c r="L1090" s="18"/>
      <c r="M1090" s="22"/>
      <c r="N1090" s="18"/>
      <c r="O1090" s="23"/>
      <c r="P1090" s="18"/>
      <c r="Q1090" s="18"/>
      <c r="R1090" s="18"/>
      <c r="S1090" s="22"/>
      <c r="T1090" s="6" t="str">
        <f t="array" ref="T1090">IF(
  B1090="",
  ,
  DATEDIF(
    B1090 + IF(INDEX(Input!$K$7:$K1503,ROW()-1),0,1),
    C1090 + IF(INDEX(Input!$L$7:$L1503,ROW()-1),1,0),
    "Y"
  )
)</f>
        <v/>
      </c>
      <c r="U1090" s="6" t="str">
        <f t="array" ref="U1090">IF(
  B1090="",
  ,
  (C1090 + IF(INDEX(Input!$L$7:$L1503,ROW()-1),1,0))
  - EDATE(
      B1090 + IF(INDEX(Input!$K$7:$K1503,ROW()-1),0,1),
      12*S1090
    )
)</f>
        <v/>
      </c>
      <c r="V1090" s="6" t="str">
        <f t="shared" si="5"/>
        <v/>
      </c>
      <c r="W1090" s="6" t="str">
        <f t="shared" si="6"/>
        <v/>
      </c>
    </row>
    <row r="1091">
      <c r="A1091" s="18"/>
      <c r="B1091" s="18"/>
      <c r="C1091" s="18"/>
      <c r="D1091" s="18"/>
      <c r="E1091" s="18"/>
      <c r="F1091" s="18"/>
      <c r="G1091" s="22"/>
      <c r="H1091" s="18"/>
      <c r="I1091" s="18"/>
      <c r="J1091" s="18"/>
      <c r="K1091" s="18"/>
      <c r="L1091" s="18"/>
      <c r="M1091" s="22"/>
      <c r="N1091" s="18"/>
      <c r="O1091" s="23"/>
      <c r="P1091" s="18"/>
      <c r="Q1091" s="18"/>
      <c r="R1091" s="18"/>
      <c r="S1091" s="22"/>
      <c r="T1091" s="6" t="str">
        <f t="array" ref="T1091">IF(
  B1091="",
  ,
  DATEDIF(
    B1091 + IF(INDEX(Input!$K$7:$K1503,ROW()-1),0,1),
    C1091 + IF(INDEX(Input!$L$7:$L1503,ROW()-1),1,0),
    "Y"
  )
)</f>
        <v/>
      </c>
      <c r="U1091" s="6" t="str">
        <f t="array" ref="U1091">IF(
  B1091="",
  ,
  (C1091 + IF(INDEX(Input!$L$7:$L1503,ROW()-1),1,0))
  - EDATE(
      B1091 + IF(INDEX(Input!$K$7:$K1503,ROW()-1),0,1),
      12*S1091
    )
)</f>
        <v/>
      </c>
      <c r="V1091" s="6" t="str">
        <f t="shared" si="5"/>
        <v/>
      </c>
      <c r="W1091" s="6" t="str">
        <f t="shared" si="6"/>
        <v/>
      </c>
    </row>
    <row r="1092">
      <c r="A1092" s="18"/>
      <c r="B1092" s="18"/>
      <c r="C1092" s="18"/>
      <c r="D1092" s="18"/>
      <c r="E1092" s="18"/>
      <c r="F1092" s="18"/>
      <c r="G1092" s="22"/>
      <c r="H1092" s="18"/>
      <c r="I1092" s="18"/>
      <c r="J1092" s="18"/>
      <c r="K1092" s="18"/>
      <c r="L1092" s="18"/>
      <c r="M1092" s="22"/>
      <c r="N1092" s="18"/>
      <c r="O1092" s="23"/>
      <c r="P1092" s="18"/>
      <c r="Q1092" s="18"/>
      <c r="R1092" s="18"/>
      <c r="S1092" s="22"/>
      <c r="T1092" s="6" t="str">
        <f t="array" ref="T1092">IF(
  B1092="",
  ,
  DATEDIF(
    B1092 + IF(INDEX(Input!$K$7:$K1503,ROW()-1),0,1),
    C1092 + IF(INDEX(Input!$L$7:$L1503,ROW()-1),1,0),
    "Y"
  )
)</f>
        <v/>
      </c>
      <c r="U1092" s="6" t="str">
        <f t="array" ref="U1092">IF(
  B1092="",
  ,
  (C1092 + IF(INDEX(Input!$L$7:$L1503,ROW()-1),1,0))
  - EDATE(
      B1092 + IF(INDEX(Input!$K$7:$K1503,ROW()-1),0,1),
      12*S1092
    )
)</f>
        <v/>
      </c>
      <c r="V1092" s="6" t="str">
        <f t="shared" si="5"/>
        <v/>
      </c>
      <c r="W1092" s="6" t="str">
        <f t="shared" si="6"/>
        <v/>
      </c>
    </row>
    <row r="1093">
      <c r="A1093" s="18"/>
      <c r="B1093" s="18"/>
      <c r="C1093" s="18"/>
      <c r="D1093" s="18"/>
      <c r="E1093" s="18"/>
      <c r="F1093" s="18"/>
      <c r="G1093" s="22"/>
      <c r="H1093" s="18"/>
      <c r="I1093" s="18"/>
      <c r="J1093" s="18"/>
      <c r="K1093" s="18"/>
      <c r="L1093" s="18"/>
      <c r="M1093" s="22"/>
      <c r="N1093" s="18"/>
      <c r="O1093" s="23"/>
      <c r="P1093" s="18"/>
      <c r="Q1093" s="18"/>
      <c r="R1093" s="18"/>
      <c r="S1093" s="22"/>
      <c r="T1093" s="6" t="str">
        <f t="array" ref="T1093">IF(
  B1093="",
  ,
  DATEDIF(
    B1093 + IF(INDEX(Input!$K$7:$K1503,ROW()-1),0,1),
    C1093 + IF(INDEX(Input!$L$7:$L1503,ROW()-1),1,0),
    "Y"
  )
)</f>
        <v/>
      </c>
      <c r="U1093" s="6" t="str">
        <f t="array" ref="U1093">IF(
  B1093="",
  ,
  (C1093 + IF(INDEX(Input!$L$7:$L1503,ROW()-1),1,0))
  - EDATE(
      B1093 + IF(INDEX(Input!$K$7:$K1503,ROW()-1),0,1),
      12*S1093
    )
)</f>
        <v/>
      </c>
      <c r="V1093" s="6" t="str">
        <f t="shared" si="5"/>
        <v/>
      </c>
      <c r="W1093" s="6" t="str">
        <f t="shared" si="6"/>
        <v/>
      </c>
    </row>
    <row r="1094">
      <c r="A1094" s="18"/>
      <c r="B1094" s="18"/>
      <c r="C1094" s="18"/>
      <c r="D1094" s="18"/>
      <c r="E1094" s="18"/>
      <c r="F1094" s="18"/>
      <c r="G1094" s="22"/>
      <c r="H1094" s="18"/>
      <c r="I1094" s="18"/>
      <c r="J1094" s="18"/>
      <c r="K1094" s="18"/>
      <c r="L1094" s="18"/>
      <c r="M1094" s="22"/>
      <c r="N1094" s="18"/>
      <c r="O1094" s="23"/>
      <c r="P1094" s="18"/>
      <c r="Q1094" s="18"/>
      <c r="R1094" s="18"/>
      <c r="S1094" s="22"/>
      <c r="T1094" s="6" t="str">
        <f t="array" ref="T1094">IF(
  B1094="",
  ,
  DATEDIF(
    B1094 + IF(INDEX(Input!$K$7:$K1503,ROW()-1),0,1),
    C1094 + IF(INDEX(Input!$L$7:$L1503,ROW()-1),1,0),
    "Y"
  )
)</f>
        <v/>
      </c>
      <c r="U1094" s="6" t="str">
        <f t="array" ref="U1094">IF(
  B1094="",
  ,
  (C1094 + IF(INDEX(Input!$L$7:$L1503,ROW()-1),1,0))
  - EDATE(
      B1094 + IF(INDEX(Input!$K$7:$K1503,ROW()-1),0,1),
      12*S1094
    )
)</f>
        <v/>
      </c>
      <c r="V1094" s="6" t="str">
        <f t="shared" si="5"/>
        <v/>
      </c>
      <c r="W1094" s="6" t="str">
        <f t="shared" si="6"/>
        <v/>
      </c>
    </row>
    <row r="1095">
      <c r="A1095" s="18"/>
      <c r="B1095" s="18"/>
      <c r="C1095" s="18"/>
      <c r="D1095" s="18"/>
      <c r="E1095" s="18"/>
      <c r="F1095" s="18"/>
      <c r="G1095" s="22"/>
      <c r="H1095" s="18"/>
      <c r="I1095" s="18"/>
      <c r="J1095" s="18"/>
      <c r="K1095" s="18"/>
      <c r="L1095" s="18"/>
      <c r="M1095" s="22"/>
      <c r="N1095" s="18"/>
      <c r="O1095" s="23"/>
      <c r="P1095" s="18"/>
      <c r="Q1095" s="18"/>
      <c r="R1095" s="18"/>
      <c r="S1095" s="22"/>
      <c r="T1095" s="6" t="str">
        <f t="array" ref="T1095">IF(
  B1095="",
  ,
  DATEDIF(
    B1095 + IF(INDEX(Input!$K$7:$K1503,ROW()-1),0,1),
    C1095 + IF(INDEX(Input!$L$7:$L1503,ROW()-1),1,0),
    "Y"
  )
)</f>
        <v/>
      </c>
      <c r="U1095" s="6" t="str">
        <f t="array" ref="U1095">IF(
  B1095="",
  ,
  (C1095 + IF(INDEX(Input!$L$7:$L1503,ROW()-1),1,0))
  - EDATE(
      B1095 + IF(INDEX(Input!$K$7:$K1503,ROW()-1),0,1),
      12*S1095
    )
)</f>
        <v/>
      </c>
      <c r="V1095" s="6" t="str">
        <f t="shared" si="5"/>
        <v/>
      </c>
      <c r="W1095" s="6" t="str">
        <f t="shared" si="6"/>
        <v/>
      </c>
    </row>
    <row r="1096">
      <c r="A1096" s="18"/>
      <c r="B1096" s="18"/>
      <c r="C1096" s="18"/>
      <c r="D1096" s="18"/>
      <c r="E1096" s="18"/>
      <c r="F1096" s="18"/>
      <c r="G1096" s="22"/>
      <c r="H1096" s="18"/>
      <c r="I1096" s="18"/>
      <c r="J1096" s="18"/>
      <c r="K1096" s="18"/>
      <c r="L1096" s="18"/>
      <c r="M1096" s="22"/>
      <c r="N1096" s="18"/>
      <c r="O1096" s="23"/>
      <c r="P1096" s="18"/>
      <c r="Q1096" s="18"/>
      <c r="R1096" s="18"/>
      <c r="S1096" s="22"/>
      <c r="T1096" s="6" t="str">
        <f t="array" ref="T1096">IF(
  B1096="",
  ,
  DATEDIF(
    B1096 + IF(INDEX(Input!$K$7:$K1503,ROW()-1),0,1),
    C1096 + IF(INDEX(Input!$L$7:$L1503,ROW()-1),1,0),
    "Y"
  )
)</f>
        <v/>
      </c>
      <c r="U1096" s="6" t="str">
        <f t="array" ref="U1096">IF(
  B1096="",
  ,
  (C1096 + IF(INDEX(Input!$L$7:$L1503,ROW()-1),1,0))
  - EDATE(
      B1096 + IF(INDEX(Input!$K$7:$K1503,ROW()-1),0,1),
      12*S1096
    )
)</f>
        <v/>
      </c>
      <c r="V1096" s="6" t="str">
        <f t="shared" si="5"/>
        <v/>
      </c>
      <c r="W1096" s="6" t="str">
        <f t="shared" si="6"/>
        <v/>
      </c>
    </row>
    <row r="1097">
      <c r="A1097" s="18"/>
      <c r="B1097" s="18"/>
      <c r="C1097" s="18"/>
      <c r="D1097" s="18"/>
      <c r="E1097" s="18"/>
      <c r="F1097" s="18"/>
      <c r="G1097" s="22"/>
      <c r="H1097" s="18"/>
      <c r="I1097" s="18"/>
      <c r="J1097" s="18"/>
      <c r="K1097" s="18"/>
      <c r="L1097" s="18"/>
      <c r="M1097" s="22"/>
      <c r="N1097" s="18"/>
      <c r="O1097" s="23"/>
      <c r="P1097" s="18"/>
      <c r="Q1097" s="18"/>
      <c r="R1097" s="18"/>
      <c r="S1097" s="22"/>
      <c r="T1097" s="6" t="str">
        <f t="array" ref="T1097">IF(
  B1097="",
  ,
  DATEDIF(
    B1097 + IF(INDEX(Input!$K$7:$K1503,ROW()-1),0,1),
    C1097 + IF(INDEX(Input!$L$7:$L1503,ROW()-1),1,0),
    "Y"
  )
)</f>
        <v/>
      </c>
      <c r="U1097" s="6" t="str">
        <f t="array" ref="U1097">IF(
  B1097="",
  ,
  (C1097 + IF(INDEX(Input!$L$7:$L1503,ROW()-1),1,0))
  - EDATE(
      B1097 + IF(INDEX(Input!$K$7:$K1503,ROW()-1),0,1),
      12*S1097
    )
)</f>
        <v/>
      </c>
      <c r="V1097" s="6" t="str">
        <f t="shared" si="5"/>
        <v/>
      </c>
      <c r="W1097" s="6" t="str">
        <f t="shared" si="6"/>
        <v/>
      </c>
    </row>
    <row r="1098">
      <c r="A1098" s="18"/>
      <c r="B1098" s="18"/>
      <c r="C1098" s="18"/>
      <c r="D1098" s="18"/>
      <c r="E1098" s="18"/>
      <c r="F1098" s="18"/>
      <c r="G1098" s="22"/>
      <c r="H1098" s="18"/>
      <c r="I1098" s="18"/>
      <c r="J1098" s="18"/>
      <c r="K1098" s="18"/>
      <c r="L1098" s="18"/>
      <c r="M1098" s="22"/>
      <c r="N1098" s="18"/>
      <c r="O1098" s="23"/>
      <c r="P1098" s="18"/>
      <c r="Q1098" s="18"/>
      <c r="R1098" s="18"/>
      <c r="S1098" s="22"/>
      <c r="T1098" s="6" t="str">
        <f t="array" ref="T1098">IF(
  B1098="",
  ,
  DATEDIF(
    B1098 + IF(INDEX(Input!$K$7:$K1503,ROW()-1),0,1),
    C1098 + IF(INDEX(Input!$L$7:$L1503,ROW()-1),1,0),
    "Y"
  )
)</f>
        <v/>
      </c>
      <c r="U1098" s="6" t="str">
        <f t="array" ref="U1098">IF(
  B1098="",
  ,
  (C1098 + IF(INDEX(Input!$L$7:$L1503,ROW()-1),1,0))
  - EDATE(
      B1098 + IF(INDEX(Input!$K$7:$K1503,ROW()-1),0,1),
      12*S1098
    )
)</f>
        <v/>
      </c>
      <c r="V1098" s="6" t="str">
        <f t="shared" si="5"/>
        <v/>
      </c>
      <c r="W1098" s="6" t="str">
        <f t="shared" si="6"/>
        <v/>
      </c>
    </row>
    <row r="1099">
      <c r="A1099" s="18"/>
      <c r="B1099" s="18"/>
      <c r="C1099" s="18"/>
      <c r="D1099" s="18"/>
      <c r="E1099" s="18"/>
      <c r="F1099" s="18"/>
      <c r="G1099" s="22"/>
      <c r="H1099" s="18"/>
      <c r="I1099" s="18"/>
      <c r="J1099" s="18"/>
      <c r="K1099" s="18"/>
      <c r="L1099" s="18"/>
      <c r="M1099" s="22"/>
      <c r="N1099" s="18"/>
      <c r="O1099" s="23"/>
      <c r="P1099" s="18"/>
      <c r="Q1099" s="18"/>
      <c r="R1099" s="18"/>
      <c r="S1099" s="22"/>
      <c r="T1099" s="6" t="str">
        <f t="array" ref="T1099">IF(
  B1099="",
  ,
  DATEDIF(
    B1099 + IF(INDEX(Input!$K$7:$K1503,ROW()-1),0,1),
    C1099 + IF(INDEX(Input!$L$7:$L1503,ROW()-1),1,0),
    "Y"
  )
)</f>
        <v/>
      </c>
      <c r="U1099" s="6" t="str">
        <f t="array" ref="U1099">IF(
  B1099="",
  ,
  (C1099 + IF(INDEX(Input!$L$7:$L1503,ROW()-1),1,0))
  - EDATE(
      B1099 + IF(INDEX(Input!$K$7:$K1503,ROW()-1),0,1),
      12*S1099
    )
)</f>
        <v/>
      </c>
      <c r="V1099" s="6" t="str">
        <f t="shared" si="5"/>
        <v/>
      </c>
      <c r="W1099" s="6" t="str">
        <f t="shared" si="6"/>
        <v/>
      </c>
    </row>
    <row r="1100">
      <c r="A1100" s="18"/>
      <c r="B1100" s="18"/>
      <c r="C1100" s="18"/>
      <c r="D1100" s="18"/>
      <c r="E1100" s="18"/>
      <c r="F1100" s="18"/>
      <c r="G1100" s="22"/>
      <c r="H1100" s="18"/>
      <c r="I1100" s="18"/>
      <c r="J1100" s="18"/>
      <c r="K1100" s="18"/>
      <c r="L1100" s="18"/>
      <c r="M1100" s="22"/>
      <c r="N1100" s="18"/>
      <c r="O1100" s="23"/>
      <c r="P1100" s="18"/>
      <c r="Q1100" s="18"/>
      <c r="R1100" s="18"/>
      <c r="S1100" s="22"/>
      <c r="T1100" s="6" t="str">
        <f t="array" ref="T1100">IF(
  B1100="",
  ,
  DATEDIF(
    B1100 + IF(INDEX(Input!$K$7:$K1503,ROW()-1),0,1),
    C1100 + IF(INDEX(Input!$L$7:$L1503,ROW()-1),1,0),
    "Y"
  )
)</f>
        <v/>
      </c>
      <c r="U1100" s="6" t="str">
        <f t="array" ref="U1100">IF(
  B1100="",
  ,
  (C1100 + IF(INDEX(Input!$L$7:$L1503,ROW()-1),1,0))
  - EDATE(
      B1100 + IF(INDEX(Input!$K$7:$K1503,ROW()-1),0,1),
      12*S1100
    )
)</f>
        <v/>
      </c>
      <c r="V1100" s="6" t="str">
        <f t="shared" si="5"/>
        <v/>
      </c>
      <c r="W1100" s="6" t="str">
        <f t="shared" si="6"/>
        <v/>
      </c>
    </row>
    <row r="1101">
      <c r="A1101" s="18"/>
      <c r="B1101" s="18"/>
      <c r="C1101" s="18"/>
      <c r="D1101" s="18"/>
      <c r="E1101" s="18"/>
      <c r="F1101" s="18"/>
      <c r="G1101" s="22"/>
      <c r="H1101" s="18"/>
      <c r="I1101" s="18"/>
      <c r="J1101" s="18"/>
      <c r="K1101" s="18"/>
      <c r="L1101" s="18"/>
      <c r="M1101" s="22"/>
      <c r="N1101" s="18"/>
      <c r="O1101" s="23"/>
      <c r="P1101" s="18"/>
      <c r="Q1101" s="18"/>
      <c r="R1101" s="18"/>
      <c r="S1101" s="22"/>
      <c r="T1101" s="6" t="str">
        <f t="array" ref="T1101">IF(
  B1101="",
  ,
  DATEDIF(
    B1101 + IF(INDEX(Input!$K$7:$K1503,ROW()-1),0,1),
    C1101 + IF(INDEX(Input!$L$7:$L1503,ROW()-1),1,0),
    "Y"
  )
)</f>
        <v/>
      </c>
      <c r="U1101" s="6" t="str">
        <f t="array" ref="U1101">IF(
  B1101="",
  ,
  (C1101 + IF(INDEX(Input!$L$7:$L1503,ROW()-1),1,0))
  - EDATE(
      B1101 + IF(INDEX(Input!$K$7:$K1503,ROW()-1),0,1),
      12*S1101
    )
)</f>
        <v/>
      </c>
      <c r="V1101" s="6" t="str">
        <f t="shared" si="5"/>
        <v/>
      </c>
      <c r="W1101" s="6" t="str">
        <f t="shared" si="6"/>
        <v/>
      </c>
    </row>
    <row r="1102">
      <c r="A1102" s="18"/>
      <c r="B1102" s="18"/>
      <c r="C1102" s="18"/>
      <c r="D1102" s="18"/>
      <c r="E1102" s="18"/>
      <c r="F1102" s="18"/>
      <c r="G1102" s="22"/>
      <c r="H1102" s="18"/>
      <c r="I1102" s="18"/>
      <c r="J1102" s="18"/>
      <c r="K1102" s="18"/>
      <c r="L1102" s="18"/>
      <c r="M1102" s="22"/>
      <c r="N1102" s="18"/>
      <c r="O1102" s="23"/>
      <c r="P1102" s="18"/>
      <c r="Q1102" s="18"/>
      <c r="R1102" s="18"/>
      <c r="S1102" s="22"/>
      <c r="T1102" s="6" t="str">
        <f t="array" ref="T1102">IF(
  B1102="",
  ,
  DATEDIF(
    B1102 + IF(INDEX(Input!$K$7:$K1503,ROW()-1),0,1),
    C1102 + IF(INDEX(Input!$L$7:$L1503,ROW()-1),1,0),
    "Y"
  )
)</f>
        <v/>
      </c>
      <c r="U1102" s="6" t="str">
        <f t="array" ref="U1102">IF(
  B1102="",
  ,
  (C1102 + IF(INDEX(Input!$L$7:$L1503,ROW()-1),1,0))
  - EDATE(
      B1102 + IF(INDEX(Input!$K$7:$K1503,ROW()-1),0,1),
      12*S1102
    )
)</f>
        <v/>
      </c>
      <c r="V1102" s="6" t="str">
        <f t="shared" si="5"/>
        <v/>
      </c>
      <c r="W1102" s="6" t="str">
        <f t="shared" si="6"/>
        <v/>
      </c>
    </row>
    <row r="1103">
      <c r="A1103" s="18"/>
      <c r="B1103" s="18"/>
      <c r="C1103" s="18"/>
      <c r="D1103" s="18"/>
      <c r="E1103" s="18"/>
      <c r="F1103" s="18"/>
      <c r="G1103" s="22"/>
      <c r="H1103" s="18"/>
      <c r="I1103" s="18"/>
      <c r="J1103" s="18"/>
      <c r="K1103" s="18"/>
      <c r="L1103" s="18"/>
      <c r="M1103" s="22"/>
      <c r="N1103" s="18"/>
      <c r="O1103" s="23"/>
      <c r="P1103" s="18"/>
      <c r="Q1103" s="18"/>
      <c r="R1103" s="18"/>
      <c r="S1103" s="22"/>
      <c r="T1103" s="6" t="str">
        <f t="array" ref="T1103">IF(
  B1103="",
  ,
  DATEDIF(
    B1103 + IF(INDEX(Input!$K$7:$K1503,ROW()-1),0,1),
    C1103 + IF(INDEX(Input!$L$7:$L1503,ROW()-1),1,0),
    "Y"
  )
)</f>
        <v/>
      </c>
      <c r="U1103" s="6" t="str">
        <f t="array" ref="U1103">IF(
  B1103="",
  ,
  (C1103 + IF(INDEX(Input!$L$7:$L1503,ROW()-1),1,0))
  - EDATE(
      B1103 + IF(INDEX(Input!$K$7:$K1503,ROW()-1),0,1),
      12*S1103
    )
)</f>
        <v/>
      </c>
      <c r="V1103" s="6" t="str">
        <f t="shared" si="5"/>
        <v/>
      </c>
      <c r="W1103" s="6" t="str">
        <f t="shared" si="6"/>
        <v/>
      </c>
    </row>
    <row r="1104">
      <c r="A1104" s="18"/>
      <c r="B1104" s="18"/>
      <c r="C1104" s="18"/>
      <c r="D1104" s="18"/>
      <c r="E1104" s="18"/>
      <c r="F1104" s="18"/>
      <c r="G1104" s="22"/>
      <c r="H1104" s="18"/>
      <c r="I1104" s="18"/>
      <c r="J1104" s="18"/>
      <c r="K1104" s="18"/>
      <c r="L1104" s="18"/>
      <c r="M1104" s="22"/>
      <c r="N1104" s="18"/>
      <c r="O1104" s="23"/>
      <c r="P1104" s="18"/>
      <c r="Q1104" s="18"/>
      <c r="R1104" s="18"/>
      <c r="S1104" s="22"/>
      <c r="T1104" s="6" t="str">
        <f t="array" ref="T1104">IF(
  B1104="",
  ,
  DATEDIF(
    B1104 + IF(INDEX(Input!$K$7:$K1503,ROW()-1),0,1),
    C1104 + IF(INDEX(Input!$L$7:$L1503,ROW()-1),1,0),
    "Y"
  )
)</f>
        <v/>
      </c>
      <c r="U1104" s="6" t="str">
        <f t="array" ref="U1104">IF(
  B1104="",
  ,
  (C1104 + IF(INDEX(Input!$L$7:$L1503,ROW()-1),1,0))
  - EDATE(
      B1104 + IF(INDEX(Input!$K$7:$K1503,ROW()-1),0,1),
      12*S1104
    )
)</f>
        <v/>
      </c>
      <c r="V1104" s="6" t="str">
        <f t="shared" si="5"/>
        <v/>
      </c>
      <c r="W1104" s="6" t="str">
        <f t="shared" si="6"/>
        <v/>
      </c>
    </row>
    <row r="1105">
      <c r="A1105" s="18"/>
      <c r="B1105" s="18"/>
      <c r="C1105" s="18"/>
      <c r="D1105" s="18"/>
      <c r="E1105" s="18"/>
      <c r="F1105" s="18"/>
      <c r="G1105" s="22"/>
      <c r="H1105" s="18"/>
      <c r="I1105" s="18"/>
      <c r="J1105" s="18"/>
      <c r="K1105" s="18"/>
      <c r="L1105" s="18"/>
      <c r="M1105" s="22"/>
      <c r="N1105" s="18"/>
      <c r="O1105" s="23"/>
      <c r="P1105" s="18"/>
      <c r="Q1105" s="18"/>
      <c r="R1105" s="18"/>
      <c r="S1105" s="22"/>
      <c r="T1105" s="6" t="str">
        <f t="array" ref="T1105">IF(
  B1105="",
  ,
  DATEDIF(
    B1105 + IF(INDEX(Input!$K$7:$K1503,ROW()-1),0,1),
    C1105 + IF(INDEX(Input!$L$7:$L1503,ROW()-1),1,0),
    "Y"
  )
)</f>
        <v/>
      </c>
      <c r="U1105" s="6" t="str">
        <f t="array" ref="U1105">IF(
  B1105="",
  ,
  (C1105 + IF(INDEX(Input!$L$7:$L1503,ROW()-1),1,0))
  - EDATE(
      B1105 + IF(INDEX(Input!$K$7:$K1503,ROW()-1),0,1),
      12*S1105
    )
)</f>
        <v/>
      </c>
      <c r="V1105" s="6" t="str">
        <f t="shared" si="5"/>
        <v/>
      </c>
      <c r="W1105" s="6" t="str">
        <f t="shared" si="6"/>
        <v/>
      </c>
    </row>
    <row r="1106">
      <c r="A1106" s="18"/>
      <c r="B1106" s="18"/>
      <c r="C1106" s="18"/>
      <c r="D1106" s="18"/>
      <c r="E1106" s="18"/>
      <c r="F1106" s="18"/>
      <c r="G1106" s="22"/>
      <c r="H1106" s="18"/>
      <c r="I1106" s="18"/>
      <c r="J1106" s="18"/>
      <c r="K1106" s="18"/>
      <c r="L1106" s="18"/>
      <c r="M1106" s="22"/>
      <c r="N1106" s="18"/>
      <c r="O1106" s="23"/>
      <c r="P1106" s="18"/>
      <c r="Q1106" s="18"/>
      <c r="R1106" s="18"/>
      <c r="S1106" s="22"/>
      <c r="T1106" s="6" t="str">
        <f t="array" ref="T1106">IF(
  B1106="",
  ,
  DATEDIF(
    B1106 + IF(INDEX(Input!$K$7:$K1503,ROW()-1),0,1),
    C1106 + IF(INDEX(Input!$L$7:$L1503,ROW()-1),1,0),
    "Y"
  )
)</f>
        <v/>
      </c>
      <c r="U1106" s="6" t="str">
        <f t="array" ref="U1106">IF(
  B1106="",
  ,
  (C1106 + IF(INDEX(Input!$L$7:$L1503,ROW()-1),1,0))
  - EDATE(
      B1106 + IF(INDEX(Input!$K$7:$K1503,ROW()-1),0,1),
      12*S1106
    )
)</f>
        <v/>
      </c>
      <c r="V1106" s="6" t="str">
        <f t="shared" si="5"/>
        <v/>
      </c>
      <c r="W1106" s="6" t="str">
        <f t="shared" si="6"/>
        <v/>
      </c>
    </row>
    <row r="1107">
      <c r="A1107" s="18"/>
      <c r="B1107" s="18"/>
      <c r="C1107" s="18"/>
      <c r="D1107" s="18"/>
      <c r="E1107" s="18"/>
      <c r="F1107" s="18"/>
      <c r="G1107" s="22"/>
      <c r="H1107" s="18"/>
      <c r="I1107" s="18"/>
      <c r="J1107" s="18"/>
      <c r="K1107" s="18"/>
      <c r="L1107" s="18"/>
      <c r="M1107" s="22"/>
      <c r="N1107" s="18"/>
      <c r="O1107" s="23"/>
      <c r="P1107" s="18"/>
      <c r="Q1107" s="18"/>
      <c r="R1107" s="18"/>
      <c r="S1107" s="22"/>
      <c r="T1107" s="6" t="str">
        <f t="array" ref="T1107">IF(
  B1107="",
  ,
  DATEDIF(
    B1107 + IF(INDEX(Input!$K$7:$K1503,ROW()-1),0,1),
    C1107 + IF(INDEX(Input!$L$7:$L1503,ROW()-1),1,0),
    "Y"
  )
)</f>
        <v/>
      </c>
      <c r="U1107" s="6" t="str">
        <f t="array" ref="U1107">IF(
  B1107="",
  ,
  (C1107 + IF(INDEX(Input!$L$7:$L1503,ROW()-1),1,0))
  - EDATE(
      B1107 + IF(INDEX(Input!$K$7:$K1503,ROW()-1),0,1),
      12*S1107
    )
)</f>
        <v/>
      </c>
      <c r="V1107" s="6" t="str">
        <f t="shared" si="5"/>
        <v/>
      </c>
      <c r="W1107" s="6" t="str">
        <f t="shared" si="6"/>
        <v/>
      </c>
    </row>
    <row r="1108">
      <c r="A1108" s="18"/>
      <c r="B1108" s="18"/>
      <c r="C1108" s="18"/>
      <c r="D1108" s="18"/>
      <c r="E1108" s="18"/>
      <c r="F1108" s="18"/>
      <c r="G1108" s="22"/>
      <c r="H1108" s="18"/>
      <c r="I1108" s="18"/>
      <c r="J1108" s="18"/>
      <c r="K1108" s="18"/>
      <c r="L1108" s="18"/>
      <c r="M1108" s="22"/>
      <c r="N1108" s="18"/>
      <c r="O1108" s="23"/>
      <c r="P1108" s="18"/>
      <c r="Q1108" s="18"/>
      <c r="R1108" s="18"/>
      <c r="S1108" s="22"/>
      <c r="T1108" s="6" t="str">
        <f t="array" ref="T1108">IF(
  B1108="",
  ,
  DATEDIF(
    B1108 + IF(INDEX(Input!$K$7:$K1503,ROW()-1),0,1),
    C1108 + IF(INDEX(Input!$L$7:$L1503,ROW()-1),1,0),
    "Y"
  )
)</f>
        <v/>
      </c>
      <c r="U1108" s="6" t="str">
        <f t="array" ref="U1108">IF(
  B1108="",
  ,
  (C1108 + IF(INDEX(Input!$L$7:$L1503,ROW()-1),1,0))
  - EDATE(
      B1108 + IF(INDEX(Input!$K$7:$K1503,ROW()-1),0,1),
      12*S1108
    )
)</f>
        <v/>
      </c>
      <c r="V1108" s="6" t="str">
        <f t="shared" si="5"/>
        <v/>
      </c>
      <c r="W1108" s="6" t="str">
        <f t="shared" si="6"/>
        <v/>
      </c>
    </row>
    <row r="1109">
      <c r="A1109" s="18"/>
      <c r="B1109" s="18"/>
      <c r="C1109" s="18"/>
      <c r="D1109" s="18"/>
      <c r="E1109" s="18"/>
      <c r="F1109" s="18"/>
      <c r="G1109" s="22"/>
      <c r="H1109" s="18"/>
      <c r="I1109" s="18"/>
      <c r="J1109" s="18"/>
      <c r="K1109" s="18"/>
      <c r="L1109" s="18"/>
      <c r="M1109" s="22"/>
      <c r="N1109" s="18"/>
      <c r="O1109" s="23"/>
      <c r="P1109" s="18"/>
      <c r="Q1109" s="18"/>
      <c r="R1109" s="18"/>
      <c r="S1109" s="22"/>
      <c r="T1109" s="6" t="str">
        <f t="array" ref="T1109">IF(
  B1109="",
  ,
  DATEDIF(
    B1109 + IF(INDEX(Input!$K$7:$K1503,ROW()-1),0,1),
    C1109 + IF(INDEX(Input!$L$7:$L1503,ROW()-1),1,0),
    "Y"
  )
)</f>
        <v/>
      </c>
      <c r="U1109" s="6" t="str">
        <f t="array" ref="U1109">IF(
  B1109="",
  ,
  (C1109 + IF(INDEX(Input!$L$7:$L1503,ROW()-1),1,0))
  - EDATE(
      B1109 + IF(INDEX(Input!$K$7:$K1503,ROW()-1),0,1),
      12*S1109
    )
)</f>
        <v/>
      </c>
      <c r="V1109" s="6" t="str">
        <f t="shared" si="5"/>
        <v/>
      </c>
      <c r="W1109" s="6" t="str">
        <f t="shared" si="6"/>
        <v/>
      </c>
    </row>
    <row r="1110">
      <c r="A1110" s="18"/>
      <c r="B1110" s="18"/>
      <c r="C1110" s="18"/>
      <c r="D1110" s="18"/>
      <c r="E1110" s="18"/>
      <c r="F1110" s="18"/>
      <c r="G1110" s="22"/>
      <c r="H1110" s="18"/>
      <c r="I1110" s="18"/>
      <c r="J1110" s="18"/>
      <c r="K1110" s="18"/>
      <c r="L1110" s="18"/>
      <c r="M1110" s="22"/>
      <c r="N1110" s="18"/>
      <c r="O1110" s="23"/>
      <c r="P1110" s="18"/>
      <c r="Q1110" s="18"/>
      <c r="R1110" s="18"/>
      <c r="S1110" s="22"/>
      <c r="T1110" s="6" t="str">
        <f t="array" ref="T1110">IF(
  B1110="",
  ,
  DATEDIF(
    B1110 + IF(INDEX(Input!$K$7:$K1503,ROW()-1),0,1),
    C1110 + IF(INDEX(Input!$L$7:$L1503,ROW()-1),1,0),
    "Y"
  )
)</f>
        <v/>
      </c>
      <c r="U1110" s="6" t="str">
        <f t="array" ref="U1110">IF(
  B1110="",
  ,
  (C1110 + IF(INDEX(Input!$L$7:$L1503,ROW()-1),1,0))
  - EDATE(
      B1110 + IF(INDEX(Input!$K$7:$K1503,ROW()-1),0,1),
      12*S1110
    )
)</f>
        <v/>
      </c>
      <c r="V1110" s="6" t="str">
        <f t="shared" si="5"/>
        <v/>
      </c>
      <c r="W1110" s="6" t="str">
        <f t="shared" si="6"/>
        <v/>
      </c>
    </row>
    <row r="1111">
      <c r="A1111" s="18"/>
      <c r="B1111" s="18"/>
      <c r="C1111" s="18"/>
      <c r="D1111" s="18"/>
      <c r="E1111" s="18"/>
      <c r="F1111" s="18"/>
      <c r="G1111" s="22"/>
      <c r="H1111" s="18"/>
      <c r="I1111" s="18"/>
      <c r="J1111" s="18"/>
      <c r="K1111" s="18"/>
      <c r="L1111" s="18"/>
      <c r="M1111" s="22"/>
      <c r="N1111" s="18"/>
      <c r="O1111" s="23"/>
      <c r="P1111" s="18"/>
      <c r="Q1111" s="18"/>
      <c r="R1111" s="18"/>
      <c r="S1111" s="22"/>
      <c r="T1111" s="6" t="str">
        <f t="array" ref="T1111">IF(
  B1111="",
  ,
  DATEDIF(
    B1111 + IF(INDEX(Input!$K$7:$K1503,ROW()-1),0,1),
    C1111 + IF(INDEX(Input!$L$7:$L1503,ROW()-1),1,0),
    "Y"
  )
)</f>
        <v/>
      </c>
      <c r="U1111" s="6" t="str">
        <f t="array" ref="U1111">IF(
  B1111="",
  ,
  (C1111 + IF(INDEX(Input!$L$7:$L1503,ROW()-1),1,0))
  - EDATE(
      B1111 + IF(INDEX(Input!$K$7:$K1503,ROW()-1),0,1),
      12*S1111
    )
)</f>
        <v/>
      </c>
      <c r="V1111" s="6" t="str">
        <f t="shared" si="5"/>
        <v/>
      </c>
      <c r="W1111" s="6" t="str">
        <f t="shared" si="6"/>
        <v/>
      </c>
    </row>
    <row r="1112">
      <c r="A1112" s="18"/>
      <c r="B1112" s="18"/>
      <c r="C1112" s="18"/>
      <c r="D1112" s="18"/>
      <c r="E1112" s="18"/>
      <c r="F1112" s="18"/>
      <c r="G1112" s="22"/>
      <c r="H1112" s="18"/>
      <c r="I1112" s="18"/>
      <c r="J1112" s="18"/>
      <c r="K1112" s="18"/>
      <c r="L1112" s="18"/>
      <c r="M1112" s="22"/>
      <c r="N1112" s="18"/>
      <c r="O1112" s="23"/>
      <c r="P1112" s="18"/>
      <c r="Q1112" s="18"/>
      <c r="R1112" s="18"/>
      <c r="S1112" s="22"/>
      <c r="T1112" s="6" t="str">
        <f t="array" ref="T1112">IF(
  B1112="",
  ,
  DATEDIF(
    B1112 + IF(INDEX(Input!$K$7:$K1503,ROW()-1),0,1),
    C1112 + IF(INDEX(Input!$L$7:$L1503,ROW()-1),1,0),
    "Y"
  )
)</f>
        <v/>
      </c>
      <c r="U1112" s="6" t="str">
        <f t="array" ref="U1112">IF(
  B1112="",
  ,
  (C1112 + IF(INDEX(Input!$L$7:$L1503,ROW()-1),1,0))
  - EDATE(
      B1112 + IF(INDEX(Input!$K$7:$K1503,ROW()-1),0,1),
      12*S1112
    )
)</f>
        <v/>
      </c>
      <c r="V1112" s="6" t="str">
        <f t="shared" si="5"/>
        <v/>
      </c>
      <c r="W1112" s="6" t="str">
        <f t="shared" si="6"/>
        <v/>
      </c>
    </row>
    <row r="1113">
      <c r="A1113" s="18"/>
      <c r="B1113" s="18"/>
      <c r="C1113" s="18"/>
      <c r="D1113" s="18"/>
      <c r="E1113" s="18"/>
      <c r="F1113" s="18"/>
      <c r="G1113" s="22"/>
      <c r="H1113" s="18"/>
      <c r="I1113" s="18"/>
      <c r="J1113" s="18"/>
      <c r="K1113" s="18"/>
      <c r="L1113" s="18"/>
      <c r="M1113" s="22"/>
      <c r="N1113" s="18"/>
      <c r="O1113" s="23"/>
      <c r="P1113" s="18"/>
      <c r="Q1113" s="18"/>
      <c r="R1113" s="18"/>
      <c r="S1113" s="22"/>
      <c r="T1113" s="6" t="str">
        <f t="array" ref="T1113">IF(
  B1113="",
  ,
  DATEDIF(
    B1113 + IF(INDEX(Input!$K$7:$K1503,ROW()-1),0,1),
    C1113 + IF(INDEX(Input!$L$7:$L1503,ROW()-1),1,0),
    "Y"
  )
)</f>
        <v/>
      </c>
      <c r="U1113" s="6" t="str">
        <f t="array" ref="U1113">IF(
  B1113="",
  ,
  (C1113 + IF(INDEX(Input!$L$7:$L1503,ROW()-1),1,0))
  - EDATE(
      B1113 + IF(INDEX(Input!$K$7:$K1503,ROW()-1),0,1),
      12*S1113
    )
)</f>
        <v/>
      </c>
      <c r="V1113" s="6" t="str">
        <f t="shared" si="5"/>
        <v/>
      </c>
      <c r="W1113" s="6" t="str">
        <f t="shared" si="6"/>
        <v/>
      </c>
    </row>
    <row r="1114">
      <c r="A1114" s="18"/>
      <c r="B1114" s="18"/>
      <c r="C1114" s="18"/>
      <c r="D1114" s="18"/>
      <c r="E1114" s="18"/>
      <c r="F1114" s="18"/>
      <c r="G1114" s="22"/>
      <c r="H1114" s="18"/>
      <c r="I1114" s="18"/>
      <c r="J1114" s="18"/>
      <c r="K1114" s="18"/>
      <c r="L1114" s="18"/>
      <c r="M1114" s="22"/>
      <c r="N1114" s="18"/>
      <c r="O1114" s="23"/>
      <c r="P1114" s="18"/>
      <c r="Q1114" s="18"/>
      <c r="R1114" s="18"/>
      <c r="S1114" s="22"/>
      <c r="T1114" s="6" t="str">
        <f t="array" ref="T1114">IF(
  B1114="",
  ,
  DATEDIF(
    B1114 + IF(INDEX(Input!$K$7:$K1503,ROW()-1),0,1),
    C1114 + IF(INDEX(Input!$L$7:$L1503,ROW()-1),1,0),
    "Y"
  )
)</f>
        <v/>
      </c>
      <c r="U1114" s="6" t="str">
        <f t="array" ref="U1114">IF(
  B1114="",
  ,
  (C1114 + IF(INDEX(Input!$L$7:$L1503,ROW()-1),1,0))
  - EDATE(
      B1114 + IF(INDEX(Input!$K$7:$K1503,ROW()-1),0,1),
      12*S1114
    )
)</f>
        <v/>
      </c>
      <c r="V1114" s="6" t="str">
        <f t="shared" si="5"/>
        <v/>
      </c>
      <c r="W1114" s="6" t="str">
        <f t="shared" si="6"/>
        <v/>
      </c>
    </row>
    <row r="1115">
      <c r="A1115" s="18"/>
      <c r="B1115" s="18"/>
      <c r="C1115" s="18"/>
      <c r="D1115" s="18"/>
      <c r="E1115" s="18"/>
      <c r="F1115" s="18"/>
      <c r="G1115" s="22"/>
      <c r="H1115" s="18"/>
      <c r="I1115" s="18"/>
      <c r="J1115" s="18"/>
      <c r="K1115" s="18"/>
      <c r="L1115" s="18"/>
      <c r="M1115" s="22"/>
      <c r="N1115" s="18"/>
      <c r="O1115" s="23"/>
      <c r="P1115" s="18"/>
      <c r="Q1115" s="18"/>
      <c r="R1115" s="18"/>
      <c r="S1115" s="22"/>
      <c r="T1115" s="6" t="str">
        <f t="array" ref="T1115">IF(
  B1115="",
  ,
  DATEDIF(
    B1115 + IF(INDEX(Input!$K$7:$K1503,ROW()-1),0,1),
    C1115 + IF(INDEX(Input!$L$7:$L1503,ROW()-1),1,0),
    "Y"
  )
)</f>
        <v/>
      </c>
      <c r="U1115" s="6" t="str">
        <f t="array" ref="U1115">IF(
  B1115="",
  ,
  (C1115 + IF(INDEX(Input!$L$7:$L1503,ROW()-1),1,0))
  - EDATE(
      B1115 + IF(INDEX(Input!$K$7:$K1503,ROW()-1),0,1),
      12*S1115
    )
)</f>
        <v/>
      </c>
      <c r="V1115" s="6" t="str">
        <f t="shared" si="5"/>
        <v/>
      </c>
      <c r="W1115" s="6" t="str">
        <f t="shared" si="6"/>
        <v/>
      </c>
    </row>
    <row r="1116">
      <c r="A1116" s="18"/>
      <c r="B1116" s="18"/>
      <c r="C1116" s="18"/>
      <c r="D1116" s="18"/>
      <c r="E1116" s="18"/>
      <c r="F1116" s="18"/>
      <c r="G1116" s="22"/>
      <c r="H1116" s="18"/>
      <c r="I1116" s="18"/>
      <c r="J1116" s="18"/>
      <c r="K1116" s="18"/>
      <c r="L1116" s="18"/>
      <c r="M1116" s="22"/>
      <c r="N1116" s="18"/>
      <c r="O1116" s="23"/>
      <c r="P1116" s="18"/>
      <c r="Q1116" s="18"/>
      <c r="R1116" s="18"/>
      <c r="S1116" s="22"/>
      <c r="T1116" s="6" t="str">
        <f t="array" ref="T1116">IF(
  B1116="",
  ,
  DATEDIF(
    B1116 + IF(INDEX(Input!$K$7:$K1503,ROW()-1),0,1),
    C1116 + IF(INDEX(Input!$L$7:$L1503,ROW()-1),1,0),
    "Y"
  )
)</f>
        <v/>
      </c>
      <c r="U1116" s="6" t="str">
        <f t="array" ref="U1116">IF(
  B1116="",
  ,
  (C1116 + IF(INDEX(Input!$L$7:$L1503,ROW()-1),1,0))
  - EDATE(
      B1116 + IF(INDEX(Input!$K$7:$K1503,ROW()-1),0,1),
      12*S1116
    )
)</f>
        <v/>
      </c>
      <c r="V1116" s="6" t="str">
        <f t="shared" si="5"/>
        <v/>
      </c>
      <c r="W1116" s="6" t="str">
        <f t="shared" si="6"/>
        <v/>
      </c>
    </row>
    <row r="1117">
      <c r="A1117" s="18"/>
      <c r="B1117" s="18"/>
      <c r="C1117" s="18"/>
      <c r="D1117" s="18"/>
      <c r="E1117" s="18"/>
      <c r="F1117" s="18"/>
      <c r="G1117" s="22"/>
      <c r="H1117" s="18"/>
      <c r="I1117" s="18"/>
      <c r="J1117" s="18"/>
      <c r="K1117" s="18"/>
      <c r="L1117" s="18"/>
      <c r="M1117" s="22"/>
      <c r="N1117" s="18"/>
      <c r="O1117" s="23"/>
      <c r="P1117" s="18"/>
      <c r="Q1117" s="18"/>
      <c r="R1117" s="18"/>
      <c r="S1117" s="22"/>
      <c r="T1117" s="6" t="str">
        <f t="array" ref="T1117">IF(
  B1117="",
  ,
  DATEDIF(
    B1117 + IF(INDEX(Input!$K$7:$K1503,ROW()-1),0,1),
    C1117 + IF(INDEX(Input!$L$7:$L1503,ROW()-1),1,0),
    "Y"
  )
)</f>
        <v/>
      </c>
      <c r="U1117" s="6" t="str">
        <f t="array" ref="U1117">IF(
  B1117="",
  ,
  (C1117 + IF(INDEX(Input!$L$7:$L1503,ROW()-1),1,0))
  - EDATE(
      B1117 + IF(INDEX(Input!$K$7:$K1503,ROW()-1),0,1),
      12*S1117
    )
)</f>
        <v/>
      </c>
      <c r="V1117" s="6" t="str">
        <f t="shared" si="5"/>
        <v/>
      </c>
      <c r="W1117" s="6" t="str">
        <f t="shared" si="6"/>
        <v/>
      </c>
    </row>
    <row r="1118">
      <c r="A1118" s="18"/>
      <c r="B1118" s="18"/>
      <c r="C1118" s="18"/>
      <c r="D1118" s="18"/>
      <c r="E1118" s="18"/>
      <c r="F1118" s="18"/>
      <c r="G1118" s="22"/>
      <c r="H1118" s="18"/>
      <c r="I1118" s="18"/>
      <c r="J1118" s="18"/>
      <c r="K1118" s="18"/>
      <c r="L1118" s="18"/>
      <c r="M1118" s="22"/>
      <c r="N1118" s="18"/>
      <c r="O1118" s="23"/>
      <c r="P1118" s="18"/>
      <c r="Q1118" s="18"/>
      <c r="R1118" s="18"/>
      <c r="S1118" s="22"/>
      <c r="T1118" s="6" t="str">
        <f t="array" ref="T1118">IF(
  B1118="",
  ,
  DATEDIF(
    B1118 + IF(INDEX(Input!$K$7:$K1503,ROW()-1),0,1),
    C1118 + IF(INDEX(Input!$L$7:$L1503,ROW()-1),1,0),
    "Y"
  )
)</f>
        <v/>
      </c>
      <c r="U1118" s="6" t="str">
        <f t="array" ref="U1118">IF(
  B1118="",
  ,
  (C1118 + IF(INDEX(Input!$L$7:$L1503,ROW()-1),1,0))
  - EDATE(
      B1118 + IF(INDEX(Input!$K$7:$K1503,ROW()-1),0,1),
      12*S1118
    )
)</f>
        <v/>
      </c>
      <c r="V1118" s="6" t="str">
        <f t="shared" si="5"/>
        <v/>
      </c>
      <c r="W1118" s="6" t="str">
        <f t="shared" si="6"/>
        <v/>
      </c>
    </row>
    <row r="1119">
      <c r="A1119" s="18"/>
      <c r="B1119" s="18"/>
      <c r="C1119" s="18"/>
      <c r="D1119" s="18"/>
      <c r="E1119" s="18"/>
      <c r="F1119" s="18"/>
      <c r="G1119" s="22"/>
      <c r="H1119" s="18"/>
      <c r="I1119" s="18"/>
      <c r="J1119" s="18"/>
      <c r="K1119" s="18"/>
      <c r="L1119" s="18"/>
      <c r="M1119" s="22"/>
      <c r="N1119" s="18"/>
      <c r="O1119" s="23"/>
      <c r="P1119" s="18"/>
      <c r="Q1119" s="18"/>
      <c r="R1119" s="18"/>
      <c r="S1119" s="22"/>
      <c r="T1119" s="6" t="str">
        <f t="array" ref="T1119">IF(
  B1119="",
  ,
  DATEDIF(
    B1119 + IF(INDEX(Input!$K$7:$K1503,ROW()-1),0,1),
    C1119 + IF(INDEX(Input!$L$7:$L1503,ROW()-1),1,0),
    "Y"
  )
)</f>
        <v/>
      </c>
      <c r="U1119" s="6" t="str">
        <f t="array" ref="U1119">IF(
  B1119="",
  ,
  (C1119 + IF(INDEX(Input!$L$7:$L1503,ROW()-1),1,0))
  - EDATE(
      B1119 + IF(INDEX(Input!$K$7:$K1503,ROW()-1),0,1),
      12*S1119
    )
)</f>
        <v/>
      </c>
      <c r="V1119" s="6" t="str">
        <f t="shared" si="5"/>
        <v/>
      </c>
      <c r="W1119" s="6" t="str">
        <f t="shared" si="6"/>
        <v/>
      </c>
    </row>
    <row r="1120">
      <c r="A1120" s="18"/>
      <c r="B1120" s="18"/>
      <c r="C1120" s="18"/>
      <c r="D1120" s="18"/>
      <c r="E1120" s="18"/>
      <c r="F1120" s="18"/>
      <c r="G1120" s="22"/>
      <c r="H1120" s="18"/>
      <c r="I1120" s="18"/>
      <c r="J1120" s="18"/>
      <c r="K1120" s="18"/>
      <c r="L1120" s="18"/>
      <c r="M1120" s="22"/>
      <c r="N1120" s="18"/>
      <c r="O1120" s="23"/>
      <c r="P1120" s="18"/>
      <c r="Q1120" s="18"/>
      <c r="R1120" s="18"/>
      <c r="S1120" s="22"/>
      <c r="T1120" s="6" t="str">
        <f t="array" ref="T1120">IF(
  B1120="",
  ,
  DATEDIF(
    B1120 + IF(INDEX(Input!$K$7:$K1503,ROW()-1),0,1),
    C1120 + IF(INDEX(Input!$L$7:$L1503,ROW()-1),1,0),
    "Y"
  )
)</f>
        <v/>
      </c>
      <c r="U1120" s="6" t="str">
        <f t="array" ref="U1120">IF(
  B1120="",
  ,
  (C1120 + IF(INDEX(Input!$L$7:$L1503,ROW()-1),1,0))
  - EDATE(
      B1120 + IF(INDEX(Input!$K$7:$K1503,ROW()-1),0,1),
      12*S1120
    )
)</f>
        <v/>
      </c>
      <c r="V1120" s="6" t="str">
        <f t="shared" si="5"/>
        <v/>
      </c>
      <c r="W1120" s="6" t="str">
        <f t="shared" si="6"/>
        <v/>
      </c>
    </row>
    <row r="1121">
      <c r="A1121" s="18"/>
      <c r="B1121" s="18"/>
      <c r="C1121" s="18"/>
      <c r="D1121" s="18"/>
      <c r="E1121" s="18"/>
      <c r="F1121" s="18"/>
      <c r="G1121" s="22"/>
      <c r="H1121" s="18"/>
      <c r="I1121" s="18"/>
      <c r="J1121" s="18"/>
      <c r="K1121" s="18"/>
      <c r="L1121" s="18"/>
      <c r="M1121" s="22"/>
      <c r="N1121" s="18"/>
      <c r="O1121" s="23"/>
      <c r="P1121" s="18"/>
      <c r="Q1121" s="18"/>
      <c r="R1121" s="18"/>
      <c r="S1121" s="22"/>
      <c r="T1121" s="6" t="str">
        <f t="array" ref="T1121">IF(
  B1121="",
  ,
  DATEDIF(
    B1121 + IF(INDEX(Input!$K$7:$K1503,ROW()-1),0,1),
    C1121 + IF(INDEX(Input!$L$7:$L1503,ROW()-1),1,0),
    "Y"
  )
)</f>
        <v/>
      </c>
      <c r="U1121" s="6" t="str">
        <f t="array" ref="U1121">IF(
  B1121="",
  ,
  (C1121 + IF(INDEX(Input!$L$7:$L1503,ROW()-1),1,0))
  - EDATE(
      B1121 + IF(INDEX(Input!$K$7:$K1503,ROW()-1),0,1),
      12*S1121
    )
)</f>
        <v/>
      </c>
      <c r="V1121" s="6" t="str">
        <f t="shared" si="5"/>
        <v/>
      </c>
      <c r="W1121" s="6" t="str">
        <f t="shared" si="6"/>
        <v/>
      </c>
    </row>
    <row r="1122">
      <c r="A1122" s="18"/>
      <c r="B1122" s="18"/>
      <c r="C1122" s="18"/>
      <c r="D1122" s="18"/>
      <c r="E1122" s="18"/>
      <c r="F1122" s="18"/>
      <c r="G1122" s="22"/>
      <c r="H1122" s="18"/>
      <c r="I1122" s="18"/>
      <c r="J1122" s="18"/>
      <c r="K1122" s="18"/>
      <c r="L1122" s="18"/>
      <c r="M1122" s="22"/>
      <c r="N1122" s="18"/>
      <c r="O1122" s="23"/>
      <c r="P1122" s="18"/>
      <c r="Q1122" s="18"/>
      <c r="R1122" s="18"/>
      <c r="S1122" s="22"/>
      <c r="T1122" s="6" t="str">
        <f t="array" ref="T1122">IF(
  B1122="",
  ,
  DATEDIF(
    B1122 + IF(INDEX(Input!$K$7:$K1503,ROW()-1),0,1),
    C1122 + IF(INDEX(Input!$L$7:$L1503,ROW()-1),1,0),
    "Y"
  )
)</f>
        <v/>
      </c>
      <c r="U1122" s="6" t="str">
        <f t="array" ref="U1122">IF(
  B1122="",
  ,
  (C1122 + IF(INDEX(Input!$L$7:$L1503,ROW()-1),1,0))
  - EDATE(
      B1122 + IF(INDEX(Input!$K$7:$K1503,ROW()-1),0,1),
      12*S1122
    )
)</f>
        <v/>
      </c>
      <c r="V1122" s="6" t="str">
        <f t="shared" si="5"/>
        <v/>
      </c>
      <c r="W1122" s="6" t="str">
        <f t="shared" si="6"/>
        <v/>
      </c>
    </row>
    <row r="1123">
      <c r="A1123" s="18"/>
      <c r="B1123" s="18"/>
      <c r="C1123" s="18"/>
      <c r="D1123" s="18"/>
      <c r="E1123" s="18"/>
      <c r="F1123" s="18"/>
      <c r="G1123" s="22"/>
      <c r="H1123" s="18"/>
      <c r="I1123" s="18"/>
      <c r="J1123" s="18"/>
      <c r="K1123" s="18"/>
      <c r="L1123" s="18"/>
      <c r="M1123" s="22"/>
      <c r="N1123" s="18"/>
      <c r="O1123" s="23"/>
      <c r="P1123" s="18"/>
      <c r="Q1123" s="18"/>
      <c r="R1123" s="18"/>
      <c r="S1123" s="22"/>
      <c r="T1123" s="6" t="str">
        <f t="array" ref="T1123">IF(
  B1123="",
  ,
  DATEDIF(
    B1123 + IF(INDEX(Input!$K$7:$K1503,ROW()-1),0,1),
    C1123 + IF(INDEX(Input!$L$7:$L1503,ROW()-1),1,0),
    "Y"
  )
)</f>
        <v/>
      </c>
      <c r="U1123" s="6" t="str">
        <f t="array" ref="U1123">IF(
  B1123="",
  ,
  (C1123 + IF(INDEX(Input!$L$7:$L1503,ROW()-1),1,0))
  - EDATE(
      B1123 + IF(INDEX(Input!$K$7:$K1503,ROW()-1),0,1),
      12*S1123
    )
)</f>
        <v/>
      </c>
      <c r="V1123" s="6" t="str">
        <f t="shared" si="5"/>
        <v/>
      </c>
      <c r="W1123" s="6" t="str">
        <f t="shared" si="6"/>
        <v/>
      </c>
    </row>
    <row r="1124">
      <c r="A1124" s="18"/>
      <c r="B1124" s="18"/>
      <c r="C1124" s="18"/>
      <c r="D1124" s="18"/>
      <c r="E1124" s="18"/>
      <c r="F1124" s="18"/>
      <c r="G1124" s="22"/>
      <c r="H1124" s="18"/>
      <c r="I1124" s="18"/>
      <c r="J1124" s="18"/>
      <c r="K1124" s="18"/>
      <c r="L1124" s="18"/>
      <c r="M1124" s="22"/>
      <c r="N1124" s="18"/>
      <c r="O1124" s="23"/>
      <c r="P1124" s="18"/>
      <c r="Q1124" s="18"/>
      <c r="R1124" s="18"/>
      <c r="S1124" s="22"/>
      <c r="T1124" s="6" t="str">
        <f t="array" ref="T1124">IF(
  B1124="",
  ,
  DATEDIF(
    B1124 + IF(INDEX(Input!$K$7:$K1503,ROW()-1),0,1),
    C1124 + IF(INDEX(Input!$L$7:$L1503,ROW()-1),1,0),
    "Y"
  )
)</f>
        <v/>
      </c>
      <c r="U1124" s="6" t="str">
        <f t="array" ref="U1124">IF(
  B1124="",
  ,
  (C1124 + IF(INDEX(Input!$L$7:$L1503,ROW()-1),1,0))
  - EDATE(
      B1124 + IF(INDEX(Input!$K$7:$K1503,ROW()-1),0,1),
      12*S1124
    )
)</f>
        <v/>
      </c>
      <c r="V1124" s="6" t="str">
        <f t="shared" si="5"/>
        <v/>
      </c>
      <c r="W1124" s="6" t="str">
        <f t="shared" si="6"/>
        <v/>
      </c>
    </row>
    <row r="1125">
      <c r="A1125" s="18"/>
      <c r="B1125" s="18"/>
      <c r="C1125" s="18"/>
      <c r="D1125" s="18"/>
      <c r="E1125" s="18"/>
      <c r="F1125" s="18"/>
      <c r="G1125" s="22"/>
      <c r="H1125" s="18"/>
      <c r="I1125" s="18"/>
      <c r="J1125" s="18"/>
      <c r="K1125" s="18"/>
      <c r="L1125" s="18"/>
      <c r="M1125" s="22"/>
      <c r="N1125" s="18"/>
      <c r="O1125" s="23"/>
      <c r="P1125" s="18"/>
      <c r="Q1125" s="18"/>
      <c r="R1125" s="18"/>
      <c r="S1125" s="22"/>
      <c r="T1125" s="6" t="str">
        <f t="array" ref="T1125">IF(
  B1125="",
  ,
  DATEDIF(
    B1125 + IF(INDEX(Input!$K$7:$K1503,ROW()-1),0,1),
    C1125 + IF(INDEX(Input!$L$7:$L1503,ROW()-1),1,0),
    "Y"
  )
)</f>
        <v/>
      </c>
      <c r="U1125" s="6" t="str">
        <f t="array" ref="U1125">IF(
  B1125="",
  ,
  (C1125 + IF(INDEX(Input!$L$7:$L1503,ROW()-1),1,0))
  - EDATE(
      B1125 + IF(INDEX(Input!$K$7:$K1503,ROW()-1),0,1),
      12*S1125
    )
)</f>
        <v/>
      </c>
      <c r="V1125" s="6" t="str">
        <f t="shared" si="5"/>
        <v/>
      </c>
      <c r="W1125" s="6" t="str">
        <f t="shared" si="6"/>
        <v/>
      </c>
    </row>
    <row r="1126">
      <c r="A1126" s="18"/>
      <c r="B1126" s="18"/>
      <c r="C1126" s="18"/>
      <c r="D1126" s="18"/>
      <c r="E1126" s="18"/>
      <c r="F1126" s="18"/>
      <c r="G1126" s="22"/>
      <c r="H1126" s="18"/>
      <c r="I1126" s="18"/>
      <c r="J1126" s="18"/>
      <c r="K1126" s="18"/>
      <c r="L1126" s="18"/>
      <c r="M1126" s="22"/>
      <c r="N1126" s="18"/>
      <c r="O1126" s="23"/>
      <c r="P1126" s="18"/>
      <c r="Q1126" s="18"/>
      <c r="R1126" s="18"/>
      <c r="S1126" s="22"/>
      <c r="T1126" s="6" t="str">
        <f t="array" ref="T1126">IF(
  B1126="",
  ,
  DATEDIF(
    B1126 + IF(INDEX(Input!$K$7:$K1503,ROW()-1),0,1),
    C1126 + IF(INDEX(Input!$L$7:$L1503,ROW()-1),1,0),
    "Y"
  )
)</f>
        <v/>
      </c>
      <c r="U1126" s="6" t="str">
        <f t="array" ref="U1126">IF(
  B1126="",
  ,
  (C1126 + IF(INDEX(Input!$L$7:$L1503,ROW()-1),1,0))
  - EDATE(
      B1126 + IF(INDEX(Input!$K$7:$K1503,ROW()-1),0,1),
      12*S1126
    )
)</f>
        <v/>
      </c>
      <c r="V1126" s="6" t="str">
        <f t="shared" si="5"/>
        <v/>
      </c>
      <c r="W1126" s="6" t="str">
        <f t="shared" si="6"/>
        <v/>
      </c>
    </row>
    <row r="1127">
      <c r="A1127" s="18"/>
      <c r="B1127" s="18"/>
      <c r="C1127" s="18"/>
      <c r="D1127" s="18"/>
      <c r="E1127" s="18"/>
      <c r="F1127" s="18"/>
      <c r="G1127" s="22"/>
      <c r="H1127" s="18"/>
      <c r="I1127" s="18"/>
      <c r="J1127" s="18"/>
      <c r="K1127" s="18"/>
      <c r="L1127" s="18"/>
      <c r="M1127" s="22"/>
      <c r="N1127" s="18"/>
      <c r="O1127" s="23"/>
      <c r="P1127" s="18"/>
      <c r="Q1127" s="18"/>
      <c r="R1127" s="18"/>
      <c r="S1127" s="22"/>
      <c r="T1127" s="6" t="str">
        <f t="array" ref="T1127">IF(
  B1127="",
  ,
  DATEDIF(
    B1127 + IF(INDEX(Input!$K$7:$K1503,ROW()-1),0,1),
    C1127 + IF(INDEX(Input!$L$7:$L1503,ROW()-1),1,0),
    "Y"
  )
)</f>
        <v/>
      </c>
      <c r="U1127" s="6" t="str">
        <f t="array" ref="U1127">IF(
  B1127="",
  ,
  (C1127 + IF(INDEX(Input!$L$7:$L1503,ROW()-1),1,0))
  - EDATE(
      B1127 + IF(INDEX(Input!$K$7:$K1503,ROW()-1),0,1),
      12*S1127
    )
)</f>
        <v/>
      </c>
      <c r="V1127" s="6" t="str">
        <f t="shared" si="5"/>
        <v/>
      </c>
      <c r="W1127" s="6" t="str">
        <f t="shared" si="6"/>
        <v/>
      </c>
    </row>
    <row r="1128">
      <c r="A1128" s="18"/>
      <c r="B1128" s="18"/>
      <c r="C1128" s="18"/>
      <c r="D1128" s="18"/>
      <c r="E1128" s="18"/>
      <c r="F1128" s="18"/>
      <c r="G1128" s="22"/>
      <c r="H1128" s="18"/>
      <c r="I1128" s="18"/>
      <c r="J1128" s="18"/>
      <c r="K1128" s="18"/>
      <c r="L1128" s="18"/>
      <c r="M1128" s="22"/>
      <c r="N1128" s="18"/>
      <c r="O1128" s="23"/>
      <c r="P1128" s="18"/>
      <c r="Q1128" s="18"/>
      <c r="R1128" s="18"/>
      <c r="S1128" s="22"/>
      <c r="T1128" s="6" t="str">
        <f t="array" ref="T1128">IF(
  B1128="",
  ,
  DATEDIF(
    B1128 + IF(INDEX(Input!$K$7:$K1503,ROW()-1),0,1),
    C1128 + IF(INDEX(Input!$L$7:$L1503,ROW()-1),1,0),
    "Y"
  )
)</f>
        <v/>
      </c>
      <c r="U1128" s="6" t="str">
        <f t="array" ref="U1128">IF(
  B1128="",
  ,
  (C1128 + IF(INDEX(Input!$L$7:$L1503,ROW()-1),1,0))
  - EDATE(
      B1128 + IF(INDEX(Input!$K$7:$K1503,ROW()-1),0,1),
      12*S1128
    )
)</f>
        <v/>
      </c>
      <c r="V1128" s="6" t="str">
        <f t="shared" si="5"/>
        <v/>
      </c>
      <c r="W1128" s="6" t="str">
        <f t="shared" si="6"/>
        <v/>
      </c>
    </row>
    <row r="1129">
      <c r="A1129" s="18"/>
      <c r="B1129" s="18"/>
      <c r="C1129" s="18"/>
      <c r="D1129" s="18"/>
      <c r="E1129" s="18"/>
      <c r="F1129" s="18"/>
      <c r="G1129" s="22"/>
      <c r="H1129" s="18"/>
      <c r="I1129" s="18"/>
      <c r="J1129" s="18"/>
      <c r="K1129" s="18"/>
      <c r="L1129" s="18"/>
      <c r="M1129" s="22"/>
      <c r="N1129" s="18"/>
      <c r="O1129" s="23"/>
      <c r="P1129" s="18"/>
      <c r="Q1129" s="18"/>
      <c r="R1129" s="18"/>
      <c r="S1129" s="22"/>
      <c r="T1129" s="6" t="str">
        <f t="array" ref="T1129">IF(
  B1129="",
  ,
  DATEDIF(
    B1129 + IF(INDEX(Input!$K$7:$K1503,ROW()-1),0,1),
    C1129 + IF(INDEX(Input!$L$7:$L1503,ROW()-1),1,0),
    "Y"
  )
)</f>
        <v/>
      </c>
      <c r="U1129" s="6" t="str">
        <f t="array" ref="U1129">IF(
  B1129="",
  ,
  (C1129 + IF(INDEX(Input!$L$7:$L1503,ROW()-1),1,0))
  - EDATE(
      B1129 + IF(INDEX(Input!$K$7:$K1503,ROW()-1),0,1),
      12*S1129
    )
)</f>
        <v/>
      </c>
      <c r="V1129" s="6" t="str">
        <f t="shared" si="5"/>
        <v/>
      </c>
      <c r="W1129" s="6" t="str">
        <f t="shared" si="6"/>
        <v/>
      </c>
    </row>
    <row r="1130">
      <c r="A1130" s="18"/>
      <c r="B1130" s="18"/>
      <c r="C1130" s="18"/>
      <c r="D1130" s="18"/>
      <c r="E1130" s="18"/>
      <c r="F1130" s="18"/>
      <c r="G1130" s="22"/>
      <c r="H1130" s="18"/>
      <c r="I1130" s="18"/>
      <c r="J1130" s="18"/>
      <c r="K1130" s="18"/>
      <c r="L1130" s="18"/>
      <c r="M1130" s="22"/>
      <c r="N1130" s="18"/>
      <c r="O1130" s="23"/>
      <c r="P1130" s="18"/>
      <c r="Q1130" s="18"/>
      <c r="R1130" s="18"/>
      <c r="S1130" s="22"/>
      <c r="T1130" s="6" t="str">
        <f t="array" ref="T1130">IF(
  B1130="",
  ,
  DATEDIF(
    B1130 + IF(INDEX(Input!$K$7:$K1503,ROW()-1),0,1),
    C1130 + IF(INDEX(Input!$L$7:$L1503,ROW()-1),1,0),
    "Y"
  )
)</f>
        <v/>
      </c>
      <c r="U1130" s="6" t="str">
        <f t="array" ref="U1130">IF(
  B1130="",
  ,
  (C1130 + IF(INDEX(Input!$L$7:$L1503,ROW()-1),1,0))
  - EDATE(
      B1130 + IF(INDEX(Input!$K$7:$K1503,ROW()-1),0,1),
      12*S1130
    )
)</f>
        <v/>
      </c>
      <c r="V1130" s="6" t="str">
        <f t="shared" si="5"/>
        <v/>
      </c>
      <c r="W1130" s="6" t="str">
        <f t="shared" si="6"/>
        <v/>
      </c>
    </row>
    <row r="1131">
      <c r="A1131" s="18"/>
      <c r="B1131" s="18"/>
      <c r="C1131" s="18"/>
      <c r="D1131" s="18"/>
      <c r="E1131" s="18"/>
      <c r="F1131" s="18"/>
      <c r="G1131" s="22"/>
      <c r="H1131" s="18"/>
      <c r="I1131" s="18"/>
      <c r="J1131" s="18"/>
      <c r="K1131" s="18"/>
      <c r="L1131" s="18"/>
      <c r="M1131" s="22"/>
      <c r="N1131" s="18"/>
      <c r="O1131" s="23"/>
      <c r="P1131" s="18"/>
      <c r="Q1131" s="18"/>
      <c r="R1131" s="18"/>
      <c r="S1131" s="22"/>
      <c r="T1131" s="6" t="str">
        <f t="array" ref="T1131">IF(
  B1131="",
  ,
  DATEDIF(
    B1131 + IF(INDEX(Input!$K$7:$K1503,ROW()-1),0,1),
    C1131 + IF(INDEX(Input!$L$7:$L1503,ROW()-1),1,0),
    "Y"
  )
)</f>
        <v/>
      </c>
      <c r="U1131" s="6" t="str">
        <f t="array" ref="U1131">IF(
  B1131="",
  ,
  (C1131 + IF(INDEX(Input!$L$7:$L1503,ROW()-1),1,0))
  - EDATE(
      B1131 + IF(INDEX(Input!$K$7:$K1503,ROW()-1),0,1),
      12*S1131
    )
)</f>
        <v/>
      </c>
      <c r="V1131" s="6" t="str">
        <f t="shared" si="5"/>
        <v/>
      </c>
      <c r="W1131" s="6" t="str">
        <f t="shared" si="6"/>
        <v/>
      </c>
    </row>
    <row r="1132">
      <c r="A1132" s="18"/>
      <c r="B1132" s="18"/>
      <c r="C1132" s="18"/>
      <c r="D1132" s="18"/>
      <c r="E1132" s="18"/>
      <c r="F1132" s="18"/>
      <c r="G1132" s="22"/>
      <c r="H1132" s="18"/>
      <c r="I1132" s="18"/>
      <c r="J1132" s="18"/>
      <c r="K1132" s="18"/>
      <c r="L1132" s="18"/>
      <c r="M1132" s="22"/>
      <c r="N1132" s="18"/>
      <c r="O1132" s="23"/>
      <c r="P1132" s="18"/>
      <c r="Q1132" s="18"/>
      <c r="R1132" s="18"/>
      <c r="S1132" s="22"/>
      <c r="T1132" s="6" t="str">
        <f t="array" ref="T1132">IF(
  B1132="",
  ,
  DATEDIF(
    B1132 + IF(INDEX(Input!$K$7:$K1503,ROW()-1),0,1),
    C1132 + IF(INDEX(Input!$L$7:$L1503,ROW()-1),1,0),
    "Y"
  )
)</f>
        <v/>
      </c>
      <c r="U1132" s="6" t="str">
        <f t="array" ref="U1132">IF(
  B1132="",
  ,
  (C1132 + IF(INDEX(Input!$L$7:$L1503,ROW()-1),1,0))
  - EDATE(
      B1132 + IF(INDEX(Input!$K$7:$K1503,ROW()-1),0,1),
      12*S1132
    )
)</f>
        <v/>
      </c>
      <c r="V1132" s="6" t="str">
        <f t="shared" si="5"/>
        <v/>
      </c>
      <c r="W1132" s="6" t="str">
        <f t="shared" si="6"/>
        <v/>
      </c>
    </row>
    <row r="1133">
      <c r="A1133" s="18"/>
      <c r="B1133" s="18"/>
      <c r="C1133" s="18"/>
      <c r="D1133" s="18"/>
      <c r="E1133" s="18"/>
      <c r="F1133" s="18"/>
      <c r="G1133" s="22"/>
      <c r="H1133" s="18"/>
      <c r="I1133" s="18"/>
      <c r="J1133" s="18"/>
      <c r="K1133" s="18"/>
      <c r="L1133" s="18"/>
      <c r="M1133" s="22"/>
      <c r="N1133" s="18"/>
      <c r="O1133" s="23"/>
      <c r="P1133" s="18"/>
      <c r="Q1133" s="18"/>
      <c r="R1133" s="18"/>
      <c r="S1133" s="22"/>
      <c r="T1133" s="6" t="str">
        <f t="array" ref="T1133">IF(
  B1133="",
  ,
  DATEDIF(
    B1133 + IF(INDEX(Input!$K$7:$K1503,ROW()-1),0,1),
    C1133 + IF(INDEX(Input!$L$7:$L1503,ROW()-1),1,0),
    "Y"
  )
)</f>
        <v/>
      </c>
      <c r="U1133" s="6" t="str">
        <f t="array" ref="U1133">IF(
  B1133="",
  ,
  (C1133 + IF(INDEX(Input!$L$7:$L1503,ROW()-1),1,0))
  - EDATE(
      B1133 + IF(INDEX(Input!$K$7:$K1503,ROW()-1),0,1),
      12*S1133
    )
)</f>
        <v/>
      </c>
      <c r="V1133" s="6" t="str">
        <f t="shared" si="5"/>
        <v/>
      </c>
      <c r="W1133" s="6" t="str">
        <f t="shared" si="6"/>
        <v/>
      </c>
    </row>
    <row r="1134">
      <c r="A1134" s="18"/>
      <c r="B1134" s="18"/>
      <c r="C1134" s="18"/>
      <c r="D1134" s="18"/>
      <c r="E1134" s="18"/>
      <c r="F1134" s="18"/>
      <c r="G1134" s="22"/>
      <c r="H1134" s="18"/>
      <c r="I1134" s="18"/>
      <c r="J1134" s="18"/>
      <c r="K1134" s="18"/>
      <c r="L1134" s="18"/>
      <c r="M1134" s="22"/>
      <c r="N1134" s="18"/>
      <c r="O1134" s="23"/>
      <c r="P1134" s="18"/>
      <c r="Q1134" s="18"/>
      <c r="R1134" s="18"/>
      <c r="S1134" s="22"/>
      <c r="T1134" s="6" t="str">
        <f t="array" ref="T1134">IF(
  B1134="",
  ,
  DATEDIF(
    B1134 + IF(INDEX(Input!$K$7:$K1503,ROW()-1),0,1),
    C1134 + IF(INDEX(Input!$L$7:$L1503,ROW()-1),1,0),
    "Y"
  )
)</f>
        <v/>
      </c>
      <c r="U1134" s="6" t="str">
        <f t="array" ref="U1134">IF(
  B1134="",
  ,
  (C1134 + IF(INDEX(Input!$L$7:$L1503,ROW()-1),1,0))
  - EDATE(
      B1134 + IF(INDEX(Input!$K$7:$K1503,ROW()-1),0,1),
      12*S1134
    )
)</f>
        <v/>
      </c>
      <c r="V1134" s="6" t="str">
        <f t="shared" si="5"/>
        <v/>
      </c>
      <c r="W1134" s="6" t="str">
        <f t="shared" si="6"/>
        <v/>
      </c>
    </row>
    <row r="1135">
      <c r="A1135" s="18"/>
      <c r="B1135" s="18"/>
      <c r="C1135" s="18"/>
      <c r="D1135" s="18"/>
      <c r="E1135" s="18"/>
      <c r="F1135" s="18"/>
      <c r="G1135" s="22"/>
      <c r="H1135" s="18"/>
      <c r="I1135" s="18"/>
      <c r="J1135" s="18"/>
      <c r="K1135" s="18"/>
      <c r="L1135" s="18"/>
      <c r="M1135" s="22"/>
      <c r="N1135" s="18"/>
      <c r="O1135" s="23"/>
      <c r="P1135" s="18"/>
      <c r="Q1135" s="18"/>
      <c r="R1135" s="18"/>
      <c r="S1135" s="22"/>
      <c r="T1135" s="6" t="str">
        <f t="array" ref="T1135">IF(
  B1135="",
  ,
  DATEDIF(
    B1135 + IF(INDEX(Input!$K$7:$K1503,ROW()-1),0,1),
    C1135 + IF(INDEX(Input!$L$7:$L1503,ROW()-1),1,0),
    "Y"
  )
)</f>
        <v/>
      </c>
      <c r="U1135" s="6" t="str">
        <f t="array" ref="U1135">IF(
  B1135="",
  ,
  (C1135 + IF(INDEX(Input!$L$7:$L1503,ROW()-1),1,0))
  - EDATE(
      B1135 + IF(INDEX(Input!$K$7:$K1503,ROW()-1),0,1),
      12*S1135
    )
)</f>
        <v/>
      </c>
      <c r="V1135" s="6" t="str">
        <f t="shared" si="5"/>
        <v/>
      </c>
      <c r="W1135" s="6" t="str">
        <f t="shared" si="6"/>
        <v/>
      </c>
    </row>
    <row r="1136">
      <c r="A1136" s="18"/>
      <c r="B1136" s="18"/>
      <c r="C1136" s="18"/>
      <c r="D1136" s="18"/>
      <c r="E1136" s="18"/>
      <c r="F1136" s="18"/>
      <c r="G1136" s="22"/>
      <c r="H1136" s="18"/>
      <c r="I1136" s="18"/>
      <c r="J1136" s="18"/>
      <c r="K1136" s="18"/>
      <c r="L1136" s="18"/>
      <c r="M1136" s="22"/>
      <c r="N1136" s="18"/>
      <c r="O1136" s="23"/>
      <c r="P1136" s="18"/>
      <c r="Q1136" s="18"/>
      <c r="R1136" s="18"/>
      <c r="S1136" s="22"/>
      <c r="T1136" s="6" t="str">
        <f t="array" ref="T1136">IF(
  B1136="",
  ,
  DATEDIF(
    B1136 + IF(INDEX(Input!$K$7:$K1503,ROW()-1),0,1),
    C1136 + IF(INDEX(Input!$L$7:$L1503,ROW()-1),1,0),
    "Y"
  )
)</f>
        <v/>
      </c>
      <c r="U1136" s="6" t="str">
        <f t="array" ref="U1136">IF(
  B1136="",
  ,
  (C1136 + IF(INDEX(Input!$L$7:$L1503,ROW()-1),1,0))
  - EDATE(
      B1136 + IF(INDEX(Input!$K$7:$K1503,ROW()-1),0,1),
      12*S1136
    )
)</f>
        <v/>
      </c>
      <c r="V1136" s="6" t="str">
        <f t="shared" si="5"/>
        <v/>
      </c>
      <c r="W1136" s="6" t="str">
        <f t="shared" si="6"/>
        <v/>
      </c>
    </row>
    <row r="1137">
      <c r="A1137" s="18"/>
      <c r="B1137" s="18"/>
      <c r="C1137" s="18"/>
      <c r="D1137" s="18"/>
      <c r="E1137" s="18"/>
      <c r="F1137" s="18"/>
      <c r="G1137" s="22"/>
      <c r="H1137" s="18"/>
      <c r="I1137" s="18"/>
      <c r="J1137" s="18"/>
      <c r="K1137" s="18"/>
      <c r="L1137" s="18"/>
      <c r="M1137" s="22"/>
      <c r="N1137" s="18"/>
      <c r="O1137" s="23"/>
      <c r="P1137" s="18"/>
      <c r="Q1137" s="18"/>
      <c r="R1137" s="18"/>
      <c r="S1137" s="22"/>
      <c r="T1137" s="6" t="str">
        <f t="array" ref="T1137">IF(
  B1137="",
  ,
  DATEDIF(
    B1137 + IF(INDEX(Input!$K$7:$K1503,ROW()-1),0,1),
    C1137 + IF(INDEX(Input!$L$7:$L1503,ROW()-1),1,0),
    "Y"
  )
)</f>
        <v/>
      </c>
      <c r="U1137" s="6" t="str">
        <f t="array" ref="U1137">IF(
  B1137="",
  ,
  (C1137 + IF(INDEX(Input!$L$7:$L1503,ROW()-1),1,0))
  - EDATE(
      B1137 + IF(INDEX(Input!$K$7:$K1503,ROW()-1),0,1),
      12*S1137
    )
)</f>
        <v/>
      </c>
      <c r="V1137" s="6" t="str">
        <f t="shared" si="5"/>
        <v/>
      </c>
      <c r="W1137" s="6" t="str">
        <f t="shared" si="6"/>
        <v/>
      </c>
    </row>
    <row r="1138">
      <c r="A1138" s="18"/>
      <c r="B1138" s="18"/>
      <c r="C1138" s="18"/>
      <c r="D1138" s="18"/>
      <c r="E1138" s="18"/>
      <c r="F1138" s="18"/>
      <c r="G1138" s="22"/>
      <c r="H1138" s="18"/>
      <c r="I1138" s="18"/>
      <c r="J1138" s="18"/>
      <c r="K1138" s="18"/>
      <c r="L1138" s="18"/>
      <c r="M1138" s="22"/>
      <c r="N1138" s="18"/>
      <c r="O1138" s="23"/>
      <c r="P1138" s="18"/>
      <c r="Q1138" s="18"/>
      <c r="R1138" s="18"/>
      <c r="S1138" s="22"/>
      <c r="T1138" s="6" t="str">
        <f t="array" ref="T1138">IF(
  B1138="",
  ,
  DATEDIF(
    B1138 + IF(INDEX(Input!$K$7:$K1503,ROW()-1),0,1),
    C1138 + IF(INDEX(Input!$L$7:$L1503,ROW()-1),1,0),
    "Y"
  )
)</f>
        <v/>
      </c>
      <c r="U1138" s="6" t="str">
        <f t="array" ref="U1138">IF(
  B1138="",
  ,
  (C1138 + IF(INDEX(Input!$L$7:$L1503,ROW()-1),1,0))
  - EDATE(
      B1138 + IF(INDEX(Input!$K$7:$K1503,ROW()-1),0,1),
      12*S1138
    )
)</f>
        <v/>
      </c>
      <c r="V1138" s="6" t="str">
        <f t="shared" si="5"/>
        <v/>
      </c>
      <c r="W1138" s="6" t="str">
        <f t="shared" si="6"/>
        <v/>
      </c>
    </row>
    <row r="1139">
      <c r="A1139" s="18"/>
      <c r="B1139" s="18"/>
      <c r="C1139" s="18"/>
      <c r="D1139" s="18"/>
      <c r="E1139" s="18"/>
      <c r="F1139" s="18"/>
      <c r="G1139" s="22"/>
      <c r="H1139" s="18"/>
      <c r="I1139" s="18"/>
      <c r="J1139" s="18"/>
      <c r="K1139" s="18"/>
      <c r="L1139" s="18"/>
      <c r="M1139" s="22"/>
      <c r="N1139" s="18"/>
      <c r="O1139" s="23"/>
      <c r="P1139" s="18"/>
      <c r="Q1139" s="18"/>
      <c r="R1139" s="18"/>
      <c r="S1139" s="22"/>
      <c r="T1139" s="6" t="str">
        <f t="array" ref="T1139">IF(
  B1139="",
  ,
  DATEDIF(
    B1139 + IF(INDEX(Input!$K$7:$K1503,ROW()-1),0,1),
    C1139 + IF(INDEX(Input!$L$7:$L1503,ROW()-1),1,0),
    "Y"
  )
)</f>
        <v/>
      </c>
      <c r="U1139" s="6" t="str">
        <f t="array" ref="U1139">IF(
  B1139="",
  ,
  (C1139 + IF(INDEX(Input!$L$7:$L1503,ROW()-1),1,0))
  - EDATE(
      B1139 + IF(INDEX(Input!$K$7:$K1503,ROW()-1),0,1),
      12*S1139
    )
)</f>
        <v/>
      </c>
      <c r="V1139" s="6" t="str">
        <f t="shared" si="5"/>
        <v/>
      </c>
      <c r="W1139" s="6" t="str">
        <f t="shared" si="6"/>
        <v/>
      </c>
    </row>
    <row r="1140">
      <c r="A1140" s="18"/>
      <c r="B1140" s="18"/>
      <c r="C1140" s="18"/>
      <c r="D1140" s="18"/>
      <c r="E1140" s="18"/>
      <c r="F1140" s="18"/>
      <c r="G1140" s="22"/>
      <c r="H1140" s="18"/>
      <c r="I1140" s="18"/>
      <c r="J1140" s="18"/>
      <c r="K1140" s="18"/>
      <c r="L1140" s="18"/>
      <c r="M1140" s="22"/>
      <c r="N1140" s="18"/>
      <c r="O1140" s="23"/>
      <c r="P1140" s="18"/>
      <c r="Q1140" s="18"/>
      <c r="R1140" s="18"/>
      <c r="S1140" s="22"/>
      <c r="T1140" s="6" t="str">
        <f t="array" ref="T1140">IF(
  B1140="",
  ,
  DATEDIF(
    B1140 + IF(INDEX(Input!$K$7:$K1503,ROW()-1),0,1),
    C1140 + IF(INDEX(Input!$L$7:$L1503,ROW()-1),1,0),
    "Y"
  )
)</f>
        <v/>
      </c>
      <c r="U1140" s="6" t="str">
        <f t="array" ref="U1140">IF(
  B1140="",
  ,
  (C1140 + IF(INDEX(Input!$L$7:$L1503,ROW()-1),1,0))
  - EDATE(
      B1140 + IF(INDEX(Input!$K$7:$K1503,ROW()-1),0,1),
      12*S1140
    )
)</f>
        <v/>
      </c>
      <c r="V1140" s="6" t="str">
        <f t="shared" si="5"/>
        <v/>
      </c>
      <c r="W1140" s="6" t="str">
        <f t="shared" si="6"/>
        <v/>
      </c>
    </row>
    <row r="1141">
      <c r="A1141" s="18"/>
      <c r="B1141" s="18"/>
      <c r="C1141" s="18"/>
      <c r="D1141" s="18"/>
      <c r="E1141" s="18"/>
      <c r="F1141" s="18"/>
      <c r="G1141" s="22"/>
      <c r="H1141" s="18"/>
      <c r="I1141" s="18"/>
      <c r="J1141" s="18"/>
      <c r="K1141" s="18"/>
      <c r="L1141" s="18"/>
      <c r="M1141" s="22"/>
      <c r="N1141" s="18"/>
      <c r="O1141" s="23"/>
      <c r="P1141" s="18"/>
      <c r="Q1141" s="18"/>
      <c r="R1141" s="18"/>
      <c r="S1141" s="22"/>
      <c r="T1141" s="6" t="str">
        <f t="array" ref="T1141">IF(
  B1141="",
  ,
  DATEDIF(
    B1141 + IF(INDEX(Input!$K$7:$K1503,ROW()-1),0,1),
    C1141 + IF(INDEX(Input!$L$7:$L1503,ROW()-1),1,0),
    "Y"
  )
)</f>
        <v/>
      </c>
      <c r="U1141" s="6" t="str">
        <f t="array" ref="U1141">IF(
  B1141="",
  ,
  (C1141 + IF(INDEX(Input!$L$7:$L1503,ROW()-1),1,0))
  - EDATE(
      B1141 + IF(INDEX(Input!$K$7:$K1503,ROW()-1),0,1),
      12*S1141
    )
)</f>
        <v/>
      </c>
      <c r="V1141" s="6" t="str">
        <f t="shared" si="5"/>
        <v/>
      </c>
      <c r="W1141" s="6" t="str">
        <f t="shared" si="6"/>
        <v/>
      </c>
    </row>
    <row r="1142">
      <c r="A1142" s="18"/>
      <c r="B1142" s="18"/>
      <c r="C1142" s="18"/>
      <c r="D1142" s="18"/>
      <c r="E1142" s="18"/>
      <c r="F1142" s="18"/>
      <c r="G1142" s="22"/>
      <c r="H1142" s="18"/>
      <c r="I1142" s="18"/>
      <c r="J1142" s="18"/>
      <c r="K1142" s="18"/>
      <c r="L1142" s="18"/>
      <c r="M1142" s="22"/>
      <c r="N1142" s="18"/>
      <c r="O1142" s="23"/>
      <c r="P1142" s="18"/>
      <c r="Q1142" s="18"/>
      <c r="R1142" s="18"/>
      <c r="S1142" s="22"/>
      <c r="T1142" s="6" t="str">
        <f t="array" ref="T1142">IF(
  B1142="",
  ,
  DATEDIF(
    B1142 + IF(INDEX(Input!$K$7:$K1503,ROW()-1),0,1),
    C1142 + IF(INDEX(Input!$L$7:$L1503,ROW()-1),1,0),
    "Y"
  )
)</f>
        <v/>
      </c>
      <c r="U1142" s="6" t="str">
        <f t="array" ref="U1142">IF(
  B1142="",
  ,
  (C1142 + IF(INDEX(Input!$L$7:$L1503,ROW()-1),1,0))
  - EDATE(
      B1142 + IF(INDEX(Input!$K$7:$K1503,ROW()-1),0,1),
      12*S1142
    )
)</f>
        <v/>
      </c>
      <c r="V1142" s="6" t="str">
        <f t="shared" si="5"/>
        <v/>
      </c>
      <c r="W1142" s="6" t="str">
        <f t="shared" si="6"/>
        <v/>
      </c>
    </row>
    <row r="1143">
      <c r="A1143" s="18"/>
      <c r="B1143" s="18"/>
      <c r="C1143" s="18"/>
      <c r="D1143" s="18"/>
      <c r="E1143" s="18"/>
      <c r="F1143" s="18"/>
      <c r="G1143" s="22"/>
      <c r="H1143" s="18"/>
      <c r="I1143" s="18"/>
      <c r="J1143" s="18"/>
      <c r="K1143" s="18"/>
      <c r="L1143" s="18"/>
      <c r="M1143" s="22"/>
      <c r="N1143" s="18"/>
      <c r="O1143" s="23"/>
      <c r="P1143" s="18"/>
      <c r="Q1143" s="18"/>
      <c r="R1143" s="18"/>
      <c r="S1143" s="22"/>
      <c r="T1143" s="6" t="str">
        <f t="array" ref="T1143">IF(
  B1143="",
  ,
  DATEDIF(
    B1143 + IF(INDEX(Input!$K$7:$K1503,ROW()-1),0,1),
    C1143 + IF(INDEX(Input!$L$7:$L1503,ROW()-1),1,0),
    "Y"
  )
)</f>
        <v/>
      </c>
      <c r="U1143" s="6" t="str">
        <f t="array" ref="U1143">IF(
  B1143="",
  ,
  (C1143 + IF(INDEX(Input!$L$7:$L1503,ROW()-1),1,0))
  - EDATE(
      B1143 + IF(INDEX(Input!$K$7:$K1503,ROW()-1),0,1),
      12*S1143
    )
)</f>
        <v/>
      </c>
      <c r="V1143" s="6" t="str">
        <f t="shared" si="5"/>
        <v/>
      </c>
      <c r="W1143" s="6" t="str">
        <f t="shared" si="6"/>
        <v/>
      </c>
    </row>
    <row r="1144">
      <c r="A1144" s="18"/>
      <c r="B1144" s="18"/>
      <c r="C1144" s="18"/>
      <c r="D1144" s="18"/>
      <c r="E1144" s="18"/>
      <c r="F1144" s="18"/>
      <c r="G1144" s="22"/>
      <c r="H1144" s="18"/>
      <c r="I1144" s="18"/>
      <c r="J1144" s="18"/>
      <c r="K1144" s="18"/>
      <c r="L1144" s="18"/>
      <c r="M1144" s="22"/>
      <c r="N1144" s="18"/>
      <c r="O1144" s="23"/>
      <c r="P1144" s="18"/>
      <c r="Q1144" s="18"/>
      <c r="R1144" s="18"/>
      <c r="S1144" s="22"/>
      <c r="T1144" s="6" t="str">
        <f t="array" ref="T1144">IF(
  B1144="",
  ,
  DATEDIF(
    B1144 + IF(INDEX(Input!$K$7:$K1503,ROW()-1),0,1),
    C1144 + IF(INDEX(Input!$L$7:$L1503,ROW()-1),1,0),
    "Y"
  )
)</f>
        <v/>
      </c>
      <c r="U1144" s="6" t="str">
        <f t="array" ref="U1144">IF(
  B1144="",
  ,
  (C1144 + IF(INDEX(Input!$L$7:$L1503,ROW()-1),1,0))
  - EDATE(
      B1144 + IF(INDEX(Input!$K$7:$K1503,ROW()-1),0,1),
      12*S1144
    )
)</f>
        <v/>
      </c>
      <c r="V1144" s="6" t="str">
        <f t="shared" si="5"/>
        <v/>
      </c>
      <c r="W1144" s="6" t="str">
        <f t="shared" si="6"/>
        <v/>
      </c>
    </row>
    <row r="1145">
      <c r="A1145" s="18"/>
      <c r="B1145" s="18"/>
      <c r="C1145" s="18"/>
      <c r="D1145" s="18"/>
      <c r="E1145" s="18"/>
      <c r="F1145" s="18"/>
      <c r="G1145" s="22"/>
      <c r="H1145" s="18"/>
      <c r="I1145" s="18"/>
      <c r="J1145" s="18"/>
      <c r="K1145" s="18"/>
      <c r="L1145" s="18"/>
      <c r="M1145" s="22"/>
      <c r="N1145" s="18"/>
      <c r="O1145" s="23"/>
      <c r="P1145" s="18"/>
      <c r="Q1145" s="18"/>
      <c r="R1145" s="18"/>
      <c r="S1145" s="22"/>
      <c r="T1145" s="6" t="str">
        <f t="array" ref="T1145">IF(
  B1145="",
  ,
  DATEDIF(
    B1145 + IF(INDEX(Input!$K$7:$K1503,ROW()-1),0,1),
    C1145 + IF(INDEX(Input!$L$7:$L1503,ROW()-1),1,0),
    "Y"
  )
)</f>
        <v/>
      </c>
      <c r="U1145" s="6" t="str">
        <f t="array" ref="U1145">IF(
  B1145="",
  ,
  (C1145 + IF(INDEX(Input!$L$7:$L1503,ROW()-1),1,0))
  - EDATE(
      B1145 + IF(INDEX(Input!$K$7:$K1503,ROW()-1),0,1),
      12*S1145
    )
)</f>
        <v/>
      </c>
      <c r="V1145" s="6" t="str">
        <f t="shared" si="5"/>
        <v/>
      </c>
      <c r="W1145" s="6" t="str">
        <f t="shared" si="6"/>
        <v/>
      </c>
    </row>
    <row r="1146">
      <c r="A1146" s="18"/>
      <c r="B1146" s="18"/>
      <c r="C1146" s="18"/>
      <c r="D1146" s="18"/>
      <c r="E1146" s="18"/>
      <c r="F1146" s="18"/>
      <c r="G1146" s="22"/>
      <c r="H1146" s="18"/>
      <c r="I1146" s="18"/>
      <c r="J1146" s="18"/>
      <c r="K1146" s="18"/>
      <c r="L1146" s="18"/>
      <c r="M1146" s="22"/>
      <c r="N1146" s="18"/>
      <c r="O1146" s="23"/>
      <c r="P1146" s="18"/>
      <c r="Q1146" s="18"/>
      <c r="R1146" s="18"/>
      <c r="S1146" s="22"/>
      <c r="T1146" s="6" t="str">
        <f t="array" ref="T1146">IF(
  B1146="",
  ,
  DATEDIF(
    B1146 + IF(INDEX(Input!$K$7:$K1503,ROW()-1),0,1),
    C1146 + IF(INDEX(Input!$L$7:$L1503,ROW()-1),1,0),
    "Y"
  )
)</f>
        <v/>
      </c>
      <c r="U1146" s="6" t="str">
        <f t="array" ref="U1146">IF(
  B1146="",
  ,
  (C1146 + IF(INDEX(Input!$L$7:$L1503,ROW()-1),1,0))
  - EDATE(
      B1146 + IF(INDEX(Input!$K$7:$K1503,ROW()-1),0,1),
      12*S1146
    )
)</f>
        <v/>
      </c>
      <c r="V1146" s="6" t="str">
        <f t="shared" si="5"/>
        <v/>
      </c>
      <c r="W1146" s="6" t="str">
        <f t="shared" si="6"/>
        <v/>
      </c>
    </row>
    <row r="1147">
      <c r="A1147" s="18"/>
      <c r="B1147" s="18"/>
      <c r="C1147" s="18"/>
      <c r="D1147" s="18"/>
      <c r="E1147" s="18"/>
      <c r="F1147" s="18"/>
      <c r="G1147" s="22"/>
      <c r="H1147" s="18"/>
      <c r="I1147" s="18"/>
      <c r="J1147" s="18"/>
      <c r="K1147" s="18"/>
      <c r="L1147" s="18"/>
      <c r="M1147" s="22"/>
      <c r="N1147" s="18"/>
      <c r="O1147" s="23"/>
      <c r="P1147" s="18"/>
      <c r="Q1147" s="18"/>
      <c r="R1147" s="18"/>
      <c r="S1147" s="22"/>
      <c r="T1147" s="6" t="str">
        <f t="array" ref="T1147">IF(
  B1147="",
  ,
  DATEDIF(
    B1147 + IF(INDEX(Input!$K$7:$K1503,ROW()-1),0,1),
    C1147 + IF(INDEX(Input!$L$7:$L1503,ROW()-1),1,0),
    "Y"
  )
)</f>
        <v/>
      </c>
      <c r="U1147" s="6" t="str">
        <f t="array" ref="U1147">IF(
  B1147="",
  ,
  (C1147 + IF(INDEX(Input!$L$7:$L1503,ROW()-1),1,0))
  - EDATE(
      B1147 + IF(INDEX(Input!$K$7:$K1503,ROW()-1),0,1),
      12*S1147
    )
)</f>
        <v/>
      </c>
      <c r="V1147" s="6" t="str">
        <f t="shared" si="5"/>
        <v/>
      </c>
      <c r="W1147" s="6" t="str">
        <f t="shared" si="6"/>
        <v/>
      </c>
    </row>
    <row r="1148">
      <c r="A1148" s="18"/>
      <c r="B1148" s="18"/>
      <c r="C1148" s="18"/>
      <c r="D1148" s="18"/>
      <c r="E1148" s="18"/>
      <c r="F1148" s="18"/>
      <c r="G1148" s="22"/>
      <c r="H1148" s="18"/>
      <c r="I1148" s="18"/>
      <c r="J1148" s="18"/>
      <c r="K1148" s="18"/>
      <c r="L1148" s="18"/>
      <c r="M1148" s="22"/>
      <c r="N1148" s="18"/>
      <c r="O1148" s="23"/>
      <c r="P1148" s="18"/>
      <c r="Q1148" s="18"/>
      <c r="R1148" s="18"/>
      <c r="S1148" s="22"/>
      <c r="T1148" s="6" t="str">
        <f t="array" ref="T1148">IF(
  B1148="",
  ,
  DATEDIF(
    B1148 + IF(INDEX(Input!$K$7:$K1503,ROW()-1),0,1),
    C1148 + IF(INDEX(Input!$L$7:$L1503,ROW()-1),1,0),
    "Y"
  )
)</f>
        <v/>
      </c>
      <c r="U1148" s="6" t="str">
        <f t="array" ref="U1148">IF(
  B1148="",
  ,
  (C1148 + IF(INDEX(Input!$L$7:$L1503,ROW()-1),1,0))
  - EDATE(
      B1148 + IF(INDEX(Input!$K$7:$K1503,ROW()-1),0,1),
      12*S1148
    )
)</f>
        <v/>
      </c>
      <c r="V1148" s="6" t="str">
        <f t="shared" si="5"/>
        <v/>
      </c>
      <c r="W1148" s="6" t="str">
        <f t="shared" si="6"/>
        <v/>
      </c>
    </row>
    <row r="1149">
      <c r="A1149" s="18"/>
      <c r="B1149" s="18"/>
      <c r="C1149" s="18"/>
      <c r="D1149" s="18"/>
      <c r="E1149" s="18"/>
      <c r="F1149" s="18"/>
      <c r="G1149" s="22"/>
      <c r="H1149" s="18"/>
      <c r="I1149" s="18"/>
      <c r="J1149" s="18"/>
      <c r="K1149" s="18"/>
      <c r="L1149" s="18"/>
      <c r="M1149" s="22"/>
      <c r="N1149" s="18"/>
      <c r="O1149" s="23"/>
      <c r="P1149" s="18"/>
      <c r="Q1149" s="18"/>
      <c r="R1149" s="18"/>
      <c r="S1149" s="22"/>
      <c r="T1149" s="6" t="str">
        <f t="array" ref="T1149">IF(
  B1149="",
  ,
  DATEDIF(
    B1149 + IF(INDEX(Input!$K$7:$K1503,ROW()-1),0,1),
    C1149 + IF(INDEX(Input!$L$7:$L1503,ROW()-1),1,0),
    "Y"
  )
)</f>
        <v/>
      </c>
      <c r="U1149" s="6" t="str">
        <f t="array" ref="U1149">IF(
  B1149="",
  ,
  (C1149 + IF(INDEX(Input!$L$7:$L1503,ROW()-1),1,0))
  - EDATE(
      B1149 + IF(INDEX(Input!$K$7:$K1503,ROW()-1),0,1),
      12*S1149
    )
)</f>
        <v/>
      </c>
      <c r="V1149" s="6" t="str">
        <f t="shared" si="5"/>
        <v/>
      </c>
      <c r="W1149" s="6" t="str">
        <f t="shared" si="6"/>
        <v/>
      </c>
    </row>
    <row r="1150">
      <c r="A1150" s="18"/>
      <c r="B1150" s="18"/>
      <c r="C1150" s="18"/>
      <c r="D1150" s="18"/>
      <c r="E1150" s="18"/>
      <c r="F1150" s="18"/>
      <c r="G1150" s="22"/>
      <c r="H1150" s="18"/>
      <c r="I1150" s="18"/>
      <c r="J1150" s="18"/>
      <c r="K1150" s="18"/>
      <c r="L1150" s="18"/>
      <c r="M1150" s="22"/>
      <c r="N1150" s="18"/>
      <c r="O1150" s="23"/>
      <c r="P1150" s="18"/>
      <c r="Q1150" s="18"/>
      <c r="R1150" s="18"/>
      <c r="S1150" s="22"/>
      <c r="T1150" s="6" t="str">
        <f t="array" ref="T1150">IF(
  B1150="",
  ,
  DATEDIF(
    B1150 + IF(INDEX(Input!$K$7:$K1503,ROW()-1),0,1),
    C1150 + IF(INDEX(Input!$L$7:$L1503,ROW()-1),1,0),
    "Y"
  )
)</f>
        <v/>
      </c>
      <c r="U1150" s="6" t="str">
        <f t="array" ref="U1150">IF(
  B1150="",
  ,
  (C1150 + IF(INDEX(Input!$L$7:$L1503,ROW()-1),1,0))
  - EDATE(
      B1150 + IF(INDEX(Input!$K$7:$K1503,ROW()-1),0,1),
      12*S1150
    )
)</f>
        <v/>
      </c>
      <c r="V1150" s="6" t="str">
        <f t="shared" si="5"/>
        <v/>
      </c>
      <c r="W1150" s="6" t="str">
        <f t="shared" si="6"/>
        <v/>
      </c>
    </row>
    <row r="1151">
      <c r="A1151" s="18"/>
      <c r="B1151" s="18"/>
      <c r="C1151" s="18"/>
      <c r="D1151" s="18"/>
      <c r="E1151" s="18"/>
      <c r="F1151" s="18"/>
      <c r="G1151" s="22"/>
      <c r="H1151" s="18"/>
      <c r="I1151" s="18"/>
      <c r="J1151" s="18"/>
      <c r="K1151" s="18"/>
      <c r="L1151" s="18"/>
      <c r="M1151" s="22"/>
      <c r="N1151" s="18"/>
      <c r="O1151" s="23"/>
      <c r="P1151" s="18"/>
      <c r="Q1151" s="18"/>
      <c r="R1151" s="18"/>
      <c r="S1151" s="22"/>
      <c r="T1151" s="6" t="str">
        <f t="array" ref="T1151">IF(
  B1151="",
  ,
  DATEDIF(
    B1151 + IF(INDEX(Input!$K$7:$K1503,ROW()-1),0,1),
    C1151 + IF(INDEX(Input!$L$7:$L1503,ROW()-1),1,0),
    "Y"
  )
)</f>
        <v/>
      </c>
      <c r="U1151" s="6" t="str">
        <f t="array" ref="U1151">IF(
  B1151="",
  ,
  (C1151 + IF(INDEX(Input!$L$7:$L1503,ROW()-1),1,0))
  - EDATE(
      B1151 + IF(INDEX(Input!$K$7:$K1503,ROW()-1),0,1),
      12*S1151
    )
)</f>
        <v/>
      </c>
      <c r="V1151" s="6" t="str">
        <f t="shared" si="5"/>
        <v/>
      </c>
      <c r="W1151" s="6" t="str">
        <f t="shared" si="6"/>
        <v/>
      </c>
    </row>
    <row r="1152">
      <c r="A1152" s="18"/>
      <c r="B1152" s="18"/>
      <c r="C1152" s="18"/>
      <c r="D1152" s="18"/>
      <c r="E1152" s="18"/>
      <c r="F1152" s="18"/>
      <c r="G1152" s="22"/>
      <c r="H1152" s="18"/>
      <c r="I1152" s="18"/>
      <c r="J1152" s="18"/>
      <c r="K1152" s="18"/>
      <c r="L1152" s="18"/>
      <c r="M1152" s="22"/>
      <c r="N1152" s="18"/>
      <c r="O1152" s="23"/>
      <c r="P1152" s="18"/>
      <c r="Q1152" s="18"/>
      <c r="R1152" s="18"/>
      <c r="S1152" s="22"/>
      <c r="T1152" s="6" t="str">
        <f t="array" ref="T1152">IF(
  B1152="",
  ,
  DATEDIF(
    B1152 + IF(INDEX(Input!$K$7:$K1503,ROW()-1),0,1),
    C1152 + IF(INDEX(Input!$L$7:$L1503,ROW()-1),1,0),
    "Y"
  )
)</f>
        <v/>
      </c>
      <c r="U1152" s="6" t="str">
        <f t="array" ref="U1152">IF(
  B1152="",
  ,
  (C1152 + IF(INDEX(Input!$L$7:$L1503,ROW()-1),1,0))
  - EDATE(
      B1152 + IF(INDEX(Input!$K$7:$K1503,ROW()-1),0,1),
      12*S1152
    )
)</f>
        <v/>
      </c>
      <c r="V1152" s="6" t="str">
        <f t="shared" si="5"/>
        <v/>
      </c>
      <c r="W1152" s="6" t="str">
        <f t="shared" si="6"/>
        <v/>
      </c>
    </row>
    <row r="1153">
      <c r="A1153" s="18"/>
      <c r="B1153" s="18"/>
      <c r="C1153" s="18"/>
      <c r="D1153" s="18"/>
      <c r="E1153" s="18"/>
      <c r="F1153" s="18"/>
      <c r="G1153" s="22"/>
      <c r="H1153" s="18"/>
      <c r="I1153" s="18"/>
      <c r="J1153" s="18"/>
      <c r="K1153" s="18"/>
      <c r="L1153" s="18"/>
      <c r="M1153" s="22"/>
      <c r="N1153" s="18"/>
      <c r="O1153" s="23"/>
      <c r="P1153" s="18"/>
      <c r="Q1153" s="18"/>
      <c r="R1153" s="18"/>
      <c r="S1153" s="22"/>
      <c r="T1153" s="6" t="str">
        <f t="array" ref="T1153">IF(
  B1153="",
  ,
  DATEDIF(
    B1153 + IF(INDEX(Input!$K$7:$K1503,ROW()-1),0,1),
    C1153 + IF(INDEX(Input!$L$7:$L1503,ROW()-1),1,0),
    "Y"
  )
)</f>
        <v/>
      </c>
      <c r="U1153" s="6" t="str">
        <f t="array" ref="U1153">IF(
  B1153="",
  ,
  (C1153 + IF(INDEX(Input!$L$7:$L1503,ROW()-1),1,0))
  - EDATE(
      B1153 + IF(INDEX(Input!$K$7:$K1503,ROW()-1),0,1),
      12*S1153
    )
)</f>
        <v/>
      </c>
      <c r="V1153" s="6" t="str">
        <f t="shared" si="5"/>
        <v/>
      </c>
      <c r="W1153" s="6" t="str">
        <f t="shared" si="6"/>
        <v/>
      </c>
    </row>
    <row r="1154">
      <c r="A1154" s="18"/>
      <c r="B1154" s="18"/>
      <c r="C1154" s="18"/>
      <c r="D1154" s="18"/>
      <c r="E1154" s="18"/>
      <c r="F1154" s="18"/>
      <c r="G1154" s="22"/>
      <c r="H1154" s="18"/>
      <c r="I1154" s="18"/>
      <c r="J1154" s="18"/>
      <c r="K1154" s="18"/>
      <c r="L1154" s="18"/>
      <c r="M1154" s="22"/>
      <c r="N1154" s="18"/>
      <c r="O1154" s="23"/>
      <c r="P1154" s="18"/>
      <c r="Q1154" s="18"/>
      <c r="R1154" s="18"/>
      <c r="S1154" s="22"/>
      <c r="T1154" s="6" t="str">
        <f t="array" ref="T1154">IF(
  B1154="",
  ,
  DATEDIF(
    B1154 + IF(INDEX(Input!$K$7:$K1503,ROW()-1),0,1),
    C1154 + IF(INDEX(Input!$L$7:$L1503,ROW()-1),1,0),
    "Y"
  )
)</f>
        <v/>
      </c>
      <c r="U1154" s="6" t="str">
        <f t="array" ref="U1154">IF(
  B1154="",
  ,
  (C1154 + IF(INDEX(Input!$L$7:$L1503,ROW()-1),1,0))
  - EDATE(
      B1154 + IF(INDEX(Input!$K$7:$K1503,ROW()-1),0,1),
      12*S1154
    )
)</f>
        <v/>
      </c>
      <c r="V1154" s="6" t="str">
        <f t="shared" si="5"/>
        <v/>
      </c>
      <c r="W1154" s="6" t="str">
        <f t="shared" si="6"/>
        <v/>
      </c>
    </row>
    <row r="1155">
      <c r="A1155" s="18"/>
      <c r="B1155" s="18"/>
      <c r="C1155" s="18"/>
      <c r="D1155" s="18"/>
      <c r="E1155" s="18"/>
      <c r="F1155" s="18"/>
      <c r="G1155" s="22"/>
      <c r="H1155" s="18"/>
      <c r="I1155" s="18"/>
      <c r="J1155" s="18"/>
      <c r="K1155" s="18"/>
      <c r="L1155" s="18"/>
      <c r="M1155" s="22"/>
      <c r="N1155" s="18"/>
      <c r="O1155" s="23"/>
      <c r="P1155" s="18"/>
      <c r="Q1155" s="18"/>
      <c r="R1155" s="18"/>
      <c r="S1155" s="22"/>
      <c r="T1155" s="6" t="str">
        <f t="array" ref="T1155">IF(
  B1155="",
  ,
  DATEDIF(
    B1155 + IF(INDEX(Input!$K$7:$K1503,ROW()-1),0,1),
    C1155 + IF(INDEX(Input!$L$7:$L1503,ROW()-1),1,0),
    "Y"
  )
)</f>
        <v/>
      </c>
      <c r="U1155" s="6" t="str">
        <f t="array" ref="U1155">IF(
  B1155="",
  ,
  (C1155 + IF(INDEX(Input!$L$7:$L1503,ROW()-1),1,0))
  - EDATE(
      B1155 + IF(INDEX(Input!$K$7:$K1503,ROW()-1),0,1),
      12*S1155
    )
)</f>
        <v/>
      </c>
      <c r="V1155" s="6" t="str">
        <f t="shared" si="5"/>
        <v/>
      </c>
      <c r="W1155" s="6" t="str">
        <f t="shared" si="6"/>
        <v/>
      </c>
    </row>
    <row r="1156">
      <c r="A1156" s="18"/>
      <c r="B1156" s="18"/>
      <c r="C1156" s="18"/>
      <c r="D1156" s="18"/>
      <c r="E1156" s="18"/>
      <c r="F1156" s="18"/>
      <c r="G1156" s="22"/>
      <c r="H1156" s="18"/>
      <c r="I1156" s="18"/>
      <c r="J1156" s="18"/>
      <c r="K1156" s="18"/>
      <c r="L1156" s="18"/>
      <c r="M1156" s="22"/>
      <c r="N1156" s="18"/>
      <c r="O1156" s="23"/>
      <c r="P1156" s="18"/>
      <c r="Q1156" s="18"/>
      <c r="R1156" s="18"/>
      <c r="S1156" s="22"/>
      <c r="T1156" s="6" t="str">
        <f t="array" ref="T1156">IF(
  B1156="",
  ,
  DATEDIF(
    B1156 + IF(INDEX(Input!$K$7:$K1503,ROW()-1),0,1),
    C1156 + IF(INDEX(Input!$L$7:$L1503,ROW()-1),1,0),
    "Y"
  )
)</f>
        <v/>
      </c>
      <c r="U1156" s="6" t="str">
        <f t="array" ref="U1156">IF(
  B1156="",
  ,
  (C1156 + IF(INDEX(Input!$L$7:$L1503,ROW()-1),1,0))
  - EDATE(
      B1156 + IF(INDEX(Input!$K$7:$K1503,ROW()-1),0,1),
      12*S1156
    )
)</f>
        <v/>
      </c>
      <c r="V1156" s="6" t="str">
        <f t="shared" si="5"/>
        <v/>
      </c>
      <c r="W1156" s="6" t="str">
        <f t="shared" si="6"/>
        <v/>
      </c>
    </row>
    <row r="1157">
      <c r="A1157" s="18"/>
      <c r="B1157" s="18"/>
      <c r="C1157" s="18"/>
      <c r="D1157" s="18"/>
      <c r="E1157" s="18"/>
      <c r="F1157" s="18"/>
      <c r="G1157" s="22"/>
      <c r="H1157" s="18"/>
      <c r="I1157" s="18"/>
      <c r="J1157" s="18"/>
      <c r="K1157" s="18"/>
      <c r="L1157" s="18"/>
      <c r="M1157" s="22"/>
      <c r="N1157" s="18"/>
      <c r="O1157" s="23"/>
      <c r="P1157" s="18"/>
      <c r="Q1157" s="18"/>
      <c r="R1157" s="18"/>
      <c r="S1157" s="22"/>
      <c r="T1157" s="6" t="str">
        <f t="array" ref="T1157">IF(
  B1157="",
  ,
  DATEDIF(
    B1157 + IF(INDEX(Input!$K$7:$K1503,ROW()-1),0,1),
    C1157 + IF(INDEX(Input!$L$7:$L1503,ROW()-1),1,0),
    "Y"
  )
)</f>
        <v/>
      </c>
      <c r="U1157" s="6" t="str">
        <f t="array" ref="U1157">IF(
  B1157="",
  ,
  (C1157 + IF(INDEX(Input!$L$7:$L1503,ROW()-1),1,0))
  - EDATE(
      B1157 + IF(INDEX(Input!$K$7:$K1503,ROW()-1),0,1),
      12*S1157
    )
)</f>
        <v/>
      </c>
      <c r="V1157" s="6" t="str">
        <f t="shared" si="5"/>
        <v/>
      </c>
      <c r="W1157" s="6" t="str">
        <f t="shared" si="6"/>
        <v/>
      </c>
    </row>
    <row r="1158">
      <c r="A1158" s="18"/>
      <c r="B1158" s="18"/>
      <c r="C1158" s="18"/>
      <c r="D1158" s="18"/>
      <c r="E1158" s="18"/>
      <c r="F1158" s="18"/>
      <c r="G1158" s="22"/>
      <c r="H1158" s="18"/>
      <c r="I1158" s="18"/>
      <c r="J1158" s="18"/>
      <c r="K1158" s="18"/>
      <c r="L1158" s="18"/>
      <c r="M1158" s="22"/>
      <c r="N1158" s="18"/>
      <c r="O1158" s="23"/>
      <c r="P1158" s="18"/>
      <c r="Q1158" s="18"/>
      <c r="R1158" s="18"/>
      <c r="S1158" s="22"/>
      <c r="T1158" s="6" t="str">
        <f t="array" ref="T1158">IF(
  B1158="",
  ,
  DATEDIF(
    B1158 + IF(INDEX(Input!$K$7:$K1503,ROW()-1),0,1),
    C1158 + IF(INDEX(Input!$L$7:$L1503,ROW()-1),1,0),
    "Y"
  )
)</f>
        <v/>
      </c>
      <c r="U1158" s="6" t="str">
        <f t="array" ref="U1158">IF(
  B1158="",
  ,
  (C1158 + IF(INDEX(Input!$L$7:$L1503,ROW()-1),1,0))
  - EDATE(
      B1158 + IF(INDEX(Input!$K$7:$K1503,ROW()-1),0,1),
      12*S1158
    )
)</f>
        <v/>
      </c>
      <c r="V1158" s="6" t="str">
        <f t="shared" si="5"/>
        <v/>
      </c>
      <c r="W1158" s="6" t="str">
        <f t="shared" si="6"/>
        <v/>
      </c>
    </row>
    <row r="1159">
      <c r="A1159" s="18"/>
      <c r="B1159" s="18"/>
      <c r="C1159" s="18"/>
      <c r="D1159" s="18"/>
      <c r="E1159" s="18"/>
      <c r="F1159" s="18"/>
      <c r="G1159" s="22"/>
      <c r="H1159" s="18"/>
      <c r="I1159" s="18"/>
      <c r="J1159" s="18"/>
      <c r="K1159" s="18"/>
      <c r="L1159" s="18"/>
      <c r="M1159" s="22"/>
      <c r="N1159" s="18"/>
      <c r="O1159" s="23"/>
      <c r="P1159" s="18"/>
      <c r="Q1159" s="18"/>
      <c r="R1159" s="18"/>
      <c r="S1159" s="22"/>
      <c r="T1159" s="6" t="str">
        <f t="array" ref="T1159">IF(
  B1159="",
  ,
  DATEDIF(
    B1159 + IF(INDEX(Input!$K$7:$K1503,ROW()-1),0,1),
    C1159 + IF(INDEX(Input!$L$7:$L1503,ROW()-1),1,0),
    "Y"
  )
)</f>
        <v/>
      </c>
      <c r="U1159" s="6" t="str">
        <f t="array" ref="U1159">IF(
  B1159="",
  ,
  (C1159 + IF(INDEX(Input!$L$7:$L1503,ROW()-1),1,0))
  - EDATE(
      B1159 + IF(INDEX(Input!$K$7:$K1503,ROW()-1),0,1),
      12*S1159
    )
)</f>
        <v/>
      </c>
      <c r="V1159" s="6" t="str">
        <f t="shared" si="5"/>
        <v/>
      </c>
      <c r="W1159" s="6" t="str">
        <f t="shared" si="6"/>
        <v/>
      </c>
    </row>
    <row r="1160">
      <c r="A1160" s="18"/>
      <c r="B1160" s="18"/>
      <c r="C1160" s="18"/>
      <c r="D1160" s="18"/>
      <c r="E1160" s="18"/>
      <c r="F1160" s="18"/>
      <c r="G1160" s="22"/>
      <c r="H1160" s="18"/>
      <c r="I1160" s="18"/>
      <c r="J1160" s="18"/>
      <c r="K1160" s="18"/>
      <c r="L1160" s="18"/>
      <c r="M1160" s="22"/>
      <c r="N1160" s="18"/>
      <c r="O1160" s="23"/>
      <c r="P1160" s="18"/>
      <c r="Q1160" s="18"/>
      <c r="R1160" s="18"/>
      <c r="S1160" s="22"/>
      <c r="T1160" s="6" t="str">
        <f t="array" ref="T1160">IF(
  B1160="",
  ,
  DATEDIF(
    B1160 + IF(INDEX(Input!$K$7:$K1503,ROW()-1),0,1),
    C1160 + IF(INDEX(Input!$L$7:$L1503,ROW()-1),1,0),
    "Y"
  )
)</f>
        <v/>
      </c>
      <c r="U1160" s="6" t="str">
        <f t="array" ref="U1160">IF(
  B1160="",
  ,
  (C1160 + IF(INDEX(Input!$L$7:$L1503,ROW()-1),1,0))
  - EDATE(
      B1160 + IF(INDEX(Input!$K$7:$K1503,ROW()-1),0,1),
      12*S1160
    )
)</f>
        <v/>
      </c>
      <c r="V1160" s="6" t="str">
        <f t="shared" si="5"/>
        <v/>
      </c>
      <c r="W1160" s="6" t="str">
        <f t="shared" si="6"/>
        <v/>
      </c>
    </row>
    <row r="1161">
      <c r="A1161" s="18"/>
      <c r="B1161" s="18"/>
      <c r="C1161" s="18"/>
      <c r="D1161" s="18"/>
      <c r="E1161" s="18"/>
      <c r="F1161" s="18"/>
      <c r="G1161" s="22"/>
      <c r="H1161" s="18"/>
      <c r="I1161" s="18"/>
      <c r="J1161" s="18"/>
      <c r="K1161" s="18"/>
      <c r="L1161" s="18"/>
      <c r="M1161" s="22"/>
      <c r="N1161" s="18"/>
      <c r="O1161" s="23"/>
      <c r="P1161" s="18"/>
      <c r="Q1161" s="18"/>
      <c r="R1161" s="18"/>
      <c r="S1161" s="22"/>
      <c r="T1161" s="6" t="str">
        <f t="array" ref="T1161">IF(
  B1161="",
  ,
  DATEDIF(
    B1161 + IF(INDEX(Input!$K$7:$K1503,ROW()-1),0,1),
    C1161 + IF(INDEX(Input!$L$7:$L1503,ROW()-1),1,0),
    "Y"
  )
)</f>
        <v/>
      </c>
      <c r="U1161" s="6" t="str">
        <f t="array" ref="U1161">IF(
  B1161="",
  ,
  (C1161 + IF(INDEX(Input!$L$7:$L1503,ROW()-1),1,0))
  - EDATE(
      B1161 + IF(INDEX(Input!$K$7:$K1503,ROW()-1),0,1),
      12*S1161
    )
)</f>
        <v/>
      </c>
      <c r="V1161" s="6" t="str">
        <f t="shared" si="5"/>
        <v/>
      </c>
      <c r="W1161" s="6" t="str">
        <f t="shared" si="6"/>
        <v/>
      </c>
    </row>
    <row r="1162">
      <c r="A1162" s="18"/>
      <c r="B1162" s="18"/>
      <c r="C1162" s="18"/>
      <c r="D1162" s="18"/>
      <c r="E1162" s="18"/>
      <c r="F1162" s="18"/>
      <c r="G1162" s="22"/>
      <c r="H1162" s="18"/>
      <c r="I1162" s="18"/>
      <c r="J1162" s="18"/>
      <c r="K1162" s="18"/>
      <c r="L1162" s="18"/>
      <c r="M1162" s="22"/>
      <c r="N1162" s="18"/>
      <c r="O1162" s="23"/>
      <c r="P1162" s="18"/>
      <c r="Q1162" s="18"/>
      <c r="R1162" s="18"/>
      <c r="S1162" s="22"/>
      <c r="T1162" s="6" t="str">
        <f t="array" ref="T1162">IF(
  B1162="",
  ,
  DATEDIF(
    B1162 + IF(INDEX(Input!$K$7:$K1503,ROW()-1),0,1),
    C1162 + IF(INDEX(Input!$L$7:$L1503,ROW()-1),1,0),
    "Y"
  )
)</f>
        <v/>
      </c>
      <c r="U1162" s="6" t="str">
        <f t="array" ref="U1162">IF(
  B1162="",
  ,
  (C1162 + IF(INDEX(Input!$L$7:$L1503,ROW()-1),1,0))
  - EDATE(
      B1162 + IF(INDEX(Input!$K$7:$K1503,ROW()-1),0,1),
      12*S1162
    )
)</f>
        <v/>
      </c>
      <c r="V1162" s="6" t="str">
        <f t="shared" si="5"/>
        <v/>
      </c>
      <c r="W1162" s="6" t="str">
        <f t="shared" si="6"/>
        <v/>
      </c>
    </row>
    <row r="1163">
      <c r="A1163" s="18"/>
      <c r="B1163" s="18"/>
      <c r="C1163" s="18"/>
      <c r="D1163" s="18"/>
      <c r="E1163" s="18"/>
      <c r="F1163" s="18"/>
      <c r="G1163" s="22"/>
      <c r="H1163" s="18"/>
      <c r="I1163" s="18"/>
      <c r="J1163" s="18"/>
      <c r="K1163" s="18"/>
      <c r="L1163" s="18"/>
      <c r="M1163" s="22"/>
      <c r="N1163" s="18"/>
      <c r="O1163" s="23"/>
      <c r="P1163" s="18"/>
      <c r="Q1163" s="18"/>
      <c r="R1163" s="18"/>
      <c r="S1163" s="22"/>
      <c r="T1163" s="6" t="str">
        <f t="array" ref="T1163">IF(
  B1163="",
  ,
  DATEDIF(
    B1163 + IF(INDEX(Input!$K$7:$K1503,ROW()-1),0,1),
    C1163 + IF(INDEX(Input!$L$7:$L1503,ROW()-1),1,0),
    "Y"
  )
)</f>
        <v/>
      </c>
      <c r="U1163" s="6" t="str">
        <f t="array" ref="U1163">IF(
  B1163="",
  ,
  (C1163 + IF(INDEX(Input!$L$7:$L1503,ROW()-1),1,0))
  - EDATE(
      B1163 + IF(INDEX(Input!$K$7:$K1503,ROW()-1),0,1),
      12*S1163
    )
)</f>
        <v/>
      </c>
      <c r="V1163" s="6" t="str">
        <f t="shared" si="5"/>
        <v/>
      </c>
      <c r="W1163" s="6" t="str">
        <f t="shared" si="6"/>
        <v/>
      </c>
    </row>
    <row r="1164">
      <c r="A1164" s="18"/>
      <c r="B1164" s="18"/>
      <c r="C1164" s="18"/>
      <c r="D1164" s="18"/>
      <c r="E1164" s="18"/>
      <c r="F1164" s="18"/>
      <c r="G1164" s="22"/>
      <c r="H1164" s="18"/>
      <c r="I1164" s="18"/>
      <c r="J1164" s="18"/>
      <c r="K1164" s="18"/>
      <c r="L1164" s="18"/>
      <c r="M1164" s="22"/>
      <c r="N1164" s="18"/>
      <c r="O1164" s="23"/>
      <c r="P1164" s="18"/>
      <c r="Q1164" s="18"/>
      <c r="R1164" s="18"/>
      <c r="S1164" s="22"/>
      <c r="T1164" s="6" t="str">
        <f t="array" ref="T1164">IF(
  B1164="",
  ,
  DATEDIF(
    B1164 + IF(INDEX(Input!$K$7:$K1503,ROW()-1),0,1),
    C1164 + IF(INDEX(Input!$L$7:$L1503,ROW()-1),1,0),
    "Y"
  )
)</f>
        <v/>
      </c>
      <c r="U1164" s="6" t="str">
        <f t="array" ref="U1164">IF(
  B1164="",
  ,
  (C1164 + IF(INDEX(Input!$L$7:$L1503,ROW()-1),1,0))
  - EDATE(
      B1164 + IF(INDEX(Input!$K$7:$K1503,ROW()-1),0,1),
      12*S1164
    )
)</f>
        <v/>
      </c>
      <c r="V1164" s="6" t="str">
        <f t="shared" si="5"/>
        <v/>
      </c>
      <c r="W1164" s="6" t="str">
        <f t="shared" si="6"/>
        <v/>
      </c>
    </row>
    <row r="1165">
      <c r="A1165" s="18"/>
      <c r="B1165" s="18"/>
      <c r="C1165" s="18"/>
      <c r="D1165" s="18"/>
      <c r="E1165" s="18"/>
      <c r="F1165" s="18"/>
      <c r="G1165" s="22"/>
      <c r="H1165" s="18"/>
      <c r="I1165" s="18"/>
      <c r="J1165" s="18"/>
      <c r="K1165" s="18"/>
      <c r="L1165" s="18"/>
      <c r="M1165" s="22"/>
      <c r="N1165" s="18"/>
      <c r="O1165" s="23"/>
      <c r="P1165" s="18"/>
      <c r="Q1165" s="18"/>
      <c r="R1165" s="18"/>
      <c r="S1165" s="22"/>
      <c r="T1165" s="6" t="str">
        <f t="array" ref="T1165">IF(
  B1165="",
  ,
  DATEDIF(
    B1165 + IF(INDEX(Input!$K$7:$K1503,ROW()-1),0,1),
    C1165 + IF(INDEX(Input!$L$7:$L1503,ROW()-1),1,0),
    "Y"
  )
)</f>
        <v/>
      </c>
      <c r="U1165" s="6" t="str">
        <f t="array" ref="U1165">IF(
  B1165="",
  ,
  (C1165 + IF(INDEX(Input!$L$7:$L1503,ROW()-1),1,0))
  - EDATE(
      B1165 + IF(INDEX(Input!$K$7:$K1503,ROW()-1),0,1),
      12*S1165
    )
)</f>
        <v/>
      </c>
      <c r="V1165" s="6" t="str">
        <f t="shared" si="5"/>
        <v/>
      </c>
      <c r="W1165" s="6" t="str">
        <f t="shared" si="6"/>
        <v/>
      </c>
    </row>
    <row r="1166">
      <c r="A1166" s="18"/>
      <c r="B1166" s="18"/>
      <c r="C1166" s="18"/>
      <c r="D1166" s="18"/>
      <c r="E1166" s="18"/>
      <c r="F1166" s="18"/>
      <c r="G1166" s="22"/>
      <c r="H1166" s="18"/>
      <c r="I1166" s="18"/>
      <c r="J1166" s="18"/>
      <c r="K1166" s="18"/>
      <c r="L1166" s="18"/>
      <c r="M1166" s="22"/>
      <c r="N1166" s="18"/>
      <c r="O1166" s="23"/>
      <c r="P1166" s="18"/>
      <c r="Q1166" s="18"/>
      <c r="R1166" s="18"/>
      <c r="S1166" s="22"/>
      <c r="T1166" s="6" t="str">
        <f t="array" ref="T1166">IF(
  B1166="",
  ,
  DATEDIF(
    B1166 + IF(INDEX(Input!$K$7:$K1503,ROW()-1),0,1),
    C1166 + IF(INDEX(Input!$L$7:$L1503,ROW()-1),1,0),
    "Y"
  )
)</f>
        <v/>
      </c>
      <c r="U1166" s="6" t="str">
        <f t="array" ref="U1166">IF(
  B1166="",
  ,
  (C1166 + IF(INDEX(Input!$L$7:$L1503,ROW()-1),1,0))
  - EDATE(
      B1166 + IF(INDEX(Input!$K$7:$K1503,ROW()-1),0,1),
      12*S1166
    )
)</f>
        <v/>
      </c>
      <c r="V1166" s="6" t="str">
        <f t="shared" si="5"/>
        <v/>
      </c>
      <c r="W1166" s="6" t="str">
        <f t="shared" si="6"/>
        <v/>
      </c>
    </row>
    <row r="1167">
      <c r="A1167" s="18"/>
      <c r="B1167" s="18"/>
      <c r="C1167" s="18"/>
      <c r="D1167" s="18"/>
      <c r="E1167" s="18"/>
      <c r="F1167" s="18"/>
      <c r="G1167" s="22"/>
      <c r="H1167" s="18"/>
      <c r="I1167" s="18"/>
      <c r="J1167" s="18"/>
      <c r="K1167" s="18"/>
      <c r="L1167" s="18"/>
      <c r="M1167" s="22"/>
      <c r="N1167" s="18"/>
      <c r="O1167" s="23"/>
      <c r="P1167" s="18"/>
      <c r="Q1167" s="18"/>
      <c r="R1167" s="18"/>
      <c r="S1167" s="22"/>
      <c r="T1167" s="6" t="str">
        <f t="array" ref="T1167">IF(
  B1167="",
  ,
  DATEDIF(
    B1167 + IF(INDEX(Input!$K$7:$K1503,ROW()-1),0,1),
    C1167 + IF(INDEX(Input!$L$7:$L1503,ROW()-1),1,0),
    "Y"
  )
)</f>
        <v/>
      </c>
      <c r="U1167" s="6" t="str">
        <f t="array" ref="U1167">IF(
  B1167="",
  ,
  (C1167 + IF(INDEX(Input!$L$7:$L1503,ROW()-1),1,0))
  - EDATE(
      B1167 + IF(INDEX(Input!$K$7:$K1503,ROW()-1),0,1),
      12*S1167
    )
)</f>
        <v/>
      </c>
      <c r="V1167" s="6" t="str">
        <f t="shared" si="5"/>
        <v/>
      </c>
      <c r="W1167" s="6" t="str">
        <f t="shared" si="6"/>
        <v/>
      </c>
    </row>
    <row r="1168">
      <c r="A1168" s="18"/>
      <c r="B1168" s="18"/>
      <c r="C1168" s="18"/>
      <c r="D1168" s="18"/>
      <c r="E1168" s="18"/>
      <c r="F1168" s="18"/>
      <c r="G1168" s="22"/>
      <c r="H1168" s="18"/>
      <c r="I1168" s="18"/>
      <c r="J1168" s="18"/>
      <c r="K1168" s="18"/>
      <c r="L1168" s="18"/>
      <c r="M1168" s="22"/>
      <c r="N1168" s="18"/>
      <c r="O1168" s="23"/>
      <c r="P1168" s="18"/>
      <c r="Q1168" s="18"/>
      <c r="R1168" s="18"/>
      <c r="S1168" s="22"/>
      <c r="T1168" s="6" t="str">
        <f t="array" ref="T1168">IF(
  B1168="",
  ,
  DATEDIF(
    B1168 + IF(INDEX(Input!$K$7:$K1503,ROW()-1),0,1),
    C1168 + IF(INDEX(Input!$L$7:$L1503,ROW()-1),1,0),
    "Y"
  )
)</f>
        <v/>
      </c>
      <c r="U1168" s="6" t="str">
        <f t="array" ref="U1168">IF(
  B1168="",
  ,
  (C1168 + IF(INDEX(Input!$L$7:$L1503,ROW()-1),1,0))
  - EDATE(
      B1168 + IF(INDEX(Input!$K$7:$K1503,ROW()-1),0,1),
      12*S1168
    )
)</f>
        <v/>
      </c>
      <c r="V1168" s="6" t="str">
        <f t="shared" si="5"/>
        <v/>
      </c>
      <c r="W1168" s="6" t="str">
        <f t="shared" si="6"/>
        <v/>
      </c>
    </row>
    <row r="1169">
      <c r="A1169" s="18"/>
      <c r="B1169" s="18"/>
      <c r="C1169" s="18"/>
      <c r="D1169" s="18"/>
      <c r="E1169" s="18"/>
      <c r="F1169" s="18"/>
      <c r="G1169" s="22"/>
      <c r="H1169" s="18"/>
      <c r="I1169" s="18"/>
      <c r="J1169" s="18"/>
      <c r="K1169" s="18"/>
      <c r="L1169" s="18"/>
      <c r="M1169" s="22"/>
      <c r="N1169" s="18"/>
      <c r="O1169" s="23"/>
      <c r="P1169" s="18"/>
      <c r="Q1169" s="18"/>
      <c r="R1169" s="18"/>
      <c r="S1169" s="22"/>
      <c r="T1169" s="6" t="str">
        <f t="array" ref="T1169">IF(
  B1169="",
  ,
  DATEDIF(
    B1169 + IF(INDEX(Input!$K$7:$K1503,ROW()-1),0,1),
    C1169 + IF(INDEX(Input!$L$7:$L1503,ROW()-1),1,0),
    "Y"
  )
)</f>
        <v/>
      </c>
      <c r="U1169" s="6" t="str">
        <f t="array" ref="U1169">IF(
  B1169="",
  ,
  (C1169 + IF(INDEX(Input!$L$7:$L1503,ROW()-1),1,0))
  - EDATE(
      B1169 + IF(INDEX(Input!$K$7:$K1503,ROW()-1),0,1),
      12*S1169
    )
)</f>
        <v/>
      </c>
      <c r="V1169" s="6" t="str">
        <f t="shared" si="5"/>
        <v/>
      </c>
      <c r="W1169" s="6" t="str">
        <f t="shared" si="6"/>
        <v/>
      </c>
    </row>
    <row r="1170">
      <c r="A1170" s="18"/>
      <c r="B1170" s="18"/>
      <c r="C1170" s="18"/>
      <c r="D1170" s="18"/>
      <c r="E1170" s="18"/>
      <c r="F1170" s="18"/>
      <c r="G1170" s="22"/>
      <c r="H1170" s="18"/>
      <c r="I1170" s="18"/>
      <c r="J1170" s="18"/>
      <c r="K1170" s="18"/>
      <c r="L1170" s="18"/>
      <c r="M1170" s="22"/>
      <c r="N1170" s="18"/>
      <c r="O1170" s="23"/>
      <c r="P1170" s="18"/>
      <c r="Q1170" s="18"/>
      <c r="R1170" s="18"/>
      <c r="S1170" s="22"/>
      <c r="T1170" s="6" t="str">
        <f t="array" ref="T1170">IF(
  B1170="",
  ,
  DATEDIF(
    B1170 + IF(INDEX(Input!$K$7:$K1503,ROW()-1),0,1),
    C1170 + IF(INDEX(Input!$L$7:$L1503,ROW()-1),1,0),
    "Y"
  )
)</f>
        <v/>
      </c>
      <c r="U1170" s="6" t="str">
        <f t="array" ref="U1170">IF(
  B1170="",
  ,
  (C1170 + IF(INDEX(Input!$L$7:$L1503,ROW()-1),1,0))
  - EDATE(
      B1170 + IF(INDEX(Input!$K$7:$K1503,ROW()-1),0,1),
      12*S1170
    )
)</f>
        <v/>
      </c>
      <c r="V1170" s="6" t="str">
        <f t="shared" si="5"/>
        <v/>
      </c>
      <c r="W1170" s="6" t="str">
        <f t="shared" si="6"/>
        <v/>
      </c>
    </row>
    <row r="1171">
      <c r="A1171" s="18"/>
      <c r="B1171" s="18"/>
      <c r="C1171" s="18"/>
      <c r="D1171" s="18"/>
      <c r="E1171" s="18"/>
      <c r="F1171" s="18"/>
      <c r="G1171" s="22"/>
      <c r="H1171" s="18"/>
      <c r="I1171" s="18"/>
      <c r="J1171" s="18"/>
      <c r="K1171" s="18"/>
      <c r="L1171" s="18"/>
      <c r="M1171" s="22"/>
      <c r="N1171" s="18"/>
      <c r="O1171" s="23"/>
      <c r="P1171" s="18"/>
      <c r="Q1171" s="18"/>
      <c r="R1171" s="18"/>
      <c r="S1171" s="22"/>
      <c r="T1171" s="6" t="str">
        <f t="array" ref="T1171">IF(
  B1171="",
  ,
  DATEDIF(
    B1171 + IF(INDEX(Input!$K$7:$K1503,ROW()-1),0,1),
    C1171 + IF(INDEX(Input!$L$7:$L1503,ROW()-1),1,0),
    "Y"
  )
)</f>
        <v/>
      </c>
      <c r="U1171" s="6" t="str">
        <f t="array" ref="U1171">IF(
  B1171="",
  ,
  (C1171 + IF(INDEX(Input!$L$7:$L1503,ROW()-1),1,0))
  - EDATE(
      B1171 + IF(INDEX(Input!$K$7:$K1503,ROW()-1),0,1),
      12*S1171
    )
)</f>
        <v/>
      </c>
      <c r="V1171" s="6" t="str">
        <f t="shared" si="5"/>
        <v/>
      </c>
      <c r="W1171" s="6" t="str">
        <f t="shared" si="6"/>
        <v/>
      </c>
    </row>
    <row r="1172">
      <c r="A1172" s="18"/>
      <c r="B1172" s="18"/>
      <c r="C1172" s="18"/>
      <c r="D1172" s="18"/>
      <c r="E1172" s="18"/>
      <c r="F1172" s="18"/>
      <c r="G1172" s="22"/>
      <c r="H1172" s="18"/>
      <c r="I1172" s="18"/>
      <c r="J1172" s="18"/>
      <c r="K1172" s="18"/>
      <c r="L1172" s="18"/>
      <c r="M1172" s="22"/>
      <c r="N1172" s="18"/>
      <c r="O1172" s="23"/>
      <c r="P1172" s="18"/>
      <c r="Q1172" s="18"/>
      <c r="R1172" s="18"/>
      <c r="S1172" s="22"/>
      <c r="T1172" s="6" t="str">
        <f t="array" ref="T1172">IF(
  B1172="",
  ,
  DATEDIF(
    B1172 + IF(INDEX(Input!$K$7:$K1503,ROW()-1),0,1),
    C1172 + IF(INDEX(Input!$L$7:$L1503,ROW()-1),1,0),
    "Y"
  )
)</f>
        <v/>
      </c>
      <c r="U1172" s="6" t="str">
        <f t="array" ref="U1172">IF(
  B1172="",
  ,
  (C1172 + IF(INDEX(Input!$L$7:$L1503,ROW()-1),1,0))
  - EDATE(
      B1172 + IF(INDEX(Input!$K$7:$K1503,ROW()-1),0,1),
      12*S1172
    )
)</f>
        <v/>
      </c>
      <c r="V1172" s="6" t="str">
        <f t="shared" si="5"/>
        <v/>
      </c>
      <c r="W1172" s="6" t="str">
        <f t="shared" si="6"/>
        <v/>
      </c>
    </row>
    <row r="1173">
      <c r="A1173" s="18"/>
      <c r="B1173" s="18"/>
      <c r="C1173" s="18"/>
      <c r="D1173" s="18"/>
      <c r="E1173" s="18"/>
      <c r="F1173" s="18"/>
      <c r="G1173" s="22"/>
      <c r="H1173" s="18"/>
      <c r="I1173" s="18"/>
      <c r="J1173" s="18"/>
      <c r="K1173" s="18"/>
      <c r="L1173" s="18"/>
      <c r="M1173" s="22"/>
      <c r="N1173" s="18"/>
      <c r="O1173" s="23"/>
      <c r="P1173" s="18"/>
      <c r="Q1173" s="18"/>
      <c r="R1173" s="18"/>
      <c r="S1173" s="22"/>
      <c r="T1173" s="6" t="str">
        <f t="array" ref="T1173">IF(
  B1173="",
  ,
  DATEDIF(
    B1173 + IF(INDEX(Input!$K$7:$K1503,ROW()-1),0,1),
    C1173 + IF(INDEX(Input!$L$7:$L1503,ROW()-1),1,0),
    "Y"
  )
)</f>
        <v/>
      </c>
      <c r="U1173" s="6" t="str">
        <f t="array" ref="U1173">IF(
  B1173="",
  ,
  (C1173 + IF(INDEX(Input!$L$7:$L1503,ROW()-1),1,0))
  - EDATE(
      B1173 + IF(INDEX(Input!$K$7:$K1503,ROW()-1),0,1),
      12*S1173
    )
)</f>
        <v/>
      </c>
      <c r="V1173" s="6" t="str">
        <f t="shared" si="5"/>
        <v/>
      </c>
      <c r="W1173" s="6" t="str">
        <f t="shared" si="6"/>
        <v/>
      </c>
    </row>
    <row r="1174">
      <c r="A1174" s="18"/>
      <c r="B1174" s="18"/>
      <c r="C1174" s="18"/>
      <c r="D1174" s="18"/>
      <c r="E1174" s="18"/>
      <c r="F1174" s="18"/>
      <c r="G1174" s="22"/>
      <c r="H1174" s="18"/>
      <c r="I1174" s="18"/>
      <c r="J1174" s="18"/>
      <c r="K1174" s="18"/>
      <c r="L1174" s="18"/>
      <c r="M1174" s="22"/>
      <c r="N1174" s="18"/>
      <c r="O1174" s="23"/>
      <c r="P1174" s="18"/>
      <c r="Q1174" s="18"/>
      <c r="R1174" s="18"/>
      <c r="S1174" s="22"/>
      <c r="T1174" s="6" t="str">
        <f t="array" ref="T1174">IF(
  B1174="",
  ,
  DATEDIF(
    B1174 + IF(INDEX(Input!$K$7:$K1503,ROW()-1),0,1),
    C1174 + IF(INDEX(Input!$L$7:$L1503,ROW()-1),1,0),
    "Y"
  )
)</f>
        <v/>
      </c>
      <c r="U1174" s="6" t="str">
        <f t="array" ref="U1174">IF(
  B1174="",
  ,
  (C1174 + IF(INDEX(Input!$L$7:$L1503,ROW()-1),1,0))
  - EDATE(
      B1174 + IF(INDEX(Input!$K$7:$K1503,ROW()-1),0,1),
      12*S1174
    )
)</f>
        <v/>
      </c>
      <c r="V1174" s="6" t="str">
        <f t="shared" si="5"/>
        <v/>
      </c>
      <c r="W1174" s="6" t="str">
        <f t="shared" si="6"/>
        <v/>
      </c>
    </row>
    <row r="1175">
      <c r="A1175" s="18"/>
      <c r="B1175" s="18"/>
      <c r="C1175" s="18"/>
      <c r="D1175" s="18"/>
      <c r="E1175" s="18"/>
      <c r="F1175" s="18"/>
      <c r="G1175" s="22"/>
      <c r="H1175" s="18"/>
      <c r="I1175" s="18"/>
      <c r="J1175" s="18"/>
      <c r="K1175" s="18"/>
      <c r="L1175" s="18"/>
      <c r="M1175" s="22"/>
      <c r="N1175" s="18"/>
      <c r="O1175" s="23"/>
      <c r="P1175" s="18"/>
      <c r="Q1175" s="18"/>
      <c r="R1175" s="18"/>
      <c r="S1175" s="22"/>
      <c r="T1175" s="6" t="str">
        <f t="array" ref="T1175">IF(
  B1175="",
  ,
  DATEDIF(
    B1175 + IF(INDEX(Input!$K$7:$K1503,ROW()-1),0,1),
    C1175 + IF(INDEX(Input!$L$7:$L1503,ROW()-1),1,0),
    "Y"
  )
)</f>
        <v/>
      </c>
      <c r="U1175" s="6" t="str">
        <f t="array" ref="U1175">IF(
  B1175="",
  ,
  (C1175 + IF(INDEX(Input!$L$7:$L1503,ROW()-1),1,0))
  - EDATE(
      B1175 + IF(INDEX(Input!$K$7:$K1503,ROW()-1),0,1),
      12*S1175
    )
)</f>
        <v/>
      </c>
      <c r="V1175" s="6" t="str">
        <f t="shared" si="5"/>
        <v/>
      </c>
      <c r="W1175" s="6" t="str">
        <f t="shared" si="6"/>
        <v/>
      </c>
    </row>
    <row r="1176">
      <c r="A1176" s="18"/>
      <c r="B1176" s="18"/>
      <c r="C1176" s="18"/>
      <c r="D1176" s="18"/>
      <c r="E1176" s="18"/>
      <c r="F1176" s="18"/>
      <c r="G1176" s="22"/>
      <c r="H1176" s="18"/>
      <c r="I1176" s="18"/>
      <c r="J1176" s="18"/>
      <c r="K1176" s="18"/>
      <c r="L1176" s="18"/>
      <c r="M1176" s="22"/>
      <c r="N1176" s="18"/>
      <c r="O1176" s="23"/>
      <c r="P1176" s="18"/>
      <c r="Q1176" s="18"/>
      <c r="R1176" s="18"/>
      <c r="S1176" s="22"/>
      <c r="T1176" s="6" t="str">
        <f t="array" ref="T1176">IF(
  B1176="",
  ,
  DATEDIF(
    B1176 + IF(INDEX(Input!$K$7:$K1503,ROW()-1),0,1),
    C1176 + IF(INDEX(Input!$L$7:$L1503,ROW()-1),1,0),
    "Y"
  )
)</f>
        <v/>
      </c>
      <c r="U1176" s="6" t="str">
        <f t="array" ref="U1176">IF(
  B1176="",
  ,
  (C1176 + IF(INDEX(Input!$L$7:$L1503,ROW()-1),1,0))
  - EDATE(
      B1176 + IF(INDEX(Input!$K$7:$K1503,ROW()-1),0,1),
      12*S1176
    )
)</f>
        <v/>
      </c>
      <c r="V1176" s="6" t="str">
        <f t="shared" si="5"/>
        <v/>
      </c>
      <c r="W1176" s="6" t="str">
        <f t="shared" si="6"/>
        <v/>
      </c>
    </row>
    <row r="1177">
      <c r="A1177" s="18"/>
      <c r="B1177" s="18"/>
      <c r="C1177" s="18"/>
      <c r="D1177" s="18"/>
      <c r="E1177" s="18"/>
      <c r="F1177" s="18"/>
      <c r="G1177" s="22"/>
      <c r="H1177" s="18"/>
      <c r="I1177" s="18"/>
      <c r="J1177" s="18"/>
      <c r="K1177" s="18"/>
      <c r="L1177" s="18"/>
      <c r="M1177" s="22"/>
      <c r="N1177" s="18"/>
      <c r="O1177" s="23"/>
      <c r="P1177" s="18"/>
      <c r="Q1177" s="18"/>
      <c r="R1177" s="18"/>
      <c r="S1177" s="22"/>
      <c r="T1177" s="6" t="str">
        <f t="array" ref="T1177">IF(
  B1177="",
  ,
  DATEDIF(
    B1177 + IF(INDEX(Input!$K$7:$K1503,ROW()-1),0,1),
    C1177 + IF(INDEX(Input!$L$7:$L1503,ROW()-1),1,0),
    "Y"
  )
)</f>
        <v/>
      </c>
      <c r="U1177" s="6" t="str">
        <f t="array" ref="U1177">IF(
  B1177="",
  ,
  (C1177 + IF(INDEX(Input!$L$7:$L1503,ROW()-1),1,0))
  - EDATE(
      B1177 + IF(INDEX(Input!$K$7:$K1503,ROW()-1),0,1),
      12*S1177
    )
)</f>
        <v/>
      </c>
      <c r="V1177" s="6" t="str">
        <f t="shared" si="5"/>
        <v/>
      </c>
      <c r="W1177" s="6" t="str">
        <f t="shared" si="6"/>
        <v/>
      </c>
    </row>
    <row r="1178">
      <c r="A1178" s="18"/>
      <c r="B1178" s="18"/>
      <c r="C1178" s="18"/>
      <c r="D1178" s="18"/>
      <c r="E1178" s="18"/>
      <c r="F1178" s="18"/>
      <c r="G1178" s="22"/>
      <c r="H1178" s="18"/>
      <c r="I1178" s="18"/>
      <c r="J1178" s="18"/>
      <c r="K1178" s="18"/>
      <c r="L1178" s="18"/>
      <c r="M1178" s="22"/>
      <c r="N1178" s="18"/>
      <c r="O1178" s="23"/>
      <c r="P1178" s="18"/>
      <c r="Q1178" s="18"/>
      <c r="R1178" s="18"/>
      <c r="S1178" s="22"/>
      <c r="T1178" s="6" t="str">
        <f t="array" ref="T1178">IF(
  B1178="",
  ,
  DATEDIF(
    B1178 + IF(INDEX(Input!$K$7:$K1503,ROW()-1),0,1),
    C1178 + IF(INDEX(Input!$L$7:$L1503,ROW()-1),1,0),
    "Y"
  )
)</f>
        <v/>
      </c>
      <c r="U1178" s="6" t="str">
        <f t="array" ref="U1178">IF(
  B1178="",
  ,
  (C1178 + IF(INDEX(Input!$L$7:$L1503,ROW()-1),1,0))
  - EDATE(
      B1178 + IF(INDEX(Input!$K$7:$K1503,ROW()-1),0,1),
      12*S1178
    )
)</f>
        <v/>
      </c>
      <c r="V1178" s="6" t="str">
        <f t="shared" si="5"/>
        <v/>
      </c>
      <c r="W1178" s="6" t="str">
        <f t="shared" si="6"/>
        <v/>
      </c>
    </row>
    <row r="1179">
      <c r="A1179" s="18"/>
      <c r="B1179" s="18"/>
      <c r="C1179" s="18"/>
      <c r="D1179" s="18"/>
      <c r="E1179" s="18"/>
      <c r="F1179" s="18"/>
      <c r="G1179" s="22"/>
      <c r="H1179" s="18"/>
      <c r="I1179" s="18"/>
      <c r="J1179" s="18"/>
      <c r="K1179" s="18"/>
      <c r="L1179" s="18"/>
      <c r="M1179" s="22"/>
      <c r="N1179" s="18"/>
      <c r="O1179" s="23"/>
      <c r="P1179" s="18"/>
      <c r="Q1179" s="18"/>
      <c r="R1179" s="18"/>
      <c r="S1179" s="22"/>
      <c r="T1179" s="6" t="str">
        <f t="array" ref="T1179">IF(
  B1179="",
  ,
  DATEDIF(
    B1179 + IF(INDEX(Input!$K$7:$K1503,ROW()-1),0,1),
    C1179 + IF(INDEX(Input!$L$7:$L1503,ROW()-1),1,0),
    "Y"
  )
)</f>
        <v/>
      </c>
      <c r="U1179" s="6" t="str">
        <f t="array" ref="U1179">IF(
  B1179="",
  ,
  (C1179 + IF(INDEX(Input!$L$7:$L1503,ROW()-1),1,0))
  - EDATE(
      B1179 + IF(INDEX(Input!$K$7:$K1503,ROW()-1),0,1),
      12*S1179
    )
)</f>
        <v/>
      </c>
      <c r="V1179" s="6" t="str">
        <f t="shared" si="5"/>
        <v/>
      </c>
      <c r="W1179" s="6" t="str">
        <f t="shared" si="6"/>
        <v/>
      </c>
    </row>
    <row r="1180">
      <c r="A1180" s="18"/>
      <c r="B1180" s="18"/>
      <c r="C1180" s="18"/>
      <c r="D1180" s="18"/>
      <c r="E1180" s="18"/>
      <c r="F1180" s="18"/>
      <c r="G1180" s="22"/>
      <c r="H1180" s="18"/>
      <c r="I1180" s="18"/>
      <c r="J1180" s="18"/>
      <c r="K1180" s="18"/>
      <c r="L1180" s="18"/>
      <c r="M1180" s="22"/>
      <c r="N1180" s="18"/>
      <c r="O1180" s="23"/>
      <c r="P1180" s="18"/>
      <c r="Q1180" s="18"/>
      <c r="R1180" s="18"/>
      <c r="S1180" s="22"/>
      <c r="T1180" s="6" t="str">
        <f t="array" ref="T1180">IF(
  B1180="",
  ,
  DATEDIF(
    B1180 + IF(INDEX(Input!$K$7:$K1503,ROW()-1),0,1),
    C1180 + IF(INDEX(Input!$L$7:$L1503,ROW()-1),1,0),
    "Y"
  )
)</f>
        <v/>
      </c>
      <c r="U1180" s="6" t="str">
        <f t="array" ref="U1180">IF(
  B1180="",
  ,
  (C1180 + IF(INDEX(Input!$L$7:$L1503,ROW()-1),1,0))
  - EDATE(
      B1180 + IF(INDEX(Input!$K$7:$K1503,ROW()-1),0,1),
      12*S1180
    )
)</f>
        <v/>
      </c>
      <c r="V1180" s="6" t="str">
        <f t="shared" si="5"/>
        <v/>
      </c>
      <c r="W1180" s="6" t="str">
        <f t="shared" si="6"/>
        <v/>
      </c>
    </row>
    <row r="1181">
      <c r="A1181" s="18"/>
      <c r="B1181" s="18"/>
      <c r="C1181" s="18"/>
      <c r="D1181" s="18"/>
      <c r="E1181" s="18"/>
      <c r="F1181" s="18"/>
      <c r="G1181" s="22"/>
      <c r="H1181" s="18"/>
      <c r="I1181" s="18"/>
      <c r="J1181" s="18"/>
      <c r="K1181" s="18"/>
      <c r="L1181" s="18"/>
      <c r="M1181" s="22"/>
      <c r="N1181" s="18"/>
      <c r="O1181" s="23"/>
      <c r="P1181" s="18"/>
      <c r="Q1181" s="18"/>
      <c r="R1181" s="18"/>
      <c r="S1181" s="22"/>
      <c r="T1181" s="6" t="str">
        <f t="array" ref="T1181">IF(
  B1181="",
  ,
  DATEDIF(
    B1181 + IF(INDEX(Input!$K$7:$K1503,ROW()-1),0,1),
    C1181 + IF(INDEX(Input!$L$7:$L1503,ROW()-1),1,0),
    "Y"
  )
)</f>
        <v/>
      </c>
      <c r="U1181" s="6" t="str">
        <f t="array" ref="U1181">IF(
  B1181="",
  ,
  (C1181 + IF(INDEX(Input!$L$7:$L1503,ROW()-1),1,0))
  - EDATE(
      B1181 + IF(INDEX(Input!$K$7:$K1503,ROW()-1),0,1),
      12*S1181
    )
)</f>
        <v/>
      </c>
      <c r="V1181" s="6" t="str">
        <f t="shared" si="5"/>
        <v/>
      </c>
      <c r="W1181" s="6" t="str">
        <f t="shared" si="6"/>
        <v/>
      </c>
    </row>
    <row r="1182">
      <c r="A1182" s="18"/>
      <c r="B1182" s="18"/>
      <c r="C1182" s="18"/>
      <c r="D1182" s="18"/>
      <c r="E1182" s="18"/>
      <c r="F1182" s="18"/>
      <c r="G1182" s="22"/>
      <c r="H1182" s="18"/>
      <c r="I1182" s="18"/>
      <c r="J1182" s="18"/>
      <c r="K1182" s="18"/>
      <c r="L1182" s="18"/>
      <c r="M1182" s="22"/>
      <c r="N1182" s="18"/>
      <c r="O1182" s="23"/>
      <c r="P1182" s="18"/>
      <c r="Q1182" s="18"/>
      <c r="R1182" s="18"/>
      <c r="S1182" s="22"/>
      <c r="T1182" s="6" t="str">
        <f t="array" ref="T1182">IF(
  B1182="",
  ,
  DATEDIF(
    B1182 + IF(INDEX(Input!$K$7:$K1503,ROW()-1),0,1),
    C1182 + IF(INDEX(Input!$L$7:$L1503,ROW()-1),1,0),
    "Y"
  )
)</f>
        <v/>
      </c>
      <c r="U1182" s="6" t="str">
        <f t="array" ref="U1182">IF(
  B1182="",
  ,
  (C1182 + IF(INDEX(Input!$L$7:$L1503,ROW()-1),1,0))
  - EDATE(
      B1182 + IF(INDEX(Input!$K$7:$K1503,ROW()-1),0,1),
      12*S1182
    )
)</f>
        <v/>
      </c>
      <c r="V1182" s="6" t="str">
        <f t="shared" si="5"/>
        <v/>
      </c>
      <c r="W1182" s="6" t="str">
        <f t="shared" si="6"/>
        <v/>
      </c>
    </row>
    <row r="1183">
      <c r="A1183" s="18"/>
      <c r="B1183" s="18"/>
      <c r="C1183" s="18"/>
      <c r="D1183" s="18"/>
      <c r="E1183" s="18"/>
      <c r="F1183" s="18"/>
      <c r="G1183" s="22"/>
      <c r="H1183" s="18"/>
      <c r="I1183" s="18"/>
      <c r="J1183" s="18"/>
      <c r="K1183" s="18"/>
      <c r="L1183" s="18"/>
      <c r="M1183" s="22"/>
      <c r="N1183" s="18"/>
      <c r="O1183" s="23"/>
      <c r="P1183" s="18"/>
      <c r="Q1183" s="18"/>
      <c r="R1183" s="18"/>
      <c r="S1183" s="22"/>
      <c r="T1183" s="6" t="str">
        <f t="array" ref="T1183">IF(
  B1183="",
  ,
  DATEDIF(
    B1183 + IF(INDEX(Input!$K$7:$K1503,ROW()-1),0,1),
    C1183 + IF(INDEX(Input!$L$7:$L1503,ROW()-1),1,0),
    "Y"
  )
)</f>
        <v/>
      </c>
      <c r="U1183" s="6" t="str">
        <f t="array" ref="U1183">IF(
  B1183="",
  ,
  (C1183 + IF(INDEX(Input!$L$7:$L1503,ROW()-1),1,0))
  - EDATE(
      B1183 + IF(INDEX(Input!$K$7:$K1503,ROW()-1),0,1),
      12*S1183
    )
)</f>
        <v/>
      </c>
      <c r="V1183" s="6" t="str">
        <f t="shared" si="5"/>
        <v/>
      </c>
      <c r="W1183" s="6" t="str">
        <f t="shared" si="6"/>
        <v/>
      </c>
    </row>
    <row r="1184">
      <c r="A1184" s="18"/>
      <c r="B1184" s="18"/>
      <c r="C1184" s="18"/>
      <c r="D1184" s="18"/>
      <c r="E1184" s="18"/>
      <c r="F1184" s="18"/>
      <c r="G1184" s="22"/>
      <c r="H1184" s="18"/>
      <c r="I1184" s="18"/>
      <c r="J1184" s="18"/>
      <c r="K1184" s="18"/>
      <c r="L1184" s="18"/>
      <c r="M1184" s="22"/>
      <c r="N1184" s="18"/>
      <c r="O1184" s="23"/>
      <c r="P1184" s="18"/>
      <c r="Q1184" s="18"/>
      <c r="R1184" s="18"/>
      <c r="S1184" s="22"/>
      <c r="T1184" s="6" t="str">
        <f t="array" ref="T1184">IF(
  B1184="",
  ,
  DATEDIF(
    B1184 + IF(INDEX(Input!$K$7:$K1503,ROW()-1),0,1),
    C1184 + IF(INDEX(Input!$L$7:$L1503,ROW()-1),1,0),
    "Y"
  )
)</f>
        <v/>
      </c>
      <c r="U1184" s="6" t="str">
        <f t="array" ref="U1184">IF(
  B1184="",
  ,
  (C1184 + IF(INDEX(Input!$L$7:$L1503,ROW()-1),1,0))
  - EDATE(
      B1184 + IF(INDEX(Input!$K$7:$K1503,ROW()-1),0,1),
      12*S1184
    )
)</f>
        <v/>
      </c>
      <c r="V1184" s="6" t="str">
        <f t="shared" si="5"/>
        <v/>
      </c>
      <c r="W1184" s="6" t="str">
        <f t="shared" si="6"/>
        <v/>
      </c>
    </row>
    <row r="1185">
      <c r="A1185" s="18"/>
      <c r="B1185" s="18"/>
      <c r="C1185" s="18"/>
      <c r="D1185" s="18"/>
      <c r="E1185" s="18"/>
      <c r="F1185" s="18"/>
      <c r="G1185" s="22"/>
      <c r="H1185" s="18"/>
      <c r="I1185" s="18"/>
      <c r="J1185" s="18"/>
      <c r="K1185" s="18"/>
      <c r="L1185" s="18"/>
      <c r="M1185" s="22"/>
      <c r="N1185" s="18"/>
      <c r="O1185" s="23"/>
      <c r="P1185" s="18"/>
      <c r="Q1185" s="18"/>
      <c r="R1185" s="18"/>
      <c r="S1185" s="22"/>
      <c r="T1185" s="6" t="str">
        <f t="array" ref="T1185">IF(
  B1185="",
  ,
  DATEDIF(
    B1185 + IF(INDEX(Input!$K$7:$K1503,ROW()-1),0,1),
    C1185 + IF(INDEX(Input!$L$7:$L1503,ROW()-1),1,0),
    "Y"
  )
)</f>
        <v/>
      </c>
      <c r="U1185" s="6" t="str">
        <f t="array" ref="U1185">IF(
  B1185="",
  ,
  (C1185 + IF(INDEX(Input!$L$7:$L1503,ROW()-1),1,0))
  - EDATE(
      B1185 + IF(INDEX(Input!$K$7:$K1503,ROW()-1),0,1),
      12*S1185
    )
)</f>
        <v/>
      </c>
      <c r="V1185" s="6" t="str">
        <f t="shared" si="5"/>
        <v/>
      </c>
      <c r="W1185" s="6" t="str">
        <f t="shared" si="6"/>
        <v/>
      </c>
    </row>
    <row r="1186">
      <c r="A1186" s="18"/>
      <c r="B1186" s="18"/>
      <c r="C1186" s="18"/>
      <c r="D1186" s="18"/>
      <c r="E1186" s="18"/>
      <c r="F1186" s="18"/>
      <c r="G1186" s="22"/>
      <c r="H1186" s="18"/>
      <c r="I1186" s="18"/>
      <c r="J1186" s="18"/>
      <c r="K1186" s="18"/>
      <c r="L1186" s="18"/>
      <c r="M1186" s="22"/>
      <c r="N1186" s="18"/>
      <c r="O1186" s="23"/>
      <c r="P1186" s="18"/>
      <c r="Q1186" s="18"/>
      <c r="R1186" s="18"/>
      <c r="S1186" s="22"/>
      <c r="T1186" s="6" t="str">
        <f t="array" ref="T1186">IF(
  B1186="",
  ,
  DATEDIF(
    B1186 + IF(INDEX(Input!$K$7:$K1503,ROW()-1),0,1),
    C1186 + IF(INDEX(Input!$L$7:$L1503,ROW()-1),1,0),
    "Y"
  )
)</f>
        <v/>
      </c>
      <c r="U1186" s="6" t="str">
        <f t="array" ref="U1186">IF(
  B1186="",
  ,
  (C1186 + IF(INDEX(Input!$L$7:$L1503,ROW()-1),1,0))
  - EDATE(
      B1186 + IF(INDEX(Input!$K$7:$K1503,ROW()-1),0,1),
      12*S1186
    )
)</f>
        <v/>
      </c>
      <c r="V1186" s="6" t="str">
        <f t="shared" si="5"/>
        <v/>
      </c>
      <c r="W1186" s="6" t="str">
        <f t="shared" si="6"/>
        <v/>
      </c>
    </row>
    <row r="1187">
      <c r="A1187" s="18"/>
      <c r="B1187" s="18"/>
      <c r="C1187" s="18"/>
      <c r="D1187" s="18"/>
      <c r="E1187" s="18"/>
      <c r="F1187" s="18"/>
      <c r="G1187" s="22"/>
      <c r="H1187" s="18"/>
      <c r="I1187" s="18"/>
      <c r="J1187" s="18"/>
      <c r="K1187" s="18"/>
      <c r="L1187" s="18"/>
      <c r="M1187" s="22"/>
      <c r="N1187" s="18"/>
      <c r="O1187" s="23"/>
      <c r="P1187" s="18"/>
      <c r="Q1187" s="18"/>
      <c r="R1187" s="18"/>
      <c r="S1187" s="22"/>
      <c r="T1187" s="6" t="str">
        <f t="array" ref="T1187">IF(
  B1187="",
  ,
  DATEDIF(
    B1187 + IF(INDEX(Input!$K$7:$K1503,ROW()-1),0,1),
    C1187 + IF(INDEX(Input!$L$7:$L1503,ROW()-1),1,0),
    "Y"
  )
)</f>
        <v/>
      </c>
      <c r="U1187" s="6" t="str">
        <f t="array" ref="U1187">IF(
  B1187="",
  ,
  (C1187 + IF(INDEX(Input!$L$7:$L1503,ROW()-1),1,0))
  - EDATE(
      B1187 + IF(INDEX(Input!$K$7:$K1503,ROW()-1),0,1),
      12*S1187
    )
)</f>
        <v/>
      </c>
      <c r="V1187" s="6" t="str">
        <f t="shared" si="5"/>
        <v/>
      </c>
      <c r="W1187" s="6" t="str">
        <f t="shared" si="6"/>
        <v/>
      </c>
    </row>
    <row r="1188">
      <c r="A1188" s="18"/>
      <c r="B1188" s="18"/>
      <c r="C1188" s="18"/>
      <c r="D1188" s="18"/>
      <c r="E1188" s="18"/>
      <c r="F1188" s="18"/>
      <c r="G1188" s="22"/>
      <c r="H1188" s="18"/>
      <c r="I1188" s="18"/>
      <c r="J1188" s="18"/>
      <c r="K1188" s="18"/>
      <c r="L1188" s="18"/>
      <c r="M1188" s="22"/>
      <c r="N1188" s="18"/>
      <c r="O1188" s="23"/>
      <c r="P1188" s="18"/>
      <c r="Q1188" s="18"/>
      <c r="R1188" s="18"/>
      <c r="S1188" s="22"/>
      <c r="T1188" s="6" t="str">
        <f t="array" ref="T1188">IF(
  B1188="",
  ,
  DATEDIF(
    B1188 + IF(INDEX(Input!$K$7:$K1503,ROW()-1),0,1),
    C1188 + IF(INDEX(Input!$L$7:$L1503,ROW()-1),1,0),
    "Y"
  )
)</f>
        <v/>
      </c>
      <c r="U1188" s="6" t="str">
        <f t="array" ref="U1188">IF(
  B1188="",
  ,
  (C1188 + IF(INDEX(Input!$L$7:$L1503,ROW()-1),1,0))
  - EDATE(
      B1188 + IF(INDEX(Input!$K$7:$K1503,ROW()-1),0,1),
      12*S1188
    )
)</f>
        <v/>
      </c>
      <c r="V1188" s="6" t="str">
        <f t="shared" si="5"/>
        <v/>
      </c>
      <c r="W1188" s="6" t="str">
        <f t="shared" si="6"/>
        <v/>
      </c>
    </row>
    <row r="1189">
      <c r="A1189" s="18"/>
      <c r="B1189" s="18"/>
      <c r="C1189" s="18"/>
      <c r="D1189" s="18"/>
      <c r="E1189" s="18"/>
      <c r="F1189" s="18"/>
      <c r="G1189" s="22"/>
      <c r="H1189" s="18"/>
      <c r="I1189" s="18"/>
      <c r="J1189" s="18"/>
      <c r="K1189" s="18"/>
      <c r="L1189" s="18"/>
      <c r="M1189" s="22"/>
      <c r="N1189" s="18"/>
      <c r="O1189" s="23"/>
      <c r="P1189" s="18"/>
      <c r="Q1189" s="18"/>
      <c r="R1189" s="18"/>
      <c r="S1189" s="22"/>
      <c r="T1189" s="6" t="str">
        <f t="array" ref="T1189">IF(
  B1189="",
  ,
  DATEDIF(
    B1189 + IF(INDEX(Input!$K$7:$K1503,ROW()-1),0,1),
    C1189 + IF(INDEX(Input!$L$7:$L1503,ROW()-1),1,0),
    "Y"
  )
)</f>
        <v/>
      </c>
      <c r="U1189" s="6" t="str">
        <f t="array" ref="U1189">IF(
  B1189="",
  ,
  (C1189 + IF(INDEX(Input!$L$7:$L1503,ROW()-1),1,0))
  - EDATE(
      B1189 + IF(INDEX(Input!$K$7:$K1503,ROW()-1),0,1),
      12*S1189
    )
)</f>
        <v/>
      </c>
      <c r="V1189" s="6" t="str">
        <f t="shared" si="5"/>
        <v/>
      </c>
      <c r="W1189" s="6" t="str">
        <f t="shared" si="6"/>
        <v/>
      </c>
    </row>
    <row r="1190">
      <c r="A1190" s="18"/>
      <c r="B1190" s="18"/>
      <c r="C1190" s="18"/>
      <c r="D1190" s="18"/>
      <c r="E1190" s="18"/>
      <c r="F1190" s="18"/>
      <c r="G1190" s="22"/>
      <c r="H1190" s="18"/>
      <c r="I1190" s="18"/>
      <c r="J1190" s="18"/>
      <c r="K1190" s="18"/>
      <c r="L1190" s="18"/>
      <c r="M1190" s="22"/>
      <c r="N1190" s="18"/>
      <c r="O1190" s="23"/>
      <c r="P1190" s="18"/>
      <c r="Q1190" s="18"/>
      <c r="R1190" s="18"/>
      <c r="S1190" s="22"/>
      <c r="T1190" s="6" t="str">
        <f t="array" ref="T1190">IF(
  B1190="",
  ,
  DATEDIF(
    B1190 + IF(INDEX(Input!$K$7:$K1503,ROW()-1),0,1),
    C1190 + IF(INDEX(Input!$L$7:$L1503,ROW()-1),1,0),
    "Y"
  )
)</f>
        <v/>
      </c>
      <c r="U1190" s="6" t="str">
        <f t="array" ref="U1190">IF(
  B1190="",
  ,
  (C1190 + IF(INDEX(Input!$L$7:$L1503,ROW()-1),1,0))
  - EDATE(
      B1190 + IF(INDEX(Input!$K$7:$K1503,ROW()-1),0,1),
      12*S1190
    )
)</f>
        <v/>
      </c>
      <c r="V1190" s="6" t="str">
        <f t="shared" si="5"/>
        <v/>
      </c>
      <c r="W1190" s="6" t="str">
        <f t="shared" si="6"/>
        <v/>
      </c>
    </row>
    <row r="1191">
      <c r="A1191" s="18"/>
      <c r="B1191" s="18"/>
      <c r="C1191" s="18"/>
      <c r="D1191" s="18"/>
      <c r="E1191" s="18"/>
      <c r="F1191" s="18"/>
      <c r="G1191" s="22"/>
      <c r="H1191" s="18"/>
      <c r="I1191" s="18"/>
      <c r="J1191" s="18"/>
      <c r="K1191" s="18"/>
      <c r="L1191" s="18"/>
      <c r="M1191" s="22"/>
      <c r="N1191" s="18"/>
      <c r="O1191" s="23"/>
      <c r="P1191" s="18"/>
      <c r="Q1191" s="18"/>
      <c r="R1191" s="18"/>
      <c r="S1191" s="22"/>
      <c r="T1191" s="6" t="str">
        <f t="array" ref="T1191">IF(
  B1191="",
  ,
  DATEDIF(
    B1191 + IF(INDEX(Input!$K$7:$K1503,ROW()-1),0,1),
    C1191 + IF(INDEX(Input!$L$7:$L1503,ROW()-1),1,0),
    "Y"
  )
)</f>
        <v/>
      </c>
      <c r="U1191" s="6" t="str">
        <f t="array" ref="U1191">IF(
  B1191="",
  ,
  (C1191 + IF(INDEX(Input!$L$7:$L1503,ROW()-1),1,0))
  - EDATE(
      B1191 + IF(INDEX(Input!$K$7:$K1503,ROW()-1),0,1),
      12*S1191
    )
)</f>
        <v/>
      </c>
      <c r="V1191" s="6" t="str">
        <f t="shared" si="5"/>
        <v/>
      </c>
      <c r="W1191" s="6" t="str">
        <f t="shared" si="6"/>
        <v/>
      </c>
    </row>
    <row r="1192">
      <c r="A1192" s="18"/>
      <c r="B1192" s="18"/>
      <c r="C1192" s="18"/>
      <c r="D1192" s="18"/>
      <c r="E1192" s="18"/>
      <c r="F1192" s="18"/>
      <c r="G1192" s="22"/>
      <c r="H1192" s="18"/>
      <c r="I1192" s="18"/>
      <c r="J1192" s="18"/>
      <c r="K1192" s="18"/>
      <c r="L1192" s="18"/>
      <c r="M1192" s="22"/>
      <c r="N1192" s="18"/>
      <c r="O1192" s="23"/>
      <c r="P1192" s="18"/>
      <c r="Q1192" s="18"/>
      <c r="R1192" s="18"/>
      <c r="S1192" s="22"/>
      <c r="T1192" s="6" t="str">
        <f t="array" ref="T1192">IF(
  B1192="",
  ,
  DATEDIF(
    B1192 + IF(INDEX(Input!$K$7:$K1503,ROW()-1),0,1),
    C1192 + IF(INDEX(Input!$L$7:$L1503,ROW()-1),1,0),
    "Y"
  )
)</f>
        <v/>
      </c>
      <c r="U1192" s="6" t="str">
        <f t="array" ref="U1192">IF(
  B1192="",
  ,
  (C1192 + IF(INDEX(Input!$L$7:$L1503,ROW()-1),1,0))
  - EDATE(
      B1192 + IF(INDEX(Input!$K$7:$K1503,ROW()-1),0,1),
      12*S1192
    )
)</f>
        <v/>
      </c>
      <c r="V1192" s="6" t="str">
        <f t="shared" si="5"/>
        <v/>
      </c>
      <c r="W1192" s="6" t="str">
        <f t="shared" si="6"/>
        <v/>
      </c>
    </row>
    <row r="1193">
      <c r="A1193" s="18"/>
      <c r="B1193" s="18"/>
      <c r="C1193" s="18"/>
      <c r="D1193" s="18"/>
      <c r="E1193" s="18"/>
      <c r="F1193" s="18"/>
      <c r="G1193" s="22"/>
      <c r="H1193" s="18"/>
      <c r="I1193" s="18"/>
      <c r="J1193" s="18"/>
      <c r="K1193" s="18"/>
      <c r="L1193" s="18"/>
      <c r="M1193" s="22"/>
      <c r="N1193" s="18"/>
      <c r="O1193" s="23"/>
      <c r="P1193" s="18"/>
      <c r="Q1193" s="18"/>
      <c r="R1193" s="18"/>
      <c r="S1193" s="22"/>
      <c r="T1193" s="6" t="str">
        <f t="array" ref="T1193">IF(
  B1193="",
  ,
  DATEDIF(
    B1193 + IF(INDEX(Input!$K$7:$K1503,ROW()-1),0,1),
    C1193 + IF(INDEX(Input!$L$7:$L1503,ROW()-1),1,0),
    "Y"
  )
)</f>
        <v/>
      </c>
      <c r="U1193" s="6" t="str">
        <f t="array" ref="U1193">IF(
  B1193="",
  ,
  (C1193 + IF(INDEX(Input!$L$7:$L1503,ROW()-1),1,0))
  - EDATE(
      B1193 + IF(INDEX(Input!$K$7:$K1503,ROW()-1),0,1),
      12*S1193
    )
)</f>
        <v/>
      </c>
      <c r="V1193" s="6" t="str">
        <f t="shared" si="5"/>
        <v/>
      </c>
      <c r="W1193" s="6" t="str">
        <f t="shared" si="6"/>
        <v/>
      </c>
    </row>
    <row r="1194">
      <c r="A1194" s="18"/>
      <c r="B1194" s="18"/>
      <c r="C1194" s="18"/>
      <c r="D1194" s="18"/>
      <c r="E1194" s="18"/>
      <c r="F1194" s="18"/>
      <c r="G1194" s="22"/>
      <c r="H1194" s="18"/>
      <c r="I1194" s="18"/>
      <c r="J1194" s="18"/>
      <c r="K1194" s="18"/>
      <c r="L1194" s="18"/>
      <c r="M1194" s="22"/>
      <c r="N1194" s="18"/>
      <c r="O1194" s="23"/>
      <c r="P1194" s="18"/>
      <c r="Q1194" s="18"/>
      <c r="R1194" s="18"/>
      <c r="S1194" s="22"/>
      <c r="T1194" s="6" t="str">
        <f t="array" ref="T1194">IF(
  B1194="",
  ,
  DATEDIF(
    B1194 + IF(INDEX(Input!$K$7:$K1503,ROW()-1),0,1),
    C1194 + IF(INDEX(Input!$L$7:$L1503,ROW()-1),1,0),
    "Y"
  )
)</f>
        <v/>
      </c>
      <c r="U1194" s="6" t="str">
        <f t="array" ref="U1194">IF(
  B1194="",
  ,
  (C1194 + IF(INDEX(Input!$L$7:$L1503,ROW()-1),1,0))
  - EDATE(
      B1194 + IF(INDEX(Input!$K$7:$K1503,ROW()-1),0,1),
      12*S1194
    )
)</f>
        <v/>
      </c>
      <c r="V1194" s="6" t="str">
        <f t="shared" si="5"/>
        <v/>
      </c>
      <c r="W1194" s="6" t="str">
        <f t="shared" si="6"/>
        <v/>
      </c>
    </row>
    <row r="1195">
      <c r="A1195" s="18"/>
      <c r="B1195" s="18"/>
      <c r="C1195" s="18"/>
      <c r="D1195" s="18"/>
      <c r="E1195" s="18"/>
      <c r="F1195" s="18"/>
      <c r="G1195" s="22"/>
      <c r="H1195" s="18"/>
      <c r="I1195" s="18"/>
      <c r="J1195" s="18"/>
      <c r="K1195" s="18"/>
      <c r="L1195" s="18"/>
      <c r="M1195" s="22"/>
      <c r="N1195" s="18"/>
      <c r="O1195" s="23"/>
      <c r="P1195" s="18"/>
      <c r="Q1195" s="18"/>
      <c r="R1195" s="18"/>
      <c r="S1195" s="22"/>
      <c r="T1195" s="6" t="str">
        <f t="array" ref="T1195">IF(
  B1195="",
  ,
  DATEDIF(
    B1195 + IF(INDEX(Input!$K$7:$K1503,ROW()-1),0,1),
    C1195 + IF(INDEX(Input!$L$7:$L1503,ROW()-1),1,0),
    "Y"
  )
)</f>
        <v/>
      </c>
      <c r="U1195" s="6" t="str">
        <f t="array" ref="U1195">IF(
  B1195="",
  ,
  (C1195 + IF(INDEX(Input!$L$7:$L1503,ROW()-1),1,0))
  - EDATE(
      B1195 + IF(INDEX(Input!$K$7:$K1503,ROW()-1),0,1),
      12*S1195
    )
)</f>
        <v/>
      </c>
      <c r="V1195" s="6" t="str">
        <f t="shared" si="5"/>
        <v/>
      </c>
      <c r="W1195" s="6" t="str">
        <f t="shared" si="6"/>
        <v/>
      </c>
    </row>
    <row r="1196">
      <c r="A1196" s="18"/>
      <c r="B1196" s="18"/>
      <c r="C1196" s="18"/>
      <c r="D1196" s="18"/>
      <c r="E1196" s="18"/>
      <c r="F1196" s="18"/>
      <c r="G1196" s="22"/>
      <c r="H1196" s="18"/>
      <c r="I1196" s="18"/>
      <c r="J1196" s="18"/>
      <c r="K1196" s="18"/>
      <c r="L1196" s="18"/>
      <c r="M1196" s="22"/>
      <c r="N1196" s="18"/>
      <c r="O1196" s="23"/>
      <c r="P1196" s="18"/>
      <c r="Q1196" s="18"/>
      <c r="R1196" s="18"/>
      <c r="S1196" s="22"/>
      <c r="T1196" s="6" t="str">
        <f t="array" ref="T1196">IF(
  B1196="",
  ,
  DATEDIF(
    B1196 + IF(INDEX(Input!$K$7:$K1503,ROW()-1),0,1),
    C1196 + IF(INDEX(Input!$L$7:$L1503,ROW()-1),1,0),
    "Y"
  )
)</f>
        <v/>
      </c>
      <c r="U1196" s="6" t="str">
        <f t="array" ref="U1196">IF(
  B1196="",
  ,
  (C1196 + IF(INDEX(Input!$L$7:$L1503,ROW()-1),1,0))
  - EDATE(
      B1196 + IF(INDEX(Input!$K$7:$K1503,ROW()-1),0,1),
      12*S1196
    )
)</f>
        <v/>
      </c>
      <c r="V1196" s="6" t="str">
        <f t="shared" si="5"/>
        <v/>
      </c>
      <c r="W1196" s="6" t="str">
        <f t="shared" si="6"/>
        <v/>
      </c>
    </row>
    <row r="1197">
      <c r="A1197" s="18"/>
      <c r="B1197" s="18"/>
      <c r="C1197" s="18"/>
      <c r="D1197" s="18"/>
      <c r="E1197" s="18"/>
      <c r="F1197" s="18"/>
      <c r="G1197" s="22"/>
      <c r="H1197" s="18"/>
      <c r="I1197" s="18"/>
      <c r="J1197" s="18"/>
      <c r="K1197" s="18"/>
      <c r="L1197" s="18"/>
      <c r="M1197" s="22"/>
      <c r="N1197" s="18"/>
      <c r="O1197" s="23"/>
      <c r="P1197" s="18"/>
      <c r="Q1197" s="18"/>
      <c r="R1197" s="18"/>
      <c r="S1197" s="22"/>
      <c r="T1197" s="6" t="str">
        <f t="array" ref="T1197">IF(
  B1197="",
  ,
  DATEDIF(
    B1197 + IF(INDEX(Input!$K$7:$K1503,ROW()-1),0,1),
    C1197 + IF(INDEX(Input!$L$7:$L1503,ROW()-1),1,0),
    "Y"
  )
)</f>
        <v/>
      </c>
      <c r="U1197" s="6" t="str">
        <f t="array" ref="U1197">IF(
  B1197="",
  ,
  (C1197 + IF(INDEX(Input!$L$7:$L1503,ROW()-1),1,0))
  - EDATE(
      B1197 + IF(INDEX(Input!$K$7:$K1503,ROW()-1),0,1),
      12*S1197
    )
)</f>
        <v/>
      </c>
      <c r="V1197" s="6" t="str">
        <f t="shared" si="5"/>
        <v/>
      </c>
      <c r="W1197" s="6" t="str">
        <f t="shared" si="6"/>
        <v/>
      </c>
    </row>
    <row r="1198">
      <c r="A1198" s="18"/>
      <c r="B1198" s="18"/>
      <c r="C1198" s="18"/>
      <c r="D1198" s="18"/>
      <c r="E1198" s="18"/>
      <c r="F1198" s="18"/>
      <c r="G1198" s="22"/>
      <c r="H1198" s="18"/>
      <c r="I1198" s="18"/>
      <c r="J1198" s="18"/>
      <c r="K1198" s="18"/>
      <c r="L1198" s="18"/>
      <c r="M1198" s="22"/>
      <c r="N1198" s="18"/>
      <c r="O1198" s="23"/>
      <c r="P1198" s="18"/>
      <c r="Q1198" s="18"/>
      <c r="R1198" s="18"/>
      <c r="S1198" s="22"/>
      <c r="T1198" s="6" t="str">
        <f t="array" ref="T1198">IF(
  B1198="",
  ,
  DATEDIF(
    B1198 + IF(INDEX(Input!$K$7:$K1503,ROW()-1),0,1),
    C1198 + IF(INDEX(Input!$L$7:$L1503,ROW()-1),1,0),
    "Y"
  )
)</f>
        <v/>
      </c>
      <c r="U1198" s="6" t="str">
        <f t="array" ref="U1198">IF(
  B1198="",
  ,
  (C1198 + IF(INDEX(Input!$L$7:$L1503,ROW()-1),1,0))
  - EDATE(
      B1198 + IF(INDEX(Input!$K$7:$K1503,ROW()-1),0,1),
      12*S1198
    )
)</f>
        <v/>
      </c>
      <c r="V1198" s="6" t="str">
        <f t="shared" si="5"/>
        <v/>
      </c>
      <c r="W1198" s="6" t="str">
        <f t="shared" si="6"/>
        <v/>
      </c>
    </row>
    <row r="1199">
      <c r="A1199" s="18"/>
      <c r="B1199" s="18"/>
      <c r="C1199" s="18"/>
      <c r="D1199" s="18"/>
      <c r="E1199" s="18"/>
      <c r="F1199" s="18"/>
      <c r="G1199" s="22"/>
      <c r="H1199" s="18"/>
      <c r="I1199" s="18"/>
      <c r="J1199" s="18"/>
      <c r="K1199" s="18"/>
      <c r="L1199" s="18"/>
      <c r="M1199" s="22"/>
      <c r="N1199" s="18"/>
      <c r="O1199" s="23"/>
      <c r="P1199" s="18"/>
      <c r="Q1199" s="18"/>
      <c r="R1199" s="18"/>
      <c r="S1199" s="22"/>
      <c r="T1199" s="6" t="str">
        <f t="array" ref="T1199">IF(
  B1199="",
  ,
  DATEDIF(
    B1199 + IF(INDEX(Input!$K$7:$K1503,ROW()-1),0,1),
    C1199 + IF(INDEX(Input!$L$7:$L1503,ROW()-1),1,0),
    "Y"
  )
)</f>
        <v/>
      </c>
      <c r="U1199" s="6" t="str">
        <f t="array" ref="U1199">IF(
  B1199="",
  ,
  (C1199 + IF(INDEX(Input!$L$7:$L1503,ROW()-1),1,0))
  - EDATE(
      B1199 + IF(INDEX(Input!$K$7:$K1503,ROW()-1),0,1),
      12*S1199
    )
)</f>
        <v/>
      </c>
      <c r="V1199" s="6" t="str">
        <f t="shared" si="5"/>
        <v/>
      </c>
      <c r="W1199" s="6" t="str">
        <f t="shared" si="6"/>
        <v/>
      </c>
    </row>
    <row r="1200">
      <c r="A1200" s="18"/>
      <c r="B1200" s="18"/>
      <c r="C1200" s="18"/>
      <c r="D1200" s="18"/>
      <c r="E1200" s="18"/>
      <c r="F1200" s="18"/>
      <c r="G1200" s="22"/>
      <c r="H1200" s="18"/>
      <c r="I1200" s="18"/>
      <c r="J1200" s="18"/>
      <c r="K1200" s="18"/>
      <c r="L1200" s="18"/>
      <c r="M1200" s="22"/>
      <c r="N1200" s="18"/>
      <c r="O1200" s="23"/>
      <c r="P1200" s="18"/>
      <c r="Q1200" s="18"/>
      <c r="R1200" s="18"/>
      <c r="S1200" s="22"/>
      <c r="T1200" s="6" t="str">
        <f t="array" ref="T1200">IF(
  B1200="",
  ,
  DATEDIF(
    B1200 + IF(INDEX(Input!$K$7:$K1503,ROW()-1),0,1),
    C1200 + IF(INDEX(Input!$L$7:$L1503,ROW()-1),1,0),
    "Y"
  )
)</f>
        <v/>
      </c>
      <c r="U1200" s="6" t="str">
        <f t="array" ref="U1200">IF(
  B1200="",
  ,
  (C1200 + IF(INDEX(Input!$L$7:$L1503,ROW()-1),1,0))
  - EDATE(
      B1200 + IF(INDEX(Input!$K$7:$K1503,ROW()-1),0,1),
      12*S1200
    )
)</f>
        <v/>
      </c>
      <c r="V1200" s="6" t="str">
        <f t="shared" si="5"/>
        <v/>
      </c>
      <c r="W1200" s="6" t="str">
        <f t="shared" si="6"/>
        <v/>
      </c>
    </row>
    <row r="1201">
      <c r="A1201" s="18"/>
      <c r="B1201" s="18"/>
      <c r="C1201" s="18"/>
      <c r="D1201" s="18"/>
      <c r="E1201" s="18"/>
      <c r="F1201" s="18"/>
      <c r="G1201" s="22"/>
      <c r="H1201" s="18"/>
      <c r="I1201" s="18"/>
      <c r="J1201" s="18"/>
      <c r="K1201" s="18"/>
      <c r="L1201" s="18"/>
      <c r="M1201" s="22"/>
      <c r="N1201" s="18"/>
      <c r="O1201" s="23"/>
      <c r="P1201" s="18"/>
      <c r="Q1201" s="18"/>
      <c r="R1201" s="18"/>
      <c r="S1201" s="22"/>
      <c r="T1201" s="6" t="str">
        <f t="array" ref="T1201">IF(
  B1201="",
  ,
  DATEDIF(
    B1201 + IF(INDEX(Input!$K$7:$K1503,ROW()-1),0,1),
    C1201 + IF(INDEX(Input!$L$7:$L1503,ROW()-1),1,0),
    "Y"
  )
)</f>
        <v/>
      </c>
      <c r="U1201" s="6" t="str">
        <f t="array" ref="U1201">IF(
  B1201="",
  ,
  (C1201 + IF(INDEX(Input!$L$7:$L1503,ROW()-1),1,0))
  - EDATE(
      B1201 + IF(INDEX(Input!$K$7:$K1503,ROW()-1),0,1),
      12*S1201
    )
)</f>
        <v/>
      </c>
      <c r="V1201" s="6" t="str">
        <f t="shared" si="5"/>
        <v/>
      </c>
      <c r="W1201" s="6" t="str">
        <f t="shared" si="6"/>
        <v/>
      </c>
    </row>
    <row r="1202">
      <c r="A1202" s="18"/>
      <c r="B1202" s="18"/>
      <c r="C1202" s="18"/>
      <c r="D1202" s="18"/>
      <c r="E1202" s="18"/>
      <c r="F1202" s="18"/>
      <c r="G1202" s="22"/>
      <c r="H1202" s="18"/>
      <c r="I1202" s="18"/>
      <c r="J1202" s="18"/>
      <c r="K1202" s="18"/>
      <c r="L1202" s="18"/>
      <c r="M1202" s="22"/>
      <c r="N1202" s="18"/>
      <c r="O1202" s="23"/>
      <c r="P1202" s="18"/>
      <c r="Q1202" s="18"/>
      <c r="R1202" s="18"/>
      <c r="S1202" s="22"/>
      <c r="T1202" s="6" t="str">
        <f t="array" ref="T1202">IF(
  B1202="",
  ,
  DATEDIF(
    B1202 + IF(INDEX(Input!$K$7:$K1503,ROW()-1),0,1),
    C1202 + IF(INDEX(Input!$L$7:$L1503,ROW()-1),1,0),
    "Y"
  )
)</f>
        <v/>
      </c>
      <c r="U1202" s="6" t="str">
        <f t="array" ref="U1202">IF(
  B1202="",
  ,
  (C1202 + IF(INDEX(Input!$L$7:$L1503,ROW()-1),1,0))
  - EDATE(
      B1202 + IF(INDEX(Input!$K$7:$K1503,ROW()-1),0,1),
      12*S1202
    )
)</f>
        <v/>
      </c>
      <c r="V1202" s="6" t="str">
        <f t="shared" si="5"/>
        <v/>
      </c>
      <c r="W1202" s="6" t="str">
        <f t="shared" si="6"/>
        <v/>
      </c>
    </row>
    <row r="1203">
      <c r="A1203" s="18"/>
      <c r="B1203" s="18"/>
      <c r="C1203" s="18"/>
      <c r="D1203" s="18"/>
      <c r="E1203" s="18"/>
      <c r="F1203" s="18"/>
      <c r="G1203" s="22"/>
      <c r="H1203" s="18"/>
      <c r="I1203" s="18"/>
      <c r="J1203" s="18"/>
      <c r="K1203" s="18"/>
      <c r="L1203" s="18"/>
      <c r="M1203" s="22"/>
      <c r="N1203" s="18"/>
      <c r="O1203" s="23"/>
      <c r="P1203" s="18"/>
      <c r="Q1203" s="18"/>
      <c r="R1203" s="18"/>
      <c r="S1203" s="22"/>
      <c r="T1203" s="6" t="str">
        <f t="array" ref="T1203">IF(
  B1203="",
  ,
  DATEDIF(
    B1203 + IF(INDEX(Input!$K$7:$K1503,ROW()-1),0,1),
    C1203 + IF(INDEX(Input!$L$7:$L1503,ROW()-1),1,0),
    "Y"
  )
)</f>
        <v/>
      </c>
      <c r="U1203" s="6" t="str">
        <f t="array" ref="U1203">IF(
  B1203="",
  ,
  (C1203 + IF(INDEX(Input!$L$7:$L1503,ROW()-1),1,0))
  - EDATE(
      B1203 + IF(INDEX(Input!$K$7:$K1503,ROW()-1),0,1),
      12*S1203
    )
)</f>
        <v/>
      </c>
      <c r="V1203" s="6" t="str">
        <f t="shared" si="5"/>
        <v/>
      </c>
      <c r="W1203" s="6" t="str">
        <f t="shared" si="6"/>
        <v/>
      </c>
    </row>
    <row r="1204">
      <c r="A1204" s="18"/>
      <c r="B1204" s="18"/>
      <c r="C1204" s="18"/>
      <c r="D1204" s="18"/>
      <c r="E1204" s="18"/>
      <c r="F1204" s="18"/>
      <c r="G1204" s="22"/>
      <c r="H1204" s="18"/>
      <c r="I1204" s="18"/>
      <c r="J1204" s="18"/>
      <c r="K1204" s="18"/>
      <c r="L1204" s="18"/>
      <c r="M1204" s="22"/>
      <c r="N1204" s="18"/>
      <c r="O1204" s="23"/>
      <c r="P1204" s="18"/>
      <c r="Q1204" s="18"/>
      <c r="R1204" s="18"/>
      <c r="S1204" s="22"/>
      <c r="T1204" s="6" t="str">
        <f t="array" ref="T1204">IF(
  B1204="",
  ,
  DATEDIF(
    B1204 + IF(INDEX(Input!$K$7:$K1503,ROW()-1),0,1),
    C1204 + IF(INDEX(Input!$L$7:$L1503,ROW()-1),1,0),
    "Y"
  )
)</f>
        <v/>
      </c>
      <c r="U1204" s="6" t="str">
        <f t="array" ref="U1204">IF(
  B1204="",
  ,
  (C1204 + IF(INDEX(Input!$L$7:$L1503,ROW()-1),1,0))
  - EDATE(
      B1204 + IF(INDEX(Input!$K$7:$K1503,ROW()-1),0,1),
      12*S1204
    )
)</f>
        <v/>
      </c>
      <c r="V1204" s="6" t="str">
        <f t="shared" si="5"/>
        <v/>
      </c>
      <c r="W1204" s="6" t="str">
        <f t="shared" si="6"/>
        <v/>
      </c>
    </row>
    <row r="1205">
      <c r="A1205" s="18"/>
      <c r="B1205" s="18"/>
      <c r="C1205" s="18"/>
      <c r="D1205" s="18"/>
      <c r="E1205" s="18"/>
      <c r="F1205" s="18"/>
      <c r="G1205" s="22"/>
      <c r="H1205" s="18"/>
      <c r="I1205" s="18"/>
      <c r="J1205" s="18"/>
      <c r="K1205" s="18"/>
      <c r="L1205" s="18"/>
      <c r="M1205" s="22"/>
      <c r="N1205" s="18"/>
      <c r="O1205" s="23"/>
      <c r="P1205" s="18"/>
      <c r="Q1205" s="18"/>
      <c r="R1205" s="18"/>
      <c r="S1205" s="22"/>
      <c r="T1205" s="6" t="str">
        <f t="array" ref="T1205">IF(
  B1205="",
  ,
  DATEDIF(
    B1205 + IF(INDEX(Input!$K$7:$K1503,ROW()-1),0,1),
    C1205 + IF(INDEX(Input!$L$7:$L1503,ROW()-1),1,0),
    "Y"
  )
)</f>
        <v/>
      </c>
      <c r="U1205" s="6" t="str">
        <f t="array" ref="U1205">IF(
  B1205="",
  ,
  (C1205 + IF(INDEX(Input!$L$7:$L1503,ROW()-1),1,0))
  - EDATE(
      B1205 + IF(INDEX(Input!$K$7:$K1503,ROW()-1),0,1),
      12*S1205
    )
)</f>
        <v/>
      </c>
      <c r="V1205" s="6" t="str">
        <f t="shared" si="5"/>
        <v/>
      </c>
      <c r="W1205" s="6" t="str">
        <f t="shared" si="6"/>
        <v/>
      </c>
    </row>
    <row r="1206">
      <c r="A1206" s="18"/>
      <c r="B1206" s="18"/>
      <c r="C1206" s="18"/>
      <c r="D1206" s="18"/>
      <c r="E1206" s="18"/>
      <c r="F1206" s="18"/>
      <c r="G1206" s="22"/>
      <c r="H1206" s="18"/>
      <c r="I1206" s="18"/>
      <c r="J1206" s="18"/>
      <c r="K1206" s="18"/>
      <c r="L1206" s="18"/>
      <c r="M1206" s="22"/>
      <c r="N1206" s="18"/>
      <c r="O1206" s="23"/>
      <c r="P1206" s="18"/>
      <c r="Q1206" s="18"/>
      <c r="R1206" s="18"/>
      <c r="S1206" s="22"/>
      <c r="T1206" s="6" t="str">
        <f t="array" ref="T1206">IF(
  B1206="",
  ,
  DATEDIF(
    B1206 + IF(INDEX(Input!$K$7:$K1503,ROW()-1),0,1),
    C1206 + IF(INDEX(Input!$L$7:$L1503,ROW()-1),1,0),
    "Y"
  )
)</f>
        <v/>
      </c>
      <c r="U1206" s="6" t="str">
        <f t="array" ref="U1206">IF(
  B1206="",
  ,
  (C1206 + IF(INDEX(Input!$L$7:$L1503,ROW()-1),1,0))
  - EDATE(
      B1206 + IF(INDEX(Input!$K$7:$K1503,ROW()-1),0,1),
      12*S1206
    )
)</f>
        <v/>
      </c>
      <c r="V1206" s="6" t="str">
        <f t="shared" si="5"/>
        <v/>
      </c>
      <c r="W1206" s="6" t="str">
        <f t="shared" si="6"/>
        <v/>
      </c>
    </row>
    <row r="1207">
      <c r="A1207" s="18"/>
      <c r="B1207" s="18"/>
      <c r="C1207" s="18"/>
      <c r="D1207" s="18"/>
      <c r="E1207" s="18"/>
      <c r="F1207" s="18"/>
      <c r="G1207" s="22"/>
      <c r="H1207" s="18"/>
      <c r="I1207" s="18"/>
      <c r="J1207" s="18"/>
      <c r="K1207" s="18"/>
      <c r="L1207" s="18"/>
      <c r="M1207" s="22"/>
      <c r="N1207" s="18"/>
      <c r="O1207" s="23"/>
      <c r="P1207" s="18"/>
      <c r="Q1207" s="18"/>
      <c r="R1207" s="18"/>
      <c r="S1207" s="22"/>
      <c r="T1207" s="6" t="str">
        <f t="array" ref="T1207">IF(
  B1207="",
  ,
  DATEDIF(
    B1207 + IF(INDEX(Input!$K$7:$K1503,ROW()-1),0,1),
    C1207 + IF(INDEX(Input!$L$7:$L1503,ROW()-1),1,0),
    "Y"
  )
)</f>
        <v/>
      </c>
      <c r="U1207" s="6" t="str">
        <f t="array" ref="U1207">IF(
  B1207="",
  ,
  (C1207 + IF(INDEX(Input!$L$7:$L1503,ROW()-1),1,0))
  - EDATE(
      B1207 + IF(INDEX(Input!$K$7:$K1503,ROW()-1),0,1),
      12*S1207
    )
)</f>
        <v/>
      </c>
      <c r="V1207" s="6" t="str">
        <f t="shared" si="5"/>
        <v/>
      </c>
      <c r="W1207" s="6" t="str">
        <f t="shared" si="6"/>
        <v/>
      </c>
    </row>
    <row r="1208">
      <c r="A1208" s="18"/>
      <c r="B1208" s="18"/>
      <c r="C1208" s="18"/>
      <c r="D1208" s="18"/>
      <c r="E1208" s="18"/>
      <c r="F1208" s="18"/>
      <c r="G1208" s="22"/>
      <c r="H1208" s="18"/>
      <c r="I1208" s="18"/>
      <c r="J1208" s="18"/>
      <c r="K1208" s="18"/>
      <c r="L1208" s="18"/>
      <c r="M1208" s="22"/>
      <c r="N1208" s="18"/>
      <c r="O1208" s="23"/>
      <c r="P1208" s="18"/>
      <c r="Q1208" s="18"/>
      <c r="R1208" s="18"/>
      <c r="S1208" s="22"/>
      <c r="T1208" s="6" t="str">
        <f t="array" ref="T1208">IF(
  B1208="",
  ,
  DATEDIF(
    B1208 + IF(INDEX(Input!$K$7:$K1503,ROW()-1),0,1),
    C1208 + IF(INDEX(Input!$L$7:$L1503,ROW()-1),1,0),
    "Y"
  )
)</f>
        <v/>
      </c>
      <c r="U1208" s="6" t="str">
        <f t="array" ref="U1208">IF(
  B1208="",
  ,
  (C1208 + IF(INDEX(Input!$L$7:$L1503,ROW()-1),1,0))
  - EDATE(
      B1208 + IF(INDEX(Input!$K$7:$K1503,ROW()-1),0,1),
      12*S1208
    )
)</f>
        <v/>
      </c>
      <c r="V1208" s="6" t="str">
        <f t="shared" si="5"/>
        <v/>
      </c>
      <c r="W1208" s="6" t="str">
        <f t="shared" si="6"/>
        <v/>
      </c>
    </row>
    <row r="1209">
      <c r="A1209" s="18"/>
      <c r="B1209" s="18"/>
      <c r="C1209" s="18"/>
      <c r="D1209" s="18"/>
      <c r="E1209" s="18"/>
      <c r="F1209" s="18"/>
      <c r="G1209" s="22"/>
      <c r="H1209" s="18"/>
      <c r="I1209" s="18"/>
      <c r="J1209" s="18"/>
      <c r="K1209" s="18"/>
      <c r="L1209" s="18"/>
      <c r="M1209" s="22"/>
      <c r="N1209" s="18"/>
      <c r="O1209" s="23"/>
      <c r="P1209" s="18"/>
      <c r="Q1209" s="18"/>
      <c r="R1209" s="18"/>
      <c r="S1209" s="22"/>
      <c r="T1209" s="6" t="str">
        <f t="array" ref="T1209">IF(
  B1209="",
  ,
  DATEDIF(
    B1209 + IF(INDEX(Input!$K$7:$K1503,ROW()-1),0,1),
    C1209 + IF(INDEX(Input!$L$7:$L1503,ROW()-1),1,0),
    "Y"
  )
)</f>
        <v/>
      </c>
      <c r="U1209" s="6" t="str">
        <f t="array" ref="U1209">IF(
  B1209="",
  ,
  (C1209 + IF(INDEX(Input!$L$7:$L1503,ROW()-1),1,0))
  - EDATE(
      B1209 + IF(INDEX(Input!$K$7:$K1503,ROW()-1),0,1),
      12*S1209
    )
)</f>
        <v/>
      </c>
      <c r="V1209" s="6" t="str">
        <f t="shared" si="5"/>
        <v/>
      </c>
      <c r="W1209" s="6" t="str">
        <f t="shared" si="6"/>
        <v/>
      </c>
    </row>
    <row r="1210">
      <c r="A1210" s="18"/>
      <c r="B1210" s="18"/>
      <c r="C1210" s="18"/>
      <c r="D1210" s="18"/>
      <c r="E1210" s="18"/>
      <c r="F1210" s="18"/>
      <c r="G1210" s="22"/>
      <c r="H1210" s="18"/>
      <c r="I1210" s="18"/>
      <c r="J1210" s="18"/>
      <c r="K1210" s="18"/>
      <c r="L1210" s="18"/>
      <c r="M1210" s="22"/>
      <c r="N1210" s="18"/>
      <c r="O1210" s="23"/>
      <c r="P1210" s="18"/>
      <c r="Q1210" s="18"/>
      <c r="R1210" s="18"/>
      <c r="S1210" s="22"/>
      <c r="T1210" s="6" t="str">
        <f t="array" ref="T1210">IF(
  B1210="",
  ,
  DATEDIF(
    B1210 + IF(INDEX(Input!$K$7:$K1503,ROW()-1),0,1),
    C1210 + IF(INDEX(Input!$L$7:$L1503,ROW()-1),1,0),
    "Y"
  )
)</f>
        <v/>
      </c>
      <c r="U1210" s="6" t="str">
        <f t="array" ref="U1210">IF(
  B1210="",
  ,
  (C1210 + IF(INDEX(Input!$L$7:$L1503,ROW()-1),1,0))
  - EDATE(
      B1210 + IF(INDEX(Input!$K$7:$K1503,ROW()-1),0,1),
      12*S1210
    )
)</f>
        <v/>
      </c>
      <c r="V1210" s="6" t="str">
        <f t="shared" si="5"/>
        <v/>
      </c>
      <c r="W1210" s="6" t="str">
        <f t="shared" si="6"/>
        <v/>
      </c>
    </row>
    <row r="1211">
      <c r="A1211" s="18"/>
      <c r="B1211" s="18"/>
      <c r="C1211" s="18"/>
      <c r="D1211" s="18"/>
      <c r="E1211" s="18"/>
      <c r="F1211" s="18"/>
      <c r="G1211" s="22"/>
      <c r="H1211" s="18"/>
      <c r="I1211" s="18"/>
      <c r="J1211" s="18"/>
      <c r="K1211" s="18"/>
      <c r="L1211" s="18"/>
      <c r="M1211" s="22"/>
      <c r="N1211" s="18"/>
      <c r="O1211" s="23"/>
      <c r="P1211" s="18"/>
      <c r="Q1211" s="18"/>
      <c r="R1211" s="18"/>
      <c r="S1211" s="22"/>
      <c r="T1211" s="6" t="str">
        <f t="array" ref="T1211">IF(
  B1211="",
  ,
  DATEDIF(
    B1211 + IF(INDEX(Input!$K$7:$K1503,ROW()-1),0,1),
    C1211 + IF(INDEX(Input!$L$7:$L1503,ROW()-1),1,0),
    "Y"
  )
)</f>
        <v/>
      </c>
      <c r="U1211" s="6" t="str">
        <f t="array" ref="U1211">IF(
  B1211="",
  ,
  (C1211 + IF(INDEX(Input!$L$7:$L1503,ROW()-1),1,0))
  - EDATE(
      B1211 + IF(INDEX(Input!$K$7:$K1503,ROW()-1),0,1),
      12*S1211
    )
)</f>
        <v/>
      </c>
      <c r="V1211" s="6" t="str">
        <f t="shared" si="5"/>
        <v/>
      </c>
      <c r="W1211" s="6" t="str">
        <f t="shared" si="6"/>
        <v/>
      </c>
    </row>
    <row r="1212">
      <c r="A1212" s="18"/>
      <c r="B1212" s="18"/>
      <c r="C1212" s="18"/>
      <c r="D1212" s="18"/>
      <c r="E1212" s="18"/>
      <c r="F1212" s="18"/>
      <c r="G1212" s="22"/>
      <c r="H1212" s="18"/>
      <c r="I1212" s="18"/>
      <c r="J1212" s="18"/>
      <c r="K1212" s="18"/>
      <c r="L1212" s="18"/>
      <c r="M1212" s="22"/>
      <c r="N1212" s="18"/>
      <c r="O1212" s="23"/>
      <c r="P1212" s="18"/>
      <c r="Q1212" s="18"/>
      <c r="R1212" s="18"/>
      <c r="S1212" s="22"/>
      <c r="T1212" s="6" t="str">
        <f t="array" ref="T1212">IF(
  B1212="",
  ,
  DATEDIF(
    B1212 + IF(INDEX(Input!$K$7:$K1503,ROW()-1),0,1),
    C1212 + IF(INDEX(Input!$L$7:$L1503,ROW()-1),1,0),
    "Y"
  )
)</f>
        <v/>
      </c>
      <c r="U1212" s="6" t="str">
        <f t="array" ref="U1212">IF(
  B1212="",
  ,
  (C1212 + IF(INDEX(Input!$L$7:$L1503,ROW()-1),1,0))
  - EDATE(
      B1212 + IF(INDEX(Input!$K$7:$K1503,ROW()-1),0,1),
      12*S1212
    )
)</f>
        <v/>
      </c>
      <c r="V1212" s="6" t="str">
        <f t="shared" si="5"/>
        <v/>
      </c>
      <c r="W1212" s="6" t="str">
        <f t="shared" si="6"/>
        <v/>
      </c>
    </row>
    <row r="1213">
      <c r="A1213" s="18"/>
      <c r="B1213" s="18"/>
      <c r="C1213" s="18"/>
      <c r="D1213" s="18"/>
      <c r="E1213" s="18"/>
      <c r="F1213" s="18"/>
      <c r="G1213" s="22"/>
      <c r="H1213" s="18"/>
      <c r="I1213" s="18"/>
      <c r="J1213" s="18"/>
      <c r="K1213" s="18"/>
      <c r="L1213" s="18"/>
      <c r="M1213" s="22"/>
      <c r="N1213" s="18"/>
      <c r="O1213" s="23"/>
      <c r="P1213" s="18"/>
      <c r="Q1213" s="18"/>
      <c r="R1213" s="18"/>
      <c r="S1213" s="22"/>
      <c r="T1213" s="6" t="str">
        <f t="array" ref="T1213">IF(
  B1213="",
  ,
  DATEDIF(
    B1213 + IF(INDEX(Input!$K$7:$K1503,ROW()-1),0,1),
    C1213 + IF(INDEX(Input!$L$7:$L1503,ROW()-1),1,0),
    "Y"
  )
)</f>
        <v/>
      </c>
      <c r="U1213" s="6" t="str">
        <f t="array" ref="U1213">IF(
  B1213="",
  ,
  (C1213 + IF(INDEX(Input!$L$7:$L1503,ROW()-1),1,0))
  - EDATE(
      B1213 + IF(INDEX(Input!$K$7:$K1503,ROW()-1),0,1),
      12*S1213
    )
)</f>
        <v/>
      </c>
      <c r="V1213" s="6" t="str">
        <f t="shared" si="5"/>
        <v/>
      </c>
      <c r="W1213" s="6" t="str">
        <f t="shared" si="6"/>
        <v/>
      </c>
    </row>
    <row r="1214">
      <c r="A1214" s="18"/>
      <c r="B1214" s="18"/>
      <c r="C1214" s="18"/>
      <c r="D1214" s="18"/>
      <c r="E1214" s="18"/>
      <c r="F1214" s="18"/>
      <c r="G1214" s="22"/>
      <c r="H1214" s="18"/>
      <c r="I1214" s="18"/>
      <c r="J1214" s="18"/>
      <c r="K1214" s="18"/>
      <c r="L1214" s="18"/>
      <c r="M1214" s="22"/>
      <c r="N1214" s="18"/>
      <c r="O1214" s="23"/>
      <c r="P1214" s="18"/>
      <c r="Q1214" s="18"/>
      <c r="R1214" s="18"/>
      <c r="S1214" s="22"/>
      <c r="T1214" s="6" t="str">
        <f t="array" ref="T1214">IF(
  B1214="",
  ,
  DATEDIF(
    B1214 + IF(INDEX(Input!$K$7:$K1503,ROW()-1),0,1),
    C1214 + IF(INDEX(Input!$L$7:$L1503,ROW()-1),1,0),
    "Y"
  )
)</f>
        <v/>
      </c>
      <c r="U1214" s="6" t="str">
        <f t="array" ref="U1214">IF(
  B1214="",
  ,
  (C1214 + IF(INDEX(Input!$L$7:$L1503,ROW()-1),1,0))
  - EDATE(
      B1214 + IF(INDEX(Input!$K$7:$K1503,ROW()-1),0,1),
      12*S1214
    )
)</f>
        <v/>
      </c>
      <c r="V1214" s="6" t="str">
        <f t="shared" si="5"/>
        <v/>
      </c>
      <c r="W1214" s="6" t="str">
        <f t="shared" si="6"/>
        <v/>
      </c>
    </row>
    <row r="1215">
      <c r="A1215" s="18"/>
      <c r="B1215" s="18"/>
      <c r="C1215" s="18"/>
      <c r="D1215" s="18"/>
      <c r="E1215" s="18"/>
      <c r="F1215" s="18"/>
      <c r="G1215" s="22"/>
      <c r="H1215" s="18"/>
      <c r="I1215" s="18"/>
      <c r="J1215" s="18"/>
      <c r="K1215" s="18"/>
      <c r="L1215" s="18"/>
      <c r="M1215" s="22"/>
      <c r="N1215" s="18"/>
      <c r="O1215" s="23"/>
      <c r="P1215" s="18"/>
      <c r="Q1215" s="18"/>
      <c r="R1215" s="18"/>
      <c r="S1215" s="22"/>
      <c r="T1215" s="6" t="str">
        <f t="array" ref="T1215">IF(
  B1215="",
  ,
  DATEDIF(
    B1215 + IF(INDEX(Input!$K$7:$K1503,ROW()-1),0,1),
    C1215 + IF(INDEX(Input!$L$7:$L1503,ROW()-1),1,0),
    "Y"
  )
)</f>
        <v/>
      </c>
      <c r="U1215" s="6" t="str">
        <f t="array" ref="U1215">IF(
  B1215="",
  ,
  (C1215 + IF(INDEX(Input!$L$7:$L1503,ROW()-1),1,0))
  - EDATE(
      B1215 + IF(INDEX(Input!$K$7:$K1503,ROW()-1),0,1),
      12*S1215
    )
)</f>
        <v/>
      </c>
      <c r="V1215" s="6" t="str">
        <f t="shared" si="5"/>
        <v/>
      </c>
      <c r="W1215" s="6" t="str">
        <f t="shared" si="6"/>
        <v/>
      </c>
    </row>
    <row r="1216">
      <c r="A1216" s="18"/>
      <c r="B1216" s="18"/>
      <c r="C1216" s="18"/>
      <c r="D1216" s="18"/>
      <c r="E1216" s="18"/>
      <c r="F1216" s="18"/>
      <c r="G1216" s="22"/>
      <c r="H1216" s="18"/>
      <c r="I1216" s="18"/>
      <c r="J1216" s="18"/>
      <c r="K1216" s="18"/>
      <c r="L1216" s="18"/>
      <c r="M1216" s="22"/>
      <c r="N1216" s="18"/>
      <c r="O1216" s="23"/>
      <c r="P1216" s="18"/>
      <c r="Q1216" s="18"/>
      <c r="R1216" s="18"/>
      <c r="S1216" s="22"/>
      <c r="T1216" s="6" t="str">
        <f t="array" ref="T1216">IF(
  B1216="",
  ,
  DATEDIF(
    B1216 + IF(INDEX(Input!$K$7:$K1503,ROW()-1),0,1),
    C1216 + IF(INDEX(Input!$L$7:$L1503,ROW()-1),1,0),
    "Y"
  )
)</f>
        <v/>
      </c>
      <c r="U1216" s="6" t="str">
        <f t="array" ref="U1216">IF(
  B1216="",
  ,
  (C1216 + IF(INDEX(Input!$L$7:$L1503,ROW()-1),1,0))
  - EDATE(
      B1216 + IF(INDEX(Input!$K$7:$K1503,ROW()-1),0,1),
      12*S1216
    )
)</f>
        <v/>
      </c>
      <c r="V1216" s="6" t="str">
        <f t="shared" si="5"/>
        <v/>
      </c>
      <c r="W1216" s="6" t="str">
        <f t="shared" si="6"/>
        <v/>
      </c>
    </row>
    <row r="1217">
      <c r="A1217" s="18"/>
      <c r="B1217" s="18"/>
      <c r="C1217" s="18"/>
      <c r="D1217" s="18"/>
      <c r="E1217" s="18"/>
      <c r="F1217" s="18"/>
      <c r="G1217" s="22"/>
      <c r="H1217" s="18"/>
      <c r="I1217" s="18"/>
      <c r="J1217" s="18"/>
      <c r="K1217" s="18"/>
      <c r="L1217" s="18"/>
      <c r="M1217" s="22"/>
      <c r="N1217" s="18"/>
      <c r="O1217" s="23"/>
      <c r="P1217" s="18"/>
      <c r="Q1217" s="18"/>
      <c r="R1217" s="18"/>
      <c r="S1217" s="22"/>
      <c r="T1217" s="6" t="str">
        <f t="array" ref="T1217">IF(
  B1217="",
  ,
  DATEDIF(
    B1217 + IF(INDEX(Input!$K$7:$K1503,ROW()-1),0,1),
    C1217 + IF(INDEX(Input!$L$7:$L1503,ROW()-1),1,0),
    "Y"
  )
)</f>
        <v/>
      </c>
      <c r="U1217" s="6" t="str">
        <f t="array" ref="U1217">IF(
  B1217="",
  ,
  (C1217 + IF(INDEX(Input!$L$7:$L1503,ROW()-1),1,0))
  - EDATE(
      B1217 + IF(INDEX(Input!$K$7:$K1503,ROW()-1),0,1),
      12*S1217
    )
)</f>
        <v/>
      </c>
      <c r="V1217" s="6" t="str">
        <f t="shared" si="5"/>
        <v/>
      </c>
      <c r="W1217" s="6" t="str">
        <f t="shared" si="6"/>
        <v/>
      </c>
    </row>
    <row r="1218">
      <c r="A1218" s="18"/>
      <c r="B1218" s="18"/>
      <c r="C1218" s="18"/>
      <c r="D1218" s="18"/>
      <c r="E1218" s="18"/>
      <c r="F1218" s="18"/>
      <c r="G1218" s="22"/>
      <c r="H1218" s="18"/>
      <c r="I1218" s="18"/>
      <c r="J1218" s="18"/>
      <c r="K1218" s="18"/>
      <c r="L1218" s="18"/>
      <c r="M1218" s="22"/>
      <c r="N1218" s="18"/>
      <c r="O1218" s="23"/>
      <c r="P1218" s="18"/>
      <c r="Q1218" s="18"/>
      <c r="R1218" s="18"/>
      <c r="S1218" s="22"/>
      <c r="T1218" s="6" t="str">
        <f t="array" ref="T1218">IF(
  B1218="",
  ,
  DATEDIF(
    B1218 + IF(INDEX(Input!$K$7:$K1503,ROW()-1),0,1),
    C1218 + IF(INDEX(Input!$L$7:$L1503,ROW()-1),1,0),
    "Y"
  )
)</f>
        <v/>
      </c>
      <c r="U1218" s="6" t="str">
        <f t="array" ref="U1218">IF(
  B1218="",
  ,
  (C1218 + IF(INDEX(Input!$L$7:$L1503,ROW()-1),1,0))
  - EDATE(
      B1218 + IF(INDEX(Input!$K$7:$K1503,ROW()-1),0,1),
      12*S1218
    )
)</f>
        <v/>
      </c>
      <c r="V1218" s="6" t="str">
        <f t="shared" si="5"/>
        <v/>
      </c>
      <c r="W1218" s="6" t="str">
        <f t="shared" si="6"/>
        <v/>
      </c>
    </row>
    <row r="1219">
      <c r="A1219" s="18"/>
      <c r="B1219" s="18"/>
      <c r="C1219" s="18"/>
      <c r="D1219" s="18"/>
      <c r="E1219" s="18"/>
      <c r="F1219" s="18"/>
      <c r="G1219" s="22"/>
      <c r="H1219" s="18"/>
      <c r="I1219" s="18"/>
      <c r="J1219" s="18"/>
      <c r="K1219" s="18"/>
      <c r="L1219" s="18"/>
      <c r="M1219" s="22"/>
      <c r="N1219" s="18"/>
      <c r="O1219" s="23"/>
      <c r="P1219" s="18"/>
      <c r="Q1219" s="18"/>
      <c r="R1219" s="18"/>
      <c r="S1219" s="22"/>
      <c r="T1219" s="6" t="str">
        <f t="array" ref="T1219">IF(
  B1219="",
  ,
  DATEDIF(
    B1219 + IF(INDEX(Input!$K$7:$K1503,ROW()-1),0,1),
    C1219 + IF(INDEX(Input!$L$7:$L1503,ROW()-1),1,0),
    "Y"
  )
)</f>
        <v/>
      </c>
      <c r="U1219" s="6" t="str">
        <f t="array" ref="U1219">IF(
  B1219="",
  ,
  (C1219 + IF(INDEX(Input!$L$7:$L1503,ROW()-1),1,0))
  - EDATE(
      B1219 + IF(INDEX(Input!$K$7:$K1503,ROW()-1),0,1),
      12*S1219
    )
)</f>
        <v/>
      </c>
      <c r="V1219" s="6" t="str">
        <f t="shared" si="5"/>
        <v/>
      </c>
      <c r="W1219" s="6" t="str">
        <f t="shared" si="6"/>
        <v/>
      </c>
    </row>
    <row r="1220">
      <c r="A1220" s="18"/>
      <c r="B1220" s="18"/>
      <c r="C1220" s="18"/>
      <c r="D1220" s="18"/>
      <c r="E1220" s="18"/>
      <c r="F1220" s="18"/>
      <c r="G1220" s="22"/>
      <c r="H1220" s="18"/>
      <c r="I1220" s="18"/>
      <c r="J1220" s="18"/>
      <c r="K1220" s="18"/>
      <c r="L1220" s="18"/>
      <c r="M1220" s="22"/>
      <c r="N1220" s="18"/>
      <c r="O1220" s="23"/>
      <c r="P1220" s="18"/>
      <c r="Q1220" s="18"/>
      <c r="R1220" s="18"/>
      <c r="S1220" s="22"/>
      <c r="T1220" s="6" t="str">
        <f t="array" ref="T1220">IF(
  B1220="",
  ,
  DATEDIF(
    B1220 + IF(INDEX(Input!$K$7:$K1503,ROW()-1),0,1),
    C1220 + IF(INDEX(Input!$L$7:$L1503,ROW()-1),1,0),
    "Y"
  )
)</f>
        <v/>
      </c>
      <c r="U1220" s="6" t="str">
        <f t="array" ref="U1220">IF(
  B1220="",
  ,
  (C1220 + IF(INDEX(Input!$L$7:$L1503,ROW()-1),1,0))
  - EDATE(
      B1220 + IF(INDEX(Input!$K$7:$K1503,ROW()-1),0,1),
      12*S1220
    )
)</f>
        <v/>
      </c>
      <c r="V1220" s="6" t="str">
        <f t="shared" si="5"/>
        <v/>
      </c>
      <c r="W1220" s="6" t="str">
        <f t="shared" si="6"/>
        <v/>
      </c>
    </row>
    <row r="1221">
      <c r="A1221" s="18"/>
      <c r="B1221" s="18"/>
      <c r="C1221" s="18"/>
      <c r="D1221" s="18"/>
      <c r="E1221" s="18"/>
      <c r="F1221" s="18"/>
      <c r="G1221" s="22"/>
      <c r="H1221" s="18"/>
      <c r="I1221" s="18"/>
      <c r="J1221" s="18"/>
      <c r="K1221" s="18"/>
      <c r="L1221" s="18"/>
      <c r="M1221" s="22"/>
      <c r="N1221" s="18"/>
      <c r="O1221" s="23"/>
      <c r="P1221" s="18"/>
      <c r="Q1221" s="18"/>
      <c r="R1221" s="18"/>
      <c r="S1221" s="22"/>
      <c r="T1221" s="6" t="str">
        <f t="array" ref="T1221">IF(
  B1221="",
  ,
  DATEDIF(
    B1221 + IF(INDEX(Input!$K$7:$K1503,ROW()-1),0,1),
    C1221 + IF(INDEX(Input!$L$7:$L1503,ROW()-1),1,0),
    "Y"
  )
)</f>
        <v/>
      </c>
      <c r="U1221" s="6" t="str">
        <f t="array" ref="U1221">IF(
  B1221="",
  ,
  (C1221 + IF(INDEX(Input!$L$7:$L1503,ROW()-1),1,0))
  - EDATE(
      B1221 + IF(INDEX(Input!$K$7:$K1503,ROW()-1),0,1),
      12*S1221
    )
)</f>
        <v/>
      </c>
      <c r="V1221" s="6" t="str">
        <f t="shared" si="5"/>
        <v/>
      </c>
      <c r="W1221" s="6" t="str">
        <f t="shared" si="6"/>
        <v/>
      </c>
    </row>
    <row r="1222">
      <c r="A1222" s="18"/>
      <c r="B1222" s="18"/>
      <c r="C1222" s="18"/>
      <c r="D1222" s="18"/>
      <c r="E1222" s="18"/>
      <c r="F1222" s="18"/>
      <c r="G1222" s="22"/>
      <c r="H1222" s="18"/>
      <c r="I1222" s="18"/>
      <c r="J1222" s="18"/>
      <c r="K1222" s="18"/>
      <c r="L1222" s="18"/>
      <c r="M1222" s="22"/>
      <c r="N1222" s="18"/>
      <c r="O1222" s="23"/>
      <c r="P1222" s="18"/>
      <c r="Q1222" s="18"/>
      <c r="R1222" s="18"/>
      <c r="S1222" s="22"/>
      <c r="T1222" s="6" t="str">
        <f t="array" ref="T1222">IF(
  B1222="",
  ,
  DATEDIF(
    B1222 + IF(INDEX(Input!$K$7:$K1503,ROW()-1),0,1),
    C1222 + IF(INDEX(Input!$L$7:$L1503,ROW()-1),1,0),
    "Y"
  )
)</f>
        <v/>
      </c>
      <c r="U1222" s="6" t="str">
        <f t="array" ref="U1222">IF(
  B1222="",
  ,
  (C1222 + IF(INDEX(Input!$L$7:$L1503,ROW()-1),1,0))
  - EDATE(
      B1222 + IF(INDEX(Input!$K$7:$K1503,ROW()-1),0,1),
      12*S1222
    )
)</f>
        <v/>
      </c>
      <c r="V1222" s="6" t="str">
        <f t="shared" si="5"/>
        <v/>
      </c>
      <c r="W1222" s="6" t="str">
        <f t="shared" si="6"/>
        <v/>
      </c>
    </row>
    <row r="1223">
      <c r="A1223" s="18"/>
      <c r="B1223" s="18"/>
      <c r="C1223" s="18"/>
      <c r="D1223" s="18"/>
      <c r="E1223" s="18"/>
      <c r="F1223" s="18"/>
      <c r="G1223" s="22"/>
      <c r="H1223" s="18"/>
      <c r="I1223" s="18"/>
      <c r="J1223" s="18"/>
      <c r="K1223" s="18"/>
      <c r="L1223" s="18"/>
      <c r="M1223" s="22"/>
      <c r="N1223" s="18"/>
      <c r="O1223" s="23"/>
      <c r="P1223" s="18"/>
      <c r="Q1223" s="18"/>
      <c r="R1223" s="18"/>
      <c r="S1223" s="22"/>
      <c r="T1223" s="6" t="str">
        <f t="array" ref="T1223">IF(
  B1223="",
  ,
  DATEDIF(
    B1223 + IF(INDEX(Input!$K$7:$K1503,ROW()-1),0,1),
    C1223 + IF(INDEX(Input!$L$7:$L1503,ROW()-1),1,0),
    "Y"
  )
)</f>
        <v/>
      </c>
      <c r="U1223" s="6" t="str">
        <f t="array" ref="U1223">IF(
  B1223="",
  ,
  (C1223 + IF(INDEX(Input!$L$7:$L1503,ROW()-1),1,0))
  - EDATE(
      B1223 + IF(INDEX(Input!$K$7:$K1503,ROW()-1),0,1),
      12*S1223
    )
)</f>
        <v/>
      </c>
      <c r="V1223" s="6" t="str">
        <f t="shared" si="5"/>
        <v/>
      </c>
      <c r="W1223" s="6" t="str">
        <f t="shared" si="6"/>
        <v/>
      </c>
    </row>
    <row r="1224">
      <c r="A1224" s="18"/>
      <c r="B1224" s="18"/>
      <c r="C1224" s="18"/>
      <c r="D1224" s="18"/>
      <c r="E1224" s="18"/>
      <c r="F1224" s="18"/>
      <c r="G1224" s="22"/>
      <c r="H1224" s="18"/>
      <c r="I1224" s="18"/>
      <c r="J1224" s="18"/>
      <c r="K1224" s="18"/>
      <c r="L1224" s="18"/>
      <c r="M1224" s="22"/>
      <c r="N1224" s="18"/>
      <c r="O1224" s="23"/>
      <c r="P1224" s="18"/>
      <c r="Q1224" s="18"/>
      <c r="R1224" s="18"/>
      <c r="S1224" s="22"/>
      <c r="T1224" s="6" t="str">
        <f t="array" ref="T1224">IF(
  B1224="",
  ,
  DATEDIF(
    B1224 + IF(INDEX(Input!$K$7:$K1503,ROW()-1),0,1),
    C1224 + IF(INDEX(Input!$L$7:$L1503,ROW()-1),1,0),
    "Y"
  )
)</f>
        <v/>
      </c>
      <c r="U1224" s="6" t="str">
        <f t="array" ref="U1224">IF(
  B1224="",
  ,
  (C1224 + IF(INDEX(Input!$L$7:$L1503,ROW()-1),1,0))
  - EDATE(
      B1224 + IF(INDEX(Input!$K$7:$K1503,ROW()-1),0,1),
      12*S1224
    )
)</f>
        <v/>
      </c>
      <c r="V1224" s="6" t="str">
        <f t="shared" si="5"/>
        <v/>
      </c>
      <c r="W1224" s="6" t="str">
        <f t="shared" si="6"/>
        <v/>
      </c>
    </row>
    <row r="1225">
      <c r="A1225" s="18"/>
      <c r="B1225" s="18"/>
      <c r="C1225" s="18"/>
      <c r="D1225" s="18"/>
      <c r="E1225" s="18"/>
      <c r="F1225" s="18"/>
      <c r="G1225" s="22"/>
      <c r="H1225" s="18"/>
      <c r="I1225" s="18"/>
      <c r="J1225" s="18"/>
      <c r="K1225" s="18"/>
      <c r="L1225" s="18"/>
      <c r="M1225" s="22"/>
      <c r="N1225" s="18"/>
      <c r="O1225" s="23"/>
      <c r="P1225" s="18"/>
      <c r="Q1225" s="18"/>
      <c r="R1225" s="18"/>
      <c r="S1225" s="22"/>
      <c r="T1225" s="6" t="str">
        <f t="array" ref="T1225">IF(
  B1225="",
  ,
  DATEDIF(
    B1225 + IF(INDEX(Input!$K$7:$K1503,ROW()-1),0,1),
    C1225 + IF(INDEX(Input!$L$7:$L1503,ROW()-1),1,0),
    "Y"
  )
)</f>
        <v/>
      </c>
      <c r="U1225" s="6" t="str">
        <f t="array" ref="U1225">IF(
  B1225="",
  ,
  (C1225 + IF(INDEX(Input!$L$7:$L1503,ROW()-1),1,0))
  - EDATE(
      B1225 + IF(INDEX(Input!$K$7:$K1503,ROW()-1),0,1),
      12*S1225
    )
)</f>
        <v/>
      </c>
      <c r="V1225" s="6" t="str">
        <f t="shared" si="5"/>
        <v/>
      </c>
      <c r="W1225" s="6" t="str">
        <f t="shared" si="6"/>
        <v/>
      </c>
    </row>
    <row r="1226">
      <c r="A1226" s="18"/>
      <c r="B1226" s="18"/>
      <c r="C1226" s="18"/>
      <c r="D1226" s="18"/>
      <c r="E1226" s="18"/>
      <c r="F1226" s="18"/>
      <c r="G1226" s="22"/>
      <c r="H1226" s="18"/>
      <c r="I1226" s="18"/>
      <c r="J1226" s="18"/>
      <c r="K1226" s="18"/>
      <c r="L1226" s="18"/>
      <c r="M1226" s="22"/>
      <c r="N1226" s="18"/>
      <c r="O1226" s="23"/>
      <c r="P1226" s="18"/>
      <c r="Q1226" s="18"/>
      <c r="R1226" s="18"/>
      <c r="S1226" s="22"/>
      <c r="T1226" s="6" t="str">
        <f t="array" ref="T1226">IF(
  B1226="",
  ,
  DATEDIF(
    B1226 + IF(INDEX(Input!$K$7:$K1503,ROW()-1),0,1),
    C1226 + IF(INDEX(Input!$L$7:$L1503,ROW()-1),1,0),
    "Y"
  )
)</f>
        <v/>
      </c>
      <c r="U1226" s="6" t="str">
        <f t="array" ref="U1226">IF(
  B1226="",
  ,
  (C1226 + IF(INDEX(Input!$L$7:$L1503,ROW()-1),1,0))
  - EDATE(
      B1226 + IF(INDEX(Input!$K$7:$K1503,ROW()-1),0,1),
      12*S1226
    )
)</f>
        <v/>
      </c>
      <c r="V1226" s="6" t="str">
        <f t="shared" si="5"/>
        <v/>
      </c>
      <c r="W1226" s="6" t="str">
        <f t="shared" si="6"/>
        <v/>
      </c>
    </row>
    <row r="1227">
      <c r="A1227" s="18"/>
      <c r="B1227" s="18"/>
      <c r="C1227" s="18"/>
      <c r="D1227" s="18"/>
      <c r="E1227" s="18"/>
      <c r="F1227" s="18"/>
      <c r="G1227" s="22"/>
      <c r="H1227" s="18"/>
      <c r="I1227" s="18"/>
      <c r="J1227" s="18"/>
      <c r="K1227" s="18"/>
      <c r="L1227" s="18"/>
      <c r="M1227" s="22"/>
      <c r="N1227" s="18"/>
      <c r="O1227" s="23"/>
      <c r="P1227" s="18"/>
      <c r="Q1227" s="18"/>
      <c r="R1227" s="18"/>
      <c r="S1227" s="22"/>
      <c r="T1227" s="6" t="str">
        <f t="array" ref="T1227">IF(
  B1227="",
  ,
  DATEDIF(
    B1227 + IF(INDEX(Input!$K$7:$K1503,ROW()-1),0,1),
    C1227 + IF(INDEX(Input!$L$7:$L1503,ROW()-1),1,0),
    "Y"
  )
)</f>
        <v/>
      </c>
      <c r="U1227" s="6" t="str">
        <f t="array" ref="U1227">IF(
  B1227="",
  ,
  (C1227 + IF(INDEX(Input!$L$7:$L1503,ROW()-1),1,0))
  - EDATE(
      B1227 + IF(INDEX(Input!$K$7:$K1503,ROW()-1),0,1),
      12*S1227
    )
)</f>
        <v/>
      </c>
      <c r="V1227" s="6" t="str">
        <f t="shared" si="5"/>
        <v/>
      </c>
      <c r="W1227" s="6" t="str">
        <f t="shared" si="6"/>
        <v/>
      </c>
    </row>
    <row r="1228">
      <c r="A1228" s="18"/>
      <c r="B1228" s="18"/>
      <c r="C1228" s="18"/>
      <c r="D1228" s="18"/>
      <c r="E1228" s="18"/>
      <c r="F1228" s="18"/>
      <c r="G1228" s="22"/>
      <c r="H1228" s="18"/>
      <c r="I1228" s="18"/>
      <c r="J1228" s="18"/>
      <c r="K1228" s="18"/>
      <c r="L1228" s="18"/>
      <c r="M1228" s="22"/>
      <c r="N1228" s="18"/>
      <c r="O1228" s="23"/>
      <c r="P1228" s="18"/>
      <c r="Q1228" s="18"/>
      <c r="R1228" s="18"/>
      <c r="S1228" s="22"/>
      <c r="T1228" s="6" t="str">
        <f t="array" ref="T1228">IF(
  B1228="",
  ,
  DATEDIF(
    B1228 + IF(INDEX(Input!$K$7:$K1503,ROW()-1),0,1),
    C1228 + IF(INDEX(Input!$L$7:$L1503,ROW()-1),1,0),
    "Y"
  )
)</f>
        <v/>
      </c>
      <c r="U1228" s="6" t="str">
        <f t="array" ref="U1228">IF(
  B1228="",
  ,
  (C1228 + IF(INDEX(Input!$L$7:$L1503,ROW()-1),1,0))
  - EDATE(
      B1228 + IF(INDEX(Input!$K$7:$K1503,ROW()-1),0,1),
      12*S1228
    )
)</f>
        <v/>
      </c>
      <c r="V1228" s="6" t="str">
        <f t="shared" si="5"/>
        <v/>
      </c>
      <c r="W1228" s="6" t="str">
        <f t="shared" si="6"/>
        <v/>
      </c>
    </row>
    <row r="1229">
      <c r="A1229" s="18"/>
      <c r="B1229" s="18"/>
      <c r="C1229" s="18"/>
      <c r="D1229" s="18"/>
      <c r="E1229" s="18"/>
      <c r="F1229" s="18"/>
      <c r="G1229" s="22"/>
      <c r="H1229" s="18"/>
      <c r="I1229" s="18"/>
      <c r="J1229" s="18"/>
      <c r="K1229" s="18"/>
      <c r="L1229" s="18"/>
      <c r="M1229" s="22"/>
      <c r="N1229" s="18"/>
      <c r="O1229" s="23"/>
      <c r="P1229" s="18"/>
      <c r="Q1229" s="18"/>
      <c r="R1229" s="18"/>
      <c r="S1229" s="22"/>
      <c r="T1229" s="6" t="str">
        <f t="array" ref="T1229">IF(
  B1229="",
  ,
  DATEDIF(
    B1229 + IF(INDEX(Input!$K$7:$K1503,ROW()-1),0,1),
    C1229 + IF(INDEX(Input!$L$7:$L1503,ROW()-1),1,0),
    "Y"
  )
)</f>
        <v/>
      </c>
      <c r="U1229" s="6" t="str">
        <f t="array" ref="U1229">IF(
  B1229="",
  ,
  (C1229 + IF(INDEX(Input!$L$7:$L1503,ROW()-1),1,0))
  - EDATE(
      B1229 + IF(INDEX(Input!$K$7:$K1503,ROW()-1),0,1),
      12*S1229
    )
)</f>
        <v/>
      </c>
      <c r="V1229" s="6" t="str">
        <f t="shared" si="5"/>
        <v/>
      </c>
      <c r="W1229" s="6" t="str">
        <f t="shared" si="6"/>
        <v/>
      </c>
    </row>
    <row r="1230">
      <c r="A1230" s="18"/>
      <c r="B1230" s="18"/>
      <c r="C1230" s="18"/>
      <c r="D1230" s="18"/>
      <c r="E1230" s="18"/>
      <c r="F1230" s="18"/>
      <c r="G1230" s="22"/>
      <c r="H1230" s="18"/>
      <c r="I1230" s="18"/>
      <c r="J1230" s="18"/>
      <c r="K1230" s="18"/>
      <c r="L1230" s="18"/>
      <c r="M1230" s="22"/>
      <c r="N1230" s="18"/>
      <c r="O1230" s="23"/>
      <c r="P1230" s="18"/>
      <c r="Q1230" s="18"/>
      <c r="R1230" s="18"/>
      <c r="S1230" s="22"/>
      <c r="T1230" s="6" t="str">
        <f t="array" ref="T1230">IF(
  B1230="",
  ,
  DATEDIF(
    B1230 + IF(INDEX(Input!$K$7:$K1503,ROW()-1),0,1),
    C1230 + IF(INDEX(Input!$L$7:$L1503,ROW()-1),1,0),
    "Y"
  )
)</f>
        <v/>
      </c>
      <c r="U1230" s="6" t="str">
        <f t="array" ref="U1230">IF(
  B1230="",
  ,
  (C1230 + IF(INDEX(Input!$L$7:$L1503,ROW()-1),1,0))
  - EDATE(
      B1230 + IF(INDEX(Input!$K$7:$K1503,ROW()-1),0,1),
      12*S1230
    )
)</f>
        <v/>
      </c>
      <c r="V1230" s="6" t="str">
        <f t="shared" si="5"/>
        <v/>
      </c>
      <c r="W1230" s="6" t="str">
        <f t="shared" si="6"/>
        <v/>
      </c>
    </row>
    <row r="1231">
      <c r="A1231" s="18"/>
      <c r="B1231" s="18"/>
      <c r="C1231" s="18"/>
      <c r="D1231" s="18"/>
      <c r="E1231" s="18"/>
      <c r="F1231" s="18"/>
      <c r="G1231" s="22"/>
      <c r="H1231" s="18"/>
      <c r="I1231" s="18"/>
      <c r="J1231" s="18"/>
      <c r="K1231" s="18"/>
      <c r="L1231" s="18"/>
      <c r="M1231" s="22"/>
      <c r="N1231" s="18"/>
      <c r="O1231" s="23"/>
      <c r="P1231" s="18"/>
      <c r="Q1231" s="18"/>
      <c r="R1231" s="18"/>
      <c r="S1231" s="22"/>
      <c r="T1231" s="6" t="str">
        <f t="array" ref="T1231">IF(
  B1231="",
  ,
  DATEDIF(
    B1231 + IF(INDEX(Input!$K$7:$K1503,ROW()-1),0,1),
    C1231 + IF(INDEX(Input!$L$7:$L1503,ROW()-1),1,0),
    "Y"
  )
)</f>
        <v/>
      </c>
      <c r="U1231" s="6" t="str">
        <f t="array" ref="U1231">IF(
  B1231="",
  ,
  (C1231 + IF(INDEX(Input!$L$7:$L1503,ROW()-1),1,0))
  - EDATE(
      B1231 + IF(INDEX(Input!$K$7:$K1503,ROW()-1),0,1),
      12*S1231
    )
)</f>
        <v/>
      </c>
      <c r="V1231" s="6" t="str">
        <f t="shared" si="5"/>
        <v/>
      </c>
      <c r="W1231" s="6" t="str">
        <f t="shared" si="6"/>
        <v/>
      </c>
    </row>
    <row r="1232">
      <c r="A1232" s="18"/>
      <c r="B1232" s="18"/>
      <c r="C1232" s="18"/>
      <c r="D1232" s="18"/>
      <c r="E1232" s="18"/>
      <c r="F1232" s="18"/>
      <c r="G1232" s="22"/>
      <c r="H1232" s="18"/>
      <c r="I1232" s="18"/>
      <c r="J1232" s="18"/>
      <c r="K1232" s="18"/>
      <c r="L1232" s="18"/>
      <c r="M1232" s="22"/>
      <c r="N1232" s="18"/>
      <c r="O1232" s="23"/>
      <c r="P1232" s="18"/>
      <c r="Q1232" s="18"/>
      <c r="R1232" s="18"/>
      <c r="S1232" s="22"/>
      <c r="T1232" s="6" t="str">
        <f t="array" ref="T1232">IF(
  B1232="",
  ,
  DATEDIF(
    B1232 + IF(INDEX(Input!$K$7:$K1503,ROW()-1),0,1),
    C1232 + IF(INDEX(Input!$L$7:$L1503,ROW()-1),1,0),
    "Y"
  )
)</f>
        <v/>
      </c>
      <c r="U1232" s="6" t="str">
        <f t="array" ref="U1232">IF(
  B1232="",
  ,
  (C1232 + IF(INDEX(Input!$L$7:$L1503,ROW()-1),1,0))
  - EDATE(
      B1232 + IF(INDEX(Input!$K$7:$K1503,ROW()-1),0,1),
      12*S1232
    )
)</f>
        <v/>
      </c>
      <c r="V1232" s="6" t="str">
        <f t="shared" si="5"/>
        <v/>
      </c>
      <c r="W1232" s="6" t="str">
        <f t="shared" si="6"/>
        <v/>
      </c>
    </row>
    <row r="1233">
      <c r="A1233" s="18"/>
      <c r="B1233" s="18"/>
      <c r="C1233" s="18"/>
      <c r="D1233" s="18"/>
      <c r="E1233" s="18"/>
      <c r="F1233" s="18"/>
      <c r="G1233" s="22"/>
      <c r="H1233" s="18"/>
      <c r="I1233" s="18"/>
      <c r="J1233" s="18"/>
      <c r="K1233" s="18"/>
      <c r="L1233" s="18"/>
      <c r="M1233" s="22"/>
      <c r="N1233" s="18"/>
      <c r="O1233" s="23"/>
      <c r="P1233" s="18"/>
      <c r="Q1233" s="18"/>
      <c r="R1233" s="18"/>
      <c r="S1233" s="22"/>
      <c r="T1233" s="6" t="str">
        <f t="array" ref="T1233">IF(
  B1233="",
  ,
  DATEDIF(
    B1233 + IF(INDEX(Input!$K$7:$K1503,ROW()-1),0,1),
    C1233 + IF(INDEX(Input!$L$7:$L1503,ROW()-1),1,0),
    "Y"
  )
)</f>
        <v/>
      </c>
      <c r="U1233" s="6" t="str">
        <f t="array" ref="U1233">IF(
  B1233="",
  ,
  (C1233 + IF(INDEX(Input!$L$7:$L1503,ROW()-1),1,0))
  - EDATE(
      B1233 + IF(INDEX(Input!$K$7:$K1503,ROW()-1),0,1),
      12*S1233
    )
)</f>
        <v/>
      </c>
      <c r="V1233" s="6" t="str">
        <f t="shared" si="5"/>
        <v/>
      </c>
      <c r="W1233" s="6" t="str">
        <f t="shared" si="6"/>
        <v/>
      </c>
    </row>
    <row r="1234">
      <c r="A1234" s="18"/>
      <c r="B1234" s="18"/>
      <c r="C1234" s="18"/>
      <c r="D1234" s="18"/>
      <c r="E1234" s="18"/>
      <c r="F1234" s="18"/>
      <c r="G1234" s="22"/>
      <c r="H1234" s="18"/>
      <c r="I1234" s="18"/>
      <c r="J1234" s="18"/>
      <c r="K1234" s="18"/>
      <c r="L1234" s="18"/>
      <c r="M1234" s="22"/>
      <c r="N1234" s="18"/>
      <c r="O1234" s="23"/>
      <c r="P1234" s="18"/>
      <c r="Q1234" s="18"/>
      <c r="R1234" s="18"/>
      <c r="S1234" s="22"/>
      <c r="T1234" s="6" t="str">
        <f t="array" ref="T1234">IF(
  B1234="",
  ,
  DATEDIF(
    B1234 + IF(INDEX(Input!$K$7:$K1503,ROW()-1),0,1),
    C1234 + IF(INDEX(Input!$L$7:$L1503,ROW()-1),1,0),
    "Y"
  )
)</f>
        <v/>
      </c>
      <c r="U1234" s="6" t="str">
        <f t="array" ref="U1234">IF(
  B1234="",
  ,
  (C1234 + IF(INDEX(Input!$L$7:$L1503,ROW()-1),1,0))
  - EDATE(
      B1234 + IF(INDEX(Input!$K$7:$K1503,ROW()-1),0,1),
      12*S1234
    )
)</f>
        <v/>
      </c>
      <c r="V1234" s="6" t="str">
        <f t="shared" si="5"/>
        <v/>
      </c>
      <c r="W1234" s="6" t="str">
        <f t="shared" si="6"/>
        <v/>
      </c>
    </row>
    <row r="1235">
      <c r="A1235" s="18"/>
      <c r="B1235" s="18"/>
      <c r="C1235" s="18"/>
      <c r="D1235" s="18"/>
      <c r="E1235" s="18"/>
      <c r="F1235" s="18"/>
      <c r="G1235" s="22"/>
      <c r="H1235" s="18"/>
      <c r="I1235" s="18"/>
      <c r="J1235" s="18"/>
      <c r="K1235" s="18"/>
      <c r="L1235" s="18"/>
      <c r="M1235" s="22"/>
      <c r="N1235" s="18"/>
      <c r="O1235" s="23"/>
      <c r="P1235" s="18"/>
      <c r="Q1235" s="18"/>
      <c r="R1235" s="18"/>
      <c r="S1235" s="22"/>
      <c r="T1235" s="6" t="str">
        <f t="array" ref="T1235">IF(
  B1235="",
  ,
  DATEDIF(
    B1235 + IF(INDEX(Input!$K$7:$K1503,ROW()-1),0,1),
    C1235 + IF(INDEX(Input!$L$7:$L1503,ROW()-1),1,0),
    "Y"
  )
)</f>
        <v/>
      </c>
      <c r="U1235" s="6" t="str">
        <f t="array" ref="U1235">IF(
  B1235="",
  ,
  (C1235 + IF(INDEX(Input!$L$7:$L1503,ROW()-1),1,0))
  - EDATE(
      B1235 + IF(INDEX(Input!$K$7:$K1503,ROW()-1),0,1),
      12*S1235
    )
)</f>
        <v/>
      </c>
      <c r="V1235" s="6" t="str">
        <f t="shared" si="5"/>
        <v/>
      </c>
      <c r="W1235" s="6" t="str">
        <f t="shared" si="6"/>
        <v/>
      </c>
    </row>
    <row r="1236">
      <c r="A1236" s="18"/>
      <c r="B1236" s="18"/>
      <c r="C1236" s="18"/>
      <c r="D1236" s="18"/>
      <c r="E1236" s="18"/>
      <c r="F1236" s="18"/>
      <c r="G1236" s="22"/>
      <c r="H1236" s="18"/>
      <c r="I1236" s="18"/>
      <c r="J1236" s="18"/>
      <c r="K1236" s="18"/>
      <c r="L1236" s="18"/>
      <c r="M1236" s="22"/>
      <c r="N1236" s="18"/>
      <c r="O1236" s="23"/>
      <c r="P1236" s="18"/>
      <c r="Q1236" s="18"/>
      <c r="R1236" s="18"/>
      <c r="S1236" s="22"/>
      <c r="T1236" s="6" t="str">
        <f t="array" ref="T1236">IF(
  B1236="",
  ,
  DATEDIF(
    B1236 + IF(INDEX(Input!$K$7:$K1503,ROW()-1),0,1),
    C1236 + IF(INDEX(Input!$L$7:$L1503,ROW()-1),1,0),
    "Y"
  )
)</f>
        <v/>
      </c>
      <c r="U1236" s="6" t="str">
        <f t="array" ref="U1236">IF(
  B1236="",
  ,
  (C1236 + IF(INDEX(Input!$L$7:$L1503,ROW()-1),1,0))
  - EDATE(
      B1236 + IF(INDEX(Input!$K$7:$K1503,ROW()-1),0,1),
      12*S1236
    )
)</f>
        <v/>
      </c>
      <c r="V1236" s="6" t="str">
        <f t="shared" si="5"/>
        <v/>
      </c>
      <c r="W1236" s="6" t="str">
        <f t="shared" si="6"/>
        <v/>
      </c>
    </row>
    <row r="1237">
      <c r="A1237" s="18"/>
      <c r="B1237" s="18"/>
      <c r="C1237" s="18"/>
      <c r="D1237" s="18"/>
      <c r="E1237" s="18"/>
      <c r="F1237" s="18"/>
      <c r="G1237" s="22"/>
      <c r="H1237" s="18"/>
      <c r="I1237" s="18"/>
      <c r="J1237" s="18"/>
      <c r="K1237" s="18"/>
      <c r="L1237" s="18"/>
      <c r="M1237" s="22"/>
      <c r="N1237" s="18"/>
      <c r="O1237" s="23"/>
      <c r="P1237" s="18"/>
      <c r="Q1237" s="18"/>
      <c r="R1237" s="18"/>
      <c r="S1237" s="22"/>
      <c r="T1237" s="6" t="str">
        <f t="array" ref="T1237">IF(
  B1237="",
  ,
  DATEDIF(
    B1237 + IF(INDEX(Input!$K$7:$K1503,ROW()-1),0,1),
    C1237 + IF(INDEX(Input!$L$7:$L1503,ROW()-1),1,0),
    "Y"
  )
)</f>
        <v/>
      </c>
      <c r="U1237" s="6" t="str">
        <f t="array" ref="U1237">IF(
  B1237="",
  ,
  (C1237 + IF(INDEX(Input!$L$7:$L1503,ROW()-1),1,0))
  - EDATE(
      B1237 + IF(INDEX(Input!$K$7:$K1503,ROW()-1),0,1),
      12*S1237
    )
)</f>
        <v/>
      </c>
      <c r="V1237" s="6" t="str">
        <f t="shared" si="5"/>
        <v/>
      </c>
      <c r="W1237" s="6" t="str">
        <f t="shared" si="6"/>
        <v/>
      </c>
    </row>
    <row r="1238">
      <c r="A1238" s="18"/>
      <c r="B1238" s="18"/>
      <c r="C1238" s="18"/>
      <c r="D1238" s="18"/>
      <c r="E1238" s="18"/>
      <c r="F1238" s="18"/>
      <c r="G1238" s="22"/>
      <c r="H1238" s="18"/>
      <c r="I1238" s="18"/>
      <c r="J1238" s="18"/>
      <c r="K1238" s="18"/>
      <c r="L1238" s="18"/>
      <c r="M1238" s="22"/>
      <c r="N1238" s="18"/>
      <c r="O1238" s="23"/>
      <c r="P1238" s="18"/>
      <c r="Q1238" s="18"/>
      <c r="R1238" s="18"/>
      <c r="S1238" s="22"/>
      <c r="T1238" s="6" t="str">
        <f t="array" ref="T1238">IF(
  B1238="",
  ,
  DATEDIF(
    B1238 + IF(INDEX(Input!$K$7:$K1503,ROW()-1),0,1),
    C1238 + IF(INDEX(Input!$L$7:$L1503,ROW()-1),1,0),
    "Y"
  )
)</f>
        <v/>
      </c>
      <c r="U1238" s="6" t="str">
        <f t="array" ref="U1238">IF(
  B1238="",
  ,
  (C1238 + IF(INDEX(Input!$L$7:$L1503,ROW()-1),1,0))
  - EDATE(
      B1238 + IF(INDEX(Input!$K$7:$K1503,ROW()-1),0,1),
      12*S1238
    )
)</f>
        <v/>
      </c>
      <c r="V1238" s="6" t="str">
        <f t="shared" si="5"/>
        <v/>
      </c>
      <c r="W1238" s="6" t="str">
        <f t="shared" si="6"/>
        <v/>
      </c>
    </row>
    <row r="1239">
      <c r="A1239" s="18"/>
      <c r="B1239" s="18"/>
      <c r="C1239" s="18"/>
      <c r="D1239" s="18"/>
      <c r="E1239" s="18"/>
      <c r="F1239" s="18"/>
      <c r="G1239" s="22"/>
      <c r="H1239" s="18"/>
      <c r="I1239" s="18"/>
      <c r="J1239" s="18"/>
      <c r="K1239" s="18"/>
      <c r="L1239" s="18"/>
      <c r="M1239" s="22"/>
      <c r="N1239" s="18"/>
      <c r="O1239" s="23"/>
      <c r="P1239" s="18"/>
      <c r="Q1239" s="18"/>
      <c r="R1239" s="18"/>
      <c r="S1239" s="22"/>
      <c r="T1239" s="6" t="str">
        <f t="array" ref="T1239">IF(
  B1239="",
  ,
  DATEDIF(
    B1239 + IF(INDEX(Input!$K$7:$K1503,ROW()-1),0,1),
    C1239 + IF(INDEX(Input!$L$7:$L1503,ROW()-1),1,0),
    "Y"
  )
)</f>
        <v/>
      </c>
      <c r="U1239" s="6" t="str">
        <f t="array" ref="U1239">IF(
  B1239="",
  ,
  (C1239 + IF(INDEX(Input!$L$7:$L1503,ROW()-1),1,0))
  - EDATE(
      B1239 + IF(INDEX(Input!$K$7:$K1503,ROW()-1),0,1),
      12*S1239
    )
)</f>
        <v/>
      </c>
      <c r="V1239" s="6" t="str">
        <f t="shared" si="5"/>
        <v/>
      </c>
      <c r="W1239" s="6" t="str">
        <f t="shared" si="6"/>
        <v/>
      </c>
    </row>
    <row r="1240">
      <c r="A1240" s="18"/>
      <c r="B1240" s="18"/>
      <c r="C1240" s="18"/>
      <c r="D1240" s="18"/>
      <c r="E1240" s="18"/>
      <c r="F1240" s="18"/>
      <c r="G1240" s="22"/>
      <c r="H1240" s="18"/>
      <c r="I1240" s="18"/>
      <c r="J1240" s="18"/>
      <c r="K1240" s="18"/>
      <c r="L1240" s="18"/>
      <c r="M1240" s="22"/>
      <c r="N1240" s="18"/>
      <c r="O1240" s="23"/>
      <c r="P1240" s="18"/>
      <c r="Q1240" s="18"/>
      <c r="R1240" s="18"/>
      <c r="S1240" s="22"/>
      <c r="T1240" s="6" t="str">
        <f t="array" ref="T1240">IF(
  B1240="",
  ,
  DATEDIF(
    B1240 + IF(INDEX(Input!$K$7:$K1503,ROW()-1),0,1),
    C1240 + IF(INDEX(Input!$L$7:$L1503,ROW()-1),1,0),
    "Y"
  )
)</f>
        <v/>
      </c>
      <c r="U1240" s="6" t="str">
        <f t="array" ref="U1240">IF(
  B1240="",
  ,
  (C1240 + IF(INDEX(Input!$L$7:$L1503,ROW()-1),1,0))
  - EDATE(
      B1240 + IF(INDEX(Input!$K$7:$K1503,ROW()-1),0,1),
      12*S1240
    )
)</f>
        <v/>
      </c>
      <c r="V1240" s="6" t="str">
        <f t="shared" si="5"/>
        <v/>
      </c>
      <c r="W1240" s="6" t="str">
        <f t="shared" si="6"/>
        <v/>
      </c>
    </row>
    <row r="1241">
      <c r="A1241" s="18"/>
      <c r="B1241" s="18"/>
      <c r="C1241" s="18"/>
      <c r="D1241" s="18"/>
      <c r="E1241" s="18"/>
      <c r="F1241" s="18"/>
      <c r="G1241" s="22"/>
      <c r="H1241" s="18"/>
      <c r="I1241" s="18"/>
      <c r="J1241" s="18"/>
      <c r="K1241" s="18"/>
      <c r="L1241" s="18"/>
      <c r="M1241" s="22"/>
      <c r="N1241" s="18"/>
      <c r="O1241" s="23"/>
      <c r="P1241" s="18"/>
      <c r="Q1241" s="18"/>
      <c r="R1241" s="18"/>
      <c r="S1241" s="22"/>
      <c r="T1241" s="6" t="str">
        <f t="array" ref="T1241">IF(
  B1241="",
  ,
  DATEDIF(
    B1241 + IF(INDEX(Input!$K$7:$K1503,ROW()-1),0,1),
    C1241 + IF(INDEX(Input!$L$7:$L1503,ROW()-1),1,0),
    "Y"
  )
)</f>
        <v/>
      </c>
      <c r="U1241" s="6" t="str">
        <f t="array" ref="U1241">IF(
  B1241="",
  ,
  (C1241 + IF(INDEX(Input!$L$7:$L1503,ROW()-1),1,0))
  - EDATE(
      B1241 + IF(INDEX(Input!$K$7:$K1503,ROW()-1),0,1),
      12*S1241
    )
)</f>
        <v/>
      </c>
      <c r="V1241" s="6" t="str">
        <f t="shared" si="5"/>
        <v/>
      </c>
      <c r="W1241" s="6" t="str">
        <f t="shared" si="6"/>
        <v/>
      </c>
    </row>
    <row r="1242">
      <c r="A1242" s="18"/>
      <c r="B1242" s="18"/>
      <c r="C1242" s="18"/>
      <c r="D1242" s="18"/>
      <c r="E1242" s="18"/>
      <c r="F1242" s="18"/>
      <c r="G1242" s="22"/>
      <c r="H1242" s="18"/>
      <c r="I1242" s="18"/>
      <c r="J1242" s="18"/>
      <c r="K1242" s="18"/>
      <c r="L1242" s="18"/>
      <c r="M1242" s="22"/>
      <c r="N1242" s="18"/>
      <c r="O1242" s="23"/>
      <c r="P1242" s="18"/>
      <c r="Q1242" s="18"/>
      <c r="R1242" s="18"/>
      <c r="S1242" s="22"/>
      <c r="T1242" s="6" t="str">
        <f t="array" ref="T1242">IF(
  B1242="",
  ,
  DATEDIF(
    B1242 + IF(INDEX(Input!$K$7:$K1503,ROW()-1),0,1),
    C1242 + IF(INDEX(Input!$L$7:$L1503,ROW()-1),1,0),
    "Y"
  )
)</f>
        <v/>
      </c>
      <c r="U1242" s="6" t="str">
        <f t="array" ref="U1242">IF(
  B1242="",
  ,
  (C1242 + IF(INDEX(Input!$L$7:$L1503,ROW()-1),1,0))
  - EDATE(
      B1242 + IF(INDEX(Input!$K$7:$K1503,ROW()-1),0,1),
      12*S1242
    )
)</f>
        <v/>
      </c>
      <c r="V1242" s="6" t="str">
        <f t="shared" si="5"/>
        <v/>
      </c>
      <c r="W1242" s="6" t="str">
        <f t="shared" si="6"/>
        <v/>
      </c>
    </row>
    <row r="1243">
      <c r="A1243" s="18"/>
      <c r="B1243" s="18"/>
      <c r="C1243" s="18"/>
      <c r="D1243" s="18"/>
      <c r="E1243" s="18"/>
      <c r="F1243" s="18"/>
      <c r="G1243" s="22"/>
      <c r="H1243" s="18"/>
      <c r="I1243" s="18"/>
      <c r="J1243" s="18"/>
      <c r="K1243" s="18"/>
      <c r="L1243" s="18"/>
      <c r="M1243" s="22"/>
      <c r="N1243" s="18"/>
      <c r="O1243" s="23"/>
      <c r="P1243" s="18"/>
      <c r="Q1243" s="18"/>
      <c r="R1243" s="18"/>
      <c r="S1243" s="22"/>
      <c r="T1243" s="6" t="str">
        <f t="array" ref="T1243">IF(
  B1243="",
  ,
  DATEDIF(
    B1243 + IF(INDEX(Input!$K$7:$K1503,ROW()-1),0,1),
    C1243 + IF(INDEX(Input!$L$7:$L1503,ROW()-1),1,0),
    "Y"
  )
)</f>
        <v/>
      </c>
      <c r="U1243" s="6" t="str">
        <f t="array" ref="U1243">IF(
  B1243="",
  ,
  (C1243 + IF(INDEX(Input!$L$7:$L1503,ROW()-1),1,0))
  - EDATE(
      B1243 + IF(INDEX(Input!$K$7:$K1503,ROW()-1),0,1),
      12*S1243
    )
)</f>
        <v/>
      </c>
      <c r="V1243" s="6" t="str">
        <f t="shared" si="5"/>
        <v/>
      </c>
      <c r="W1243" s="6" t="str">
        <f t="shared" si="6"/>
        <v/>
      </c>
    </row>
    <row r="1244">
      <c r="A1244" s="18"/>
      <c r="B1244" s="18"/>
      <c r="C1244" s="18"/>
      <c r="D1244" s="18"/>
      <c r="E1244" s="18"/>
      <c r="F1244" s="18"/>
      <c r="G1244" s="22"/>
      <c r="H1244" s="18"/>
      <c r="I1244" s="18"/>
      <c r="J1244" s="18"/>
      <c r="K1244" s="18"/>
      <c r="L1244" s="18"/>
      <c r="M1244" s="22"/>
      <c r="N1244" s="18"/>
      <c r="O1244" s="23"/>
      <c r="P1244" s="18"/>
      <c r="Q1244" s="18"/>
      <c r="R1244" s="18"/>
      <c r="S1244" s="22"/>
      <c r="T1244" s="6" t="str">
        <f t="array" ref="T1244">IF(
  B1244="",
  ,
  DATEDIF(
    B1244 + IF(INDEX(Input!$K$7:$K1503,ROW()-1),0,1),
    C1244 + IF(INDEX(Input!$L$7:$L1503,ROW()-1),1,0),
    "Y"
  )
)</f>
        <v/>
      </c>
      <c r="U1244" s="6" t="str">
        <f t="array" ref="U1244">IF(
  B1244="",
  ,
  (C1244 + IF(INDEX(Input!$L$7:$L1503,ROW()-1),1,0))
  - EDATE(
      B1244 + IF(INDEX(Input!$K$7:$K1503,ROW()-1),0,1),
      12*S1244
    )
)</f>
        <v/>
      </c>
      <c r="V1244" s="6" t="str">
        <f t="shared" si="5"/>
        <v/>
      </c>
      <c r="W1244" s="6" t="str">
        <f t="shared" si="6"/>
        <v/>
      </c>
    </row>
    <row r="1245">
      <c r="A1245" s="18"/>
      <c r="B1245" s="18"/>
      <c r="C1245" s="18"/>
      <c r="D1245" s="18"/>
      <c r="E1245" s="18"/>
      <c r="F1245" s="18"/>
      <c r="G1245" s="22"/>
      <c r="H1245" s="18"/>
      <c r="I1245" s="18"/>
      <c r="J1245" s="18"/>
      <c r="K1245" s="18"/>
      <c r="L1245" s="18"/>
      <c r="M1245" s="22"/>
      <c r="N1245" s="18"/>
      <c r="O1245" s="23"/>
      <c r="P1245" s="18"/>
      <c r="Q1245" s="18"/>
      <c r="R1245" s="18"/>
      <c r="S1245" s="22"/>
      <c r="T1245" s="6" t="str">
        <f t="array" ref="T1245">IF(
  B1245="",
  ,
  DATEDIF(
    B1245 + IF(INDEX(Input!$K$7:$K1503,ROW()-1),0,1),
    C1245 + IF(INDEX(Input!$L$7:$L1503,ROW()-1),1,0),
    "Y"
  )
)</f>
        <v/>
      </c>
      <c r="U1245" s="6" t="str">
        <f t="array" ref="U1245">IF(
  B1245="",
  ,
  (C1245 + IF(INDEX(Input!$L$7:$L1503,ROW()-1),1,0))
  - EDATE(
      B1245 + IF(INDEX(Input!$K$7:$K1503,ROW()-1),0,1),
      12*S1245
    )
)</f>
        <v/>
      </c>
      <c r="V1245" s="6" t="str">
        <f t="shared" si="5"/>
        <v/>
      </c>
      <c r="W1245" s="6" t="str">
        <f t="shared" si="6"/>
        <v/>
      </c>
    </row>
    <row r="1246">
      <c r="A1246" s="18"/>
      <c r="B1246" s="18"/>
      <c r="C1246" s="18"/>
      <c r="D1246" s="18"/>
      <c r="E1246" s="18"/>
      <c r="F1246" s="18"/>
      <c r="G1246" s="22"/>
      <c r="H1246" s="18"/>
      <c r="I1246" s="18"/>
      <c r="J1246" s="18"/>
      <c r="K1246" s="18"/>
      <c r="L1246" s="18"/>
      <c r="M1246" s="22"/>
      <c r="N1246" s="18"/>
      <c r="O1246" s="23"/>
      <c r="P1246" s="18"/>
      <c r="Q1246" s="18"/>
      <c r="R1246" s="18"/>
      <c r="S1246" s="22"/>
      <c r="T1246" s="6" t="str">
        <f t="array" ref="T1246">IF(
  B1246="",
  ,
  DATEDIF(
    B1246 + IF(INDEX(Input!$K$7:$K1503,ROW()-1),0,1),
    C1246 + IF(INDEX(Input!$L$7:$L1503,ROW()-1),1,0),
    "Y"
  )
)</f>
        <v/>
      </c>
      <c r="U1246" s="6" t="str">
        <f t="array" ref="U1246">IF(
  B1246="",
  ,
  (C1246 + IF(INDEX(Input!$L$7:$L1503,ROW()-1),1,0))
  - EDATE(
      B1246 + IF(INDEX(Input!$K$7:$K1503,ROW()-1),0,1),
      12*S1246
    )
)</f>
        <v/>
      </c>
      <c r="V1246" s="6" t="str">
        <f t="shared" si="5"/>
        <v/>
      </c>
      <c r="W1246" s="6" t="str">
        <f t="shared" si="6"/>
        <v/>
      </c>
    </row>
    <row r="1247">
      <c r="A1247" s="18"/>
      <c r="B1247" s="18"/>
      <c r="C1247" s="18"/>
      <c r="D1247" s="18"/>
      <c r="E1247" s="18"/>
      <c r="F1247" s="18"/>
      <c r="G1247" s="22"/>
      <c r="H1247" s="18"/>
      <c r="I1247" s="18"/>
      <c r="J1247" s="18"/>
      <c r="K1247" s="18"/>
      <c r="L1247" s="18"/>
      <c r="M1247" s="22"/>
      <c r="N1247" s="18"/>
      <c r="O1247" s="23"/>
      <c r="P1247" s="18"/>
      <c r="Q1247" s="18"/>
      <c r="R1247" s="18"/>
      <c r="S1247" s="22"/>
      <c r="T1247" s="6" t="str">
        <f t="array" ref="T1247">IF(
  B1247="",
  ,
  DATEDIF(
    B1247 + IF(INDEX(Input!$K$7:$K1503,ROW()-1),0,1),
    C1247 + IF(INDEX(Input!$L$7:$L1503,ROW()-1),1,0),
    "Y"
  )
)</f>
        <v/>
      </c>
      <c r="U1247" s="6" t="str">
        <f t="array" ref="U1247">IF(
  B1247="",
  ,
  (C1247 + IF(INDEX(Input!$L$7:$L1503,ROW()-1),1,0))
  - EDATE(
      B1247 + IF(INDEX(Input!$K$7:$K1503,ROW()-1),0,1),
      12*S1247
    )
)</f>
        <v/>
      </c>
      <c r="V1247" s="6" t="str">
        <f t="shared" si="5"/>
        <v/>
      </c>
      <c r="W1247" s="6" t="str">
        <f t="shared" si="6"/>
        <v/>
      </c>
    </row>
    <row r="1248">
      <c r="A1248" s="18"/>
      <c r="B1248" s="18"/>
      <c r="C1248" s="18"/>
      <c r="D1248" s="18"/>
      <c r="E1248" s="18"/>
      <c r="F1248" s="18"/>
      <c r="G1248" s="22"/>
      <c r="H1248" s="18"/>
      <c r="I1248" s="18"/>
      <c r="J1248" s="18"/>
      <c r="K1248" s="18"/>
      <c r="L1248" s="18"/>
      <c r="M1248" s="22"/>
      <c r="N1248" s="18"/>
      <c r="O1248" s="23"/>
      <c r="P1248" s="18"/>
      <c r="Q1248" s="18"/>
      <c r="R1248" s="18"/>
      <c r="S1248" s="22"/>
      <c r="T1248" s="6" t="str">
        <f t="array" ref="T1248">IF(
  B1248="",
  ,
  DATEDIF(
    B1248 + IF(INDEX(Input!$K$7:$K1503,ROW()-1),0,1),
    C1248 + IF(INDEX(Input!$L$7:$L1503,ROW()-1),1,0),
    "Y"
  )
)</f>
        <v/>
      </c>
      <c r="U1248" s="6" t="str">
        <f t="array" ref="U1248">IF(
  B1248="",
  ,
  (C1248 + IF(INDEX(Input!$L$7:$L1503,ROW()-1),1,0))
  - EDATE(
      B1248 + IF(INDEX(Input!$K$7:$K1503,ROW()-1),0,1),
      12*S1248
    )
)</f>
        <v/>
      </c>
      <c r="V1248" s="6" t="str">
        <f t="shared" si="5"/>
        <v/>
      </c>
      <c r="W1248" s="6" t="str">
        <f t="shared" si="6"/>
        <v/>
      </c>
    </row>
    <row r="1249">
      <c r="A1249" s="18"/>
      <c r="B1249" s="18"/>
      <c r="C1249" s="18"/>
      <c r="D1249" s="18"/>
      <c r="E1249" s="18"/>
      <c r="F1249" s="18"/>
      <c r="G1249" s="22"/>
      <c r="H1249" s="18"/>
      <c r="I1249" s="18"/>
      <c r="J1249" s="18"/>
      <c r="K1249" s="18"/>
      <c r="L1249" s="18"/>
      <c r="M1249" s="22"/>
      <c r="N1249" s="18"/>
      <c r="O1249" s="23"/>
      <c r="P1249" s="18"/>
      <c r="Q1249" s="18"/>
      <c r="R1249" s="18"/>
      <c r="S1249" s="22"/>
      <c r="T1249" s="6" t="str">
        <f t="array" ref="T1249">IF(
  B1249="",
  ,
  DATEDIF(
    B1249 + IF(INDEX(Input!$K$7:$K1503,ROW()-1),0,1),
    C1249 + IF(INDEX(Input!$L$7:$L1503,ROW()-1),1,0),
    "Y"
  )
)</f>
        <v/>
      </c>
      <c r="U1249" s="6" t="str">
        <f t="array" ref="U1249">IF(
  B1249="",
  ,
  (C1249 + IF(INDEX(Input!$L$7:$L1503,ROW()-1),1,0))
  - EDATE(
      B1249 + IF(INDEX(Input!$K$7:$K1503,ROW()-1),0,1),
      12*S1249
    )
)</f>
        <v/>
      </c>
      <c r="V1249" s="6" t="str">
        <f t="shared" si="5"/>
        <v/>
      </c>
      <c r="W1249" s="6" t="str">
        <f t="shared" si="6"/>
        <v/>
      </c>
    </row>
    <row r="1250">
      <c r="A1250" s="18"/>
      <c r="B1250" s="18"/>
      <c r="C1250" s="18"/>
      <c r="D1250" s="18"/>
      <c r="E1250" s="18"/>
      <c r="F1250" s="18"/>
      <c r="G1250" s="22"/>
      <c r="H1250" s="18"/>
      <c r="I1250" s="18"/>
      <c r="J1250" s="18"/>
      <c r="K1250" s="18"/>
      <c r="L1250" s="18"/>
      <c r="M1250" s="22"/>
      <c r="N1250" s="18"/>
      <c r="O1250" s="23"/>
      <c r="P1250" s="18"/>
      <c r="Q1250" s="18"/>
      <c r="R1250" s="18"/>
      <c r="S1250" s="22"/>
      <c r="T1250" s="6" t="str">
        <f t="array" ref="T1250">IF(
  B1250="",
  ,
  DATEDIF(
    B1250 + IF(INDEX(Input!$K$7:$K1503,ROW()-1),0,1),
    C1250 + IF(INDEX(Input!$L$7:$L1503,ROW()-1),1,0),
    "Y"
  )
)</f>
        <v/>
      </c>
      <c r="U1250" s="6" t="str">
        <f t="array" ref="U1250">IF(
  B1250="",
  ,
  (C1250 + IF(INDEX(Input!$L$7:$L1503,ROW()-1),1,0))
  - EDATE(
      B1250 + IF(INDEX(Input!$K$7:$K1503,ROW()-1),0,1),
      12*S1250
    )
)</f>
        <v/>
      </c>
      <c r="V1250" s="6" t="str">
        <f t="shared" si="5"/>
        <v/>
      </c>
      <c r="W1250" s="6" t="str">
        <f t="shared" si="6"/>
        <v/>
      </c>
    </row>
    <row r="1251">
      <c r="A1251" s="18"/>
      <c r="B1251" s="18"/>
      <c r="C1251" s="18"/>
      <c r="D1251" s="18"/>
      <c r="E1251" s="18"/>
      <c r="F1251" s="18"/>
      <c r="G1251" s="22"/>
      <c r="H1251" s="18"/>
      <c r="I1251" s="18"/>
      <c r="J1251" s="18"/>
      <c r="K1251" s="18"/>
      <c r="L1251" s="18"/>
      <c r="M1251" s="22"/>
      <c r="N1251" s="18"/>
      <c r="O1251" s="23"/>
      <c r="P1251" s="18"/>
      <c r="Q1251" s="18"/>
      <c r="R1251" s="18"/>
      <c r="S1251" s="22"/>
      <c r="T1251" s="6" t="str">
        <f t="array" ref="T1251">IF(
  B1251="",
  ,
  DATEDIF(
    B1251 + IF(INDEX(Input!$K$7:$K1503,ROW()-1),0,1),
    C1251 + IF(INDEX(Input!$L$7:$L1503,ROW()-1),1,0),
    "Y"
  )
)</f>
        <v/>
      </c>
      <c r="U1251" s="6" t="str">
        <f t="array" ref="U1251">IF(
  B1251="",
  ,
  (C1251 + IF(INDEX(Input!$L$7:$L1503,ROW()-1),1,0))
  - EDATE(
      B1251 + IF(INDEX(Input!$K$7:$K1503,ROW()-1),0,1),
      12*S1251
    )
)</f>
        <v/>
      </c>
      <c r="V1251" s="6" t="str">
        <f t="shared" si="5"/>
        <v/>
      </c>
      <c r="W1251" s="6" t="str">
        <f t="shared" si="6"/>
        <v/>
      </c>
    </row>
    <row r="1252">
      <c r="A1252" s="18"/>
      <c r="B1252" s="18"/>
      <c r="C1252" s="18"/>
      <c r="D1252" s="18"/>
      <c r="E1252" s="18"/>
      <c r="F1252" s="18"/>
      <c r="G1252" s="22"/>
      <c r="H1252" s="18"/>
      <c r="I1252" s="18"/>
      <c r="J1252" s="18"/>
      <c r="K1252" s="18"/>
      <c r="L1252" s="18"/>
      <c r="M1252" s="22"/>
      <c r="N1252" s="18"/>
      <c r="O1252" s="23"/>
      <c r="P1252" s="18"/>
      <c r="Q1252" s="18"/>
      <c r="R1252" s="18"/>
      <c r="S1252" s="22"/>
      <c r="T1252" s="6" t="str">
        <f t="array" ref="T1252">IF(
  B1252="",
  ,
  DATEDIF(
    B1252 + IF(INDEX(Input!$K$7:$K1503,ROW()-1),0,1),
    C1252 + IF(INDEX(Input!$L$7:$L1503,ROW()-1),1,0),
    "Y"
  )
)</f>
        <v/>
      </c>
      <c r="U1252" s="6" t="str">
        <f t="array" ref="U1252">IF(
  B1252="",
  ,
  (C1252 + IF(INDEX(Input!$L$7:$L1503,ROW()-1),1,0))
  - EDATE(
      B1252 + IF(INDEX(Input!$K$7:$K1503,ROW()-1),0,1),
      12*S1252
    )
)</f>
        <v/>
      </c>
      <c r="V1252" s="6" t="str">
        <f t="shared" si="5"/>
        <v/>
      </c>
      <c r="W1252" s="6" t="str">
        <f t="shared" si="6"/>
        <v/>
      </c>
    </row>
    <row r="1253">
      <c r="A1253" s="18"/>
      <c r="B1253" s="18"/>
      <c r="C1253" s="18"/>
      <c r="D1253" s="18"/>
      <c r="E1253" s="18"/>
      <c r="F1253" s="18"/>
      <c r="G1253" s="22"/>
      <c r="H1253" s="18"/>
      <c r="I1253" s="18"/>
      <c r="J1253" s="18"/>
      <c r="K1253" s="18"/>
      <c r="L1253" s="18"/>
      <c r="M1253" s="22"/>
      <c r="N1253" s="18"/>
      <c r="O1253" s="23"/>
      <c r="P1253" s="18"/>
      <c r="Q1253" s="18"/>
      <c r="R1253" s="18"/>
      <c r="S1253" s="22"/>
      <c r="T1253" s="6" t="str">
        <f t="array" ref="T1253">IF(
  B1253="",
  ,
  DATEDIF(
    B1253 + IF(INDEX(Input!$K$7:$K1503,ROW()-1),0,1),
    C1253 + IF(INDEX(Input!$L$7:$L1503,ROW()-1),1,0),
    "Y"
  )
)</f>
        <v/>
      </c>
      <c r="U1253" s="6" t="str">
        <f t="array" ref="U1253">IF(
  B1253="",
  ,
  (C1253 + IF(INDEX(Input!$L$7:$L1503,ROW()-1),1,0))
  - EDATE(
      B1253 + IF(INDEX(Input!$K$7:$K1503,ROW()-1),0,1),
      12*S1253
    )
)</f>
        <v/>
      </c>
      <c r="V1253" s="6" t="str">
        <f t="shared" si="5"/>
        <v/>
      </c>
      <c r="W1253" s="6" t="str">
        <f t="shared" si="6"/>
        <v/>
      </c>
    </row>
    <row r="1254">
      <c r="A1254" s="18"/>
      <c r="B1254" s="18"/>
      <c r="C1254" s="18"/>
      <c r="D1254" s="18"/>
      <c r="E1254" s="18"/>
      <c r="F1254" s="18"/>
      <c r="G1254" s="22"/>
      <c r="H1254" s="18"/>
      <c r="I1254" s="18"/>
      <c r="J1254" s="18"/>
      <c r="K1254" s="18"/>
      <c r="L1254" s="18"/>
      <c r="M1254" s="22"/>
      <c r="N1254" s="18"/>
      <c r="O1254" s="23"/>
      <c r="P1254" s="18"/>
      <c r="Q1254" s="18"/>
      <c r="R1254" s="18"/>
      <c r="S1254" s="22"/>
      <c r="T1254" s="6" t="str">
        <f t="array" ref="T1254">IF(
  B1254="",
  ,
  DATEDIF(
    B1254 + IF(INDEX(Input!$K$7:$K1503,ROW()-1),0,1),
    C1254 + IF(INDEX(Input!$L$7:$L1503,ROW()-1),1,0),
    "Y"
  )
)</f>
        <v/>
      </c>
      <c r="U1254" s="6" t="str">
        <f t="array" ref="U1254">IF(
  B1254="",
  ,
  (C1254 + IF(INDEX(Input!$L$7:$L1503,ROW()-1),1,0))
  - EDATE(
      B1254 + IF(INDEX(Input!$K$7:$K1503,ROW()-1),0,1),
      12*S1254
    )
)</f>
        <v/>
      </c>
      <c r="V1254" s="6" t="str">
        <f t="shared" si="5"/>
        <v/>
      </c>
      <c r="W1254" s="6" t="str">
        <f t="shared" si="6"/>
        <v/>
      </c>
    </row>
    <row r="1255">
      <c r="A1255" s="18"/>
      <c r="B1255" s="18"/>
      <c r="C1255" s="18"/>
      <c r="D1255" s="18"/>
      <c r="E1255" s="18"/>
      <c r="F1255" s="18"/>
      <c r="G1255" s="22"/>
      <c r="H1255" s="18"/>
      <c r="I1255" s="18"/>
      <c r="J1255" s="18"/>
      <c r="K1255" s="18"/>
      <c r="L1255" s="18"/>
      <c r="M1255" s="22"/>
      <c r="N1255" s="18"/>
      <c r="O1255" s="23"/>
      <c r="P1255" s="18"/>
      <c r="Q1255" s="18"/>
      <c r="R1255" s="18"/>
      <c r="S1255" s="22"/>
      <c r="T1255" s="6" t="str">
        <f t="array" ref="T1255">IF(
  B1255="",
  ,
  DATEDIF(
    B1255 + IF(INDEX(Input!$K$7:$K1503,ROW()-1),0,1),
    C1255 + IF(INDEX(Input!$L$7:$L1503,ROW()-1),1,0),
    "Y"
  )
)</f>
        <v/>
      </c>
      <c r="U1255" s="6" t="str">
        <f t="array" ref="U1255">IF(
  B1255="",
  ,
  (C1255 + IF(INDEX(Input!$L$7:$L1503,ROW()-1),1,0))
  - EDATE(
      B1255 + IF(INDEX(Input!$K$7:$K1503,ROW()-1),0,1),
      12*S1255
    )
)</f>
        <v/>
      </c>
      <c r="V1255" s="6" t="str">
        <f t="shared" si="5"/>
        <v/>
      </c>
      <c r="W1255" s="6" t="str">
        <f t="shared" si="6"/>
        <v/>
      </c>
    </row>
    <row r="1256">
      <c r="A1256" s="18"/>
      <c r="B1256" s="18"/>
      <c r="C1256" s="18"/>
      <c r="D1256" s="18"/>
      <c r="E1256" s="18"/>
      <c r="F1256" s="18"/>
      <c r="G1256" s="22"/>
      <c r="H1256" s="18"/>
      <c r="I1256" s="18"/>
      <c r="J1256" s="18"/>
      <c r="K1256" s="18"/>
      <c r="L1256" s="18"/>
      <c r="M1256" s="22"/>
      <c r="N1256" s="18"/>
      <c r="O1256" s="23"/>
      <c r="P1256" s="18"/>
      <c r="Q1256" s="18"/>
      <c r="R1256" s="18"/>
      <c r="S1256" s="22"/>
      <c r="T1256" s="6" t="str">
        <f t="array" ref="T1256">IF(
  B1256="",
  ,
  DATEDIF(
    B1256 + IF(INDEX(Input!$K$7:$K1503,ROW()-1),0,1),
    C1256 + IF(INDEX(Input!$L$7:$L1503,ROW()-1),1,0),
    "Y"
  )
)</f>
        <v/>
      </c>
      <c r="U1256" s="6" t="str">
        <f t="array" ref="U1256">IF(
  B1256="",
  ,
  (C1256 + IF(INDEX(Input!$L$7:$L1503,ROW()-1),1,0))
  - EDATE(
      B1256 + IF(INDEX(Input!$K$7:$K1503,ROW()-1),0,1),
      12*S1256
    )
)</f>
        <v/>
      </c>
      <c r="V1256" s="6" t="str">
        <f t="shared" si="5"/>
        <v/>
      </c>
      <c r="W1256" s="6" t="str">
        <f t="shared" si="6"/>
        <v/>
      </c>
    </row>
    <row r="1257">
      <c r="A1257" s="18"/>
      <c r="B1257" s="18"/>
      <c r="C1257" s="18"/>
      <c r="D1257" s="18"/>
      <c r="E1257" s="18"/>
      <c r="F1257" s="18"/>
      <c r="G1257" s="22"/>
      <c r="H1257" s="18"/>
      <c r="I1257" s="18"/>
      <c r="J1257" s="18"/>
      <c r="K1257" s="18"/>
      <c r="L1257" s="18"/>
      <c r="M1257" s="22"/>
      <c r="N1257" s="18"/>
      <c r="O1257" s="23"/>
      <c r="P1257" s="18"/>
      <c r="Q1257" s="18"/>
      <c r="R1257" s="18"/>
      <c r="S1257" s="22"/>
      <c r="T1257" s="6" t="str">
        <f t="array" ref="T1257">IF(
  B1257="",
  ,
  DATEDIF(
    B1257 + IF(INDEX(Input!$K$7:$K1503,ROW()-1),0,1),
    C1257 + IF(INDEX(Input!$L$7:$L1503,ROW()-1),1,0),
    "Y"
  )
)</f>
        <v/>
      </c>
      <c r="U1257" s="6" t="str">
        <f t="array" ref="U1257">IF(
  B1257="",
  ,
  (C1257 + IF(INDEX(Input!$L$7:$L1503,ROW()-1),1,0))
  - EDATE(
      B1257 + IF(INDEX(Input!$K$7:$K1503,ROW()-1),0,1),
      12*S1257
    )
)</f>
        <v/>
      </c>
      <c r="V1257" s="6" t="str">
        <f t="shared" si="5"/>
        <v/>
      </c>
      <c r="W1257" s="6" t="str">
        <f t="shared" si="6"/>
        <v/>
      </c>
    </row>
    <row r="1258">
      <c r="A1258" s="18"/>
      <c r="B1258" s="18"/>
      <c r="C1258" s="18"/>
      <c r="D1258" s="18"/>
      <c r="E1258" s="18"/>
      <c r="F1258" s="18"/>
      <c r="G1258" s="22"/>
      <c r="H1258" s="18"/>
      <c r="I1258" s="18"/>
      <c r="J1258" s="18"/>
      <c r="K1258" s="18"/>
      <c r="L1258" s="18"/>
      <c r="M1258" s="22"/>
      <c r="N1258" s="18"/>
      <c r="O1258" s="23"/>
      <c r="P1258" s="18"/>
      <c r="Q1258" s="18"/>
      <c r="R1258" s="18"/>
      <c r="S1258" s="22"/>
      <c r="T1258" s="6" t="str">
        <f t="array" ref="T1258">IF(
  B1258="",
  ,
  DATEDIF(
    B1258 + IF(INDEX(Input!$K$7:$K1503,ROW()-1),0,1),
    C1258 + IF(INDEX(Input!$L$7:$L1503,ROW()-1),1,0),
    "Y"
  )
)</f>
        <v/>
      </c>
      <c r="U1258" s="6" t="str">
        <f t="array" ref="U1258">IF(
  B1258="",
  ,
  (C1258 + IF(INDEX(Input!$L$7:$L1503,ROW()-1),1,0))
  - EDATE(
      B1258 + IF(INDEX(Input!$K$7:$K1503,ROW()-1),0,1),
      12*S1258
    )
)</f>
        <v/>
      </c>
      <c r="V1258" s="6" t="str">
        <f t="shared" si="5"/>
        <v/>
      </c>
      <c r="W1258" s="6" t="str">
        <f t="shared" si="6"/>
        <v/>
      </c>
    </row>
    <row r="1259">
      <c r="A1259" s="18"/>
      <c r="B1259" s="18"/>
      <c r="C1259" s="18"/>
      <c r="D1259" s="18"/>
      <c r="E1259" s="18"/>
      <c r="F1259" s="18"/>
      <c r="G1259" s="22"/>
      <c r="H1259" s="18"/>
      <c r="I1259" s="18"/>
      <c r="J1259" s="18"/>
      <c r="K1259" s="18"/>
      <c r="L1259" s="18"/>
      <c r="M1259" s="22"/>
      <c r="N1259" s="18"/>
      <c r="O1259" s="23"/>
      <c r="P1259" s="18"/>
      <c r="Q1259" s="18"/>
      <c r="R1259" s="18"/>
      <c r="S1259" s="22"/>
      <c r="T1259" s="6" t="str">
        <f t="array" ref="T1259">IF(
  B1259="",
  ,
  DATEDIF(
    B1259 + IF(INDEX(Input!$K$7:$K1503,ROW()-1),0,1),
    C1259 + IF(INDEX(Input!$L$7:$L1503,ROW()-1),1,0),
    "Y"
  )
)</f>
        <v/>
      </c>
      <c r="U1259" s="6" t="str">
        <f t="array" ref="U1259">IF(
  B1259="",
  ,
  (C1259 + IF(INDEX(Input!$L$7:$L1503,ROW()-1),1,0))
  - EDATE(
      B1259 + IF(INDEX(Input!$K$7:$K1503,ROW()-1),0,1),
      12*S1259
    )
)</f>
        <v/>
      </c>
      <c r="V1259" s="6" t="str">
        <f t="shared" si="5"/>
        <v/>
      </c>
      <c r="W1259" s="6" t="str">
        <f t="shared" si="6"/>
        <v/>
      </c>
    </row>
    <row r="1260">
      <c r="A1260" s="18"/>
      <c r="B1260" s="18"/>
      <c r="C1260" s="18"/>
      <c r="D1260" s="18"/>
      <c r="E1260" s="18"/>
      <c r="F1260" s="18"/>
      <c r="G1260" s="22"/>
      <c r="H1260" s="18"/>
      <c r="I1260" s="18"/>
      <c r="J1260" s="18"/>
      <c r="K1260" s="18"/>
      <c r="L1260" s="18"/>
      <c r="M1260" s="22"/>
      <c r="N1260" s="18"/>
      <c r="O1260" s="23"/>
      <c r="P1260" s="18"/>
      <c r="Q1260" s="18"/>
      <c r="R1260" s="18"/>
      <c r="S1260" s="22"/>
      <c r="T1260" s="6" t="str">
        <f t="array" ref="T1260">IF(
  B1260="",
  ,
  DATEDIF(
    B1260 + IF(INDEX(Input!$K$7:$K1503,ROW()-1),0,1),
    C1260 + IF(INDEX(Input!$L$7:$L1503,ROW()-1),1,0),
    "Y"
  )
)</f>
        <v/>
      </c>
      <c r="U1260" s="6" t="str">
        <f t="array" ref="U1260">IF(
  B1260="",
  ,
  (C1260 + IF(INDEX(Input!$L$7:$L1503,ROW()-1),1,0))
  - EDATE(
      B1260 + IF(INDEX(Input!$K$7:$K1503,ROW()-1),0,1),
      12*S1260
    )
)</f>
        <v/>
      </c>
      <c r="V1260" s="6" t="str">
        <f t="shared" si="5"/>
        <v/>
      </c>
      <c r="W1260" s="6" t="str">
        <f t="shared" si="6"/>
        <v/>
      </c>
    </row>
    <row r="1261">
      <c r="A1261" s="18"/>
      <c r="B1261" s="18"/>
      <c r="C1261" s="18"/>
      <c r="D1261" s="18"/>
      <c r="E1261" s="18"/>
      <c r="F1261" s="18"/>
      <c r="G1261" s="22"/>
      <c r="H1261" s="18"/>
      <c r="I1261" s="18"/>
      <c r="J1261" s="18"/>
      <c r="K1261" s="18"/>
      <c r="L1261" s="18"/>
      <c r="M1261" s="22"/>
      <c r="N1261" s="18"/>
      <c r="O1261" s="23"/>
      <c r="P1261" s="18"/>
      <c r="Q1261" s="18"/>
      <c r="R1261" s="18"/>
      <c r="S1261" s="22"/>
      <c r="T1261" s="6" t="str">
        <f t="array" ref="T1261">IF(
  B1261="",
  ,
  DATEDIF(
    B1261 + IF(INDEX(Input!$K$7:$K1503,ROW()-1),0,1),
    C1261 + IF(INDEX(Input!$L$7:$L1503,ROW()-1),1,0),
    "Y"
  )
)</f>
        <v/>
      </c>
      <c r="U1261" s="6" t="str">
        <f t="array" ref="U1261">IF(
  B1261="",
  ,
  (C1261 + IF(INDEX(Input!$L$7:$L1503,ROW()-1),1,0))
  - EDATE(
      B1261 + IF(INDEX(Input!$K$7:$K1503,ROW()-1),0,1),
      12*S1261
    )
)</f>
        <v/>
      </c>
      <c r="V1261" s="6" t="str">
        <f t="shared" si="5"/>
        <v/>
      </c>
      <c r="W1261" s="6" t="str">
        <f t="shared" si="6"/>
        <v/>
      </c>
    </row>
    <row r="1262">
      <c r="A1262" s="18"/>
      <c r="B1262" s="18"/>
      <c r="C1262" s="18"/>
      <c r="D1262" s="18"/>
      <c r="E1262" s="18"/>
      <c r="F1262" s="18"/>
      <c r="G1262" s="22"/>
      <c r="H1262" s="18"/>
      <c r="I1262" s="18"/>
      <c r="J1262" s="18"/>
      <c r="K1262" s="18"/>
      <c r="L1262" s="18"/>
      <c r="M1262" s="22"/>
      <c r="N1262" s="18"/>
      <c r="O1262" s="23"/>
      <c r="P1262" s="18"/>
      <c r="Q1262" s="18"/>
      <c r="R1262" s="18"/>
      <c r="S1262" s="22"/>
      <c r="T1262" s="6" t="str">
        <f t="array" ref="T1262">IF(
  B1262="",
  ,
  DATEDIF(
    B1262 + IF(INDEX(Input!$K$7:$K1503,ROW()-1),0,1),
    C1262 + IF(INDEX(Input!$L$7:$L1503,ROW()-1),1,0),
    "Y"
  )
)</f>
        <v/>
      </c>
      <c r="U1262" s="6" t="str">
        <f t="array" ref="U1262">IF(
  B1262="",
  ,
  (C1262 + IF(INDEX(Input!$L$7:$L1503,ROW()-1),1,0))
  - EDATE(
      B1262 + IF(INDEX(Input!$K$7:$K1503,ROW()-1),0,1),
      12*S1262
    )
)</f>
        <v/>
      </c>
      <c r="V1262" s="6" t="str">
        <f t="shared" si="5"/>
        <v/>
      </c>
      <c r="W1262" s="6" t="str">
        <f t="shared" si="6"/>
        <v/>
      </c>
    </row>
    <row r="1263">
      <c r="A1263" s="18"/>
      <c r="B1263" s="18"/>
      <c r="C1263" s="18"/>
      <c r="D1263" s="18"/>
      <c r="E1263" s="18"/>
      <c r="F1263" s="18"/>
      <c r="G1263" s="22"/>
      <c r="H1263" s="18"/>
      <c r="I1263" s="18"/>
      <c r="J1263" s="18"/>
      <c r="K1263" s="18"/>
      <c r="L1263" s="18"/>
      <c r="M1263" s="22"/>
      <c r="N1263" s="18"/>
      <c r="O1263" s="23"/>
      <c r="P1263" s="18"/>
      <c r="Q1263" s="18"/>
      <c r="R1263" s="18"/>
      <c r="S1263" s="22"/>
      <c r="T1263" s="6" t="str">
        <f t="array" ref="T1263">IF(
  B1263="",
  ,
  DATEDIF(
    B1263 + IF(INDEX(Input!$K$7:$K1503,ROW()-1),0,1),
    C1263 + IF(INDEX(Input!$L$7:$L1503,ROW()-1),1,0),
    "Y"
  )
)</f>
        <v/>
      </c>
      <c r="U1263" s="6" t="str">
        <f t="array" ref="U1263">IF(
  B1263="",
  ,
  (C1263 + IF(INDEX(Input!$L$7:$L1503,ROW()-1),1,0))
  - EDATE(
      B1263 + IF(INDEX(Input!$K$7:$K1503,ROW()-1),0,1),
      12*S1263
    )
)</f>
        <v/>
      </c>
      <c r="V1263" s="6" t="str">
        <f t="shared" si="5"/>
        <v/>
      </c>
      <c r="W1263" s="6" t="str">
        <f t="shared" si="6"/>
        <v/>
      </c>
    </row>
    <row r="1264">
      <c r="A1264" s="18"/>
      <c r="B1264" s="18"/>
      <c r="C1264" s="18"/>
      <c r="D1264" s="18"/>
      <c r="E1264" s="18"/>
      <c r="F1264" s="18"/>
      <c r="G1264" s="22"/>
      <c r="H1264" s="18"/>
      <c r="I1264" s="18"/>
      <c r="J1264" s="18"/>
      <c r="K1264" s="18"/>
      <c r="L1264" s="18"/>
      <c r="M1264" s="22"/>
      <c r="N1264" s="18"/>
      <c r="O1264" s="23"/>
      <c r="P1264" s="18"/>
      <c r="Q1264" s="18"/>
      <c r="R1264" s="18"/>
      <c r="S1264" s="22"/>
      <c r="T1264" s="6" t="str">
        <f t="array" ref="T1264">IF(
  B1264="",
  ,
  DATEDIF(
    B1264 + IF(INDEX(Input!$K$7:$K1503,ROW()-1),0,1),
    C1264 + IF(INDEX(Input!$L$7:$L1503,ROW()-1),1,0),
    "Y"
  )
)</f>
        <v/>
      </c>
      <c r="U1264" s="6" t="str">
        <f t="array" ref="U1264">IF(
  B1264="",
  ,
  (C1264 + IF(INDEX(Input!$L$7:$L1503,ROW()-1),1,0))
  - EDATE(
      B1264 + IF(INDEX(Input!$K$7:$K1503,ROW()-1),0,1),
      12*S1264
    )
)</f>
        <v/>
      </c>
      <c r="V1264" s="6" t="str">
        <f t="shared" si="5"/>
        <v/>
      </c>
      <c r="W1264" s="6" t="str">
        <f t="shared" si="6"/>
        <v/>
      </c>
    </row>
    <row r="1265">
      <c r="A1265" s="18"/>
      <c r="B1265" s="18"/>
      <c r="C1265" s="18"/>
      <c r="D1265" s="18"/>
      <c r="E1265" s="18"/>
      <c r="F1265" s="18"/>
      <c r="G1265" s="22"/>
      <c r="H1265" s="18"/>
      <c r="I1265" s="18"/>
      <c r="J1265" s="18"/>
      <c r="K1265" s="18"/>
      <c r="L1265" s="18"/>
      <c r="M1265" s="22"/>
      <c r="N1265" s="18"/>
      <c r="O1265" s="23"/>
      <c r="P1265" s="18"/>
      <c r="Q1265" s="18"/>
      <c r="R1265" s="18"/>
      <c r="S1265" s="22"/>
      <c r="T1265" s="6" t="str">
        <f t="array" ref="T1265">IF(
  B1265="",
  ,
  DATEDIF(
    B1265 + IF(INDEX(Input!$K$7:$K1503,ROW()-1),0,1),
    C1265 + IF(INDEX(Input!$L$7:$L1503,ROW()-1),1,0),
    "Y"
  )
)</f>
        <v/>
      </c>
      <c r="U1265" s="6" t="str">
        <f t="array" ref="U1265">IF(
  B1265="",
  ,
  (C1265 + IF(INDEX(Input!$L$7:$L1503,ROW()-1),1,0))
  - EDATE(
      B1265 + IF(INDEX(Input!$K$7:$K1503,ROW()-1),0,1),
      12*S1265
    )
)</f>
        <v/>
      </c>
      <c r="V1265" s="6" t="str">
        <f t="shared" si="5"/>
        <v/>
      </c>
      <c r="W1265" s="6" t="str">
        <f t="shared" si="6"/>
        <v/>
      </c>
    </row>
    <row r="1266">
      <c r="A1266" s="18"/>
      <c r="B1266" s="18"/>
      <c r="C1266" s="18"/>
      <c r="D1266" s="18"/>
      <c r="E1266" s="18"/>
      <c r="F1266" s="18"/>
      <c r="G1266" s="22"/>
      <c r="H1266" s="18"/>
      <c r="I1266" s="18"/>
      <c r="J1266" s="18"/>
      <c r="K1266" s="18"/>
      <c r="L1266" s="18"/>
      <c r="M1266" s="22"/>
      <c r="N1266" s="18"/>
      <c r="O1266" s="23"/>
      <c r="P1266" s="18"/>
      <c r="Q1266" s="18"/>
      <c r="R1266" s="18"/>
      <c r="S1266" s="22"/>
      <c r="T1266" s="6" t="str">
        <f t="array" ref="T1266">IF(
  B1266="",
  ,
  DATEDIF(
    B1266 + IF(INDEX(Input!$K$7:$K1503,ROW()-1),0,1),
    C1266 + IF(INDEX(Input!$L$7:$L1503,ROW()-1),1,0),
    "Y"
  )
)</f>
        <v/>
      </c>
      <c r="U1266" s="6" t="str">
        <f t="array" ref="U1266">IF(
  B1266="",
  ,
  (C1266 + IF(INDEX(Input!$L$7:$L1503,ROW()-1),1,0))
  - EDATE(
      B1266 + IF(INDEX(Input!$K$7:$K1503,ROW()-1),0,1),
      12*S1266
    )
)</f>
        <v/>
      </c>
      <c r="V1266" s="6" t="str">
        <f t="shared" si="5"/>
        <v/>
      </c>
      <c r="W1266" s="6" t="str">
        <f t="shared" si="6"/>
        <v/>
      </c>
    </row>
    <row r="1267">
      <c r="A1267" s="18"/>
      <c r="B1267" s="18"/>
      <c r="C1267" s="18"/>
      <c r="D1267" s="18"/>
      <c r="E1267" s="18"/>
      <c r="F1267" s="18"/>
      <c r="G1267" s="22"/>
      <c r="H1267" s="18"/>
      <c r="I1267" s="18"/>
      <c r="J1267" s="18"/>
      <c r="K1267" s="18"/>
      <c r="L1267" s="18"/>
      <c r="M1267" s="22"/>
      <c r="N1267" s="18"/>
      <c r="O1267" s="23"/>
      <c r="P1267" s="18"/>
      <c r="Q1267" s="18"/>
      <c r="R1267" s="18"/>
      <c r="S1267" s="22"/>
      <c r="T1267" s="6" t="str">
        <f t="array" ref="T1267">IF(
  B1267="",
  ,
  DATEDIF(
    B1267 + IF(INDEX(Input!$K$7:$K1503,ROW()-1),0,1),
    C1267 + IF(INDEX(Input!$L$7:$L1503,ROW()-1),1,0),
    "Y"
  )
)</f>
        <v/>
      </c>
      <c r="U1267" s="6" t="str">
        <f t="array" ref="U1267">IF(
  B1267="",
  ,
  (C1267 + IF(INDEX(Input!$L$7:$L1503,ROW()-1),1,0))
  - EDATE(
      B1267 + IF(INDEX(Input!$K$7:$K1503,ROW()-1),0,1),
      12*S1267
    )
)</f>
        <v/>
      </c>
      <c r="V1267" s="6" t="str">
        <f t="shared" si="5"/>
        <v/>
      </c>
      <c r="W1267" s="6" t="str">
        <f t="shared" si="6"/>
        <v/>
      </c>
    </row>
    <row r="1268">
      <c r="A1268" s="18"/>
      <c r="B1268" s="18"/>
      <c r="C1268" s="18"/>
      <c r="D1268" s="18"/>
      <c r="E1268" s="18"/>
      <c r="F1268" s="18"/>
      <c r="G1268" s="22"/>
      <c r="H1268" s="18"/>
      <c r="I1268" s="18"/>
      <c r="J1268" s="18"/>
      <c r="K1268" s="18"/>
      <c r="L1268" s="18"/>
      <c r="M1268" s="22"/>
      <c r="N1268" s="18"/>
      <c r="O1268" s="23"/>
      <c r="P1268" s="18"/>
      <c r="Q1268" s="18"/>
      <c r="R1268" s="18"/>
      <c r="S1268" s="22"/>
      <c r="T1268" s="6" t="str">
        <f t="array" ref="T1268">IF(
  B1268="",
  ,
  DATEDIF(
    B1268 + IF(INDEX(Input!$K$7:$K1503,ROW()-1),0,1),
    C1268 + IF(INDEX(Input!$L$7:$L1503,ROW()-1),1,0),
    "Y"
  )
)</f>
        <v/>
      </c>
      <c r="U1268" s="6" t="str">
        <f t="array" ref="U1268">IF(
  B1268="",
  ,
  (C1268 + IF(INDEX(Input!$L$7:$L1503,ROW()-1),1,0))
  - EDATE(
      B1268 + IF(INDEX(Input!$K$7:$K1503,ROW()-1),0,1),
      12*S1268
    )
)</f>
        <v/>
      </c>
      <c r="V1268" s="6" t="str">
        <f t="shared" si="5"/>
        <v/>
      </c>
      <c r="W1268" s="6" t="str">
        <f t="shared" si="6"/>
        <v/>
      </c>
    </row>
    <row r="1269">
      <c r="A1269" s="18"/>
      <c r="B1269" s="18"/>
      <c r="C1269" s="18"/>
      <c r="D1269" s="18"/>
      <c r="E1269" s="18"/>
      <c r="F1269" s="18"/>
      <c r="G1269" s="22"/>
      <c r="H1269" s="18"/>
      <c r="I1269" s="18"/>
      <c r="J1269" s="18"/>
      <c r="K1269" s="18"/>
      <c r="L1269" s="18"/>
      <c r="M1269" s="22"/>
      <c r="N1269" s="18"/>
      <c r="O1269" s="23"/>
      <c r="P1269" s="18"/>
      <c r="Q1269" s="18"/>
      <c r="R1269" s="18"/>
      <c r="S1269" s="22"/>
      <c r="T1269" s="6" t="str">
        <f t="array" ref="T1269">IF(
  B1269="",
  ,
  DATEDIF(
    B1269 + IF(INDEX(Input!$K$7:$K1503,ROW()-1),0,1),
    C1269 + IF(INDEX(Input!$L$7:$L1503,ROW()-1),1,0),
    "Y"
  )
)</f>
        <v/>
      </c>
      <c r="U1269" s="6" t="str">
        <f t="array" ref="U1269">IF(
  B1269="",
  ,
  (C1269 + IF(INDEX(Input!$L$7:$L1503,ROW()-1),1,0))
  - EDATE(
      B1269 + IF(INDEX(Input!$K$7:$K1503,ROW()-1),0,1),
      12*S1269
    )
)</f>
        <v/>
      </c>
      <c r="V1269" s="6" t="str">
        <f t="shared" si="5"/>
        <v/>
      </c>
      <c r="W1269" s="6" t="str">
        <f t="shared" si="6"/>
        <v/>
      </c>
    </row>
    <row r="1270">
      <c r="A1270" s="18"/>
      <c r="B1270" s="18"/>
      <c r="C1270" s="18"/>
      <c r="D1270" s="18"/>
      <c r="E1270" s="18"/>
      <c r="F1270" s="18"/>
      <c r="G1270" s="22"/>
      <c r="H1270" s="18"/>
      <c r="I1270" s="18"/>
      <c r="J1270" s="18"/>
      <c r="K1270" s="18"/>
      <c r="L1270" s="18"/>
      <c r="M1270" s="22"/>
      <c r="N1270" s="18"/>
      <c r="O1270" s="23"/>
      <c r="P1270" s="18"/>
      <c r="Q1270" s="18"/>
      <c r="R1270" s="18"/>
      <c r="S1270" s="22"/>
      <c r="T1270" s="6" t="str">
        <f t="array" ref="T1270">IF(
  B1270="",
  ,
  DATEDIF(
    B1270 + IF(INDEX(Input!$K$7:$K1503,ROW()-1),0,1),
    C1270 + IF(INDEX(Input!$L$7:$L1503,ROW()-1),1,0),
    "Y"
  )
)</f>
        <v/>
      </c>
      <c r="U1270" s="6" t="str">
        <f t="array" ref="U1270">IF(
  B1270="",
  ,
  (C1270 + IF(INDEX(Input!$L$7:$L1503,ROW()-1),1,0))
  - EDATE(
      B1270 + IF(INDEX(Input!$K$7:$K1503,ROW()-1),0,1),
      12*S1270
    )
)</f>
        <v/>
      </c>
      <c r="V1270" s="6" t="str">
        <f t="shared" si="5"/>
        <v/>
      </c>
      <c r="W1270" s="6" t="str">
        <f t="shared" si="6"/>
        <v/>
      </c>
    </row>
    <row r="1271">
      <c r="A1271" s="18"/>
      <c r="B1271" s="18"/>
      <c r="C1271" s="18"/>
      <c r="D1271" s="18"/>
      <c r="E1271" s="18"/>
      <c r="F1271" s="18"/>
      <c r="G1271" s="22"/>
      <c r="H1271" s="18"/>
      <c r="I1271" s="18"/>
      <c r="J1271" s="18"/>
      <c r="K1271" s="18"/>
      <c r="L1271" s="18"/>
      <c r="M1271" s="22"/>
      <c r="N1271" s="18"/>
      <c r="O1271" s="23"/>
      <c r="P1271" s="18"/>
      <c r="Q1271" s="18"/>
      <c r="R1271" s="18"/>
      <c r="S1271" s="22"/>
      <c r="T1271" s="6" t="str">
        <f t="array" ref="T1271">IF(
  B1271="",
  ,
  DATEDIF(
    B1271 + IF(INDEX(Input!$K$7:$K1503,ROW()-1),0,1),
    C1271 + IF(INDEX(Input!$L$7:$L1503,ROW()-1),1,0),
    "Y"
  )
)</f>
        <v/>
      </c>
      <c r="U1271" s="6" t="str">
        <f t="array" ref="U1271">IF(
  B1271="",
  ,
  (C1271 + IF(INDEX(Input!$L$7:$L1503,ROW()-1),1,0))
  - EDATE(
      B1271 + IF(INDEX(Input!$K$7:$K1503,ROW()-1),0,1),
      12*S1271
    )
)</f>
        <v/>
      </c>
      <c r="V1271" s="6" t="str">
        <f t="shared" si="5"/>
        <v/>
      </c>
      <c r="W1271" s="6" t="str">
        <f t="shared" si="6"/>
        <v/>
      </c>
    </row>
    <row r="1272">
      <c r="A1272" s="18"/>
      <c r="B1272" s="18"/>
      <c r="C1272" s="18"/>
      <c r="D1272" s="18"/>
      <c r="E1272" s="18"/>
      <c r="F1272" s="18"/>
      <c r="G1272" s="22"/>
      <c r="H1272" s="18"/>
      <c r="I1272" s="18"/>
      <c r="J1272" s="18"/>
      <c r="K1272" s="18"/>
      <c r="L1272" s="18"/>
      <c r="M1272" s="22"/>
      <c r="N1272" s="18"/>
      <c r="O1272" s="23"/>
      <c r="P1272" s="18"/>
      <c r="Q1272" s="18"/>
      <c r="R1272" s="18"/>
      <c r="S1272" s="22"/>
      <c r="T1272" s="6" t="str">
        <f t="array" ref="T1272">IF(
  B1272="",
  ,
  DATEDIF(
    B1272 + IF(INDEX(Input!$K$7:$K1503,ROW()-1),0,1),
    C1272 + IF(INDEX(Input!$L$7:$L1503,ROW()-1),1,0),
    "Y"
  )
)</f>
        <v/>
      </c>
      <c r="U1272" s="6" t="str">
        <f t="array" ref="U1272">IF(
  B1272="",
  ,
  (C1272 + IF(INDEX(Input!$L$7:$L1503,ROW()-1),1,0))
  - EDATE(
      B1272 + IF(INDEX(Input!$K$7:$K1503,ROW()-1),0,1),
      12*S1272
    )
)</f>
        <v/>
      </c>
      <c r="V1272" s="6" t="str">
        <f t="shared" si="5"/>
        <v/>
      </c>
      <c r="W1272" s="6" t="str">
        <f t="shared" si="6"/>
        <v/>
      </c>
    </row>
    <row r="1273">
      <c r="A1273" s="18"/>
      <c r="B1273" s="18"/>
      <c r="C1273" s="18"/>
      <c r="D1273" s="18"/>
      <c r="E1273" s="18"/>
      <c r="F1273" s="18"/>
      <c r="G1273" s="22"/>
      <c r="H1273" s="18"/>
      <c r="I1273" s="18"/>
      <c r="J1273" s="18"/>
      <c r="K1273" s="18"/>
      <c r="L1273" s="18"/>
      <c r="M1273" s="22"/>
      <c r="N1273" s="18"/>
      <c r="O1273" s="23"/>
      <c r="P1273" s="18"/>
      <c r="Q1273" s="18"/>
      <c r="R1273" s="18"/>
      <c r="S1273" s="22"/>
      <c r="T1273" s="6" t="str">
        <f t="array" ref="T1273">IF(
  B1273="",
  ,
  DATEDIF(
    B1273 + IF(INDEX(Input!$K$7:$K1503,ROW()-1),0,1),
    C1273 + IF(INDEX(Input!$L$7:$L1503,ROW()-1),1,0),
    "Y"
  )
)</f>
        <v/>
      </c>
      <c r="U1273" s="6" t="str">
        <f t="array" ref="U1273">IF(
  B1273="",
  ,
  (C1273 + IF(INDEX(Input!$L$7:$L1503,ROW()-1),1,0))
  - EDATE(
      B1273 + IF(INDEX(Input!$K$7:$K1503,ROW()-1),0,1),
      12*S1273
    )
)</f>
        <v/>
      </c>
      <c r="V1273" s="6" t="str">
        <f t="shared" si="5"/>
        <v/>
      </c>
      <c r="W1273" s="6" t="str">
        <f t="shared" si="6"/>
        <v/>
      </c>
    </row>
    <row r="1274">
      <c r="A1274" s="18"/>
      <c r="B1274" s="18"/>
      <c r="C1274" s="18"/>
      <c r="D1274" s="18"/>
      <c r="E1274" s="18"/>
      <c r="F1274" s="18"/>
      <c r="G1274" s="22"/>
      <c r="H1274" s="18"/>
      <c r="I1274" s="18"/>
      <c r="J1274" s="18"/>
      <c r="K1274" s="18"/>
      <c r="L1274" s="18"/>
      <c r="M1274" s="22"/>
      <c r="N1274" s="18"/>
      <c r="O1274" s="23"/>
      <c r="P1274" s="18"/>
      <c r="Q1274" s="18"/>
      <c r="R1274" s="18"/>
      <c r="S1274" s="22"/>
      <c r="T1274" s="6" t="str">
        <f t="array" ref="T1274">IF(
  B1274="",
  ,
  DATEDIF(
    B1274 + IF(INDEX(Input!$K$7:$K1503,ROW()-1),0,1),
    C1274 + IF(INDEX(Input!$L$7:$L1503,ROW()-1),1,0),
    "Y"
  )
)</f>
        <v/>
      </c>
      <c r="U1274" s="6" t="str">
        <f t="array" ref="U1274">IF(
  B1274="",
  ,
  (C1274 + IF(INDEX(Input!$L$7:$L1503,ROW()-1),1,0))
  - EDATE(
      B1274 + IF(INDEX(Input!$K$7:$K1503,ROW()-1),0,1),
      12*S1274
    )
)</f>
        <v/>
      </c>
      <c r="V1274" s="6" t="str">
        <f t="shared" si="5"/>
        <v/>
      </c>
      <c r="W1274" s="6" t="str">
        <f t="shared" si="6"/>
        <v/>
      </c>
    </row>
    <row r="1275">
      <c r="A1275" s="18"/>
      <c r="B1275" s="18"/>
      <c r="C1275" s="18"/>
      <c r="D1275" s="18"/>
      <c r="E1275" s="18"/>
      <c r="F1275" s="18"/>
      <c r="G1275" s="22"/>
      <c r="H1275" s="18"/>
      <c r="I1275" s="18"/>
      <c r="J1275" s="18"/>
      <c r="K1275" s="18"/>
      <c r="L1275" s="18"/>
      <c r="M1275" s="22"/>
      <c r="N1275" s="18"/>
      <c r="O1275" s="23"/>
      <c r="P1275" s="18"/>
      <c r="Q1275" s="18"/>
      <c r="R1275" s="18"/>
      <c r="S1275" s="22"/>
      <c r="T1275" s="6" t="str">
        <f t="array" ref="T1275">IF(
  B1275="",
  ,
  DATEDIF(
    B1275 + IF(INDEX(Input!$K$7:$K1503,ROW()-1),0,1),
    C1275 + IF(INDEX(Input!$L$7:$L1503,ROW()-1),1,0),
    "Y"
  )
)</f>
        <v/>
      </c>
      <c r="U1275" s="6" t="str">
        <f t="array" ref="U1275">IF(
  B1275="",
  ,
  (C1275 + IF(INDEX(Input!$L$7:$L1503,ROW()-1),1,0))
  - EDATE(
      B1275 + IF(INDEX(Input!$K$7:$K1503,ROW()-1),0,1),
      12*S1275
    )
)</f>
        <v/>
      </c>
      <c r="V1275" s="6" t="str">
        <f t="shared" si="5"/>
        <v/>
      </c>
      <c r="W1275" s="6" t="str">
        <f t="shared" si="6"/>
        <v/>
      </c>
    </row>
    <row r="1276">
      <c r="A1276" s="18"/>
      <c r="B1276" s="18"/>
      <c r="C1276" s="18"/>
      <c r="D1276" s="18"/>
      <c r="E1276" s="18"/>
      <c r="F1276" s="18"/>
      <c r="G1276" s="22"/>
      <c r="H1276" s="18"/>
      <c r="I1276" s="18"/>
      <c r="J1276" s="18"/>
      <c r="K1276" s="18"/>
      <c r="L1276" s="18"/>
      <c r="M1276" s="22"/>
      <c r="N1276" s="18"/>
      <c r="O1276" s="23"/>
      <c r="P1276" s="18"/>
      <c r="Q1276" s="18"/>
      <c r="R1276" s="18"/>
      <c r="S1276" s="22"/>
      <c r="T1276" s="6" t="str">
        <f t="array" ref="T1276">IF(
  B1276="",
  ,
  DATEDIF(
    B1276 + IF(INDEX(Input!$K$7:$K1503,ROW()-1),0,1),
    C1276 + IF(INDEX(Input!$L$7:$L1503,ROW()-1),1,0),
    "Y"
  )
)</f>
        <v/>
      </c>
      <c r="U1276" s="6" t="str">
        <f t="array" ref="U1276">IF(
  B1276="",
  ,
  (C1276 + IF(INDEX(Input!$L$7:$L1503,ROW()-1),1,0))
  - EDATE(
      B1276 + IF(INDEX(Input!$K$7:$K1503,ROW()-1),0,1),
      12*S1276
    )
)</f>
        <v/>
      </c>
      <c r="V1276" s="6" t="str">
        <f t="shared" si="5"/>
        <v/>
      </c>
      <c r="W1276" s="6" t="str">
        <f t="shared" si="6"/>
        <v/>
      </c>
    </row>
    <row r="1277">
      <c r="A1277" s="18"/>
      <c r="B1277" s="18"/>
      <c r="C1277" s="18"/>
      <c r="D1277" s="18"/>
      <c r="E1277" s="18"/>
      <c r="F1277" s="18"/>
      <c r="G1277" s="22"/>
      <c r="H1277" s="18"/>
      <c r="I1277" s="18"/>
      <c r="J1277" s="18"/>
      <c r="K1277" s="18"/>
      <c r="L1277" s="18"/>
      <c r="M1277" s="22"/>
      <c r="N1277" s="18"/>
      <c r="O1277" s="23"/>
      <c r="P1277" s="18"/>
      <c r="Q1277" s="18"/>
      <c r="R1277" s="18"/>
      <c r="S1277" s="22"/>
      <c r="T1277" s="6" t="str">
        <f t="array" ref="T1277">IF(
  B1277="",
  ,
  DATEDIF(
    B1277 + IF(INDEX(Input!$K$7:$K1503,ROW()-1),0,1),
    C1277 + IF(INDEX(Input!$L$7:$L1503,ROW()-1),1,0),
    "Y"
  )
)</f>
        <v/>
      </c>
      <c r="U1277" s="6" t="str">
        <f t="array" ref="U1277">IF(
  B1277="",
  ,
  (C1277 + IF(INDEX(Input!$L$7:$L1503,ROW()-1),1,0))
  - EDATE(
      B1277 + IF(INDEX(Input!$K$7:$K1503,ROW()-1),0,1),
      12*S1277
    )
)</f>
        <v/>
      </c>
      <c r="V1277" s="6" t="str">
        <f t="shared" si="5"/>
        <v/>
      </c>
      <c r="W1277" s="6" t="str">
        <f t="shared" si="6"/>
        <v/>
      </c>
    </row>
    <row r="1278">
      <c r="A1278" s="18"/>
      <c r="B1278" s="18"/>
      <c r="C1278" s="18"/>
      <c r="D1278" s="18"/>
      <c r="E1278" s="18"/>
      <c r="F1278" s="18"/>
      <c r="G1278" s="22"/>
      <c r="H1278" s="18"/>
      <c r="I1278" s="18"/>
      <c r="J1278" s="18"/>
      <c r="K1278" s="18"/>
      <c r="L1278" s="18"/>
      <c r="M1278" s="22"/>
      <c r="N1278" s="18"/>
      <c r="O1278" s="23"/>
      <c r="P1278" s="18"/>
      <c r="Q1278" s="18"/>
      <c r="R1278" s="18"/>
      <c r="S1278" s="22"/>
      <c r="T1278" s="6" t="str">
        <f t="array" ref="T1278">IF(
  B1278="",
  ,
  DATEDIF(
    B1278 + IF(INDEX(Input!$K$7:$K1503,ROW()-1),0,1),
    C1278 + IF(INDEX(Input!$L$7:$L1503,ROW()-1),1,0),
    "Y"
  )
)</f>
        <v/>
      </c>
      <c r="U1278" s="6" t="str">
        <f t="array" ref="U1278">IF(
  B1278="",
  ,
  (C1278 + IF(INDEX(Input!$L$7:$L1503,ROW()-1),1,0))
  - EDATE(
      B1278 + IF(INDEX(Input!$K$7:$K1503,ROW()-1),0,1),
      12*S1278
    )
)</f>
        <v/>
      </c>
      <c r="V1278" s="6" t="str">
        <f t="shared" si="5"/>
        <v/>
      </c>
      <c r="W1278" s="6" t="str">
        <f t="shared" si="6"/>
        <v/>
      </c>
    </row>
    <row r="1279">
      <c r="A1279" s="18"/>
      <c r="B1279" s="18"/>
      <c r="C1279" s="18"/>
      <c r="D1279" s="18"/>
      <c r="E1279" s="18"/>
      <c r="F1279" s="18"/>
      <c r="G1279" s="22"/>
      <c r="H1279" s="18"/>
      <c r="I1279" s="18"/>
      <c r="J1279" s="18"/>
      <c r="K1279" s="18"/>
      <c r="L1279" s="18"/>
      <c r="M1279" s="22"/>
      <c r="N1279" s="18"/>
      <c r="O1279" s="23"/>
      <c r="P1279" s="18"/>
      <c r="Q1279" s="18"/>
      <c r="R1279" s="18"/>
      <c r="S1279" s="22"/>
      <c r="T1279" s="6" t="str">
        <f t="array" ref="T1279">IF(
  B1279="",
  ,
  DATEDIF(
    B1279 + IF(INDEX(Input!$K$7:$K1503,ROW()-1),0,1),
    C1279 + IF(INDEX(Input!$L$7:$L1503,ROW()-1),1,0),
    "Y"
  )
)</f>
        <v/>
      </c>
      <c r="U1279" s="6" t="str">
        <f t="array" ref="U1279">IF(
  B1279="",
  ,
  (C1279 + IF(INDEX(Input!$L$7:$L1503,ROW()-1),1,0))
  - EDATE(
      B1279 + IF(INDEX(Input!$K$7:$K1503,ROW()-1),0,1),
      12*S1279
    )
)</f>
        <v/>
      </c>
      <c r="V1279" s="6" t="str">
        <f t="shared" si="5"/>
        <v/>
      </c>
      <c r="W1279" s="6" t="str">
        <f t="shared" si="6"/>
        <v/>
      </c>
    </row>
    <row r="1280">
      <c r="A1280" s="18"/>
      <c r="B1280" s="18"/>
      <c r="C1280" s="18"/>
      <c r="D1280" s="18"/>
      <c r="E1280" s="18"/>
      <c r="F1280" s="18"/>
      <c r="G1280" s="22"/>
      <c r="H1280" s="18"/>
      <c r="I1280" s="18"/>
      <c r="J1280" s="18"/>
      <c r="K1280" s="18"/>
      <c r="L1280" s="18"/>
      <c r="M1280" s="22"/>
      <c r="N1280" s="18"/>
      <c r="O1280" s="23"/>
      <c r="P1280" s="18"/>
      <c r="Q1280" s="18"/>
      <c r="R1280" s="18"/>
      <c r="S1280" s="22"/>
      <c r="T1280" s="6" t="str">
        <f t="array" ref="T1280">IF(
  B1280="",
  ,
  DATEDIF(
    B1280 + IF(INDEX(Input!$K$7:$K1503,ROW()-1),0,1),
    C1280 + IF(INDEX(Input!$L$7:$L1503,ROW()-1),1,0),
    "Y"
  )
)</f>
        <v/>
      </c>
      <c r="U1280" s="6" t="str">
        <f t="array" ref="U1280">IF(
  B1280="",
  ,
  (C1280 + IF(INDEX(Input!$L$7:$L1503,ROW()-1),1,0))
  - EDATE(
      B1280 + IF(INDEX(Input!$K$7:$K1503,ROW()-1),0,1),
      12*S1280
    )
)</f>
        <v/>
      </c>
      <c r="V1280" s="6" t="str">
        <f t="shared" si="5"/>
        <v/>
      </c>
      <c r="W1280" s="6" t="str">
        <f t="shared" si="6"/>
        <v/>
      </c>
    </row>
    <row r="1281">
      <c r="A1281" s="18"/>
      <c r="B1281" s="18"/>
      <c r="C1281" s="18"/>
      <c r="D1281" s="18"/>
      <c r="E1281" s="18"/>
      <c r="F1281" s="18"/>
      <c r="G1281" s="22"/>
      <c r="H1281" s="18"/>
      <c r="I1281" s="18"/>
      <c r="J1281" s="18"/>
      <c r="K1281" s="18"/>
      <c r="L1281" s="18"/>
      <c r="M1281" s="22"/>
      <c r="N1281" s="18"/>
      <c r="O1281" s="23"/>
      <c r="P1281" s="18"/>
      <c r="Q1281" s="18"/>
      <c r="R1281" s="18"/>
      <c r="S1281" s="22"/>
      <c r="T1281" s="6" t="str">
        <f t="array" ref="T1281">IF(
  B1281="",
  ,
  DATEDIF(
    B1281 + IF(INDEX(Input!$K$7:$K1503,ROW()-1),0,1),
    C1281 + IF(INDEX(Input!$L$7:$L1503,ROW()-1),1,0),
    "Y"
  )
)</f>
        <v/>
      </c>
      <c r="U1281" s="6" t="str">
        <f t="array" ref="U1281">IF(
  B1281="",
  ,
  (C1281 + IF(INDEX(Input!$L$7:$L1503,ROW()-1),1,0))
  - EDATE(
      B1281 + IF(INDEX(Input!$K$7:$K1503,ROW()-1),0,1),
      12*S1281
    )
)</f>
        <v/>
      </c>
      <c r="V1281" s="6" t="str">
        <f t="shared" si="5"/>
        <v/>
      </c>
      <c r="W1281" s="6" t="str">
        <f t="shared" si="6"/>
        <v/>
      </c>
    </row>
    <row r="1282">
      <c r="A1282" s="18"/>
      <c r="B1282" s="18"/>
      <c r="C1282" s="18"/>
      <c r="D1282" s="18"/>
      <c r="E1282" s="18"/>
      <c r="F1282" s="18"/>
      <c r="G1282" s="22"/>
      <c r="H1282" s="18"/>
      <c r="I1282" s="18"/>
      <c r="J1282" s="18"/>
      <c r="K1282" s="18"/>
      <c r="L1282" s="18"/>
      <c r="M1282" s="22"/>
      <c r="N1282" s="18"/>
      <c r="O1282" s="23"/>
      <c r="P1282" s="18"/>
      <c r="Q1282" s="18"/>
      <c r="R1282" s="18"/>
      <c r="S1282" s="22"/>
      <c r="T1282" s="6" t="str">
        <f t="array" ref="T1282">IF(
  B1282="",
  ,
  DATEDIF(
    B1282 + IF(INDEX(Input!$K$7:$K1503,ROW()-1),0,1),
    C1282 + IF(INDEX(Input!$L$7:$L1503,ROW()-1),1,0),
    "Y"
  )
)</f>
        <v/>
      </c>
      <c r="U1282" s="6" t="str">
        <f t="array" ref="U1282">IF(
  B1282="",
  ,
  (C1282 + IF(INDEX(Input!$L$7:$L1503,ROW()-1),1,0))
  - EDATE(
      B1282 + IF(INDEX(Input!$K$7:$K1503,ROW()-1),0,1),
      12*S1282
    )
)</f>
        <v/>
      </c>
      <c r="V1282" s="6" t="str">
        <f t="shared" si="5"/>
        <v/>
      </c>
      <c r="W1282" s="6" t="str">
        <f t="shared" si="6"/>
        <v/>
      </c>
    </row>
    <row r="1283">
      <c r="A1283" s="18"/>
      <c r="B1283" s="18"/>
      <c r="C1283" s="18"/>
      <c r="D1283" s="18"/>
      <c r="E1283" s="18"/>
      <c r="F1283" s="18"/>
      <c r="G1283" s="22"/>
      <c r="H1283" s="18"/>
      <c r="I1283" s="18"/>
      <c r="J1283" s="18"/>
      <c r="K1283" s="18"/>
      <c r="L1283" s="18"/>
      <c r="M1283" s="22"/>
      <c r="N1283" s="18"/>
      <c r="O1283" s="23"/>
      <c r="P1283" s="18"/>
      <c r="Q1283" s="18"/>
      <c r="R1283" s="18"/>
      <c r="S1283" s="22"/>
      <c r="T1283" s="6" t="str">
        <f t="array" ref="T1283">IF(
  B1283="",
  ,
  DATEDIF(
    B1283 + IF(INDEX(Input!$K$7:$K1503,ROW()-1),0,1),
    C1283 + IF(INDEX(Input!$L$7:$L1503,ROW()-1),1,0),
    "Y"
  )
)</f>
        <v/>
      </c>
      <c r="U1283" s="6" t="str">
        <f t="array" ref="U1283">IF(
  B1283="",
  ,
  (C1283 + IF(INDEX(Input!$L$7:$L1503,ROW()-1),1,0))
  - EDATE(
      B1283 + IF(INDEX(Input!$K$7:$K1503,ROW()-1),0,1),
      12*S1283
    )
)</f>
        <v/>
      </c>
      <c r="V1283" s="6" t="str">
        <f t="shared" si="5"/>
        <v/>
      </c>
      <c r="W1283" s="6" t="str">
        <f t="shared" si="6"/>
        <v/>
      </c>
    </row>
    <row r="1284">
      <c r="A1284" s="18"/>
      <c r="B1284" s="18"/>
      <c r="C1284" s="18"/>
      <c r="D1284" s="18"/>
      <c r="E1284" s="18"/>
      <c r="F1284" s="18"/>
      <c r="G1284" s="22"/>
      <c r="H1284" s="18"/>
      <c r="I1284" s="18"/>
      <c r="J1284" s="18"/>
      <c r="K1284" s="18"/>
      <c r="L1284" s="18"/>
      <c r="M1284" s="22"/>
      <c r="N1284" s="18"/>
      <c r="O1284" s="23"/>
      <c r="P1284" s="18"/>
      <c r="Q1284" s="18"/>
      <c r="R1284" s="18"/>
      <c r="S1284" s="22"/>
      <c r="T1284" s="6" t="str">
        <f t="array" ref="T1284">IF(
  B1284="",
  ,
  DATEDIF(
    B1284 + IF(INDEX(Input!$K$7:$K1503,ROW()-1),0,1),
    C1284 + IF(INDEX(Input!$L$7:$L1503,ROW()-1),1,0),
    "Y"
  )
)</f>
        <v/>
      </c>
      <c r="U1284" s="6" t="str">
        <f t="array" ref="U1284">IF(
  B1284="",
  ,
  (C1284 + IF(INDEX(Input!$L$7:$L1503,ROW()-1),1,0))
  - EDATE(
      B1284 + IF(INDEX(Input!$K$7:$K1503,ROW()-1),0,1),
      12*S1284
    )
)</f>
        <v/>
      </c>
      <c r="V1284" s="6" t="str">
        <f t="shared" si="5"/>
        <v/>
      </c>
      <c r="W1284" s="6" t="str">
        <f t="shared" si="6"/>
        <v/>
      </c>
    </row>
    <row r="1285">
      <c r="A1285" s="18"/>
      <c r="B1285" s="18"/>
      <c r="C1285" s="18"/>
      <c r="D1285" s="18"/>
      <c r="E1285" s="18"/>
      <c r="F1285" s="18"/>
      <c r="G1285" s="22"/>
      <c r="H1285" s="18"/>
      <c r="I1285" s="18"/>
      <c r="J1285" s="18"/>
      <c r="K1285" s="18"/>
      <c r="L1285" s="18"/>
      <c r="M1285" s="22"/>
      <c r="N1285" s="18"/>
      <c r="O1285" s="23"/>
      <c r="P1285" s="18"/>
      <c r="Q1285" s="18"/>
      <c r="R1285" s="18"/>
      <c r="S1285" s="22"/>
      <c r="T1285" s="6" t="str">
        <f t="array" ref="T1285">IF(
  B1285="",
  ,
  DATEDIF(
    B1285 + IF(INDEX(Input!$K$7:$K1503,ROW()-1),0,1),
    C1285 + IF(INDEX(Input!$L$7:$L1503,ROW()-1),1,0),
    "Y"
  )
)</f>
        <v/>
      </c>
      <c r="U1285" s="6" t="str">
        <f t="array" ref="U1285">IF(
  B1285="",
  ,
  (C1285 + IF(INDEX(Input!$L$7:$L1503,ROW()-1),1,0))
  - EDATE(
      B1285 + IF(INDEX(Input!$K$7:$K1503,ROW()-1),0,1),
      12*S1285
    )
)</f>
        <v/>
      </c>
      <c r="V1285" s="6" t="str">
        <f t="shared" si="5"/>
        <v/>
      </c>
      <c r="W1285" s="6" t="str">
        <f t="shared" si="6"/>
        <v/>
      </c>
    </row>
    <row r="1286">
      <c r="A1286" s="18"/>
      <c r="B1286" s="18"/>
      <c r="C1286" s="18"/>
      <c r="D1286" s="18"/>
      <c r="E1286" s="18"/>
      <c r="F1286" s="18"/>
      <c r="G1286" s="22"/>
      <c r="H1286" s="18"/>
      <c r="I1286" s="18"/>
      <c r="J1286" s="18"/>
      <c r="K1286" s="18"/>
      <c r="L1286" s="18"/>
      <c r="M1286" s="22"/>
      <c r="N1286" s="18"/>
      <c r="O1286" s="23"/>
      <c r="P1286" s="18"/>
      <c r="Q1286" s="18"/>
      <c r="R1286" s="18"/>
      <c r="S1286" s="22"/>
      <c r="T1286" s="6" t="str">
        <f t="array" ref="T1286">IF(
  B1286="",
  ,
  DATEDIF(
    B1286 + IF(INDEX(Input!$K$7:$K1503,ROW()-1),0,1),
    C1286 + IF(INDEX(Input!$L$7:$L1503,ROW()-1),1,0),
    "Y"
  )
)</f>
        <v/>
      </c>
      <c r="U1286" s="6" t="str">
        <f t="array" ref="U1286">IF(
  B1286="",
  ,
  (C1286 + IF(INDEX(Input!$L$7:$L1503,ROW()-1),1,0))
  - EDATE(
      B1286 + IF(INDEX(Input!$K$7:$K1503,ROW()-1),0,1),
      12*S1286
    )
)</f>
        <v/>
      </c>
      <c r="V1286" s="6" t="str">
        <f t="shared" si="5"/>
        <v/>
      </c>
      <c r="W1286" s="6" t="str">
        <f t="shared" si="6"/>
        <v/>
      </c>
    </row>
    <row r="1287">
      <c r="A1287" s="18"/>
      <c r="B1287" s="18"/>
      <c r="C1287" s="18"/>
      <c r="D1287" s="18"/>
      <c r="E1287" s="18"/>
      <c r="F1287" s="18"/>
      <c r="G1287" s="22"/>
      <c r="H1287" s="18"/>
      <c r="I1287" s="18"/>
      <c r="J1287" s="18"/>
      <c r="K1287" s="18"/>
      <c r="L1287" s="18"/>
      <c r="M1287" s="22"/>
      <c r="N1287" s="18"/>
      <c r="O1287" s="23"/>
      <c r="P1287" s="18"/>
      <c r="Q1287" s="18"/>
      <c r="R1287" s="18"/>
      <c r="S1287" s="22"/>
      <c r="T1287" s="6" t="str">
        <f t="array" ref="T1287">IF(
  B1287="",
  ,
  DATEDIF(
    B1287 + IF(INDEX(Input!$K$7:$K1503,ROW()-1),0,1),
    C1287 + IF(INDEX(Input!$L$7:$L1503,ROW()-1),1,0),
    "Y"
  )
)</f>
        <v/>
      </c>
      <c r="U1287" s="6" t="str">
        <f t="array" ref="U1287">IF(
  B1287="",
  ,
  (C1287 + IF(INDEX(Input!$L$7:$L1503,ROW()-1),1,0))
  - EDATE(
      B1287 + IF(INDEX(Input!$K$7:$K1503,ROW()-1),0,1),
      12*S1287
    )
)</f>
        <v/>
      </c>
      <c r="V1287" s="6" t="str">
        <f t="shared" si="5"/>
        <v/>
      </c>
      <c r="W1287" s="6" t="str">
        <f t="shared" si="6"/>
        <v/>
      </c>
    </row>
    <row r="1288">
      <c r="A1288" s="18"/>
      <c r="B1288" s="18"/>
      <c r="C1288" s="18"/>
      <c r="D1288" s="18"/>
      <c r="E1288" s="18"/>
      <c r="F1288" s="18"/>
      <c r="G1288" s="22"/>
      <c r="H1288" s="18"/>
      <c r="I1288" s="18"/>
      <c r="J1288" s="18"/>
      <c r="K1288" s="18"/>
      <c r="L1288" s="18"/>
      <c r="M1288" s="22"/>
      <c r="N1288" s="18"/>
      <c r="O1288" s="23"/>
      <c r="P1288" s="18"/>
      <c r="Q1288" s="18"/>
      <c r="R1288" s="18"/>
      <c r="S1288" s="22"/>
      <c r="T1288" s="6" t="str">
        <f t="array" ref="T1288">IF(
  B1288="",
  ,
  DATEDIF(
    B1288 + IF(INDEX(Input!$K$7:$K1503,ROW()-1),0,1),
    C1288 + IF(INDEX(Input!$L$7:$L1503,ROW()-1),1,0),
    "Y"
  )
)</f>
        <v/>
      </c>
      <c r="U1288" s="6" t="str">
        <f t="array" ref="U1288">IF(
  B1288="",
  ,
  (C1288 + IF(INDEX(Input!$L$7:$L1503,ROW()-1),1,0))
  - EDATE(
      B1288 + IF(INDEX(Input!$K$7:$K1503,ROW()-1),0,1),
      12*S1288
    )
)</f>
        <v/>
      </c>
      <c r="V1288" s="6" t="str">
        <f t="shared" si="5"/>
        <v/>
      </c>
      <c r="W1288" s="6" t="str">
        <f t="shared" si="6"/>
        <v/>
      </c>
    </row>
    <row r="1289">
      <c r="A1289" s="18"/>
      <c r="B1289" s="18"/>
      <c r="C1289" s="18"/>
      <c r="D1289" s="18"/>
      <c r="E1289" s="18"/>
      <c r="F1289" s="18"/>
      <c r="G1289" s="22"/>
      <c r="H1289" s="18"/>
      <c r="I1289" s="18"/>
      <c r="J1289" s="18"/>
      <c r="K1289" s="18"/>
      <c r="L1289" s="18"/>
      <c r="M1289" s="22"/>
      <c r="N1289" s="18"/>
      <c r="O1289" s="23"/>
      <c r="P1289" s="18"/>
      <c r="Q1289" s="18"/>
      <c r="R1289" s="18"/>
      <c r="S1289" s="22"/>
      <c r="T1289" s="6" t="str">
        <f t="array" ref="T1289">IF(
  B1289="",
  ,
  DATEDIF(
    B1289 + IF(INDEX(Input!$K$7:$K1503,ROW()-1),0,1),
    C1289 + IF(INDEX(Input!$L$7:$L1503,ROW()-1),1,0),
    "Y"
  )
)</f>
        <v/>
      </c>
      <c r="U1289" s="6" t="str">
        <f t="array" ref="U1289">IF(
  B1289="",
  ,
  (C1289 + IF(INDEX(Input!$L$7:$L1503,ROW()-1),1,0))
  - EDATE(
      B1289 + IF(INDEX(Input!$K$7:$K1503,ROW()-1),0,1),
      12*S1289
    )
)</f>
        <v/>
      </c>
      <c r="V1289" s="6" t="str">
        <f t="shared" si="5"/>
        <v/>
      </c>
      <c r="W1289" s="6" t="str">
        <f t="shared" si="6"/>
        <v/>
      </c>
    </row>
    <row r="1290">
      <c r="A1290" s="18"/>
      <c r="B1290" s="18"/>
      <c r="C1290" s="18"/>
      <c r="D1290" s="18"/>
      <c r="E1290" s="18"/>
      <c r="F1290" s="18"/>
      <c r="G1290" s="22"/>
      <c r="H1290" s="18"/>
      <c r="I1290" s="18"/>
      <c r="J1290" s="18"/>
      <c r="K1290" s="18"/>
      <c r="L1290" s="18"/>
      <c r="M1290" s="22"/>
      <c r="N1290" s="18"/>
      <c r="O1290" s="23"/>
      <c r="P1290" s="18"/>
      <c r="Q1290" s="18"/>
      <c r="R1290" s="18"/>
      <c r="S1290" s="22"/>
      <c r="T1290" s="6" t="str">
        <f t="array" ref="T1290">IF(
  B1290="",
  ,
  DATEDIF(
    B1290 + IF(INDEX(Input!$K$7:$K1503,ROW()-1),0,1),
    C1290 + IF(INDEX(Input!$L$7:$L1503,ROW()-1),1,0),
    "Y"
  )
)</f>
        <v/>
      </c>
      <c r="U1290" s="6" t="str">
        <f t="array" ref="U1290">IF(
  B1290="",
  ,
  (C1290 + IF(INDEX(Input!$L$7:$L1503,ROW()-1),1,0))
  - EDATE(
      B1290 + IF(INDEX(Input!$K$7:$K1503,ROW()-1),0,1),
      12*S1290
    )
)</f>
        <v/>
      </c>
      <c r="V1290" s="6" t="str">
        <f t="shared" si="5"/>
        <v/>
      </c>
      <c r="W1290" s="6" t="str">
        <f t="shared" si="6"/>
        <v/>
      </c>
    </row>
    <row r="1291">
      <c r="A1291" s="18"/>
      <c r="B1291" s="18"/>
      <c r="C1291" s="18"/>
      <c r="D1291" s="18"/>
      <c r="E1291" s="18"/>
      <c r="F1291" s="18"/>
      <c r="G1291" s="22"/>
      <c r="H1291" s="18"/>
      <c r="I1291" s="18"/>
      <c r="J1291" s="18"/>
      <c r="K1291" s="18"/>
      <c r="L1291" s="18"/>
      <c r="M1291" s="22"/>
      <c r="N1291" s="18"/>
      <c r="O1291" s="23"/>
      <c r="P1291" s="18"/>
      <c r="Q1291" s="18"/>
      <c r="R1291" s="18"/>
      <c r="S1291" s="22"/>
      <c r="T1291" s="6" t="str">
        <f t="array" ref="T1291">IF(
  B1291="",
  ,
  DATEDIF(
    B1291 + IF(INDEX(Input!$K$7:$K1503,ROW()-1),0,1),
    C1291 + IF(INDEX(Input!$L$7:$L1503,ROW()-1),1,0),
    "Y"
  )
)</f>
        <v/>
      </c>
      <c r="U1291" s="6" t="str">
        <f t="array" ref="U1291">IF(
  B1291="",
  ,
  (C1291 + IF(INDEX(Input!$L$7:$L1503,ROW()-1),1,0))
  - EDATE(
      B1291 + IF(INDEX(Input!$K$7:$K1503,ROW()-1),0,1),
      12*S1291
    )
)</f>
        <v/>
      </c>
      <c r="V1291" s="6" t="str">
        <f t="shared" si="5"/>
        <v/>
      </c>
      <c r="W1291" s="6" t="str">
        <f t="shared" si="6"/>
        <v/>
      </c>
    </row>
    <row r="1292">
      <c r="A1292" s="18"/>
      <c r="B1292" s="18"/>
      <c r="C1292" s="18"/>
      <c r="D1292" s="18"/>
      <c r="E1292" s="18"/>
      <c r="F1292" s="18"/>
      <c r="G1292" s="22"/>
      <c r="H1292" s="18"/>
      <c r="I1292" s="18"/>
      <c r="J1292" s="18"/>
      <c r="K1292" s="18"/>
      <c r="L1292" s="18"/>
      <c r="M1292" s="22"/>
      <c r="N1292" s="18"/>
      <c r="O1292" s="23"/>
      <c r="P1292" s="18"/>
      <c r="Q1292" s="18"/>
      <c r="R1292" s="18"/>
      <c r="S1292" s="22"/>
      <c r="T1292" s="6" t="str">
        <f t="array" ref="T1292">IF(
  B1292="",
  ,
  DATEDIF(
    B1292 + IF(INDEX(Input!$K$7:$K1503,ROW()-1),0,1),
    C1292 + IF(INDEX(Input!$L$7:$L1503,ROW()-1),1,0),
    "Y"
  )
)</f>
        <v/>
      </c>
      <c r="U1292" s="6" t="str">
        <f t="array" ref="U1292">IF(
  B1292="",
  ,
  (C1292 + IF(INDEX(Input!$L$7:$L1503,ROW()-1),1,0))
  - EDATE(
      B1292 + IF(INDEX(Input!$K$7:$K1503,ROW()-1),0,1),
      12*S1292
    )
)</f>
        <v/>
      </c>
      <c r="V1292" s="6" t="str">
        <f t="shared" si="5"/>
        <v/>
      </c>
      <c r="W1292" s="6" t="str">
        <f t="shared" si="6"/>
        <v/>
      </c>
    </row>
    <row r="1293">
      <c r="A1293" s="18"/>
      <c r="B1293" s="18"/>
      <c r="C1293" s="18"/>
      <c r="D1293" s="18"/>
      <c r="E1293" s="18"/>
      <c r="F1293" s="18"/>
      <c r="G1293" s="22"/>
      <c r="H1293" s="18"/>
      <c r="I1293" s="18"/>
      <c r="J1293" s="18"/>
      <c r="K1293" s="18"/>
      <c r="L1293" s="18"/>
      <c r="M1293" s="22"/>
      <c r="N1293" s="18"/>
      <c r="O1293" s="23"/>
      <c r="P1293" s="18"/>
      <c r="Q1293" s="18"/>
      <c r="R1293" s="18"/>
      <c r="S1293" s="22"/>
      <c r="T1293" s="6" t="str">
        <f t="array" ref="T1293">IF(
  B1293="",
  ,
  DATEDIF(
    B1293 + IF(INDEX(Input!$K$7:$K1503,ROW()-1),0,1),
    C1293 + IF(INDEX(Input!$L$7:$L1503,ROW()-1),1,0),
    "Y"
  )
)</f>
        <v/>
      </c>
      <c r="U1293" s="6" t="str">
        <f t="array" ref="U1293">IF(
  B1293="",
  ,
  (C1293 + IF(INDEX(Input!$L$7:$L1503,ROW()-1),1,0))
  - EDATE(
      B1293 + IF(INDEX(Input!$K$7:$K1503,ROW()-1),0,1),
      12*S1293
    )
)</f>
        <v/>
      </c>
      <c r="V1293" s="6" t="str">
        <f t="shared" si="5"/>
        <v/>
      </c>
      <c r="W1293" s="6" t="str">
        <f t="shared" si="6"/>
        <v/>
      </c>
    </row>
    <row r="1294">
      <c r="A1294" s="18"/>
      <c r="B1294" s="18"/>
      <c r="C1294" s="18"/>
      <c r="D1294" s="18"/>
      <c r="E1294" s="18"/>
      <c r="F1294" s="18"/>
      <c r="G1294" s="22"/>
      <c r="H1294" s="18"/>
      <c r="I1294" s="18"/>
      <c r="J1294" s="18"/>
      <c r="K1294" s="18"/>
      <c r="L1294" s="18"/>
      <c r="M1294" s="22"/>
      <c r="N1294" s="18"/>
      <c r="O1294" s="23"/>
      <c r="P1294" s="18"/>
      <c r="Q1294" s="18"/>
      <c r="R1294" s="18"/>
      <c r="S1294" s="22"/>
      <c r="T1294" s="6" t="str">
        <f t="array" ref="T1294">IF(
  B1294="",
  ,
  DATEDIF(
    B1294 + IF(INDEX(Input!$K$7:$K1503,ROW()-1),0,1),
    C1294 + IF(INDEX(Input!$L$7:$L1503,ROW()-1),1,0),
    "Y"
  )
)</f>
        <v/>
      </c>
      <c r="U1294" s="6" t="str">
        <f t="array" ref="U1294">IF(
  B1294="",
  ,
  (C1294 + IF(INDEX(Input!$L$7:$L1503,ROW()-1),1,0))
  - EDATE(
      B1294 + IF(INDEX(Input!$K$7:$K1503,ROW()-1),0,1),
      12*S1294
    )
)</f>
        <v/>
      </c>
      <c r="V1294" s="6" t="str">
        <f t="shared" si="5"/>
        <v/>
      </c>
      <c r="W1294" s="6" t="str">
        <f t="shared" si="6"/>
        <v/>
      </c>
    </row>
    <row r="1295">
      <c r="A1295" s="18"/>
      <c r="B1295" s="18"/>
      <c r="C1295" s="18"/>
      <c r="D1295" s="18"/>
      <c r="E1295" s="18"/>
      <c r="F1295" s="18"/>
      <c r="G1295" s="22"/>
      <c r="H1295" s="18"/>
      <c r="I1295" s="18"/>
      <c r="J1295" s="18"/>
      <c r="K1295" s="18"/>
      <c r="L1295" s="18"/>
      <c r="M1295" s="22"/>
      <c r="N1295" s="18"/>
      <c r="O1295" s="23"/>
      <c r="P1295" s="18"/>
      <c r="Q1295" s="18"/>
      <c r="R1295" s="18"/>
      <c r="S1295" s="22"/>
      <c r="T1295" s="6" t="str">
        <f t="array" ref="T1295">IF(
  B1295="",
  ,
  DATEDIF(
    B1295 + IF(INDEX(Input!$K$7:$K1503,ROW()-1),0,1),
    C1295 + IF(INDEX(Input!$L$7:$L1503,ROW()-1),1,0),
    "Y"
  )
)</f>
        <v/>
      </c>
      <c r="U1295" s="6" t="str">
        <f t="array" ref="U1295">IF(
  B1295="",
  ,
  (C1295 + IF(INDEX(Input!$L$7:$L1503,ROW()-1),1,0))
  - EDATE(
      B1295 + IF(INDEX(Input!$K$7:$K1503,ROW()-1),0,1),
      12*S1295
    )
)</f>
        <v/>
      </c>
      <c r="V1295" s="6" t="str">
        <f t="shared" si="5"/>
        <v/>
      </c>
      <c r="W1295" s="6" t="str">
        <f t="shared" si="6"/>
        <v/>
      </c>
    </row>
    <row r="1296">
      <c r="A1296" s="18"/>
      <c r="B1296" s="18"/>
      <c r="C1296" s="18"/>
      <c r="D1296" s="18"/>
      <c r="E1296" s="18"/>
      <c r="F1296" s="18"/>
      <c r="G1296" s="22"/>
      <c r="H1296" s="18"/>
      <c r="I1296" s="18"/>
      <c r="J1296" s="18"/>
      <c r="K1296" s="18"/>
      <c r="L1296" s="18"/>
      <c r="M1296" s="22"/>
      <c r="N1296" s="18"/>
      <c r="O1296" s="23"/>
      <c r="P1296" s="18"/>
      <c r="Q1296" s="18"/>
      <c r="R1296" s="18"/>
      <c r="S1296" s="22"/>
      <c r="T1296" s="6" t="str">
        <f t="array" ref="T1296">IF(
  B1296="",
  ,
  DATEDIF(
    B1296 + IF(INDEX(Input!$K$7:$K1503,ROW()-1),0,1),
    C1296 + IF(INDEX(Input!$L$7:$L1503,ROW()-1),1,0),
    "Y"
  )
)</f>
        <v/>
      </c>
      <c r="U1296" s="6" t="str">
        <f t="array" ref="U1296">IF(
  B1296="",
  ,
  (C1296 + IF(INDEX(Input!$L$7:$L1503,ROW()-1),1,0))
  - EDATE(
      B1296 + IF(INDEX(Input!$K$7:$K1503,ROW()-1),0,1),
      12*S1296
    )
)</f>
        <v/>
      </c>
      <c r="V1296" s="6" t="str">
        <f t="shared" si="5"/>
        <v/>
      </c>
      <c r="W1296" s="6" t="str">
        <f t="shared" si="6"/>
        <v/>
      </c>
    </row>
    <row r="1297">
      <c r="A1297" s="18"/>
      <c r="B1297" s="18"/>
      <c r="C1297" s="18"/>
      <c r="D1297" s="18"/>
      <c r="E1297" s="18"/>
      <c r="F1297" s="18"/>
      <c r="G1297" s="22"/>
      <c r="H1297" s="18"/>
      <c r="I1297" s="18"/>
      <c r="J1297" s="18"/>
      <c r="K1297" s="18"/>
      <c r="L1297" s="18"/>
      <c r="M1297" s="22"/>
      <c r="N1297" s="18"/>
      <c r="O1297" s="23"/>
      <c r="P1297" s="18"/>
      <c r="Q1297" s="18"/>
      <c r="R1297" s="18"/>
      <c r="S1297" s="22"/>
      <c r="T1297" s="6" t="str">
        <f t="array" ref="T1297">IF(
  B1297="",
  ,
  DATEDIF(
    B1297 + IF(INDEX(Input!$K$7:$K1503,ROW()-1),0,1),
    C1297 + IF(INDEX(Input!$L$7:$L1503,ROW()-1),1,0),
    "Y"
  )
)</f>
        <v/>
      </c>
      <c r="U1297" s="6" t="str">
        <f t="array" ref="U1297">IF(
  B1297="",
  ,
  (C1297 + IF(INDEX(Input!$L$7:$L1503,ROW()-1),1,0))
  - EDATE(
      B1297 + IF(INDEX(Input!$K$7:$K1503,ROW()-1),0,1),
      12*S1297
    )
)</f>
        <v/>
      </c>
      <c r="V1297" s="6" t="str">
        <f t="shared" si="5"/>
        <v/>
      </c>
      <c r="W1297" s="6" t="str">
        <f t="shared" si="6"/>
        <v/>
      </c>
    </row>
    <row r="1298">
      <c r="A1298" s="18"/>
      <c r="B1298" s="18"/>
      <c r="C1298" s="18"/>
      <c r="D1298" s="18"/>
      <c r="E1298" s="18"/>
      <c r="F1298" s="18"/>
      <c r="G1298" s="22"/>
      <c r="H1298" s="18"/>
      <c r="I1298" s="18"/>
      <c r="J1298" s="18"/>
      <c r="K1298" s="18"/>
      <c r="L1298" s="18"/>
      <c r="M1298" s="22"/>
      <c r="N1298" s="18"/>
      <c r="O1298" s="23"/>
      <c r="P1298" s="18"/>
      <c r="Q1298" s="18"/>
      <c r="R1298" s="18"/>
      <c r="S1298" s="22"/>
      <c r="T1298" s="6" t="str">
        <f t="array" ref="T1298">IF(
  B1298="",
  ,
  DATEDIF(
    B1298 + IF(INDEX(Input!$K$7:$K1503,ROW()-1),0,1),
    C1298 + IF(INDEX(Input!$L$7:$L1503,ROW()-1),1,0),
    "Y"
  )
)</f>
        <v/>
      </c>
      <c r="U1298" s="6" t="str">
        <f t="array" ref="U1298">IF(
  B1298="",
  ,
  (C1298 + IF(INDEX(Input!$L$7:$L1503,ROW()-1),1,0))
  - EDATE(
      B1298 + IF(INDEX(Input!$K$7:$K1503,ROW()-1),0,1),
      12*S1298
    )
)</f>
        <v/>
      </c>
      <c r="V1298" s="6" t="str">
        <f t="shared" si="5"/>
        <v/>
      </c>
      <c r="W1298" s="6" t="str">
        <f t="shared" si="6"/>
        <v/>
      </c>
    </row>
    <row r="1299">
      <c r="A1299" s="18"/>
      <c r="B1299" s="18"/>
      <c r="C1299" s="18"/>
      <c r="D1299" s="18"/>
      <c r="E1299" s="18"/>
      <c r="F1299" s="18"/>
      <c r="G1299" s="22"/>
      <c r="H1299" s="18"/>
      <c r="I1299" s="18"/>
      <c r="J1299" s="18"/>
      <c r="K1299" s="18"/>
      <c r="L1299" s="18"/>
      <c r="M1299" s="22"/>
      <c r="N1299" s="18"/>
      <c r="O1299" s="23"/>
      <c r="P1299" s="18"/>
      <c r="Q1299" s="18"/>
      <c r="R1299" s="18"/>
      <c r="S1299" s="22"/>
      <c r="T1299" s="6" t="str">
        <f t="array" ref="T1299">IF(
  B1299="",
  ,
  DATEDIF(
    B1299 + IF(INDEX(Input!$K$7:$K1503,ROW()-1),0,1),
    C1299 + IF(INDEX(Input!$L$7:$L1503,ROW()-1),1,0),
    "Y"
  )
)</f>
        <v/>
      </c>
      <c r="U1299" s="6" t="str">
        <f t="array" ref="U1299">IF(
  B1299="",
  ,
  (C1299 + IF(INDEX(Input!$L$7:$L1503,ROW()-1),1,0))
  - EDATE(
      B1299 + IF(INDEX(Input!$K$7:$K1503,ROW()-1),0,1),
      12*S1299
    )
)</f>
        <v/>
      </c>
      <c r="V1299" s="6" t="str">
        <f t="shared" si="5"/>
        <v/>
      </c>
      <c r="W1299" s="6" t="str">
        <f t="shared" si="6"/>
        <v/>
      </c>
    </row>
    <row r="1300">
      <c r="A1300" s="18"/>
      <c r="B1300" s="18"/>
      <c r="C1300" s="18"/>
      <c r="D1300" s="18"/>
      <c r="E1300" s="18"/>
      <c r="F1300" s="18"/>
      <c r="G1300" s="22"/>
      <c r="H1300" s="18"/>
      <c r="I1300" s="18"/>
      <c r="J1300" s="18"/>
      <c r="K1300" s="18"/>
      <c r="L1300" s="18"/>
      <c r="M1300" s="22"/>
      <c r="N1300" s="18"/>
      <c r="O1300" s="23"/>
      <c r="P1300" s="18"/>
      <c r="Q1300" s="18"/>
      <c r="R1300" s="18"/>
      <c r="S1300" s="22"/>
      <c r="T1300" s="6" t="str">
        <f t="array" ref="T1300">IF(
  B1300="",
  ,
  DATEDIF(
    B1300 + IF(INDEX(Input!$K$7:$K1503,ROW()-1),0,1),
    C1300 + IF(INDEX(Input!$L$7:$L1503,ROW()-1),1,0),
    "Y"
  )
)</f>
        <v/>
      </c>
      <c r="U1300" s="6" t="str">
        <f t="array" ref="U1300">IF(
  B1300="",
  ,
  (C1300 + IF(INDEX(Input!$L$7:$L1503,ROW()-1),1,0))
  - EDATE(
      B1300 + IF(INDEX(Input!$K$7:$K1503,ROW()-1),0,1),
      12*S1300
    )
)</f>
        <v/>
      </c>
      <c r="V1300" s="6" t="str">
        <f t="shared" si="5"/>
        <v/>
      </c>
      <c r="W1300" s="6" t="str">
        <f t="shared" si="6"/>
        <v/>
      </c>
    </row>
    <row r="1301">
      <c r="A1301" s="18"/>
      <c r="B1301" s="18"/>
      <c r="C1301" s="18"/>
      <c r="D1301" s="18"/>
      <c r="E1301" s="18"/>
      <c r="F1301" s="18"/>
      <c r="G1301" s="22"/>
      <c r="H1301" s="18"/>
      <c r="I1301" s="18"/>
      <c r="J1301" s="18"/>
      <c r="K1301" s="18"/>
      <c r="L1301" s="18"/>
      <c r="M1301" s="22"/>
      <c r="N1301" s="18"/>
      <c r="O1301" s="23"/>
      <c r="P1301" s="18"/>
      <c r="Q1301" s="18"/>
      <c r="R1301" s="18"/>
      <c r="S1301" s="22"/>
      <c r="T1301" s="6" t="str">
        <f t="array" ref="T1301">IF(
  B1301="",
  ,
  DATEDIF(
    B1301 + IF(INDEX(Input!$K$7:$K1503,ROW()-1),0,1),
    C1301 + IF(INDEX(Input!$L$7:$L1503,ROW()-1),1,0),
    "Y"
  )
)</f>
        <v/>
      </c>
      <c r="U1301" s="6" t="str">
        <f t="array" ref="U1301">IF(
  B1301="",
  ,
  (C1301 + IF(INDEX(Input!$L$7:$L1503,ROW()-1),1,0))
  - EDATE(
      B1301 + IF(INDEX(Input!$K$7:$K1503,ROW()-1),0,1),
      12*S1301
    )
)</f>
        <v/>
      </c>
      <c r="V1301" s="6" t="str">
        <f t="shared" si="5"/>
        <v/>
      </c>
      <c r="W1301" s="6" t="str">
        <f t="shared" si="6"/>
        <v/>
      </c>
    </row>
    <row r="1302">
      <c r="A1302" s="18"/>
      <c r="B1302" s="18"/>
      <c r="C1302" s="18"/>
      <c r="D1302" s="18"/>
      <c r="E1302" s="18"/>
      <c r="F1302" s="18"/>
      <c r="G1302" s="22"/>
      <c r="H1302" s="18"/>
      <c r="I1302" s="18"/>
      <c r="J1302" s="18"/>
      <c r="K1302" s="18"/>
      <c r="L1302" s="18"/>
      <c r="M1302" s="22"/>
      <c r="N1302" s="18"/>
      <c r="O1302" s="23"/>
      <c r="P1302" s="18"/>
      <c r="Q1302" s="18"/>
      <c r="R1302" s="18"/>
      <c r="S1302" s="22"/>
      <c r="T1302" s="6" t="str">
        <f t="array" ref="T1302">IF(
  B1302="",
  ,
  DATEDIF(
    B1302 + IF(INDEX(Input!$K$7:$K1503,ROW()-1),0,1),
    C1302 + IF(INDEX(Input!$L$7:$L1503,ROW()-1),1,0),
    "Y"
  )
)</f>
        <v/>
      </c>
      <c r="U1302" s="6" t="str">
        <f t="array" ref="U1302">IF(
  B1302="",
  ,
  (C1302 + IF(INDEX(Input!$L$7:$L1503,ROW()-1),1,0))
  - EDATE(
      B1302 + IF(INDEX(Input!$K$7:$K1503,ROW()-1),0,1),
      12*S1302
    )
)</f>
        <v/>
      </c>
      <c r="V1302" s="6" t="str">
        <f t="shared" si="5"/>
        <v/>
      </c>
      <c r="W1302" s="6" t="str">
        <f t="shared" si="6"/>
        <v/>
      </c>
    </row>
    <row r="1303">
      <c r="A1303" s="18"/>
      <c r="B1303" s="18"/>
      <c r="C1303" s="18"/>
      <c r="D1303" s="18"/>
      <c r="E1303" s="18"/>
      <c r="F1303" s="18"/>
      <c r="G1303" s="22"/>
      <c r="H1303" s="18"/>
      <c r="I1303" s="18"/>
      <c r="J1303" s="18"/>
      <c r="K1303" s="18"/>
      <c r="L1303" s="18"/>
      <c r="M1303" s="22"/>
      <c r="N1303" s="18"/>
      <c r="O1303" s="23"/>
      <c r="P1303" s="18"/>
      <c r="Q1303" s="18"/>
      <c r="R1303" s="18"/>
      <c r="S1303" s="22"/>
      <c r="T1303" s="6" t="str">
        <f t="array" ref="T1303">IF(
  B1303="",
  ,
  DATEDIF(
    B1303 + IF(INDEX(Input!$K$7:$K1503,ROW()-1),0,1),
    C1303 + IF(INDEX(Input!$L$7:$L1503,ROW()-1),1,0),
    "Y"
  )
)</f>
        <v/>
      </c>
      <c r="U1303" s="6" t="str">
        <f t="array" ref="U1303">IF(
  B1303="",
  ,
  (C1303 + IF(INDEX(Input!$L$7:$L1503,ROW()-1),1,0))
  - EDATE(
      B1303 + IF(INDEX(Input!$K$7:$K1503,ROW()-1),0,1),
      12*S1303
    )
)</f>
        <v/>
      </c>
      <c r="V1303" s="6" t="str">
        <f t="shared" si="5"/>
        <v/>
      </c>
      <c r="W1303" s="6" t="str">
        <f t="shared" si="6"/>
        <v/>
      </c>
    </row>
    <row r="1304">
      <c r="A1304" s="18"/>
      <c r="B1304" s="18"/>
      <c r="C1304" s="18"/>
      <c r="D1304" s="18"/>
      <c r="E1304" s="18"/>
      <c r="F1304" s="18"/>
      <c r="G1304" s="22"/>
      <c r="H1304" s="18"/>
      <c r="I1304" s="18"/>
      <c r="J1304" s="18"/>
      <c r="K1304" s="18"/>
      <c r="L1304" s="18"/>
      <c r="M1304" s="22"/>
      <c r="N1304" s="18"/>
      <c r="O1304" s="23"/>
      <c r="P1304" s="18"/>
      <c r="Q1304" s="18"/>
      <c r="R1304" s="18"/>
      <c r="S1304" s="22"/>
      <c r="T1304" s="6" t="str">
        <f t="array" ref="T1304">IF(
  B1304="",
  ,
  DATEDIF(
    B1304 + IF(INDEX(Input!$K$7:$K1503,ROW()-1),0,1),
    C1304 + IF(INDEX(Input!$L$7:$L1503,ROW()-1),1,0),
    "Y"
  )
)</f>
        <v/>
      </c>
      <c r="U1304" s="6" t="str">
        <f t="array" ref="U1304">IF(
  B1304="",
  ,
  (C1304 + IF(INDEX(Input!$L$7:$L1503,ROW()-1),1,0))
  - EDATE(
      B1304 + IF(INDEX(Input!$K$7:$K1503,ROW()-1),0,1),
      12*S1304
    )
)</f>
        <v/>
      </c>
      <c r="V1304" s="6" t="str">
        <f t="shared" si="5"/>
        <v/>
      </c>
      <c r="W1304" s="6" t="str">
        <f t="shared" si="6"/>
        <v/>
      </c>
    </row>
    <row r="1305">
      <c r="A1305" s="18"/>
      <c r="B1305" s="18"/>
      <c r="C1305" s="18"/>
      <c r="D1305" s="18"/>
      <c r="E1305" s="18"/>
      <c r="F1305" s="18"/>
      <c r="G1305" s="22"/>
      <c r="H1305" s="18"/>
      <c r="I1305" s="18"/>
      <c r="J1305" s="18"/>
      <c r="K1305" s="18"/>
      <c r="L1305" s="18"/>
      <c r="M1305" s="22"/>
      <c r="N1305" s="18"/>
      <c r="O1305" s="23"/>
      <c r="P1305" s="18"/>
      <c r="Q1305" s="18"/>
      <c r="R1305" s="18"/>
      <c r="S1305" s="22"/>
      <c r="T1305" s="6" t="str">
        <f t="array" ref="T1305">IF(
  B1305="",
  ,
  DATEDIF(
    B1305 + IF(INDEX(Input!$K$7:$K1503,ROW()-1),0,1),
    C1305 + IF(INDEX(Input!$L$7:$L1503,ROW()-1),1,0),
    "Y"
  )
)</f>
        <v/>
      </c>
      <c r="U1305" s="6" t="str">
        <f t="array" ref="U1305">IF(
  B1305="",
  ,
  (C1305 + IF(INDEX(Input!$L$7:$L1503,ROW()-1),1,0))
  - EDATE(
      B1305 + IF(INDEX(Input!$K$7:$K1503,ROW()-1),0,1),
      12*S1305
    )
)</f>
        <v/>
      </c>
      <c r="V1305" s="6" t="str">
        <f t="shared" si="5"/>
        <v/>
      </c>
      <c r="W1305" s="6" t="str">
        <f t="shared" si="6"/>
        <v/>
      </c>
    </row>
    <row r="1306">
      <c r="A1306" s="18"/>
      <c r="B1306" s="18"/>
      <c r="C1306" s="18"/>
      <c r="D1306" s="18"/>
      <c r="E1306" s="18"/>
      <c r="F1306" s="18"/>
      <c r="G1306" s="22"/>
      <c r="H1306" s="18"/>
      <c r="I1306" s="18"/>
      <c r="J1306" s="18"/>
      <c r="K1306" s="18"/>
      <c r="L1306" s="18"/>
      <c r="M1306" s="22"/>
      <c r="N1306" s="18"/>
      <c r="O1306" s="23"/>
      <c r="P1306" s="18"/>
      <c r="Q1306" s="18"/>
      <c r="R1306" s="18"/>
      <c r="S1306" s="22"/>
      <c r="T1306" s="6" t="str">
        <f t="array" ref="T1306">IF(
  B1306="",
  ,
  DATEDIF(
    B1306 + IF(INDEX(Input!$K$7:$K1503,ROW()-1),0,1),
    C1306 + IF(INDEX(Input!$L$7:$L1503,ROW()-1),1,0),
    "Y"
  )
)</f>
        <v/>
      </c>
      <c r="U1306" s="6" t="str">
        <f t="array" ref="U1306">IF(
  B1306="",
  ,
  (C1306 + IF(INDEX(Input!$L$7:$L1503,ROW()-1),1,0))
  - EDATE(
      B1306 + IF(INDEX(Input!$K$7:$K1503,ROW()-1),0,1),
      12*S1306
    )
)</f>
        <v/>
      </c>
      <c r="V1306" s="6" t="str">
        <f t="shared" si="5"/>
        <v/>
      </c>
      <c r="W1306" s="6" t="str">
        <f t="shared" si="6"/>
        <v/>
      </c>
    </row>
    <row r="1307">
      <c r="A1307" s="18"/>
      <c r="B1307" s="18"/>
      <c r="C1307" s="18"/>
      <c r="D1307" s="18"/>
      <c r="E1307" s="18"/>
      <c r="F1307" s="18"/>
      <c r="G1307" s="22"/>
      <c r="H1307" s="18"/>
      <c r="I1307" s="18"/>
      <c r="J1307" s="18"/>
      <c r="K1307" s="18"/>
      <c r="L1307" s="18"/>
      <c r="M1307" s="22"/>
      <c r="N1307" s="18"/>
      <c r="O1307" s="23"/>
      <c r="P1307" s="18"/>
      <c r="Q1307" s="18"/>
      <c r="R1307" s="18"/>
      <c r="S1307" s="22"/>
      <c r="T1307" s="6" t="str">
        <f t="array" ref="T1307">IF(
  B1307="",
  ,
  DATEDIF(
    B1307 + IF(INDEX(Input!$K$7:$K1503,ROW()-1),0,1),
    C1307 + IF(INDEX(Input!$L$7:$L1503,ROW()-1),1,0),
    "Y"
  )
)</f>
        <v/>
      </c>
      <c r="U1307" s="6" t="str">
        <f t="array" ref="U1307">IF(
  B1307="",
  ,
  (C1307 + IF(INDEX(Input!$L$7:$L1503,ROW()-1),1,0))
  - EDATE(
      B1307 + IF(INDEX(Input!$K$7:$K1503,ROW()-1),0,1),
      12*S1307
    )
)</f>
        <v/>
      </c>
      <c r="V1307" s="6" t="str">
        <f t="shared" si="5"/>
        <v/>
      </c>
      <c r="W1307" s="6" t="str">
        <f t="shared" si="6"/>
        <v/>
      </c>
    </row>
    <row r="1308">
      <c r="A1308" s="18"/>
      <c r="B1308" s="18"/>
      <c r="C1308" s="18"/>
      <c r="D1308" s="18"/>
      <c r="E1308" s="18"/>
      <c r="F1308" s="18"/>
      <c r="G1308" s="22"/>
      <c r="H1308" s="18"/>
      <c r="I1308" s="18"/>
      <c r="J1308" s="18"/>
      <c r="K1308" s="18"/>
      <c r="L1308" s="18"/>
      <c r="M1308" s="22"/>
      <c r="N1308" s="18"/>
      <c r="O1308" s="23"/>
      <c r="P1308" s="18"/>
      <c r="Q1308" s="18"/>
      <c r="R1308" s="18"/>
      <c r="S1308" s="22"/>
      <c r="T1308" s="6" t="str">
        <f t="array" ref="T1308">IF(
  B1308="",
  ,
  DATEDIF(
    B1308 + IF(INDEX(Input!$K$7:$K1503,ROW()-1),0,1),
    C1308 + IF(INDEX(Input!$L$7:$L1503,ROW()-1),1,0),
    "Y"
  )
)</f>
        <v/>
      </c>
      <c r="U1308" s="6" t="str">
        <f t="array" ref="U1308">IF(
  B1308="",
  ,
  (C1308 + IF(INDEX(Input!$L$7:$L1503,ROW()-1),1,0))
  - EDATE(
      B1308 + IF(INDEX(Input!$K$7:$K1503,ROW()-1),0,1),
      12*S1308
    )
)</f>
        <v/>
      </c>
      <c r="V1308" s="6" t="str">
        <f t="shared" si="5"/>
        <v/>
      </c>
      <c r="W1308" s="6" t="str">
        <f t="shared" si="6"/>
        <v/>
      </c>
    </row>
    <row r="1309">
      <c r="A1309" s="18"/>
      <c r="B1309" s="18"/>
      <c r="C1309" s="18"/>
      <c r="D1309" s="18"/>
      <c r="E1309" s="18"/>
      <c r="F1309" s="18"/>
      <c r="G1309" s="22"/>
      <c r="H1309" s="18"/>
      <c r="I1309" s="18"/>
      <c r="J1309" s="18"/>
      <c r="K1309" s="18"/>
      <c r="L1309" s="18"/>
      <c r="M1309" s="22"/>
      <c r="N1309" s="18"/>
      <c r="O1309" s="23"/>
      <c r="P1309" s="18"/>
      <c r="Q1309" s="18"/>
      <c r="R1309" s="18"/>
      <c r="S1309" s="22"/>
      <c r="T1309" s="6" t="str">
        <f t="array" ref="T1309">IF(
  B1309="",
  ,
  DATEDIF(
    B1309 + IF(INDEX(Input!$K$7:$K1503,ROW()-1),0,1),
    C1309 + IF(INDEX(Input!$L$7:$L1503,ROW()-1),1,0),
    "Y"
  )
)</f>
        <v/>
      </c>
      <c r="U1309" s="6" t="str">
        <f t="array" ref="U1309">IF(
  B1309="",
  ,
  (C1309 + IF(INDEX(Input!$L$7:$L1503,ROW()-1),1,0))
  - EDATE(
      B1309 + IF(INDEX(Input!$K$7:$K1503,ROW()-1),0,1),
      12*S1309
    )
)</f>
        <v/>
      </c>
      <c r="V1309" s="6" t="str">
        <f t="shared" si="5"/>
        <v/>
      </c>
      <c r="W1309" s="6" t="str">
        <f t="shared" si="6"/>
        <v/>
      </c>
    </row>
    <row r="1310">
      <c r="A1310" s="18"/>
      <c r="B1310" s="18"/>
      <c r="C1310" s="18"/>
      <c r="D1310" s="18"/>
      <c r="E1310" s="18"/>
      <c r="F1310" s="18"/>
      <c r="G1310" s="22"/>
      <c r="H1310" s="18"/>
      <c r="I1310" s="18"/>
      <c r="J1310" s="18"/>
      <c r="K1310" s="18"/>
      <c r="L1310" s="18"/>
      <c r="M1310" s="22"/>
      <c r="N1310" s="18"/>
      <c r="O1310" s="23"/>
      <c r="P1310" s="18"/>
      <c r="Q1310" s="18"/>
      <c r="R1310" s="18"/>
      <c r="S1310" s="22"/>
      <c r="T1310" s="6" t="str">
        <f t="array" ref="T1310">IF(
  B1310="",
  ,
  DATEDIF(
    B1310 + IF(INDEX(Input!$K$7:$K1503,ROW()-1),0,1),
    C1310 + IF(INDEX(Input!$L$7:$L1503,ROW()-1),1,0),
    "Y"
  )
)</f>
        <v/>
      </c>
      <c r="U1310" s="6" t="str">
        <f t="array" ref="U1310">IF(
  B1310="",
  ,
  (C1310 + IF(INDEX(Input!$L$7:$L1503,ROW()-1),1,0))
  - EDATE(
      B1310 + IF(INDEX(Input!$K$7:$K1503,ROW()-1),0,1),
      12*S1310
    )
)</f>
        <v/>
      </c>
      <c r="V1310" s="6" t="str">
        <f t="shared" si="5"/>
        <v/>
      </c>
      <c r="W1310" s="6" t="str">
        <f t="shared" si="6"/>
        <v/>
      </c>
    </row>
    <row r="1311">
      <c r="A1311" s="18"/>
      <c r="B1311" s="18"/>
      <c r="C1311" s="18"/>
      <c r="D1311" s="18"/>
      <c r="E1311" s="18"/>
      <c r="F1311" s="18"/>
      <c r="G1311" s="22"/>
      <c r="H1311" s="18"/>
      <c r="I1311" s="18"/>
      <c r="J1311" s="18"/>
      <c r="K1311" s="18"/>
      <c r="L1311" s="18"/>
      <c r="M1311" s="22"/>
      <c r="N1311" s="18"/>
      <c r="O1311" s="23"/>
      <c r="P1311" s="18"/>
      <c r="Q1311" s="18"/>
      <c r="R1311" s="18"/>
      <c r="S1311" s="22"/>
      <c r="T1311" s="6" t="str">
        <f t="array" ref="T1311">IF(
  B1311="",
  ,
  DATEDIF(
    B1311 + IF(INDEX(Input!$K$7:$K1503,ROW()-1),0,1),
    C1311 + IF(INDEX(Input!$L$7:$L1503,ROW()-1),1,0),
    "Y"
  )
)</f>
        <v/>
      </c>
      <c r="U1311" s="6" t="str">
        <f t="array" ref="U1311">IF(
  B1311="",
  ,
  (C1311 + IF(INDEX(Input!$L$7:$L1503,ROW()-1),1,0))
  - EDATE(
      B1311 + IF(INDEX(Input!$K$7:$K1503,ROW()-1),0,1),
      12*S1311
    )
)</f>
        <v/>
      </c>
      <c r="V1311" s="6" t="str">
        <f t="shared" si="5"/>
        <v/>
      </c>
      <c r="W1311" s="6" t="str">
        <f t="shared" si="6"/>
        <v/>
      </c>
    </row>
    <row r="1312">
      <c r="A1312" s="18"/>
      <c r="B1312" s="18"/>
      <c r="C1312" s="18"/>
      <c r="D1312" s="18"/>
      <c r="E1312" s="18"/>
      <c r="F1312" s="18"/>
      <c r="G1312" s="22"/>
      <c r="H1312" s="18"/>
      <c r="I1312" s="18"/>
      <c r="J1312" s="18"/>
      <c r="K1312" s="18"/>
      <c r="L1312" s="18"/>
      <c r="M1312" s="22"/>
      <c r="N1312" s="18"/>
      <c r="O1312" s="23"/>
      <c r="P1312" s="18"/>
      <c r="Q1312" s="18"/>
      <c r="R1312" s="18"/>
      <c r="S1312" s="22"/>
      <c r="T1312" s="6" t="str">
        <f t="array" ref="T1312">IF(
  B1312="",
  ,
  DATEDIF(
    B1312 + IF(INDEX(Input!$K$7:$K1503,ROW()-1),0,1),
    C1312 + IF(INDEX(Input!$L$7:$L1503,ROW()-1),1,0),
    "Y"
  )
)</f>
        <v/>
      </c>
      <c r="U1312" s="6" t="str">
        <f t="array" ref="U1312">IF(
  B1312="",
  ,
  (C1312 + IF(INDEX(Input!$L$7:$L1503,ROW()-1),1,0))
  - EDATE(
      B1312 + IF(INDEX(Input!$K$7:$K1503,ROW()-1),0,1),
      12*S1312
    )
)</f>
        <v/>
      </c>
      <c r="V1312" s="6" t="str">
        <f t="shared" si="5"/>
        <v/>
      </c>
      <c r="W1312" s="6" t="str">
        <f t="shared" si="6"/>
        <v/>
      </c>
    </row>
    <row r="1313">
      <c r="A1313" s="18"/>
      <c r="B1313" s="18"/>
      <c r="C1313" s="18"/>
      <c r="D1313" s="18"/>
      <c r="E1313" s="18"/>
      <c r="F1313" s="18"/>
      <c r="G1313" s="22"/>
      <c r="H1313" s="18"/>
      <c r="I1313" s="18"/>
      <c r="J1313" s="18"/>
      <c r="K1313" s="18"/>
      <c r="L1313" s="18"/>
      <c r="M1313" s="22"/>
      <c r="N1313" s="18"/>
      <c r="O1313" s="23"/>
      <c r="P1313" s="18"/>
      <c r="Q1313" s="18"/>
      <c r="R1313" s="18"/>
      <c r="S1313" s="22"/>
      <c r="T1313" s="6" t="str">
        <f t="array" ref="T1313">IF(
  B1313="",
  ,
  DATEDIF(
    B1313 + IF(INDEX(Input!$K$7:$K1503,ROW()-1),0,1),
    C1313 + IF(INDEX(Input!$L$7:$L1503,ROW()-1),1,0),
    "Y"
  )
)</f>
        <v/>
      </c>
      <c r="U1313" s="6" t="str">
        <f t="array" ref="U1313">IF(
  B1313="",
  ,
  (C1313 + IF(INDEX(Input!$L$7:$L1503,ROW()-1),1,0))
  - EDATE(
      B1313 + IF(INDEX(Input!$K$7:$K1503,ROW()-1),0,1),
      12*S1313
    )
)</f>
        <v/>
      </c>
      <c r="V1313" s="6" t="str">
        <f t="shared" si="5"/>
        <v/>
      </c>
      <c r="W1313" s="6" t="str">
        <f t="shared" si="6"/>
        <v/>
      </c>
    </row>
    <row r="1314">
      <c r="A1314" s="18"/>
      <c r="B1314" s="18"/>
      <c r="C1314" s="18"/>
      <c r="D1314" s="18"/>
      <c r="E1314" s="18"/>
      <c r="F1314" s="18"/>
      <c r="G1314" s="22"/>
      <c r="H1314" s="18"/>
      <c r="I1314" s="18"/>
      <c r="J1314" s="18"/>
      <c r="K1314" s="18"/>
      <c r="L1314" s="18"/>
      <c r="M1314" s="22"/>
      <c r="N1314" s="18"/>
      <c r="O1314" s="23"/>
      <c r="P1314" s="18"/>
      <c r="Q1314" s="18"/>
      <c r="R1314" s="18"/>
      <c r="S1314" s="22"/>
      <c r="T1314" s="6" t="str">
        <f t="array" ref="T1314">IF(
  B1314="",
  ,
  DATEDIF(
    B1314 + IF(INDEX(Input!$K$7:$K1503,ROW()-1),0,1),
    C1314 + IF(INDEX(Input!$L$7:$L1503,ROW()-1),1,0),
    "Y"
  )
)</f>
        <v/>
      </c>
      <c r="U1314" s="6" t="str">
        <f t="array" ref="U1314">IF(
  B1314="",
  ,
  (C1314 + IF(INDEX(Input!$L$7:$L1503,ROW()-1),1,0))
  - EDATE(
      B1314 + IF(INDEX(Input!$K$7:$K1503,ROW()-1),0,1),
      12*S1314
    )
)</f>
        <v/>
      </c>
      <c r="V1314" s="6" t="str">
        <f t="shared" si="5"/>
        <v/>
      </c>
      <c r="W1314" s="6" t="str">
        <f t="shared" si="6"/>
        <v/>
      </c>
    </row>
    <row r="1315">
      <c r="A1315" s="18"/>
      <c r="B1315" s="18"/>
      <c r="C1315" s="18"/>
      <c r="D1315" s="18"/>
      <c r="E1315" s="18"/>
      <c r="F1315" s="18"/>
      <c r="G1315" s="22"/>
      <c r="H1315" s="18"/>
      <c r="I1315" s="18"/>
      <c r="J1315" s="18"/>
      <c r="K1315" s="18"/>
      <c r="L1315" s="18"/>
      <c r="M1315" s="22"/>
      <c r="N1315" s="18"/>
      <c r="O1315" s="23"/>
      <c r="P1315" s="18"/>
      <c r="Q1315" s="18"/>
      <c r="R1315" s="18"/>
      <c r="S1315" s="22"/>
      <c r="T1315" s="6" t="str">
        <f t="array" ref="T1315">IF(
  B1315="",
  ,
  DATEDIF(
    B1315 + IF(INDEX(Input!$K$7:$K1503,ROW()-1),0,1),
    C1315 + IF(INDEX(Input!$L$7:$L1503,ROW()-1),1,0),
    "Y"
  )
)</f>
        <v/>
      </c>
      <c r="U1315" s="6" t="str">
        <f t="array" ref="U1315">IF(
  B1315="",
  ,
  (C1315 + IF(INDEX(Input!$L$7:$L1503,ROW()-1),1,0))
  - EDATE(
      B1315 + IF(INDEX(Input!$K$7:$K1503,ROW()-1),0,1),
      12*S1315
    )
)</f>
        <v/>
      </c>
      <c r="V1315" s="6" t="str">
        <f t="shared" si="5"/>
        <v/>
      </c>
      <c r="W1315" s="6" t="str">
        <f t="shared" si="6"/>
        <v/>
      </c>
    </row>
    <row r="1316">
      <c r="A1316" s="18"/>
      <c r="B1316" s="18"/>
      <c r="C1316" s="18"/>
      <c r="D1316" s="18"/>
      <c r="E1316" s="18"/>
      <c r="F1316" s="18"/>
      <c r="G1316" s="22"/>
      <c r="H1316" s="18"/>
      <c r="I1316" s="18"/>
      <c r="J1316" s="18"/>
      <c r="K1316" s="18"/>
      <c r="L1316" s="18"/>
      <c r="M1316" s="22"/>
      <c r="N1316" s="18"/>
      <c r="O1316" s="23"/>
      <c r="P1316" s="18"/>
      <c r="Q1316" s="18"/>
      <c r="R1316" s="18"/>
      <c r="S1316" s="22"/>
      <c r="T1316" s="6" t="str">
        <f t="array" ref="T1316">IF(
  B1316="",
  ,
  DATEDIF(
    B1316 + IF(INDEX(Input!$K$7:$K1503,ROW()-1),0,1),
    C1316 + IF(INDEX(Input!$L$7:$L1503,ROW()-1),1,0),
    "Y"
  )
)</f>
        <v/>
      </c>
      <c r="U1316" s="6" t="str">
        <f t="array" ref="U1316">IF(
  B1316="",
  ,
  (C1316 + IF(INDEX(Input!$L$7:$L1503,ROW()-1),1,0))
  - EDATE(
      B1316 + IF(INDEX(Input!$K$7:$K1503,ROW()-1),0,1),
      12*S1316
    )
)</f>
        <v/>
      </c>
      <c r="V1316" s="6" t="str">
        <f t="shared" si="5"/>
        <v/>
      </c>
      <c r="W1316" s="6" t="str">
        <f t="shared" si="6"/>
        <v/>
      </c>
    </row>
    <row r="1317">
      <c r="A1317" s="18"/>
      <c r="B1317" s="18"/>
      <c r="C1317" s="18"/>
      <c r="D1317" s="18"/>
      <c r="E1317" s="18"/>
      <c r="F1317" s="18"/>
      <c r="G1317" s="22"/>
      <c r="H1317" s="18"/>
      <c r="I1317" s="18"/>
      <c r="J1317" s="18"/>
      <c r="K1317" s="18"/>
      <c r="L1317" s="18"/>
      <c r="M1317" s="22"/>
      <c r="N1317" s="18"/>
      <c r="O1317" s="23"/>
      <c r="P1317" s="18"/>
      <c r="Q1317" s="18"/>
      <c r="R1317" s="18"/>
      <c r="S1317" s="22"/>
      <c r="T1317" s="6" t="str">
        <f t="array" ref="T1317">IF(
  B1317="",
  ,
  DATEDIF(
    B1317 + IF(INDEX(Input!$K$7:$K1503,ROW()-1),0,1),
    C1317 + IF(INDEX(Input!$L$7:$L1503,ROW()-1),1,0),
    "Y"
  )
)</f>
        <v/>
      </c>
      <c r="U1317" s="6" t="str">
        <f t="array" ref="U1317">IF(
  B1317="",
  ,
  (C1317 + IF(INDEX(Input!$L$7:$L1503,ROW()-1),1,0))
  - EDATE(
      B1317 + IF(INDEX(Input!$K$7:$K1503,ROW()-1),0,1),
      12*S1317
    )
)</f>
        <v/>
      </c>
      <c r="V1317" s="6" t="str">
        <f t="shared" si="5"/>
        <v/>
      </c>
      <c r="W1317" s="6" t="str">
        <f t="shared" si="6"/>
        <v/>
      </c>
    </row>
    <row r="1318">
      <c r="A1318" s="18"/>
      <c r="B1318" s="18"/>
      <c r="C1318" s="18"/>
      <c r="D1318" s="18"/>
      <c r="E1318" s="18"/>
      <c r="F1318" s="18"/>
      <c r="G1318" s="22"/>
      <c r="H1318" s="18"/>
      <c r="I1318" s="18"/>
      <c r="J1318" s="18"/>
      <c r="K1318" s="18"/>
      <c r="L1318" s="18"/>
      <c r="M1318" s="22"/>
      <c r="N1318" s="18"/>
      <c r="O1318" s="23"/>
      <c r="P1318" s="18"/>
      <c r="Q1318" s="18"/>
      <c r="R1318" s="18"/>
      <c r="S1318" s="22"/>
      <c r="T1318" s="6" t="str">
        <f t="array" ref="T1318">IF(
  B1318="",
  ,
  DATEDIF(
    B1318 + IF(INDEX(Input!$K$7:$K1503,ROW()-1),0,1),
    C1318 + IF(INDEX(Input!$L$7:$L1503,ROW()-1),1,0),
    "Y"
  )
)</f>
        <v/>
      </c>
      <c r="U1318" s="6" t="str">
        <f t="array" ref="U1318">IF(
  B1318="",
  ,
  (C1318 + IF(INDEX(Input!$L$7:$L1503,ROW()-1),1,0))
  - EDATE(
      B1318 + IF(INDEX(Input!$K$7:$K1503,ROW()-1),0,1),
      12*S1318
    )
)</f>
        <v/>
      </c>
      <c r="V1318" s="6" t="str">
        <f t="shared" si="5"/>
        <v/>
      </c>
      <c r="W1318" s="6" t="str">
        <f t="shared" si="6"/>
        <v/>
      </c>
    </row>
    <row r="1319">
      <c r="A1319" s="18"/>
      <c r="B1319" s="18"/>
      <c r="C1319" s="18"/>
      <c r="D1319" s="18"/>
      <c r="E1319" s="18"/>
      <c r="F1319" s="18"/>
      <c r="G1319" s="22"/>
      <c r="H1319" s="18"/>
      <c r="I1319" s="18"/>
      <c r="J1319" s="18"/>
      <c r="K1319" s="18"/>
      <c r="L1319" s="18"/>
      <c r="M1319" s="22"/>
      <c r="N1319" s="18"/>
      <c r="O1319" s="23"/>
      <c r="P1319" s="18"/>
      <c r="Q1319" s="18"/>
      <c r="R1319" s="18"/>
      <c r="S1319" s="22"/>
      <c r="T1319" s="6" t="str">
        <f t="array" ref="T1319">IF(
  B1319="",
  ,
  DATEDIF(
    B1319 + IF(INDEX(Input!$K$7:$K1503,ROW()-1),0,1),
    C1319 + IF(INDEX(Input!$L$7:$L1503,ROW()-1),1,0),
    "Y"
  )
)</f>
        <v/>
      </c>
      <c r="U1319" s="6" t="str">
        <f t="array" ref="U1319">IF(
  B1319="",
  ,
  (C1319 + IF(INDEX(Input!$L$7:$L1503,ROW()-1),1,0))
  - EDATE(
      B1319 + IF(INDEX(Input!$K$7:$K1503,ROW()-1),0,1),
      12*S1319
    )
)</f>
        <v/>
      </c>
      <c r="V1319" s="6" t="str">
        <f t="shared" si="5"/>
        <v/>
      </c>
      <c r="W1319" s="6" t="str">
        <f t="shared" si="6"/>
        <v/>
      </c>
    </row>
    <row r="1320">
      <c r="A1320" s="18"/>
      <c r="B1320" s="18"/>
      <c r="C1320" s="18"/>
      <c r="D1320" s="18"/>
      <c r="E1320" s="18"/>
      <c r="F1320" s="18"/>
      <c r="G1320" s="22"/>
      <c r="H1320" s="18"/>
      <c r="I1320" s="18"/>
      <c r="J1320" s="18"/>
      <c r="K1320" s="18"/>
      <c r="L1320" s="18"/>
      <c r="M1320" s="22"/>
      <c r="N1320" s="18"/>
      <c r="O1320" s="23"/>
      <c r="P1320" s="18"/>
      <c r="Q1320" s="18"/>
      <c r="R1320" s="18"/>
      <c r="S1320" s="22"/>
      <c r="T1320" s="6" t="str">
        <f t="array" ref="T1320">IF(
  B1320="",
  ,
  DATEDIF(
    B1320 + IF(INDEX(Input!$K$7:$K1503,ROW()-1),0,1),
    C1320 + IF(INDEX(Input!$L$7:$L1503,ROW()-1),1,0),
    "Y"
  )
)</f>
        <v/>
      </c>
      <c r="U1320" s="6" t="str">
        <f t="array" ref="U1320">IF(
  B1320="",
  ,
  (C1320 + IF(INDEX(Input!$L$7:$L1503,ROW()-1),1,0))
  - EDATE(
      B1320 + IF(INDEX(Input!$K$7:$K1503,ROW()-1),0,1),
      12*S1320
    )
)</f>
        <v/>
      </c>
      <c r="V1320" s="6" t="str">
        <f t="shared" si="5"/>
        <v/>
      </c>
      <c r="W1320" s="6" t="str">
        <f t="shared" si="6"/>
        <v/>
      </c>
    </row>
    <row r="1321">
      <c r="A1321" s="18"/>
      <c r="B1321" s="18"/>
      <c r="C1321" s="18"/>
      <c r="D1321" s="18"/>
      <c r="E1321" s="18"/>
      <c r="F1321" s="18"/>
      <c r="G1321" s="22"/>
      <c r="H1321" s="18"/>
      <c r="I1321" s="18"/>
      <c r="J1321" s="18"/>
      <c r="K1321" s="18"/>
      <c r="L1321" s="18"/>
      <c r="M1321" s="22"/>
      <c r="N1321" s="18"/>
      <c r="O1321" s="23"/>
      <c r="P1321" s="18"/>
      <c r="Q1321" s="18"/>
      <c r="R1321" s="18"/>
      <c r="S1321" s="22"/>
      <c r="T1321" s="6" t="str">
        <f t="array" ref="T1321">IF(
  B1321="",
  ,
  DATEDIF(
    B1321 + IF(INDEX(Input!$K$7:$K1503,ROW()-1),0,1),
    C1321 + IF(INDEX(Input!$L$7:$L1503,ROW()-1),1,0),
    "Y"
  )
)</f>
        <v/>
      </c>
      <c r="U1321" s="6" t="str">
        <f t="array" ref="U1321">IF(
  B1321="",
  ,
  (C1321 + IF(INDEX(Input!$L$7:$L1503,ROW()-1),1,0))
  - EDATE(
      B1321 + IF(INDEX(Input!$K$7:$K1503,ROW()-1),0,1),
      12*S1321
    )
)</f>
        <v/>
      </c>
      <c r="V1321" s="6" t="str">
        <f t="shared" si="5"/>
        <v/>
      </c>
      <c r="W1321" s="6" t="str">
        <f t="shared" si="6"/>
        <v/>
      </c>
    </row>
    <row r="1322">
      <c r="A1322" s="18"/>
      <c r="B1322" s="18"/>
      <c r="C1322" s="18"/>
      <c r="D1322" s="18"/>
      <c r="E1322" s="18"/>
      <c r="F1322" s="18"/>
      <c r="G1322" s="22"/>
      <c r="H1322" s="18"/>
      <c r="I1322" s="18"/>
      <c r="J1322" s="18"/>
      <c r="K1322" s="18"/>
      <c r="L1322" s="18"/>
      <c r="M1322" s="22"/>
      <c r="N1322" s="18"/>
      <c r="O1322" s="23"/>
      <c r="P1322" s="18"/>
      <c r="Q1322" s="18"/>
      <c r="R1322" s="18"/>
      <c r="S1322" s="22"/>
      <c r="T1322" s="6" t="str">
        <f t="array" ref="T1322">IF(
  B1322="",
  ,
  DATEDIF(
    B1322 + IF(INDEX(Input!$K$7:$K1503,ROW()-1),0,1),
    C1322 + IF(INDEX(Input!$L$7:$L1503,ROW()-1),1,0),
    "Y"
  )
)</f>
        <v/>
      </c>
      <c r="U1322" s="6" t="str">
        <f t="array" ref="U1322">IF(
  B1322="",
  ,
  (C1322 + IF(INDEX(Input!$L$7:$L1503,ROW()-1),1,0))
  - EDATE(
      B1322 + IF(INDEX(Input!$K$7:$K1503,ROW()-1),0,1),
      12*S1322
    )
)</f>
        <v/>
      </c>
      <c r="V1322" s="6" t="str">
        <f t="shared" si="5"/>
        <v/>
      </c>
      <c r="W1322" s="6" t="str">
        <f t="shared" si="6"/>
        <v/>
      </c>
    </row>
    <row r="1323">
      <c r="A1323" s="18"/>
      <c r="B1323" s="18"/>
      <c r="C1323" s="18"/>
      <c r="D1323" s="18"/>
      <c r="E1323" s="18"/>
      <c r="F1323" s="18"/>
      <c r="G1323" s="22"/>
      <c r="H1323" s="18"/>
      <c r="I1323" s="18"/>
      <c r="J1323" s="18"/>
      <c r="K1323" s="18"/>
      <c r="L1323" s="18"/>
      <c r="M1323" s="22"/>
      <c r="N1323" s="18"/>
      <c r="O1323" s="23"/>
      <c r="P1323" s="18"/>
      <c r="Q1323" s="18"/>
      <c r="R1323" s="18"/>
      <c r="S1323" s="22"/>
      <c r="T1323" s="6" t="str">
        <f t="array" ref="T1323">IF(
  B1323="",
  ,
  DATEDIF(
    B1323 + IF(INDEX(Input!$K$7:$K1503,ROW()-1),0,1),
    C1323 + IF(INDEX(Input!$L$7:$L1503,ROW()-1),1,0),
    "Y"
  )
)</f>
        <v/>
      </c>
      <c r="U1323" s="6" t="str">
        <f t="array" ref="U1323">IF(
  B1323="",
  ,
  (C1323 + IF(INDEX(Input!$L$7:$L1503,ROW()-1),1,0))
  - EDATE(
      B1323 + IF(INDEX(Input!$K$7:$K1503,ROW()-1),0,1),
      12*S1323
    )
)</f>
        <v/>
      </c>
      <c r="V1323" s="6" t="str">
        <f t="shared" si="5"/>
        <v/>
      </c>
      <c r="W1323" s="6" t="str">
        <f t="shared" si="6"/>
        <v/>
      </c>
    </row>
    <row r="1324">
      <c r="A1324" s="18"/>
      <c r="B1324" s="18"/>
      <c r="C1324" s="18"/>
      <c r="D1324" s="18"/>
      <c r="E1324" s="18"/>
      <c r="F1324" s="18"/>
      <c r="G1324" s="22"/>
      <c r="H1324" s="18"/>
      <c r="I1324" s="18"/>
      <c r="J1324" s="18"/>
      <c r="K1324" s="18"/>
      <c r="L1324" s="18"/>
      <c r="M1324" s="22"/>
      <c r="N1324" s="18"/>
      <c r="O1324" s="23"/>
      <c r="P1324" s="18"/>
      <c r="Q1324" s="18"/>
      <c r="R1324" s="18"/>
      <c r="S1324" s="22"/>
      <c r="T1324" s="6" t="str">
        <f t="array" ref="T1324">IF(
  B1324="",
  ,
  DATEDIF(
    B1324 + IF(INDEX(Input!$K$7:$K1503,ROW()-1),0,1),
    C1324 + IF(INDEX(Input!$L$7:$L1503,ROW()-1),1,0),
    "Y"
  )
)</f>
        <v/>
      </c>
      <c r="U1324" s="6" t="str">
        <f t="array" ref="U1324">IF(
  B1324="",
  ,
  (C1324 + IF(INDEX(Input!$L$7:$L1503,ROW()-1),1,0))
  - EDATE(
      B1324 + IF(INDEX(Input!$K$7:$K1503,ROW()-1),0,1),
      12*S1324
    )
)</f>
        <v/>
      </c>
      <c r="V1324" s="6" t="str">
        <f t="shared" si="5"/>
        <v/>
      </c>
      <c r="W1324" s="6" t="str">
        <f t="shared" si="6"/>
        <v/>
      </c>
    </row>
    <row r="1325">
      <c r="A1325" s="18"/>
      <c r="B1325" s="18"/>
      <c r="C1325" s="18"/>
      <c r="D1325" s="18"/>
      <c r="E1325" s="18"/>
      <c r="F1325" s="18"/>
      <c r="G1325" s="22"/>
      <c r="H1325" s="18"/>
      <c r="I1325" s="18"/>
      <c r="J1325" s="18"/>
      <c r="K1325" s="18"/>
      <c r="L1325" s="18"/>
      <c r="M1325" s="22"/>
      <c r="N1325" s="18"/>
      <c r="O1325" s="23"/>
      <c r="P1325" s="18"/>
      <c r="Q1325" s="18"/>
      <c r="R1325" s="18"/>
      <c r="S1325" s="22"/>
      <c r="T1325" s="6" t="str">
        <f t="array" ref="T1325">IF(
  B1325="",
  ,
  DATEDIF(
    B1325 + IF(INDEX(Input!$K$7:$K1503,ROW()-1),0,1),
    C1325 + IF(INDEX(Input!$L$7:$L1503,ROW()-1),1,0),
    "Y"
  )
)</f>
        <v/>
      </c>
      <c r="U1325" s="6" t="str">
        <f t="array" ref="U1325">IF(
  B1325="",
  ,
  (C1325 + IF(INDEX(Input!$L$7:$L1503,ROW()-1),1,0))
  - EDATE(
      B1325 + IF(INDEX(Input!$K$7:$K1503,ROW()-1),0,1),
      12*S1325
    )
)</f>
        <v/>
      </c>
      <c r="V1325" s="6" t="str">
        <f t="shared" si="5"/>
        <v/>
      </c>
      <c r="W1325" s="6" t="str">
        <f t="shared" si="6"/>
        <v/>
      </c>
    </row>
    <row r="1326">
      <c r="A1326" s="18"/>
      <c r="B1326" s="18"/>
      <c r="C1326" s="18"/>
      <c r="D1326" s="18"/>
      <c r="E1326" s="18"/>
      <c r="F1326" s="18"/>
      <c r="G1326" s="22"/>
      <c r="H1326" s="18"/>
      <c r="I1326" s="18"/>
      <c r="J1326" s="18"/>
      <c r="K1326" s="18"/>
      <c r="L1326" s="18"/>
      <c r="M1326" s="22"/>
      <c r="N1326" s="18"/>
      <c r="O1326" s="23"/>
      <c r="P1326" s="18"/>
      <c r="Q1326" s="18"/>
      <c r="R1326" s="18"/>
      <c r="S1326" s="22"/>
      <c r="T1326" s="6" t="str">
        <f t="array" ref="T1326">IF(
  B1326="",
  ,
  DATEDIF(
    B1326 + IF(INDEX(Input!$K$7:$K1503,ROW()-1),0,1),
    C1326 + IF(INDEX(Input!$L$7:$L1503,ROW()-1),1,0),
    "Y"
  )
)</f>
        <v/>
      </c>
      <c r="U1326" s="6" t="str">
        <f t="array" ref="U1326">IF(
  B1326="",
  ,
  (C1326 + IF(INDEX(Input!$L$7:$L1503,ROW()-1),1,0))
  - EDATE(
      B1326 + IF(INDEX(Input!$K$7:$K1503,ROW()-1),0,1),
      12*S1326
    )
)</f>
        <v/>
      </c>
      <c r="V1326" s="6" t="str">
        <f t="shared" si="5"/>
        <v/>
      </c>
      <c r="W1326" s="6" t="str">
        <f t="shared" si="6"/>
        <v/>
      </c>
    </row>
    <row r="1327">
      <c r="A1327" s="18"/>
      <c r="B1327" s="18"/>
      <c r="C1327" s="18"/>
      <c r="D1327" s="18"/>
      <c r="E1327" s="18"/>
      <c r="F1327" s="18"/>
      <c r="G1327" s="22"/>
      <c r="H1327" s="18"/>
      <c r="I1327" s="18"/>
      <c r="J1327" s="18"/>
      <c r="K1327" s="18"/>
      <c r="L1327" s="18"/>
      <c r="M1327" s="22"/>
      <c r="N1327" s="18"/>
      <c r="O1327" s="23"/>
      <c r="P1327" s="18"/>
      <c r="Q1327" s="18"/>
      <c r="R1327" s="18"/>
      <c r="S1327" s="22"/>
      <c r="T1327" s="6" t="str">
        <f t="array" ref="T1327">IF(
  B1327="",
  ,
  DATEDIF(
    B1327 + IF(INDEX(Input!$K$7:$K1503,ROW()-1),0,1),
    C1327 + IF(INDEX(Input!$L$7:$L1503,ROW()-1),1,0),
    "Y"
  )
)</f>
        <v/>
      </c>
      <c r="U1327" s="6" t="str">
        <f t="array" ref="U1327">IF(
  B1327="",
  ,
  (C1327 + IF(INDEX(Input!$L$7:$L1503,ROW()-1),1,0))
  - EDATE(
      B1327 + IF(INDEX(Input!$K$7:$K1503,ROW()-1),0,1),
      12*S1327
    )
)</f>
        <v/>
      </c>
      <c r="V1327" s="6" t="str">
        <f t="shared" si="5"/>
        <v/>
      </c>
      <c r="W1327" s="6" t="str">
        <f t="shared" si="6"/>
        <v/>
      </c>
    </row>
    <row r="1328">
      <c r="A1328" s="18"/>
      <c r="B1328" s="18"/>
      <c r="C1328" s="18"/>
      <c r="D1328" s="18"/>
      <c r="E1328" s="18"/>
      <c r="F1328" s="18"/>
      <c r="G1328" s="22"/>
      <c r="H1328" s="18"/>
      <c r="I1328" s="18"/>
      <c r="J1328" s="18"/>
      <c r="K1328" s="18"/>
      <c r="L1328" s="18"/>
      <c r="M1328" s="22"/>
      <c r="N1328" s="18"/>
      <c r="O1328" s="23"/>
      <c r="P1328" s="18"/>
      <c r="Q1328" s="18"/>
      <c r="R1328" s="18"/>
      <c r="S1328" s="22"/>
      <c r="T1328" s="6" t="str">
        <f t="array" ref="T1328">IF(
  B1328="",
  ,
  DATEDIF(
    B1328 + IF(INDEX(Input!$K$7:$K1503,ROW()-1),0,1),
    C1328 + IF(INDEX(Input!$L$7:$L1503,ROW()-1),1,0),
    "Y"
  )
)</f>
        <v/>
      </c>
      <c r="U1328" s="6" t="str">
        <f t="array" ref="U1328">IF(
  B1328="",
  ,
  (C1328 + IF(INDEX(Input!$L$7:$L1503,ROW()-1),1,0))
  - EDATE(
      B1328 + IF(INDEX(Input!$K$7:$K1503,ROW()-1),0,1),
      12*S1328
    )
)</f>
        <v/>
      </c>
      <c r="V1328" s="6" t="str">
        <f t="shared" si="5"/>
        <v/>
      </c>
      <c r="W1328" s="6" t="str">
        <f t="shared" si="6"/>
        <v/>
      </c>
    </row>
    <row r="1329">
      <c r="A1329" s="18"/>
      <c r="B1329" s="18"/>
      <c r="C1329" s="18"/>
      <c r="D1329" s="18"/>
      <c r="E1329" s="18"/>
      <c r="F1329" s="18"/>
      <c r="G1329" s="22"/>
      <c r="H1329" s="18"/>
      <c r="I1329" s="18"/>
      <c r="J1329" s="18"/>
      <c r="K1329" s="18"/>
      <c r="L1329" s="18"/>
      <c r="M1329" s="22"/>
      <c r="N1329" s="18"/>
      <c r="O1329" s="23"/>
      <c r="P1329" s="18"/>
      <c r="Q1329" s="18"/>
      <c r="R1329" s="18"/>
      <c r="S1329" s="22"/>
      <c r="T1329" s="6" t="str">
        <f t="array" ref="T1329">IF(
  B1329="",
  ,
  DATEDIF(
    B1329 + IF(INDEX(Input!$K$7:$K1503,ROW()-1),0,1),
    C1329 + IF(INDEX(Input!$L$7:$L1503,ROW()-1),1,0),
    "Y"
  )
)</f>
        <v/>
      </c>
      <c r="U1329" s="6" t="str">
        <f t="array" ref="U1329">IF(
  B1329="",
  ,
  (C1329 + IF(INDEX(Input!$L$7:$L1503,ROW()-1),1,0))
  - EDATE(
      B1329 + IF(INDEX(Input!$K$7:$K1503,ROW()-1),0,1),
      12*S1329
    )
)</f>
        <v/>
      </c>
      <c r="V1329" s="6" t="str">
        <f t="shared" si="5"/>
        <v/>
      </c>
      <c r="W1329" s="6" t="str">
        <f t="shared" si="6"/>
        <v/>
      </c>
    </row>
    <row r="1330">
      <c r="A1330" s="18"/>
      <c r="B1330" s="18"/>
      <c r="C1330" s="18"/>
      <c r="D1330" s="18"/>
      <c r="E1330" s="18"/>
      <c r="F1330" s="18"/>
      <c r="G1330" s="22"/>
      <c r="H1330" s="18"/>
      <c r="I1330" s="18"/>
      <c r="J1330" s="18"/>
      <c r="K1330" s="18"/>
      <c r="L1330" s="18"/>
      <c r="M1330" s="22"/>
      <c r="N1330" s="18"/>
      <c r="O1330" s="23"/>
      <c r="P1330" s="18"/>
      <c r="Q1330" s="18"/>
      <c r="R1330" s="18"/>
      <c r="S1330" s="22"/>
      <c r="T1330" s="6" t="str">
        <f t="array" ref="T1330">IF(
  B1330="",
  ,
  DATEDIF(
    B1330 + IF(INDEX(Input!$K$7:$K1503,ROW()-1),0,1),
    C1330 + IF(INDEX(Input!$L$7:$L1503,ROW()-1),1,0),
    "Y"
  )
)</f>
        <v/>
      </c>
      <c r="U1330" s="6" t="str">
        <f t="array" ref="U1330">IF(
  B1330="",
  ,
  (C1330 + IF(INDEX(Input!$L$7:$L1503,ROW()-1),1,0))
  - EDATE(
      B1330 + IF(INDEX(Input!$K$7:$K1503,ROW()-1),0,1),
      12*S1330
    )
)</f>
        <v/>
      </c>
      <c r="V1330" s="6" t="str">
        <f t="shared" si="5"/>
        <v/>
      </c>
      <c r="W1330" s="6" t="str">
        <f t="shared" si="6"/>
        <v/>
      </c>
    </row>
    <row r="1331">
      <c r="A1331" s="18"/>
      <c r="B1331" s="18"/>
      <c r="C1331" s="18"/>
      <c r="D1331" s="18"/>
      <c r="E1331" s="18"/>
      <c r="F1331" s="18"/>
      <c r="G1331" s="22"/>
      <c r="H1331" s="18"/>
      <c r="I1331" s="18"/>
      <c r="J1331" s="18"/>
      <c r="K1331" s="18"/>
      <c r="L1331" s="18"/>
      <c r="M1331" s="22"/>
      <c r="N1331" s="18"/>
      <c r="O1331" s="23"/>
      <c r="P1331" s="18"/>
      <c r="Q1331" s="18"/>
      <c r="R1331" s="18"/>
      <c r="S1331" s="22"/>
      <c r="T1331" s="6" t="str">
        <f t="array" ref="T1331">IF(
  B1331="",
  ,
  DATEDIF(
    B1331 + IF(INDEX(Input!$K$7:$K1503,ROW()-1),0,1),
    C1331 + IF(INDEX(Input!$L$7:$L1503,ROW()-1),1,0),
    "Y"
  )
)</f>
        <v/>
      </c>
      <c r="U1331" s="6" t="str">
        <f t="array" ref="U1331">IF(
  B1331="",
  ,
  (C1331 + IF(INDEX(Input!$L$7:$L1503,ROW()-1),1,0))
  - EDATE(
      B1331 + IF(INDEX(Input!$K$7:$K1503,ROW()-1),0,1),
      12*S1331
    )
)</f>
        <v/>
      </c>
      <c r="V1331" s="6" t="str">
        <f t="shared" si="5"/>
        <v/>
      </c>
      <c r="W1331" s="6" t="str">
        <f t="shared" si="6"/>
        <v/>
      </c>
    </row>
    <row r="1332">
      <c r="A1332" s="18"/>
      <c r="B1332" s="18"/>
      <c r="C1332" s="18"/>
      <c r="D1332" s="18"/>
      <c r="E1332" s="18"/>
      <c r="F1332" s="18"/>
      <c r="G1332" s="22"/>
      <c r="H1332" s="18"/>
      <c r="I1332" s="18"/>
      <c r="J1332" s="18"/>
      <c r="K1332" s="18"/>
      <c r="L1332" s="18"/>
      <c r="M1332" s="22"/>
      <c r="N1332" s="18"/>
      <c r="O1332" s="23"/>
      <c r="P1332" s="18"/>
      <c r="Q1332" s="18"/>
      <c r="R1332" s="18"/>
      <c r="S1332" s="22"/>
      <c r="T1332" s="6" t="str">
        <f t="array" ref="T1332">IF(
  B1332="",
  ,
  DATEDIF(
    B1332 + IF(INDEX(Input!$K$7:$K1503,ROW()-1),0,1),
    C1332 + IF(INDEX(Input!$L$7:$L1503,ROW()-1),1,0),
    "Y"
  )
)</f>
        <v/>
      </c>
      <c r="U1332" s="6" t="str">
        <f t="array" ref="U1332">IF(
  B1332="",
  ,
  (C1332 + IF(INDEX(Input!$L$7:$L1503,ROW()-1),1,0))
  - EDATE(
      B1332 + IF(INDEX(Input!$K$7:$K1503,ROW()-1),0,1),
      12*S1332
    )
)</f>
        <v/>
      </c>
      <c r="V1332" s="6" t="str">
        <f t="shared" si="5"/>
        <v/>
      </c>
      <c r="W1332" s="6" t="str">
        <f t="shared" si="6"/>
        <v/>
      </c>
    </row>
    <row r="1333">
      <c r="A1333" s="18"/>
      <c r="B1333" s="18"/>
      <c r="C1333" s="18"/>
      <c r="D1333" s="18"/>
      <c r="E1333" s="18"/>
      <c r="F1333" s="18"/>
      <c r="G1333" s="22"/>
      <c r="H1333" s="18"/>
      <c r="I1333" s="18"/>
      <c r="J1333" s="18"/>
      <c r="K1333" s="18"/>
      <c r="L1333" s="18"/>
      <c r="M1333" s="22"/>
      <c r="N1333" s="18"/>
      <c r="O1333" s="23"/>
      <c r="P1333" s="18"/>
      <c r="Q1333" s="18"/>
      <c r="R1333" s="18"/>
      <c r="S1333" s="22"/>
      <c r="T1333" s="6" t="str">
        <f t="array" ref="T1333">IF(
  B1333="",
  ,
  DATEDIF(
    B1333 + IF(INDEX(Input!$K$7:$K1503,ROW()-1),0,1),
    C1333 + IF(INDEX(Input!$L$7:$L1503,ROW()-1),1,0),
    "Y"
  )
)</f>
        <v/>
      </c>
      <c r="U1333" s="6" t="str">
        <f t="array" ref="U1333">IF(
  B1333="",
  ,
  (C1333 + IF(INDEX(Input!$L$7:$L1503,ROW()-1),1,0))
  - EDATE(
      B1333 + IF(INDEX(Input!$K$7:$K1503,ROW()-1),0,1),
      12*S1333
    )
)</f>
        <v/>
      </c>
      <c r="V1333" s="6" t="str">
        <f t="shared" si="5"/>
        <v/>
      </c>
      <c r="W1333" s="6" t="str">
        <f t="shared" si="6"/>
        <v/>
      </c>
    </row>
    <row r="1334">
      <c r="A1334" s="18"/>
      <c r="B1334" s="18"/>
      <c r="C1334" s="18"/>
      <c r="D1334" s="18"/>
      <c r="E1334" s="18"/>
      <c r="F1334" s="18"/>
      <c r="G1334" s="22"/>
      <c r="H1334" s="18"/>
      <c r="I1334" s="18"/>
      <c r="J1334" s="18"/>
      <c r="K1334" s="18"/>
      <c r="L1334" s="18"/>
      <c r="M1334" s="22"/>
      <c r="N1334" s="18"/>
      <c r="O1334" s="23"/>
      <c r="P1334" s="18"/>
      <c r="Q1334" s="18"/>
      <c r="R1334" s="18"/>
      <c r="S1334" s="22"/>
      <c r="T1334" s="6" t="str">
        <f t="array" ref="T1334">IF(
  B1334="",
  ,
  DATEDIF(
    B1334 + IF(INDEX(Input!$K$7:$K1503,ROW()-1),0,1),
    C1334 + IF(INDEX(Input!$L$7:$L1503,ROW()-1),1,0),
    "Y"
  )
)</f>
        <v/>
      </c>
      <c r="U1334" s="6" t="str">
        <f t="array" ref="U1334">IF(
  B1334="",
  ,
  (C1334 + IF(INDEX(Input!$L$7:$L1503,ROW()-1),1,0))
  - EDATE(
      B1334 + IF(INDEX(Input!$K$7:$K1503,ROW()-1),0,1),
      12*S1334
    )
)</f>
        <v/>
      </c>
      <c r="V1334" s="6" t="str">
        <f t="shared" si="5"/>
        <v/>
      </c>
      <c r="W1334" s="6" t="str">
        <f t="shared" si="6"/>
        <v/>
      </c>
    </row>
    <row r="1335">
      <c r="A1335" s="18"/>
      <c r="B1335" s="18"/>
      <c r="C1335" s="18"/>
      <c r="D1335" s="18"/>
      <c r="E1335" s="18"/>
      <c r="F1335" s="18"/>
      <c r="G1335" s="22"/>
      <c r="H1335" s="18"/>
      <c r="I1335" s="18"/>
      <c r="J1335" s="18"/>
      <c r="K1335" s="18"/>
      <c r="L1335" s="18"/>
      <c r="M1335" s="22"/>
      <c r="N1335" s="18"/>
      <c r="O1335" s="23"/>
      <c r="P1335" s="18"/>
      <c r="Q1335" s="18"/>
      <c r="R1335" s="18"/>
      <c r="S1335" s="22"/>
      <c r="T1335" s="6" t="str">
        <f t="array" ref="T1335">IF(
  B1335="",
  ,
  DATEDIF(
    B1335 + IF(INDEX(Input!$K$7:$K1503,ROW()-1),0,1),
    C1335 + IF(INDEX(Input!$L$7:$L1503,ROW()-1),1,0),
    "Y"
  )
)</f>
        <v/>
      </c>
      <c r="U1335" s="6" t="str">
        <f t="array" ref="U1335">IF(
  B1335="",
  ,
  (C1335 + IF(INDEX(Input!$L$7:$L1503,ROW()-1),1,0))
  - EDATE(
      B1335 + IF(INDEX(Input!$K$7:$K1503,ROW()-1),0,1),
      12*S1335
    )
)</f>
        <v/>
      </c>
      <c r="V1335" s="6" t="str">
        <f t="shared" si="5"/>
        <v/>
      </c>
      <c r="W1335" s="6" t="str">
        <f t="shared" si="6"/>
        <v/>
      </c>
    </row>
    <row r="1336">
      <c r="A1336" s="18"/>
      <c r="B1336" s="18"/>
      <c r="C1336" s="18"/>
      <c r="D1336" s="18"/>
      <c r="E1336" s="18"/>
      <c r="F1336" s="18"/>
      <c r="G1336" s="22"/>
      <c r="H1336" s="18"/>
      <c r="I1336" s="18"/>
      <c r="J1336" s="18"/>
      <c r="K1336" s="18"/>
      <c r="L1336" s="18"/>
      <c r="M1336" s="22"/>
      <c r="N1336" s="18"/>
      <c r="O1336" s="23"/>
      <c r="P1336" s="18"/>
      <c r="Q1336" s="18"/>
      <c r="R1336" s="18"/>
      <c r="S1336" s="22"/>
      <c r="T1336" s="6" t="str">
        <f t="array" ref="T1336">IF(
  B1336="",
  ,
  DATEDIF(
    B1336 + IF(INDEX(Input!$K$7:$K1503,ROW()-1),0,1),
    C1336 + IF(INDEX(Input!$L$7:$L1503,ROW()-1),1,0),
    "Y"
  )
)</f>
        <v/>
      </c>
      <c r="U1336" s="6" t="str">
        <f t="array" ref="U1336">IF(
  B1336="",
  ,
  (C1336 + IF(INDEX(Input!$L$7:$L1503,ROW()-1),1,0))
  - EDATE(
      B1336 + IF(INDEX(Input!$K$7:$K1503,ROW()-1),0,1),
      12*S1336
    )
)</f>
        <v/>
      </c>
      <c r="V1336" s="6" t="str">
        <f t="shared" si="5"/>
        <v/>
      </c>
      <c r="W1336" s="6" t="str">
        <f t="shared" si="6"/>
        <v/>
      </c>
    </row>
    <row r="1337">
      <c r="A1337" s="18"/>
      <c r="B1337" s="18"/>
      <c r="C1337" s="18"/>
      <c r="D1337" s="18"/>
      <c r="E1337" s="18"/>
      <c r="F1337" s="18"/>
      <c r="G1337" s="22"/>
      <c r="H1337" s="18"/>
      <c r="I1337" s="18"/>
      <c r="J1337" s="18"/>
      <c r="K1337" s="18"/>
      <c r="L1337" s="18"/>
      <c r="M1337" s="22"/>
      <c r="N1337" s="18"/>
      <c r="O1337" s="23"/>
      <c r="P1337" s="18"/>
      <c r="Q1337" s="18"/>
      <c r="R1337" s="18"/>
      <c r="S1337" s="22"/>
      <c r="T1337" s="6" t="str">
        <f t="array" ref="T1337">IF(
  B1337="",
  ,
  DATEDIF(
    B1337 + IF(INDEX(Input!$K$7:$K1503,ROW()-1),0,1),
    C1337 + IF(INDEX(Input!$L$7:$L1503,ROW()-1),1,0),
    "Y"
  )
)</f>
        <v/>
      </c>
      <c r="U1337" s="6" t="str">
        <f t="array" ref="U1337">IF(
  B1337="",
  ,
  (C1337 + IF(INDEX(Input!$L$7:$L1503,ROW()-1),1,0))
  - EDATE(
      B1337 + IF(INDEX(Input!$K$7:$K1503,ROW()-1),0,1),
      12*S1337
    )
)</f>
        <v/>
      </c>
      <c r="V1337" s="6" t="str">
        <f t="shared" si="5"/>
        <v/>
      </c>
      <c r="W1337" s="6" t="str">
        <f t="shared" si="6"/>
        <v/>
      </c>
    </row>
    <row r="1338">
      <c r="A1338" s="18"/>
      <c r="B1338" s="18"/>
      <c r="C1338" s="18"/>
      <c r="D1338" s="18"/>
      <c r="E1338" s="18"/>
      <c r="F1338" s="18"/>
      <c r="G1338" s="22"/>
      <c r="H1338" s="18"/>
      <c r="I1338" s="18"/>
      <c r="J1338" s="18"/>
      <c r="K1338" s="18"/>
      <c r="L1338" s="18"/>
      <c r="M1338" s="22"/>
      <c r="N1338" s="18"/>
      <c r="O1338" s="23"/>
      <c r="P1338" s="18"/>
      <c r="Q1338" s="18"/>
      <c r="R1338" s="18"/>
      <c r="S1338" s="22"/>
      <c r="T1338" s="6" t="str">
        <f t="array" ref="T1338">IF(
  B1338="",
  ,
  DATEDIF(
    B1338 + IF(INDEX(Input!$K$7:$K1503,ROW()-1),0,1),
    C1338 + IF(INDEX(Input!$L$7:$L1503,ROW()-1),1,0),
    "Y"
  )
)</f>
        <v/>
      </c>
      <c r="U1338" s="6" t="str">
        <f t="array" ref="U1338">IF(
  B1338="",
  ,
  (C1338 + IF(INDEX(Input!$L$7:$L1503,ROW()-1),1,0))
  - EDATE(
      B1338 + IF(INDEX(Input!$K$7:$K1503,ROW()-1),0,1),
      12*S1338
    )
)</f>
        <v/>
      </c>
      <c r="V1338" s="6" t="str">
        <f t="shared" si="5"/>
        <v/>
      </c>
      <c r="W1338" s="6" t="str">
        <f t="shared" si="6"/>
        <v/>
      </c>
    </row>
    <row r="1339">
      <c r="A1339" s="18"/>
      <c r="B1339" s="18"/>
      <c r="C1339" s="18"/>
      <c r="D1339" s="18"/>
      <c r="E1339" s="18"/>
      <c r="F1339" s="18"/>
      <c r="G1339" s="22"/>
      <c r="H1339" s="18"/>
      <c r="I1339" s="18"/>
      <c r="J1339" s="18"/>
      <c r="K1339" s="18"/>
      <c r="L1339" s="18"/>
      <c r="M1339" s="22"/>
      <c r="N1339" s="18"/>
      <c r="O1339" s="23"/>
      <c r="P1339" s="18"/>
      <c r="Q1339" s="18"/>
      <c r="R1339" s="18"/>
      <c r="S1339" s="22"/>
      <c r="T1339" s="6" t="str">
        <f t="array" ref="T1339">IF(
  B1339="",
  ,
  DATEDIF(
    B1339 + IF(INDEX(Input!$K$7:$K1503,ROW()-1),0,1),
    C1339 + IF(INDEX(Input!$L$7:$L1503,ROW()-1),1,0),
    "Y"
  )
)</f>
        <v/>
      </c>
      <c r="U1339" s="6" t="str">
        <f t="array" ref="U1339">IF(
  B1339="",
  ,
  (C1339 + IF(INDEX(Input!$L$7:$L1503,ROW()-1),1,0))
  - EDATE(
      B1339 + IF(INDEX(Input!$K$7:$K1503,ROW()-1),0,1),
      12*S1339
    )
)</f>
        <v/>
      </c>
      <c r="V1339" s="6" t="str">
        <f t="shared" si="5"/>
        <v/>
      </c>
      <c r="W1339" s="6" t="str">
        <f t="shared" si="6"/>
        <v/>
      </c>
    </row>
    <row r="1340">
      <c r="A1340" s="18"/>
      <c r="B1340" s="18"/>
      <c r="C1340" s="18"/>
      <c r="D1340" s="18"/>
      <c r="E1340" s="18"/>
      <c r="F1340" s="18"/>
      <c r="G1340" s="22"/>
      <c r="H1340" s="18"/>
      <c r="I1340" s="18"/>
      <c r="J1340" s="18"/>
      <c r="K1340" s="18"/>
      <c r="L1340" s="18"/>
      <c r="M1340" s="22"/>
      <c r="N1340" s="18"/>
      <c r="O1340" s="23"/>
      <c r="P1340" s="18"/>
      <c r="Q1340" s="18"/>
      <c r="R1340" s="18"/>
      <c r="S1340" s="22"/>
      <c r="T1340" s="6" t="str">
        <f t="array" ref="T1340">IF(
  B1340="",
  ,
  DATEDIF(
    B1340 + IF(INDEX(Input!$K$7:$K1503,ROW()-1),0,1),
    C1340 + IF(INDEX(Input!$L$7:$L1503,ROW()-1),1,0),
    "Y"
  )
)</f>
        <v/>
      </c>
      <c r="U1340" s="6" t="str">
        <f t="array" ref="U1340">IF(
  B1340="",
  ,
  (C1340 + IF(INDEX(Input!$L$7:$L1503,ROW()-1),1,0))
  - EDATE(
      B1340 + IF(INDEX(Input!$K$7:$K1503,ROW()-1),0,1),
      12*S1340
    )
)</f>
        <v/>
      </c>
      <c r="V1340" s="6" t="str">
        <f t="shared" si="5"/>
        <v/>
      </c>
      <c r="W1340" s="6" t="str">
        <f t="shared" si="6"/>
        <v/>
      </c>
    </row>
    <row r="1341">
      <c r="A1341" s="18"/>
      <c r="B1341" s="18"/>
      <c r="C1341" s="18"/>
      <c r="D1341" s="18"/>
      <c r="E1341" s="18"/>
      <c r="F1341" s="18"/>
      <c r="G1341" s="22"/>
      <c r="H1341" s="18"/>
      <c r="I1341" s="18"/>
      <c r="J1341" s="18"/>
      <c r="K1341" s="18"/>
      <c r="L1341" s="18"/>
      <c r="M1341" s="22"/>
      <c r="N1341" s="18"/>
      <c r="O1341" s="23"/>
      <c r="P1341" s="18"/>
      <c r="Q1341" s="18"/>
      <c r="R1341" s="18"/>
      <c r="S1341" s="22"/>
      <c r="T1341" s="6" t="str">
        <f t="array" ref="T1341">IF(
  B1341="",
  ,
  DATEDIF(
    B1341 + IF(INDEX(Input!$K$7:$K1503,ROW()-1),0,1),
    C1341 + IF(INDEX(Input!$L$7:$L1503,ROW()-1),1,0),
    "Y"
  )
)</f>
        <v/>
      </c>
      <c r="U1341" s="6" t="str">
        <f t="array" ref="U1341">IF(
  B1341="",
  ,
  (C1341 + IF(INDEX(Input!$L$7:$L1503,ROW()-1),1,0))
  - EDATE(
      B1341 + IF(INDEX(Input!$K$7:$K1503,ROW()-1),0,1),
      12*S1341
    )
)</f>
        <v/>
      </c>
      <c r="V1341" s="6" t="str">
        <f t="shared" si="5"/>
        <v/>
      </c>
      <c r="W1341" s="6" t="str">
        <f t="shared" si="6"/>
        <v/>
      </c>
    </row>
    <row r="1342">
      <c r="A1342" s="18"/>
      <c r="B1342" s="18"/>
      <c r="C1342" s="18"/>
      <c r="D1342" s="18"/>
      <c r="E1342" s="18"/>
      <c r="F1342" s="18"/>
      <c r="G1342" s="22"/>
      <c r="H1342" s="18"/>
      <c r="I1342" s="18"/>
      <c r="J1342" s="18"/>
      <c r="K1342" s="18"/>
      <c r="L1342" s="18"/>
      <c r="M1342" s="22"/>
      <c r="N1342" s="18"/>
      <c r="O1342" s="23"/>
      <c r="P1342" s="18"/>
      <c r="Q1342" s="18"/>
      <c r="R1342" s="18"/>
      <c r="S1342" s="22"/>
      <c r="T1342" s="6" t="str">
        <f t="array" ref="T1342">IF(
  B1342="",
  ,
  DATEDIF(
    B1342 + IF(INDEX(Input!$K$7:$K1503,ROW()-1),0,1),
    C1342 + IF(INDEX(Input!$L$7:$L1503,ROW()-1),1,0),
    "Y"
  )
)</f>
        <v/>
      </c>
      <c r="U1342" s="6" t="str">
        <f t="array" ref="U1342">IF(
  B1342="",
  ,
  (C1342 + IF(INDEX(Input!$L$7:$L1503,ROW()-1),1,0))
  - EDATE(
      B1342 + IF(INDEX(Input!$K$7:$K1503,ROW()-1),0,1),
      12*S1342
    )
)</f>
        <v/>
      </c>
      <c r="V1342" s="6" t="str">
        <f t="shared" si="5"/>
        <v/>
      </c>
      <c r="W1342" s="6" t="str">
        <f t="shared" si="6"/>
        <v/>
      </c>
    </row>
    <row r="1343">
      <c r="A1343" s="18"/>
      <c r="B1343" s="18"/>
      <c r="C1343" s="18"/>
      <c r="D1343" s="18"/>
      <c r="E1343" s="18"/>
      <c r="F1343" s="18"/>
      <c r="G1343" s="22"/>
      <c r="H1343" s="18"/>
      <c r="I1343" s="18"/>
      <c r="J1343" s="18"/>
      <c r="K1343" s="18"/>
      <c r="L1343" s="18"/>
      <c r="M1343" s="22"/>
      <c r="N1343" s="18"/>
      <c r="O1343" s="23"/>
      <c r="P1343" s="18"/>
      <c r="Q1343" s="18"/>
      <c r="R1343" s="18"/>
      <c r="S1343" s="22"/>
      <c r="T1343" s="6" t="str">
        <f t="array" ref="T1343">IF(
  B1343="",
  ,
  DATEDIF(
    B1343 + IF(INDEX(Input!$K$7:$K1503,ROW()-1),0,1),
    C1343 + IF(INDEX(Input!$L$7:$L1503,ROW()-1),1,0),
    "Y"
  )
)</f>
        <v/>
      </c>
      <c r="U1343" s="6" t="str">
        <f t="array" ref="U1343">IF(
  B1343="",
  ,
  (C1343 + IF(INDEX(Input!$L$7:$L1503,ROW()-1),1,0))
  - EDATE(
      B1343 + IF(INDEX(Input!$K$7:$K1503,ROW()-1),0,1),
      12*S1343
    )
)</f>
        <v/>
      </c>
      <c r="V1343" s="6" t="str">
        <f t="shared" si="5"/>
        <v/>
      </c>
      <c r="W1343" s="6" t="str">
        <f t="shared" si="6"/>
        <v/>
      </c>
    </row>
    <row r="1344">
      <c r="A1344" s="18"/>
      <c r="B1344" s="18"/>
      <c r="C1344" s="18"/>
      <c r="D1344" s="18"/>
      <c r="E1344" s="18"/>
      <c r="F1344" s="18"/>
      <c r="G1344" s="22"/>
      <c r="H1344" s="18"/>
      <c r="I1344" s="18"/>
      <c r="J1344" s="18"/>
      <c r="K1344" s="18"/>
      <c r="L1344" s="18"/>
      <c r="M1344" s="22"/>
      <c r="N1344" s="18"/>
      <c r="O1344" s="23"/>
      <c r="P1344" s="18"/>
      <c r="Q1344" s="18"/>
      <c r="R1344" s="18"/>
      <c r="S1344" s="22"/>
      <c r="T1344" s="6" t="str">
        <f t="array" ref="T1344">IF(
  B1344="",
  ,
  DATEDIF(
    B1344 + IF(INDEX(Input!$K$7:$K1503,ROW()-1),0,1),
    C1344 + IF(INDEX(Input!$L$7:$L1503,ROW()-1),1,0),
    "Y"
  )
)</f>
        <v/>
      </c>
      <c r="U1344" s="6" t="str">
        <f t="array" ref="U1344">IF(
  B1344="",
  ,
  (C1344 + IF(INDEX(Input!$L$7:$L1503,ROW()-1),1,0))
  - EDATE(
      B1344 + IF(INDEX(Input!$K$7:$K1503,ROW()-1),0,1),
      12*S1344
    )
)</f>
        <v/>
      </c>
      <c r="V1344" s="6" t="str">
        <f t="shared" si="5"/>
        <v/>
      </c>
      <c r="W1344" s="6" t="str">
        <f t="shared" si="6"/>
        <v/>
      </c>
    </row>
    <row r="1345">
      <c r="A1345" s="18"/>
      <c r="B1345" s="18"/>
      <c r="C1345" s="18"/>
      <c r="D1345" s="18"/>
      <c r="E1345" s="18"/>
      <c r="F1345" s="18"/>
      <c r="G1345" s="22"/>
      <c r="H1345" s="18"/>
      <c r="I1345" s="18"/>
      <c r="J1345" s="18"/>
      <c r="K1345" s="18"/>
      <c r="L1345" s="18"/>
      <c r="M1345" s="22"/>
      <c r="N1345" s="18"/>
      <c r="O1345" s="23"/>
      <c r="P1345" s="18"/>
      <c r="Q1345" s="18"/>
      <c r="R1345" s="18"/>
      <c r="S1345" s="22"/>
      <c r="T1345" s="6" t="str">
        <f t="array" ref="T1345">IF(
  B1345="",
  ,
  DATEDIF(
    B1345 + IF(INDEX(Input!$K$7:$K1503,ROW()-1),0,1),
    C1345 + IF(INDEX(Input!$L$7:$L1503,ROW()-1),1,0),
    "Y"
  )
)</f>
        <v/>
      </c>
      <c r="U1345" s="6" t="str">
        <f t="array" ref="U1345">IF(
  B1345="",
  ,
  (C1345 + IF(INDEX(Input!$L$7:$L1503,ROW()-1),1,0))
  - EDATE(
      B1345 + IF(INDEX(Input!$K$7:$K1503,ROW()-1),0,1),
      12*S1345
    )
)</f>
        <v/>
      </c>
      <c r="V1345" s="6" t="str">
        <f t="shared" si="5"/>
        <v/>
      </c>
      <c r="W1345" s="6" t="str">
        <f t="shared" si="6"/>
        <v/>
      </c>
    </row>
    <row r="1346">
      <c r="A1346" s="18"/>
      <c r="B1346" s="18"/>
      <c r="C1346" s="18"/>
      <c r="D1346" s="18"/>
      <c r="E1346" s="18"/>
      <c r="F1346" s="18"/>
      <c r="G1346" s="22"/>
      <c r="H1346" s="18"/>
      <c r="I1346" s="18"/>
      <c r="J1346" s="18"/>
      <c r="K1346" s="18"/>
      <c r="L1346" s="18"/>
      <c r="M1346" s="22"/>
      <c r="N1346" s="18"/>
      <c r="O1346" s="23"/>
      <c r="P1346" s="18"/>
      <c r="Q1346" s="18"/>
      <c r="R1346" s="18"/>
      <c r="S1346" s="22"/>
      <c r="T1346" s="6" t="str">
        <f t="array" ref="T1346">IF(
  B1346="",
  ,
  DATEDIF(
    B1346 + IF(INDEX(Input!$K$7:$K1503,ROW()-1),0,1),
    C1346 + IF(INDEX(Input!$L$7:$L1503,ROW()-1),1,0),
    "Y"
  )
)</f>
        <v/>
      </c>
      <c r="U1346" s="6" t="str">
        <f t="array" ref="U1346">IF(
  B1346="",
  ,
  (C1346 + IF(INDEX(Input!$L$7:$L1503,ROW()-1),1,0))
  - EDATE(
      B1346 + IF(INDEX(Input!$K$7:$K1503,ROW()-1),0,1),
      12*S1346
    )
)</f>
        <v/>
      </c>
      <c r="V1346" s="6" t="str">
        <f t="shared" si="5"/>
        <v/>
      </c>
      <c r="W1346" s="6" t="str">
        <f t="shared" si="6"/>
        <v/>
      </c>
    </row>
    <row r="1347">
      <c r="A1347" s="18"/>
      <c r="B1347" s="18"/>
      <c r="C1347" s="18"/>
      <c r="D1347" s="18"/>
      <c r="E1347" s="18"/>
      <c r="F1347" s="18"/>
      <c r="G1347" s="22"/>
      <c r="H1347" s="18"/>
      <c r="I1347" s="18"/>
      <c r="J1347" s="18"/>
      <c r="K1347" s="18"/>
      <c r="L1347" s="18"/>
      <c r="M1347" s="22"/>
      <c r="N1347" s="18"/>
      <c r="O1347" s="23"/>
      <c r="P1347" s="18"/>
      <c r="Q1347" s="18"/>
      <c r="R1347" s="18"/>
      <c r="S1347" s="22"/>
      <c r="T1347" s="6" t="str">
        <f t="array" ref="T1347">IF(
  B1347="",
  ,
  DATEDIF(
    B1347 + IF(INDEX(Input!$K$7:$K1503,ROW()-1),0,1),
    C1347 + IF(INDEX(Input!$L$7:$L1503,ROW()-1),1,0),
    "Y"
  )
)</f>
        <v/>
      </c>
      <c r="U1347" s="6" t="str">
        <f t="array" ref="U1347">IF(
  B1347="",
  ,
  (C1347 + IF(INDEX(Input!$L$7:$L1503,ROW()-1),1,0))
  - EDATE(
      B1347 + IF(INDEX(Input!$K$7:$K1503,ROW()-1),0,1),
      12*S1347
    )
)</f>
        <v/>
      </c>
      <c r="V1347" s="6" t="str">
        <f t="shared" si="5"/>
        <v/>
      </c>
      <c r="W1347" s="6" t="str">
        <f t="shared" si="6"/>
        <v/>
      </c>
    </row>
    <row r="1348">
      <c r="A1348" s="18"/>
      <c r="B1348" s="18"/>
      <c r="C1348" s="18"/>
      <c r="D1348" s="18"/>
      <c r="E1348" s="18"/>
      <c r="F1348" s="18"/>
      <c r="G1348" s="22"/>
      <c r="H1348" s="18"/>
      <c r="I1348" s="18"/>
      <c r="J1348" s="18"/>
      <c r="K1348" s="18"/>
      <c r="L1348" s="18"/>
      <c r="M1348" s="22"/>
      <c r="N1348" s="18"/>
      <c r="O1348" s="23"/>
      <c r="P1348" s="18"/>
      <c r="Q1348" s="18"/>
      <c r="R1348" s="18"/>
      <c r="S1348" s="22"/>
      <c r="T1348" s="6" t="str">
        <f t="array" ref="T1348">IF(
  B1348="",
  ,
  DATEDIF(
    B1348 + IF(INDEX(Input!$K$7:$K1503,ROW()-1),0,1),
    C1348 + IF(INDEX(Input!$L$7:$L1503,ROW()-1),1,0),
    "Y"
  )
)</f>
        <v/>
      </c>
      <c r="U1348" s="6" t="str">
        <f t="array" ref="U1348">IF(
  B1348="",
  ,
  (C1348 + IF(INDEX(Input!$L$7:$L1503,ROW()-1),1,0))
  - EDATE(
      B1348 + IF(INDEX(Input!$K$7:$K1503,ROW()-1),0,1),
      12*S1348
    )
)</f>
        <v/>
      </c>
      <c r="V1348" s="6" t="str">
        <f t="shared" si="5"/>
        <v/>
      </c>
      <c r="W1348" s="6" t="str">
        <f t="shared" si="6"/>
        <v/>
      </c>
    </row>
    <row r="1349">
      <c r="A1349" s="18"/>
      <c r="B1349" s="18"/>
      <c r="C1349" s="18"/>
      <c r="D1349" s="18"/>
      <c r="E1349" s="18"/>
      <c r="F1349" s="18"/>
      <c r="G1349" s="22"/>
      <c r="H1349" s="18"/>
      <c r="I1349" s="18"/>
      <c r="J1349" s="18"/>
      <c r="K1349" s="18"/>
      <c r="L1349" s="18"/>
      <c r="M1349" s="22"/>
      <c r="N1349" s="18"/>
      <c r="O1349" s="23"/>
      <c r="P1349" s="18"/>
      <c r="Q1349" s="18"/>
      <c r="R1349" s="18"/>
      <c r="S1349" s="22"/>
      <c r="T1349" s="6" t="str">
        <f t="array" ref="T1349">IF(
  B1349="",
  ,
  DATEDIF(
    B1349 + IF(INDEX(Input!$K$7:$K1503,ROW()-1),0,1),
    C1349 + IF(INDEX(Input!$L$7:$L1503,ROW()-1),1,0),
    "Y"
  )
)</f>
        <v/>
      </c>
      <c r="U1349" s="6" t="str">
        <f t="array" ref="U1349">IF(
  B1349="",
  ,
  (C1349 + IF(INDEX(Input!$L$7:$L1503,ROW()-1),1,0))
  - EDATE(
      B1349 + IF(INDEX(Input!$K$7:$K1503,ROW()-1),0,1),
      12*S1349
    )
)</f>
        <v/>
      </c>
      <c r="V1349" s="6" t="str">
        <f t="shared" si="5"/>
        <v/>
      </c>
      <c r="W1349" s="6" t="str">
        <f t="shared" si="6"/>
        <v/>
      </c>
    </row>
    <row r="1350">
      <c r="A1350" s="18"/>
      <c r="B1350" s="18"/>
      <c r="C1350" s="18"/>
      <c r="D1350" s="18"/>
      <c r="E1350" s="18"/>
      <c r="F1350" s="18"/>
      <c r="G1350" s="22"/>
      <c r="H1350" s="18"/>
      <c r="I1350" s="18"/>
      <c r="J1350" s="18"/>
      <c r="K1350" s="18"/>
      <c r="L1350" s="18"/>
      <c r="M1350" s="22"/>
      <c r="N1350" s="18"/>
      <c r="O1350" s="23"/>
      <c r="P1350" s="18"/>
      <c r="Q1350" s="18"/>
      <c r="R1350" s="18"/>
      <c r="S1350" s="22"/>
      <c r="T1350" s="6" t="str">
        <f t="array" ref="T1350">IF(
  B1350="",
  ,
  DATEDIF(
    B1350 + IF(INDEX(Input!$K$7:$K1503,ROW()-1),0,1),
    C1350 + IF(INDEX(Input!$L$7:$L1503,ROW()-1),1,0),
    "Y"
  )
)</f>
        <v/>
      </c>
      <c r="U1350" s="6" t="str">
        <f t="array" ref="U1350">IF(
  B1350="",
  ,
  (C1350 + IF(INDEX(Input!$L$7:$L1503,ROW()-1),1,0))
  - EDATE(
      B1350 + IF(INDEX(Input!$K$7:$K1503,ROW()-1),0,1),
      12*S1350
    )
)</f>
        <v/>
      </c>
      <c r="V1350" s="6" t="str">
        <f t="shared" si="5"/>
        <v/>
      </c>
      <c r="W1350" s="6" t="str">
        <f t="shared" si="6"/>
        <v/>
      </c>
    </row>
    <row r="1351">
      <c r="A1351" s="18"/>
      <c r="B1351" s="18"/>
      <c r="C1351" s="18"/>
      <c r="D1351" s="18"/>
      <c r="E1351" s="18"/>
      <c r="F1351" s="18"/>
      <c r="G1351" s="22"/>
      <c r="H1351" s="18"/>
      <c r="I1351" s="18"/>
      <c r="J1351" s="18"/>
      <c r="K1351" s="18"/>
      <c r="L1351" s="18"/>
      <c r="M1351" s="22"/>
      <c r="N1351" s="18"/>
      <c r="O1351" s="23"/>
      <c r="P1351" s="18"/>
      <c r="Q1351" s="18"/>
      <c r="R1351" s="18"/>
      <c r="S1351" s="22"/>
      <c r="T1351" s="6" t="str">
        <f t="array" ref="T1351">IF(
  B1351="",
  ,
  DATEDIF(
    B1351 + IF(INDEX(Input!$K$7:$K1503,ROW()-1),0,1),
    C1351 + IF(INDEX(Input!$L$7:$L1503,ROW()-1),1,0),
    "Y"
  )
)</f>
        <v/>
      </c>
      <c r="U1351" s="6" t="str">
        <f t="array" ref="U1351">IF(
  B1351="",
  ,
  (C1351 + IF(INDEX(Input!$L$7:$L1503,ROW()-1),1,0))
  - EDATE(
      B1351 + IF(INDEX(Input!$K$7:$K1503,ROW()-1),0,1),
      12*S1351
    )
)</f>
        <v/>
      </c>
      <c r="V1351" s="6" t="str">
        <f t="shared" si="5"/>
        <v/>
      </c>
      <c r="W1351" s="6" t="str">
        <f t="shared" si="6"/>
        <v/>
      </c>
    </row>
    <row r="1352">
      <c r="A1352" s="18"/>
      <c r="B1352" s="18"/>
      <c r="C1352" s="18"/>
      <c r="D1352" s="18"/>
      <c r="E1352" s="18"/>
      <c r="F1352" s="18"/>
      <c r="G1352" s="22"/>
      <c r="H1352" s="18"/>
      <c r="I1352" s="18"/>
      <c r="J1352" s="18"/>
      <c r="K1352" s="18"/>
      <c r="L1352" s="18"/>
      <c r="M1352" s="22"/>
      <c r="N1352" s="18"/>
      <c r="O1352" s="23"/>
      <c r="P1352" s="18"/>
      <c r="Q1352" s="18"/>
      <c r="R1352" s="18"/>
      <c r="S1352" s="22"/>
      <c r="T1352" s="6" t="str">
        <f t="array" ref="T1352">IF(
  B1352="",
  ,
  DATEDIF(
    B1352 + IF(INDEX(Input!$K$7:$K1503,ROW()-1),0,1),
    C1352 + IF(INDEX(Input!$L$7:$L1503,ROW()-1),1,0),
    "Y"
  )
)</f>
        <v/>
      </c>
      <c r="U1352" s="6" t="str">
        <f t="array" ref="U1352">IF(
  B1352="",
  ,
  (C1352 + IF(INDEX(Input!$L$7:$L1503,ROW()-1),1,0))
  - EDATE(
      B1352 + IF(INDEX(Input!$K$7:$K1503,ROW()-1),0,1),
      12*S1352
    )
)</f>
        <v/>
      </c>
      <c r="V1352" s="6" t="str">
        <f t="shared" si="5"/>
        <v/>
      </c>
      <c r="W1352" s="6" t="str">
        <f t="shared" si="6"/>
        <v/>
      </c>
    </row>
    <row r="1353">
      <c r="A1353" s="18"/>
      <c r="B1353" s="18"/>
      <c r="C1353" s="18"/>
      <c r="D1353" s="18"/>
      <c r="E1353" s="18"/>
      <c r="F1353" s="18"/>
      <c r="G1353" s="22"/>
      <c r="H1353" s="18"/>
      <c r="I1353" s="18"/>
      <c r="J1353" s="18"/>
      <c r="K1353" s="18"/>
      <c r="L1353" s="18"/>
      <c r="M1353" s="22"/>
      <c r="N1353" s="18"/>
      <c r="O1353" s="23"/>
      <c r="P1353" s="18"/>
      <c r="Q1353" s="18"/>
      <c r="R1353" s="18"/>
      <c r="S1353" s="22"/>
      <c r="T1353" s="6" t="str">
        <f t="array" ref="T1353">IF(
  B1353="",
  ,
  DATEDIF(
    B1353 + IF(INDEX(Input!$K$7:$K1503,ROW()-1),0,1),
    C1353 + IF(INDEX(Input!$L$7:$L1503,ROW()-1),1,0),
    "Y"
  )
)</f>
        <v/>
      </c>
      <c r="U1353" s="6" t="str">
        <f t="array" ref="U1353">IF(
  B1353="",
  ,
  (C1353 + IF(INDEX(Input!$L$7:$L1503,ROW()-1),1,0))
  - EDATE(
      B1353 + IF(INDEX(Input!$K$7:$K1503,ROW()-1),0,1),
      12*S1353
    )
)</f>
        <v/>
      </c>
      <c r="V1353" s="6" t="str">
        <f t="shared" si="5"/>
        <v/>
      </c>
      <c r="W1353" s="6" t="str">
        <f t="shared" si="6"/>
        <v/>
      </c>
    </row>
    <row r="1354">
      <c r="A1354" s="18"/>
      <c r="B1354" s="18"/>
      <c r="C1354" s="18"/>
      <c r="D1354" s="18"/>
      <c r="E1354" s="18"/>
      <c r="F1354" s="18"/>
      <c r="G1354" s="22"/>
      <c r="H1354" s="18"/>
      <c r="I1354" s="18"/>
      <c r="J1354" s="18"/>
      <c r="K1354" s="18"/>
      <c r="L1354" s="18"/>
      <c r="M1354" s="22"/>
      <c r="N1354" s="18"/>
      <c r="O1354" s="23"/>
      <c r="P1354" s="18"/>
      <c r="Q1354" s="18"/>
      <c r="R1354" s="18"/>
      <c r="S1354" s="22"/>
      <c r="T1354" s="6" t="str">
        <f t="array" ref="T1354">IF(
  B1354="",
  ,
  DATEDIF(
    B1354 + IF(INDEX(Input!$K$7:$K1503,ROW()-1),0,1),
    C1354 + IF(INDEX(Input!$L$7:$L1503,ROW()-1),1,0),
    "Y"
  )
)</f>
        <v/>
      </c>
      <c r="U1354" s="6" t="str">
        <f t="array" ref="U1354">IF(
  B1354="",
  ,
  (C1354 + IF(INDEX(Input!$L$7:$L1503,ROW()-1),1,0))
  - EDATE(
      B1354 + IF(INDEX(Input!$K$7:$K1503,ROW()-1),0,1),
      12*S1354
    )
)</f>
        <v/>
      </c>
      <c r="V1354" s="6" t="str">
        <f t="shared" si="5"/>
        <v/>
      </c>
      <c r="W1354" s="6" t="str">
        <f t="shared" si="6"/>
        <v/>
      </c>
    </row>
    <row r="1355">
      <c r="A1355" s="18"/>
      <c r="B1355" s="18"/>
      <c r="C1355" s="18"/>
      <c r="D1355" s="18"/>
      <c r="E1355" s="18"/>
      <c r="F1355" s="18"/>
      <c r="G1355" s="22"/>
      <c r="H1355" s="18"/>
      <c r="I1355" s="18"/>
      <c r="J1355" s="18"/>
      <c r="K1355" s="18"/>
      <c r="L1355" s="18"/>
      <c r="M1355" s="22"/>
      <c r="N1355" s="18"/>
      <c r="O1355" s="23"/>
      <c r="P1355" s="18"/>
      <c r="Q1355" s="18"/>
      <c r="R1355" s="18"/>
      <c r="S1355" s="22"/>
      <c r="T1355" s="6" t="str">
        <f t="array" ref="T1355">IF(
  B1355="",
  ,
  DATEDIF(
    B1355 + IF(INDEX(Input!$K$7:$K1503,ROW()-1),0,1),
    C1355 + IF(INDEX(Input!$L$7:$L1503,ROW()-1),1,0),
    "Y"
  )
)</f>
        <v/>
      </c>
      <c r="U1355" s="6" t="str">
        <f t="array" ref="U1355">IF(
  B1355="",
  ,
  (C1355 + IF(INDEX(Input!$L$7:$L1503,ROW()-1),1,0))
  - EDATE(
      B1355 + IF(INDEX(Input!$K$7:$K1503,ROW()-1),0,1),
      12*S1355
    )
)</f>
        <v/>
      </c>
      <c r="V1355" s="6" t="str">
        <f t="shared" si="5"/>
        <v/>
      </c>
      <c r="W1355" s="6" t="str">
        <f t="shared" si="6"/>
        <v/>
      </c>
    </row>
    <row r="1356">
      <c r="A1356" s="18"/>
      <c r="B1356" s="18"/>
      <c r="C1356" s="18"/>
      <c r="D1356" s="18"/>
      <c r="E1356" s="18"/>
      <c r="F1356" s="18"/>
      <c r="G1356" s="22"/>
      <c r="H1356" s="18"/>
      <c r="I1356" s="18"/>
      <c r="J1356" s="18"/>
      <c r="K1356" s="18"/>
      <c r="L1356" s="18"/>
      <c r="M1356" s="22"/>
      <c r="N1356" s="18"/>
      <c r="O1356" s="23"/>
      <c r="P1356" s="18"/>
      <c r="Q1356" s="18"/>
      <c r="R1356" s="18"/>
      <c r="S1356" s="22"/>
      <c r="T1356" s="6" t="str">
        <f t="array" ref="T1356">IF(
  B1356="",
  ,
  DATEDIF(
    B1356 + IF(INDEX(Input!$K$7:$K1503,ROW()-1),0,1),
    C1356 + IF(INDEX(Input!$L$7:$L1503,ROW()-1),1,0),
    "Y"
  )
)</f>
        <v/>
      </c>
      <c r="U1356" s="6" t="str">
        <f t="array" ref="U1356">IF(
  B1356="",
  ,
  (C1356 + IF(INDEX(Input!$L$7:$L1503,ROW()-1),1,0))
  - EDATE(
      B1356 + IF(INDEX(Input!$K$7:$K1503,ROW()-1),0,1),
      12*S1356
    )
)</f>
        <v/>
      </c>
      <c r="V1356" s="6" t="str">
        <f t="shared" si="5"/>
        <v/>
      </c>
      <c r="W1356" s="6" t="str">
        <f t="shared" si="6"/>
        <v/>
      </c>
    </row>
    <row r="1357">
      <c r="A1357" s="18"/>
      <c r="B1357" s="18"/>
      <c r="C1357" s="18"/>
      <c r="D1357" s="18"/>
      <c r="E1357" s="18"/>
      <c r="F1357" s="18"/>
      <c r="G1357" s="22"/>
      <c r="H1357" s="18"/>
      <c r="I1357" s="18"/>
      <c r="J1357" s="18"/>
      <c r="K1357" s="18"/>
      <c r="L1357" s="18"/>
      <c r="M1357" s="22"/>
      <c r="N1357" s="18"/>
      <c r="O1357" s="23"/>
      <c r="P1357" s="18"/>
      <c r="Q1357" s="18"/>
      <c r="R1357" s="18"/>
      <c r="S1357" s="22"/>
      <c r="T1357" s="6" t="str">
        <f t="array" ref="T1357">IF(
  B1357="",
  ,
  DATEDIF(
    B1357 + IF(INDEX(Input!$K$7:$K1503,ROW()-1),0,1),
    C1357 + IF(INDEX(Input!$L$7:$L1503,ROW()-1),1,0),
    "Y"
  )
)</f>
        <v/>
      </c>
      <c r="U1357" s="6" t="str">
        <f t="array" ref="U1357">IF(
  B1357="",
  ,
  (C1357 + IF(INDEX(Input!$L$7:$L1503,ROW()-1),1,0))
  - EDATE(
      B1357 + IF(INDEX(Input!$K$7:$K1503,ROW()-1),0,1),
      12*S1357
    )
)</f>
        <v/>
      </c>
      <c r="V1357" s="6" t="str">
        <f t="shared" si="5"/>
        <v/>
      </c>
      <c r="W1357" s="6" t="str">
        <f t="shared" si="6"/>
        <v/>
      </c>
    </row>
    <row r="1358">
      <c r="A1358" s="18"/>
      <c r="B1358" s="18"/>
      <c r="C1358" s="18"/>
      <c r="D1358" s="18"/>
      <c r="E1358" s="18"/>
      <c r="F1358" s="18"/>
      <c r="G1358" s="22"/>
      <c r="H1358" s="18"/>
      <c r="I1358" s="18"/>
      <c r="J1358" s="18"/>
      <c r="K1358" s="18"/>
      <c r="L1358" s="18"/>
      <c r="M1358" s="22"/>
      <c r="N1358" s="18"/>
      <c r="O1358" s="23"/>
      <c r="P1358" s="18"/>
      <c r="Q1358" s="18"/>
      <c r="R1358" s="18"/>
      <c r="S1358" s="22"/>
      <c r="T1358" s="6" t="str">
        <f t="array" ref="T1358">IF(
  B1358="",
  ,
  DATEDIF(
    B1358 + IF(INDEX(Input!$K$7:$K1503,ROW()-1),0,1),
    C1358 + IF(INDEX(Input!$L$7:$L1503,ROW()-1),1,0),
    "Y"
  )
)</f>
        <v/>
      </c>
      <c r="U1358" s="6" t="str">
        <f t="array" ref="U1358">IF(
  B1358="",
  ,
  (C1358 + IF(INDEX(Input!$L$7:$L1503,ROW()-1),1,0))
  - EDATE(
      B1358 + IF(INDEX(Input!$K$7:$K1503,ROW()-1),0,1),
      12*S1358
    )
)</f>
        <v/>
      </c>
      <c r="V1358" s="6" t="str">
        <f t="shared" si="5"/>
        <v/>
      </c>
      <c r="W1358" s="6" t="str">
        <f t="shared" si="6"/>
        <v/>
      </c>
    </row>
    <row r="1359">
      <c r="A1359" s="18"/>
      <c r="B1359" s="18"/>
      <c r="C1359" s="18"/>
      <c r="D1359" s="18"/>
      <c r="E1359" s="18"/>
      <c r="F1359" s="18"/>
      <c r="G1359" s="22"/>
      <c r="H1359" s="18"/>
      <c r="I1359" s="18"/>
      <c r="J1359" s="18"/>
      <c r="K1359" s="18"/>
      <c r="L1359" s="18"/>
      <c r="M1359" s="22"/>
      <c r="N1359" s="18"/>
      <c r="O1359" s="23"/>
      <c r="P1359" s="18"/>
      <c r="Q1359" s="18"/>
      <c r="R1359" s="18"/>
      <c r="S1359" s="22"/>
      <c r="T1359" s="6" t="str">
        <f t="array" ref="T1359">IF(
  B1359="",
  ,
  DATEDIF(
    B1359 + IF(INDEX(Input!$K$7:$K1503,ROW()-1),0,1),
    C1359 + IF(INDEX(Input!$L$7:$L1503,ROW()-1),1,0),
    "Y"
  )
)</f>
        <v/>
      </c>
      <c r="U1359" s="6" t="str">
        <f t="array" ref="U1359">IF(
  B1359="",
  ,
  (C1359 + IF(INDEX(Input!$L$7:$L1503,ROW()-1),1,0))
  - EDATE(
      B1359 + IF(INDEX(Input!$K$7:$K1503,ROW()-1),0,1),
      12*S1359
    )
)</f>
        <v/>
      </c>
      <c r="V1359" s="6" t="str">
        <f t="shared" si="5"/>
        <v/>
      </c>
      <c r="W1359" s="6" t="str">
        <f t="shared" si="6"/>
        <v/>
      </c>
    </row>
    <row r="1360">
      <c r="A1360" s="18"/>
      <c r="B1360" s="18"/>
      <c r="C1360" s="18"/>
      <c r="D1360" s="18"/>
      <c r="E1360" s="18"/>
      <c r="F1360" s="18"/>
      <c r="G1360" s="22"/>
      <c r="H1360" s="18"/>
      <c r="I1360" s="18"/>
      <c r="J1360" s="18"/>
      <c r="K1360" s="18"/>
      <c r="L1360" s="18"/>
      <c r="M1360" s="22"/>
      <c r="N1360" s="18"/>
      <c r="O1360" s="23"/>
      <c r="P1360" s="18"/>
      <c r="Q1360" s="18"/>
      <c r="R1360" s="18"/>
      <c r="S1360" s="22"/>
      <c r="T1360" s="6" t="str">
        <f t="array" ref="T1360">IF(
  B1360="",
  ,
  DATEDIF(
    B1360 + IF(INDEX(Input!$K$7:$K1503,ROW()-1),0,1),
    C1360 + IF(INDEX(Input!$L$7:$L1503,ROW()-1),1,0),
    "Y"
  )
)</f>
        <v/>
      </c>
      <c r="U1360" s="6" t="str">
        <f t="array" ref="U1360">IF(
  B1360="",
  ,
  (C1360 + IF(INDEX(Input!$L$7:$L1503,ROW()-1),1,0))
  - EDATE(
      B1360 + IF(INDEX(Input!$K$7:$K1503,ROW()-1),0,1),
      12*S1360
    )
)</f>
        <v/>
      </c>
      <c r="V1360" s="6" t="str">
        <f t="shared" si="5"/>
        <v/>
      </c>
      <c r="W1360" s="6" t="str">
        <f t="shared" si="6"/>
        <v/>
      </c>
    </row>
    <row r="1361">
      <c r="A1361" s="18"/>
      <c r="B1361" s="18"/>
      <c r="C1361" s="18"/>
      <c r="D1361" s="18"/>
      <c r="E1361" s="18"/>
      <c r="F1361" s="18"/>
      <c r="G1361" s="22"/>
      <c r="H1361" s="18"/>
      <c r="I1361" s="18"/>
      <c r="J1361" s="18"/>
      <c r="K1361" s="18"/>
      <c r="L1361" s="18"/>
      <c r="M1361" s="22"/>
      <c r="N1361" s="18"/>
      <c r="O1361" s="23"/>
      <c r="P1361" s="18"/>
      <c r="Q1361" s="18"/>
      <c r="R1361" s="18"/>
      <c r="S1361" s="22"/>
      <c r="T1361" s="6" t="str">
        <f t="array" ref="T1361">IF(
  B1361="",
  ,
  DATEDIF(
    B1361 + IF(INDEX(Input!$K$7:$K1503,ROW()-1),0,1),
    C1361 + IF(INDEX(Input!$L$7:$L1503,ROW()-1),1,0),
    "Y"
  )
)</f>
        <v/>
      </c>
      <c r="U1361" s="6" t="str">
        <f t="array" ref="U1361">IF(
  B1361="",
  ,
  (C1361 + IF(INDEX(Input!$L$7:$L1503,ROW()-1),1,0))
  - EDATE(
      B1361 + IF(INDEX(Input!$K$7:$K1503,ROW()-1),0,1),
      12*S1361
    )
)</f>
        <v/>
      </c>
      <c r="V1361" s="6" t="str">
        <f t="shared" si="5"/>
        <v/>
      </c>
      <c r="W1361" s="6" t="str">
        <f t="shared" si="6"/>
        <v/>
      </c>
    </row>
    <row r="1362">
      <c r="A1362" s="18"/>
      <c r="B1362" s="18"/>
      <c r="C1362" s="18"/>
      <c r="D1362" s="18"/>
      <c r="E1362" s="18"/>
      <c r="F1362" s="18"/>
      <c r="G1362" s="22"/>
      <c r="H1362" s="18"/>
      <c r="I1362" s="18"/>
      <c r="J1362" s="18"/>
      <c r="K1362" s="18"/>
      <c r="L1362" s="18"/>
      <c r="M1362" s="22"/>
      <c r="N1362" s="18"/>
      <c r="O1362" s="23"/>
      <c r="P1362" s="18"/>
      <c r="Q1362" s="18"/>
      <c r="R1362" s="18"/>
      <c r="S1362" s="22"/>
      <c r="T1362" s="6" t="str">
        <f t="array" ref="T1362">IF(
  B1362="",
  ,
  DATEDIF(
    B1362 + IF(INDEX(Input!$K$7:$K1503,ROW()-1),0,1),
    C1362 + IF(INDEX(Input!$L$7:$L1503,ROW()-1),1,0),
    "Y"
  )
)</f>
        <v/>
      </c>
      <c r="U1362" s="6" t="str">
        <f t="array" ref="U1362">IF(
  B1362="",
  ,
  (C1362 + IF(INDEX(Input!$L$7:$L1503,ROW()-1),1,0))
  - EDATE(
      B1362 + IF(INDEX(Input!$K$7:$K1503,ROW()-1),0,1),
      12*S1362
    )
)</f>
        <v/>
      </c>
      <c r="V1362" s="6" t="str">
        <f t="shared" si="5"/>
        <v/>
      </c>
      <c r="W1362" s="6" t="str">
        <f t="shared" si="6"/>
        <v/>
      </c>
    </row>
    <row r="1363">
      <c r="A1363" s="18"/>
      <c r="B1363" s="18"/>
      <c r="C1363" s="18"/>
      <c r="D1363" s="18"/>
      <c r="E1363" s="18"/>
      <c r="F1363" s="18"/>
      <c r="G1363" s="22"/>
      <c r="H1363" s="18"/>
      <c r="I1363" s="18"/>
      <c r="J1363" s="18"/>
      <c r="K1363" s="18"/>
      <c r="L1363" s="18"/>
      <c r="M1363" s="22"/>
      <c r="N1363" s="18"/>
      <c r="O1363" s="23"/>
      <c r="P1363" s="18"/>
      <c r="Q1363" s="18"/>
      <c r="R1363" s="18"/>
      <c r="S1363" s="22"/>
      <c r="T1363" s="6" t="str">
        <f t="array" ref="T1363">IF(
  B1363="",
  ,
  DATEDIF(
    B1363 + IF(INDEX(Input!$K$7:$K1503,ROW()-1),0,1),
    C1363 + IF(INDEX(Input!$L$7:$L1503,ROW()-1),1,0),
    "Y"
  )
)</f>
        <v/>
      </c>
      <c r="U1363" s="6" t="str">
        <f t="array" ref="U1363">IF(
  B1363="",
  ,
  (C1363 + IF(INDEX(Input!$L$7:$L1503,ROW()-1),1,0))
  - EDATE(
      B1363 + IF(INDEX(Input!$K$7:$K1503,ROW()-1),0,1),
      12*S1363
    )
)</f>
        <v/>
      </c>
      <c r="V1363" s="6" t="str">
        <f t="shared" si="5"/>
        <v/>
      </c>
      <c r="W1363" s="6" t="str">
        <f t="shared" si="6"/>
        <v/>
      </c>
    </row>
    <row r="1364">
      <c r="A1364" s="18"/>
      <c r="B1364" s="18"/>
      <c r="C1364" s="18"/>
      <c r="D1364" s="18"/>
      <c r="E1364" s="18"/>
      <c r="F1364" s="18"/>
      <c r="G1364" s="22"/>
      <c r="H1364" s="18"/>
      <c r="I1364" s="18"/>
      <c r="J1364" s="18"/>
      <c r="K1364" s="18"/>
      <c r="L1364" s="18"/>
      <c r="M1364" s="22"/>
      <c r="N1364" s="18"/>
      <c r="O1364" s="23"/>
      <c r="P1364" s="18"/>
      <c r="Q1364" s="18"/>
      <c r="R1364" s="18"/>
      <c r="S1364" s="22"/>
      <c r="T1364" s="6" t="str">
        <f t="array" ref="T1364">IF(
  B1364="",
  ,
  DATEDIF(
    B1364 + IF(INDEX(Input!$K$7:$K1503,ROW()-1),0,1),
    C1364 + IF(INDEX(Input!$L$7:$L1503,ROW()-1),1,0),
    "Y"
  )
)</f>
        <v/>
      </c>
      <c r="U1364" s="6" t="str">
        <f t="array" ref="U1364">IF(
  B1364="",
  ,
  (C1364 + IF(INDEX(Input!$L$7:$L1503,ROW()-1),1,0))
  - EDATE(
      B1364 + IF(INDEX(Input!$K$7:$K1503,ROW()-1),0,1),
      12*S1364
    )
)</f>
        <v/>
      </c>
      <c r="V1364" s="6" t="str">
        <f t="shared" si="5"/>
        <v/>
      </c>
      <c r="W1364" s="6" t="str">
        <f t="shared" si="6"/>
        <v/>
      </c>
    </row>
    <row r="1365">
      <c r="A1365" s="18"/>
      <c r="B1365" s="18"/>
      <c r="C1365" s="18"/>
      <c r="D1365" s="18"/>
      <c r="E1365" s="18"/>
      <c r="F1365" s="18"/>
      <c r="G1365" s="22"/>
      <c r="H1365" s="18"/>
      <c r="I1365" s="18"/>
      <c r="J1365" s="18"/>
      <c r="K1365" s="18"/>
      <c r="L1365" s="18"/>
      <c r="M1365" s="22"/>
      <c r="N1365" s="18"/>
      <c r="O1365" s="23"/>
      <c r="P1365" s="18"/>
      <c r="Q1365" s="18"/>
      <c r="R1365" s="18"/>
      <c r="S1365" s="22"/>
      <c r="T1365" s="6" t="str">
        <f t="array" ref="T1365">IF(
  B1365="",
  ,
  DATEDIF(
    B1365 + IF(INDEX(Input!$K$7:$K1503,ROW()-1),0,1),
    C1365 + IF(INDEX(Input!$L$7:$L1503,ROW()-1),1,0),
    "Y"
  )
)</f>
        <v/>
      </c>
      <c r="U1365" s="6" t="str">
        <f t="array" ref="U1365">IF(
  B1365="",
  ,
  (C1365 + IF(INDEX(Input!$L$7:$L1503,ROW()-1),1,0))
  - EDATE(
      B1365 + IF(INDEX(Input!$K$7:$K1503,ROW()-1),0,1),
      12*S1365
    )
)</f>
        <v/>
      </c>
      <c r="V1365" s="6" t="str">
        <f t="shared" si="5"/>
        <v/>
      </c>
      <c r="W1365" s="6" t="str">
        <f t="shared" si="6"/>
        <v/>
      </c>
    </row>
    <row r="1366">
      <c r="A1366" s="18"/>
      <c r="B1366" s="18"/>
      <c r="C1366" s="18"/>
      <c r="D1366" s="18"/>
      <c r="E1366" s="18"/>
      <c r="F1366" s="18"/>
      <c r="G1366" s="22"/>
      <c r="H1366" s="18"/>
      <c r="I1366" s="18"/>
      <c r="J1366" s="18"/>
      <c r="K1366" s="18"/>
      <c r="L1366" s="18"/>
      <c r="M1366" s="22"/>
      <c r="N1366" s="18"/>
      <c r="O1366" s="23"/>
      <c r="P1366" s="18"/>
      <c r="Q1366" s="18"/>
      <c r="R1366" s="18"/>
      <c r="S1366" s="22"/>
      <c r="T1366" s="6" t="str">
        <f t="array" ref="T1366">IF(
  B1366="",
  ,
  DATEDIF(
    B1366 + IF(INDEX(Input!$K$7:$K1503,ROW()-1),0,1),
    C1366 + IF(INDEX(Input!$L$7:$L1503,ROW()-1),1,0),
    "Y"
  )
)</f>
        <v/>
      </c>
      <c r="U1366" s="6" t="str">
        <f t="array" ref="U1366">IF(
  B1366="",
  ,
  (C1366 + IF(INDEX(Input!$L$7:$L1503,ROW()-1),1,0))
  - EDATE(
      B1366 + IF(INDEX(Input!$K$7:$K1503,ROW()-1),0,1),
      12*S1366
    )
)</f>
        <v/>
      </c>
      <c r="V1366" s="6" t="str">
        <f t="shared" si="5"/>
        <v/>
      </c>
      <c r="W1366" s="6" t="str">
        <f t="shared" si="6"/>
        <v/>
      </c>
    </row>
    <row r="1367">
      <c r="A1367" s="18"/>
      <c r="B1367" s="18"/>
      <c r="C1367" s="18"/>
      <c r="D1367" s="18"/>
      <c r="E1367" s="18"/>
      <c r="F1367" s="18"/>
      <c r="G1367" s="22"/>
      <c r="H1367" s="18"/>
      <c r="I1367" s="18"/>
      <c r="J1367" s="18"/>
      <c r="K1367" s="18"/>
      <c r="L1367" s="18"/>
      <c r="M1367" s="22"/>
      <c r="N1367" s="18"/>
      <c r="O1367" s="23"/>
      <c r="P1367" s="18"/>
      <c r="Q1367" s="18"/>
      <c r="R1367" s="18"/>
      <c r="S1367" s="22"/>
      <c r="T1367" s="6" t="str">
        <f t="array" ref="T1367">IF(
  B1367="",
  ,
  DATEDIF(
    B1367 + IF(INDEX(Input!$K$7:$K1503,ROW()-1),0,1),
    C1367 + IF(INDEX(Input!$L$7:$L1503,ROW()-1),1,0),
    "Y"
  )
)</f>
        <v/>
      </c>
      <c r="U1367" s="6" t="str">
        <f t="array" ref="U1367">IF(
  B1367="",
  ,
  (C1367 + IF(INDEX(Input!$L$7:$L1503,ROW()-1),1,0))
  - EDATE(
      B1367 + IF(INDEX(Input!$K$7:$K1503,ROW()-1),0,1),
      12*S1367
    )
)</f>
        <v/>
      </c>
      <c r="V1367" s="6" t="str">
        <f t="shared" si="5"/>
        <v/>
      </c>
      <c r="W1367" s="6" t="str">
        <f t="shared" si="6"/>
        <v/>
      </c>
    </row>
    <row r="1368">
      <c r="A1368" s="18"/>
      <c r="B1368" s="18"/>
      <c r="C1368" s="18"/>
      <c r="D1368" s="18"/>
      <c r="E1368" s="18"/>
      <c r="F1368" s="18"/>
      <c r="G1368" s="22"/>
      <c r="H1368" s="18"/>
      <c r="I1368" s="18"/>
      <c r="J1368" s="18"/>
      <c r="K1368" s="18"/>
      <c r="L1368" s="18"/>
      <c r="M1368" s="22"/>
      <c r="N1368" s="18"/>
      <c r="O1368" s="23"/>
      <c r="P1368" s="18"/>
      <c r="Q1368" s="18"/>
      <c r="R1368" s="18"/>
      <c r="S1368" s="22"/>
      <c r="T1368" s="6" t="str">
        <f t="array" ref="T1368">IF(
  B1368="",
  ,
  DATEDIF(
    B1368 + IF(INDEX(Input!$K$7:$K1503,ROW()-1),0,1),
    C1368 + IF(INDEX(Input!$L$7:$L1503,ROW()-1),1,0),
    "Y"
  )
)</f>
        <v/>
      </c>
      <c r="U1368" s="6" t="str">
        <f t="array" ref="U1368">IF(
  B1368="",
  ,
  (C1368 + IF(INDEX(Input!$L$7:$L1503,ROW()-1),1,0))
  - EDATE(
      B1368 + IF(INDEX(Input!$K$7:$K1503,ROW()-1),0,1),
      12*S1368
    )
)</f>
        <v/>
      </c>
      <c r="V1368" s="6" t="str">
        <f t="shared" si="5"/>
        <v/>
      </c>
      <c r="W1368" s="6" t="str">
        <f t="shared" si="6"/>
        <v/>
      </c>
    </row>
    <row r="1369">
      <c r="A1369" s="18"/>
      <c r="B1369" s="18"/>
      <c r="C1369" s="18"/>
      <c r="D1369" s="18"/>
      <c r="E1369" s="18"/>
      <c r="F1369" s="18"/>
      <c r="G1369" s="22"/>
      <c r="H1369" s="18"/>
      <c r="I1369" s="18"/>
      <c r="J1369" s="18"/>
      <c r="K1369" s="18"/>
      <c r="L1369" s="18"/>
      <c r="M1369" s="22"/>
      <c r="N1369" s="18"/>
      <c r="O1369" s="23"/>
      <c r="P1369" s="18"/>
      <c r="Q1369" s="18"/>
      <c r="R1369" s="18"/>
      <c r="S1369" s="22"/>
      <c r="T1369" s="6" t="str">
        <f t="array" ref="T1369">IF(
  B1369="",
  ,
  DATEDIF(
    B1369 + IF(INDEX(Input!$K$7:$K1503,ROW()-1),0,1),
    C1369 + IF(INDEX(Input!$L$7:$L1503,ROW()-1),1,0),
    "Y"
  )
)</f>
        <v/>
      </c>
      <c r="U1369" s="6" t="str">
        <f t="array" ref="U1369">IF(
  B1369="",
  ,
  (C1369 + IF(INDEX(Input!$L$7:$L1503,ROW()-1),1,0))
  - EDATE(
      B1369 + IF(INDEX(Input!$K$7:$K1503,ROW()-1),0,1),
      12*S1369
    )
)</f>
        <v/>
      </c>
      <c r="V1369" s="6" t="str">
        <f t="shared" si="5"/>
        <v/>
      </c>
      <c r="W1369" s="6" t="str">
        <f t="shared" si="6"/>
        <v/>
      </c>
    </row>
    <row r="1370">
      <c r="A1370" s="18"/>
      <c r="B1370" s="18"/>
      <c r="C1370" s="18"/>
      <c r="D1370" s="18"/>
      <c r="E1370" s="18"/>
      <c r="F1370" s="18"/>
      <c r="G1370" s="22"/>
      <c r="H1370" s="18"/>
      <c r="I1370" s="18"/>
      <c r="J1370" s="18"/>
      <c r="K1370" s="18"/>
      <c r="L1370" s="18"/>
      <c r="M1370" s="22"/>
      <c r="N1370" s="18"/>
      <c r="O1370" s="23"/>
      <c r="P1370" s="18"/>
      <c r="Q1370" s="18"/>
      <c r="R1370" s="18"/>
      <c r="S1370" s="22"/>
      <c r="T1370" s="6" t="str">
        <f t="array" ref="T1370">IF(
  B1370="",
  ,
  DATEDIF(
    B1370 + IF(INDEX(Input!$K$7:$K1503,ROW()-1),0,1),
    C1370 + IF(INDEX(Input!$L$7:$L1503,ROW()-1),1,0),
    "Y"
  )
)</f>
        <v/>
      </c>
      <c r="U1370" s="6" t="str">
        <f t="array" ref="U1370">IF(
  B1370="",
  ,
  (C1370 + IF(INDEX(Input!$L$7:$L1503,ROW()-1),1,0))
  - EDATE(
      B1370 + IF(INDEX(Input!$K$7:$K1503,ROW()-1),0,1),
      12*S1370
    )
)</f>
        <v/>
      </c>
      <c r="V1370" s="6" t="str">
        <f t="shared" si="5"/>
        <v/>
      </c>
      <c r="W1370" s="6" t="str">
        <f t="shared" si="6"/>
        <v/>
      </c>
    </row>
    <row r="1371">
      <c r="A1371" s="18"/>
      <c r="B1371" s="18"/>
      <c r="C1371" s="18"/>
      <c r="D1371" s="18"/>
      <c r="E1371" s="18"/>
      <c r="F1371" s="18"/>
      <c r="G1371" s="22"/>
      <c r="H1371" s="18"/>
      <c r="I1371" s="18"/>
      <c r="J1371" s="18"/>
      <c r="K1371" s="18"/>
      <c r="L1371" s="18"/>
      <c r="M1371" s="22"/>
      <c r="N1371" s="18"/>
      <c r="O1371" s="23"/>
      <c r="P1371" s="18"/>
      <c r="Q1371" s="18"/>
      <c r="R1371" s="18"/>
      <c r="S1371" s="22"/>
      <c r="T1371" s="6" t="str">
        <f t="array" ref="T1371">IF(
  B1371="",
  ,
  DATEDIF(
    B1371 + IF(INDEX(Input!$K$7:$K1503,ROW()-1),0,1),
    C1371 + IF(INDEX(Input!$L$7:$L1503,ROW()-1),1,0),
    "Y"
  )
)</f>
        <v/>
      </c>
      <c r="U1371" s="6" t="str">
        <f t="array" ref="U1371">IF(
  B1371="",
  ,
  (C1371 + IF(INDEX(Input!$L$7:$L1503,ROW()-1),1,0))
  - EDATE(
      B1371 + IF(INDEX(Input!$K$7:$K1503,ROW()-1),0,1),
      12*S1371
    )
)</f>
        <v/>
      </c>
      <c r="V1371" s="6" t="str">
        <f t="shared" si="5"/>
        <v/>
      </c>
      <c r="W1371" s="6" t="str">
        <f t="shared" si="6"/>
        <v/>
      </c>
    </row>
    <row r="1372">
      <c r="A1372" s="18"/>
      <c r="B1372" s="18"/>
      <c r="C1372" s="18"/>
      <c r="D1372" s="18"/>
      <c r="E1372" s="18"/>
      <c r="F1372" s="18"/>
      <c r="G1372" s="22"/>
      <c r="H1372" s="18"/>
      <c r="I1372" s="18"/>
      <c r="J1372" s="18"/>
      <c r="K1372" s="18"/>
      <c r="L1372" s="18"/>
      <c r="M1372" s="22"/>
      <c r="N1372" s="18"/>
      <c r="O1372" s="23"/>
      <c r="P1372" s="18"/>
      <c r="Q1372" s="18"/>
      <c r="R1372" s="18"/>
      <c r="S1372" s="22"/>
      <c r="T1372" s="6" t="str">
        <f t="array" ref="T1372">IF(
  B1372="",
  ,
  DATEDIF(
    B1372 + IF(INDEX(Input!$K$7:$K1503,ROW()-1),0,1),
    C1372 + IF(INDEX(Input!$L$7:$L1503,ROW()-1),1,0),
    "Y"
  )
)</f>
        <v/>
      </c>
      <c r="U1372" s="6" t="str">
        <f t="array" ref="U1372">IF(
  B1372="",
  ,
  (C1372 + IF(INDEX(Input!$L$7:$L1503,ROW()-1),1,0))
  - EDATE(
      B1372 + IF(INDEX(Input!$K$7:$K1503,ROW()-1),0,1),
      12*S1372
    )
)</f>
        <v/>
      </c>
      <c r="V1372" s="6" t="str">
        <f t="shared" si="5"/>
        <v/>
      </c>
      <c r="W1372" s="6" t="str">
        <f t="shared" si="6"/>
        <v/>
      </c>
    </row>
    <row r="1373">
      <c r="A1373" s="18"/>
      <c r="B1373" s="18"/>
      <c r="C1373" s="18"/>
      <c r="D1373" s="18"/>
      <c r="E1373" s="18"/>
      <c r="F1373" s="18"/>
      <c r="G1373" s="22"/>
      <c r="H1373" s="18"/>
      <c r="I1373" s="18"/>
      <c r="J1373" s="18"/>
      <c r="K1373" s="18"/>
      <c r="L1373" s="18"/>
      <c r="M1373" s="22"/>
      <c r="N1373" s="18"/>
      <c r="O1373" s="23"/>
      <c r="P1373" s="18"/>
      <c r="Q1373" s="18"/>
      <c r="R1373" s="18"/>
      <c r="S1373" s="22"/>
      <c r="T1373" s="6" t="str">
        <f t="array" ref="T1373">IF(
  B1373="",
  ,
  DATEDIF(
    B1373 + IF(INDEX(Input!$K$7:$K1503,ROW()-1),0,1),
    C1373 + IF(INDEX(Input!$L$7:$L1503,ROW()-1),1,0),
    "Y"
  )
)</f>
        <v/>
      </c>
      <c r="U1373" s="6" t="str">
        <f t="array" ref="U1373">IF(
  B1373="",
  ,
  (C1373 + IF(INDEX(Input!$L$7:$L1503,ROW()-1),1,0))
  - EDATE(
      B1373 + IF(INDEX(Input!$K$7:$K1503,ROW()-1),0,1),
      12*S1373
    )
)</f>
        <v/>
      </c>
      <c r="V1373" s="6" t="str">
        <f t="shared" si="5"/>
        <v/>
      </c>
      <c r="W1373" s="6" t="str">
        <f t="shared" si="6"/>
        <v/>
      </c>
    </row>
    <row r="1374">
      <c r="A1374" s="18"/>
      <c r="B1374" s="18"/>
      <c r="C1374" s="18"/>
      <c r="D1374" s="18"/>
      <c r="E1374" s="18"/>
      <c r="F1374" s="18"/>
      <c r="G1374" s="22"/>
      <c r="H1374" s="18"/>
      <c r="I1374" s="18"/>
      <c r="J1374" s="18"/>
      <c r="K1374" s="18"/>
      <c r="L1374" s="18"/>
      <c r="M1374" s="22"/>
      <c r="N1374" s="18"/>
      <c r="O1374" s="23"/>
      <c r="P1374" s="18"/>
      <c r="Q1374" s="18"/>
      <c r="R1374" s="18"/>
      <c r="S1374" s="22"/>
      <c r="T1374" s="6" t="str">
        <f t="array" ref="T1374">IF(
  B1374="",
  ,
  DATEDIF(
    B1374 + IF(INDEX(Input!$K$7:$K1503,ROW()-1),0,1),
    C1374 + IF(INDEX(Input!$L$7:$L1503,ROW()-1),1,0),
    "Y"
  )
)</f>
        <v/>
      </c>
      <c r="U1374" s="6" t="str">
        <f t="array" ref="U1374">IF(
  B1374="",
  ,
  (C1374 + IF(INDEX(Input!$L$7:$L1503,ROW()-1),1,0))
  - EDATE(
      B1374 + IF(INDEX(Input!$K$7:$K1503,ROW()-1),0,1),
      12*S1374
    )
)</f>
        <v/>
      </c>
      <c r="V1374" s="6" t="str">
        <f t="shared" si="5"/>
        <v/>
      </c>
      <c r="W1374" s="6" t="str">
        <f t="shared" si="6"/>
        <v/>
      </c>
    </row>
    <row r="1375">
      <c r="A1375" s="18"/>
      <c r="B1375" s="18"/>
      <c r="C1375" s="18"/>
      <c r="D1375" s="18"/>
      <c r="E1375" s="18"/>
      <c r="F1375" s="18"/>
      <c r="G1375" s="22"/>
      <c r="H1375" s="18"/>
      <c r="I1375" s="18"/>
      <c r="J1375" s="18"/>
      <c r="K1375" s="18"/>
      <c r="L1375" s="18"/>
      <c r="M1375" s="22"/>
      <c r="N1375" s="18"/>
      <c r="O1375" s="23"/>
      <c r="P1375" s="18"/>
      <c r="Q1375" s="18"/>
      <c r="R1375" s="18"/>
      <c r="S1375" s="22"/>
      <c r="T1375" s="6" t="str">
        <f t="array" ref="T1375">IF(
  B1375="",
  ,
  DATEDIF(
    B1375 + IF(INDEX(Input!$K$7:$K1503,ROW()-1),0,1),
    C1375 + IF(INDEX(Input!$L$7:$L1503,ROW()-1),1,0),
    "Y"
  )
)</f>
        <v/>
      </c>
      <c r="U1375" s="6" t="str">
        <f t="array" ref="U1375">IF(
  B1375="",
  ,
  (C1375 + IF(INDEX(Input!$L$7:$L1503,ROW()-1),1,0))
  - EDATE(
      B1375 + IF(INDEX(Input!$K$7:$K1503,ROW()-1),0,1),
      12*S1375
    )
)</f>
        <v/>
      </c>
      <c r="V1375" s="6" t="str">
        <f t="shared" si="5"/>
        <v/>
      </c>
      <c r="W1375" s="6" t="str">
        <f t="shared" si="6"/>
        <v/>
      </c>
    </row>
    <row r="1376">
      <c r="A1376" s="18"/>
      <c r="B1376" s="18"/>
      <c r="C1376" s="18"/>
      <c r="D1376" s="18"/>
      <c r="E1376" s="18"/>
      <c r="F1376" s="18"/>
      <c r="G1376" s="22"/>
      <c r="H1376" s="18"/>
      <c r="I1376" s="18"/>
      <c r="J1376" s="18"/>
      <c r="K1376" s="18"/>
      <c r="L1376" s="18"/>
      <c r="M1376" s="22"/>
      <c r="N1376" s="18"/>
      <c r="O1376" s="23"/>
      <c r="P1376" s="18"/>
      <c r="Q1376" s="18"/>
      <c r="R1376" s="18"/>
      <c r="S1376" s="22"/>
      <c r="T1376" s="6" t="str">
        <f t="array" ref="T1376">IF(
  B1376="",
  ,
  DATEDIF(
    B1376 + IF(INDEX(Input!$K$7:$K1503,ROW()-1),0,1),
    C1376 + IF(INDEX(Input!$L$7:$L1503,ROW()-1),1,0),
    "Y"
  )
)</f>
        <v/>
      </c>
      <c r="U1376" s="6" t="str">
        <f t="array" ref="U1376">IF(
  B1376="",
  ,
  (C1376 + IF(INDEX(Input!$L$7:$L1503,ROW()-1),1,0))
  - EDATE(
      B1376 + IF(INDEX(Input!$K$7:$K1503,ROW()-1),0,1),
      12*S1376
    )
)</f>
        <v/>
      </c>
      <c r="V1376" s="6" t="str">
        <f t="shared" si="5"/>
        <v/>
      </c>
      <c r="W1376" s="6" t="str">
        <f t="shared" si="6"/>
        <v/>
      </c>
    </row>
    <row r="1377">
      <c r="A1377" s="18"/>
      <c r="B1377" s="18"/>
      <c r="C1377" s="18"/>
      <c r="D1377" s="18"/>
      <c r="E1377" s="18"/>
      <c r="F1377" s="18"/>
      <c r="G1377" s="22"/>
      <c r="H1377" s="18"/>
      <c r="I1377" s="18"/>
      <c r="J1377" s="18"/>
      <c r="K1377" s="18"/>
      <c r="L1377" s="18"/>
      <c r="M1377" s="22"/>
      <c r="N1377" s="18"/>
      <c r="O1377" s="23"/>
      <c r="P1377" s="18"/>
      <c r="Q1377" s="18"/>
      <c r="R1377" s="18"/>
      <c r="S1377" s="22"/>
      <c r="T1377" s="6" t="str">
        <f t="array" ref="T1377">IF(
  B1377="",
  ,
  DATEDIF(
    B1377 + IF(INDEX(Input!$K$7:$K1503,ROW()-1),0,1),
    C1377 + IF(INDEX(Input!$L$7:$L1503,ROW()-1),1,0),
    "Y"
  )
)</f>
        <v/>
      </c>
      <c r="U1377" s="6" t="str">
        <f t="array" ref="U1377">IF(
  B1377="",
  ,
  (C1377 + IF(INDEX(Input!$L$7:$L1503,ROW()-1),1,0))
  - EDATE(
      B1377 + IF(INDEX(Input!$K$7:$K1503,ROW()-1),0,1),
      12*S1377
    )
)</f>
        <v/>
      </c>
      <c r="V1377" s="6" t="str">
        <f t="shared" si="5"/>
        <v/>
      </c>
      <c r="W1377" s="6" t="str">
        <f t="shared" si="6"/>
        <v/>
      </c>
    </row>
    <row r="1378">
      <c r="A1378" s="18"/>
      <c r="B1378" s="18"/>
      <c r="C1378" s="18"/>
      <c r="D1378" s="18"/>
      <c r="E1378" s="18"/>
      <c r="F1378" s="18"/>
      <c r="G1378" s="22"/>
      <c r="H1378" s="18"/>
      <c r="I1378" s="18"/>
      <c r="J1378" s="18"/>
      <c r="K1378" s="18"/>
      <c r="L1378" s="18"/>
      <c r="M1378" s="22"/>
      <c r="N1378" s="18"/>
      <c r="O1378" s="23"/>
      <c r="P1378" s="18"/>
      <c r="Q1378" s="18"/>
      <c r="R1378" s="18"/>
      <c r="S1378" s="22"/>
      <c r="T1378" s="6" t="str">
        <f t="array" ref="T1378">IF(
  B1378="",
  ,
  DATEDIF(
    B1378 + IF(INDEX(Input!$K$7:$K1503,ROW()-1),0,1),
    C1378 + IF(INDEX(Input!$L$7:$L1503,ROW()-1),1,0),
    "Y"
  )
)</f>
        <v/>
      </c>
      <c r="U1378" s="6" t="str">
        <f t="array" ref="U1378">IF(
  B1378="",
  ,
  (C1378 + IF(INDEX(Input!$L$7:$L1503,ROW()-1),1,0))
  - EDATE(
      B1378 + IF(INDEX(Input!$K$7:$K1503,ROW()-1),0,1),
      12*S1378
    )
)</f>
        <v/>
      </c>
      <c r="V1378" s="6" t="str">
        <f t="shared" si="5"/>
        <v/>
      </c>
      <c r="W1378" s="6" t="str">
        <f t="shared" si="6"/>
        <v/>
      </c>
    </row>
    <row r="1379">
      <c r="A1379" s="18"/>
      <c r="B1379" s="18"/>
      <c r="C1379" s="18"/>
      <c r="D1379" s="18"/>
      <c r="E1379" s="18"/>
      <c r="F1379" s="18"/>
      <c r="G1379" s="22"/>
      <c r="H1379" s="18"/>
      <c r="I1379" s="18"/>
      <c r="J1379" s="18"/>
      <c r="K1379" s="18"/>
      <c r="L1379" s="18"/>
      <c r="M1379" s="22"/>
      <c r="N1379" s="18"/>
      <c r="O1379" s="23"/>
      <c r="P1379" s="18"/>
      <c r="Q1379" s="18"/>
      <c r="R1379" s="18"/>
      <c r="S1379" s="22"/>
      <c r="T1379" s="6" t="str">
        <f t="array" ref="T1379">IF(
  B1379="",
  ,
  DATEDIF(
    B1379 + IF(INDEX(Input!$K$7:$K1503,ROW()-1),0,1),
    C1379 + IF(INDEX(Input!$L$7:$L1503,ROW()-1),1,0),
    "Y"
  )
)</f>
        <v/>
      </c>
      <c r="U1379" s="6" t="str">
        <f t="array" ref="U1379">IF(
  B1379="",
  ,
  (C1379 + IF(INDEX(Input!$L$7:$L1503,ROW()-1),1,0))
  - EDATE(
      B1379 + IF(INDEX(Input!$K$7:$K1503,ROW()-1),0,1),
      12*S1379
    )
)</f>
        <v/>
      </c>
      <c r="V1379" s="6" t="str">
        <f t="shared" si="5"/>
        <v/>
      </c>
      <c r="W1379" s="6" t="str">
        <f t="shared" si="6"/>
        <v/>
      </c>
    </row>
    <row r="1380">
      <c r="A1380" s="18"/>
      <c r="B1380" s="18"/>
      <c r="C1380" s="18"/>
      <c r="D1380" s="18"/>
      <c r="E1380" s="18"/>
      <c r="F1380" s="18"/>
      <c r="G1380" s="22"/>
      <c r="H1380" s="18"/>
      <c r="I1380" s="18"/>
      <c r="J1380" s="18"/>
      <c r="K1380" s="18"/>
      <c r="L1380" s="18"/>
      <c r="M1380" s="22"/>
      <c r="N1380" s="18"/>
      <c r="O1380" s="23"/>
      <c r="P1380" s="18"/>
      <c r="Q1380" s="18"/>
      <c r="R1380" s="18"/>
      <c r="S1380" s="22"/>
      <c r="T1380" s="6" t="str">
        <f t="array" ref="T1380">IF(
  B1380="",
  ,
  DATEDIF(
    B1380 + IF(INDEX(Input!$K$7:$K1503,ROW()-1),0,1),
    C1380 + IF(INDEX(Input!$L$7:$L1503,ROW()-1),1,0),
    "Y"
  )
)</f>
        <v/>
      </c>
      <c r="U1380" s="6" t="str">
        <f t="array" ref="U1380">IF(
  B1380="",
  ,
  (C1380 + IF(INDEX(Input!$L$7:$L1503,ROW()-1),1,0))
  - EDATE(
      B1380 + IF(INDEX(Input!$K$7:$K1503,ROW()-1),0,1),
      12*S1380
    )
)</f>
        <v/>
      </c>
      <c r="V1380" s="6" t="str">
        <f t="shared" si="5"/>
        <v/>
      </c>
      <c r="W1380" s="6" t="str">
        <f t="shared" si="6"/>
        <v/>
      </c>
    </row>
    <row r="1381">
      <c r="A1381" s="18"/>
      <c r="B1381" s="18"/>
      <c r="C1381" s="18"/>
      <c r="D1381" s="18"/>
      <c r="E1381" s="18"/>
      <c r="F1381" s="18"/>
      <c r="G1381" s="22"/>
      <c r="H1381" s="18"/>
      <c r="I1381" s="18"/>
      <c r="J1381" s="18"/>
      <c r="K1381" s="18"/>
      <c r="L1381" s="18"/>
      <c r="M1381" s="22"/>
      <c r="N1381" s="18"/>
      <c r="O1381" s="23"/>
      <c r="P1381" s="18"/>
      <c r="Q1381" s="18"/>
      <c r="R1381" s="18"/>
      <c r="S1381" s="22"/>
      <c r="T1381" s="6" t="str">
        <f t="array" ref="T1381">IF(
  B1381="",
  ,
  DATEDIF(
    B1381 + IF(INDEX(Input!$K$7:$K1503,ROW()-1),0,1),
    C1381 + IF(INDEX(Input!$L$7:$L1503,ROW()-1),1,0),
    "Y"
  )
)</f>
        <v/>
      </c>
      <c r="U1381" s="6" t="str">
        <f t="array" ref="U1381">IF(
  B1381="",
  ,
  (C1381 + IF(INDEX(Input!$L$7:$L1503,ROW()-1),1,0))
  - EDATE(
      B1381 + IF(INDEX(Input!$K$7:$K1503,ROW()-1),0,1),
      12*S1381
    )
)</f>
        <v/>
      </c>
      <c r="V1381" s="6" t="str">
        <f t="shared" si="5"/>
        <v/>
      </c>
      <c r="W1381" s="6" t="str">
        <f t="shared" si="6"/>
        <v/>
      </c>
    </row>
    <row r="1382">
      <c r="A1382" s="18"/>
      <c r="B1382" s="18"/>
      <c r="C1382" s="18"/>
      <c r="D1382" s="18"/>
      <c r="E1382" s="18"/>
      <c r="F1382" s="18"/>
      <c r="G1382" s="22"/>
      <c r="H1382" s="18"/>
      <c r="I1382" s="18"/>
      <c r="J1382" s="18"/>
      <c r="K1382" s="18"/>
      <c r="L1382" s="18"/>
      <c r="M1382" s="22"/>
      <c r="N1382" s="18"/>
      <c r="O1382" s="23"/>
      <c r="P1382" s="18"/>
      <c r="Q1382" s="18"/>
      <c r="R1382" s="18"/>
      <c r="S1382" s="22"/>
      <c r="T1382" s="6" t="str">
        <f t="array" ref="T1382">IF(
  B1382="",
  ,
  DATEDIF(
    B1382 + IF(INDEX(Input!$K$7:$K1503,ROW()-1),0,1),
    C1382 + IF(INDEX(Input!$L$7:$L1503,ROW()-1),1,0),
    "Y"
  )
)</f>
        <v/>
      </c>
      <c r="U1382" s="6" t="str">
        <f t="array" ref="U1382">IF(
  B1382="",
  ,
  (C1382 + IF(INDEX(Input!$L$7:$L1503,ROW()-1),1,0))
  - EDATE(
      B1382 + IF(INDEX(Input!$K$7:$K1503,ROW()-1),0,1),
      12*S1382
    )
)</f>
        <v/>
      </c>
      <c r="V1382" s="6" t="str">
        <f t="shared" si="5"/>
        <v/>
      </c>
      <c r="W1382" s="6" t="str">
        <f t="shared" si="6"/>
        <v/>
      </c>
    </row>
    <row r="1383">
      <c r="A1383" s="18"/>
      <c r="B1383" s="18"/>
      <c r="C1383" s="18"/>
      <c r="D1383" s="18"/>
      <c r="E1383" s="18"/>
      <c r="F1383" s="18"/>
      <c r="G1383" s="22"/>
      <c r="H1383" s="18"/>
      <c r="I1383" s="18"/>
      <c r="J1383" s="18"/>
      <c r="K1383" s="18"/>
      <c r="L1383" s="18"/>
      <c r="M1383" s="22"/>
      <c r="N1383" s="18"/>
      <c r="O1383" s="23"/>
      <c r="P1383" s="18"/>
      <c r="Q1383" s="18"/>
      <c r="R1383" s="18"/>
      <c r="S1383" s="22"/>
      <c r="T1383" s="6" t="str">
        <f t="array" ref="T1383">IF(
  B1383="",
  ,
  DATEDIF(
    B1383 + IF(INDEX(Input!$K$7:$K1503,ROW()-1),0,1),
    C1383 + IF(INDEX(Input!$L$7:$L1503,ROW()-1),1,0),
    "Y"
  )
)</f>
        <v/>
      </c>
      <c r="U1383" s="6" t="str">
        <f t="array" ref="U1383">IF(
  B1383="",
  ,
  (C1383 + IF(INDEX(Input!$L$7:$L1503,ROW()-1),1,0))
  - EDATE(
      B1383 + IF(INDEX(Input!$K$7:$K1503,ROW()-1),0,1),
      12*S1383
    )
)</f>
        <v/>
      </c>
      <c r="V1383" s="6" t="str">
        <f t="shared" si="5"/>
        <v/>
      </c>
      <c r="W1383" s="6" t="str">
        <f t="shared" si="6"/>
        <v/>
      </c>
    </row>
    <row r="1384">
      <c r="A1384" s="18"/>
      <c r="B1384" s="18"/>
      <c r="C1384" s="18"/>
      <c r="D1384" s="18"/>
      <c r="E1384" s="18"/>
      <c r="F1384" s="18"/>
      <c r="G1384" s="22"/>
      <c r="H1384" s="18"/>
      <c r="I1384" s="18"/>
      <c r="J1384" s="18"/>
      <c r="K1384" s="18"/>
      <c r="L1384" s="18"/>
      <c r="M1384" s="22"/>
      <c r="N1384" s="18"/>
      <c r="O1384" s="23"/>
      <c r="P1384" s="18"/>
      <c r="Q1384" s="18"/>
      <c r="R1384" s="18"/>
      <c r="S1384" s="22"/>
      <c r="T1384" s="6" t="str">
        <f t="array" ref="T1384">IF(
  B1384="",
  ,
  DATEDIF(
    B1384 + IF(INDEX(Input!$K$7:$K1503,ROW()-1),0,1),
    C1384 + IF(INDEX(Input!$L$7:$L1503,ROW()-1),1,0),
    "Y"
  )
)</f>
        <v/>
      </c>
      <c r="U1384" s="6" t="str">
        <f t="array" ref="U1384">IF(
  B1384="",
  ,
  (C1384 + IF(INDEX(Input!$L$7:$L1503,ROW()-1),1,0))
  - EDATE(
      B1384 + IF(INDEX(Input!$K$7:$K1503,ROW()-1),0,1),
      12*S1384
    )
)</f>
        <v/>
      </c>
      <c r="V1384" s="6" t="str">
        <f t="shared" si="5"/>
        <v/>
      </c>
      <c r="W1384" s="6" t="str">
        <f t="shared" si="6"/>
        <v/>
      </c>
    </row>
    <row r="1385">
      <c r="A1385" s="18"/>
      <c r="B1385" s="18"/>
      <c r="C1385" s="18"/>
      <c r="D1385" s="18"/>
      <c r="E1385" s="18"/>
      <c r="F1385" s="18"/>
      <c r="G1385" s="22"/>
      <c r="H1385" s="18"/>
      <c r="I1385" s="18"/>
      <c r="J1385" s="18"/>
      <c r="K1385" s="18"/>
      <c r="L1385" s="18"/>
      <c r="M1385" s="22"/>
      <c r="N1385" s="18"/>
      <c r="O1385" s="23"/>
      <c r="P1385" s="18"/>
      <c r="Q1385" s="18"/>
      <c r="R1385" s="18"/>
      <c r="S1385" s="22"/>
      <c r="T1385" s="6" t="str">
        <f t="array" ref="T1385">IF(
  B1385="",
  ,
  DATEDIF(
    B1385 + IF(INDEX(Input!$K$7:$K1503,ROW()-1),0,1),
    C1385 + IF(INDEX(Input!$L$7:$L1503,ROW()-1),1,0),
    "Y"
  )
)</f>
        <v/>
      </c>
      <c r="U1385" s="6" t="str">
        <f t="array" ref="U1385">IF(
  B1385="",
  ,
  (C1385 + IF(INDEX(Input!$L$7:$L1503,ROW()-1),1,0))
  - EDATE(
      B1385 + IF(INDEX(Input!$K$7:$K1503,ROW()-1),0,1),
      12*S1385
    )
)</f>
        <v/>
      </c>
      <c r="V1385" s="6" t="str">
        <f t="shared" si="5"/>
        <v/>
      </c>
      <c r="W1385" s="6" t="str">
        <f t="shared" si="6"/>
        <v/>
      </c>
    </row>
    <row r="1386">
      <c r="A1386" s="18"/>
      <c r="B1386" s="18"/>
      <c r="C1386" s="18"/>
      <c r="D1386" s="18"/>
      <c r="E1386" s="18"/>
      <c r="F1386" s="18"/>
      <c r="G1386" s="22"/>
      <c r="H1386" s="18"/>
      <c r="I1386" s="18"/>
      <c r="J1386" s="18"/>
      <c r="K1386" s="18"/>
      <c r="L1386" s="18"/>
      <c r="M1386" s="22"/>
      <c r="N1386" s="18"/>
      <c r="O1386" s="23"/>
      <c r="P1386" s="18"/>
      <c r="Q1386" s="18"/>
      <c r="R1386" s="18"/>
      <c r="S1386" s="22"/>
      <c r="T1386" s="6" t="str">
        <f t="array" ref="T1386">IF(
  B1386="",
  ,
  DATEDIF(
    B1386 + IF(INDEX(Input!$K$7:$K1503,ROW()-1),0,1),
    C1386 + IF(INDEX(Input!$L$7:$L1503,ROW()-1),1,0),
    "Y"
  )
)</f>
        <v/>
      </c>
      <c r="U1386" s="6" t="str">
        <f t="array" ref="U1386">IF(
  B1386="",
  ,
  (C1386 + IF(INDEX(Input!$L$7:$L1503,ROW()-1),1,0))
  - EDATE(
      B1386 + IF(INDEX(Input!$K$7:$K1503,ROW()-1),0,1),
      12*S1386
    )
)</f>
        <v/>
      </c>
      <c r="V1386" s="6" t="str">
        <f t="shared" si="5"/>
        <v/>
      </c>
      <c r="W1386" s="6" t="str">
        <f t="shared" si="6"/>
        <v/>
      </c>
    </row>
    <row r="1387">
      <c r="A1387" s="18"/>
      <c r="B1387" s="18"/>
      <c r="C1387" s="18"/>
      <c r="D1387" s="18"/>
      <c r="E1387" s="18"/>
      <c r="F1387" s="18"/>
      <c r="G1387" s="22"/>
      <c r="H1387" s="18"/>
      <c r="I1387" s="18"/>
      <c r="J1387" s="18"/>
      <c r="K1387" s="18"/>
      <c r="L1387" s="18"/>
      <c r="M1387" s="22"/>
      <c r="N1387" s="18"/>
      <c r="O1387" s="23"/>
      <c r="P1387" s="18"/>
      <c r="Q1387" s="18"/>
      <c r="R1387" s="18"/>
      <c r="S1387" s="22"/>
      <c r="T1387" s="6" t="str">
        <f t="array" ref="T1387">IF(
  B1387="",
  ,
  DATEDIF(
    B1387 + IF(INDEX(Input!$K$7:$K1503,ROW()-1),0,1),
    C1387 + IF(INDEX(Input!$L$7:$L1503,ROW()-1),1,0),
    "Y"
  )
)</f>
        <v/>
      </c>
      <c r="U1387" s="6" t="str">
        <f t="array" ref="U1387">IF(
  B1387="",
  ,
  (C1387 + IF(INDEX(Input!$L$7:$L1503,ROW()-1),1,0))
  - EDATE(
      B1387 + IF(INDEX(Input!$K$7:$K1503,ROW()-1),0,1),
      12*S1387
    )
)</f>
        <v/>
      </c>
      <c r="V1387" s="6" t="str">
        <f t="shared" si="5"/>
        <v/>
      </c>
      <c r="W1387" s="6" t="str">
        <f t="shared" si="6"/>
        <v/>
      </c>
    </row>
    <row r="1388">
      <c r="A1388" s="18"/>
      <c r="B1388" s="18"/>
      <c r="C1388" s="18"/>
      <c r="D1388" s="18"/>
      <c r="E1388" s="18"/>
      <c r="F1388" s="18"/>
      <c r="G1388" s="22"/>
      <c r="H1388" s="18"/>
      <c r="I1388" s="18"/>
      <c r="J1388" s="18"/>
      <c r="K1388" s="18"/>
      <c r="L1388" s="18"/>
      <c r="M1388" s="22"/>
      <c r="N1388" s="18"/>
      <c r="O1388" s="23"/>
      <c r="P1388" s="18"/>
      <c r="Q1388" s="18"/>
      <c r="R1388" s="18"/>
      <c r="S1388" s="22"/>
      <c r="T1388" s="6" t="str">
        <f t="array" ref="T1388">IF(
  B1388="",
  ,
  DATEDIF(
    B1388 + IF(INDEX(Input!$K$7:$K1503,ROW()-1),0,1),
    C1388 + IF(INDEX(Input!$L$7:$L1503,ROW()-1),1,0),
    "Y"
  )
)</f>
        <v/>
      </c>
      <c r="U1388" s="6" t="str">
        <f t="array" ref="U1388">IF(
  B1388="",
  ,
  (C1388 + IF(INDEX(Input!$L$7:$L1503,ROW()-1),1,0))
  - EDATE(
      B1388 + IF(INDEX(Input!$K$7:$K1503,ROW()-1),0,1),
      12*S1388
    )
)</f>
        <v/>
      </c>
      <c r="V1388" s="6" t="str">
        <f t="shared" si="5"/>
        <v/>
      </c>
      <c r="W1388" s="6" t="str">
        <f t="shared" si="6"/>
        <v/>
      </c>
    </row>
    <row r="1389">
      <c r="A1389" s="18"/>
      <c r="B1389" s="18"/>
      <c r="C1389" s="18"/>
      <c r="D1389" s="18"/>
      <c r="E1389" s="18"/>
      <c r="F1389" s="18"/>
      <c r="G1389" s="22"/>
      <c r="H1389" s="18"/>
      <c r="I1389" s="18"/>
      <c r="J1389" s="18"/>
      <c r="K1389" s="18"/>
      <c r="L1389" s="18"/>
      <c r="M1389" s="22"/>
      <c r="N1389" s="18"/>
      <c r="O1389" s="23"/>
      <c r="P1389" s="18"/>
      <c r="Q1389" s="18"/>
      <c r="R1389" s="18"/>
      <c r="S1389" s="22"/>
      <c r="T1389" s="6" t="str">
        <f t="array" ref="T1389">IF(
  B1389="",
  ,
  DATEDIF(
    B1389 + IF(INDEX(Input!$K$7:$K1503,ROW()-1),0,1),
    C1389 + IF(INDEX(Input!$L$7:$L1503,ROW()-1),1,0),
    "Y"
  )
)</f>
        <v/>
      </c>
      <c r="U1389" s="6" t="str">
        <f t="array" ref="U1389">IF(
  B1389="",
  ,
  (C1389 + IF(INDEX(Input!$L$7:$L1503,ROW()-1),1,0))
  - EDATE(
      B1389 + IF(INDEX(Input!$K$7:$K1503,ROW()-1),0,1),
      12*S1389
    )
)</f>
        <v/>
      </c>
      <c r="V1389" s="6" t="str">
        <f t="shared" si="5"/>
        <v/>
      </c>
      <c r="W1389" s="6" t="str">
        <f t="shared" si="6"/>
        <v/>
      </c>
    </row>
    <row r="1390">
      <c r="A1390" s="18"/>
      <c r="B1390" s="18"/>
      <c r="C1390" s="18"/>
      <c r="D1390" s="18"/>
      <c r="E1390" s="18"/>
      <c r="F1390" s="18"/>
      <c r="G1390" s="22"/>
      <c r="H1390" s="18"/>
      <c r="I1390" s="18"/>
      <c r="J1390" s="18"/>
      <c r="K1390" s="18"/>
      <c r="L1390" s="18"/>
      <c r="M1390" s="22"/>
      <c r="N1390" s="18"/>
      <c r="O1390" s="23"/>
      <c r="P1390" s="18"/>
      <c r="Q1390" s="18"/>
      <c r="R1390" s="18"/>
      <c r="S1390" s="22"/>
      <c r="T1390" s="6" t="str">
        <f t="array" ref="T1390">IF(
  B1390="",
  ,
  DATEDIF(
    B1390 + IF(INDEX(Input!$K$7:$K1503,ROW()-1),0,1),
    C1390 + IF(INDEX(Input!$L$7:$L1503,ROW()-1),1,0),
    "Y"
  )
)</f>
        <v/>
      </c>
      <c r="U1390" s="6" t="str">
        <f t="array" ref="U1390">IF(
  B1390="",
  ,
  (C1390 + IF(INDEX(Input!$L$7:$L1503,ROW()-1),1,0))
  - EDATE(
      B1390 + IF(INDEX(Input!$K$7:$K1503,ROW()-1),0,1),
      12*S1390
    )
)</f>
        <v/>
      </c>
      <c r="V1390" s="6" t="str">
        <f t="shared" si="5"/>
        <v/>
      </c>
      <c r="W1390" s="6" t="str">
        <f t="shared" si="6"/>
        <v/>
      </c>
    </row>
    <row r="1391">
      <c r="A1391" s="18"/>
      <c r="B1391" s="18"/>
      <c r="C1391" s="18"/>
      <c r="D1391" s="18"/>
      <c r="E1391" s="18"/>
      <c r="F1391" s="18"/>
      <c r="G1391" s="22"/>
      <c r="H1391" s="18"/>
      <c r="I1391" s="18"/>
      <c r="J1391" s="18"/>
      <c r="K1391" s="18"/>
      <c r="L1391" s="18"/>
      <c r="M1391" s="22"/>
      <c r="N1391" s="18"/>
      <c r="O1391" s="23"/>
      <c r="P1391" s="18"/>
      <c r="Q1391" s="18"/>
      <c r="R1391" s="18"/>
      <c r="S1391" s="22"/>
      <c r="T1391" s="6" t="str">
        <f t="array" ref="T1391">IF(
  B1391="",
  ,
  DATEDIF(
    B1391 + IF(INDEX(Input!$K$7:$K1503,ROW()-1),0,1),
    C1391 + IF(INDEX(Input!$L$7:$L1503,ROW()-1),1,0),
    "Y"
  )
)</f>
        <v/>
      </c>
      <c r="U1391" s="6" t="str">
        <f t="array" ref="U1391">IF(
  B1391="",
  ,
  (C1391 + IF(INDEX(Input!$L$7:$L1503,ROW()-1),1,0))
  - EDATE(
      B1391 + IF(INDEX(Input!$K$7:$K1503,ROW()-1),0,1),
      12*S1391
    )
)</f>
        <v/>
      </c>
      <c r="V1391" s="6" t="str">
        <f t="shared" si="5"/>
        <v/>
      </c>
      <c r="W1391" s="6" t="str">
        <f t="shared" si="6"/>
        <v/>
      </c>
    </row>
    <row r="1392">
      <c r="A1392" s="18"/>
      <c r="B1392" s="18"/>
      <c r="C1392" s="18"/>
      <c r="D1392" s="18"/>
      <c r="E1392" s="18"/>
      <c r="F1392" s="18"/>
      <c r="G1392" s="22"/>
      <c r="H1392" s="18"/>
      <c r="I1392" s="18"/>
      <c r="J1392" s="18"/>
      <c r="K1392" s="18"/>
      <c r="L1392" s="18"/>
      <c r="M1392" s="22"/>
      <c r="N1392" s="18"/>
      <c r="O1392" s="23"/>
      <c r="P1392" s="18"/>
      <c r="Q1392" s="18"/>
      <c r="R1392" s="18"/>
      <c r="S1392" s="22"/>
      <c r="T1392" s="6" t="str">
        <f t="array" ref="T1392">IF(
  B1392="",
  ,
  DATEDIF(
    B1392 + IF(INDEX(Input!$K$7:$K1503,ROW()-1),0,1),
    C1392 + IF(INDEX(Input!$L$7:$L1503,ROW()-1),1,0),
    "Y"
  )
)</f>
        <v/>
      </c>
      <c r="U1392" s="6" t="str">
        <f t="array" ref="U1392">IF(
  B1392="",
  ,
  (C1392 + IF(INDEX(Input!$L$7:$L1503,ROW()-1),1,0))
  - EDATE(
      B1392 + IF(INDEX(Input!$K$7:$K1503,ROW()-1),0,1),
      12*S1392
    )
)</f>
        <v/>
      </c>
      <c r="V1392" s="6" t="str">
        <f t="shared" si="5"/>
        <v/>
      </c>
      <c r="W1392" s="6" t="str">
        <f t="shared" si="6"/>
        <v/>
      </c>
    </row>
    <row r="1393">
      <c r="A1393" s="18"/>
      <c r="B1393" s="18"/>
      <c r="C1393" s="18"/>
      <c r="D1393" s="18"/>
      <c r="E1393" s="18"/>
      <c r="F1393" s="18"/>
      <c r="G1393" s="22"/>
      <c r="H1393" s="18"/>
      <c r="I1393" s="18"/>
      <c r="J1393" s="18"/>
      <c r="K1393" s="18"/>
      <c r="L1393" s="18"/>
      <c r="M1393" s="22"/>
      <c r="N1393" s="18"/>
      <c r="O1393" s="23"/>
      <c r="P1393" s="18"/>
      <c r="Q1393" s="18"/>
      <c r="R1393" s="18"/>
      <c r="S1393" s="22"/>
      <c r="T1393" s="6" t="str">
        <f t="array" ref="T1393">IF(
  B1393="",
  ,
  DATEDIF(
    B1393 + IF(INDEX(Input!$K$7:$K1503,ROW()-1),0,1),
    C1393 + IF(INDEX(Input!$L$7:$L1503,ROW()-1),1,0),
    "Y"
  )
)</f>
        <v/>
      </c>
      <c r="U1393" s="6" t="str">
        <f t="array" ref="U1393">IF(
  B1393="",
  ,
  (C1393 + IF(INDEX(Input!$L$7:$L1503,ROW()-1),1,0))
  - EDATE(
      B1393 + IF(INDEX(Input!$K$7:$K1503,ROW()-1),0,1),
      12*S1393
    )
)</f>
        <v/>
      </c>
      <c r="V1393" s="6" t="str">
        <f t="shared" si="5"/>
        <v/>
      </c>
      <c r="W1393" s="6" t="str">
        <f t="shared" si="6"/>
        <v/>
      </c>
    </row>
    <row r="1394">
      <c r="A1394" s="18"/>
      <c r="B1394" s="18"/>
      <c r="C1394" s="18"/>
      <c r="D1394" s="18"/>
      <c r="E1394" s="18"/>
      <c r="F1394" s="18"/>
      <c r="G1394" s="22"/>
      <c r="H1394" s="18"/>
      <c r="I1394" s="18"/>
      <c r="J1394" s="18"/>
      <c r="K1394" s="18"/>
      <c r="L1394" s="18"/>
      <c r="M1394" s="22"/>
      <c r="N1394" s="18"/>
      <c r="O1394" s="23"/>
      <c r="P1394" s="18"/>
      <c r="Q1394" s="18"/>
      <c r="R1394" s="18"/>
      <c r="S1394" s="22"/>
      <c r="T1394" s="6" t="str">
        <f t="array" ref="T1394">IF(
  B1394="",
  ,
  DATEDIF(
    B1394 + IF(INDEX(Input!$K$7:$K1503,ROW()-1),0,1),
    C1394 + IF(INDEX(Input!$L$7:$L1503,ROW()-1),1,0),
    "Y"
  )
)</f>
        <v/>
      </c>
      <c r="U1394" s="6" t="str">
        <f t="array" ref="U1394">IF(
  B1394="",
  ,
  (C1394 + IF(INDEX(Input!$L$7:$L1503,ROW()-1),1,0))
  - EDATE(
      B1394 + IF(INDEX(Input!$K$7:$K1503,ROW()-1),0,1),
      12*S1394
    )
)</f>
        <v/>
      </c>
      <c r="V1394" s="6" t="str">
        <f t="shared" si="5"/>
        <v/>
      </c>
      <c r="W1394" s="6" t="str">
        <f t="shared" si="6"/>
        <v/>
      </c>
    </row>
    <row r="1395">
      <c r="A1395" s="18"/>
      <c r="B1395" s="18"/>
      <c r="C1395" s="18"/>
      <c r="D1395" s="18"/>
      <c r="E1395" s="18"/>
      <c r="F1395" s="18"/>
      <c r="G1395" s="22"/>
      <c r="H1395" s="18"/>
      <c r="I1395" s="18"/>
      <c r="J1395" s="18"/>
      <c r="K1395" s="18"/>
      <c r="L1395" s="18"/>
      <c r="M1395" s="22"/>
      <c r="N1395" s="18"/>
      <c r="O1395" s="23"/>
      <c r="P1395" s="18"/>
      <c r="Q1395" s="18"/>
      <c r="R1395" s="18"/>
      <c r="S1395" s="22"/>
      <c r="T1395" s="6" t="str">
        <f t="array" ref="T1395">IF(
  B1395="",
  ,
  DATEDIF(
    B1395 + IF(INDEX(Input!$K$7:$K1503,ROW()-1),0,1),
    C1395 + IF(INDEX(Input!$L$7:$L1503,ROW()-1),1,0),
    "Y"
  )
)</f>
        <v/>
      </c>
      <c r="U1395" s="6" t="str">
        <f t="array" ref="U1395">IF(
  B1395="",
  ,
  (C1395 + IF(INDEX(Input!$L$7:$L1503,ROW()-1),1,0))
  - EDATE(
      B1395 + IF(INDEX(Input!$K$7:$K1503,ROW()-1),0,1),
      12*S1395
    )
)</f>
        <v/>
      </c>
      <c r="V1395" s="6" t="str">
        <f t="shared" si="5"/>
        <v/>
      </c>
      <c r="W1395" s="6" t="str">
        <f t="shared" si="6"/>
        <v/>
      </c>
    </row>
    <row r="1396">
      <c r="A1396" s="18"/>
      <c r="B1396" s="18"/>
      <c r="C1396" s="18"/>
      <c r="D1396" s="18"/>
      <c r="E1396" s="18"/>
      <c r="F1396" s="18"/>
      <c r="G1396" s="22"/>
      <c r="H1396" s="18"/>
      <c r="I1396" s="18"/>
      <c r="J1396" s="18"/>
      <c r="K1396" s="18"/>
      <c r="L1396" s="18"/>
      <c r="M1396" s="22"/>
      <c r="N1396" s="18"/>
      <c r="O1396" s="23"/>
      <c r="P1396" s="18"/>
      <c r="Q1396" s="18"/>
      <c r="R1396" s="18"/>
      <c r="S1396" s="22"/>
      <c r="T1396" s="6" t="str">
        <f t="array" ref="T1396">IF(
  B1396="",
  ,
  DATEDIF(
    B1396 + IF(INDEX(Input!$K$7:$K1503,ROW()-1),0,1),
    C1396 + IF(INDEX(Input!$L$7:$L1503,ROW()-1),1,0),
    "Y"
  )
)</f>
        <v/>
      </c>
      <c r="U1396" s="6" t="str">
        <f t="array" ref="U1396">IF(
  B1396="",
  ,
  (C1396 + IF(INDEX(Input!$L$7:$L1503,ROW()-1),1,0))
  - EDATE(
      B1396 + IF(INDEX(Input!$K$7:$K1503,ROW()-1),0,1),
      12*S1396
    )
)</f>
        <v/>
      </c>
      <c r="V1396" s="6" t="str">
        <f t="shared" si="5"/>
        <v/>
      </c>
      <c r="W1396" s="6" t="str">
        <f t="shared" si="6"/>
        <v/>
      </c>
    </row>
    <row r="1397">
      <c r="A1397" s="18"/>
      <c r="B1397" s="18"/>
      <c r="C1397" s="18"/>
      <c r="D1397" s="18"/>
      <c r="E1397" s="18"/>
      <c r="F1397" s="18"/>
      <c r="G1397" s="22"/>
      <c r="H1397" s="18"/>
      <c r="I1397" s="18"/>
      <c r="J1397" s="18"/>
      <c r="K1397" s="18"/>
      <c r="L1397" s="18"/>
      <c r="M1397" s="22"/>
      <c r="N1397" s="18"/>
      <c r="O1397" s="23"/>
      <c r="P1397" s="18"/>
      <c r="Q1397" s="18"/>
      <c r="R1397" s="18"/>
      <c r="S1397" s="22"/>
      <c r="T1397" s="6" t="str">
        <f t="array" ref="T1397">IF(
  B1397="",
  ,
  DATEDIF(
    B1397 + IF(INDEX(Input!$K$7:$K1503,ROW()-1),0,1),
    C1397 + IF(INDEX(Input!$L$7:$L1503,ROW()-1),1,0),
    "Y"
  )
)</f>
        <v/>
      </c>
      <c r="U1397" s="6" t="str">
        <f t="array" ref="U1397">IF(
  B1397="",
  ,
  (C1397 + IF(INDEX(Input!$L$7:$L1503,ROW()-1),1,0))
  - EDATE(
      B1397 + IF(INDEX(Input!$K$7:$K1503,ROW()-1),0,1),
      12*S1397
    )
)</f>
        <v/>
      </c>
      <c r="V1397" s="6" t="str">
        <f t="shared" si="5"/>
        <v/>
      </c>
      <c r="W1397" s="6" t="str">
        <f t="shared" si="6"/>
        <v/>
      </c>
    </row>
    <row r="1398">
      <c r="A1398" s="18"/>
      <c r="B1398" s="18"/>
      <c r="C1398" s="18"/>
      <c r="D1398" s="18"/>
      <c r="E1398" s="18"/>
      <c r="F1398" s="18"/>
      <c r="G1398" s="22"/>
      <c r="H1398" s="18"/>
      <c r="I1398" s="18"/>
      <c r="J1398" s="18"/>
      <c r="K1398" s="18"/>
      <c r="L1398" s="18"/>
      <c r="M1398" s="22"/>
      <c r="N1398" s="18"/>
      <c r="O1398" s="23"/>
      <c r="P1398" s="18"/>
      <c r="Q1398" s="18"/>
      <c r="R1398" s="18"/>
      <c r="S1398" s="22"/>
      <c r="T1398" s="6" t="str">
        <f t="array" ref="T1398">IF(
  B1398="",
  ,
  DATEDIF(
    B1398 + IF(INDEX(Input!$K$7:$K1503,ROW()-1),0,1),
    C1398 + IF(INDEX(Input!$L$7:$L1503,ROW()-1),1,0),
    "Y"
  )
)</f>
        <v/>
      </c>
      <c r="U1398" s="6" t="str">
        <f t="array" ref="U1398">IF(
  B1398="",
  ,
  (C1398 + IF(INDEX(Input!$L$7:$L1503,ROW()-1),1,0))
  - EDATE(
      B1398 + IF(INDEX(Input!$K$7:$K1503,ROW()-1),0,1),
      12*S1398
    )
)</f>
        <v/>
      </c>
      <c r="V1398" s="6" t="str">
        <f t="shared" si="5"/>
        <v/>
      </c>
      <c r="W1398" s="6" t="str">
        <f t="shared" si="6"/>
        <v/>
      </c>
    </row>
    <row r="1399">
      <c r="A1399" s="18"/>
      <c r="B1399" s="18"/>
      <c r="C1399" s="18"/>
      <c r="D1399" s="18"/>
      <c r="E1399" s="18"/>
      <c r="F1399" s="18"/>
      <c r="G1399" s="22"/>
      <c r="H1399" s="18"/>
      <c r="I1399" s="18"/>
      <c r="J1399" s="18"/>
      <c r="K1399" s="18"/>
      <c r="L1399" s="18"/>
      <c r="M1399" s="22"/>
      <c r="N1399" s="18"/>
      <c r="O1399" s="23"/>
      <c r="P1399" s="18"/>
      <c r="Q1399" s="18"/>
      <c r="R1399" s="18"/>
      <c r="S1399" s="22"/>
      <c r="T1399" s="6" t="str">
        <f t="array" ref="T1399">IF(
  B1399="",
  ,
  DATEDIF(
    B1399 + IF(INDEX(Input!$K$7:$K1503,ROW()-1),0,1),
    C1399 + IF(INDEX(Input!$L$7:$L1503,ROW()-1),1,0),
    "Y"
  )
)</f>
        <v/>
      </c>
      <c r="U1399" s="6" t="str">
        <f t="array" ref="U1399">IF(
  B1399="",
  ,
  (C1399 + IF(INDEX(Input!$L$7:$L1503,ROW()-1),1,0))
  - EDATE(
      B1399 + IF(INDEX(Input!$K$7:$K1503,ROW()-1),0,1),
      12*S1399
    )
)</f>
        <v/>
      </c>
      <c r="V1399" s="6" t="str">
        <f t="shared" si="5"/>
        <v/>
      </c>
      <c r="W1399" s="6" t="str">
        <f t="shared" si="6"/>
        <v/>
      </c>
    </row>
    <row r="1400">
      <c r="A1400" s="18"/>
      <c r="B1400" s="18"/>
      <c r="C1400" s="18"/>
      <c r="D1400" s="18"/>
      <c r="E1400" s="18"/>
      <c r="F1400" s="18"/>
      <c r="G1400" s="22"/>
      <c r="H1400" s="18"/>
      <c r="I1400" s="18"/>
      <c r="J1400" s="18"/>
      <c r="K1400" s="18"/>
      <c r="L1400" s="18"/>
      <c r="M1400" s="22"/>
      <c r="N1400" s="18"/>
      <c r="O1400" s="23"/>
      <c r="P1400" s="18"/>
      <c r="Q1400" s="18"/>
      <c r="R1400" s="18"/>
      <c r="S1400" s="22"/>
      <c r="T1400" s="6" t="str">
        <f t="array" ref="T1400">IF(
  B1400="",
  ,
  DATEDIF(
    B1400 + IF(INDEX(Input!$K$7:$K1503,ROW()-1),0,1),
    C1400 + IF(INDEX(Input!$L$7:$L1503,ROW()-1),1,0),
    "Y"
  )
)</f>
        <v/>
      </c>
      <c r="U1400" s="6" t="str">
        <f t="array" ref="U1400">IF(
  B1400="",
  ,
  (C1400 + IF(INDEX(Input!$L$7:$L1503,ROW()-1),1,0))
  - EDATE(
      B1400 + IF(INDEX(Input!$K$7:$K1503,ROW()-1),0,1),
      12*S1400
    )
)</f>
        <v/>
      </c>
      <c r="V1400" s="6" t="str">
        <f t="shared" si="5"/>
        <v/>
      </c>
      <c r="W1400" s="6" t="str">
        <f t="shared" si="6"/>
        <v/>
      </c>
    </row>
    <row r="1401">
      <c r="A1401" s="18"/>
      <c r="B1401" s="18"/>
      <c r="C1401" s="18"/>
      <c r="D1401" s="18"/>
      <c r="E1401" s="18"/>
      <c r="F1401" s="18"/>
      <c r="G1401" s="22"/>
      <c r="H1401" s="18"/>
      <c r="I1401" s="18"/>
      <c r="J1401" s="18"/>
      <c r="K1401" s="18"/>
      <c r="L1401" s="18"/>
      <c r="M1401" s="22"/>
      <c r="N1401" s="18"/>
      <c r="O1401" s="23"/>
      <c r="P1401" s="18"/>
      <c r="Q1401" s="18"/>
      <c r="R1401" s="18"/>
      <c r="S1401" s="22"/>
      <c r="T1401" s="6" t="str">
        <f t="array" ref="T1401">IF(
  B1401="",
  ,
  DATEDIF(
    B1401 + IF(INDEX(Input!$K$7:$K1503,ROW()-1),0,1),
    C1401 + IF(INDEX(Input!$L$7:$L1503,ROW()-1),1,0),
    "Y"
  )
)</f>
        <v/>
      </c>
      <c r="U1401" s="6" t="str">
        <f t="array" ref="U1401">IF(
  B1401="",
  ,
  (C1401 + IF(INDEX(Input!$L$7:$L1503,ROW()-1),1,0))
  - EDATE(
      B1401 + IF(INDEX(Input!$K$7:$K1503,ROW()-1),0,1),
      12*S1401
    )
)</f>
        <v/>
      </c>
      <c r="V1401" s="6" t="str">
        <f t="shared" si="5"/>
        <v/>
      </c>
      <c r="W1401" s="6" t="str">
        <f t="shared" si="6"/>
        <v/>
      </c>
    </row>
    <row r="1402">
      <c r="A1402" s="18"/>
      <c r="B1402" s="18"/>
      <c r="C1402" s="18"/>
      <c r="D1402" s="18"/>
      <c r="E1402" s="18"/>
      <c r="F1402" s="18"/>
      <c r="G1402" s="22"/>
      <c r="H1402" s="18"/>
      <c r="I1402" s="18"/>
      <c r="J1402" s="18"/>
      <c r="K1402" s="18"/>
      <c r="L1402" s="18"/>
      <c r="M1402" s="22"/>
      <c r="N1402" s="18"/>
      <c r="O1402" s="23"/>
      <c r="P1402" s="18"/>
      <c r="Q1402" s="18"/>
      <c r="R1402" s="18"/>
      <c r="S1402" s="22"/>
      <c r="T1402" s="6" t="str">
        <f t="array" ref="T1402">IF(
  B1402="",
  ,
  DATEDIF(
    B1402 + IF(INDEX(Input!$K$7:$K1503,ROW()-1),0,1),
    C1402 + IF(INDEX(Input!$L$7:$L1503,ROW()-1),1,0),
    "Y"
  )
)</f>
        <v/>
      </c>
      <c r="U1402" s="6" t="str">
        <f t="array" ref="U1402">IF(
  B1402="",
  ,
  (C1402 + IF(INDEX(Input!$L$7:$L1503,ROW()-1),1,0))
  - EDATE(
      B1402 + IF(INDEX(Input!$K$7:$K1503,ROW()-1),0,1),
      12*S1402
    )
)</f>
        <v/>
      </c>
      <c r="V1402" s="6" t="str">
        <f t="shared" si="5"/>
        <v/>
      </c>
      <c r="W1402" s="6" t="str">
        <f t="shared" si="6"/>
        <v/>
      </c>
    </row>
    <row r="1403">
      <c r="A1403" s="18"/>
      <c r="B1403" s="18"/>
      <c r="C1403" s="18"/>
      <c r="D1403" s="18"/>
      <c r="E1403" s="18"/>
      <c r="F1403" s="18"/>
      <c r="G1403" s="22"/>
      <c r="H1403" s="18"/>
      <c r="I1403" s="18"/>
      <c r="J1403" s="18"/>
      <c r="K1403" s="18"/>
      <c r="L1403" s="18"/>
      <c r="M1403" s="22"/>
      <c r="N1403" s="18"/>
      <c r="O1403" s="23"/>
      <c r="P1403" s="18"/>
      <c r="Q1403" s="18"/>
      <c r="R1403" s="18"/>
      <c r="S1403" s="22"/>
      <c r="T1403" s="6" t="str">
        <f t="array" ref="T1403">IF(
  B1403="",
  ,
  DATEDIF(
    B1403 + IF(INDEX(Input!$K$7:$K1503,ROW()-1),0,1),
    C1403 + IF(INDEX(Input!$L$7:$L1503,ROW()-1),1,0),
    "Y"
  )
)</f>
        <v/>
      </c>
      <c r="U1403" s="6" t="str">
        <f t="array" ref="U1403">IF(
  B1403="",
  ,
  (C1403 + IF(INDEX(Input!$L$7:$L1503,ROW()-1),1,0))
  - EDATE(
      B1403 + IF(INDEX(Input!$K$7:$K1503,ROW()-1),0,1),
      12*S1403
    )
)</f>
        <v/>
      </c>
      <c r="V1403" s="6" t="str">
        <f t="shared" si="5"/>
        <v/>
      </c>
      <c r="W1403" s="6" t="str">
        <f t="shared" si="6"/>
        <v/>
      </c>
    </row>
    <row r="1404">
      <c r="A1404" s="18"/>
      <c r="B1404" s="18"/>
      <c r="C1404" s="18"/>
      <c r="D1404" s="18"/>
      <c r="E1404" s="18"/>
      <c r="F1404" s="18"/>
      <c r="G1404" s="22"/>
      <c r="H1404" s="18"/>
      <c r="I1404" s="18"/>
      <c r="J1404" s="18"/>
      <c r="K1404" s="18"/>
      <c r="L1404" s="18"/>
      <c r="M1404" s="22"/>
      <c r="N1404" s="18"/>
      <c r="O1404" s="23"/>
      <c r="P1404" s="18"/>
      <c r="Q1404" s="18"/>
      <c r="R1404" s="18"/>
      <c r="S1404" s="22"/>
      <c r="T1404" s="6" t="str">
        <f t="array" ref="T1404">IF(
  B1404="",
  ,
  DATEDIF(
    B1404 + IF(INDEX(Input!$K$7:$K1503,ROW()-1),0,1),
    C1404 + IF(INDEX(Input!$L$7:$L1503,ROW()-1),1,0),
    "Y"
  )
)</f>
        <v/>
      </c>
      <c r="U1404" s="6" t="str">
        <f t="array" ref="U1404">IF(
  B1404="",
  ,
  (C1404 + IF(INDEX(Input!$L$7:$L1503,ROW()-1),1,0))
  - EDATE(
      B1404 + IF(INDEX(Input!$K$7:$K1503,ROW()-1),0,1),
      12*S1404
    )
)</f>
        <v/>
      </c>
      <c r="V1404" s="6" t="str">
        <f t="shared" si="5"/>
        <v/>
      </c>
      <c r="W1404" s="6" t="str">
        <f t="shared" si="6"/>
        <v/>
      </c>
    </row>
    <row r="1405">
      <c r="A1405" s="18"/>
      <c r="B1405" s="18"/>
      <c r="C1405" s="18"/>
      <c r="D1405" s="18"/>
      <c r="E1405" s="18"/>
      <c r="F1405" s="18"/>
      <c r="G1405" s="22"/>
      <c r="H1405" s="18"/>
      <c r="I1405" s="18"/>
      <c r="J1405" s="18"/>
      <c r="K1405" s="18"/>
      <c r="L1405" s="18"/>
      <c r="M1405" s="22"/>
      <c r="N1405" s="18"/>
      <c r="O1405" s="23"/>
      <c r="P1405" s="18"/>
      <c r="Q1405" s="18"/>
      <c r="R1405" s="18"/>
      <c r="S1405" s="22"/>
      <c r="T1405" s="6" t="str">
        <f t="array" ref="T1405">IF(
  B1405="",
  ,
  DATEDIF(
    B1405 + IF(INDEX(Input!$K$7:$K1503,ROW()-1),0,1),
    C1405 + IF(INDEX(Input!$L$7:$L1503,ROW()-1),1,0),
    "Y"
  )
)</f>
        <v/>
      </c>
      <c r="U1405" s="6" t="str">
        <f t="array" ref="U1405">IF(
  B1405="",
  ,
  (C1405 + IF(INDEX(Input!$L$7:$L1503,ROW()-1),1,0))
  - EDATE(
      B1405 + IF(INDEX(Input!$K$7:$K1503,ROW()-1),0,1),
      12*S1405
    )
)</f>
        <v/>
      </c>
      <c r="V1405" s="6" t="str">
        <f t="shared" si="5"/>
        <v/>
      </c>
      <c r="W1405" s="6" t="str">
        <f t="shared" si="6"/>
        <v/>
      </c>
    </row>
    <row r="1406">
      <c r="A1406" s="18"/>
      <c r="B1406" s="18"/>
      <c r="C1406" s="18"/>
      <c r="D1406" s="18"/>
      <c r="E1406" s="18"/>
      <c r="F1406" s="18"/>
      <c r="G1406" s="22"/>
      <c r="H1406" s="18"/>
      <c r="I1406" s="18"/>
      <c r="J1406" s="18"/>
      <c r="K1406" s="18"/>
      <c r="L1406" s="18"/>
      <c r="M1406" s="22"/>
      <c r="N1406" s="18"/>
      <c r="O1406" s="23"/>
      <c r="P1406" s="18"/>
      <c r="Q1406" s="18"/>
      <c r="R1406" s="18"/>
      <c r="S1406" s="22"/>
      <c r="T1406" s="6" t="str">
        <f t="array" ref="T1406">IF(
  B1406="",
  ,
  DATEDIF(
    B1406 + IF(INDEX(Input!$K$7:$K1503,ROW()-1),0,1),
    C1406 + IF(INDEX(Input!$L$7:$L1503,ROW()-1),1,0),
    "Y"
  )
)</f>
        <v/>
      </c>
      <c r="U1406" s="6" t="str">
        <f t="array" ref="U1406">IF(
  B1406="",
  ,
  (C1406 + IF(INDEX(Input!$L$7:$L1503,ROW()-1),1,0))
  - EDATE(
      B1406 + IF(INDEX(Input!$K$7:$K1503,ROW()-1),0,1),
      12*S1406
    )
)</f>
        <v/>
      </c>
      <c r="V1406" s="6" t="str">
        <f t="shared" si="5"/>
        <v/>
      </c>
      <c r="W1406" s="6" t="str">
        <f t="shared" si="6"/>
        <v/>
      </c>
    </row>
    <row r="1407">
      <c r="A1407" s="18"/>
      <c r="B1407" s="18"/>
      <c r="C1407" s="18"/>
      <c r="D1407" s="18"/>
      <c r="E1407" s="18"/>
      <c r="F1407" s="18"/>
      <c r="G1407" s="22"/>
      <c r="H1407" s="18"/>
      <c r="I1407" s="18"/>
      <c r="J1407" s="18"/>
      <c r="K1407" s="18"/>
      <c r="L1407" s="18"/>
      <c r="M1407" s="22"/>
      <c r="N1407" s="18"/>
      <c r="O1407" s="23"/>
      <c r="P1407" s="18"/>
      <c r="Q1407" s="18"/>
      <c r="R1407" s="18"/>
      <c r="S1407" s="22"/>
      <c r="T1407" s="6" t="str">
        <f t="array" ref="T1407">IF(
  B1407="",
  ,
  DATEDIF(
    B1407 + IF(INDEX(Input!$K$7:$K1503,ROW()-1),0,1),
    C1407 + IF(INDEX(Input!$L$7:$L1503,ROW()-1),1,0),
    "Y"
  )
)</f>
        <v/>
      </c>
      <c r="U1407" s="6" t="str">
        <f t="array" ref="U1407">IF(
  B1407="",
  ,
  (C1407 + IF(INDEX(Input!$L$7:$L1503,ROW()-1),1,0))
  - EDATE(
      B1407 + IF(INDEX(Input!$K$7:$K1503,ROW()-1),0,1),
      12*S1407
    )
)</f>
        <v/>
      </c>
      <c r="V1407" s="6" t="str">
        <f t="shared" si="5"/>
        <v/>
      </c>
      <c r="W1407" s="6" t="str">
        <f t="shared" si="6"/>
        <v/>
      </c>
    </row>
    <row r="1408">
      <c r="A1408" s="18"/>
      <c r="B1408" s="18"/>
      <c r="C1408" s="18"/>
      <c r="D1408" s="18"/>
      <c r="E1408" s="18"/>
      <c r="F1408" s="18"/>
      <c r="G1408" s="22"/>
      <c r="H1408" s="18"/>
      <c r="I1408" s="18"/>
      <c r="J1408" s="18"/>
      <c r="K1408" s="18"/>
      <c r="L1408" s="18"/>
      <c r="M1408" s="22"/>
      <c r="N1408" s="18"/>
      <c r="O1408" s="23"/>
      <c r="P1408" s="18"/>
      <c r="Q1408" s="18"/>
      <c r="R1408" s="18"/>
      <c r="S1408" s="22"/>
      <c r="T1408" s="6" t="str">
        <f t="array" ref="T1408">IF(
  B1408="",
  ,
  DATEDIF(
    B1408 + IF(INDEX(Input!$K$7:$K1503,ROW()-1),0,1),
    C1408 + IF(INDEX(Input!$L$7:$L1503,ROW()-1),1,0),
    "Y"
  )
)</f>
        <v/>
      </c>
      <c r="U1408" s="6" t="str">
        <f t="array" ref="U1408">IF(
  B1408="",
  ,
  (C1408 + IF(INDEX(Input!$L$7:$L1503,ROW()-1),1,0))
  - EDATE(
      B1408 + IF(INDEX(Input!$K$7:$K1503,ROW()-1),0,1),
      12*S1408
    )
)</f>
        <v/>
      </c>
      <c r="V1408" s="6" t="str">
        <f t="shared" si="5"/>
        <v/>
      </c>
      <c r="W1408" s="6" t="str">
        <f t="shared" si="6"/>
        <v/>
      </c>
    </row>
    <row r="1409">
      <c r="A1409" s="18"/>
      <c r="B1409" s="18"/>
      <c r="C1409" s="18"/>
      <c r="D1409" s="18"/>
      <c r="E1409" s="18"/>
      <c r="F1409" s="18"/>
      <c r="G1409" s="22"/>
      <c r="H1409" s="18"/>
      <c r="I1409" s="18"/>
      <c r="J1409" s="18"/>
      <c r="K1409" s="18"/>
      <c r="L1409" s="18"/>
      <c r="M1409" s="22"/>
      <c r="N1409" s="18"/>
      <c r="O1409" s="23"/>
      <c r="P1409" s="18"/>
      <c r="Q1409" s="18"/>
      <c r="R1409" s="18"/>
      <c r="S1409" s="22"/>
      <c r="T1409" s="6" t="str">
        <f t="array" ref="T1409">IF(
  B1409="",
  ,
  DATEDIF(
    B1409 + IF(INDEX(Input!$K$7:$K1503,ROW()-1),0,1),
    C1409 + IF(INDEX(Input!$L$7:$L1503,ROW()-1),1,0),
    "Y"
  )
)</f>
        <v/>
      </c>
      <c r="U1409" s="6" t="str">
        <f t="array" ref="U1409">IF(
  B1409="",
  ,
  (C1409 + IF(INDEX(Input!$L$7:$L1503,ROW()-1),1,0))
  - EDATE(
      B1409 + IF(INDEX(Input!$K$7:$K1503,ROW()-1),0,1),
      12*S1409
    )
)</f>
        <v/>
      </c>
      <c r="V1409" s="6" t="str">
        <f t="shared" si="5"/>
        <v/>
      </c>
      <c r="W1409" s="6" t="str">
        <f t="shared" si="6"/>
        <v/>
      </c>
    </row>
    <row r="1410">
      <c r="A1410" s="18"/>
      <c r="B1410" s="18"/>
      <c r="C1410" s="18"/>
      <c r="D1410" s="18"/>
      <c r="E1410" s="18"/>
      <c r="F1410" s="18"/>
      <c r="G1410" s="22"/>
      <c r="H1410" s="18"/>
      <c r="I1410" s="18"/>
      <c r="J1410" s="18"/>
      <c r="K1410" s="18"/>
      <c r="L1410" s="18"/>
      <c r="M1410" s="22"/>
      <c r="N1410" s="18"/>
      <c r="O1410" s="23"/>
      <c r="P1410" s="18"/>
      <c r="Q1410" s="18"/>
      <c r="R1410" s="18"/>
      <c r="S1410" s="22"/>
      <c r="T1410" s="6" t="str">
        <f t="array" ref="T1410">IF(
  B1410="",
  ,
  DATEDIF(
    B1410 + IF(INDEX(Input!$K$7:$K1503,ROW()-1),0,1),
    C1410 + IF(INDEX(Input!$L$7:$L1503,ROW()-1),1,0),
    "Y"
  )
)</f>
        <v/>
      </c>
      <c r="U1410" s="6" t="str">
        <f t="array" ref="U1410">IF(
  B1410="",
  ,
  (C1410 + IF(INDEX(Input!$L$7:$L1503,ROW()-1),1,0))
  - EDATE(
      B1410 + IF(INDEX(Input!$K$7:$K1503,ROW()-1),0,1),
      12*S1410
    )
)</f>
        <v/>
      </c>
      <c r="V1410" s="6" t="str">
        <f t="shared" si="5"/>
        <v/>
      </c>
      <c r="W1410" s="6" t="str">
        <f t="shared" si="6"/>
        <v/>
      </c>
    </row>
    <row r="1411">
      <c r="A1411" s="18"/>
      <c r="B1411" s="18"/>
      <c r="C1411" s="18"/>
      <c r="D1411" s="18"/>
      <c r="E1411" s="18"/>
      <c r="F1411" s="18"/>
      <c r="G1411" s="22"/>
      <c r="H1411" s="18"/>
      <c r="I1411" s="18"/>
      <c r="J1411" s="18"/>
      <c r="K1411" s="18"/>
      <c r="L1411" s="18"/>
      <c r="M1411" s="22"/>
      <c r="N1411" s="18"/>
      <c r="O1411" s="23"/>
      <c r="P1411" s="18"/>
      <c r="Q1411" s="18"/>
      <c r="R1411" s="18"/>
      <c r="S1411" s="22"/>
      <c r="T1411" s="6" t="str">
        <f t="array" ref="T1411">IF(
  B1411="",
  ,
  DATEDIF(
    B1411 + IF(INDEX(Input!$K$7:$K1503,ROW()-1),0,1),
    C1411 + IF(INDEX(Input!$L$7:$L1503,ROW()-1),1,0),
    "Y"
  )
)</f>
        <v/>
      </c>
      <c r="U1411" s="6" t="str">
        <f t="array" ref="U1411">IF(
  B1411="",
  ,
  (C1411 + IF(INDEX(Input!$L$7:$L1503,ROW()-1),1,0))
  - EDATE(
      B1411 + IF(INDEX(Input!$K$7:$K1503,ROW()-1),0,1),
      12*S1411
    )
)</f>
        <v/>
      </c>
      <c r="V1411" s="6" t="str">
        <f t="shared" si="5"/>
        <v/>
      </c>
      <c r="W1411" s="6" t="str">
        <f t="shared" si="6"/>
        <v/>
      </c>
    </row>
    <row r="1412">
      <c r="A1412" s="18"/>
      <c r="B1412" s="18"/>
      <c r="C1412" s="18"/>
      <c r="D1412" s="18"/>
      <c r="E1412" s="18"/>
      <c r="F1412" s="18"/>
      <c r="G1412" s="22"/>
      <c r="H1412" s="18"/>
      <c r="I1412" s="18"/>
      <c r="J1412" s="18"/>
      <c r="K1412" s="18"/>
      <c r="L1412" s="18"/>
      <c r="M1412" s="22"/>
      <c r="N1412" s="18"/>
      <c r="O1412" s="23"/>
      <c r="P1412" s="18"/>
      <c r="Q1412" s="18"/>
      <c r="R1412" s="18"/>
      <c r="S1412" s="22"/>
      <c r="T1412" s="6" t="str">
        <f t="array" ref="T1412">IF(
  B1412="",
  ,
  DATEDIF(
    B1412 + IF(INDEX(Input!$K$7:$K1503,ROW()-1),0,1),
    C1412 + IF(INDEX(Input!$L$7:$L1503,ROW()-1),1,0),
    "Y"
  )
)</f>
        <v/>
      </c>
      <c r="U1412" s="6" t="str">
        <f t="array" ref="U1412">IF(
  B1412="",
  ,
  (C1412 + IF(INDEX(Input!$L$7:$L1503,ROW()-1),1,0))
  - EDATE(
      B1412 + IF(INDEX(Input!$K$7:$K1503,ROW()-1),0,1),
      12*S1412
    )
)</f>
        <v/>
      </c>
      <c r="V1412" s="6" t="str">
        <f t="shared" si="5"/>
        <v/>
      </c>
      <c r="W1412" s="6" t="str">
        <f t="shared" si="6"/>
        <v/>
      </c>
    </row>
    <row r="1413">
      <c r="A1413" s="18"/>
      <c r="B1413" s="18"/>
      <c r="C1413" s="18"/>
      <c r="D1413" s="18"/>
      <c r="E1413" s="18"/>
      <c r="F1413" s="18"/>
      <c r="G1413" s="22"/>
      <c r="H1413" s="18"/>
      <c r="I1413" s="18"/>
      <c r="J1413" s="18"/>
      <c r="K1413" s="18"/>
      <c r="L1413" s="18"/>
      <c r="M1413" s="22"/>
      <c r="N1413" s="18"/>
      <c r="O1413" s="23"/>
      <c r="P1413" s="18"/>
      <c r="Q1413" s="18"/>
      <c r="R1413" s="18"/>
      <c r="S1413" s="22"/>
      <c r="T1413" s="6" t="str">
        <f t="array" ref="T1413">IF(
  B1413="",
  ,
  DATEDIF(
    B1413 + IF(INDEX(Input!$K$7:$K1503,ROW()-1),0,1),
    C1413 + IF(INDEX(Input!$L$7:$L1503,ROW()-1),1,0),
    "Y"
  )
)</f>
        <v/>
      </c>
      <c r="U1413" s="6" t="str">
        <f t="array" ref="U1413">IF(
  B1413="",
  ,
  (C1413 + IF(INDEX(Input!$L$7:$L1503,ROW()-1),1,0))
  - EDATE(
      B1413 + IF(INDEX(Input!$K$7:$K1503,ROW()-1),0,1),
      12*S1413
    )
)</f>
        <v/>
      </c>
      <c r="V1413" s="6" t="str">
        <f t="shared" si="5"/>
        <v/>
      </c>
      <c r="W1413" s="6" t="str">
        <f t="shared" si="6"/>
        <v/>
      </c>
    </row>
    <row r="1414">
      <c r="A1414" s="18"/>
      <c r="B1414" s="18"/>
      <c r="C1414" s="18"/>
      <c r="D1414" s="18"/>
      <c r="E1414" s="18"/>
      <c r="F1414" s="18"/>
      <c r="G1414" s="22"/>
      <c r="H1414" s="18"/>
      <c r="I1414" s="18"/>
      <c r="J1414" s="18"/>
      <c r="K1414" s="18"/>
      <c r="L1414" s="18"/>
      <c r="M1414" s="22"/>
      <c r="N1414" s="18"/>
      <c r="O1414" s="23"/>
      <c r="P1414" s="18"/>
      <c r="Q1414" s="18"/>
      <c r="R1414" s="18"/>
      <c r="S1414" s="22"/>
      <c r="T1414" s="6" t="str">
        <f t="array" ref="T1414">IF(
  B1414="",
  ,
  DATEDIF(
    B1414 + IF(INDEX(Input!$K$7:$K1503,ROW()-1),0,1),
    C1414 + IF(INDEX(Input!$L$7:$L1503,ROW()-1),1,0),
    "Y"
  )
)</f>
        <v/>
      </c>
      <c r="U1414" s="6" t="str">
        <f t="array" ref="U1414">IF(
  B1414="",
  ,
  (C1414 + IF(INDEX(Input!$L$7:$L1503,ROW()-1),1,0))
  - EDATE(
      B1414 + IF(INDEX(Input!$K$7:$K1503,ROW()-1),0,1),
      12*S1414
    )
)</f>
        <v/>
      </c>
      <c r="V1414" s="6" t="str">
        <f t="shared" si="5"/>
        <v/>
      </c>
      <c r="W1414" s="6" t="str">
        <f t="shared" si="6"/>
        <v/>
      </c>
    </row>
    <row r="1415">
      <c r="A1415" s="18"/>
      <c r="B1415" s="18"/>
      <c r="C1415" s="18"/>
      <c r="D1415" s="18"/>
      <c r="E1415" s="18"/>
      <c r="F1415" s="18"/>
      <c r="G1415" s="22"/>
      <c r="H1415" s="18"/>
      <c r="I1415" s="18"/>
      <c r="J1415" s="18"/>
      <c r="K1415" s="18"/>
      <c r="L1415" s="18"/>
      <c r="M1415" s="22"/>
      <c r="N1415" s="18"/>
      <c r="O1415" s="23"/>
      <c r="P1415" s="18"/>
      <c r="Q1415" s="18"/>
      <c r="R1415" s="18"/>
      <c r="S1415" s="22"/>
      <c r="T1415" s="6" t="str">
        <f t="array" ref="T1415">IF(
  B1415="",
  ,
  DATEDIF(
    B1415 + IF(INDEX(Input!$K$7:$K1503,ROW()-1),0,1),
    C1415 + IF(INDEX(Input!$L$7:$L1503,ROW()-1),1,0),
    "Y"
  )
)</f>
        <v/>
      </c>
      <c r="U1415" s="6" t="str">
        <f t="array" ref="U1415">IF(
  B1415="",
  ,
  (C1415 + IF(INDEX(Input!$L$7:$L1503,ROW()-1),1,0))
  - EDATE(
      B1415 + IF(INDEX(Input!$K$7:$K1503,ROW()-1),0,1),
      12*S1415
    )
)</f>
        <v/>
      </c>
      <c r="V1415" s="6" t="str">
        <f t="shared" si="5"/>
        <v/>
      </c>
      <c r="W1415" s="6" t="str">
        <f t="shared" si="6"/>
        <v/>
      </c>
    </row>
    <row r="1416">
      <c r="A1416" s="18"/>
      <c r="B1416" s="18"/>
      <c r="C1416" s="18"/>
      <c r="D1416" s="18"/>
      <c r="E1416" s="18"/>
      <c r="F1416" s="18"/>
      <c r="G1416" s="22"/>
      <c r="H1416" s="18"/>
      <c r="I1416" s="18"/>
      <c r="J1416" s="18"/>
      <c r="K1416" s="18"/>
      <c r="L1416" s="18"/>
      <c r="M1416" s="22"/>
      <c r="N1416" s="18"/>
      <c r="O1416" s="23"/>
      <c r="P1416" s="18"/>
      <c r="Q1416" s="18"/>
      <c r="R1416" s="18"/>
      <c r="S1416" s="22"/>
      <c r="T1416" s="6" t="str">
        <f t="array" ref="T1416">IF(
  B1416="",
  ,
  DATEDIF(
    B1416 + IF(INDEX(Input!$K$7:$K1503,ROW()-1),0,1),
    C1416 + IF(INDEX(Input!$L$7:$L1503,ROW()-1),1,0),
    "Y"
  )
)</f>
        <v/>
      </c>
      <c r="U1416" s="6" t="str">
        <f t="array" ref="U1416">IF(
  B1416="",
  ,
  (C1416 + IF(INDEX(Input!$L$7:$L1503,ROW()-1),1,0))
  - EDATE(
      B1416 + IF(INDEX(Input!$K$7:$K1503,ROW()-1),0,1),
      12*S1416
    )
)</f>
        <v/>
      </c>
      <c r="V1416" s="6" t="str">
        <f t="shared" si="5"/>
        <v/>
      </c>
      <c r="W1416" s="6" t="str">
        <f t="shared" si="6"/>
        <v/>
      </c>
    </row>
    <row r="1417">
      <c r="A1417" s="18"/>
      <c r="B1417" s="18"/>
      <c r="C1417" s="18"/>
      <c r="D1417" s="18"/>
      <c r="E1417" s="18"/>
      <c r="F1417" s="18"/>
      <c r="G1417" s="22"/>
      <c r="H1417" s="18"/>
      <c r="I1417" s="18"/>
      <c r="J1417" s="18"/>
      <c r="K1417" s="18"/>
      <c r="L1417" s="18"/>
      <c r="M1417" s="22"/>
      <c r="N1417" s="18"/>
      <c r="O1417" s="23"/>
      <c r="P1417" s="18"/>
      <c r="Q1417" s="18"/>
      <c r="R1417" s="18"/>
      <c r="S1417" s="22"/>
      <c r="T1417" s="6" t="str">
        <f t="array" ref="T1417">IF(
  B1417="",
  ,
  DATEDIF(
    B1417 + IF(INDEX(Input!$K$7:$K1503,ROW()-1),0,1),
    C1417 + IF(INDEX(Input!$L$7:$L1503,ROW()-1),1,0),
    "Y"
  )
)</f>
        <v/>
      </c>
      <c r="U1417" s="6" t="str">
        <f t="array" ref="U1417">IF(
  B1417="",
  ,
  (C1417 + IF(INDEX(Input!$L$7:$L1503,ROW()-1),1,0))
  - EDATE(
      B1417 + IF(INDEX(Input!$K$7:$K1503,ROW()-1),0,1),
      12*S1417
    )
)</f>
        <v/>
      </c>
      <c r="V1417" s="6" t="str">
        <f t="shared" si="5"/>
        <v/>
      </c>
      <c r="W1417" s="6" t="str">
        <f t="shared" si="6"/>
        <v/>
      </c>
    </row>
    <row r="1418">
      <c r="A1418" s="18"/>
      <c r="B1418" s="18"/>
      <c r="C1418" s="18"/>
      <c r="D1418" s="18"/>
      <c r="E1418" s="18"/>
      <c r="F1418" s="18"/>
      <c r="G1418" s="22"/>
      <c r="H1418" s="18"/>
      <c r="I1418" s="18"/>
      <c r="J1418" s="18"/>
      <c r="K1418" s="18"/>
      <c r="L1418" s="18"/>
      <c r="M1418" s="22"/>
      <c r="N1418" s="18"/>
      <c r="O1418" s="23"/>
      <c r="P1418" s="18"/>
      <c r="Q1418" s="18"/>
      <c r="R1418" s="18"/>
      <c r="S1418" s="22"/>
      <c r="T1418" s="6" t="str">
        <f t="array" ref="T1418">IF(
  B1418="",
  ,
  DATEDIF(
    B1418 + IF(INDEX(Input!$K$7:$K1503,ROW()-1),0,1),
    C1418 + IF(INDEX(Input!$L$7:$L1503,ROW()-1),1,0),
    "Y"
  )
)</f>
        <v/>
      </c>
      <c r="U1418" s="6" t="str">
        <f t="array" ref="U1418">IF(
  B1418="",
  ,
  (C1418 + IF(INDEX(Input!$L$7:$L1503,ROW()-1),1,0))
  - EDATE(
      B1418 + IF(INDEX(Input!$K$7:$K1503,ROW()-1),0,1),
      12*S1418
    )
)</f>
        <v/>
      </c>
      <c r="V1418" s="6" t="str">
        <f t="shared" si="5"/>
        <v/>
      </c>
      <c r="W1418" s="6" t="str">
        <f t="shared" si="6"/>
        <v/>
      </c>
    </row>
    <row r="1419">
      <c r="A1419" s="18"/>
      <c r="B1419" s="18"/>
      <c r="C1419" s="18"/>
      <c r="D1419" s="18"/>
      <c r="E1419" s="18"/>
      <c r="F1419" s="18"/>
      <c r="G1419" s="22"/>
      <c r="H1419" s="18"/>
      <c r="I1419" s="18"/>
      <c r="J1419" s="18"/>
      <c r="K1419" s="18"/>
      <c r="L1419" s="18"/>
      <c r="M1419" s="22"/>
      <c r="N1419" s="18"/>
      <c r="O1419" s="23"/>
      <c r="P1419" s="18"/>
      <c r="Q1419" s="18"/>
      <c r="R1419" s="18"/>
      <c r="S1419" s="22"/>
      <c r="T1419" s="6" t="str">
        <f t="array" ref="T1419">IF(
  B1419="",
  ,
  DATEDIF(
    B1419 + IF(INDEX(Input!$K$7:$K1503,ROW()-1),0,1),
    C1419 + IF(INDEX(Input!$L$7:$L1503,ROW()-1),1,0),
    "Y"
  )
)</f>
        <v/>
      </c>
      <c r="U1419" s="6" t="str">
        <f t="array" ref="U1419">IF(
  B1419="",
  ,
  (C1419 + IF(INDEX(Input!$L$7:$L1503,ROW()-1),1,0))
  - EDATE(
      B1419 + IF(INDEX(Input!$K$7:$K1503,ROW()-1),0,1),
      12*S1419
    )
)</f>
        <v/>
      </c>
      <c r="V1419" s="6" t="str">
        <f t="shared" si="5"/>
        <v/>
      </c>
      <c r="W1419" s="6" t="str">
        <f t="shared" si="6"/>
        <v/>
      </c>
    </row>
    <row r="1420">
      <c r="A1420" s="18"/>
      <c r="B1420" s="18"/>
      <c r="C1420" s="18"/>
      <c r="D1420" s="18"/>
      <c r="E1420" s="18"/>
      <c r="F1420" s="18"/>
      <c r="G1420" s="22"/>
      <c r="H1420" s="18"/>
      <c r="I1420" s="18"/>
      <c r="J1420" s="18"/>
      <c r="K1420" s="18"/>
      <c r="L1420" s="18"/>
      <c r="M1420" s="22"/>
      <c r="N1420" s="18"/>
      <c r="O1420" s="23"/>
      <c r="P1420" s="18"/>
      <c r="Q1420" s="18"/>
      <c r="R1420" s="18"/>
      <c r="S1420" s="22"/>
      <c r="T1420" s="6" t="str">
        <f t="array" ref="T1420">IF(
  B1420="",
  ,
  DATEDIF(
    B1420 + IF(INDEX(Input!$K$7:$K1503,ROW()-1),0,1),
    C1420 + IF(INDEX(Input!$L$7:$L1503,ROW()-1),1,0),
    "Y"
  )
)</f>
        <v/>
      </c>
      <c r="U1420" s="6" t="str">
        <f t="array" ref="U1420">IF(
  B1420="",
  ,
  (C1420 + IF(INDEX(Input!$L$7:$L1503,ROW()-1),1,0))
  - EDATE(
      B1420 + IF(INDEX(Input!$K$7:$K1503,ROW()-1),0,1),
      12*S1420
    )
)</f>
        <v/>
      </c>
      <c r="V1420" s="6" t="str">
        <f t="shared" si="5"/>
        <v/>
      </c>
      <c r="W1420" s="6" t="str">
        <f t="shared" si="6"/>
        <v/>
      </c>
    </row>
    <row r="1421">
      <c r="A1421" s="18"/>
      <c r="B1421" s="18"/>
      <c r="C1421" s="18"/>
      <c r="D1421" s="18"/>
      <c r="E1421" s="18"/>
      <c r="F1421" s="18"/>
      <c r="G1421" s="22"/>
      <c r="H1421" s="18"/>
      <c r="I1421" s="18"/>
      <c r="J1421" s="18"/>
      <c r="K1421" s="18"/>
      <c r="L1421" s="18"/>
      <c r="M1421" s="22"/>
      <c r="N1421" s="18"/>
      <c r="O1421" s="23"/>
      <c r="P1421" s="18"/>
      <c r="Q1421" s="18"/>
      <c r="R1421" s="18"/>
      <c r="S1421" s="22"/>
      <c r="T1421" s="6" t="str">
        <f t="array" ref="T1421">IF(
  B1421="",
  ,
  DATEDIF(
    B1421 + IF(INDEX(Input!$K$7:$K1503,ROW()-1),0,1),
    C1421 + IF(INDEX(Input!$L$7:$L1503,ROW()-1),1,0),
    "Y"
  )
)</f>
        <v/>
      </c>
      <c r="U1421" s="6" t="str">
        <f t="array" ref="U1421">IF(
  B1421="",
  ,
  (C1421 + IF(INDEX(Input!$L$7:$L1503,ROW()-1),1,0))
  - EDATE(
      B1421 + IF(INDEX(Input!$K$7:$K1503,ROW()-1),0,1),
      12*S1421
    )
)</f>
        <v/>
      </c>
      <c r="V1421" s="6" t="str">
        <f t="shared" si="5"/>
        <v/>
      </c>
      <c r="W1421" s="6" t="str">
        <f t="shared" si="6"/>
        <v/>
      </c>
    </row>
    <row r="1422">
      <c r="A1422" s="18"/>
      <c r="B1422" s="18"/>
      <c r="C1422" s="18"/>
      <c r="D1422" s="18"/>
      <c r="E1422" s="18"/>
      <c r="F1422" s="18"/>
      <c r="G1422" s="22"/>
      <c r="H1422" s="18"/>
      <c r="I1422" s="18"/>
      <c r="J1422" s="18"/>
      <c r="K1422" s="18"/>
      <c r="L1422" s="18"/>
      <c r="M1422" s="22"/>
      <c r="N1422" s="18"/>
      <c r="O1422" s="23"/>
      <c r="P1422" s="18"/>
      <c r="Q1422" s="18"/>
      <c r="R1422" s="18"/>
      <c r="S1422" s="22"/>
      <c r="T1422" s="6" t="str">
        <f t="array" ref="T1422">IF(
  B1422="",
  ,
  DATEDIF(
    B1422 + IF(INDEX(Input!$K$7:$K1503,ROW()-1),0,1),
    C1422 + IF(INDEX(Input!$L$7:$L1503,ROW()-1),1,0),
    "Y"
  )
)</f>
        <v/>
      </c>
      <c r="U1422" s="6" t="str">
        <f t="array" ref="U1422">IF(
  B1422="",
  ,
  (C1422 + IF(INDEX(Input!$L$7:$L1503,ROW()-1),1,0))
  - EDATE(
      B1422 + IF(INDEX(Input!$K$7:$K1503,ROW()-1),0,1),
      12*S1422
    )
)</f>
        <v/>
      </c>
      <c r="V1422" s="6" t="str">
        <f t="shared" si="5"/>
        <v/>
      </c>
      <c r="W1422" s="6" t="str">
        <f t="shared" si="6"/>
        <v/>
      </c>
    </row>
    <row r="1423">
      <c r="A1423" s="18"/>
      <c r="B1423" s="18"/>
      <c r="C1423" s="18"/>
      <c r="D1423" s="18"/>
      <c r="E1423" s="18"/>
      <c r="F1423" s="18"/>
      <c r="G1423" s="22"/>
      <c r="H1423" s="18"/>
      <c r="I1423" s="18"/>
      <c r="J1423" s="18"/>
      <c r="K1423" s="18"/>
      <c r="L1423" s="18"/>
      <c r="M1423" s="22"/>
      <c r="N1423" s="18"/>
      <c r="O1423" s="23"/>
      <c r="P1423" s="18"/>
      <c r="Q1423" s="18"/>
      <c r="R1423" s="18"/>
      <c r="S1423" s="22"/>
      <c r="T1423" s="6" t="str">
        <f t="array" ref="T1423">IF(
  B1423="",
  ,
  DATEDIF(
    B1423 + IF(INDEX(Input!$K$7:$K1503,ROW()-1),0,1),
    C1423 + IF(INDEX(Input!$L$7:$L1503,ROW()-1),1,0),
    "Y"
  )
)</f>
        <v/>
      </c>
      <c r="U1423" s="6" t="str">
        <f t="array" ref="U1423">IF(
  B1423="",
  ,
  (C1423 + IF(INDEX(Input!$L$7:$L1503,ROW()-1),1,0))
  - EDATE(
      B1423 + IF(INDEX(Input!$K$7:$K1503,ROW()-1),0,1),
      12*S1423
    )
)</f>
        <v/>
      </c>
      <c r="V1423" s="6" t="str">
        <f t="shared" si="5"/>
        <v/>
      </c>
      <c r="W1423" s="6" t="str">
        <f t="shared" si="6"/>
        <v/>
      </c>
    </row>
    <row r="1424">
      <c r="A1424" s="18"/>
      <c r="B1424" s="18"/>
      <c r="C1424" s="18"/>
      <c r="D1424" s="18"/>
      <c r="E1424" s="18"/>
      <c r="F1424" s="18"/>
      <c r="G1424" s="22"/>
      <c r="H1424" s="18"/>
      <c r="I1424" s="18"/>
      <c r="J1424" s="18"/>
      <c r="K1424" s="18"/>
      <c r="L1424" s="18"/>
      <c r="M1424" s="22"/>
      <c r="N1424" s="18"/>
      <c r="O1424" s="23"/>
      <c r="P1424" s="18"/>
      <c r="Q1424" s="18"/>
      <c r="R1424" s="18"/>
      <c r="S1424" s="22"/>
      <c r="T1424" s="6" t="str">
        <f t="array" ref="T1424">IF(
  B1424="",
  ,
  DATEDIF(
    B1424 + IF(INDEX(Input!$K$7:$K1503,ROW()-1),0,1),
    C1424 + IF(INDEX(Input!$L$7:$L1503,ROW()-1),1,0),
    "Y"
  )
)</f>
        <v/>
      </c>
      <c r="U1424" s="6" t="str">
        <f t="array" ref="U1424">IF(
  B1424="",
  ,
  (C1424 + IF(INDEX(Input!$L$7:$L1503,ROW()-1),1,0))
  - EDATE(
      B1424 + IF(INDEX(Input!$K$7:$K1503,ROW()-1),0,1),
      12*S1424
    )
)</f>
        <v/>
      </c>
      <c r="V1424" s="6" t="str">
        <f t="shared" si="5"/>
        <v/>
      </c>
      <c r="W1424" s="6" t="str">
        <f t="shared" si="6"/>
        <v/>
      </c>
    </row>
    <row r="1425">
      <c r="A1425" s="18"/>
      <c r="B1425" s="18"/>
      <c r="C1425" s="18"/>
      <c r="D1425" s="18"/>
      <c r="E1425" s="18"/>
      <c r="F1425" s="18"/>
      <c r="G1425" s="22"/>
      <c r="H1425" s="18"/>
      <c r="I1425" s="18"/>
      <c r="J1425" s="18"/>
      <c r="K1425" s="18"/>
      <c r="L1425" s="18"/>
      <c r="M1425" s="22"/>
      <c r="N1425" s="18"/>
      <c r="O1425" s="23"/>
      <c r="P1425" s="18"/>
      <c r="Q1425" s="18"/>
      <c r="R1425" s="18"/>
      <c r="S1425" s="22"/>
      <c r="T1425" s="6" t="str">
        <f t="array" ref="T1425">IF(
  B1425="",
  ,
  DATEDIF(
    B1425 + IF(INDEX(Input!$K$7:$K1503,ROW()-1),0,1),
    C1425 + IF(INDEX(Input!$L$7:$L1503,ROW()-1),1,0),
    "Y"
  )
)</f>
        <v/>
      </c>
      <c r="U1425" s="6" t="str">
        <f t="array" ref="U1425">IF(
  B1425="",
  ,
  (C1425 + IF(INDEX(Input!$L$7:$L1503,ROW()-1),1,0))
  - EDATE(
      B1425 + IF(INDEX(Input!$K$7:$K1503,ROW()-1),0,1),
      12*S1425
    )
)</f>
        <v/>
      </c>
      <c r="V1425" s="6" t="str">
        <f t="shared" si="5"/>
        <v/>
      </c>
      <c r="W1425" s="6" t="str">
        <f t="shared" si="6"/>
        <v/>
      </c>
    </row>
    <row r="1426">
      <c r="A1426" s="18"/>
      <c r="B1426" s="18"/>
      <c r="C1426" s="18"/>
      <c r="D1426" s="18"/>
      <c r="E1426" s="18"/>
      <c r="F1426" s="18"/>
      <c r="G1426" s="22"/>
      <c r="H1426" s="18"/>
      <c r="I1426" s="18"/>
      <c r="J1426" s="18"/>
      <c r="K1426" s="18"/>
      <c r="L1426" s="18"/>
      <c r="M1426" s="22"/>
      <c r="N1426" s="18"/>
      <c r="O1426" s="23"/>
      <c r="P1426" s="18"/>
      <c r="Q1426" s="18"/>
      <c r="R1426" s="18"/>
      <c r="S1426" s="22"/>
      <c r="T1426" s="6" t="str">
        <f t="array" ref="T1426">IF(
  B1426="",
  ,
  DATEDIF(
    B1426 + IF(INDEX(Input!$K$7:$K1503,ROW()-1),0,1),
    C1426 + IF(INDEX(Input!$L$7:$L1503,ROW()-1),1,0),
    "Y"
  )
)</f>
        <v/>
      </c>
      <c r="U1426" s="6" t="str">
        <f t="array" ref="U1426">IF(
  B1426="",
  ,
  (C1426 + IF(INDEX(Input!$L$7:$L1503,ROW()-1),1,0))
  - EDATE(
      B1426 + IF(INDEX(Input!$K$7:$K1503,ROW()-1),0,1),
      12*S1426
    )
)</f>
        <v/>
      </c>
      <c r="V1426" s="6" t="str">
        <f t="shared" si="5"/>
        <v/>
      </c>
      <c r="W1426" s="6" t="str">
        <f t="shared" si="6"/>
        <v/>
      </c>
    </row>
    <row r="1427">
      <c r="A1427" s="18"/>
      <c r="B1427" s="18"/>
      <c r="C1427" s="18"/>
      <c r="D1427" s="18"/>
      <c r="E1427" s="18"/>
      <c r="F1427" s="18"/>
      <c r="G1427" s="22"/>
      <c r="H1427" s="18"/>
      <c r="I1427" s="18"/>
      <c r="J1427" s="18"/>
      <c r="K1427" s="18"/>
      <c r="L1427" s="18"/>
      <c r="M1427" s="22"/>
      <c r="N1427" s="18"/>
      <c r="O1427" s="23"/>
      <c r="P1427" s="18"/>
      <c r="Q1427" s="18"/>
      <c r="R1427" s="18"/>
      <c r="S1427" s="22"/>
      <c r="T1427" s="6" t="str">
        <f t="array" ref="T1427">IF(
  B1427="",
  ,
  DATEDIF(
    B1427 + IF(INDEX(Input!$K$7:$K1503,ROW()-1),0,1),
    C1427 + IF(INDEX(Input!$L$7:$L1503,ROW()-1),1,0),
    "Y"
  )
)</f>
        <v/>
      </c>
      <c r="U1427" s="6" t="str">
        <f t="array" ref="U1427">IF(
  B1427="",
  ,
  (C1427 + IF(INDEX(Input!$L$7:$L1503,ROW()-1),1,0))
  - EDATE(
      B1427 + IF(INDEX(Input!$K$7:$K1503,ROW()-1),0,1),
      12*S1427
    )
)</f>
        <v/>
      </c>
      <c r="V1427" s="6" t="str">
        <f t="shared" si="5"/>
        <v/>
      </c>
      <c r="W1427" s="6" t="str">
        <f t="shared" si="6"/>
        <v/>
      </c>
    </row>
    <row r="1428">
      <c r="A1428" s="18"/>
      <c r="B1428" s="18"/>
      <c r="C1428" s="18"/>
      <c r="D1428" s="18"/>
      <c r="E1428" s="18"/>
      <c r="F1428" s="18"/>
      <c r="G1428" s="22"/>
      <c r="H1428" s="18"/>
      <c r="I1428" s="18"/>
      <c r="J1428" s="18"/>
      <c r="K1428" s="18"/>
      <c r="L1428" s="18"/>
      <c r="M1428" s="22"/>
      <c r="N1428" s="18"/>
      <c r="O1428" s="23"/>
      <c r="P1428" s="18"/>
      <c r="Q1428" s="18"/>
      <c r="R1428" s="18"/>
      <c r="S1428" s="22"/>
      <c r="T1428" s="6" t="str">
        <f t="array" ref="T1428">IF(
  B1428="",
  ,
  DATEDIF(
    B1428 + IF(INDEX(Input!$K$7:$K1503,ROW()-1),0,1),
    C1428 + IF(INDEX(Input!$L$7:$L1503,ROW()-1),1,0),
    "Y"
  )
)</f>
        <v/>
      </c>
      <c r="U1428" s="6" t="str">
        <f t="array" ref="U1428">IF(
  B1428="",
  ,
  (C1428 + IF(INDEX(Input!$L$7:$L1503,ROW()-1),1,0))
  - EDATE(
      B1428 + IF(INDEX(Input!$K$7:$K1503,ROW()-1),0,1),
      12*S1428
    )
)</f>
        <v/>
      </c>
      <c r="V1428" s="6" t="str">
        <f t="shared" si="5"/>
        <v/>
      </c>
      <c r="W1428" s="6" t="str">
        <f t="shared" si="6"/>
        <v/>
      </c>
    </row>
    <row r="1429">
      <c r="A1429" s="18"/>
      <c r="B1429" s="18"/>
      <c r="C1429" s="18"/>
      <c r="D1429" s="18"/>
      <c r="E1429" s="18"/>
      <c r="F1429" s="18"/>
      <c r="G1429" s="22"/>
      <c r="H1429" s="18"/>
      <c r="I1429" s="18"/>
      <c r="J1429" s="18"/>
      <c r="K1429" s="18"/>
      <c r="L1429" s="18"/>
      <c r="M1429" s="22"/>
      <c r="N1429" s="18"/>
      <c r="O1429" s="23"/>
      <c r="P1429" s="18"/>
      <c r="Q1429" s="18"/>
      <c r="R1429" s="18"/>
      <c r="S1429" s="22"/>
      <c r="T1429" s="6" t="str">
        <f t="array" ref="T1429">IF(
  B1429="",
  ,
  DATEDIF(
    B1429 + IF(INDEX(Input!$K$7:$K1503,ROW()-1),0,1),
    C1429 + IF(INDEX(Input!$L$7:$L1503,ROW()-1),1,0),
    "Y"
  )
)</f>
        <v/>
      </c>
      <c r="U1429" s="6" t="str">
        <f t="array" ref="U1429">IF(
  B1429="",
  ,
  (C1429 + IF(INDEX(Input!$L$7:$L1503,ROW()-1),1,0))
  - EDATE(
      B1429 + IF(INDEX(Input!$K$7:$K1503,ROW()-1),0,1),
      12*S1429
    )
)</f>
        <v/>
      </c>
      <c r="V1429" s="6" t="str">
        <f t="shared" si="5"/>
        <v/>
      </c>
      <c r="W1429" s="6" t="str">
        <f t="shared" si="6"/>
        <v/>
      </c>
    </row>
    <row r="1430">
      <c r="A1430" s="18"/>
      <c r="B1430" s="18"/>
      <c r="C1430" s="18"/>
      <c r="D1430" s="18"/>
      <c r="E1430" s="18"/>
      <c r="F1430" s="18"/>
      <c r="G1430" s="22"/>
      <c r="H1430" s="18"/>
      <c r="I1430" s="18"/>
      <c r="J1430" s="18"/>
      <c r="K1430" s="18"/>
      <c r="L1430" s="18"/>
      <c r="M1430" s="22"/>
      <c r="N1430" s="18"/>
      <c r="O1430" s="23"/>
      <c r="P1430" s="18"/>
      <c r="Q1430" s="18"/>
      <c r="R1430" s="18"/>
      <c r="S1430" s="22"/>
      <c r="T1430" s="6" t="str">
        <f t="array" ref="T1430">IF(
  B1430="",
  ,
  DATEDIF(
    B1430 + IF(INDEX(Input!$K$7:$K1503,ROW()-1),0,1),
    C1430 + IF(INDEX(Input!$L$7:$L1503,ROW()-1),1,0),
    "Y"
  )
)</f>
        <v/>
      </c>
      <c r="U1430" s="6" t="str">
        <f t="array" ref="U1430">IF(
  B1430="",
  ,
  (C1430 + IF(INDEX(Input!$L$7:$L1503,ROW()-1),1,0))
  - EDATE(
      B1430 + IF(INDEX(Input!$K$7:$K1503,ROW()-1),0,1),
      12*S1430
    )
)</f>
        <v/>
      </c>
      <c r="V1430" s="6" t="str">
        <f t="shared" si="5"/>
        <v/>
      </c>
      <c r="W1430" s="6" t="str">
        <f t="shared" si="6"/>
        <v/>
      </c>
    </row>
    <row r="1431">
      <c r="A1431" s="18"/>
      <c r="B1431" s="18"/>
      <c r="C1431" s="18"/>
      <c r="D1431" s="18"/>
      <c r="E1431" s="18"/>
      <c r="F1431" s="18"/>
      <c r="G1431" s="22"/>
      <c r="H1431" s="18"/>
      <c r="I1431" s="18"/>
      <c r="J1431" s="18"/>
      <c r="K1431" s="18"/>
      <c r="L1431" s="18"/>
      <c r="M1431" s="22"/>
      <c r="N1431" s="18"/>
      <c r="O1431" s="23"/>
      <c r="P1431" s="18"/>
      <c r="Q1431" s="18"/>
      <c r="R1431" s="18"/>
      <c r="S1431" s="22"/>
      <c r="T1431" s="6" t="str">
        <f t="array" ref="T1431">IF(
  B1431="",
  ,
  DATEDIF(
    B1431 + IF(INDEX(Input!$K$7:$K1503,ROW()-1),0,1),
    C1431 + IF(INDEX(Input!$L$7:$L1503,ROW()-1),1,0),
    "Y"
  )
)</f>
        <v/>
      </c>
      <c r="U1431" s="6" t="str">
        <f t="array" ref="U1431">IF(
  B1431="",
  ,
  (C1431 + IF(INDEX(Input!$L$7:$L1503,ROW()-1),1,0))
  - EDATE(
      B1431 + IF(INDEX(Input!$K$7:$K1503,ROW()-1),0,1),
      12*S1431
    )
)</f>
        <v/>
      </c>
      <c r="V1431" s="6" t="str">
        <f t="shared" si="5"/>
        <v/>
      </c>
      <c r="W1431" s="6" t="str">
        <f t="shared" si="6"/>
        <v/>
      </c>
    </row>
    <row r="1432">
      <c r="A1432" s="18"/>
      <c r="B1432" s="18"/>
      <c r="C1432" s="18"/>
      <c r="D1432" s="18"/>
      <c r="E1432" s="18"/>
      <c r="F1432" s="18"/>
      <c r="G1432" s="22"/>
      <c r="H1432" s="18"/>
      <c r="I1432" s="18"/>
      <c r="J1432" s="18"/>
      <c r="K1432" s="18"/>
      <c r="L1432" s="18"/>
      <c r="M1432" s="22"/>
      <c r="N1432" s="18"/>
      <c r="O1432" s="23"/>
      <c r="P1432" s="18"/>
      <c r="Q1432" s="18"/>
      <c r="R1432" s="18"/>
      <c r="S1432" s="22"/>
      <c r="T1432" s="6" t="str">
        <f t="array" ref="T1432">IF(
  B1432="",
  ,
  DATEDIF(
    B1432 + IF(INDEX(Input!$K$7:$K1503,ROW()-1),0,1),
    C1432 + IF(INDEX(Input!$L$7:$L1503,ROW()-1),1,0),
    "Y"
  )
)</f>
        <v/>
      </c>
      <c r="U1432" s="6" t="str">
        <f t="array" ref="U1432">IF(
  B1432="",
  ,
  (C1432 + IF(INDEX(Input!$L$7:$L1503,ROW()-1),1,0))
  - EDATE(
      B1432 + IF(INDEX(Input!$K$7:$K1503,ROW()-1),0,1),
      12*S1432
    )
)</f>
        <v/>
      </c>
      <c r="V1432" s="6" t="str">
        <f t="shared" si="5"/>
        <v/>
      </c>
      <c r="W1432" s="6" t="str">
        <f t="shared" si="6"/>
        <v/>
      </c>
    </row>
    <row r="1433">
      <c r="A1433" s="18"/>
      <c r="B1433" s="18"/>
      <c r="C1433" s="18"/>
      <c r="D1433" s="18"/>
      <c r="E1433" s="18"/>
      <c r="F1433" s="18"/>
      <c r="G1433" s="22"/>
      <c r="H1433" s="18"/>
      <c r="I1433" s="18"/>
      <c r="J1433" s="18"/>
      <c r="K1433" s="18"/>
      <c r="L1433" s="18"/>
      <c r="M1433" s="22"/>
      <c r="N1433" s="18"/>
      <c r="O1433" s="23"/>
      <c r="P1433" s="18"/>
      <c r="Q1433" s="18"/>
      <c r="R1433" s="18"/>
      <c r="S1433" s="22"/>
      <c r="T1433" s="6" t="str">
        <f t="array" ref="T1433">IF(
  B1433="",
  ,
  DATEDIF(
    B1433 + IF(INDEX(Input!$K$7:$K1503,ROW()-1),0,1),
    C1433 + IF(INDEX(Input!$L$7:$L1503,ROW()-1),1,0),
    "Y"
  )
)</f>
        <v/>
      </c>
      <c r="U1433" s="6" t="str">
        <f t="array" ref="U1433">IF(
  B1433="",
  ,
  (C1433 + IF(INDEX(Input!$L$7:$L1503,ROW()-1),1,0))
  - EDATE(
      B1433 + IF(INDEX(Input!$K$7:$K1503,ROW()-1),0,1),
      12*S1433
    )
)</f>
        <v/>
      </c>
      <c r="V1433" s="6" t="str">
        <f t="shared" si="5"/>
        <v/>
      </c>
      <c r="W1433" s="6" t="str">
        <f t="shared" si="6"/>
        <v/>
      </c>
    </row>
    <row r="1434">
      <c r="A1434" s="18"/>
      <c r="B1434" s="18"/>
      <c r="C1434" s="18"/>
      <c r="D1434" s="18"/>
      <c r="E1434" s="18"/>
      <c r="F1434" s="18"/>
      <c r="G1434" s="22"/>
      <c r="H1434" s="18"/>
      <c r="I1434" s="18"/>
      <c r="J1434" s="18"/>
      <c r="K1434" s="18"/>
      <c r="L1434" s="18"/>
      <c r="M1434" s="22"/>
      <c r="N1434" s="18"/>
      <c r="O1434" s="23"/>
      <c r="P1434" s="18"/>
      <c r="Q1434" s="18"/>
      <c r="R1434" s="18"/>
      <c r="S1434" s="22"/>
      <c r="T1434" s="6" t="str">
        <f t="array" ref="T1434">IF(
  B1434="",
  ,
  DATEDIF(
    B1434 + IF(INDEX(Input!$K$7:$K1503,ROW()-1),0,1),
    C1434 + IF(INDEX(Input!$L$7:$L1503,ROW()-1),1,0),
    "Y"
  )
)</f>
        <v/>
      </c>
      <c r="U1434" s="6" t="str">
        <f t="array" ref="U1434">IF(
  B1434="",
  ,
  (C1434 + IF(INDEX(Input!$L$7:$L1503,ROW()-1),1,0))
  - EDATE(
      B1434 + IF(INDEX(Input!$K$7:$K1503,ROW()-1),0,1),
      12*S1434
    )
)</f>
        <v/>
      </c>
      <c r="V1434" s="6" t="str">
        <f t="shared" si="5"/>
        <v/>
      </c>
      <c r="W1434" s="6" t="str">
        <f t="shared" si="6"/>
        <v/>
      </c>
    </row>
    <row r="1435">
      <c r="A1435" s="18"/>
      <c r="B1435" s="18"/>
      <c r="C1435" s="18"/>
      <c r="D1435" s="18"/>
      <c r="E1435" s="18"/>
      <c r="F1435" s="18"/>
      <c r="G1435" s="22"/>
      <c r="H1435" s="18"/>
      <c r="I1435" s="18"/>
      <c r="J1435" s="18"/>
      <c r="K1435" s="18"/>
      <c r="L1435" s="18"/>
      <c r="M1435" s="22"/>
      <c r="N1435" s="18"/>
      <c r="O1435" s="23"/>
      <c r="P1435" s="18"/>
      <c r="Q1435" s="18"/>
      <c r="R1435" s="18"/>
      <c r="S1435" s="22"/>
      <c r="T1435" s="6" t="str">
        <f t="array" ref="T1435">IF(
  B1435="",
  ,
  DATEDIF(
    B1435 + IF(INDEX(Input!$K$7:$K1503,ROW()-1),0,1),
    C1435 + IF(INDEX(Input!$L$7:$L1503,ROW()-1),1,0),
    "Y"
  )
)</f>
        <v/>
      </c>
      <c r="U1435" s="6" t="str">
        <f t="array" ref="U1435">IF(
  B1435="",
  ,
  (C1435 + IF(INDEX(Input!$L$7:$L1503,ROW()-1),1,0))
  - EDATE(
      B1435 + IF(INDEX(Input!$K$7:$K1503,ROW()-1),0,1),
      12*S1435
    )
)</f>
        <v/>
      </c>
      <c r="V1435" s="6" t="str">
        <f t="shared" si="5"/>
        <v/>
      </c>
      <c r="W1435" s="6" t="str">
        <f t="shared" si="6"/>
        <v/>
      </c>
    </row>
    <row r="1436">
      <c r="A1436" s="18"/>
      <c r="B1436" s="18"/>
      <c r="C1436" s="18"/>
      <c r="D1436" s="18"/>
      <c r="E1436" s="18"/>
      <c r="F1436" s="18"/>
      <c r="G1436" s="22"/>
      <c r="H1436" s="18"/>
      <c r="I1436" s="18"/>
      <c r="J1436" s="18"/>
      <c r="K1436" s="18"/>
      <c r="L1436" s="18"/>
      <c r="M1436" s="22"/>
      <c r="N1436" s="18"/>
      <c r="O1436" s="23"/>
      <c r="P1436" s="18"/>
      <c r="Q1436" s="18"/>
      <c r="R1436" s="18"/>
      <c r="S1436" s="22"/>
      <c r="T1436" s="6" t="str">
        <f t="array" ref="T1436">IF(
  B1436="",
  ,
  DATEDIF(
    B1436 + IF(INDEX(Input!$K$7:$K1503,ROW()-1),0,1),
    C1436 + IF(INDEX(Input!$L$7:$L1503,ROW()-1),1,0),
    "Y"
  )
)</f>
        <v/>
      </c>
      <c r="U1436" s="6" t="str">
        <f t="array" ref="U1436">IF(
  B1436="",
  ,
  (C1436 + IF(INDEX(Input!$L$7:$L1503,ROW()-1),1,0))
  - EDATE(
      B1436 + IF(INDEX(Input!$K$7:$K1503,ROW()-1),0,1),
      12*S1436
    )
)</f>
        <v/>
      </c>
      <c r="V1436" s="6" t="str">
        <f t="shared" si="5"/>
        <v/>
      </c>
      <c r="W1436" s="6" t="str">
        <f t="shared" si="6"/>
        <v/>
      </c>
    </row>
    <row r="1437">
      <c r="A1437" s="18"/>
      <c r="B1437" s="18"/>
      <c r="C1437" s="18"/>
      <c r="D1437" s="18"/>
      <c r="E1437" s="18"/>
      <c r="F1437" s="18"/>
      <c r="G1437" s="22"/>
      <c r="H1437" s="18"/>
      <c r="I1437" s="18"/>
      <c r="J1437" s="18"/>
      <c r="K1437" s="18"/>
      <c r="L1437" s="18"/>
      <c r="M1437" s="22"/>
      <c r="N1437" s="18"/>
      <c r="O1437" s="23"/>
      <c r="P1437" s="18"/>
      <c r="Q1437" s="18"/>
      <c r="R1437" s="18"/>
      <c r="S1437" s="22"/>
      <c r="T1437" s="6" t="str">
        <f t="array" ref="T1437">IF(
  B1437="",
  ,
  DATEDIF(
    B1437 + IF(INDEX(Input!$K$7:$K1503,ROW()-1),0,1),
    C1437 + IF(INDEX(Input!$L$7:$L1503,ROW()-1),1,0),
    "Y"
  )
)</f>
        <v/>
      </c>
      <c r="U1437" s="6" t="str">
        <f t="array" ref="U1437">IF(
  B1437="",
  ,
  (C1437 + IF(INDEX(Input!$L$7:$L1503,ROW()-1),1,0))
  - EDATE(
      B1437 + IF(INDEX(Input!$K$7:$K1503,ROW()-1),0,1),
      12*S1437
    )
)</f>
        <v/>
      </c>
      <c r="V1437" s="6" t="str">
        <f t="shared" si="5"/>
        <v/>
      </c>
      <c r="W1437" s="6" t="str">
        <f t="shared" si="6"/>
        <v/>
      </c>
    </row>
    <row r="1438">
      <c r="A1438" s="18"/>
      <c r="B1438" s="18"/>
      <c r="C1438" s="18"/>
      <c r="D1438" s="18"/>
      <c r="E1438" s="18"/>
      <c r="F1438" s="18"/>
      <c r="G1438" s="22"/>
      <c r="H1438" s="18"/>
      <c r="I1438" s="18"/>
      <c r="J1438" s="18"/>
      <c r="K1438" s="18"/>
      <c r="L1438" s="18"/>
      <c r="M1438" s="22"/>
      <c r="N1438" s="18"/>
      <c r="O1438" s="23"/>
      <c r="P1438" s="18"/>
      <c r="Q1438" s="18"/>
      <c r="R1438" s="18"/>
      <c r="S1438" s="22"/>
      <c r="T1438" s="6" t="str">
        <f t="array" ref="T1438">IF(
  B1438="",
  ,
  DATEDIF(
    B1438 + IF(INDEX(Input!$K$7:$K1503,ROW()-1),0,1),
    C1438 + IF(INDEX(Input!$L$7:$L1503,ROW()-1),1,0),
    "Y"
  )
)</f>
        <v/>
      </c>
      <c r="U1438" s="6" t="str">
        <f t="array" ref="U1438">IF(
  B1438="",
  ,
  (C1438 + IF(INDEX(Input!$L$7:$L1503,ROW()-1),1,0))
  - EDATE(
      B1438 + IF(INDEX(Input!$K$7:$K1503,ROW()-1),0,1),
      12*S1438
    )
)</f>
        <v/>
      </c>
      <c r="V1438" s="6" t="str">
        <f t="shared" si="5"/>
        <v/>
      </c>
      <c r="W1438" s="6" t="str">
        <f t="shared" si="6"/>
        <v/>
      </c>
    </row>
    <row r="1439">
      <c r="A1439" s="18"/>
      <c r="B1439" s="18"/>
      <c r="C1439" s="18"/>
      <c r="D1439" s="18"/>
      <c r="E1439" s="18"/>
      <c r="F1439" s="18"/>
      <c r="G1439" s="22"/>
      <c r="H1439" s="18"/>
      <c r="I1439" s="18"/>
      <c r="J1439" s="18"/>
      <c r="K1439" s="18"/>
      <c r="L1439" s="18"/>
      <c r="M1439" s="22"/>
      <c r="N1439" s="18"/>
      <c r="O1439" s="23"/>
      <c r="P1439" s="18"/>
      <c r="Q1439" s="18"/>
      <c r="R1439" s="18"/>
      <c r="S1439" s="22"/>
      <c r="T1439" s="6" t="str">
        <f t="array" ref="T1439">IF(
  B1439="",
  ,
  DATEDIF(
    B1439 + IF(INDEX(Input!$K$7:$K1503,ROW()-1),0,1),
    C1439 + IF(INDEX(Input!$L$7:$L1503,ROW()-1),1,0),
    "Y"
  )
)</f>
        <v/>
      </c>
      <c r="U1439" s="6" t="str">
        <f t="array" ref="U1439">IF(
  B1439="",
  ,
  (C1439 + IF(INDEX(Input!$L$7:$L1503,ROW()-1),1,0))
  - EDATE(
      B1439 + IF(INDEX(Input!$K$7:$K1503,ROW()-1),0,1),
      12*S1439
    )
)</f>
        <v/>
      </c>
      <c r="V1439" s="6" t="str">
        <f t="shared" si="5"/>
        <v/>
      </c>
      <c r="W1439" s="6" t="str">
        <f t="shared" si="6"/>
        <v/>
      </c>
    </row>
    <row r="1440">
      <c r="A1440" s="18"/>
      <c r="B1440" s="18"/>
      <c r="C1440" s="18"/>
      <c r="D1440" s="18"/>
      <c r="E1440" s="18"/>
      <c r="F1440" s="18"/>
      <c r="G1440" s="22"/>
      <c r="H1440" s="18"/>
      <c r="I1440" s="18"/>
      <c r="J1440" s="18"/>
      <c r="K1440" s="18"/>
      <c r="L1440" s="18"/>
      <c r="M1440" s="22"/>
      <c r="N1440" s="18"/>
      <c r="O1440" s="23"/>
      <c r="P1440" s="18"/>
      <c r="Q1440" s="18"/>
      <c r="R1440" s="18"/>
      <c r="S1440" s="22"/>
      <c r="T1440" s="6" t="str">
        <f t="array" ref="T1440">IF(
  B1440="",
  ,
  DATEDIF(
    B1440 + IF(INDEX(Input!$K$7:$K1503,ROW()-1),0,1),
    C1440 + IF(INDEX(Input!$L$7:$L1503,ROW()-1),1,0),
    "Y"
  )
)</f>
        <v/>
      </c>
      <c r="U1440" s="6" t="str">
        <f t="array" ref="U1440">IF(
  B1440="",
  ,
  (C1440 + IF(INDEX(Input!$L$7:$L1503,ROW()-1),1,0))
  - EDATE(
      B1440 + IF(INDEX(Input!$K$7:$K1503,ROW()-1),0,1),
      12*S1440
    )
)</f>
        <v/>
      </c>
      <c r="V1440" s="6" t="str">
        <f t="shared" si="5"/>
        <v/>
      </c>
      <c r="W1440" s="6" t="str">
        <f t="shared" si="6"/>
        <v/>
      </c>
    </row>
    <row r="1441">
      <c r="A1441" s="18"/>
      <c r="B1441" s="18"/>
      <c r="C1441" s="18"/>
      <c r="D1441" s="18"/>
      <c r="E1441" s="18"/>
      <c r="F1441" s="18"/>
      <c r="G1441" s="22"/>
      <c r="H1441" s="18"/>
      <c r="I1441" s="18"/>
      <c r="J1441" s="18"/>
      <c r="K1441" s="18"/>
      <c r="L1441" s="18"/>
      <c r="M1441" s="22"/>
      <c r="N1441" s="18"/>
      <c r="O1441" s="23"/>
      <c r="P1441" s="18"/>
      <c r="Q1441" s="18"/>
      <c r="R1441" s="18"/>
      <c r="S1441" s="22"/>
      <c r="T1441" s="6" t="str">
        <f t="array" ref="T1441">IF(
  B1441="",
  ,
  DATEDIF(
    B1441 + IF(INDEX(Input!$K$7:$K1503,ROW()-1),0,1),
    C1441 + IF(INDEX(Input!$L$7:$L1503,ROW()-1),1,0),
    "Y"
  )
)</f>
        <v/>
      </c>
      <c r="U1441" s="6" t="str">
        <f t="array" ref="U1441">IF(
  B1441="",
  ,
  (C1441 + IF(INDEX(Input!$L$7:$L1503,ROW()-1),1,0))
  - EDATE(
      B1441 + IF(INDEX(Input!$K$7:$K1503,ROW()-1),0,1),
      12*S1441
    )
)</f>
        <v/>
      </c>
      <c r="V1441" s="6" t="str">
        <f t="shared" si="5"/>
        <v/>
      </c>
      <c r="W1441" s="6" t="str">
        <f t="shared" si="6"/>
        <v/>
      </c>
    </row>
    <row r="1442">
      <c r="A1442" s="18"/>
      <c r="B1442" s="18"/>
      <c r="C1442" s="18"/>
      <c r="D1442" s="18"/>
      <c r="E1442" s="18"/>
      <c r="F1442" s="18"/>
      <c r="G1442" s="22"/>
      <c r="H1442" s="18"/>
      <c r="I1442" s="18"/>
      <c r="J1442" s="18"/>
      <c r="K1442" s="18"/>
      <c r="L1442" s="18"/>
      <c r="M1442" s="22"/>
      <c r="N1442" s="18"/>
      <c r="O1442" s="23"/>
      <c r="P1442" s="18"/>
      <c r="Q1442" s="18"/>
      <c r="R1442" s="18"/>
      <c r="S1442" s="22"/>
      <c r="T1442" s="6" t="str">
        <f t="array" ref="T1442">IF(
  B1442="",
  ,
  DATEDIF(
    B1442 + IF(INDEX(Input!$K$7:$K1503,ROW()-1),0,1),
    C1442 + IF(INDEX(Input!$L$7:$L1503,ROW()-1),1,0),
    "Y"
  )
)</f>
        <v/>
      </c>
      <c r="U1442" s="6" t="str">
        <f t="array" ref="U1442">IF(
  B1442="",
  ,
  (C1442 + IF(INDEX(Input!$L$7:$L1503,ROW()-1),1,0))
  - EDATE(
      B1442 + IF(INDEX(Input!$K$7:$K1503,ROW()-1),0,1),
      12*S1442
    )
)</f>
        <v/>
      </c>
      <c r="V1442" s="6" t="str">
        <f t="shared" si="5"/>
        <v/>
      </c>
      <c r="W1442" s="6" t="str">
        <f t="shared" si="6"/>
        <v/>
      </c>
    </row>
    <row r="1443">
      <c r="A1443" s="18"/>
      <c r="B1443" s="18"/>
      <c r="C1443" s="18"/>
      <c r="D1443" s="18"/>
      <c r="E1443" s="18"/>
      <c r="F1443" s="18"/>
      <c r="G1443" s="22"/>
      <c r="H1443" s="18"/>
      <c r="I1443" s="18"/>
      <c r="J1443" s="18"/>
      <c r="K1443" s="18"/>
      <c r="L1443" s="18"/>
      <c r="M1443" s="22"/>
      <c r="N1443" s="18"/>
      <c r="O1443" s="23"/>
      <c r="P1443" s="18"/>
      <c r="Q1443" s="18"/>
      <c r="R1443" s="18"/>
      <c r="S1443" s="22"/>
      <c r="T1443" s="6" t="str">
        <f t="array" ref="T1443">IF(
  B1443="",
  ,
  DATEDIF(
    B1443 + IF(INDEX(Input!$K$7:$K1503,ROW()-1),0,1),
    C1443 + IF(INDEX(Input!$L$7:$L1503,ROW()-1),1,0),
    "Y"
  )
)</f>
        <v/>
      </c>
      <c r="U1443" s="6" t="str">
        <f t="array" ref="U1443">IF(
  B1443="",
  ,
  (C1443 + IF(INDEX(Input!$L$7:$L1503,ROW()-1),1,0))
  - EDATE(
      B1443 + IF(INDEX(Input!$K$7:$K1503,ROW()-1),0,1),
      12*S1443
    )
)</f>
        <v/>
      </c>
      <c r="V1443" s="6" t="str">
        <f t="shared" si="5"/>
        <v/>
      </c>
      <c r="W1443" s="6" t="str">
        <f t="shared" si="6"/>
        <v/>
      </c>
    </row>
    <row r="1444">
      <c r="A1444" s="18"/>
      <c r="B1444" s="18"/>
      <c r="C1444" s="18"/>
      <c r="D1444" s="18"/>
      <c r="E1444" s="18"/>
      <c r="F1444" s="18"/>
      <c r="G1444" s="22"/>
      <c r="H1444" s="18"/>
      <c r="I1444" s="18"/>
      <c r="J1444" s="18"/>
      <c r="K1444" s="18"/>
      <c r="L1444" s="18"/>
      <c r="M1444" s="22"/>
      <c r="N1444" s="18"/>
      <c r="O1444" s="23"/>
      <c r="P1444" s="18"/>
      <c r="Q1444" s="18"/>
      <c r="R1444" s="18"/>
      <c r="S1444" s="22"/>
      <c r="T1444" s="6" t="str">
        <f t="array" ref="T1444">IF(
  B1444="",
  ,
  DATEDIF(
    B1444 + IF(INDEX(Input!$K$7:$K1503,ROW()-1),0,1),
    C1444 + IF(INDEX(Input!$L$7:$L1503,ROW()-1),1,0),
    "Y"
  )
)</f>
        <v/>
      </c>
      <c r="U1444" s="6" t="str">
        <f t="array" ref="U1444">IF(
  B1444="",
  ,
  (C1444 + IF(INDEX(Input!$L$7:$L1503,ROW()-1),1,0))
  - EDATE(
      B1444 + IF(INDEX(Input!$K$7:$K1503,ROW()-1),0,1),
      12*S1444
    )
)</f>
        <v/>
      </c>
      <c r="V1444" s="6" t="str">
        <f t="shared" si="5"/>
        <v/>
      </c>
      <c r="W1444" s="6" t="str">
        <f t="shared" si="6"/>
        <v/>
      </c>
    </row>
    <row r="1445">
      <c r="A1445" s="18"/>
      <c r="B1445" s="18"/>
      <c r="C1445" s="18"/>
      <c r="D1445" s="18"/>
      <c r="E1445" s="18"/>
      <c r="F1445" s="18"/>
      <c r="G1445" s="22"/>
      <c r="H1445" s="18"/>
      <c r="I1445" s="18"/>
      <c r="J1445" s="18"/>
      <c r="K1445" s="18"/>
      <c r="L1445" s="18"/>
      <c r="M1445" s="22"/>
      <c r="N1445" s="18"/>
      <c r="O1445" s="23"/>
      <c r="P1445" s="18"/>
      <c r="Q1445" s="18"/>
      <c r="R1445" s="18"/>
      <c r="S1445" s="22"/>
      <c r="T1445" s="6" t="str">
        <f t="array" ref="T1445">IF(
  B1445="",
  ,
  DATEDIF(
    B1445 + IF(INDEX(Input!$K$7:$K1503,ROW()-1),0,1),
    C1445 + IF(INDEX(Input!$L$7:$L1503,ROW()-1),1,0),
    "Y"
  )
)</f>
        <v/>
      </c>
      <c r="U1445" s="6" t="str">
        <f t="array" ref="U1445">IF(
  B1445="",
  ,
  (C1445 + IF(INDEX(Input!$L$7:$L1503,ROW()-1),1,0))
  - EDATE(
      B1445 + IF(INDEX(Input!$K$7:$K1503,ROW()-1),0,1),
      12*S1445
    )
)</f>
        <v/>
      </c>
      <c r="V1445" s="6" t="str">
        <f t="shared" si="5"/>
        <v/>
      </c>
      <c r="W1445" s="6" t="str">
        <f t="shared" si="6"/>
        <v/>
      </c>
    </row>
    <row r="1446">
      <c r="A1446" s="18"/>
      <c r="B1446" s="18"/>
      <c r="C1446" s="18"/>
      <c r="D1446" s="18"/>
      <c r="E1446" s="18"/>
      <c r="F1446" s="18"/>
      <c r="G1446" s="22"/>
      <c r="H1446" s="18"/>
      <c r="I1446" s="18"/>
      <c r="J1446" s="18"/>
      <c r="K1446" s="18"/>
      <c r="L1446" s="18"/>
      <c r="M1446" s="22"/>
      <c r="N1446" s="18"/>
      <c r="O1446" s="23"/>
      <c r="P1446" s="18"/>
      <c r="Q1446" s="18"/>
      <c r="R1446" s="18"/>
      <c r="S1446" s="22"/>
      <c r="T1446" s="6" t="str">
        <f t="array" ref="T1446">IF(
  B1446="",
  ,
  DATEDIF(
    B1446 + IF(INDEX(Input!$K$7:$K1503,ROW()-1),0,1),
    C1446 + IF(INDEX(Input!$L$7:$L1503,ROW()-1),1,0),
    "Y"
  )
)</f>
        <v/>
      </c>
      <c r="U1446" s="6" t="str">
        <f t="array" ref="U1446">IF(
  B1446="",
  ,
  (C1446 + IF(INDEX(Input!$L$7:$L1503,ROW()-1),1,0))
  - EDATE(
      B1446 + IF(INDEX(Input!$K$7:$K1503,ROW()-1),0,1),
      12*S1446
    )
)</f>
        <v/>
      </c>
      <c r="V1446" s="6" t="str">
        <f t="shared" si="5"/>
        <v/>
      </c>
      <c r="W1446" s="6" t="str">
        <f t="shared" si="6"/>
        <v/>
      </c>
    </row>
    <row r="1447">
      <c r="A1447" s="18"/>
      <c r="B1447" s="18"/>
      <c r="C1447" s="18"/>
      <c r="D1447" s="18"/>
      <c r="E1447" s="18"/>
      <c r="F1447" s="18"/>
      <c r="G1447" s="22"/>
      <c r="H1447" s="18"/>
      <c r="I1447" s="18"/>
      <c r="J1447" s="18"/>
      <c r="K1447" s="18"/>
      <c r="L1447" s="18"/>
      <c r="M1447" s="22"/>
      <c r="N1447" s="18"/>
      <c r="O1447" s="23"/>
      <c r="P1447" s="18"/>
      <c r="Q1447" s="18"/>
      <c r="R1447" s="18"/>
      <c r="S1447" s="22"/>
      <c r="T1447" s="6" t="str">
        <f t="array" ref="T1447">IF(
  B1447="",
  ,
  DATEDIF(
    B1447 + IF(INDEX(Input!$K$7:$K1503,ROW()-1),0,1),
    C1447 + IF(INDEX(Input!$L$7:$L1503,ROW()-1),1,0),
    "Y"
  )
)</f>
        <v/>
      </c>
      <c r="U1447" s="6" t="str">
        <f t="array" ref="U1447">IF(
  B1447="",
  ,
  (C1447 + IF(INDEX(Input!$L$7:$L1503,ROW()-1),1,0))
  - EDATE(
      B1447 + IF(INDEX(Input!$K$7:$K1503,ROW()-1),0,1),
      12*S1447
    )
)</f>
        <v/>
      </c>
      <c r="V1447" s="6" t="str">
        <f t="shared" si="5"/>
        <v/>
      </c>
      <c r="W1447" s="6" t="str">
        <f t="shared" si="6"/>
        <v/>
      </c>
    </row>
    <row r="1448">
      <c r="A1448" s="18"/>
      <c r="B1448" s="18"/>
      <c r="C1448" s="18"/>
      <c r="D1448" s="18"/>
      <c r="E1448" s="18"/>
      <c r="F1448" s="18"/>
      <c r="G1448" s="22"/>
      <c r="H1448" s="18"/>
      <c r="I1448" s="18"/>
      <c r="J1448" s="18"/>
      <c r="K1448" s="18"/>
      <c r="L1448" s="18"/>
      <c r="M1448" s="22"/>
      <c r="N1448" s="18"/>
      <c r="O1448" s="23"/>
      <c r="P1448" s="18"/>
      <c r="Q1448" s="18"/>
      <c r="R1448" s="18"/>
      <c r="S1448" s="22"/>
      <c r="T1448" s="6" t="str">
        <f t="array" ref="T1448">IF(
  B1448="",
  ,
  DATEDIF(
    B1448 + IF(INDEX(Input!$K$7:$K1503,ROW()-1),0,1),
    C1448 + IF(INDEX(Input!$L$7:$L1503,ROW()-1),1,0),
    "Y"
  )
)</f>
        <v/>
      </c>
      <c r="U1448" s="6" t="str">
        <f t="array" ref="U1448">IF(
  B1448="",
  ,
  (C1448 + IF(INDEX(Input!$L$7:$L1503,ROW()-1),1,0))
  - EDATE(
      B1448 + IF(INDEX(Input!$K$7:$K1503,ROW()-1),0,1),
      12*S1448
    )
)</f>
        <v/>
      </c>
      <c r="V1448" s="6" t="str">
        <f t="shared" si="5"/>
        <v/>
      </c>
      <c r="W1448" s="6" t="str">
        <f t="shared" si="6"/>
        <v/>
      </c>
    </row>
    <row r="1449">
      <c r="A1449" s="18"/>
      <c r="B1449" s="18"/>
      <c r="C1449" s="18"/>
      <c r="D1449" s="18"/>
      <c r="E1449" s="18"/>
      <c r="F1449" s="18"/>
      <c r="G1449" s="22"/>
      <c r="H1449" s="18"/>
      <c r="I1449" s="18"/>
      <c r="J1449" s="18"/>
      <c r="K1449" s="18"/>
      <c r="L1449" s="18"/>
      <c r="M1449" s="22"/>
      <c r="N1449" s="18"/>
      <c r="O1449" s="23"/>
      <c r="P1449" s="18"/>
      <c r="Q1449" s="18"/>
      <c r="R1449" s="18"/>
      <c r="S1449" s="22"/>
      <c r="T1449" s="6" t="str">
        <f t="array" ref="T1449">IF(
  B1449="",
  ,
  DATEDIF(
    B1449 + IF(INDEX(Input!$K$7:$K1503,ROW()-1),0,1),
    C1449 + IF(INDEX(Input!$L$7:$L1503,ROW()-1),1,0),
    "Y"
  )
)</f>
        <v/>
      </c>
      <c r="U1449" s="6" t="str">
        <f t="array" ref="U1449">IF(
  B1449="",
  ,
  (C1449 + IF(INDEX(Input!$L$7:$L1503,ROW()-1),1,0))
  - EDATE(
      B1449 + IF(INDEX(Input!$K$7:$K1503,ROW()-1),0,1),
      12*S1449
    )
)</f>
        <v/>
      </c>
      <c r="V1449" s="6" t="str">
        <f t="shared" si="5"/>
        <v/>
      </c>
      <c r="W1449" s="6" t="str">
        <f t="shared" si="6"/>
        <v/>
      </c>
    </row>
    <row r="1450">
      <c r="A1450" s="18"/>
      <c r="B1450" s="18"/>
      <c r="C1450" s="18"/>
      <c r="D1450" s="18"/>
      <c r="E1450" s="18"/>
      <c r="F1450" s="18"/>
      <c r="G1450" s="22"/>
      <c r="H1450" s="18"/>
      <c r="I1450" s="18"/>
      <c r="J1450" s="18"/>
      <c r="K1450" s="18"/>
      <c r="L1450" s="18"/>
      <c r="M1450" s="22"/>
      <c r="N1450" s="18"/>
      <c r="O1450" s="23"/>
      <c r="P1450" s="18"/>
      <c r="Q1450" s="18"/>
      <c r="R1450" s="18"/>
      <c r="S1450" s="22"/>
      <c r="T1450" s="6" t="str">
        <f t="array" ref="T1450">IF(
  B1450="",
  ,
  DATEDIF(
    B1450 + IF(INDEX(Input!$K$7:$K1503,ROW()-1),0,1),
    C1450 + IF(INDEX(Input!$L$7:$L1503,ROW()-1),1,0),
    "Y"
  )
)</f>
        <v/>
      </c>
      <c r="U1450" s="6" t="str">
        <f t="array" ref="U1450">IF(
  B1450="",
  ,
  (C1450 + IF(INDEX(Input!$L$7:$L1503,ROW()-1),1,0))
  - EDATE(
      B1450 + IF(INDEX(Input!$K$7:$K1503,ROW()-1),0,1),
      12*S1450
    )
)</f>
        <v/>
      </c>
      <c r="V1450" s="6" t="str">
        <f t="shared" si="5"/>
        <v/>
      </c>
      <c r="W1450" s="6" t="str">
        <f t="shared" si="6"/>
        <v/>
      </c>
    </row>
    <row r="1451">
      <c r="A1451" s="18"/>
      <c r="B1451" s="18"/>
      <c r="C1451" s="18"/>
      <c r="D1451" s="18"/>
      <c r="E1451" s="18"/>
      <c r="F1451" s="18"/>
      <c r="G1451" s="22"/>
      <c r="H1451" s="18"/>
      <c r="I1451" s="18"/>
      <c r="J1451" s="18"/>
      <c r="K1451" s="18"/>
      <c r="L1451" s="18"/>
      <c r="M1451" s="22"/>
      <c r="N1451" s="18"/>
      <c r="O1451" s="23"/>
      <c r="P1451" s="18"/>
      <c r="Q1451" s="18"/>
      <c r="R1451" s="18"/>
      <c r="S1451" s="22"/>
      <c r="T1451" s="6" t="str">
        <f t="array" ref="T1451">IF(
  B1451="",
  ,
  DATEDIF(
    B1451 + IF(INDEX(Input!$K$7:$K1503,ROW()-1),0,1),
    C1451 + IF(INDEX(Input!$L$7:$L1503,ROW()-1),1,0),
    "Y"
  )
)</f>
        <v/>
      </c>
      <c r="U1451" s="6" t="str">
        <f t="array" ref="U1451">IF(
  B1451="",
  ,
  (C1451 + IF(INDEX(Input!$L$7:$L1503,ROW()-1),1,0))
  - EDATE(
      B1451 + IF(INDEX(Input!$K$7:$K1503,ROW()-1),0,1),
      12*S1451
    )
)</f>
        <v/>
      </c>
      <c r="V1451" s="6" t="str">
        <f t="shared" si="5"/>
        <v/>
      </c>
      <c r="W1451" s="6" t="str">
        <f t="shared" si="6"/>
        <v/>
      </c>
    </row>
    <row r="1452">
      <c r="A1452" s="18"/>
      <c r="B1452" s="18"/>
      <c r="C1452" s="18"/>
      <c r="D1452" s="18"/>
      <c r="E1452" s="18"/>
      <c r="F1452" s="18"/>
      <c r="G1452" s="22"/>
      <c r="H1452" s="18"/>
      <c r="I1452" s="18"/>
      <c r="J1452" s="18"/>
      <c r="K1452" s="18"/>
      <c r="L1452" s="18"/>
      <c r="M1452" s="22"/>
      <c r="N1452" s="18"/>
      <c r="O1452" s="23"/>
      <c r="P1452" s="18"/>
      <c r="Q1452" s="18"/>
      <c r="R1452" s="18"/>
      <c r="S1452" s="22"/>
      <c r="T1452" s="6" t="str">
        <f t="array" ref="T1452">IF(
  B1452="",
  ,
  DATEDIF(
    B1452 + IF(INDEX(Input!$K$7:$K1503,ROW()-1),0,1),
    C1452 + IF(INDEX(Input!$L$7:$L1503,ROW()-1),1,0),
    "Y"
  )
)</f>
        <v/>
      </c>
      <c r="U1452" s="6" t="str">
        <f t="array" ref="U1452">IF(
  B1452="",
  ,
  (C1452 + IF(INDEX(Input!$L$7:$L1503,ROW()-1),1,0))
  - EDATE(
      B1452 + IF(INDEX(Input!$K$7:$K1503,ROW()-1),0,1),
      12*S1452
    )
)</f>
        <v/>
      </c>
      <c r="V1452" s="6" t="str">
        <f t="shared" si="5"/>
        <v/>
      </c>
      <c r="W1452" s="6" t="str">
        <f t="shared" si="6"/>
        <v/>
      </c>
    </row>
    <row r="1453">
      <c r="A1453" s="18"/>
      <c r="B1453" s="18"/>
      <c r="C1453" s="18"/>
      <c r="D1453" s="18"/>
      <c r="E1453" s="18"/>
      <c r="F1453" s="18"/>
      <c r="G1453" s="22"/>
      <c r="H1453" s="18"/>
      <c r="I1453" s="18"/>
      <c r="J1453" s="18"/>
      <c r="K1453" s="18"/>
      <c r="L1453" s="18"/>
      <c r="M1453" s="22"/>
      <c r="N1453" s="18"/>
      <c r="O1453" s="23"/>
      <c r="P1453" s="18"/>
      <c r="Q1453" s="18"/>
      <c r="R1453" s="18"/>
      <c r="S1453" s="22"/>
      <c r="T1453" s="6" t="str">
        <f t="array" ref="T1453">IF(
  B1453="",
  ,
  DATEDIF(
    B1453 + IF(INDEX(Input!$K$7:$K1503,ROW()-1),0,1),
    C1453 + IF(INDEX(Input!$L$7:$L1503,ROW()-1),1,0),
    "Y"
  )
)</f>
        <v/>
      </c>
      <c r="U1453" s="6" t="str">
        <f t="array" ref="U1453">IF(
  B1453="",
  ,
  (C1453 + IF(INDEX(Input!$L$7:$L1503,ROW()-1),1,0))
  - EDATE(
      B1453 + IF(INDEX(Input!$K$7:$K1503,ROW()-1),0,1),
      12*S1453
    )
)</f>
        <v/>
      </c>
      <c r="V1453" s="6" t="str">
        <f t="shared" si="5"/>
        <v/>
      </c>
      <c r="W1453" s="6" t="str">
        <f t="shared" si="6"/>
        <v/>
      </c>
    </row>
    <row r="1454">
      <c r="A1454" s="18"/>
      <c r="B1454" s="18"/>
      <c r="C1454" s="18"/>
      <c r="D1454" s="18"/>
      <c r="E1454" s="18"/>
      <c r="F1454" s="18"/>
      <c r="G1454" s="22"/>
      <c r="H1454" s="18"/>
      <c r="I1454" s="18"/>
      <c r="J1454" s="18"/>
      <c r="K1454" s="18"/>
      <c r="L1454" s="18"/>
      <c r="M1454" s="22"/>
      <c r="N1454" s="18"/>
      <c r="O1454" s="23"/>
      <c r="P1454" s="18"/>
      <c r="Q1454" s="18"/>
      <c r="R1454" s="18"/>
      <c r="S1454" s="22"/>
      <c r="T1454" s="6" t="str">
        <f t="array" ref="T1454">IF(
  B1454="",
  ,
  DATEDIF(
    B1454 + IF(INDEX(Input!$K$7:$K1503,ROW()-1),0,1),
    C1454 + IF(INDEX(Input!$L$7:$L1503,ROW()-1),1,0),
    "Y"
  )
)</f>
        <v/>
      </c>
      <c r="U1454" s="6" t="str">
        <f t="array" ref="U1454">IF(
  B1454="",
  ,
  (C1454 + IF(INDEX(Input!$L$7:$L1503,ROW()-1),1,0))
  - EDATE(
      B1454 + IF(INDEX(Input!$K$7:$K1503,ROW()-1),0,1),
      12*S1454
    )
)</f>
        <v/>
      </c>
      <c r="V1454" s="6" t="str">
        <f t="shared" si="5"/>
        <v/>
      </c>
      <c r="W1454" s="6" t="str">
        <f t="shared" si="6"/>
        <v/>
      </c>
    </row>
    <row r="1455">
      <c r="A1455" s="18"/>
      <c r="B1455" s="18"/>
      <c r="C1455" s="18"/>
      <c r="D1455" s="18"/>
      <c r="E1455" s="18"/>
      <c r="F1455" s="18"/>
      <c r="G1455" s="22"/>
      <c r="H1455" s="18"/>
      <c r="I1455" s="18"/>
      <c r="J1455" s="18"/>
      <c r="K1455" s="18"/>
      <c r="L1455" s="18"/>
      <c r="M1455" s="22"/>
      <c r="N1455" s="18"/>
      <c r="O1455" s="23"/>
      <c r="P1455" s="18"/>
      <c r="Q1455" s="18"/>
      <c r="R1455" s="18"/>
      <c r="S1455" s="22"/>
      <c r="T1455" s="6" t="str">
        <f t="array" ref="T1455">IF(
  B1455="",
  ,
  DATEDIF(
    B1455 + IF(INDEX(Input!$K$7:$K1503,ROW()-1),0,1),
    C1455 + IF(INDEX(Input!$L$7:$L1503,ROW()-1),1,0),
    "Y"
  )
)</f>
        <v/>
      </c>
      <c r="U1455" s="6" t="str">
        <f t="array" ref="U1455">IF(
  B1455="",
  ,
  (C1455 + IF(INDEX(Input!$L$7:$L1503,ROW()-1),1,0))
  - EDATE(
      B1455 + IF(INDEX(Input!$K$7:$K1503,ROW()-1),0,1),
      12*S1455
    )
)</f>
        <v/>
      </c>
      <c r="V1455" s="6" t="str">
        <f t="shared" si="5"/>
        <v/>
      </c>
      <c r="W1455" s="6" t="str">
        <f t="shared" si="6"/>
        <v/>
      </c>
    </row>
    <row r="1456">
      <c r="A1456" s="18"/>
      <c r="B1456" s="18"/>
      <c r="C1456" s="18"/>
      <c r="D1456" s="18"/>
      <c r="E1456" s="18"/>
      <c r="F1456" s="18"/>
      <c r="G1456" s="22"/>
      <c r="H1456" s="18"/>
      <c r="I1456" s="18"/>
      <c r="J1456" s="18"/>
      <c r="K1456" s="18"/>
      <c r="L1456" s="18"/>
      <c r="M1456" s="22"/>
      <c r="N1456" s="18"/>
      <c r="O1456" s="23"/>
      <c r="P1456" s="18"/>
      <c r="Q1456" s="18"/>
      <c r="R1456" s="18"/>
      <c r="S1456" s="22"/>
      <c r="T1456" s="6" t="str">
        <f t="array" ref="T1456">IF(
  B1456="",
  ,
  DATEDIF(
    B1456 + IF(INDEX(Input!$K$7:$K1503,ROW()-1),0,1),
    C1456 + IF(INDEX(Input!$L$7:$L1503,ROW()-1),1,0),
    "Y"
  )
)</f>
        <v/>
      </c>
      <c r="U1456" s="6" t="str">
        <f t="array" ref="U1456">IF(
  B1456="",
  ,
  (C1456 + IF(INDEX(Input!$L$7:$L1503,ROW()-1),1,0))
  - EDATE(
      B1456 + IF(INDEX(Input!$K$7:$K1503,ROW()-1),0,1),
      12*S1456
    )
)</f>
        <v/>
      </c>
      <c r="V1456" s="6" t="str">
        <f t="shared" si="5"/>
        <v/>
      </c>
      <c r="W1456" s="6" t="str">
        <f t="shared" si="6"/>
        <v/>
      </c>
    </row>
    <row r="1457">
      <c r="A1457" s="18"/>
      <c r="B1457" s="18"/>
      <c r="C1457" s="18"/>
      <c r="D1457" s="18"/>
      <c r="E1457" s="18"/>
      <c r="F1457" s="18"/>
      <c r="G1457" s="22"/>
      <c r="H1457" s="18"/>
      <c r="I1457" s="18"/>
      <c r="J1457" s="18"/>
      <c r="K1457" s="18"/>
      <c r="L1457" s="18"/>
      <c r="M1457" s="22"/>
      <c r="N1457" s="18"/>
      <c r="O1457" s="23"/>
      <c r="P1457" s="18"/>
      <c r="Q1457" s="18"/>
      <c r="R1457" s="18"/>
      <c r="S1457" s="22"/>
      <c r="T1457" s="6" t="str">
        <f t="array" ref="T1457">IF(
  B1457="",
  ,
  DATEDIF(
    B1457 + IF(INDEX(Input!$K$7:$K1503,ROW()-1),0,1),
    C1457 + IF(INDEX(Input!$L$7:$L1503,ROW()-1),1,0),
    "Y"
  )
)</f>
        <v/>
      </c>
      <c r="U1457" s="6" t="str">
        <f t="array" ref="U1457">IF(
  B1457="",
  ,
  (C1457 + IF(INDEX(Input!$L$7:$L1503,ROW()-1),1,0))
  - EDATE(
      B1457 + IF(INDEX(Input!$K$7:$K1503,ROW()-1),0,1),
      12*S1457
    )
)</f>
        <v/>
      </c>
      <c r="V1457" s="6" t="str">
        <f t="shared" si="5"/>
        <v/>
      </c>
      <c r="W1457" s="6" t="str">
        <f t="shared" si="6"/>
        <v/>
      </c>
    </row>
    <row r="1458">
      <c r="A1458" s="18"/>
      <c r="B1458" s="18"/>
      <c r="C1458" s="18"/>
      <c r="D1458" s="18"/>
      <c r="E1458" s="18"/>
      <c r="F1458" s="18"/>
      <c r="G1458" s="22"/>
      <c r="H1458" s="18"/>
      <c r="I1458" s="18"/>
      <c r="J1458" s="18"/>
      <c r="K1458" s="18"/>
      <c r="L1458" s="18"/>
      <c r="M1458" s="22"/>
      <c r="N1458" s="18"/>
      <c r="O1458" s="23"/>
      <c r="P1458" s="18"/>
      <c r="Q1458" s="18"/>
      <c r="R1458" s="18"/>
      <c r="S1458" s="22"/>
      <c r="T1458" s="6" t="str">
        <f t="array" ref="T1458">IF(
  B1458="",
  ,
  DATEDIF(
    B1458 + IF(INDEX(Input!$K$7:$K1503,ROW()-1),0,1),
    C1458 + IF(INDEX(Input!$L$7:$L1503,ROW()-1),1,0),
    "Y"
  )
)</f>
        <v/>
      </c>
      <c r="U1458" s="6" t="str">
        <f t="array" ref="U1458">IF(
  B1458="",
  ,
  (C1458 + IF(INDEX(Input!$L$7:$L1503,ROW()-1),1,0))
  - EDATE(
      B1458 + IF(INDEX(Input!$K$7:$K1503,ROW()-1),0,1),
      12*S1458
    )
)</f>
        <v/>
      </c>
      <c r="V1458" s="6" t="str">
        <f t="shared" si="5"/>
        <v/>
      </c>
      <c r="W1458" s="6" t="str">
        <f t="shared" si="6"/>
        <v/>
      </c>
    </row>
    <row r="1459">
      <c r="A1459" s="18"/>
      <c r="B1459" s="18"/>
      <c r="C1459" s="18"/>
      <c r="D1459" s="18"/>
      <c r="E1459" s="18"/>
      <c r="F1459" s="18"/>
      <c r="G1459" s="22"/>
      <c r="H1459" s="18"/>
      <c r="I1459" s="18"/>
      <c r="J1459" s="18"/>
      <c r="K1459" s="18"/>
      <c r="L1459" s="18"/>
      <c r="M1459" s="22"/>
      <c r="N1459" s="18"/>
      <c r="O1459" s="23"/>
      <c r="P1459" s="18"/>
      <c r="Q1459" s="18"/>
      <c r="R1459" s="18"/>
      <c r="S1459" s="22"/>
      <c r="T1459" s="6" t="str">
        <f t="array" ref="T1459">IF(
  B1459="",
  ,
  DATEDIF(
    B1459 + IF(INDEX(Input!$K$7:$K1503,ROW()-1),0,1),
    C1459 + IF(INDEX(Input!$L$7:$L1503,ROW()-1),1,0),
    "Y"
  )
)</f>
        <v/>
      </c>
      <c r="U1459" s="6" t="str">
        <f t="array" ref="U1459">IF(
  B1459="",
  ,
  (C1459 + IF(INDEX(Input!$L$7:$L1503,ROW()-1),1,0))
  - EDATE(
      B1459 + IF(INDEX(Input!$K$7:$K1503,ROW()-1),0,1),
      12*S1459
    )
)</f>
        <v/>
      </c>
      <c r="V1459" s="6" t="str">
        <f t="shared" si="5"/>
        <v/>
      </c>
      <c r="W1459" s="6" t="str">
        <f t="shared" si="6"/>
        <v/>
      </c>
    </row>
    <row r="1460">
      <c r="A1460" s="18"/>
      <c r="B1460" s="18"/>
      <c r="C1460" s="18"/>
      <c r="D1460" s="18"/>
      <c r="E1460" s="18"/>
      <c r="F1460" s="18"/>
      <c r="G1460" s="22"/>
      <c r="H1460" s="18"/>
      <c r="I1460" s="18"/>
      <c r="J1460" s="18"/>
      <c r="K1460" s="18"/>
      <c r="L1460" s="18"/>
      <c r="M1460" s="22"/>
      <c r="N1460" s="18"/>
      <c r="O1460" s="23"/>
      <c r="P1460" s="18"/>
      <c r="Q1460" s="18"/>
      <c r="R1460" s="18"/>
      <c r="S1460" s="22"/>
      <c r="T1460" s="6" t="str">
        <f t="array" ref="T1460">IF(
  B1460="",
  ,
  DATEDIF(
    B1460 + IF(INDEX(Input!$K$7:$K1503,ROW()-1),0,1),
    C1460 + IF(INDEX(Input!$L$7:$L1503,ROW()-1),1,0),
    "Y"
  )
)</f>
        <v/>
      </c>
      <c r="U1460" s="6" t="str">
        <f t="array" ref="U1460">IF(
  B1460="",
  ,
  (C1460 + IF(INDEX(Input!$L$7:$L1503,ROW()-1),1,0))
  - EDATE(
      B1460 + IF(INDEX(Input!$K$7:$K1503,ROW()-1),0,1),
      12*S1460
    )
)</f>
        <v/>
      </c>
      <c r="V1460" s="6" t="str">
        <f t="shared" si="5"/>
        <v/>
      </c>
      <c r="W1460" s="6" t="str">
        <f t="shared" si="6"/>
        <v/>
      </c>
    </row>
    <row r="1461">
      <c r="A1461" s="18"/>
      <c r="B1461" s="18"/>
      <c r="C1461" s="18"/>
      <c r="D1461" s="18"/>
      <c r="E1461" s="18"/>
      <c r="F1461" s="18"/>
      <c r="G1461" s="22"/>
      <c r="H1461" s="18"/>
      <c r="I1461" s="18"/>
      <c r="J1461" s="18"/>
      <c r="K1461" s="18"/>
      <c r="L1461" s="18"/>
      <c r="M1461" s="22"/>
      <c r="N1461" s="18"/>
      <c r="O1461" s="23"/>
      <c r="P1461" s="18"/>
      <c r="Q1461" s="18"/>
      <c r="R1461" s="18"/>
      <c r="S1461" s="22"/>
      <c r="T1461" s="6" t="str">
        <f t="array" ref="T1461">IF(
  B1461="",
  ,
  DATEDIF(
    B1461 + IF(INDEX(Input!$K$7:$K1503,ROW()-1),0,1),
    C1461 + IF(INDEX(Input!$L$7:$L1503,ROW()-1),1,0),
    "Y"
  )
)</f>
        <v/>
      </c>
      <c r="U1461" s="6" t="str">
        <f t="array" ref="U1461">IF(
  B1461="",
  ,
  (C1461 + IF(INDEX(Input!$L$7:$L1503,ROW()-1),1,0))
  - EDATE(
      B1461 + IF(INDEX(Input!$K$7:$K1503,ROW()-1),0,1),
      12*S1461
    )
)</f>
        <v/>
      </c>
      <c r="V1461" s="6" t="str">
        <f t="shared" si="5"/>
        <v/>
      </c>
      <c r="W1461" s="6" t="str">
        <f t="shared" si="6"/>
        <v/>
      </c>
    </row>
    <row r="1462">
      <c r="A1462" s="18"/>
      <c r="B1462" s="18"/>
      <c r="C1462" s="18"/>
      <c r="D1462" s="18"/>
      <c r="E1462" s="18"/>
      <c r="F1462" s="18"/>
      <c r="G1462" s="22"/>
      <c r="H1462" s="18"/>
      <c r="I1462" s="18"/>
      <c r="J1462" s="18"/>
      <c r="K1462" s="18"/>
      <c r="L1462" s="18"/>
      <c r="M1462" s="22"/>
      <c r="N1462" s="18"/>
      <c r="O1462" s="23"/>
      <c r="P1462" s="18"/>
      <c r="Q1462" s="18"/>
      <c r="R1462" s="18"/>
      <c r="S1462" s="22"/>
      <c r="T1462" s="6" t="str">
        <f t="array" ref="T1462">IF(
  B1462="",
  ,
  DATEDIF(
    B1462 + IF(INDEX(Input!$K$7:$K1503,ROW()-1),0,1),
    C1462 + IF(INDEX(Input!$L$7:$L1503,ROW()-1),1,0),
    "Y"
  )
)</f>
        <v/>
      </c>
      <c r="U1462" s="6" t="str">
        <f t="array" ref="U1462">IF(
  B1462="",
  ,
  (C1462 + IF(INDEX(Input!$L$7:$L1503,ROW()-1),1,0))
  - EDATE(
      B1462 + IF(INDEX(Input!$K$7:$K1503,ROW()-1),0,1),
      12*S1462
    )
)</f>
        <v/>
      </c>
      <c r="V1462" s="6" t="str">
        <f t="shared" si="5"/>
        <v/>
      </c>
      <c r="W1462" s="6" t="str">
        <f t="shared" si="6"/>
        <v/>
      </c>
    </row>
    <row r="1463">
      <c r="A1463" s="18"/>
      <c r="B1463" s="18"/>
      <c r="C1463" s="18"/>
      <c r="D1463" s="18"/>
      <c r="E1463" s="18"/>
      <c r="F1463" s="18"/>
      <c r="G1463" s="22"/>
      <c r="H1463" s="18"/>
      <c r="I1463" s="18"/>
      <c r="J1463" s="18"/>
      <c r="K1463" s="18"/>
      <c r="L1463" s="18"/>
      <c r="M1463" s="22"/>
      <c r="N1463" s="18"/>
      <c r="O1463" s="23"/>
      <c r="P1463" s="18"/>
      <c r="Q1463" s="18"/>
      <c r="R1463" s="18"/>
      <c r="S1463" s="22"/>
      <c r="T1463" s="6" t="str">
        <f t="array" ref="T1463">IF(
  B1463="",
  ,
  DATEDIF(
    B1463 + IF(INDEX(Input!$K$7:$K1503,ROW()-1),0,1),
    C1463 + IF(INDEX(Input!$L$7:$L1503,ROW()-1),1,0),
    "Y"
  )
)</f>
        <v/>
      </c>
      <c r="U1463" s="6" t="str">
        <f t="array" ref="U1463">IF(
  B1463="",
  ,
  (C1463 + IF(INDEX(Input!$L$7:$L1503,ROW()-1),1,0))
  - EDATE(
      B1463 + IF(INDEX(Input!$K$7:$K1503,ROW()-1),0,1),
      12*S1463
    )
)</f>
        <v/>
      </c>
      <c r="V1463" s="6" t="str">
        <f t="shared" si="5"/>
        <v/>
      </c>
      <c r="W1463" s="6" t="str">
        <f t="shared" si="6"/>
        <v/>
      </c>
    </row>
    <row r="1464">
      <c r="A1464" s="18"/>
      <c r="B1464" s="18"/>
      <c r="C1464" s="18"/>
      <c r="D1464" s="18"/>
      <c r="E1464" s="18"/>
      <c r="F1464" s="18"/>
      <c r="G1464" s="22"/>
      <c r="H1464" s="18"/>
      <c r="I1464" s="18"/>
      <c r="J1464" s="18"/>
      <c r="K1464" s="18"/>
      <c r="L1464" s="18"/>
      <c r="M1464" s="22"/>
      <c r="N1464" s="18"/>
      <c r="O1464" s="23"/>
      <c r="P1464" s="18"/>
      <c r="Q1464" s="18"/>
      <c r="R1464" s="18"/>
      <c r="S1464" s="22"/>
      <c r="T1464" s="6" t="str">
        <f t="array" ref="T1464">IF(
  B1464="",
  ,
  DATEDIF(
    B1464 + IF(INDEX(Input!$K$7:$K1503,ROW()-1),0,1),
    C1464 + IF(INDEX(Input!$L$7:$L1503,ROW()-1),1,0),
    "Y"
  )
)</f>
        <v/>
      </c>
      <c r="U1464" s="6" t="str">
        <f t="array" ref="U1464">IF(
  B1464="",
  ,
  (C1464 + IF(INDEX(Input!$L$7:$L1503,ROW()-1),1,0))
  - EDATE(
      B1464 + IF(INDEX(Input!$K$7:$K1503,ROW()-1),0,1),
      12*S1464
    )
)</f>
        <v/>
      </c>
      <c r="V1464" s="6" t="str">
        <f t="shared" si="5"/>
        <v/>
      </c>
      <c r="W1464" s="6" t="str">
        <f t="shared" si="6"/>
        <v/>
      </c>
    </row>
    <row r="1465">
      <c r="A1465" s="18"/>
      <c r="B1465" s="18"/>
      <c r="C1465" s="18"/>
      <c r="D1465" s="18"/>
      <c r="E1465" s="18"/>
      <c r="F1465" s="18"/>
      <c r="G1465" s="22"/>
      <c r="H1465" s="18"/>
      <c r="I1465" s="18"/>
      <c r="J1465" s="18"/>
      <c r="K1465" s="18"/>
      <c r="L1465" s="18"/>
      <c r="M1465" s="22"/>
      <c r="N1465" s="18"/>
      <c r="O1465" s="23"/>
      <c r="P1465" s="18"/>
      <c r="Q1465" s="18"/>
      <c r="R1465" s="18"/>
      <c r="S1465" s="22"/>
      <c r="T1465" s="6" t="str">
        <f t="array" ref="T1465">IF(
  B1465="",
  ,
  DATEDIF(
    B1465 + IF(INDEX(Input!$K$7:$K1503,ROW()-1),0,1),
    C1465 + IF(INDEX(Input!$L$7:$L1503,ROW()-1),1,0),
    "Y"
  )
)</f>
        <v/>
      </c>
      <c r="U1465" s="6" t="str">
        <f t="array" ref="U1465">IF(
  B1465="",
  ,
  (C1465 + IF(INDEX(Input!$L$7:$L1503,ROW()-1),1,0))
  - EDATE(
      B1465 + IF(INDEX(Input!$K$7:$K1503,ROW()-1),0,1),
      12*S1465
    )
)</f>
        <v/>
      </c>
      <c r="V1465" s="6" t="str">
        <f t="shared" si="5"/>
        <v/>
      </c>
      <c r="W1465" s="6" t="str">
        <f t="shared" si="6"/>
        <v/>
      </c>
    </row>
    <row r="1466">
      <c r="A1466" s="18"/>
      <c r="B1466" s="18"/>
      <c r="C1466" s="18"/>
      <c r="D1466" s="18"/>
      <c r="E1466" s="18"/>
      <c r="F1466" s="18"/>
      <c r="G1466" s="22"/>
      <c r="H1466" s="18"/>
      <c r="I1466" s="18"/>
      <c r="J1466" s="18"/>
      <c r="K1466" s="18"/>
      <c r="L1466" s="18"/>
      <c r="M1466" s="22"/>
      <c r="N1466" s="18"/>
      <c r="O1466" s="23"/>
      <c r="P1466" s="18"/>
      <c r="Q1466" s="18"/>
      <c r="R1466" s="18"/>
      <c r="S1466" s="22"/>
      <c r="T1466" s="6" t="str">
        <f t="array" ref="T1466">IF(
  B1466="",
  ,
  DATEDIF(
    B1466 + IF(INDEX(Input!$K$7:$K1503,ROW()-1),0,1),
    C1466 + IF(INDEX(Input!$L$7:$L1503,ROW()-1),1,0),
    "Y"
  )
)</f>
        <v/>
      </c>
      <c r="U1466" s="6" t="str">
        <f t="array" ref="U1466">IF(
  B1466="",
  ,
  (C1466 + IF(INDEX(Input!$L$7:$L1503,ROW()-1),1,0))
  - EDATE(
      B1466 + IF(INDEX(Input!$K$7:$K1503,ROW()-1),0,1),
      12*S1466
    )
)</f>
        <v/>
      </c>
      <c r="V1466" s="6" t="str">
        <f t="shared" si="5"/>
        <v/>
      </c>
      <c r="W1466" s="6" t="str">
        <f t="shared" si="6"/>
        <v/>
      </c>
    </row>
    <row r="1467">
      <c r="A1467" s="18"/>
      <c r="B1467" s="18"/>
      <c r="C1467" s="18"/>
      <c r="D1467" s="18"/>
      <c r="E1467" s="18"/>
      <c r="F1467" s="18"/>
      <c r="G1467" s="22"/>
      <c r="H1467" s="18"/>
      <c r="I1467" s="18"/>
      <c r="J1467" s="18"/>
      <c r="K1467" s="18"/>
      <c r="L1467" s="18"/>
      <c r="M1467" s="22"/>
      <c r="N1467" s="18"/>
      <c r="O1467" s="23"/>
      <c r="P1467" s="18"/>
      <c r="Q1467" s="18"/>
      <c r="R1467" s="18"/>
      <c r="S1467" s="22"/>
      <c r="T1467" s="6" t="str">
        <f t="array" ref="T1467">IF(
  B1467="",
  ,
  DATEDIF(
    B1467 + IF(INDEX(Input!$K$7:$K1503,ROW()-1),0,1),
    C1467 + IF(INDEX(Input!$L$7:$L1503,ROW()-1),1,0),
    "Y"
  )
)</f>
        <v/>
      </c>
      <c r="U1467" s="6" t="str">
        <f t="array" ref="U1467">IF(
  B1467="",
  ,
  (C1467 + IF(INDEX(Input!$L$7:$L1503,ROW()-1),1,0))
  - EDATE(
      B1467 + IF(INDEX(Input!$K$7:$K1503,ROW()-1),0,1),
      12*S1467
    )
)</f>
        <v/>
      </c>
      <c r="V1467" s="6" t="str">
        <f t="shared" si="5"/>
        <v/>
      </c>
      <c r="W1467" s="6" t="str">
        <f t="shared" si="6"/>
        <v/>
      </c>
    </row>
    <row r="1468">
      <c r="A1468" s="18"/>
      <c r="B1468" s="18"/>
      <c r="C1468" s="18"/>
      <c r="D1468" s="18"/>
      <c r="E1468" s="18"/>
      <c r="F1468" s="18"/>
      <c r="G1468" s="22"/>
      <c r="H1468" s="18"/>
      <c r="I1468" s="18"/>
      <c r="J1468" s="18"/>
      <c r="K1468" s="18"/>
      <c r="L1468" s="18"/>
      <c r="M1468" s="22"/>
      <c r="N1468" s="18"/>
      <c r="O1468" s="23"/>
      <c r="P1468" s="18"/>
      <c r="Q1468" s="18"/>
      <c r="R1468" s="18"/>
      <c r="S1468" s="22"/>
      <c r="T1468" s="6" t="str">
        <f t="array" ref="T1468">IF(
  B1468="",
  ,
  DATEDIF(
    B1468 + IF(INDEX(Input!$K$7:$K1503,ROW()-1),0,1),
    C1468 + IF(INDEX(Input!$L$7:$L1503,ROW()-1),1,0),
    "Y"
  )
)</f>
        <v/>
      </c>
      <c r="U1468" s="6" t="str">
        <f t="array" ref="U1468">IF(
  B1468="",
  ,
  (C1468 + IF(INDEX(Input!$L$7:$L1503,ROW()-1),1,0))
  - EDATE(
      B1468 + IF(INDEX(Input!$K$7:$K1503,ROW()-1),0,1),
      12*S1468
    )
)</f>
        <v/>
      </c>
      <c r="V1468" s="6" t="str">
        <f t="shared" si="5"/>
        <v/>
      </c>
      <c r="W1468" s="6" t="str">
        <f t="shared" si="6"/>
        <v/>
      </c>
    </row>
    <row r="1469">
      <c r="A1469" s="18"/>
      <c r="B1469" s="18"/>
      <c r="C1469" s="18"/>
      <c r="D1469" s="18"/>
      <c r="E1469" s="18"/>
      <c r="F1469" s="18"/>
      <c r="G1469" s="22"/>
      <c r="H1469" s="18"/>
      <c r="I1469" s="18"/>
      <c r="J1469" s="18"/>
      <c r="K1469" s="18"/>
      <c r="L1469" s="18"/>
      <c r="M1469" s="22"/>
      <c r="N1469" s="18"/>
      <c r="O1469" s="23"/>
      <c r="P1469" s="18"/>
      <c r="Q1469" s="18"/>
      <c r="R1469" s="18"/>
      <c r="S1469" s="22"/>
      <c r="T1469" s="6" t="str">
        <f t="array" ref="T1469">IF(
  B1469="",
  ,
  DATEDIF(
    B1469 + IF(INDEX(Input!$K$7:$K1503,ROW()-1),0,1),
    C1469 + IF(INDEX(Input!$L$7:$L1503,ROW()-1),1,0),
    "Y"
  )
)</f>
        <v/>
      </c>
      <c r="U1469" s="6" t="str">
        <f t="array" ref="U1469">IF(
  B1469="",
  ,
  (C1469 + IF(INDEX(Input!$L$7:$L1503,ROW()-1),1,0))
  - EDATE(
      B1469 + IF(INDEX(Input!$K$7:$K1503,ROW()-1),0,1),
      12*S1469
    )
)</f>
        <v/>
      </c>
      <c r="V1469" s="6" t="str">
        <f t="shared" si="5"/>
        <v/>
      </c>
      <c r="W1469" s="6" t="str">
        <f t="shared" si="6"/>
        <v/>
      </c>
    </row>
    <row r="1470">
      <c r="A1470" s="18"/>
      <c r="B1470" s="18"/>
      <c r="C1470" s="18"/>
      <c r="D1470" s="18"/>
      <c r="E1470" s="18"/>
      <c r="F1470" s="18"/>
      <c r="G1470" s="22"/>
      <c r="H1470" s="18"/>
      <c r="I1470" s="18"/>
      <c r="J1470" s="18"/>
      <c r="K1470" s="18"/>
      <c r="L1470" s="18"/>
      <c r="M1470" s="22"/>
      <c r="N1470" s="18"/>
      <c r="O1470" s="23"/>
      <c r="P1470" s="18"/>
      <c r="Q1470" s="18"/>
      <c r="R1470" s="18"/>
      <c r="S1470" s="22"/>
      <c r="T1470" s="6" t="str">
        <f t="array" ref="T1470">IF(
  B1470="",
  ,
  DATEDIF(
    B1470 + IF(INDEX(Input!$K$7:$K1503,ROW()-1),0,1),
    C1470 + IF(INDEX(Input!$L$7:$L1503,ROW()-1),1,0),
    "Y"
  )
)</f>
        <v/>
      </c>
      <c r="U1470" s="6" t="str">
        <f t="array" ref="U1470">IF(
  B1470="",
  ,
  (C1470 + IF(INDEX(Input!$L$7:$L1503,ROW()-1),1,0))
  - EDATE(
      B1470 + IF(INDEX(Input!$K$7:$K1503,ROW()-1),0,1),
      12*S1470
    )
)</f>
        <v/>
      </c>
      <c r="V1470" s="6" t="str">
        <f t="shared" si="5"/>
        <v/>
      </c>
      <c r="W1470" s="6" t="str">
        <f t="shared" si="6"/>
        <v/>
      </c>
    </row>
    <row r="1471">
      <c r="A1471" s="18"/>
      <c r="B1471" s="18"/>
      <c r="C1471" s="18"/>
      <c r="D1471" s="18"/>
      <c r="E1471" s="18"/>
      <c r="F1471" s="18"/>
      <c r="G1471" s="22"/>
      <c r="H1471" s="18"/>
      <c r="I1471" s="18"/>
      <c r="J1471" s="18"/>
      <c r="K1471" s="18"/>
      <c r="L1471" s="18"/>
      <c r="M1471" s="22"/>
      <c r="N1471" s="18"/>
      <c r="O1471" s="23"/>
      <c r="P1471" s="18"/>
      <c r="Q1471" s="18"/>
      <c r="R1471" s="18"/>
      <c r="S1471" s="22"/>
      <c r="T1471" s="6" t="str">
        <f t="array" ref="T1471">IF(
  B1471="",
  ,
  DATEDIF(
    B1471 + IF(INDEX(Input!$K$7:$K1503,ROW()-1),0,1),
    C1471 + IF(INDEX(Input!$L$7:$L1503,ROW()-1),1,0),
    "Y"
  )
)</f>
        <v/>
      </c>
      <c r="U1471" s="6" t="str">
        <f t="array" ref="U1471">IF(
  B1471="",
  ,
  (C1471 + IF(INDEX(Input!$L$7:$L1503,ROW()-1),1,0))
  - EDATE(
      B1471 + IF(INDEX(Input!$K$7:$K1503,ROW()-1),0,1),
      12*S1471
    )
)</f>
        <v/>
      </c>
      <c r="V1471" s="6" t="str">
        <f t="shared" si="5"/>
        <v/>
      </c>
      <c r="W1471" s="6" t="str">
        <f t="shared" si="6"/>
        <v/>
      </c>
    </row>
    <row r="1472">
      <c r="A1472" s="18"/>
      <c r="B1472" s="18"/>
      <c r="C1472" s="18"/>
      <c r="D1472" s="18"/>
      <c r="E1472" s="18"/>
      <c r="F1472" s="18"/>
      <c r="G1472" s="22"/>
      <c r="H1472" s="18"/>
      <c r="I1472" s="18"/>
      <c r="J1472" s="18"/>
      <c r="K1472" s="18"/>
      <c r="L1472" s="18"/>
      <c r="M1472" s="22"/>
      <c r="N1472" s="18"/>
      <c r="O1472" s="23"/>
      <c r="P1472" s="18"/>
      <c r="Q1472" s="18"/>
      <c r="R1472" s="18"/>
      <c r="S1472" s="22"/>
      <c r="T1472" s="6" t="str">
        <f t="array" ref="T1472">IF(
  B1472="",
  ,
  DATEDIF(
    B1472 + IF(INDEX(Input!$K$7:$K1503,ROW()-1),0,1),
    C1472 + IF(INDEX(Input!$L$7:$L1503,ROW()-1),1,0),
    "Y"
  )
)</f>
        <v/>
      </c>
      <c r="U1472" s="6" t="str">
        <f t="array" ref="U1472">IF(
  B1472="",
  ,
  (C1472 + IF(INDEX(Input!$L$7:$L1503,ROW()-1),1,0))
  - EDATE(
      B1472 + IF(INDEX(Input!$K$7:$K1503,ROW()-1),0,1),
      12*S1472
    )
)</f>
        <v/>
      </c>
      <c r="V1472" s="6" t="str">
        <f t="shared" si="5"/>
        <v/>
      </c>
      <c r="W1472" s="6" t="str">
        <f t="shared" si="6"/>
        <v/>
      </c>
    </row>
    <row r="1473">
      <c r="A1473" s="18"/>
      <c r="B1473" s="18"/>
      <c r="C1473" s="18"/>
      <c r="D1473" s="18"/>
      <c r="E1473" s="18"/>
      <c r="F1473" s="18"/>
      <c r="G1473" s="22"/>
      <c r="H1473" s="18"/>
      <c r="I1473" s="18"/>
      <c r="J1473" s="18"/>
      <c r="K1473" s="18"/>
      <c r="L1473" s="18"/>
      <c r="M1473" s="22"/>
      <c r="N1473" s="18"/>
      <c r="O1473" s="23"/>
      <c r="P1473" s="18"/>
      <c r="Q1473" s="18"/>
      <c r="R1473" s="18"/>
      <c r="S1473" s="22"/>
      <c r="T1473" s="6" t="str">
        <f t="array" ref="T1473">IF(
  B1473="",
  ,
  DATEDIF(
    B1473 + IF(INDEX(Input!$K$7:$K1503,ROW()-1),0,1),
    C1473 + IF(INDEX(Input!$L$7:$L1503,ROW()-1),1,0),
    "Y"
  )
)</f>
        <v/>
      </c>
      <c r="U1473" s="6" t="str">
        <f t="array" ref="U1473">IF(
  B1473="",
  ,
  (C1473 + IF(INDEX(Input!$L$7:$L1503,ROW()-1),1,0))
  - EDATE(
      B1473 + IF(INDEX(Input!$K$7:$K1503,ROW()-1),0,1),
      12*S1473
    )
)</f>
        <v/>
      </c>
      <c r="V1473" s="6" t="str">
        <f t="shared" si="5"/>
        <v/>
      </c>
      <c r="W1473" s="6" t="str">
        <f t="shared" si="6"/>
        <v/>
      </c>
    </row>
    <row r="1474">
      <c r="A1474" s="18"/>
      <c r="B1474" s="18"/>
      <c r="C1474" s="18"/>
      <c r="D1474" s="18"/>
      <c r="E1474" s="18"/>
      <c r="F1474" s="18"/>
      <c r="G1474" s="22"/>
      <c r="H1474" s="18"/>
      <c r="I1474" s="18"/>
      <c r="J1474" s="18"/>
      <c r="K1474" s="18"/>
      <c r="L1474" s="18"/>
      <c r="M1474" s="22"/>
      <c r="N1474" s="18"/>
      <c r="O1474" s="23"/>
      <c r="P1474" s="18"/>
      <c r="Q1474" s="18"/>
      <c r="R1474" s="18"/>
      <c r="S1474" s="22"/>
      <c r="T1474" s="6" t="str">
        <f t="array" ref="T1474">IF(
  B1474="",
  ,
  DATEDIF(
    B1474 + IF(INDEX(Input!$K$7:$K1503,ROW()-1),0,1),
    C1474 + IF(INDEX(Input!$L$7:$L1503,ROW()-1),1,0),
    "Y"
  )
)</f>
        <v/>
      </c>
      <c r="U1474" s="6" t="str">
        <f t="array" ref="U1474">IF(
  B1474="",
  ,
  (C1474 + IF(INDEX(Input!$L$7:$L1503,ROW()-1),1,0))
  - EDATE(
      B1474 + IF(INDEX(Input!$K$7:$K1503,ROW()-1),0,1),
      12*S1474
    )
)</f>
        <v/>
      </c>
      <c r="V1474" s="6" t="str">
        <f t="shared" si="5"/>
        <v/>
      </c>
      <c r="W1474" s="6" t="str">
        <f t="shared" si="6"/>
        <v/>
      </c>
    </row>
    <row r="1475">
      <c r="A1475" s="18"/>
      <c r="B1475" s="18"/>
      <c r="C1475" s="18"/>
      <c r="D1475" s="18"/>
      <c r="E1475" s="18"/>
      <c r="F1475" s="18"/>
      <c r="G1475" s="22"/>
      <c r="H1475" s="18"/>
      <c r="I1475" s="18"/>
      <c r="J1475" s="18"/>
      <c r="K1475" s="18"/>
      <c r="L1475" s="18"/>
      <c r="M1475" s="22"/>
      <c r="N1475" s="18"/>
      <c r="O1475" s="23"/>
      <c r="P1475" s="18"/>
      <c r="Q1475" s="18"/>
      <c r="R1475" s="18"/>
      <c r="S1475" s="22"/>
      <c r="T1475" s="6" t="str">
        <f t="array" ref="T1475">IF(
  B1475="",
  ,
  DATEDIF(
    B1475 + IF(INDEX(Input!$K$7:$K1503,ROW()-1),0,1),
    C1475 + IF(INDEX(Input!$L$7:$L1503,ROW()-1),1,0),
    "Y"
  )
)</f>
        <v/>
      </c>
      <c r="U1475" s="6" t="str">
        <f t="array" ref="U1475">IF(
  B1475="",
  ,
  (C1475 + IF(INDEX(Input!$L$7:$L1503,ROW()-1),1,0))
  - EDATE(
      B1475 + IF(INDEX(Input!$K$7:$K1503,ROW()-1),0,1),
      12*S1475
    )
)</f>
        <v/>
      </c>
      <c r="V1475" s="6" t="str">
        <f t="shared" si="5"/>
        <v/>
      </c>
      <c r="W1475" s="6" t="str">
        <f t="shared" si="6"/>
        <v/>
      </c>
    </row>
    <row r="1476">
      <c r="A1476" s="18"/>
      <c r="B1476" s="18"/>
      <c r="C1476" s="18"/>
      <c r="D1476" s="18"/>
      <c r="E1476" s="18"/>
      <c r="F1476" s="18"/>
      <c r="G1476" s="22"/>
      <c r="H1476" s="18"/>
      <c r="I1476" s="18"/>
      <c r="J1476" s="18"/>
      <c r="K1476" s="18"/>
      <c r="L1476" s="18"/>
      <c r="M1476" s="22"/>
      <c r="N1476" s="18"/>
      <c r="O1476" s="23"/>
      <c r="P1476" s="18"/>
      <c r="Q1476" s="18"/>
      <c r="R1476" s="18"/>
      <c r="S1476" s="22"/>
      <c r="T1476" s="6" t="str">
        <f t="array" ref="T1476">IF(
  B1476="",
  ,
  DATEDIF(
    B1476 + IF(INDEX(Input!$K$7:$K1503,ROW()-1),0,1),
    C1476 + IF(INDEX(Input!$L$7:$L1503,ROW()-1),1,0),
    "Y"
  )
)</f>
        <v/>
      </c>
      <c r="U1476" s="6" t="str">
        <f t="array" ref="U1476">IF(
  B1476="",
  ,
  (C1476 + IF(INDEX(Input!$L$7:$L1503,ROW()-1),1,0))
  - EDATE(
      B1476 + IF(INDEX(Input!$K$7:$K1503,ROW()-1),0,1),
      12*S1476
    )
)</f>
        <v/>
      </c>
      <c r="V1476" s="6" t="str">
        <f t="shared" si="5"/>
        <v/>
      </c>
      <c r="W1476" s="6" t="str">
        <f t="shared" si="6"/>
        <v/>
      </c>
    </row>
    <row r="1477">
      <c r="A1477" s="18"/>
      <c r="B1477" s="18"/>
      <c r="C1477" s="18"/>
      <c r="D1477" s="18"/>
      <c r="E1477" s="18"/>
      <c r="F1477" s="18"/>
      <c r="G1477" s="22"/>
      <c r="H1477" s="18"/>
      <c r="I1477" s="18"/>
      <c r="J1477" s="18"/>
      <c r="K1477" s="18"/>
      <c r="L1477" s="18"/>
      <c r="M1477" s="22"/>
      <c r="N1477" s="18"/>
      <c r="O1477" s="23"/>
      <c r="P1477" s="18"/>
      <c r="Q1477" s="18"/>
      <c r="R1477" s="18"/>
      <c r="S1477" s="22"/>
      <c r="T1477" s="6" t="str">
        <f t="array" ref="T1477">IF(
  B1477="",
  ,
  DATEDIF(
    B1477 + IF(INDEX(Input!$K$7:$K1503,ROW()-1),0,1),
    C1477 + IF(INDEX(Input!$L$7:$L1503,ROW()-1),1,0),
    "Y"
  )
)</f>
        <v/>
      </c>
      <c r="U1477" s="6" t="str">
        <f t="array" ref="U1477">IF(
  B1477="",
  ,
  (C1477 + IF(INDEX(Input!$L$7:$L1503,ROW()-1),1,0))
  - EDATE(
      B1477 + IF(INDEX(Input!$K$7:$K1503,ROW()-1),0,1),
      12*S1477
    )
)</f>
        <v/>
      </c>
      <c r="V1477" s="6" t="str">
        <f t="shared" si="5"/>
        <v/>
      </c>
      <c r="W1477" s="6" t="str">
        <f t="shared" si="6"/>
        <v/>
      </c>
    </row>
    <row r="1478">
      <c r="A1478" s="18"/>
      <c r="B1478" s="18"/>
      <c r="C1478" s="18"/>
      <c r="D1478" s="18"/>
      <c r="E1478" s="18"/>
      <c r="F1478" s="18"/>
      <c r="G1478" s="22"/>
      <c r="H1478" s="18"/>
      <c r="I1478" s="18"/>
      <c r="J1478" s="18"/>
      <c r="K1478" s="18"/>
      <c r="L1478" s="18"/>
      <c r="M1478" s="22"/>
      <c r="N1478" s="18"/>
      <c r="O1478" s="23"/>
      <c r="P1478" s="18"/>
      <c r="Q1478" s="18"/>
      <c r="R1478" s="18"/>
      <c r="S1478" s="22"/>
      <c r="T1478" s="6" t="str">
        <f t="array" ref="T1478">IF(
  B1478="",
  ,
  DATEDIF(
    B1478 + IF(INDEX(Input!$K$7:$K1503,ROW()-1),0,1),
    C1478 + IF(INDEX(Input!$L$7:$L1503,ROW()-1),1,0),
    "Y"
  )
)</f>
        <v/>
      </c>
      <c r="U1478" s="6" t="str">
        <f t="array" ref="U1478">IF(
  B1478="",
  ,
  (C1478 + IF(INDEX(Input!$L$7:$L1503,ROW()-1),1,0))
  - EDATE(
      B1478 + IF(INDEX(Input!$K$7:$K1503,ROW()-1),0,1),
      12*S1478
    )
)</f>
        <v/>
      </c>
      <c r="V1478" s="6" t="str">
        <f t="shared" si="5"/>
        <v/>
      </c>
      <c r="W1478" s="6" t="str">
        <f t="shared" si="6"/>
        <v/>
      </c>
    </row>
    <row r="1479">
      <c r="A1479" s="18"/>
      <c r="B1479" s="18"/>
      <c r="C1479" s="18"/>
      <c r="D1479" s="18"/>
      <c r="E1479" s="18"/>
      <c r="F1479" s="18"/>
      <c r="G1479" s="22"/>
      <c r="H1479" s="18"/>
      <c r="I1479" s="18"/>
      <c r="J1479" s="18"/>
      <c r="K1479" s="18"/>
      <c r="L1479" s="18"/>
      <c r="M1479" s="22"/>
      <c r="N1479" s="18"/>
      <c r="O1479" s="23"/>
      <c r="P1479" s="18"/>
      <c r="Q1479" s="18"/>
      <c r="R1479" s="18"/>
      <c r="S1479" s="22"/>
      <c r="T1479" s="6" t="str">
        <f t="array" ref="T1479">IF(
  B1479="",
  ,
  DATEDIF(
    B1479 + IF(INDEX(Input!$K$7:$K1503,ROW()-1),0,1),
    C1479 + IF(INDEX(Input!$L$7:$L1503,ROW()-1),1,0),
    "Y"
  )
)</f>
        <v/>
      </c>
      <c r="U1479" s="6" t="str">
        <f t="array" ref="U1479">IF(
  B1479="",
  ,
  (C1479 + IF(INDEX(Input!$L$7:$L1503,ROW()-1),1,0))
  - EDATE(
      B1479 + IF(INDEX(Input!$K$7:$K1503,ROW()-1),0,1),
      12*S1479
    )
)</f>
        <v/>
      </c>
      <c r="V1479" s="6" t="str">
        <f t="shared" si="5"/>
        <v/>
      </c>
      <c r="W1479" s="6" t="str">
        <f t="shared" si="6"/>
        <v/>
      </c>
    </row>
    <row r="1480">
      <c r="A1480" s="18"/>
      <c r="B1480" s="18"/>
      <c r="C1480" s="18"/>
      <c r="D1480" s="18"/>
      <c r="E1480" s="18"/>
      <c r="F1480" s="18"/>
      <c r="G1480" s="22"/>
      <c r="H1480" s="18"/>
      <c r="I1480" s="18"/>
      <c r="J1480" s="18"/>
      <c r="K1480" s="18"/>
      <c r="L1480" s="18"/>
      <c r="M1480" s="22"/>
      <c r="N1480" s="18"/>
      <c r="O1480" s="23"/>
      <c r="P1480" s="18"/>
      <c r="Q1480" s="18"/>
      <c r="R1480" s="18"/>
      <c r="S1480" s="22"/>
      <c r="T1480" s="6" t="str">
        <f t="array" ref="T1480">IF(
  B1480="",
  ,
  DATEDIF(
    B1480 + IF(INDEX(Input!$K$7:$K1503,ROW()-1),0,1),
    C1480 + IF(INDEX(Input!$L$7:$L1503,ROW()-1),1,0),
    "Y"
  )
)</f>
        <v/>
      </c>
      <c r="U1480" s="6" t="str">
        <f t="array" ref="U1480">IF(
  B1480="",
  ,
  (C1480 + IF(INDEX(Input!$L$7:$L1503,ROW()-1),1,0))
  - EDATE(
      B1480 + IF(INDEX(Input!$K$7:$K1503,ROW()-1),0,1),
      12*S1480
    )
)</f>
        <v/>
      </c>
      <c r="V1480" s="6" t="str">
        <f t="shared" si="5"/>
        <v/>
      </c>
      <c r="W1480" s="6" t="str">
        <f t="shared" si="6"/>
        <v/>
      </c>
    </row>
    <row r="1481">
      <c r="A1481" s="18"/>
      <c r="B1481" s="18"/>
      <c r="C1481" s="18"/>
      <c r="D1481" s="18"/>
      <c r="E1481" s="18"/>
      <c r="F1481" s="18"/>
      <c r="G1481" s="22"/>
      <c r="H1481" s="18"/>
      <c r="I1481" s="18"/>
      <c r="J1481" s="18"/>
      <c r="K1481" s="18"/>
      <c r="L1481" s="18"/>
      <c r="M1481" s="22"/>
      <c r="N1481" s="18"/>
      <c r="O1481" s="23"/>
      <c r="P1481" s="18"/>
      <c r="Q1481" s="18"/>
      <c r="R1481" s="18"/>
      <c r="S1481" s="22"/>
      <c r="T1481" s="6" t="str">
        <f t="array" ref="T1481">IF(
  B1481="",
  ,
  DATEDIF(
    B1481 + IF(INDEX(Input!$K$7:$K1503,ROW()-1),0,1),
    C1481 + IF(INDEX(Input!$L$7:$L1503,ROW()-1),1,0),
    "Y"
  )
)</f>
        <v/>
      </c>
      <c r="U1481" s="6" t="str">
        <f t="array" ref="U1481">IF(
  B1481="",
  ,
  (C1481 + IF(INDEX(Input!$L$7:$L1503,ROW()-1),1,0))
  - EDATE(
      B1481 + IF(INDEX(Input!$K$7:$K1503,ROW()-1),0,1),
      12*S1481
    )
)</f>
        <v/>
      </c>
      <c r="V1481" s="6" t="str">
        <f t="shared" si="5"/>
        <v/>
      </c>
      <c r="W1481" s="6" t="str">
        <f t="shared" si="6"/>
        <v/>
      </c>
    </row>
    <row r="1482">
      <c r="A1482" s="18"/>
      <c r="B1482" s="18"/>
      <c r="C1482" s="18"/>
      <c r="D1482" s="18"/>
      <c r="E1482" s="18"/>
      <c r="F1482" s="18"/>
      <c r="G1482" s="22"/>
      <c r="H1482" s="18"/>
      <c r="I1482" s="18"/>
      <c r="J1482" s="18"/>
      <c r="K1482" s="18"/>
      <c r="L1482" s="18"/>
      <c r="M1482" s="22"/>
      <c r="N1482" s="18"/>
      <c r="O1482" s="23"/>
      <c r="P1482" s="18"/>
      <c r="Q1482" s="18"/>
      <c r="R1482" s="18"/>
      <c r="S1482" s="22"/>
      <c r="T1482" s="6" t="str">
        <f t="array" ref="T1482">IF(
  B1482="",
  ,
  DATEDIF(
    B1482 + IF(INDEX(Input!$K$7:$K1503,ROW()-1),0,1),
    C1482 + IF(INDEX(Input!$L$7:$L1503,ROW()-1),1,0),
    "Y"
  )
)</f>
        <v/>
      </c>
      <c r="U1482" s="6" t="str">
        <f t="array" ref="U1482">IF(
  B1482="",
  ,
  (C1482 + IF(INDEX(Input!$L$7:$L1503,ROW()-1),1,0))
  - EDATE(
      B1482 + IF(INDEX(Input!$K$7:$K1503,ROW()-1),0,1),
      12*S1482
    )
)</f>
        <v/>
      </c>
      <c r="V1482" s="6" t="str">
        <f t="shared" si="5"/>
        <v/>
      </c>
      <c r="W1482" s="6" t="str">
        <f t="shared" si="6"/>
        <v/>
      </c>
    </row>
    <row r="1483">
      <c r="A1483" s="18"/>
      <c r="B1483" s="18"/>
      <c r="C1483" s="18"/>
      <c r="D1483" s="18"/>
      <c r="E1483" s="18"/>
      <c r="F1483" s="18"/>
      <c r="G1483" s="22"/>
      <c r="H1483" s="18"/>
      <c r="I1483" s="18"/>
      <c r="J1483" s="18"/>
      <c r="K1483" s="18"/>
      <c r="L1483" s="18"/>
      <c r="M1483" s="22"/>
      <c r="N1483" s="18"/>
      <c r="O1483" s="23"/>
      <c r="P1483" s="18"/>
      <c r="Q1483" s="18"/>
      <c r="R1483" s="18"/>
      <c r="S1483" s="22"/>
      <c r="T1483" s="6" t="str">
        <f t="array" ref="T1483">IF(
  B1483="",
  ,
  DATEDIF(
    B1483 + IF(INDEX(Input!$K$7:$K1503,ROW()-1),0,1),
    C1483 + IF(INDEX(Input!$L$7:$L1503,ROW()-1),1,0),
    "Y"
  )
)</f>
        <v/>
      </c>
      <c r="U1483" s="6" t="str">
        <f t="array" ref="U1483">IF(
  B1483="",
  ,
  (C1483 + IF(INDEX(Input!$L$7:$L1503,ROW()-1),1,0))
  - EDATE(
      B1483 + IF(INDEX(Input!$K$7:$K1503,ROW()-1),0,1),
      12*S1483
    )
)</f>
        <v/>
      </c>
      <c r="V1483" s="6" t="str">
        <f t="shared" si="5"/>
        <v/>
      </c>
      <c r="W1483" s="6" t="str">
        <f t="shared" si="6"/>
        <v/>
      </c>
    </row>
    <row r="1484">
      <c r="A1484" s="18"/>
      <c r="B1484" s="18"/>
      <c r="C1484" s="18"/>
      <c r="D1484" s="18"/>
      <c r="E1484" s="18"/>
      <c r="F1484" s="18"/>
      <c r="G1484" s="22"/>
      <c r="H1484" s="18"/>
      <c r="I1484" s="18"/>
      <c r="J1484" s="18"/>
      <c r="K1484" s="18"/>
      <c r="L1484" s="18"/>
      <c r="M1484" s="22"/>
      <c r="N1484" s="18"/>
      <c r="O1484" s="23"/>
      <c r="P1484" s="18"/>
      <c r="Q1484" s="18"/>
      <c r="R1484" s="18"/>
      <c r="S1484" s="22"/>
      <c r="T1484" s="6" t="str">
        <f t="array" ref="T1484">IF(
  B1484="",
  ,
  DATEDIF(
    B1484 + IF(INDEX(Input!$K$7:$K1503,ROW()-1),0,1),
    C1484 + IF(INDEX(Input!$L$7:$L1503,ROW()-1),1,0),
    "Y"
  )
)</f>
        <v/>
      </c>
      <c r="U1484" s="6" t="str">
        <f t="array" ref="U1484">IF(
  B1484="",
  ,
  (C1484 + IF(INDEX(Input!$L$7:$L1503,ROW()-1),1,0))
  - EDATE(
      B1484 + IF(INDEX(Input!$K$7:$K1503,ROW()-1),0,1),
      12*S1484
    )
)</f>
        <v/>
      </c>
      <c r="V1484" s="6" t="str">
        <f t="shared" si="5"/>
        <v/>
      </c>
      <c r="W1484" s="6" t="str">
        <f t="shared" si="6"/>
        <v/>
      </c>
    </row>
    <row r="1485">
      <c r="A1485" s="18"/>
      <c r="B1485" s="18"/>
      <c r="C1485" s="18"/>
      <c r="D1485" s="18"/>
      <c r="E1485" s="18"/>
      <c r="F1485" s="18"/>
      <c r="G1485" s="22"/>
      <c r="H1485" s="18"/>
      <c r="I1485" s="18"/>
      <c r="J1485" s="18"/>
      <c r="K1485" s="18"/>
      <c r="L1485" s="18"/>
      <c r="M1485" s="22"/>
      <c r="N1485" s="18"/>
      <c r="O1485" s="23"/>
      <c r="P1485" s="18"/>
      <c r="Q1485" s="18"/>
      <c r="R1485" s="18"/>
      <c r="S1485" s="22"/>
      <c r="T1485" s="6" t="str">
        <f t="array" ref="T1485">IF(
  B1485="",
  ,
  DATEDIF(
    B1485 + IF(INDEX(Input!$K$7:$K1503,ROW()-1),0,1),
    C1485 + IF(INDEX(Input!$L$7:$L1503,ROW()-1),1,0),
    "Y"
  )
)</f>
        <v/>
      </c>
      <c r="U1485" s="6" t="str">
        <f t="array" ref="U1485">IF(
  B1485="",
  ,
  (C1485 + IF(INDEX(Input!$L$7:$L1503,ROW()-1),1,0))
  - EDATE(
      B1485 + IF(INDEX(Input!$K$7:$K1503,ROW()-1),0,1),
      12*S1485
    )
)</f>
        <v/>
      </c>
      <c r="V1485" s="6" t="str">
        <f t="shared" si="5"/>
        <v/>
      </c>
      <c r="W1485" s="6" t="str">
        <f t="shared" si="6"/>
        <v/>
      </c>
    </row>
    <row r="1486">
      <c r="A1486" s="18"/>
      <c r="B1486" s="18"/>
      <c r="C1486" s="18"/>
      <c r="D1486" s="18"/>
      <c r="E1486" s="18"/>
      <c r="F1486" s="18"/>
      <c r="G1486" s="22"/>
      <c r="H1486" s="18"/>
      <c r="I1486" s="18"/>
      <c r="J1486" s="18"/>
      <c r="K1486" s="18"/>
      <c r="L1486" s="18"/>
      <c r="M1486" s="22"/>
      <c r="N1486" s="18"/>
      <c r="O1486" s="23"/>
      <c r="P1486" s="18"/>
      <c r="Q1486" s="18"/>
      <c r="R1486" s="18"/>
      <c r="S1486" s="22"/>
      <c r="T1486" s="6" t="str">
        <f t="array" ref="T1486">IF(
  B1486="",
  ,
  DATEDIF(
    B1486 + IF(INDEX(Input!$K$7:$K1503,ROW()-1),0,1),
    C1486 + IF(INDEX(Input!$L$7:$L1503,ROW()-1),1,0),
    "Y"
  )
)</f>
        <v/>
      </c>
      <c r="U1486" s="6" t="str">
        <f t="array" ref="U1486">IF(
  B1486="",
  ,
  (C1486 + IF(INDEX(Input!$L$7:$L1503,ROW()-1),1,0))
  - EDATE(
      B1486 + IF(INDEX(Input!$K$7:$K1503,ROW()-1),0,1),
      12*S1486
    )
)</f>
        <v/>
      </c>
      <c r="V1486" s="6" t="str">
        <f t="shared" si="5"/>
        <v/>
      </c>
      <c r="W1486" s="6" t="str">
        <f t="shared" si="6"/>
        <v/>
      </c>
    </row>
    <row r="1487">
      <c r="A1487" s="18"/>
      <c r="B1487" s="18"/>
      <c r="C1487" s="18"/>
      <c r="D1487" s="18"/>
      <c r="E1487" s="18"/>
      <c r="F1487" s="18"/>
      <c r="G1487" s="22"/>
      <c r="H1487" s="18"/>
      <c r="I1487" s="18"/>
      <c r="J1487" s="18"/>
      <c r="K1487" s="18"/>
      <c r="L1487" s="18"/>
      <c r="M1487" s="22"/>
      <c r="N1487" s="18"/>
      <c r="O1487" s="23"/>
      <c r="P1487" s="18"/>
      <c r="Q1487" s="18"/>
      <c r="R1487" s="18"/>
      <c r="S1487" s="22"/>
      <c r="T1487" s="6" t="str">
        <f t="array" ref="T1487">IF(
  B1487="",
  ,
  DATEDIF(
    B1487 + IF(INDEX(Input!$K$7:$K1503,ROW()-1),0,1),
    C1487 + IF(INDEX(Input!$L$7:$L1503,ROW()-1),1,0),
    "Y"
  )
)</f>
        <v/>
      </c>
      <c r="U1487" s="6" t="str">
        <f t="array" ref="U1487">IF(
  B1487="",
  ,
  (C1487 + IF(INDEX(Input!$L$7:$L1503,ROW()-1),1,0))
  - EDATE(
      B1487 + IF(INDEX(Input!$K$7:$K1503,ROW()-1),0,1),
      12*S1487
    )
)</f>
        <v/>
      </c>
      <c r="V1487" s="6" t="str">
        <f t="shared" si="5"/>
        <v/>
      </c>
      <c r="W1487" s="6" t="str">
        <f t="shared" si="6"/>
        <v/>
      </c>
    </row>
    <row r="1488">
      <c r="A1488" s="18"/>
      <c r="B1488" s="18"/>
      <c r="C1488" s="18"/>
      <c r="D1488" s="18"/>
      <c r="E1488" s="18"/>
      <c r="F1488" s="18"/>
      <c r="G1488" s="22"/>
      <c r="H1488" s="18"/>
      <c r="I1488" s="18"/>
      <c r="J1488" s="18"/>
      <c r="K1488" s="18"/>
      <c r="L1488" s="18"/>
      <c r="M1488" s="22"/>
      <c r="N1488" s="18"/>
      <c r="O1488" s="23"/>
      <c r="P1488" s="18"/>
      <c r="Q1488" s="18"/>
      <c r="R1488" s="18"/>
      <c r="S1488" s="22"/>
      <c r="T1488" s="6" t="str">
        <f t="array" ref="T1488">IF(
  B1488="",
  ,
  DATEDIF(
    B1488 + IF(INDEX(Input!$K$7:$K1503,ROW()-1),0,1),
    C1488 + IF(INDEX(Input!$L$7:$L1503,ROW()-1),1,0),
    "Y"
  )
)</f>
        <v/>
      </c>
      <c r="U1488" s="6" t="str">
        <f t="array" ref="U1488">IF(
  B1488="",
  ,
  (C1488 + IF(INDEX(Input!$L$7:$L1503,ROW()-1),1,0))
  - EDATE(
      B1488 + IF(INDEX(Input!$K$7:$K1503,ROW()-1),0,1),
      12*S1488
    )
)</f>
        <v/>
      </c>
      <c r="V1488" s="6" t="str">
        <f t="shared" si="5"/>
        <v/>
      </c>
      <c r="W1488" s="6" t="str">
        <f t="shared" si="6"/>
        <v/>
      </c>
    </row>
    <row r="1489">
      <c r="A1489" s="18"/>
      <c r="B1489" s="18"/>
      <c r="C1489" s="18"/>
      <c r="D1489" s="18"/>
      <c r="E1489" s="18"/>
      <c r="F1489" s="18"/>
      <c r="G1489" s="22"/>
      <c r="H1489" s="18"/>
      <c r="I1489" s="18"/>
      <c r="J1489" s="18"/>
      <c r="K1489" s="18"/>
      <c r="L1489" s="18"/>
      <c r="M1489" s="22"/>
      <c r="N1489" s="18"/>
      <c r="O1489" s="23"/>
      <c r="P1489" s="18"/>
      <c r="Q1489" s="18"/>
      <c r="R1489" s="18"/>
      <c r="S1489" s="22"/>
      <c r="T1489" s="6" t="str">
        <f t="array" ref="T1489">IF(
  B1489="",
  ,
  DATEDIF(
    B1489 + IF(INDEX(Input!$K$7:$K1503,ROW()-1),0,1),
    C1489 + IF(INDEX(Input!$L$7:$L1503,ROW()-1),1,0),
    "Y"
  )
)</f>
        <v/>
      </c>
      <c r="U1489" s="6" t="str">
        <f t="array" ref="U1489">IF(
  B1489="",
  ,
  (C1489 + IF(INDEX(Input!$L$7:$L1503,ROW()-1),1,0))
  - EDATE(
      B1489 + IF(INDEX(Input!$K$7:$K1503,ROW()-1),0,1),
      12*S1489
    )
)</f>
        <v/>
      </c>
      <c r="V1489" s="6" t="str">
        <f t="shared" si="5"/>
        <v/>
      </c>
      <c r="W1489" s="6" t="str">
        <f t="shared" si="6"/>
        <v/>
      </c>
    </row>
    <row r="1490">
      <c r="A1490" s="18"/>
      <c r="B1490" s="18"/>
      <c r="C1490" s="18"/>
      <c r="D1490" s="18"/>
      <c r="E1490" s="18"/>
      <c r="F1490" s="18"/>
      <c r="G1490" s="22"/>
      <c r="H1490" s="18"/>
      <c r="I1490" s="18"/>
      <c r="J1490" s="18"/>
      <c r="K1490" s="18"/>
      <c r="L1490" s="18"/>
      <c r="M1490" s="22"/>
      <c r="N1490" s="18"/>
      <c r="O1490" s="23"/>
      <c r="P1490" s="18"/>
      <c r="Q1490" s="18"/>
      <c r="R1490" s="18"/>
      <c r="S1490" s="22"/>
      <c r="T1490" s="6" t="str">
        <f t="array" ref="T1490">IF(
  B1490="",
  ,
  DATEDIF(
    B1490 + IF(INDEX(Input!$K$7:$K1503,ROW()-1),0,1),
    C1490 + IF(INDEX(Input!$L$7:$L1503,ROW()-1),1,0),
    "Y"
  )
)</f>
        <v/>
      </c>
      <c r="U1490" s="6" t="str">
        <f t="array" ref="U1490">IF(
  B1490="",
  ,
  (C1490 + IF(INDEX(Input!$L$7:$L1503,ROW()-1),1,0))
  - EDATE(
      B1490 + IF(INDEX(Input!$K$7:$K1503,ROW()-1),0,1),
      12*S1490
    )
)</f>
        <v/>
      </c>
      <c r="V1490" s="6" t="str">
        <f t="shared" si="5"/>
        <v/>
      </c>
      <c r="W1490" s="6" t="str">
        <f t="shared" si="6"/>
        <v/>
      </c>
    </row>
    <row r="1491">
      <c r="A1491" s="18"/>
      <c r="B1491" s="18"/>
      <c r="C1491" s="18"/>
      <c r="D1491" s="18"/>
      <c r="E1491" s="18"/>
      <c r="F1491" s="18"/>
      <c r="G1491" s="22"/>
      <c r="H1491" s="18"/>
      <c r="I1491" s="18"/>
      <c r="J1491" s="18"/>
      <c r="K1491" s="18"/>
      <c r="L1491" s="18"/>
      <c r="M1491" s="22"/>
      <c r="N1491" s="18"/>
      <c r="O1491" s="23"/>
      <c r="P1491" s="18"/>
      <c r="Q1491" s="18"/>
      <c r="R1491" s="18"/>
      <c r="S1491" s="22"/>
      <c r="T1491" s="6" t="str">
        <f t="array" ref="T1491">IF(
  B1491="",
  ,
  DATEDIF(
    B1491 + IF(INDEX(Input!$K$7:$K1503,ROW()-1),0,1),
    C1491 + IF(INDEX(Input!$L$7:$L1503,ROW()-1),1,0),
    "Y"
  )
)</f>
        <v/>
      </c>
      <c r="U1491" s="6" t="str">
        <f t="array" ref="U1491">IF(
  B1491="",
  ,
  (C1491 + IF(INDEX(Input!$L$7:$L1503,ROW()-1),1,0))
  - EDATE(
      B1491 + IF(INDEX(Input!$K$7:$K1503,ROW()-1),0,1),
      12*S1491
    )
)</f>
        <v/>
      </c>
      <c r="V1491" s="6" t="str">
        <f t="shared" si="5"/>
        <v/>
      </c>
      <c r="W1491" s="6" t="str">
        <f t="shared" si="6"/>
        <v/>
      </c>
    </row>
    <row r="1492">
      <c r="A1492" s="18"/>
      <c r="B1492" s="18"/>
      <c r="C1492" s="18"/>
      <c r="D1492" s="18"/>
      <c r="E1492" s="18"/>
      <c r="F1492" s="18"/>
      <c r="G1492" s="22"/>
      <c r="H1492" s="18"/>
      <c r="I1492" s="18"/>
      <c r="J1492" s="18"/>
      <c r="K1492" s="18"/>
      <c r="L1492" s="18"/>
      <c r="M1492" s="22"/>
      <c r="N1492" s="18"/>
      <c r="O1492" s="23"/>
      <c r="P1492" s="18"/>
      <c r="Q1492" s="18"/>
      <c r="R1492" s="18"/>
      <c r="S1492" s="22"/>
      <c r="T1492" s="6" t="str">
        <f t="array" ref="T1492">IF(
  B1492="",
  ,
  DATEDIF(
    B1492 + IF(INDEX(Input!$K$7:$K1503,ROW()-1),0,1),
    C1492 + IF(INDEX(Input!$L$7:$L1503,ROW()-1),1,0),
    "Y"
  )
)</f>
        <v/>
      </c>
      <c r="U1492" s="6" t="str">
        <f t="array" ref="U1492">IF(
  B1492="",
  ,
  (C1492 + IF(INDEX(Input!$L$7:$L1503,ROW()-1),1,0))
  - EDATE(
      B1492 + IF(INDEX(Input!$K$7:$K1503,ROW()-1),0,1),
      12*S1492
    )
)</f>
        <v/>
      </c>
      <c r="V1492" s="6" t="str">
        <f t="shared" si="5"/>
        <v/>
      </c>
      <c r="W1492" s="6" t="str">
        <f t="shared" si="6"/>
        <v/>
      </c>
    </row>
    <row r="1493">
      <c r="A1493" s="18"/>
      <c r="B1493" s="18"/>
      <c r="C1493" s="18"/>
      <c r="D1493" s="18"/>
      <c r="E1493" s="18"/>
      <c r="F1493" s="18"/>
      <c r="G1493" s="22"/>
      <c r="H1493" s="18"/>
      <c r="I1493" s="18"/>
      <c r="J1493" s="18"/>
      <c r="K1493" s="18"/>
      <c r="L1493" s="18"/>
      <c r="M1493" s="22"/>
      <c r="N1493" s="18"/>
      <c r="O1493" s="23"/>
      <c r="P1493" s="18"/>
      <c r="Q1493" s="18"/>
      <c r="R1493" s="18"/>
      <c r="S1493" s="22"/>
      <c r="T1493" s="6" t="str">
        <f t="array" ref="T1493">IF(
  B1493="",
  ,
  DATEDIF(
    B1493 + IF(INDEX(Input!$K$7:$K1503,ROW()-1),0,1),
    C1493 + IF(INDEX(Input!$L$7:$L1503,ROW()-1),1,0),
    "Y"
  )
)</f>
        <v/>
      </c>
      <c r="U1493" s="6" t="str">
        <f t="array" ref="U1493">IF(
  B1493="",
  ,
  (C1493 + IF(INDEX(Input!$L$7:$L1503,ROW()-1),1,0))
  - EDATE(
      B1493 + IF(INDEX(Input!$K$7:$K1503,ROW()-1),0,1),
      12*S1493
    )
)</f>
        <v/>
      </c>
      <c r="V1493" s="6" t="str">
        <f t="shared" si="5"/>
        <v/>
      </c>
      <c r="W1493" s="6" t="str">
        <f t="shared" si="6"/>
        <v/>
      </c>
    </row>
    <row r="1494">
      <c r="A1494" s="18"/>
      <c r="B1494" s="18"/>
      <c r="C1494" s="18"/>
      <c r="D1494" s="18"/>
      <c r="E1494" s="18"/>
      <c r="F1494" s="18"/>
      <c r="G1494" s="22"/>
      <c r="H1494" s="18"/>
      <c r="I1494" s="18"/>
      <c r="J1494" s="18"/>
      <c r="K1494" s="18"/>
      <c r="L1494" s="18"/>
      <c r="M1494" s="22"/>
      <c r="N1494" s="18"/>
      <c r="O1494" s="23"/>
      <c r="P1494" s="18"/>
      <c r="Q1494" s="18"/>
      <c r="R1494" s="18"/>
      <c r="S1494" s="22"/>
      <c r="T1494" s="6" t="str">
        <f t="array" ref="T1494">IF(
  B1494="",
  ,
  DATEDIF(
    B1494 + IF(INDEX(Input!$K$7:$K1503,ROW()-1),0,1),
    C1494 + IF(INDEX(Input!$L$7:$L1503,ROW()-1),1,0),
    "Y"
  )
)</f>
        <v/>
      </c>
      <c r="U1494" s="6" t="str">
        <f t="array" ref="U1494">IF(
  B1494="",
  ,
  (C1494 + IF(INDEX(Input!$L$7:$L1503,ROW()-1),1,0))
  - EDATE(
      B1494 + IF(INDEX(Input!$K$7:$K1503,ROW()-1),0,1),
      12*S1494
    )
)</f>
        <v/>
      </c>
      <c r="V1494" s="6" t="str">
        <f t="shared" si="5"/>
        <v/>
      </c>
      <c r="W1494" s="6" t="str">
        <f t="shared" si="6"/>
        <v/>
      </c>
    </row>
    <row r="1495">
      <c r="A1495" s="18"/>
      <c r="B1495" s="18"/>
      <c r="C1495" s="18"/>
      <c r="D1495" s="18"/>
      <c r="E1495" s="18"/>
      <c r="F1495" s="18"/>
      <c r="G1495" s="22"/>
      <c r="H1495" s="18"/>
      <c r="I1495" s="18"/>
      <c r="J1495" s="18"/>
      <c r="K1495" s="18"/>
      <c r="L1495" s="18"/>
      <c r="M1495" s="22"/>
      <c r="N1495" s="18"/>
      <c r="O1495" s="23"/>
      <c r="P1495" s="18"/>
      <c r="Q1495" s="18"/>
      <c r="R1495" s="18"/>
      <c r="S1495" s="22"/>
      <c r="T1495" s="6" t="str">
        <f t="array" ref="T1495">IF(
  B1495="",
  ,
  DATEDIF(
    B1495 + IF(INDEX(Input!$K$7:$K1503,ROW()-1),0,1),
    C1495 + IF(INDEX(Input!$L$7:$L1503,ROW()-1),1,0),
    "Y"
  )
)</f>
        <v/>
      </c>
      <c r="U1495" s="6" t="str">
        <f t="array" ref="U1495">IF(
  B1495="",
  ,
  (C1495 + IF(INDEX(Input!$L$7:$L1503,ROW()-1),1,0))
  - EDATE(
      B1495 + IF(INDEX(Input!$K$7:$K1503,ROW()-1),0,1),
      12*S1495
    )
)</f>
        <v/>
      </c>
      <c r="V1495" s="6" t="str">
        <f t="shared" si="5"/>
        <v/>
      </c>
      <c r="W1495" s="6" t="str">
        <f t="shared" si="6"/>
        <v/>
      </c>
    </row>
    <row r="1496">
      <c r="A1496" s="18"/>
      <c r="B1496" s="18"/>
      <c r="C1496" s="18"/>
      <c r="D1496" s="18"/>
      <c r="E1496" s="18"/>
      <c r="F1496" s="18"/>
      <c r="G1496" s="22"/>
      <c r="H1496" s="18"/>
      <c r="I1496" s="18"/>
      <c r="J1496" s="18"/>
      <c r="K1496" s="18"/>
      <c r="L1496" s="18"/>
      <c r="M1496" s="22"/>
      <c r="N1496" s="18"/>
      <c r="O1496" s="23"/>
      <c r="P1496" s="18"/>
      <c r="Q1496" s="18"/>
      <c r="R1496" s="18"/>
      <c r="S1496" s="22"/>
      <c r="T1496" s="6" t="str">
        <f t="array" ref="T1496">IF(
  B1496="",
  ,
  DATEDIF(
    B1496 + IF(INDEX(Input!$K$7:$K1503,ROW()-1),0,1),
    C1496 + IF(INDEX(Input!$L$7:$L1503,ROW()-1),1,0),
    "Y"
  )
)</f>
        <v/>
      </c>
      <c r="U1496" s="6" t="str">
        <f t="array" ref="U1496">IF(
  B1496="",
  ,
  (C1496 + IF(INDEX(Input!$L$7:$L1503,ROW()-1),1,0))
  - EDATE(
      B1496 + IF(INDEX(Input!$K$7:$K1503,ROW()-1),0,1),
      12*S1496
    )
)</f>
        <v/>
      </c>
      <c r="V1496" s="6" t="str">
        <f t="shared" si="5"/>
        <v/>
      </c>
      <c r="W1496" s="6" t="str">
        <f t="shared" si="6"/>
        <v/>
      </c>
    </row>
    <row r="1497">
      <c r="A1497" s="18"/>
      <c r="B1497" s="18"/>
      <c r="C1497" s="18"/>
      <c r="D1497" s="18"/>
      <c r="E1497" s="18"/>
      <c r="F1497" s="18"/>
      <c r="G1497" s="22"/>
      <c r="H1497" s="18"/>
      <c r="I1497" s="18"/>
      <c r="J1497" s="18"/>
      <c r="K1497" s="18"/>
      <c r="L1497" s="18"/>
      <c r="M1497" s="22"/>
      <c r="N1497" s="18"/>
      <c r="O1497" s="23"/>
      <c r="P1497" s="18"/>
      <c r="Q1497" s="18"/>
      <c r="R1497" s="18"/>
      <c r="S1497" s="22"/>
      <c r="T1497" s="6" t="str">
        <f t="array" ref="T1497">IF(
  B1497="",
  ,
  DATEDIF(
    B1497 + IF(INDEX(Input!$K$7:$K1503,ROW()-1),0,1),
    C1497 + IF(INDEX(Input!$L$7:$L1503,ROW()-1),1,0),
    "Y"
  )
)</f>
        <v/>
      </c>
      <c r="U1497" s="6" t="str">
        <f t="array" ref="U1497">IF(
  B1497="",
  ,
  (C1497 + IF(INDEX(Input!$L$7:$L1503,ROW()-1),1,0))
  - EDATE(
      B1497 + IF(INDEX(Input!$K$7:$K1503,ROW()-1),0,1),
      12*S1497
    )
)</f>
        <v/>
      </c>
      <c r="V1497" s="6" t="str">
        <f t="shared" si="5"/>
        <v/>
      </c>
      <c r="W1497" s="6" t="str">
        <f t="shared" si="6"/>
        <v/>
      </c>
    </row>
    <row r="1498">
      <c r="A1498" s="18"/>
      <c r="B1498" s="18"/>
      <c r="C1498" s="18"/>
      <c r="D1498" s="18"/>
      <c r="E1498" s="18"/>
      <c r="F1498" s="18"/>
      <c r="G1498" s="22"/>
      <c r="H1498" s="18"/>
      <c r="I1498" s="18"/>
      <c r="J1498" s="18"/>
      <c r="K1498" s="18"/>
      <c r="L1498" s="18"/>
      <c r="M1498" s="22"/>
      <c r="N1498" s="18"/>
      <c r="O1498" s="23"/>
      <c r="P1498" s="18"/>
      <c r="Q1498" s="18"/>
      <c r="R1498" s="18"/>
      <c r="S1498" s="22"/>
      <c r="T1498" s="6" t="str">
        <f t="array" ref="T1498">IF(
  B1498="",
  ,
  DATEDIF(
    B1498 + IF(INDEX(Input!$K$7:$K1503,ROW()-1),0,1),
    C1498 + IF(INDEX(Input!$L$7:$L1503,ROW()-1),1,0),
    "Y"
  )
)</f>
        <v/>
      </c>
      <c r="U1498" s="6" t="str">
        <f t="array" ref="U1498">IF(
  B1498="",
  ,
  (C1498 + IF(INDEX(Input!$L$7:$L1503,ROW()-1),1,0))
  - EDATE(
      B1498 + IF(INDEX(Input!$K$7:$K1503,ROW()-1),0,1),
      12*S1498
    )
)</f>
        <v/>
      </c>
      <c r="V1498" s="6" t="str">
        <f t="shared" si="5"/>
        <v/>
      </c>
      <c r="W1498" s="6" t="str">
        <f t="shared" si="6"/>
        <v/>
      </c>
    </row>
    <row r="1499">
      <c r="A1499" s="18"/>
      <c r="B1499" s="18"/>
      <c r="C1499" s="18"/>
      <c r="D1499" s="18"/>
      <c r="E1499" s="18"/>
      <c r="F1499" s="18"/>
      <c r="G1499" s="22"/>
      <c r="H1499" s="18"/>
      <c r="I1499" s="18"/>
      <c r="J1499" s="18"/>
      <c r="K1499" s="18"/>
      <c r="L1499" s="18"/>
      <c r="M1499" s="22"/>
      <c r="N1499" s="18"/>
      <c r="O1499" s="23"/>
      <c r="P1499" s="18"/>
      <c r="Q1499" s="18"/>
      <c r="R1499" s="18"/>
      <c r="S1499" s="22"/>
      <c r="T1499" s="6" t="str">
        <f t="array" ref="T1499">IF(
  B1499="",
  ,
  DATEDIF(
    B1499 + IF(INDEX(Input!$K$7:$K1503,ROW()-1),0,1),
    C1499 + IF(INDEX(Input!$L$7:$L1503,ROW()-1),1,0),
    "Y"
  )
)</f>
        <v/>
      </c>
      <c r="U1499" s="6" t="str">
        <f t="array" ref="U1499">IF(
  B1499="",
  ,
  (C1499 + IF(INDEX(Input!$L$7:$L1503,ROW()-1),1,0))
  - EDATE(
      B1499 + IF(INDEX(Input!$K$7:$K1503,ROW()-1),0,1),
      12*S1499
    )
)</f>
        <v/>
      </c>
      <c r="V1499" s="6" t="str">
        <f t="shared" si="5"/>
        <v/>
      </c>
      <c r="W1499" s="6" t="str">
        <f t="shared" si="6"/>
        <v/>
      </c>
    </row>
    <row r="1500">
      <c r="A1500" s="18"/>
      <c r="B1500" s="18"/>
      <c r="C1500" s="18"/>
      <c r="D1500" s="18"/>
      <c r="E1500" s="18"/>
      <c r="F1500" s="18"/>
      <c r="G1500" s="22"/>
      <c r="H1500" s="18"/>
      <c r="I1500" s="18"/>
      <c r="J1500" s="18"/>
      <c r="K1500" s="18"/>
      <c r="L1500" s="18"/>
      <c r="M1500" s="22"/>
      <c r="N1500" s="18"/>
      <c r="O1500" s="23"/>
      <c r="P1500" s="18"/>
      <c r="Q1500" s="18"/>
      <c r="R1500" s="18"/>
      <c r="S1500" s="22"/>
      <c r="T1500" s="6" t="str">
        <f t="array" ref="T1500">IF(
  B1500="",
  ,
  DATEDIF(
    B1500 + IF(INDEX(Input!$K$7:$K1503,ROW()-1),0,1),
    C1500 + IF(INDEX(Input!$L$7:$L1503,ROW()-1),1,0),
    "Y"
  )
)</f>
        <v/>
      </c>
      <c r="U1500" s="6" t="str">
        <f t="array" ref="U1500">IF(
  B1500="",
  ,
  (C1500 + IF(INDEX(Input!$L$7:$L1503,ROW()-1),1,0))
  - EDATE(
      B1500 + IF(INDEX(Input!$K$7:$K1503,ROW()-1),0,1),
      12*S1500
    )
)</f>
        <v/>
      </c>
      <c r="V1500" s="6" t="str">
        <f t="shared" si="5"/>
        <v/>
      </c>
      <c r="W1500" s="6" t="str">
        <f t="shared" si="6"/>
        <v/>
      </c>
    </row>
    <row r="1501">
      <c r="A1501" s="18"/>
      <c r="B1501" s="18"/>
      <c r="C1501" s="18"/>
      <c r="D1501" s="18"/>
      <c r="E1501" s="18"/>
      <c r="F1501" s="18"/>
      <c r="G1501" s="22"/>
      <c r="H1501" s="18"/>
      <c r="I1501" s="18"/>
      <c r="J1501" s="18"/>
      <c r="K1501" s="18"/>
      <c r="L1501" s="18"/>
      <c r="M1501" s="22"/>
      <c r="N1501" s="18"/>
      <c r="O1501" s="23"/>
      <c r="P1501" s="18"/>
      <c r="Q1501" s="18"/>
      <c r="R1501" s="18"/>
      <c r="S1501" s="22"/>
      <c r="T1501" s="6" t="str">
        <f t="array" ref="T1501">IF(
  B1501="",
  ,
  DATEDIF(
    B1501 + IF(INDEX(Input!$K$7:$K1503,ROW()-1),0,1),
    C1501 + IF(INDEX(Input!$L$7:$L1503,ROW()-1),1,0),
    "Y"
  )
)</f>
        <v/>
      </c>
      <c r="U1501" s="6" t="str">
        <f t="array" ref="U1501">IF(
  B1501="",
  ,
  (C1501 + IF(INDEX(Input!$L$7:$L1503,ROW()-1),1,0))
  - EDATE(
      B1501 + IF(INDEX(Input!$K$7:$K1503,ROW()-1),0,1),
      12*S1501
    )
)</f>
        <v/>
      </c>
      <c r="V1501" s="6" t="str">
        <f t="shared" si="5"/>
        <v/>
      </c>
      <c r="W1501" s="6" t="str">
        <f t="shared" si="6"/>
        <v/>
      </c>
    </row>
    <row r="1502">
      <c r="A1502" s="18"/>
      <c r="B1502" s="18"/>
      <c r="C1502" s="18"/>
      <c r="D1502" s="18"/>
      <c r="E1502" s="18"/>
      <c r="F1502" s="18"/>
      <c r="G1502" s="22"/>
      <c r="H1502" s="18"/>
      <c r="I1502" s="18"/>
      <c r="J1502" s="18"/>
      <c r="K1502" s="18"/>
      <c r="L1502" s="18"/>
      <c r="M1502" s="22"/>
      <c r="N1502" s="18"/>
      <c r="O1502" s="23"/>
      <c r="P1502" s="18"/>
      <c r="Q1502" s="18"/>
      <c r="R1502" s="18"/>
      <c r="S1502" s="22"/>
      <c r="T1502" s="6" t="str">
        <f t="array" ref="T1502">IF(
  B1502="",
  ,
  DATEDIF(
    B1502 + IF(INDEX(Input!$K$7:$K1503,ROW()-1),0,1),
    C1502 + IF(INDEX(Input!$L$7:$L1503,ROW()-1),1,0),
    "Y"
  )
)</f>
        <v/>
      </c>
      <c r="U1502" s="6" t="str">
        <f t="array" ref="U1502">IF(
  B1502="",
  ,
  (C1502 + IF(INDEX(Input!$L$7:$L1503,ROW()-1),1,0))
  - EDATE(
      B1502 + IF(INDEX(Input!$K$7:$K1503,ROW()-1),0,1),
      12*S1502
    )
)</f>
        <v/>
      </c>
      <c r="V1502" s="6" t="str">
        <f t="shared" si="5"/>
        <v/>
      </c>
      <c r="W1502" s="6" t="str">
        <f t="shared" si="6"/>
        <v/>
      </c>
    </row>
    <row r="1503">
      <c r="A1503" s="18"/>
      <c r="B1503" s="18"/>
      <c r="C1503" s="18"/>
      <c r="D1503" s="18"/>
      <c r="E1503" s="18"/>
      <c r="F1503" s="18"/>
      <c r="G1503" s="22"/>
      <c r="H1503" s="18"/>
      <c r="I1503" s="18"/>
      <c r="J1503" s="18"/>
      <c r="K1503" s="18"/>
      <c r="L1503" s="18"/>
      <c r="M1503" s="22"/>
      <c r="N1503" s="18"/>
      <c r="O1503" s="23"/>
      <c r="P1503" s="18"/>
      <c r="Q1503" s="18"/>
      <c r="R1503" s="18"/>
      <c r="S1503" s="22"/>
      <c r="T1503" s="6" t="str">
        <f t="array" ref="T1503">IF(
  B1503="",
  ,
  DATEDIF(
    B1503 + IF(INDEX(Input!$K$7:$K1503,ROW()-1),0,1),
    C1503 + IF(INDEX(Input!$L$7:$L1503,ROW()-1),1,0),
    "Y"
  )
)</f>
        <v/>
      </c>
      <c r="U1503" s="6" t="str">
        <f t="array" ref="U1503">IF(
  B1503="",
  ,
  (C1503 + IF(INDEX(Input!$L$7:$L1503,ROW()-1),1,0))
  - EDATE(
      B1503 + IF(INDEX(Input!$K$7:$K1503,ROW()-1),0,1),
      12*S1503
    )
)</f>
        <v/>
      </c>
      <c r="V1503" s="6" t="str">
        <f t="shared" si="5"/>
        <v/>
      </c>
      <c r="W1503" s="6" t="str">
        <f t="shared" si="6"/>
        <v/>
      </c>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62</v>
      </c>
      <c r="B1" s="26" t="s">
        <v>63</v>
      </c>
      <c r="C1" s="26" t="s">
        <v>55</v>
      </c>
      <c r="D1" s="26" t="s">
        <v>64</v>
      </c>
      <c r="E1" s="26" t="s">
        <v>65</v>
      </c>
      <c r="F1" s="26" t="s">
        <v>66</v>
      </c>
      <c r="G1" s="27"/>
      <c r="H1" s="27"/>
      <c r="I1" s="27"/>
      <c r="J1" s="27"/>
      <c r="K1" s="27"/>
      <c r="L1" s="27"/>
      <c r="M1" s="27"/>
      <c r="N1" s="27"/>
      <c r="O1" s="27"/>
      <c r="P1" s="27"/>
      <c r="Q1" s="27"/>
      <c r="R1" s="27"/>
      <c r="S1" s="27"/>
      <c r="T1" s="27"/>
      <c r="U1" s="27"/>
      <c r="V1" s="27"/>
      <c r="W1" s="27"/>
      <c r="X1" s="27"/>
      <c r="Y1" s="27"/>
      <c r="Z1" s="27"/>
    </row>
    <row r="2">
      <c r="A2" s="19">
        <f t="array" ref="A2:A3687">SEQUENCE(
  MAX(Calculation!C2:C9627) - Input!$C$3 + 1,
  1,
  Input!$C$3,
  1
)</f>
        <v>42237</v>
      </c>
      <c r="B2" s="23">
        <f t="array" ref="B2:B9627">IF(
    A2:A9627="",
    ,
    IFERROR(
      VLOOKUP(
        A2:A9627,
        {Calculation!C2:C9627, Calculation!P2:P9627 - Calculation!Q2:Q9627},
        2,
        TRUE
      ),
      Input!$C$2
    )
  )</f>
        <v>10765000</v>
      </c>
      <c r="C2" s="23">
        <f t="shared" ref="C2:C5424" si="1">IF(D2="","",E2+F2)</f>
        <v>1474.657534</v>
      </c>
      <c r="D2" s="18">
        <f>IF(A2="","",MATCH(A2,Calculation!B$2:B9627,1))</f>
        <v>1</v>
      </c>
      <c r="E2" s="23">
        <f t="array" ref="E2">IF(D2="","",IF(D2=1,0,INDEX(Calculation!Q$2:Q9627,D2-1)))</f>
        <v>0</v>
      </c>
      <c r="F2" s="23">
        <f t="array" ref="F2">IF($A2="","",
  LET(
    r, $D2,
    startD, INDEX(Calculation!B$2:B9627, r),
    endD,   INDEX(Calculation!C$2:C9627, r),
    asOf,   MIN($A2,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1474.657534</v>
      </c>
    </row>
    <row r="3">
      <c r="A3" s="19">
        <v>42238.0</v>
      </c>
      <c r="B3" s="23">
        <v>1.0765E7</v>
      </c>
      <c r="C3" s="23">
        <f t="shared" si="1"/>
        <v>2949.315068</v>
      </c>
      <c r="D3" s="18">
        <f>IF(A3="","",MATCH(A3,Calculation!B$2:B9627,1))</f>
        <v>1</v>
      </c>
      <c r="E3" s="23">
        <f t="array" ref="E3">IF(D3="","",IF(D3=1,0,INDEX(Calculation!Q$2:Q9627,D3-1)))</f>
        <v>0</v>
      </c>
      <c r="F3" s="23">
        <f t="array" ref="F3">IF($A3="","",
  LET(
    r, $D3,
    startD, INDEX(Calculation!B$2:B9627, r),
    endD,   INDEX(Calculation!C$2:C9627, r),
    asOf,   MIN($A3,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2949.315068</v>
      </c>
    </row>
    <row r="4">
      <c r="A4" s="19">
        <v>42239.0</v>
      </c>
      <c r="B4" s="23">
        <v>1.0765E7</v>
      </c>
      <c r="C4" s="23">
        <f t="shared" si="1"/>
        <v>4423.972603</v>
      </c>
      <c r="D4" s="18">
        <f>IF(A4="","",MATCH(A4,Calculation!B$2:B9627,1))</f>
        <v>1</v>
      </c>
      <c r="E4" s="23">
        <f t="array" ref="E4">IF(D4="","",IF(D4=1,0,INDEX(Calculation!Q$2:Q9627,D4-1)))</f>
        <v>0</v>
      </c>
      <c r="F4" s="23">
        <f t="array" ref="F4">IF($A4="","",
  LET(
    r, $D4,
    startD, INDEX(Calculation!B$2:B9627, r),
    endD,   INDEX(Calculation!C$2:C9627, r),
    asOf,   MIN($A4,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4423.972603</v>
      </c>
    </row>
    <row r="5">
      <c r="A5" s="19">
        <v>42240.0</v>
      </c>
      <c r="B5" s="23">
        <v>1.0765E7</v>
      </c>
      <c r="C5" s="23">
        <f t="shared" si="1"/>
        <v>5898.630137</v>
      </c>
      <c r="D5" s="18">
        <f>IF(A5="","",MATCH(A5,Calculation!B$2:B9627,1))</f>
        <v>1</v>
      </c>
      <c r="E5" s="23">
        <f t="array" ref="E5">IF(D5="","",IF(D5=1,0,INDEX(Calculation!Q$2:Q9627,D5-1)))</f>
        <v>0</v>
      </c>
      <c r="F5" s="23">
        <f t="array" ref="F5">IF($A5="","",
  LET(
    r, $D5,
    startD, INDEX(Calculation!B$2:B9627, r),
    endD,   INDEX(Calculation!C$2:C9627, r),
    asOf,   MIN($A5,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5898.630137</v>
      </c>
    </row>
    <row r="6">
      <c r="A6" s="19">
        <v>42241.0</v>
      </c>
      <c r="B6" s="23">
        <v>1.0765E7</v>
      </c>
      <c r="C6" s="23">
        <f t="shared" si="1"/>
        <v>7373.287671</v>
      </c>
      <c r="D6" s="18">
        <f>IF(A6="","",MATCH(A6,Calculation!B$2:B9627,1))</f>
        <v>1</v>
      </c>
      <c r="E6" s="23">
        <f t="array" ref="E6">IF(D6="","",IF(D6=1,0,INDEX(Calculation!Q$2:Q9627,D6-1)))</f>
        <v>0</v>
      </c>
      <c r="F6" s="23">
        <f t="array" ref="F6">IF($A6="","",
  LET(
    r, $D6,
    startD, INDEX(Calculation!B$2:B9627, r),
    endD,   INDEX(Calculation!C$2:C9627, r),
    asOf,   MIN($A6,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7373.287671</v>
      </c>
    </row>
    <row r="7">
      <c r="A7" s="19">
        <v>42242.0</v>
      </c>
      <c r="B7" s="23">
        <v>1.0765E7</v>
      </c>
      <c r="C7" s="23">
        <f t="shared" si="1"/>
        <v>8847.945205</v>
      </c>
      <c r="D7" s="18">
        <f>IF(A7="","",MATCH(A7,Calculation!B$2:B9627,1))</f>
        <v>1</v>
      </c>
      <c r="E7" s="23">
        <f t="array" ref="E7">IF(D7="","",IF(D7=1,0,INDEX(Calculation!Q$2:Q9627,D7-1)))</f>
        <v>0</v>
      </c>
      <c r="F7" s="23">
        <f t="array" ref="F7">IF($A7="","",
  LET(
    r, $D7,
    startD, INDEX(Calculation!B$2:B9627, r),
    endD,   INDEX(Calculation!C$2:C9627, r),
    asOf,   MIN($A7,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8847.945205</v>
      </c>
    </row>
    <row r="8">
      <c r="A8" s="19">
        <v>42243.0</v>
      </c>
      <c r="B8" s="23">
        <v>1.0765E7</v>
      </c>
      <c r="C8" s="23">
        <f t="shared" si="1"/>
        <v>10322.60274</v>
      </c>
      <c r="D8" s="18">
        <f>IF(A8="","",MATCH(A8,Calculation!B$2:B9627,1))</f>
        <v>1</v>
      </c>
      <c r="E8" s="23">
        <f t="array" ref="E8">IF(D8="","",IF(D8=1,0,INDEX(Calculation!Q$2:Q9627,D8-1)))</f>
        <v>0</v>
      </c>
      <c r="F8" s="23">
        <f t="array" ref="F8">IF($A8="","",
  LET(
    r, $D8,
    startD, INDEX(Calculation!B$2:B9627, r),
    endD,   INDEX(Calculation!C$2:C9627, r),
    asOf,   MIN($A8,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10322.60274</v>
      </c>
    </row>
    <row r="9">
      <c r="A9" s="19">
        <v>42244.0</v>
      </c>
      <c r="B9" s="23">
        <v>1.0765E7</v>
      </c>
      <c r="C9" s="23">
        <f t="shared" si="1"/>
        <v>11797.26027</v>
      </c>
      <c r="D9" s="18">
        <f>IF(A9="","",MATCH(A9,Calculation!B$2:B9627,1))</f>
        <v>1</v>
      </c>
      <c r="E9" s="23">
        <f t="array" ref="E9">IF(D9="","",IF(D9=1,0,INDEX(Calculation!Q$2:Q9627,D9-1)))</f>
        <v>0</v>
      </c>
      <c r="F9" s="23">
        <f t="array" ref="F9">IF($A9="","",
  LET(
    r, $D9,
    startD, INDEX(Calculation!B$2:B9627, r),
    endD,   INDEX(Calculation!C$2:C9627, r),
    asOf,   MIN($A9,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11797.26027</v>
      </c>
    </row>
    <row r="10">
      <c r="A10" s="19">
        <v>42245.0</v>
      </c>
      <c r="B10" s="23">
        <v>1.0765E7</v>
      </c>
      <c r="C10" s="23">
        <f t="shared" si="1"/>
        <v>13271.91781</v>
      </c>
      <c r="D10" s="18">
        <f>IF(A10="","",MATCH(A10,Calculation!B$2:B9627,1))</f>
        <v>1</v>
      </c>
      <c r="E10" s="23">
        <f t="array" ref="E10">IF(D10="","",IF(D10=1,0,INDEX(Calculation!Q$2:Q9627,D10-1)))</f>
        <v>0</v>
      </c>
      <c r="F10" s="23">
        <f t="array" ref="F10">IF($A10="","",
  LET(
    r, $D10,
    startD, INDEX(Calculation!B$2:B9627, r),
    endD,   INDEX(Calculation!C$2:C9627, r),
    asOf,   MIN($A10,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13271.91781</v>
      </c>
    </row>
    <row r="11">
      <c r="A11" s="19">
        <v>42246.0</v>
      </c>
      <c r="B11" s="23">
        <v>1.0765E7</v>
      </c>
      <c r="C11" s="23">
        <f t="shared" si="1"/>
        <v>14746.57534</v>
      </c>
      <c r="D11" s="18">
        <f>IF(A11="","",MATCH(A11,Calculation!B$2:B9627,1))</f>
        <v>1</v>
      </c>
      <c r="E11" s="23">
        <f t="array" ref="E11">IF(D11="","",IF(D11=1,0,INDEX(Calculation!Q$2:Q9627,D11-1)))</f>
        <v>0</v>
      </c>
      <c r="F11" s="23">
        <f t="array" ref="F11">IF($A11="","",
  LET(
    r, $D11,
    startD, INDEX(Calculation!B$2:B9627, r),
    endD,   INDEX(Calculation!C$2:C9627, r),
    asOf,   MIN($A11,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14746.57534</v>
      </c>
    </row>
    <row r="12">
      <c r="A12" s="19">
        <v>42247.0</v>
      </c>
      <c r="B12" s="23">
        <v>1.0765E7</v>
      </c>
      <c r="C12" s="23">
        <f t="shared" si="1"/>
        <v>16221.23288</v>
      </c>
      <c r="D12" s="18">
        <f>IF(A12="","",MATCH(A12,Calculation!B$2:B9627,1))</f>
        <v>1</v>
      </c>
      <c r="E12" s="23">
        <f t="array" ref="E12">IF(D12="","",IF(D12=1,0,INDEX(Calculation!Q$2:Q9627,D12-1)))</f>
        <v>0</v>
      </c>
      <c r="F12" s="23">
        <f t="array" ref="F12">IF($A12="","",
  LET(
    r, $D12,
    startD, INDEX(Calculation!B$2:B9627, r),
    endD,   INDEX(Calculation!C$2:C9627, r),
    asOf,   MIN($A12,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16221.23288</v>
      </c>
    </row>
    <row r="13">
      <c r="A13" s="19">
        <v>42248.0</v>
      </c>
      <c r="B13" s="23">
        <v>1.0765E7</v>
      </c>
      <c r="C13" s="23">
        <f t="shared" si="1"/>
        <v>17695.89041</v>
      </c>
      <c r="D13" s="18">
        <f>IF(A13="","",MATCH(A13,Calculation!B$2:B9627,1))</f>
        <v>1</v>
      </c>
      <c r="E13" s="23">
        <f t="array" ref="E13">IF(D13="","",IF(D13=1,0,INDEX(Calculation!Q$2:Q9627,D13-1)))</f>
        <v>0</v>
      </c>
      <c r="F13" s="23">
        <f t="array" ref="F13">IF($A13="","",
  LET(
    r, $D13,
    startD, INDEX(Calculation!B$2:B9627, r),
    endD,   INDEX(Calculation!C$2:C9627, r),
    asOf,   MIN($A13,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17695.89041</v>
      </c>
    </row>
    <row r="14">
      <c r="A14" s="19">
        <v>42249.0</v>
      </c>
      <c r="B14" s="23">
        <v>1.0765E7</v>
      </c>
      <c r="C14" s="23">
        <f t="shared" si="1"/>
        <v>19170.54795</v>
      </c>
      <c r="D14" s="18">
        <f>IF(A14="","",MATCH(A14,Calculation!B$2:B9627,1))</f>
        <v>1</v>
      </c>
      <c r="E14" s="23">
        <f t="array" ref="E14">IF(D14="","",IF(D14=1,0,INDEX(Calculation!Q$2:Q9627,D14-1)))</f>
        <v>0</v>
      </c>
      <c r="F14" s="23">
        <f t="array" ref="F14">IF($A14="","",
  LET(
    r, $D14,
    startD, INDEX(Calculation!B$2:B9627, r),
    endD,   INDEX(Calculation!C$2:C9627, r),
    asOf,   MIN($A14,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19170.54795</v>
      </c>
    </row>
    <row r="15">
      <c r="A15" s="19">
        <v>42250.0</v>
      </c>
      <c r="B15" s="23">
        <v>1.0765E7</v>
      </c>
      <c r="C15" s="23">
        <f t="shared" si="1"/>
        <v>20645.20548</v>
      </c>
      <c r="D15" s="18">
        <f>IF(A15="","",MATCH(A15,Calculation!B$2:B9627,1))</f>
        <v>1</v>
      </c>
      <c r="E15" s="23">
        <f t="array" ref="E15">IF(D15="","",IF(D15=1,0,INDEX(Calculation!Q$2:Q9627,D15-1)))</f>
        <v>0</v>
      </c>
      <c r="F15" s="23">
        <f t="array" ref="F15">IF($A15="","",
  LET(
    r, $D15,
    startD, INDEX(Calculation!B$2:B9627, r),
    endD,   INDEX(Calculation!C$2:C9627, r),
    asOf,   MIN($A15,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20645.20548</v>
      </c>
    </row>
    <row r="16">
      <c r="A16" s="19">
        <v>42251.0</v>
      </c>
      <c r="B16" s="23">
        <v>1.0765E7</v>
      </c>
      <c r="C16" s="23">
        <f t="shared" si="1"/>
        <v>22119.86301</v>
      </c>
      <c r="D16" s="18">
        <f>IF(A16="","",MATCH(A16,Calculation!B$2:B9627,1))</f>
        <v>1</v>
      </c>
      <c r="E16" s="23">
        <f t="array" ref="E16">IF(D16="","",IF(D16=1,0,INDEX(Calculation!Q$2:Q9627,D16-1)))</f>
        <v>0</v>
      </c>
      <c r="F16" s="23">
        <f t="array" ref="F16">IF($A16="","",
  LET(
    r, $D16,
    startD, INDEX(Calculation!B$2:B9627, r),
    endD,   INDEX(Calculation!C$2:C9627, r),
    asOf,   MIN($A16,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22119.86301</v>
      </c>
    </row>
    <row r="17">
      <c r="A17" s="19">
        <v>42252.0</v>
      </c>
      <c r="B17" s="23">
        <v>1.0765E7</v>
      </c>
      <c r="C17" s="23">
        <f t="shared" si="1"/>
        <v>23594.52055</v>
      </c>
      <c r="D17" s="18">
        <f>IF(A17="","",MATCH(A17,Calculation!B$2:B9627,1))</f>
        <v>1</v>
      </c>
      <c r="E17" s="23">
        <f t="array" ref="E17">IF(D17="","",IF(D17=1,0,INDEX(Calculation!Q$2:Q9627,D17-1)))</f>
        <v>0</v>
      </c>
      <c r="F17" s="23">
        <f t="array" ref="F17">IF($A17="","",
  LET(
    r, $D17,
    startD, INDEX(Calculation!B$2:B9627, r),
    endD,   INDEX(Calculation!C$2:C9627, r),
    asOf,   MIN($A17,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23594.52055</v>
      </c>
    </row>
    <row r="18">
      <c r="A18" s="19">
        <v>42253.0</v>
      </c>
      <c r="B18" s="23">
        <v>1.0765E7</v>
      </c>
      <c r="C18" s="23">
        <f t="shared" si="1"/>
        <v>25069.17808</v>
      </c>
      <c r="D18" s="18">
        <f>IF(A18="","",MATCH(A18,Calculation!B$2:B9627,1))</f>
        <v>1</v>
      </c>
      <c r="E18" s="23">
        <f t="array" ref="E18">IF(D18="","",IF(D18=1,0,INDEX(Calculation!Q$2:Q9627,D18-1)))</f>
        <v>0</v>
      </c>
      <c r="F18" s="23">
        <f t="array" ref="F18">IF($A18="","",
  LET(
    r, $D18,
    startD, INDEX(Calculation!B$2:B9627, r),
    endD,   INDEX(Calculation!C$2:C9627, r),
    asOf,   MIN($A18,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25069.17808</v>
      </c>
    </row>
    <row r="19">
      <c r="A19" s="19">
        <v>42254.0</v>
      </c>
      <c r="B19" s="23">
        <v>1.0765E7</v>
      </c>
      <c r="C19" s="23">
        <f t="shared" si="1"/>
        <v>26543.83562</v>
      </c>
      <c r="D19" s="18">
        <f>IF(A19="","",MATCH(A19,Calculation!B$2:B9627,1))</f>
        <v>1</v>
      </c>
      <c r="E19" s="23">
        <f t="array" ref="E19">IF(D19="","",IF(D19=1,0,INDEX(Calculation!Q$2:Q9627,D19-1)))</f>
        <v>0</v>
      </c>
      <c r="F19" s="23">
        <f t="array" ref="F19">IF($A19="","",
  LET(
    r, $D19,
    startD, INDEX(Calculation!B$2:B9627, r),
    endD,   INDEX(Calculation!C$2:C9627, r),
    asOf,   MIN($A19,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26543.83562</v>
      </c>
    </row>
    <row r="20">
      <c r="A20" s="19">
        <v>42255.0</v>
      </c>
      <c r="B20" s="23">
        <v>1.0765E7</v>
      </c>
      <c r="C20" s="23">
        <f t="shared" si="1"/>
        <v>28018.49315</v>
      </c>
      <c r="D20" s="18">
        <f>IF(A20="","",MATCH(A20,Calculation!B$2:B9627,1))</f>
        <v>1</v>
      </c>
      <c r="E20" s="23">
        <f t="array" ref="E20">IF(D20="","",IF(D20=1,0,INDEX(Calculation!Q$2:Q9627,D20-1)))</f>
        <v>0</v>
      </c>
      <c r="F20" s="23">
        <f t="array" ref="F20">IF($A20="","",
  LET(
    r, $D20,
    startD, INDEX(Calculation!B$2:B9627, r),
    endD,   INDEX(Calculation!C$2:C9627, r),
    asOf,   MIN($A20,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28018.49315</v>
      </c>
    </row>
    <row r="21">
      <c r="A21" s="19">
        <v>42256.0</v>
      </c>
      <c r="B21" s="23">
        <v>1.0765E7</v>
      </c>
      <c r="C21" s="23">
        <f t="shared" si="1"/>
        <v>29493.15068</v>
      </c>
      <c r="D21" s="18">
        <f>IF(A21="","",MATCH(A21,Calculation!B$2:B9627,1))</f>
        <v>1</v>
      </c>
      <c r="E21" s="23">
        <f t="array" ref="E21">IF(D21="","",IF(D21=1,0,INDEX(Calculation!Q$2:Q9627,D21-1)))</f>
        <v>0</v>
      </c>
      <c r="F21" s="23">
        <f t="array" ref="F21">IF($A21="","",
  LET(
    r, $D21,
    startD, INDEX(Calculation!B$2:B9627, r),
    endD,   INDEX(Calculation!C$2:C9627, r),
    asOf,   MIN($A21,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29493.15068</v>
      </c>
    </row>
    <row r="22">
      <c r="A22" s="19">
        <v>42257.0</v>
      </c>
      <c r="B22" s="23">
        <v>1.0765E7</v>
      </c>
      <c r="C22" s="23">
        <f t="shared" si="1"/>
        <v>30967.80822</v>
      </c>
      <c r="D22" s="18">
        <f>IF(A22="","",MATCH(A22,Calculation!B$2:B9627,1))</f>
        <v>1</v>
      </c>
      <c r="E22" s="23">
        <f t="array" ref="E22">IF(D22="","",IF(D22=1,0,INDEX(Calculation!Q$2:Q9627,D22-1)))</f>
        <v>0</v>
      </c>
      <c r="F22" s="23">
        <f t="array" ref="F22">IF($A22="","",
  LET(
    r, $D22,
    startD, INDEX(Calculation!B$2:B9627, r),
    endD,   INDEX(Calculation!C$2:C9627, r),
    asOf,   MIN($A22,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30967.80822</v>
      </c>
    </row>
    <row r="23">
      <c r="A23" s="19">
        <v>42258.0</v>
      </c>
      <c r="B23" s="23">
        <v>1.0765E7</v>
      </c>
      <c r="C23" s="23">
        <f t="shared" si="1"/>
        <v>32442.46575</v>
      </c>
      <c r="D23" s="18">
        <f>IF(A23="","",MATCH(A23,Calculation!B$2:B9627,1))</f>
        <v>1</v>
      </c>
      <c r="E23" s="23">
        <f t="array" ref="E23">IF(D23="","",IF(D23=1,0,INDEX(Calculation!Q$2:Q9627,D23-1)))</f>
        <v>0</v>
      </c>
      <c r="F23" s="23">
        <f t="array" ref="F23">IF($A23="","",
  LET(
    r, $D23,
    startD, INDEX(Calculation!B$2:B9627, r),
    endD,   INDEX(Calculation!C$2:C9627, r),
    asOf,   MIN($A23,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32442.46575</v>
      </c>
    </row>
    <row r="24">
      <c r="A24" s="19">
        <v>42259.0</v>
      </c>
      <c r="B24" s="23">
        <v>1.0765E7</v>
      </c>
      <c r="C24" s="23">
        <f t="shared" si="1"/>
        <v>33917.12329</v>
      </c>
      <c r="D24" s="18">
        <f>IF(A24="","",MATCH(A24,Calculation!B$2:B9627,1))</f>
        <v>1</v>
      </c>
      <c r="E24" s="23">
        <f t="array" ref="E24">IF(D24="","",IF(D24=1,0,INDEX(Calculation!Q$2:Q9627,D24-1)))</f>
        <v>0</v>
      </c>
      <c r="F24" s="23">
        <f t="array" ref="F24">IF($A24="","",
  LET(
    r, $D24,
    startD, INDEX(Calculation!B$2:B9627, r),
    endD,   INDEX(Calculation!C$2:C9627, r),
    asOf,   MIN($A24,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33917.12329</v>
      </c>
    </row>
    <row r="25">
      <c r="A25" s="19">
        <v>42260.0</v>
      </c>
      <c r="B25" s="23">
        <v>1.0765E7</v>
      </c>
      <c r="C25" s="23">
        <f t="shared" si="1"/>
        <v>35391.78082</v>
      </c>
      <c r="D25" s="18">
        <f>IF(A25="","",MATCH(A25,Calculation!B$2:B9627,1))</f>
        <v>1</v>
      </c>
      <c r="E25" s="23">
        <f t="array" ref="E25">IF(D25="","",IF(D25=1,0,INDEX(Calculation!Q$2:Q9627,D25-1)))</f>
        <v>0</v>
      </c>
      <c r="F25" s="23">
        <f t="array" ref="F25">IF($A25="","",
  LET(
    r, $D25,
    startD, INDEX(Calculation!B$2:B9627, r),
    endD,   INDEX(Calculation!C$2:C9627, r),
    asOf,   MIN($A25,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35391.78082</v>
      </c>
    </row>
    <row r="26">
      <c r="A26" s="19">
        <v>42261.0</v>
      </c>
      <c r="B26" s="23">
        <v>1.0765E7</v>
      </c>
      <c r="C26" s="23">
        <f t="shared" si="1"/>
        <v>36866.43836</v>
      </c>
      <c r="D26" s="18">
        <f>IF(A26="","",MATCH(A26,Calculation!B$2:B9627,1))</f>
        <v>1</v>
      </c>
      <c r="E26" s="23">
        <f t="array" ref="E26">IF(D26="","",IF(D26=1,0,INDEX(Calculation!Q$2:Q9627,D26-1)))</f>
        <v>0</v>
      </c>
      <c r="F26" s="23">
        <f t="array" ref="F26">IF($A26="","",
  LET(
    r, $D26,
    startD, INDEX(Calculation!B$2:B9627, r),
    endD,   INDEX(Calculation!C$2:C9627, r),
    asOf,   MIN($A26,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36866.43836</v>
      </c>
    </row>
    <row r="27">
      <c r="A27" s="19">
        <v>42262.0</v>
      </c>
      <c r="B27" s="23">
        <v>1.0765E7</v>
      </c>
      <c r="C27" s="23">
        <f t="shared" si="1"/>
        <v>38341.09589</v>
      </c>
      <c r="D27" s="18">
        <f>IF(A27="","",MATCH(A27,Calculation!B$2:B9627,1))</f>
        <v>1</v>
      </c>
      <c r="E27" s="23">
        <f t="array" ref="E27">IF(D27="","",IF(D27=1,0,INDEX(Calculation!Q$2:Q9627,D27-1)))</f>
        <v>0</v>
      </c>
      <c r="F27" s="23">
        <f t="array" ref="F27">IF($A27="","",
  LET(
    r, $D27,
    startD, INDEX(Calculation!B$2:B9627, r),
    endD,   INDEX(Calculation!C$2:C9627, r),
    asOf,   MIN($A27,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38341.09589</v>
      </c>
    </row>
    <row r="28">
      <c r="A28" s="19">
        <v>42263.0</v>
      </c>
      <c r="B28" s="23">
        <v>1.0765E7</v>
      </c>
      <c r="C28" s="23">
        <f t="shared" si="1"/>
        <v>39815.75342</v>
      </c>
      <c r="D28" s="18">
        <f>IF(A28="","",MATCH(A28,Calculation!B$2:B9627,1))</f>
        <v>1</v>
      </c>
      <c r="E28" s="23">
        <f t="array" ref="E28">IF(D28="","",IF(D28=1,0,INDEX(Calculation!Q$2:Q9627,D28-1)))</f>
        <v>0</v>
      </c>
      <c r="F28" s="23">
        <f t="array" ref="F28">IF($A28="","",
  LET(
    r, $D28,
    startD, INDEX(Calculation!B$2:B9627, r),
    endD,   INDEX(Calculation!C$2:C9627, r),
    asOf,   MIN($A28,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39815.75342</v>
      </c>
    </row>
    <row r="29">
      <c r="A29" s="19">
        <v>42264.0</v>
      </c>
      <c r="B29" s="23">
        <v>1.0765E7</v>
      </c>
      <c r="C29" s="23">
        <f t="shared" si="1"/>
        <v>41290.41096</v>
      </c>
      <c r="D29" s="18">
        <f>IF(A29="","",MATCH(A29,Calculation!B$2:B9627,1))</f>
        <v>1</v>
      </c>
      <c r="E29" s="23">
        <f t="array" ref="E29">IF(D29="","",IF(D29=1,0,INDEX(Calculation!Q$2:Q9627,D29-1)))</f>
        <v>0</v>
      </c>
      <c r="F29" s="23">
        <f t="array" ref="F29">IF($A29="","",
  LET(
    r, $D29,
    startD, INDEX(Calculation!B$2:B9627, r),
    endD,   INDEX(Calculation!C$2:C9627, r),
    asOf,   MIN($A29,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41290.41096</v>
      </c>
    </row>
    <row r="30">
      <c r="A30" s="19">
        <v>42265.0</v>
      </c>
      <c r="B30" s="23">
        <v>1.0765E7</v>
      </c>
      <c r="C30" s="23">
        <f t="shared" si="1"/>
        <v>42765.06849</v>
      </c>
      <c r="D30" s="18">
        <f>IF(A30="","",MATCH(A30,Calculation!B$2:B9627,1))</f>
        <v>1</v>
      </c>
      <c r="E30" s="23">
        <f t="array" ref="E30">IF(D30="","",IF(D30=1,0,INDEX(Calculation!Q$2:Q9627,D30-1)))</f>
        <v>0</v>
      </c>
      <c r="F30" s="23">
        <f t="array" ref="F30">IF($A30="","",
  LET(
    r, $D30,
    startD, INDEX(Calculation!B$2:B9627, r),
    endD,   INDEX(Calculation!C$2:C9627, r),
    asOf,   MIN($A30,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42765.06849</v>
      </c>
    </row>
    <row r="31">
      <c r="A31" s="19">
        <v>42266.0</v>
      </c>
      <c r="B31" s="23">
        <v>1.0765E7</v>
      </c>
      <c r="C31" s="23">
        <f t="shared" si="1"/>
        <v>44239.72603</v>
      </c>
      <c r="D31" s="18">
        <f>IF(A31="","",MATCH(A31,Calculation!B$2:B9627,1))</f>
        <v>1</v>
      </c>
      <c r="E31" s="23">
        <f t="array" ref="E31">IF(D31="","",IF(D31=1,0,INDEX(Calculation!Q$2:Q9627,D31-1)))</f>
        <v>0</v>
      </c>
      <c r="F31" s="23">
        <f t="array" ref="F31">IF($A31="","",
  LET(
    r, $D31,
    startD, INDEX(Calculation!B$2:B9627, r),
    endD,   INDEX(Calculation!C$2:C9627, r),
    asOf,   MIN($A31,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44239.72603</v>
      </c>
    </row>
    <row r="32">
      <c r="A32" s="19">
        <v>42267.0</v>
      </c>
      <c r="B32" s="23">
        <v>1.0765E7</v>
      </c>
      <c r="C32" s="23">
        <f t="shared" si="1"/>
        <v>45714.38356</v>
      </c>
      <c r="D32" s="18">
        <f>IF(A32="","",MATCH(A32,Calculation!B$2:B9627,1))</f>
        <v>1</v>
      </c>
      <c r="E32" s="23">
        <f t="array" ref="E32">IF(D32="","",IF(D32=1,0,INDEX(Calculation!Q$2:Q9627,D32-1)))</f>
        <v>0</v>
      </c>
      <c r="F32" s="23">
        <f t="array" ref="F32">IF($A32="","",
  LET(
    r, $D32,
    startD, INDEX(Calculation!B$2:B9627, r),
    endD,   INDEX(Calculation!C$2:C9627, r),
    asOf,   MIN($A32,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45714.38356</v>
      </c>
    </row>
    <row r="33">
      <c r="A33" s="19">
        <v>42268.0</v>
      </c>
      <c r="B33" s="23">
        <v>1.0765E7</v>
      </c>
      <c r="C33" s="23">
        <f t="shared" si="1"/>
        <v>47189.0411</v>
      </c>
      <c r="D33" s="18">
        <f>IF(A33="","",MATCH(A33,Calculation!B$2:B9627,1))</f>
        <v>1</v>
      </c>
      <c r="E33" s="23">
        <f t="array" ref="E33">IF(D33="","",IF(D33=1,0,INDEX(Calculation!Q$2:Q9627,D33-1)))</f>
        <v>0</v>
      </c>
      <c r="F33" s="23">
        <f t="array" ref="F33">IF($A33="","",
  LET(
    r, $D33,
    startD, INDEX(Calculation!B$2:B9627, r),
    endD,   INDEX(Calculation!C$2:C9627, r),
    asOf,   MIN($A33,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47189.0411</v>
      </c>
    </row>
    <row r="34">
      <c r="A34" s="19">
        <v>42269.0</v>
      </c>
      <c r="B34" s="23">
        <v>1.0765E7</v>
      </c>
      <c r="C34" s="23">
        <f t="shared" si="1"/>
        <v>48663.69863</v>
      </c>
      <c r="D34" s="18">
        <f>IF(A34="","",MATCH(A34,Calculation!B$2:B9627,1))</f>
        <v>1</v>
      </c>
      <c r="E34" s="23">
        <f t="array" ref="E34">IF(D34="","",IF(D34=1,0,INDEX(Calculation!Q$2:Q9627,D34-1)))</f>
        <v>0</v>
      </c>
      <c r="F34" s="23">
        <f t="array" ref="F34">IF($A34="","",
  LET(
    r, $D34,
    startD, INDEX(Calculation!B$2:B9627, r),
    endD,   INDEX(Calculation!C$2:C9627, r),
    asOf,   MIN($A34,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48663.69863</v>
      </c>
    </row>
    <row r="35">
      <c r="A35" s="19">
        <v>42270.0</v>
      </c>
      <c r="B35" s="23">
        <v>1.0765E7</v>
      </c>
      <c r="C35" s="23">
        <f t="shared" si="1"/>
        <v>50138.35616</v>
      </c>
      <c r="D35" s="18">
        <f>IF(A35="","",MATCH(A35,Calculation!B$2:B9627,1))</f>
        <v>1</v>
      </c>
      <c r="E35" s="23">
        <f t="array" ref="E35">IF(D35="","",IF(D35=1,0,INDEX(Calculation!Q$2:Q9627,D35-1)))</f>
        <v>0</v>
      </c>
      <c r="F35" s="23">
        <f t="array" ref="F35">IF($A35="","",
  LET(
    r, $D35,
    startD, INDEX(Calculation!B$2:B9627, r),
    endD,   INDEX(Calculation!C$2:C9627, r),
    asOf,   MIN($A35,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50138.35616</v>
      </c>
    </row>
    <row r="36">
      <c r="A36" s="19">
        <v>42271.0</v>
      </c>
      <c r="B36" s="23">
        <v>1.0765E7</v>
      </c>
      <c r="C36" s="23">
        <f t="shared" si="1"/>
        <v>51613.0137</v>
      </c>
      <c r="D36" s="18">
        <f>IF(A36="","",MATCH(A36,Calculation!B$2:B9627,1))</f>
        <v>1</v>
      </c>
      <c r="E36" s="23">
        <f t="array" ref="E36">IF(D36="","",IF(D36=1,0,INDEX(Calculation!Q$2:Q9627,D36-1)))</f>
        <v>0</v>
      </c>
      <c r="F36" s="23">
        <f t="array" ref="F36">IF($A36="","",
  LET(
    r, $D36,
    startD, INDEX(Calculation!B$2:B9627, r),
    endD,   INDEX(Calculation!C$2:C9627, r),
    asOf,   MIN($A36,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51613.0137</v>
      </c>
    </row>
    <row r="37">
      <c r="A37" s="19">
        <v>42272.0</v>
      </c>
      <c r="B37" s="23">
        <v>1.0765E7</v>
      </c>
      <c r="C37" s="23">
        <f t="shared" si="1"/>
        <v>53087.67123</v>
      </c>
      <c r="D37" s="18">
        <f>IF(A37="","",MATCH(A37,Calculation!B$2:B9627,1))</f>
        <v>1</v>
      </c>
      <c r="E37" s="23">
        <f t="array" ref="E37">IF(D37="","",IF(D37=1,0,INDEX(Calculation!Q$2:Q9627,D37-1)))</f>
        <v>0</v>
      </c>
      <c r="F37" s="23">
        <f t="array" ref="F37">IF($A37="","",
  LET(
    r, $D37,
    startD, INDEX(Calculation!B$2:B9627, r),
    endD,   INDEX(Calculation!C$2:C9627, r),
    asOf,   MIN($A37,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53087.67123</v>
      </c>
    </row>
    <row r="38">
      <c r="A38" s="19">
        <v>42273.0</v>
      </c>
      <c r="B38" s="23">
        <v>1.0765E7</v>
      </c>
      <c r="C38" s="23">
        <f t="shared" si="1"/>
        <v>54562.32877</v>
      </c>
      <c r="D38" s="18">
        <f>IF(A38="","",MATCH(A38,Calculation!B$2:B9627,1))</f>
        <v>1</v>
      </c>
      <c r="E38" s="23">
        <f t="array" ref="E38">IF(D38="","",IF(D38=1,0,INDEX(Calculation!Q$2:Q9627,D38-1)))</f>
        <v>0</v>
      </c>
      <c r="F38" s="23">
        <f t="array" ref="F38">IF($A38="","",
  LET(
    r, $D38,
    startD, INDEX(Calculation!B$2:B9627, r),
    endD,   INDEX(Calculation!C$2:C9627, r),
    asOf,   MIN($A38,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54562.32877</v>
      </c>
    </row>
    <row r="39">
      <c r="A39" s="19">
        <v>42274.0</v>
      </c>
      <c r="B39" s="23">
        <v>1.0765E7</v>
      </c>
      <c r="C39" s="23">
        <f t="shared" si="1"/>
        <v>56036.9863</v>
      </c>
      <c r="D39" s="18">
        <f>IF(A39="","",MATCH(A39,Calculation!B$2:B9627,1))</f>
        <v>1</v>
      </c>
      <c r="E39" s="23">
        <f t="array" ref="E39">IF(D39="","",IF(D39=1,0,INDEX(Calculation!Q$2:Q9627,D39-1)))</f>
        <v>0</v>
      </c>
      <c r="F39" s="23">
        <f t="array" ref="F39">IF($A39="","",
  LET(
    r, $D39,
    startD, INDEX(Calculation!B$2:B9627, r),
    endD,   INDEX(Calculation!C$2:C9627, r),
    asOf,   MIN($A39,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56036.9863</v>
      </c>
    </row>
    <row r="40">
      <c r="A40" s="19">
        <v>42275.0</v>
      </c>
      <c r="B40" s="23">
        <v>1.0765E7</v>
      </c>
      <c r="C40" s="23">
        <f t="shared" si="1"/>
        <v>57511.64384</v>
      </c>
      <c r="D40" s="18">
        <f>IF(A40="","",MATCH(A40,Calculation!B$2:B9627,1))</f>
        <v>1</v>
      </c>
      <c r="E40" s="23">
        <f t="array" ref="E40">IF(D40="","",IF(D40=1,0,INDEX(Calculation!Q$2:Q9627,D40-1)))</f>
        <v>0</v>
      </c>
      <c r="F40" s="23">
        <f t="array" ref="F40">IF($A40="","",
  LET(
    r, $D40,
    startD, INDEX(Calculation!B$2:B9627, r),
    endD,   INDEX(Calculation!C$2:C9627, r),
    asOf,   MIN($A40,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57511.64384</v>
      </c>
    </row>
    <row r="41">
      <c r="A41" s="19">
        <v>42276.0</v>
      </c>
      <c r="B41" s="23">
        <v>1.0765E7</v>
      </c>
      <c r="C41" s="23">
        <f t="shared" si="1"/>
        <v>58986.30137</v>
      </c>
      <c r="D41" s="18">
        <f>IF(A41="","",MATCH(A41,Calculation!B$2:B9627,1))</f>
        <v>1</v>
      </c>
      <c r="E41" s="23">
        <f t="array" ref="E41">IF(D41="","",IF(D41=1,0,INDEX(Calculation!Q$2:Q9627,D41-1)))</f>
        <v>0</v>
      </c>
      <c r="F41" s="23">
        <f t="array" ref="F41">IF($A41="","",
  LET(
    r, $D41,
    startD, INDEX(Calculation!B$2:B9627, r),
    endD,   INDEX(Calculation!C$2:C9627, r),
    asOf,   MIN($A41,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58986.30137</v>
      </c>
    </row>
    <row r="42">
      <c r="A42" s="19">
        <v>42277.0</v>
      </c>
      <c r="B42" s="23">
        <v>1.0765E7</v>
      </c>
      <c r="C42" s="23">
        <f t="shared" si="1"/>
        <v>60460.9589</v>
      </c>
      <c r="D42" s="18">
        <f>IF(A42="","",MATCH(A42,Calculation!B$2:B9627,1))</f>
        <v>1</v>
      </c>
      <c r="E42" s="23">
        <f t="array" ref="E42">IF(D42="","",IF(D42=1,0,INDEX(Calculation!Q$2:Q9627,D42-1)))</f>
        <v>0</v>
      </c>
      <c r="F42" s="23">
        <f t="array" ref="F42">IF($A42="","",
  LET(
    r, $D42,
    startD, INDEX(Calculation!B$2:B9627, r),
    endD,   INDEX(Calculation!C$2:C9627, r),
    asOf,   MIN($A42,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60460.9589</v>
      </c>
    </row>
    <row r="43">
      <c r="A43" s="19">
        <v>42278.0</v>
      </c>
      <c r="B43" s="23">
        <v>1.0765E7</v>
      </c>
      <c r="C43" s="23">
        <f t="shared" si="1"/>
        <v>61935.61644</v>
      </c>
      <c r="D43" s="18">
        <f>IF(A43="","",MATCH(A43,Calculation!B$2:B9627,1))</f>
        <v>1</v>
      </c>
      <c r="E43" s="23">
        <f t="array" ref="E43">IF(D43="","",IF(D43=1,0,INDEX(Calculation!Q$2:Q9627,D43-1)))</f>
        <v>0</v>
      </c>
      <c r="F43" s="23">
        <f t="array" ref="F43">IF($A43="","",
  LET(
    r, $D43,
    startD, INDEX(Calculation!B$2:B9627, r),
    endD,   INDEX(Calculation!C$2:C9627, r),
    asOf,   MIN($A43,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61935.61644</v>
      </c>
    </row>
    <row r="44">
      <c r="A44" s="19">
        <v>42279.0</v>
      </c>
      <c r="B44" s="23">
        <v>1.0765E7</v>
      </c>
      <c r="C44" s="23">
        <f t="shared" si="1"/>
        <v>63410.27397</v>
      </c>
      <c r="D44" s="18">
        <f>IF(A44="","",MATCH(A44,Calculation!B$2:B9627,1))</f>
        <v>1</v>
      </c>
      <c r="E44" s="23">
        <f t="array" ref="E44">IF(D44="","",IF(D44=1,0,INDEX(Calculation!Q$2:Q9627,D44-1)))</f>
        <v>0</v>
      </c>
      <c r="F44" s="23">
        <f t="array" ref="F44">IF($A44="","",
  LET(
    r, $D44,
    startD, INDEX(Calculation!B$2:B9627, r),
    endD,   INDEX(Calculation!C$2:C9627, r),
    asOf,   MIN($A44,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63410.27397</v>
      </c>
    </row>
    <row r="45">
      <c r="A45" s="19">
        <v>42280.0</v>
      </c>
      <c r="B45" s="23">
        <v>1.0765E7</v>
      </c>
      <c r="C45" s="23">
        <f t="shared" si="1"/>
        <v>64884.93151</v>
      </c>
      <c r="D45" s="18">
        <f>IF(A45="","",MATCH(A45,Calculation!B$2:B9627,1))</f>
        <v>1</v>
      </c>
      <c r="E45" s="23">
        <f t="array" ref="E45">IF(D45="","",IF(D45=1,0,INDEX(Calculation!Q$2:Q9627,D45-1)))</f>
        <v>0</v>
      </c>
      <c r="F45" s="23">
        <f t="array" ref="F45">IF($A45="","",
  LET(
    r, $D45,
    startD, INDEX(Calculation!B$2:B9627, r),
    endD,   INDEX(Calculation!C$2:C9627, r),
    asOf,   MIN($A45,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64884.93151</v>
      </c>
    </row>
    <row r="46">
      <c r="A46" s="19">
        <v>42281.0</v>
      </c>
      <c r="B46" s="23">
        <v>1.0765E7</v>
      </c>
      <c r="C46" s="23">
        <f t="shared" si="1"/>
        <v>66359.58904</v>
      </c>
      <c r="D46" s="18">
        <f>IF(A46="","",MATCH(A46,Calculation!B$2:B9627,1))</f>
        <v>1</v>
      </c>
      <c r="E46" s="23">
        <f t="array" ref="E46">IF(D46="","",IF(D46=1,0,INDEX(Calculation!Q$2:Q9627,D46-1)))</f>
        <v>0</v>
      </c>
      <c r="F46" s="23">
        <f t="array" ref="F46">IF($A46="","",
  LET(
    r, $D46,
    startD, INDEX(Calculation!B$2:B9627, r),
    endD,   INDEX(Calculation!C$2:C9627, r),
    asOf,   MIN($A46,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66359.58904</v>
      </c>
    </row>
    <row r="47">
      <c r="A47" s="19">
        <v>42282.0</v>
      </c>
      <c r="B47" s="23">
        <v>1.0765E7</v>
      </c>
      <c r="C47" s="23">
        <f t="shared" si="1"/>
        <v>67834.24658</v>
      </c>
      <c r="D47" s="18">
        <f>IF(A47="","",MATCH(A47,Calculation!B$2:B9627,1))</f>
        <v>1</v>
      </c>
      <c r="E47" s="23">
        <f t="array" ref="E47">IF(D47="","",IF(D47=1,0,INDEX(Calculation!Q$2:Q9627,D47-1)))</f>
        <v>0</v>
      </c>
      <c r="F47" s="23">
        <f t="array" ref="F47">IF($A47="","",
  LET(
    r, $D47,
    startD, INDEX(Calculation!B$2:B9627, r),
    endD,   INDEX(Calculation!C$2:C9627, r),
    asOf,   MIN($A47,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67834.24658</v>
      </c>
    </row>
    <row r="48">
      <c r="A48" s="19">
        <v>42283.0</v>
      </c>
      <c r="B48" s="23">
        <v>1.0765E7</v>
      </c>
      <c r="C48" s="23">
        <f t="shared" si="1"/>
        <v>69308.90411</v>
      </c>
      <c r="D48" s="18">
        <f>IF(A48="","",MATCH(A48,Calculation!B$2:B9627,1))</f>
        <v>1</v>
      </c>
      <c r="E48" s="23">
        <f t="array" ref="E48">IF(D48="","",IF(D48=1,0,INDEX(Calculation!Q$2:Q9627,D48-1)))</f>
        <v>0</v>
      </c>
      <c r="F48" s="23">
        <f t="array" ref="F48">IF($A48="","",
  LET(
    r, $D48,
    startD, INDEX(Calculation!B$2:B9627, r),
    endD,   INDEX(Calculation!C$2:C9627, r),
    asOf,   MIN($A48,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69308.90411</v>
      </c>
    </row>
    <row r="49">
      <c r="A49" s="19">
        <v>42284.0</v>
      </c>
      <c r="B49" s="23">
        <v>1.0765E7</v>
      </c>
      <c r="C49" s="23">
        <f t="shared" si="1"/>
        <v>70783.56164</v>
      </c>
      <c r="D49" s="18">
        <f>IF(A49="","",MATCH(A49,Calculation!B$2:B9627,1))</f>
        <v>1</v>
      </c>
      <c r="E49" s="23">
        <f t="array" ref="E49">IF(D49="","",IF(D49=1,0,INDEX(Calculation!Q$2:Q9627,D49-1)))</f>
        <v>0</v>
      </c>
      <c r="F49" s="23">
        <f t="array" ref="F49">IF($A49="","",
  LET(
    r, $D49,
    startD, INDEX(Calculation!B$2:B9627, r),
    endD,   INDEX(Calculation!C$2:C9627, r),
    asOf,   MIN($A49,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70783.56164</v>
      </c>
    </row>
    <row r="50">
      <c r="A50" s="19">
        <v>42285.0</v>
      </c>
      <c r="B50" s="23">
        <v>1.0765E7</v>
      </c>
      <c r="C50" s="23">
        <f t="shared" si="1"/>
        <v>72258.21918</v>
      </c>
      <c r="D50" s="18">
        <f>IF(A50="","",MATCH(A50,Calculation!B$2:B9627,1))</f>
        <v>1</v>
      </c>
      <c r="E50" s="23">
        <f t="array" ref="E50">IF(D50="","",IF(D50=1,0,INDEX(Calculation!Q$2:Q9627,D50-1)))</f>
        <v>0</v>
      </c>
      <c r="F50" s="23">
        <f t="array" ref="F50">IF($A50="","",
  LET(
    r, $D50,
    startD, INDEX(Calculation!B$2:B9627, r),
    endD,   INDEX(Calculation!C$2:C9627, r),
    asOf,   MIN($A50,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72258.21918</v>
      </c>
    </row>
    <row r="51">
      <c r="A51" s="19">
        <v>42286.0</v>
      </c>
      <c r="B51" s="23">
        <v>1.0765E7</v>
      </c>
      <c r="C51" s="23">
        <f t="shared" si="1"/>
        <v>73732.87671</v>
      </c>
      <c r="D51" s="18">
        <f>IF(A51="","",MATCH(A51,Calculation!B$2:B9627,1))</f>
        <v>1</v>
      </c>
      <c r="E51" s="23">
        <f t="array" ref="E51">IF(D51="","",IF(D51=1,0,INDEX(Calculation!Q$2:Q9627,D51-1)))</f>
        <v>0</v>
      </c>
      <c r="F51" s="23">
        <f t="array" ref="F51">IF($A51="","",
  LET(
    r, $D51,
    startD, INDEX(Calculation!B$2:B9627, r),
    endD,   INDEX(Calculation!C$2:C9627, r),
    asOf,   MIN($A51,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73732.87671</v>
      </c>
    </row>
    <row r="52">
      <c r="A52" s="19">
        <v>42287.0</v>
      </c>
      <c r="B52" s="23">
        <v>1.0765E7</v>
      </c>
      <c r="C52" s="23">
        <f t="shared" si="1"/>
        <v>75207.53425</v>
      </c>
      <c r="D52" s="18">
        <f>IF(A52="","",MATCH(A52,Calculation!B$2:B9627,1))</f>
        <v>1</v>
      </c>
      <c r="E52" s="23">
        <f t="array" ref="E52">IF(D52="","",IF(D52=1,0,INDEX(Calculation!Q$2:Q9627,D52-1)))</f>
        <v>0</v>
      </c>
      <c r="F52" s="23">
        <f t="array" ref="F52">IF($A52="","",
  LET(
    r, $D52,
    startD, INDEX(Calculation!B$2:B9627, r),
    endD,   INDEX(Calculation!C$2:C9627, r),
    asOf,   MIN($A52,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75207.53425</v>
      </c>
    </row>
    <row r="53">
      <c r="A53" s="19">
        <v>42288.0</v>
      </c>
      <c r="B53" s="23">
        <v>1.0765E7</v>
      </c>
      <c r="C53" s="23">
        <f t="shared" si="1"/>
        <v>76682.19178</v>
      </c>
      <c r="D53" s="18">
        <f>IF(A53="","",MATCH(A53,Calculation!B$2:B9627,1))</f>
        <v>1</v>
      </c>
      <c r="E53" s="23">
        <f t="array" ref="E53">IF(D53="","",IF(D53=1,0,INDEX(Calculation!Q$2:Q9627,D53-1)))</f>
        <v>0</v>
      </c>
      <c r="F53" s="23">
        <f t="array" ref="F53">IF($A53="","",
  LET(
    r, $D53,
    startD, INDEX(Calculation!B$2:B9627, r),
    endD,   INDEX(Calculation!C$2:C9627, r),
    asOf,   MIN($A53,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76682.19178</v>
      </c>
    </row>
    <row r="54">
      <c r="A54" s="19">
        <v>42289.0</v>
      </c>
      <c r="B54" s="23">
        <v>1.0765E7</v>
      </c>
      <c r="C54" s="23">
        <f t="shared" si="1"/>
        <v>78156.84932</v>
      </c>
      <c r="D54" s="18">
        <f>IF(A54="","",MATCH(A54,Calculation!B$2:B9627,1))</f>
        <v>1</v>
      </c>
      <c r="E54" s="23">
        <f t="array" ref="E54">IF(D54="","",IF(D54=1,0,INDEX(Calculation!Q$2:Q9627,D54-1)))</f>
        <v>0</v>
      </c>
      <c r="F54" s="23">
        <f t="array" ref="F54">IF($A54="","",
  LET(
    r, $D54,
    startD, INDEX(Calculation!B$2:B9627, r),
    endD,   INDEX(Calculation!C$2:C9627, r),
    asOf,   MIN($A54,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78156.84932</v>
      </c>
    </row>
    <row r="55">
      <c r="A55" s="19">
        <v>42290.0</v>
      </c>
      <c r="B55" s="23">
        <v>1.0765E7</v>
      </c>
      <c r="C55" s="23">
        <f t="shared" si="1"/>
        <v>79631.50685</v>
      </c>
      <c r="D55" s="18">
        <f>IF(A55="","",MATCH(A55,Calculation!B$2:B9627,1))</f>
        <v>1</v>
      </c>
      <c r="E55" s="23">
        <f t="array" ref="E55">IF(D55="","",IF(D55=1,0,INDEX(Calculation!Q$2:Q9627,D55-1)))</f>
        <v>0</v>
      </c>
      <c r="F55" s="23">
        <f t="array" ref="F55">IF($A55="","",
  LET(
    r, $D55,
    startD, INDEX(Calculation!B$2:B9627, r),
    endD,   INDEX(Calculation!C$2:C9627, r),
    asOf,   MIN($A55,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79631.50685</v>
      </c>
    </row>
    <row r="56">
      <c r="A56" s="19">
        <v>42291.0</v>
      </c>
      <c r="B56" s="23">
        <v>1.0765E7</v>
      </c>
      <c r="C56" s="23">
        <f t="shared" si="1"/>
        <v>81106.16438</v>
      </c>
      <c r="D56" s="18">
        <f>IF(A56="","",MATCH(A56,Calculation!B$2:B9627,1))</f>
        <v>1</v>
      </c>
      <c r="E56" s="23">
        <f t="array" ref="E56">IF(D56="","",IF(D56=1,0,INDEX(Calculation!Q$2:Q9627,D56-1)))</f>
        <v>0</v>
      </c>
      <c r="F56" s="23">
        <f t="array" ref="F56">IF($A56="","",
  LET(
    r, $D56,
    startD, INDEX(Calculation!B$2:B9627, r),
    endD,   INDEX(Calculation!C$2:C9627, r),
    asOf,   MIN($A56,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81106.16438</v>
      </c>
    </row>
    <row r="57">
      <c r="A57" s="19">
        <v>42292.0</v>
      </c>
      <c r="B57" s="23">
        <v>1.0765E7</v>
      </c>
      <c r="C57" s="23">
        <f t="shared" si="1"/>
        <v>82580.82192</v>
      </c>
      <c r="D57" s="18">
        <f>IF(A57="","",MATCH(A57,Calculation!B$2:B9627,1))</f>
        <v>1</v>
      </c>
      <c r="E57" s="23">
        <f t="array" ref="E57">IF(D57="","",IF(D57=1,0,INDEX(Calculation!Q$2:Q9627,D57-1)))</f>
        <v>0</v>
      </c>
      <c r="F57" s="23">
        <f t="array" ref="F57">IF($A57="","",
  LET(
    r, $D57,
    startD, INDEX(Calculation!B$2:B9627, r),
    endD,   INDEX(Calculation!C$2:C9627, r),
    asOf,   MIN($A57,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82580.82192</v>
      </c>
    </row>
    <row r="58">
      <c r="A58" s="19">
        <v>42293.0</v>
      </c>
      <c r="B58" s="23">
        <v>1.0765E7</v>
      </c>
      <c r="C58" s="23">
        <f t="shared" si="1"/>
        <v>84055.47945</v>
      </c>
      <c r="D58" s="18">
        <f>IF(A58="","",MATCH(A58,Calculation!B$2:B9627,1))</f>
        <v>1</v>
      </c>
      <c r="E58" s="23">
        <f t="array" ref="E58">IF(D58="","",IF(D58=1,0,INDEX(Calculation!Q$2:Q9627,D58-1)))</f>
        <v>0</v>
      </c>
      <c r="F58" s="23">
        <f t="array" ref="F58">IF($A58="","",
  LET(
    r, $D58,
    startD, INDEX(Calculation!B$2:B9627, r),
    endD,   INDEX(Calculation!C$2:C9627, r),
    asOf,   MIN($A58,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84055.47945</v>
      </c>
    </row>
    <row r="59">
      <c r="A59" s="19">
        <v>42294.0</v>
      </c>
      <c r="B59" s="23">
        <v>1.0765E7</v>
      </c>
      <c r="C59" s="23">
        <f t="shared" si="1"/>
        <v>85530.13699</v>
      </c>
      <c r="D59" s="18">
        <f>IF(A59="","",MATCH(A59,Calculation!B$2:B9627,1))</f>
        <v>1</v>
      </c>
      <c r="E59" s="23">
        <f t="array" ref="E59">IF(D59="","",IF(D59=1,0,INDEX(Calculation!Q$2:Q9627,D59-1)))</f>
        <v>0</v>
      </c>
      <c r="F59" s="23">
        <f t="array" ref="F59">IF($A59="","",
  LET(
    r, $D59,
    startD, INDEX(Calculation!B$2:B9627, r),
    endD,   INDEX(Calculation!C$2:C9627, r),
    asOf,   MIN($A59,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85530.13699</v>
      </c>
    </row>
    <row r="60">
      <c r="A60" s="19">
        <v>42295.0</v>
      </c>
      <c r="B60" s="23">
        <v>1.0765E7</v>
      </c>
      <c r="C60" s="23">
        <f t="shared" si="1"/>
        <v>87004.79452</v>
      </c>
      <c r="D60" s="18">
        <f>IF(A60="","",MATCH(A60,Calculation!B$2:B9627,1))</f>
        <v>1</v>
      </c>
      <c r="E60" s="23">
        <f t="array" ref="E60">IF(D60="","",IF(D60=1,0,INDEX(Calculation!Q$2:Q9627,D60-1)))</f>
        <v>0</v>
      </c>
      <c r="F60" s="23">
        <f t="array" ref="F60">IF($A60="","",
  LET(
    r, $D60,
    startD, INDEX(Calculation!B$2:B9627, r),
    endD,   INDEX(Calculation!C$2:C9627, r),
    asOf,   MIN($A60,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87004.79452</v>
      </c>
    </row>
    <row r="61">
      <c r="A61" s="19">
        <v>42296.0</v>
      </c>
      <c r="B61" s="23">
        <v>1.0765E7</v>
      </c>
      <c r="C61" s="23">
        <f t="shared" si="1"/>
        <v>88479.45205</v>
      </c>
      <c r="D61" s="18">
        <f>IF(A61="","",MATCH(A61,Calculation!B$2:B9627,1))</f>
        <v>1</v>
      </c>
      <c r="E61" s="23">
        <f t="array" ref="E61">IF(D61="","",IF(D61=1,0,INDEX(Calculation!Q$2:Q9627,D61-1)))</f>
        <v>0</v>
      </c>
      <c r="F61" s="23">
        <f t="array" ref="F61">IF($A61="","",
  LET(
    r, $D61,
    startD, INDEX(Calculation!B$2:B9627, r),
    endD,   INDEX(Calculation!C$2:C9627, r),
    asOf,   MIN($A61,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88479.45205</v>
      </c>
    </row>
    <row r="62">
      <c r="A62" s="19">
        <v>42297.0</v>
      </c>
      <c r="B62" s="23">
        <v>1.0765E7</v>
      </c>
      <c r="C62" s="23">
        <f t="shared" si="1"/>
        <v>89954.10959</v>
      </c>
      <c r="D62" s="18">
        <f>IF(A62="","",MATCH(A62,Calculation!B$2:B9627,1))</f>
        <v>1</v>
      </c>
      <c r="E62" s="23">
        <f t="array" ref="E62">IF(D62="","",IF(D62=1,0,INDEX(Calculation!Q$2:Q9627,D62-1)))</f>
        <v>0</v>
      </c>
      <c r="F62" s="23">
        <f t="array" ref="F62">IF($A62="","",
  LET(
    r, $D62,
    startD, INDEX(Calculation!B$2:B9627, r),
    endD,   INDEX(Calculation!C$2:C9627, r),
    asOf,   MIN($A62,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89954.10959</v>
      </c>
    </row>
    <row r="63">
      <c r="A63" s="19">
        <v>42298.0</v>
      </c>
      <c r="B63" s="23">
        <v>1.0765E7</v>
      </c>
      <c r="C63" s="23">
        <f t="shared" si="1"/>
        <v>91428.76712</v>
      </c>
      <c r="D63" s="18">
        <f>IF(A63="","",MATCH(A63,Calculation!B$2:B9627,1))</f>
        <v>1</v>
      </c>
      <c r="E63" s="23">
        <f t="array" ref="E63">IF(D63="","",IF(D63=1,0,INDEX(Calculation!Q$2:Q9627,D63-1)))</f>
        <v>0</v>
      </c>
      <c r="F63" s="23">
        <f t="array" ref="F63">IF($A63="","",
  LET(
    r, $D63,
    startD, INDEX(Calculation!B$2:B9627, r),
    endD,   INDEX(Calculation!C$2:C9627, r),
    asOf,   MIN($A63,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91428.76712</v>
      </c>
    </row>
    <row r="64">
      <c r="A64" s="19">
        <v>42299.0</v>
      </c>
      <c r="B64" s="23">
        <v>1.0765E7</v>
      </c>
      <c r="C64" s="23">
        <f t="shared" si="1"/>
        <v>92903.42466</v>
      </c>
      <c r="D64" s="18">
        <f>IF(A64="","",MATCH(A64,Calculation!B$2:B9627,1))</f>
        <v>1</v>
      </c>
      <c r="E64" s="23">
        <f t="array" ref="E64">IF(D64="","",IF(D64=1,0,INDEX(Calculation!Q$2:Q9627,D64-1)))</f>
        <v>0</v>
      </c>
      <c r="F64" s="23">
        <f t="array" ref="F64">IF($A64="","",
  LET(
    r, $D64,
    startD, INDEX(Calculation!B$2:B9627, r),
    endD,   INDEX(Calculation!C$2:C9627, r),
    asOf,   MIN($A64,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92903.42466</v>
      </c>
    </row>
    <row r="65">
      <c r="A65" s="19">
        <v>42300.0</v>
      </c>
      <c r="B65" s="23">
        <v>1.0765E7</v>
      </c>
      <c r="C65" s="23">
        <f t="shared" si="1"/>
        <v>94378.08219</v>
      </c>
      <c r="D65" s="18">
        <f>IF(A65="","",MATCH(A65,Calculation!B$2:B9627,1))</f>
        <v>1</v>
      </c>
      <c r="E65" s="23">
        <f t="array" ref="E65">IF(D65="","",IF(D65=1,0,INDEX(Calculation!Q$2:Q9627,D65-1)))</f>
        <v>0</v>
      </c>
      <c r="F65" s="23">
        <f t="array" ref="F65">IF($A65="","",
  LET(
    r, $D65,
    startD, INDEX(Calculation!B$2:B9627, r),
    endD,   INDEX(Calculation!C$2:C9627, r),
    asOf,   MIN($A65,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94378.08219</v>
      </c>
    </row>
    <row r="66">
      <c r="A66" s="19">
        <v>42301.0</v>
      </c>
      <c r="B66" s="23">
        <v>1.0765E7</v>
      </c>
      <c r="C66" s="23">
        <f t="shared" si="1"/>
        <v>95852.73973</v>
      </c>
      <c r="D66" s="18">
        <f>IF(A66="","",MATCH(A66,Calculation!B$2:B9627,1))</f>
        <v>1</v>
      </c>
      <c r="E66" s="23">
        <f t="array" ref="E66">IF(D66="","",IF(D66=1,0,INDEX(Calculation!Q$2:Q9627,D66-1)))</f>
        <v>0</v>
      </c>
      <c r="F66" s="23">
        <f t="array" ref="F66">IF($A66="","",
  LET(
    r, $D66,
    startD, INDEX(Calculation!B$2:B9627, r),
    endD,   INDEX(Calculation!C$2:C9627, r),
    asOf,   MIN($A66,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95852.73973</v>
      </c>
    </row>
    <row r="67">
      <c r="A67" s="19">
        <v>42302.0</v>
      </c>
      <c r="B67" s="23">
        <v>1.0765E7</v>
      </c>
      <c r="C67" s="23">
        <f t="shared" si="1"/>
        <v>97327.39726</v>
      </c>
      <c r="D67" s="18">
        <f>IF(A67="","",MATCH(A67,Calculation!B$2:B9627,1))</f>
        <v>1</v>
      </c>
      <c r="E67" s="23">
        <f t="array" ref="E67">IF(D67="","",IF(D67=1,0,INDEX(Calculation!Q$2:Q9627,D67-1)))</f>
        <v>0</v>
      </c>
      <c r="F67" s="23">
        <f t="array" ref="F67">IF($A67="","",
  LET(
    r, $D67,
    startD, INDEX(Calculation!B$2:B9627, r),
    endD,   INDEX(Calculation!C$2:C9627, r),
    asOf,   MIN($A67,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97327.39726</v>
      </c>
    </row>
    <row r="68">
      <c r="A68" s="19">
        <v>42303.0</v>
      </c>
      <c r="B68" s="23">
        <v>1.0765E7</v>
      </c>
      <c r="C68" s="23">
        <f t="shared" si="1"/>
        <v>98802.05479</v>
      </c>
      <c r="D68" s="18">
        <f>IF(A68="","",MATCH(A68,Calculation!B$2:B9627,1))</f>
        <v>1</v>
      </c>
      <c r="E68" s="23">
        <f t="array" ref="E68">IF(D68="","",IF(D68=1,0,INDEX(Calculation!Q$2:Q9627,D68-1)))</f>
        <v>0</v>
      </c>
      <c r="F68" s="23">
        <f t="array" ref="F68">IF($A68="","",
  LET(
    r, $D68,
    startD, INDEX(Calculation!B$2:B9627, r),
    endD,   INDEX(Calculation!C$2:C9627, r),
    asOf,   MIN($A68,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98802.05479</v>
      </c>
    </row>
    <row r="69">
      <c r="A69" s="19">
        <v>42304.0</v>
      </c>
      <c r="B69" s="23">
        <v>1.0765E7</v>
      </c>
      <c r="C69" s="23">
        <f t="shared" si="1"/>
        <v>100276.7123</v>
      </c>
      <c r="D69" s="18">
        <f>IF(A69="","",MATCH(A69,Calculation!B$2:B9627,1))</f>
        <v>1</v>
      </c>
      <c r="E69" s="23">
        <f t="array" ref="E69">IF(D69="","",IF(D69=1,0,INDEX(Calculation!Q$2:Q9627,D69-1)))</f>
        <v>0</v>
      </c>
      <c r="F69" s="23">
        <f t="array" ref="F69">IF($A69="","",
  LET(
    r, $D69,
    startD, INDEX(Calculation!B$2:B9627, r),
    endD,   INDEX(Calculation!C$2:C9627, r),
    asOf,   MIN($A69,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100276.7123</v>
      </c>
    </row>
    <row r="70">
      <c r="A70" s="19">
        <v>42305.0</v>
      </c>
      <c r="B70" s="23">
        <v>1.0765E7</v>
      </c>
      <c r="C70" s="23">
        <f t="shared" si="1"/>
        <v>101751.3699</v>
      </c>
      <c r="D70" s="18">
        <f>IF(A70="","",MATCH(A70,Calculation!B$2:B9627,1))</f>
        <v>1</v>
      </c>
      <c r="E70" s="23">
        <f t="array" ref="E70">IF(D70="","",IF(D70=1,0,INDEX(Calculation!Q$2:Q9627,D70-1)))</f>
        <v>0</v>
      </c>
      <c r="F70" s="23">
        <f t="array" ref="F70">IF($A70="","",
  LET(
    r, $D70,
    startD, INDEX(Calculation!B$2:B9627, r),
    endD,   INDEX(Calculation!C$2:C9627, r),
    asOf,   MIN($A70,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101751.3699</v>
      </c>
    </row>
    <row r="71">
      <c r="A71" s="19">
        <v>42306.0</v>
      </c>
      <c r="B71" s="23">
        <v>1.0765E7</v>
      </c>
      <c r="C71" s="23">
        <f t="shared" si="1"/>
        <v>103226.0274</v>
      </c>
      <c r="D71" s="18">
        <f>IF(A71="","",MATCH(A71,Calculation!B$2:B9627,1))</f>
        <v>1</v>
      </c>
      <c r="E71" s="23">
        <f t="array" ref="E71">IF(D71="","",IF(D71=1,0,INDEX(Calculation!Q$2:Q9627,D71-1)))</f>
        <v>0</v>
      </c>
      <c r="F71" s="23">
        <f t="array" ref="F71">IF($A71="","",
  LET(
    r, $D71,
    startD, INDEX(Calculation!B$2:B9627, r),
    endD,   INDEX(Calculation!C$2:C9627, r),
    asOf,   MIN($A71,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103226.0274</v>
      </c>
    </row>
    <row r="72">
      <c r="A72" s="19">
        <v>42307.0</v>
      </c>
      <c r="B72" s="23">
        <v>1.0765E7</v>
      </c>
      <c r="C72" s="23">
        <f t="shared" si="1"/>
        <v>104700.6849</v>
      </c>
      <c r="D72" s="18">
        <f>IF(A72="","",MATCH(A72,Calculation!B$2:B9627,1))</f>
        <v>1</v>
      </c>
      <c r="E72" s="23">
        <f t="array" ref="E72">IF(D72="","",IF(D72=1,0,INDEX(Calculation!Q$2:Q9627,D72-1)))</f>
        <v>0</v>
      </c>
      <c r="F72" s="23">
        <f t="array" ref="F72">IF($A72="","",
  LET(
    r, $D72,
    startD, INDEX(Calculation!B$2:B9627, r),
    endD,   INDEX(Calculation!C$2:C9627, r),
    asOf,   MIN($A72,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104700.6849</v>
      </c>
    </row>
    <row r="73">
      <c r="A73" s="19">
        <v>42308.0</v>
      </c>
      <c r="B73" s="23">
        <v>1.0765E7</v>
      </c>
      <c r="C73" s="23">
        <f t="shared" si="1"/>
        <v>106175.3425</v>
      </c>
      <c r="D73" s="18">
        <f>IF(A73="","",MATCH(A73,Calculation!B$2:B9627,1))</f>
        <v>1</v>
      </c>
      <c r="E73" s="23">
        <f t="array" ref="E73">IF(D73="","",IF(D73=1,0,INDEX(Calculation!Q$2:Q9627,D73-1)))</f>
        <v>0</v>
      </c>
      <c r="F73" s="23">
        <f t="array" ref="F73">IF($A73="","",
  LET(
    r, $D73,
    startD, INDEX(Calculation!B$2:B9627, r),
    endD,   INDEX(Calculation!C$2:C9627, r),
    asOf,   MIN($A73,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106175.3425</v>
      </c>
    </row>
    <row r="74">
      <c r="A74" s="19">
        <v>42309.0</v>
      </c>
      <c r="B74" s="23">
        <v>1.0765E7</v>
      </c>
      <c r="C74" s="23">
        <f t="shared" si="1"/>
        <v>107650</v>
      </c>
      <c r="D74" s="18">
        <f>IF(A74="","",MATCH(A74,Calculation!B$2:B9627,1))</f>
        <v>1</v>
      </c>
      <c r="E74" s="23">
        <f t="array" ref="E74">IF(D74="","",IF(D74=1,0,INDEX(Calculation!Q$2:Q9627,D74-1)))</f>
        <v>0</v>
      </c>
      <c r="F74" s="23">
        <f t="array" ref="F74">IF($A74="","",
  LET(
    r, $D74,
    startD, INDEX(Calculation!B$2:B9627, r),
    endD,   INDEX(Calculation!C$2:C9627, r),
    asOf,   MIN($A74,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107650</v>
      </c>
    </row>
    <row r="75">
      <c r="A75" s="19">
        <v>42310.0</v>
      </c>
      <c r="B75" s="23">
        <v>1.0765E7</v>
      </c>
      <c r="C75" s="23">
        <f t="shared" si="1"/>
        <v>109124.6575</v>
      </c>
      <c r="D75" s="18">
        <f>IF(A75="","",MATCH(A75,Calculation!B$2:B9627,1))</f>
        <v>1</v>
      </c>
      <c r="E75" s="23">
        <f t="array" ref="E75">IF(D75="","",IF(D75=1,0,INDEX(Calculation!Q$2:Q9627,D75-1)))</f>
        <v>0</v>
      </c>
      <c r="F75" s="23">
        <f t="array" ref="F75">IF($A75="","",
  LET(
    r, $D75,
    startD, INDEX(Calculation!B$2:B9627, r),
    endD,   INDEX(Calculation!C$2:C9627, r),
    asOf,   MIN($A75,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109124.6575</v>
      </c>
    </row>
    <row r="76">
      <c r="A76" s="19">
        <v>42311.0</v>
      </c>
      <c r="B76" s="23">
        <v>1.0765E7</v>
      </c>
      <c r="C76" s="23">
        <f t="shared" si="1"/>
        <v>110599.3151</v>
      </c>
      <c r="D76" s="18">
        <f>IF(A76="","",MATCH(A76,Calculation!B$2:B9627,1))</f>
        <v>1</v>
      </c>
      <c r="E76" s="23">
        <f t="array" ref="E76">IF(D76="","",IF(D76=1,0,INDEX(Calculation!Q$2:Q9627,D76-1)))</f>
        <v>0</v>
      </c>
      <c r="F76" s="23">
        <f t="array" ref="F76">IF($A76="","",
  LET(
    r, $D76,
    startD, INDEX(Calculation!B$2:B9627, r),
    endD,   INDEX(Calculation!C$2:C9627, r),
    asOf,   MIN($A76,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110599.3151</v>
      </c>
    </row>
    <row r="77">
      <c r="A77" s="19">
        <v>42312.0</v>
      </c>
      <c r="B77" s="23">
        <v>1.0765E7</v>
      </c>
      <c r="C77" s="23">
        <f t="shared" si="1"/>
        <v>112073.9726</v>
      </c>
      <c r="D77" s="18">
        <f>IF(A77="","",MATCH(A77,Calculation!B$2:B9627,1))</f>
        <v>1</v>
      </c>
      <c r="E77" s="23">
        <f t="array" ref="E77">IF(D77="","",IF(D77=1,0,INDEX(Calculation!Q$2:Q9627,D77-1)))</f>
        <v>0</v>
      </c>
      <c r="F77" s="23">
        <f t="array" ref="F77">IF($A77="","",
  LET(
    r, $D77,
    startD, INDEX(Calculation!B$2:B9627, r),
    endD,   INDEX(Calculation!C$2:C9627, r),
    asOf,   MIN($A77,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112073.9726</v>
      </c>
    </row>
    <row r="78">
      <c r="A78" s="19">
        <v>42313.0</v>
      </c>
      <c r="B78" s="23">
        <v>1.0765E7</v>
      </c>
      <c r="C78" s="23">
        <f t="shared" si="1"/>
        <v>113548.6301</v>
      </c>
      <c r="D78" s="18">
        <f>IF(A78="","",MATCH(A78,Calculation!B$2:B9627,1))</f>
        <v>1</v>
      </c>
      <c r="E78" s="23">
        <f t="array" ref="E78">IF(D78="","",IF(D78=1,0,INDEX(Calculation!Q$2:Q9627,D78-1)))</f>
        <v>0</v>
      </c>
      <c r="F78" s="23">
        <f t="array" ref="F78">IF($A78="","",
  LET(
    r, $D78,
    startD, INDEX(Calculation!B$2:B9627, r),
    endD,   INDEX(Calculation!C$2:C9627, r),
    asOf,   MIN($A78,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113548.6301</v>
      </c>
    </row>
    <row r="79">
      <c r="A79" s="19">
        <v>42314.0</v>
      </c>
      <c r="B79" s="23">
        <v>1.0765E7</v>
      </c>
      <c r="C79" s="23">
        <f t="shared" si="1"/>
        <v>115023.2877</v>
      </c>
      <c r="D79" s="18">
        <f>IF(A79="","",MATCH(A79,Calculation!B$2:B9627,1))</f>
        <v>1</v>
      </c>
      <c r="E79" s="23">
        <f t="array" ref="E79">IF(D79="","",IF(D79=1,0,INDEX(Calculation!Q$2:Q9627,D79-1)))</f>
        <v>0</v>
      </c>
      <c r="F79" s="23">
        <f t="array" ref="F79">IF($A79="","",
  LET(
    r, $D79,
    startD, INDEX(Calculation!B$2:B9627, r),
    endD,   INDEX(Calculation!C$2:C9627, r),
    asOf,   MIN($A79,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115023.2877</v>
      </c>
    </row>
    <row r="80">
      <c r="A80" s="19">
        <v>42315.0</v>
      </c>
      <c r="B80" s="23">
        <v>1.0765E7</v>
      </c>
      <c r="C80" s="23">
        <f t="shared" si="1"/>
        <v>116497.9452</v>
      </c>
      <c r="D80" s="18">
        <f>IF(A80="","",MATCH(A80,Calculation!B$2:B9627,1))</f>
        <v>1</v>
      </c>
      <c r="E80" s="23">
        <f t="array" ref="E80">IF(D80="","",IF(D80=1,0,INDEX(Calculation!Q$2:Q9627,D80-1)))</f>
        <v>0</v>
      </c>
      <c r="F80" s="23">
        <f t="array" ref="F80">IF($A80="","",
  LET(
    r, $D80,
    startD, INDEX(Calculation!B$2:B9627, r),
    endD,   INDEX(Calculation!C$2:C9627, r),
    asOf,   MIN($A80,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116497.9452</v>
      </c>
    </row>
    <row r="81">
      <c r="A81" s="19">
        <v>42316.0</v>
      </c>
      <c r="B81" s="23">
        <v>1.0765E7</v>
      </c>
      <c r="C81" s="23">
        <f t="shared" si="1"/>
        <v>117972.6027</v>
      </c>
      <c r="D81" s="18">
        <f>IF(A81="","",MATCH(A81,Calculation!B$2:B9627,1))</f>
        <v>1</v>
      </c>
      <c r="E81" s="23">
        <f t="array" ref="E81">IF(D81="","",IF(D81=1,0,INDEX(Calculation!Q$2:Q9627,D81-1)))</f>
        <v>0</v>
      </c>
      <c r="F81" s="23">
        <f t="array" ref="F81">IF($A81="","",
  LET(
    r, $D81,
    startD, INDEX(Calculation!B$2:B9627, r),
    endD,   INDEX(Calculation!C$2:C9627, r),
    asOf,   MIN($A81,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117972.6027</v>
      </c>
    </row>
    <row r="82">
      <c r="A82" s="19">
        <v>42317.0</v>
      </c>
      <c r="B82" s="23">
        <v>1.0765E7</v>
      </c>
      <c r="C82" s="23">
        <f t="shared" si="1"/>
        <v>119447.2603</v>
      </c>
      <c r="D82" s="18">
        <f>IF(A82="","",MATCH(A82,Calculation!B$2:B9627,1))</f>
        <v>1</v>
      </c>
      <c r="E82" s="23">
        <f t="array" ref="E82">IF(D82="","",IF(D82=1,0,INDEX(Calculation!Q$2:Q9627,D82-1)))</f>
        <v>0</v>
      </c>
      <c r="F82" s="23">
        <f t="array" ref="F82">IF($A82="","",
  LET(
    r, $D82,
    startD, INDEX(Calculation!B$2:B9627, r),
    endD,   INDEX(Calculation!C$2:C9627, r),
    asOf,   MIN($A82,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119447.2603</v>
      </c>
    </row>
    <row r="83">
      <c r="A83" s="19">
        <v>42318.0</v>
      </c>
      <c r="B83" s="23">
        <v>1.0765E7</v>
      </c>
      <c r="C83" s="23">
        <f t="shared" si="1"/>
        <v>120921.9178</v>
      </c>
      <c r="D83" s="18">
        <f>IF(A83="","",MATCH(A83,Calculation!B$2:B9627,1))</f>
        <v>1</v>
      </c>
      <c r="E83" s="23">
        <f t="array" ref="E83">IF(D83="","",IF(D83=1,0,INDEX(Calculation!Q$2:Q9627,D83-1)))</f>
        <v>0</v>
      </c>
      <c r="F83" s="23">
        <f t="array" ref="F83">IF($A83="","",
  LET(
    r, $D83,
    startD, INDEX(Calculation!B$2:B9627, r),
    endD,   INDEX(Calculation!C$2:C9627, r),
    asOf,   MIN($A83,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120921.9178</v>
      </c>
    </row>
    <row r="84">
      <c r="A84" s="19">
        <v>42319.0</v>
      </c>
      <c r="B84" s="23">
        <v>1.0765E7</v>
      </c>
      <c r="C84" s="23">
        <f t="shared" si="1"/>
        <v>122396.5753</v>
      </c>
      <c r="D84" s="18">
        <f>IF(A84="","",MATCH(A84,Calculation!B$2:B9627,1))</f>
        <v>1</v>
      </c>
      <c r="E84" s="23">
        <f t="array" ref="E84">IF(D84="","",IF(D84=1,0,INDEX(Calculation!Q$2:Q9627,D84-1)))</f>
        <v>0</v>
      </c>
      <c r="F84" s="23">
        <f t="array" ref="F84">IF($A84="","",
  LET(
    r, $D84,
    startD, INDEX(Calculation!B$2:B9627, r),
    endD,   INDEX(Calculation!C$2:C9627, r),
    asOf,   MIN($A84,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122396.5753</v>
      </c>
    </row>
    <row r="85">
      <c r="A85" s="19">
        <v>42320.0</v>
      </c>
      <c r="B85" s="23">
        <v>1.0765E7</v>
      </c>
      <c r="C85" s="23">
        <f t="shared" si="1"/>
        <v>123871.2329</v>
      </c>
      <c r="D85" s="18">
        <f>IF(A85="","",MATCH(A85,Calculation!B$2:B9627,1))</f>
        <v>1</v>
      </c>
      <c r="E85" s="23">
        <f t="array" ref="E85">IF(D85="","",IF(D85=1,0,INDEX(Calculation!Q$2:Q9627,D85-1)))</f>
        <v>0</v>
      </c>
      <c r="F85" s="23">
        <f t="array" ref="F85">IF($A85="","",
  LET(
    r, $D85,
    startD, INDEX(Calculation!B$2:B9627, r),
    endD,   INDEX(Calculation!C$2:C9627, r),
    asOf,   MIN($A85,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123871.2329</v>
      </c>
    </row>
    <row r="86">
      <c r="A86" s="19">
        <v>42321.0</v>
      </c>
      <c r="B86" s="23">
        <v>1.0765E7</v>
      </c>
      <c r="C86" s="23">
        <f t="shared" si="1"/>
        <v>125345.8904</v>
      </c>
      <c r="D86" s="18">
        <f>IF(A86="","",MATCH(A86,Calculation!B$2:B9627,1))</f>
        <v>1</v>
      </c>
      <c r="E86" s="23">
        <f t="array" ref="E86">IF(D86="","",IF(D86=1,0,INDEX(Calculation!Q$2:Q9627,D86-1)))</f>
        <v>0</v>
      </c>
      <c r="F86" s="23">
        <f t="array" ref="F86">IF($A86="","",
  LET(
    r, $D86,
    startD, INDEX(Calculation!B$2:B9627, r),
    endD,   INDEX(Calculation!C$2:C9627, r),
    asOf,   MIN($A86,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125345.8904</v>
      </c>
    </row>
    <row r="87">
      <c r="A87" s="19">
        <v>42322.0</v>
      </c>
      <c r="B87" s="23">
        <v>1.0765E7</v>
      </c>
      <c r="C87" s="23">
        <f t="shared" si="1"/>
        <v>126820.5479</v>
      </c>
      <c r="D87" s="18">
        <f>IF(A87="","",MATCH(A87,Calculation!B$2:B9627,1))</f>
        <v>1</v>
      </c>
      <c r="E87" s="23">
        <f t="array" ref="E87">IF(D87="","",IF(D87=1,0,INDEX(Calculation!Q$2:Q9627,D87-1)))</f>
        <v>0</v>
      </c>
      <c r="F87" s="23">
        <f t="array" ref="F87">IF($A87="","",
  LET(
    r, $D87,
    startD, INDEX(Calculation!B$2:B9627, r),
    endD,   INDEX(Calculation!C$2:C9627, r),
    asOf,   MIN($A87,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126820.5479</v>
      </c>
    </row>
    <row r="88">
      <c r="A88" s="19">
        <v>42323.0</v>
      </c>
      <c r="B88" s="23">
        <v>1.0765E7</v>
      </c>
      <c r="C88" s="23">
        <f t="shared" si="1"/>
        <v>128295.2055</v>
      </c>
      <c r="D88" s="18">
        <f>IF(A88="","",MATCH(A88,Calculation!B$2:B9627,1))</f>
        <v>1</v>
      </c>
      <c r="E88" s="23">
        <f t="array" ref="E88">IF(D88="","",IF(D88=1,0,INDEX(Calculation!Q$2:Q9627,D88-1)))</f>
        <v>0</v>
      </c>
      <c r="F88" s="23">
        <f t="array" ref="F88">IF($A88="","",
  LET(
    r, $D88,
    startD, INDEX(Calculation!B$2:B9627, r),
    endD,   INDEX(Calculation!C$2:C9627, r),
    asOf,   MIN($A88,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128295.2055</v>
      </c>
    </row>
    <row r="89">
      <c r="A89" s="19">
        <v>42324.0</v>
      </c>
      <c r="B89" s="23">
        <v>1.0765E7</v>
      </c>
      <c r="C89" s="23">
        <f t="shared" si="1"/>
        <v>129769.863</v>
      </c>
      <c r="D89" s="18">
        <f>IF(A89="","",MATCH(A89,Calculation!B$2:B9627,1))</f>
        <v>1</v>
      </c>
      <c r="E89" s="23">
        <f t="array" ref="E89">IF(D89="","",IF(D89=1,0,INDEX(Calculation!Q$2:Q9627,D89-1)))</f>
        <v>0</v>
      </c>
      <c r="F89" s="23">
        <f t="array" ref="F89">IF($A89="","",
  LET(
    r, $D89,
    startD, INDEX(Calculation!B$2:B9627, r),
    endD,   INDEX(Calculation!C$2:C9627, r),
    asOf,   MIN($A89,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129769.863</v>
      </c>
    </row>
    <row r="90">
      <c r="A90" s="19">
        <v>42325.0</v>
      </c>
      <c r="B90" s="23">
        <v>1.0765E7</v>
      </c>
      <c r="C90" s="23">
        <f t="shared" si="1"/>
        <v>131244.5205</v>
      </c>
      <c r="D90" s="18">
        <f>IF(A90="","",MATCH(A90,Calculation!B$2:B9627,1))</f>
        <v>1</v>
      </c>
      <c r="E90" s="23">
        <f t="array" ref="E90">IF(D90="","",IF(D90=1,0,INDEX(Calculation!Q$2:Q9627,D90-1)))</f>
        <v>0</v>
      </c>
      <c r="F90" s="23">
        <f t="array" ref="F90">IF($A90="","",
  LET(
    r, $D90,
    startD, INDEX(Calculation!B$2:B9627, r),
    endD,   INDEX(Calculation!C$2:C9627, r),
    asOf,   MIN($A90,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131244.5205</v>
      </c>
    </row>
    <row r="91">
      <c r="A91" s="19">
        <v>42326.0</v>
      </c>
      <c r="B91" s="23">
        <v>1.0765E7</v>
      </c>
      <c r="C91" s="23">
        <f t="shared" si="1"/>
        <v>132719.1781</v>
      </c>
      <c r="D91" s="18">
        <f>IF(A91="","",MATCH(A91,Calculation!B$2:B9627,1))</f>
        <v>1</v>
      </c>
      <c r="E91" s="23">
        <f t="array" ref="E91">IF(D91="","",IF(D91=1,0,INDEX(Calculation!Q$2:Q9627,D91-1)))</f>
        <v>0</v>
      </c>
      <c r="F91" s="23">
        <f t="array" ref="F91">IF($A91="","",
  LET(
    r, $D91,
    startD, INDEX(Calculation!B$2:B9627, r),
    endD,   INDEX(Calculation!C$2:C9627, r),
    asOf,   MIN($A91,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132719.1781</v>
      </c>
    </row>
    <row r="92">
      <c r="A92" s="19">
        <v>42327.0</v>
      </c>
      <c r="B92" s="23">
        <v>1.0765E7</v>
      </c>
      <c r="C92" s="23">
        <f t="shared" si="1"/>
        <v>134193.8356</v>
      </c>
      <c r="D92" s="18">
        <f>IF(A92="","",MATCH(A92,Calculation!B$2:B9627,1))</f>
        <v>1</v>
      </c>
      <c r="E92" s="23">
        <f t="array" ref="E92">IF(D92="","",IF(D92=1,0,INDEX(Calculation!Q$2:Q9627,D92-1)))</f>
        <v>0</v>
      </c>
      <c r="F92" s="23">
        <f t="array" ref="F92">IF($A92="","",
  LET(
    r, $D92,
    startD, INDEX(Calculation!B$2:B9627, r),
    endD,   INDEX(Calculation!C$2:C9627, r),
    asOf,   MIN($A92,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134193.8356</v>
      </c>
    </row>
    <row r="93">
      <c r="A93" s="19">
        <v>42328.0</v>
      </c>
      <c r="B93" s="23">
        <v>1.0765E7</v>
      </c>
      <c r="C93" s="23">
        <f t="shared" si="1"/>
        <v>135668.4932</v>
      </c>
      <c r="D93" s="18">
        <f>IF(A93="","",MATCH(A93,Calculation!B$2:B9627,1))</f>
        <v>1</v>
      </c>
      <c r="E93" s="23">
        <f t="array" ref="E93">IF(D93="","",IF(D93=1,0,INDEX(Calculation!Q$2:Q9627,D93-1)))</f>
        <v>0</v>
      </c>
      <c r="F93" s="23">
        <f t="array" ref="F93">IF($A93="","",
  LET(
    r, $D93,
    startD, INDEX(Calculation!B$2:B9627, r),
    endD,   INDEX(Calculation!C$2:C9627, r),
    asOf,   MIN($A93,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135668.4932</v>
      </c>
    </row>
    <row r="94">
      <c r="A94" s="19">
        <v>42329.0</v>
      </c>
      <c r="B94" s="23">
        <v>1.0765E7</v>
      </c>
      <c r="C94" s="23">
        <f t="shared" si="1"/>
        <v>137143.1507</v>
      </c>
      <c r="D94" s="18">
        <f>IF(A94="","",MATCH(A94,Calculation!B$2:B9627,1))</f>
        <v>1</v>
      </c>
      <c r="E94" s="23">
        <f t="array" ref="E94">IF(D94="","",IF(D94=1,0,INDEX(Calculation!Q$2:Q9627,D94-1)))</f>
        <v>0</v>
      </c>
      <c r="F94" s="23">
        <f t="array" ref="F94">IF($A94="","",
  LET(
    r, $D94,
    startD, INDEX(Calculation!B$2:B9627, r),
    endD,   INDEX(Calculation!C$2:C9627, r),
    asOf,   MIN($A94,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137143.1507</v>
      </c>
    </row>
    <row r="95">
      <c r="A95" s="19">
        <v>42330.0</v>
      </c>
      <c r="B95" s="23">
        <v>1.0765E7</v>
      </c>
      <c r="C95" s="23">
        <f t="shared" si="1"/>
        <v>138617.8082</v>
      </c>
      <c r="D95" s="18">
        <f>IF(A95="","",MATCH(A95,Calculation!B$2:B9627,1))</f>
        <v>1</v>
      </c>
      <c r="E95" s="23">
        <f t="array" ref="E95">IF(D95="","",IF(D95=1,0,INDEX(Calculation!Q$2:Q9627,D95-1)))</f>
        <v>0</v>
      </c>
      <c r="F95" s="23">
        <f t="array" ref="F95">IF($A95="","",
  LET(
    r, $D95,
    startD, INDEX(Calculation!B$2:B9627, r),
    endD,   INDEX(Calculation!C$2:C9627, r),
    asOf,   MIN($A95,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138617.8082</v>
      </c>
    </row>
    <row r="96">
      <c r="A96" s="19">
        <v>42331.0</v>
      </c>
      <c r="B96" s="23">
        <v>1.0765E7</v>
      </c>
      <c r="C96" s="23">
        <f t="shared" si="1"/>
        <v>140092.4658</v>
      </c>
      <c r="D96" s="18">
        <f>IF(A96="","",MATCH(A96,Calculation!B$2:B9627,1))</f>
        <v>1</v>
      </c>
      <c r="E96" s="23">
        <f t="array" ref="E96">IF(D96="","",IF(D96=1,0,INDEX(Calculation!Q$2:Q9627,D96-1)))</f>
        <v>0</v>
      </c>
      <c r="F96" s="23">
        <f t="array" ref="F96">IF($A96="","",
  LET(
    r, $D96,
    startD, INDEX(Calculation!B$2:B9627, r),
    endD,   INDEX(Calculation!C$2:C9627, r),
    asOf,   MIN($A96,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140092.4658</v>
      </c>
    </row>
    <row r="97">
      <c r="A97" s="19">
        <v>42332.0</v>
      </c>
      <c r="B97" s="23">
        <v>1.0765E7</v>
      </c>
      <c r="C97" s="23">
        <f t="shared" si="1"/>
        <v>141567.1233</v>
      </c>
      <c r="D97" s="18">
        <f>IF(A97="","",MATCH(A97,Calculation!B$2:B9627,1))</f>
        <v>1</v>
      </c>
      <c r="E97" s="23">
        <f t="array" ref="E97">IF(D97="","",IF(D97=1,0,INDEX(Calculation!Q$2:Q9627,D97-1)))</f>
        <v>0</v>
      </c>
      <c r="F97" s="23">
        <f t="array" ref="F97">IF($A97="","",
  LET(
    r, $D97,
    startD, INDEX(Calculation!B$2:B9627, r),
    endD,   INDEX(Calculation!C$2:C9627, r),
    asOf,   MIN($A97,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141567.1233</v>
      </c>
    </row>
    <row r="98">
      <c r="A98" s="19">
        <v>42333.0</v>
      </c>
      <c r="B98" s="23">
        <v>1.0765E7</v>
      </c>
      <c r="C98" s="23">
        <f t="shared" si="1"/>
        <v>143041.7808</v>
      </c>
      <c r="D98" s="18">
        <f>IF(A98="","",MATCH(A98,Calculation!B$2:B9627,1))</f>
        <v>1</v>
      </c>
      <c r="E98" s="23">
        <f t="array" ref="E98">IF(D98="","",IF(D98=1,0,INDEX(Calculation!Q$2:Q9627,D98-1)))</f>
        <v>0</v>
      </c>
      <c r="F98" s="23">
        <f t="array" ref="F98">IF($A98="","",
  LET(
    r, $D98,
    startD, INDEX(Calculation!B$2:B9627, r),
    endD,   INDEX(Calculation!C$2:C9627, r),
    asOf,   MIN($A98,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143041.7808</v>
      </c>
    </row>
    <row r="99">
      <c r="A99" s="19">
        <v>42334.0</v>
      </c>
      <c r="B99" s="23">
        <v>1.0765E7</v>
      </c>
      <c r="C99" s="23">
        <f t="shared" si="1"/>
        <v>144516.4384</v>
      </c>
      <c r="D99" s="18">
        <f>IF(A99="","",MATCH(A99,Calculation!B$2:B9627,1))</f>
        <v>1</v>
      </c>
      <c r="E99" s="23">
        <f t="array" ref="E99">IF(D99="","",IF(D99=1,0,INDEX(Calculation!Q$2:Q9627,D99-1)))</f>
        <v>0</v>
      </c>
      <c r="F99" s="23">
        <f t="array" ref="F99">IF($A99="","",
  LET(
    r, $D99,
    startD, INDEX(Calculation!B$2:B9627, r),
    endD,   INDEX(Calculation!C$2:C9627, r),
    asOf,   MIN($A99,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144516.4384</v>
      </c>
    </row>
    <row r="100">
      <c r="A100" s="19">
        <v>42335.0</v>
      </c>
      <c r="B100" s="23">
        <v>1.0765E7</v>
      </c>
      <c r="C100" s="23">
        <f t="shared" si="1"/>
        <v>145991.0959</v>
      </c>
      <c r="D100" s="18">
        <f>IF(A100="","",MATCH(A100,Calculation!B$2:B9627,1))</f>
        <v>1</v>
      </c>
      <c r="E100" s="23">
        <f t="array" ref="E100">IF(D100="","",IF(D100=1,0,INDEX(Calculation!Q$2:Q9627,D100-1)))</f>
        <v>0</v>
      </c>
      <c r="F100" s="23">
        <f t="array" ref="F100">IF($A100="","",
  LET(
    r, $D100,
    startD, INDEX(Calculation!B$2:B9627, r),
    endD,   INDEX(Calculation!C$2:C9627, r),
    asOf,   MIN($A100,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145991.0959</v>
      </c>
    </row>
    <row r="101">
      <c r="A101" s="19">
        <v>42336.0</v>
      </c>
      <c r="B101" s="23">
        <v>1.0765E7</v>
      </c>
      <c r="C101" s="23">
        <f t="shared" si="1"/>
        <v>147465.7534</v>
      </c>
      <c r="D101" s="18">
        <f>IF(A101="","",MATCH(A101,Calculation!B$2:B9627,1))</f>
        <v>1</v>
      </c>
      <c r="E101" s="23">
        <f t="array" ref="E101">IF(D101="","",IF(D101=1,0,INDEX(Calculation!Q$2:Q9627,D101-1)))</f>
        <v>0</v>
      </c>
      <c r="F101" s="23">
        <f t="array" ref="F101">IF($A101="","",
  LET(
    r, $D101,
    startD, INDEX(Calculation!B$2:B9627, r),
    endD,   INDEX(Calculation!C$2:C9627, r),
    asOf,   MIN($A101,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147465.7534</v>
      </c>
    </row>
    <row r="102">
      <c r="A102" s="19">
        <v>42337.0</v>
      </c>
      <c r="B102" s="23">
        <v>1.0765E7</v>
      </c>
      <c r="C102" s="23">
        <f t="shared" si="1"/>
        <v>148940.411</v>
      </c>
      <c r="D102" s="18">
        <f>IF(A102="","",MATCH(A102,Calculation!B$2:B9627,1))</f>
        <v>1</v>
      </c>
      <c r="E102" s="23">
        <f t="array" ref="E102">IF(D102="","",IF(D102=1,0,INDEX(Calculation!Q$2:Q9627,D102-1)))</f>
        <v>0</v>
      </c>
      <c r="F102" s="23">
        <f t="array" ref="F102">IF($A102="","",
  LET(
    r, $D102,
    startD, INDEX(Calculation!B$2:B9627, r),
    endD,   INDEX(Calculation!C$2:C9627, r),
    asOf,   MIN($A102,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148940.411</v>
      </c>
    </row>
    <row r="103">
      <c r="A103" s="19">
        <v>42338.0</v>
      </c>
      <c r="B103" s="23">
        <v>1.0765E7</v>
      </c>
      <c r="C103" s="23">
        <f t="shared" si="1"/>
        <v>150415.0685</v>
      </c>
      <c r="D103" s="18">
        <f>IF(A103="","",MATCH(A103,Calculation!B$2:B9627,1))</f>
        <v>1</v>
      </c>
      <c r="E103" s="23">
        <f t="array" ref="E103">IF(D103="","",IF(D103=1,0,INDEX(Calculation!Q$2:Q9627,D103-1)))</f>
        <v>0</v>
      </c>
      <c r="F103" s="23">
        <f t="array" ref="F103">IF($A103="","",
  LET(
    r, $D103,
    startD, INDEX(Calculation!B$2:B9627, r),
    endD,   INDEX(Calculation!C$2:C9627, r),
    asOf,   MIN($A103,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150415.0685</v>
      </c>
    </row>
    <row r="104">
      <c r="A104" s="19">
        <v>42339.0</v>
      </c>
      <c r="B104" s="23">
        <v>1.0765E7</v>
      </c>
      <c r="C104" s="23">
        <f t="shared" si="1"/>
        <v>151889.726</v>
      </c>
      <c r="D104" s="18">
        <f>IF(A104="","",MATCH(A104,Calculation!B$2:B9627,1))</f>
        <v>1</v>
      </c>
      <c r="E104" s="23">
        <f t="array" ref="E104">IF(D104="","",IF(D104=1,0,INDEX(Calculation!Q$2:Q9627,D104-1)))</f>
        <v>0</v>
      </c>
      <c r="F104" s="23">
        <f t="array" ref="F104">IF($A104="","",
  LET(
    r, $D104,
    startD, INDEX(Calculation!B$2:B9627, r),
    endD,   INDEX(Calculation!C$2:C9627, r),
    asOf,   MIN($A104,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151889.726</v>
      </c>
    </row>
    <row r="105">
      <c r="A105" s="19">
        <v>42340.0</v>
      </c>
      <c r="B105" s="23">
        <v>1.0765E7</v>
      </c>
      <c r="C105" s="23">
        <f t="shared" si="1"/>
        <v>153364.3836</v>
      </c>
      <c r="D105" s="18">
        <f>IF(A105="","",MATCH(A105,Calculation!B$2:B9627,1))</f>
        <v>1</v>
      </c>
      <c r="E105" s="23">
        <f t="array" ref="E105">IF(D105="","",IF(D105=1,0,INDEX(Calculation!Q$2:Q9627,D105-1)))</f>
        <v>0</v>
      </c>
      <c r="F105" s="23">
        <f t="array" ref="F105">IF($A105="","",
  LET(
    r, $D105,
    startD, INDEX(Calculation!B$2:B9627, r),
    endD,   INDEX(Calculation!C$2:C9627, r),
    asOf,   MIN($A105,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153364.3836</v>
      </c>
    </row>
    <row r="106">
      <c r="A106" s="19">
        <v>42341.0</v>
      </c>
      <c r="B106" s="23">
        <v>1.0765E7</v>
      </c>
      <c r="C106" s="23">
        <f t="shared" si="1"/>
        <v>154839.0411</v>
      </c>
      <c r="D106" s="18">
        <f>IF(A106="","",MATCH(A106,Calculation!B$2:B9627,1))</f>
        <v>1</v>
      </c>
      <c r="E106" s="23">
        <f t="array" ref="E106">IF(D106="","",IF(D106=1,0,INDEX(Calculation!Q$2:Q9627,D106-1)))</f>
        <v>0</v>
      </c>
      <c r="F106" s="23">
        <f t="array" ref="F106">IF($A106="","",
  LET(
    r, $D106,
    startD, INDEX(Calculation!B$2:B9627, r),
    endD,   INDEX(Calculation!C$2:C9627, r),
    asOf,   MIN($A106,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154839.0411</v>
      </c>
    </row>
    <row r="107">
      <c r="A107" s="19">
        <v>42342.0</v>
      </c>
      <c r="B107" s="23">
        <v>1.0765E7</v>
      </c>
      <c r="C107" s="23">
        <f t="shared" si="1"/>
        <v>156313.6986</v>
      </c>
      <c r="D107" s="18">
        <f>IF(A107="","",MATCH(A107,Calculation!B$2:B9627,1))</f>
        <v>1</v>
      </c>
      <c r="E107" s="23">
        <f t="array" ref="E107">IF(D107="","",IF(D107=1,0,INDEX(Calculation!Q$2:Q9627,D107-1)))</f>
        <v>0</v>
      </c>
      <c r="F107" s="23">
        <f t="array" ref="F107">IF($A107="","",
  LET(
    r, $D107,
    startD, INDEX(Calculation!B$2:B9627, r),
    endD,   INDEX(Calculation!C$2:C9627, r),
    asOf,   MIN($A107,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156313.6986</v>
      </c>
    </row>
    <row r="108">
      <c r="A108" s="19">
        <v>42343.0</v>
      </c>
      <c r="B108" s="23">
        <v>1.0765E7</v>
      </c>
      <c r="C108" s="23">
        <f t="shared" si="1"/>
        <v>157788.3562</v>
      </c>
      <c r="D108" s="18">
        <f>IF(A108="","",MATCH(A108,Calculation!B$2:B9627,1))</f>
        <v>1</v>
      </c>
      <c r="E108" s="23">
        <f t="array" ref="E108">IF(D108="","",IF(D108=1,0,INDEX(Calculation!Q$2:Q9627,D108-1)))</f>
        <v>0</v>
      </c>
      <c r="F108" s="23">
        <f t="array" ref="F108">IF($A108="","",
  LET(
    r, $D108,
    startD, INDEX(Calculation!B$2:B9627, r),
    endD,   INDEX(Calculation!C$2:C9627, r),
    asOf,   MIN($A108,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157788.3562</v>
      </c>
    </row>
    <row r="109">
      <c r="A109" s="19">
        <v>42344.0</v>
      </c>
      <c r="B109" s="23">
        <v>1.0765E7</v>
      </c>
      <c r="C109" s="23">
        <f t="shared" si="1"/>
        <v>159263.0137</v>
      </c>
      <c r="D109" s="18">
        <f>IF(A109="","",MATCH(A109,Calculation!B$2:B9627,1))</f>
        <v>1</v>
      </c>
      <c r="E109" s="23">
        <f t="array" ref="E109">IF(D109="","",IF(D109=1,0,INDEX(Calculation!Q$2:Q9627,D109-1)))</f>
        <v>0</v>
      </c>
      <c r="F109" s="23">
        <f t="array" ref="F109">IF($A109="","",
  LET(
    r, $D109,
    startD, INDEX(Calculation!B$2:B9627, r),
    endD,   INDEX(Calculation!C$2:C9627, r),
    asOf,   MIN($A109,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159263.0137</v>
      </c>
    </row>
    <row r="110">
      <c r="A110" s="19">
        <v>42345.0</v>
      </c>
      <c r="B110" s="23">
        <v>1.0765E7</v>
      </c>
      <c r="C110" s="23">
        <f t="shared" si="1"/>
        <v>160737.6712</v>
      </c>
      <c r="D110" s="18">
        <f>IF(A110="","",MATCH(A110,Calculation!B$2:B9627,1))</f>
        <v>1</v>
      </c>
      <c r="E110" s="23">
        <f t="array" ref="E110">IF(D110="","",IF(D110=1,0,INDEX(Calculation!Q$2:Q9627,D110-1)))</f>
        <v>0</v>
      </c>
      <c r="F110" s="23">
        <f t="array" ref="F110">IF($A110="","",
  LET(
    r, $D110,
    startD, INDEX(Calculation!B$2:B9627, r),
    endD,   INDEX(Calculation!C$2:C9627, r),
    asOf,   MIN($A110,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160737.6712</v>
      </c>
    </row>
    <row r="111">
      <c r="A111" s="19">
        <v>42346.0</v>
      </c>
      <c r="B111" s="23">
        <v>1.0765E7</v>
      </c>
      <c r="C111" s="23">
        <f t="shared" si="1"/>
        <v>162212.3288</v>
      </c>
      <c r="D111" s="18">
        <f>IF(A111="","",MATCH(A111,Calculation!B$2:B9627,1))</f>
        <v>1</v>
      </c>
      <c r="E111" s="23">
        <f t="array" ref="E111">IF(D111="","",IF(D111=1,0,INDEX(Calculation!Q$2:Q9627,D111-1)))</f>
        <v>0</v>
      </c>
      <c r="F111" s="23">
        <f t="array" ref="F111">IF($A111="","",
  LET(
    r, $D111,
    startD, INDEX(Calculation!B$2:B9627, r),
    endD,   INDEX(Calculation!C$2:C9627, r),
    asOf,   MIN($A111,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162212.3288</v>
      </c>
    </row>
    <row r="112">
      <c r="A112" s="19">
        <v>42347.0</v>
      </c>
      <c r="B112" s="23">
        <v>1.0765E7</v>
      </c>
      <c r="C112" s="23">
        <f t="shared" si="1"/>
        <v>163686.9863</v>
      </c>
      <c r="D112" s="18">
        <f>IF(A112="","",MATCH(A112,Calculation!B$2:B9627,1))</f>
        <v>1</v>
      </c>
      <c r="E112" s="23">
        <f t="array" ref="E112">IF(D112="","",IF(D112=1,0,INDEX(Calculation!Q$2:Q9627,D112-1)))</f>
        <v>0</v>
      </c>
      <c r="F112" s="23">
        <f t="array" ref="F112">IF($A112="","",
  LET(
    r, $D112,
    startD, INDEX(Calculation!B$2:B9627, r),
    endD,   INDEX(Calculation!C$2:C9627, r),
    asOf,   MIN($A112,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163686.9863</v>
      </c>
    </row>
    <row r="113">
      <c r="A113" s="19">
        <v>42348.0</v>
      </c>
      <c r="B113" s="23">
        <v>1.0765E7</v>
      </c>
      <c r="C113" s="23">
        <f t="shared" si="1"/>
        <v>165161.6438</v>
      </c>
      <c r="D113" s="18">
        <f>IF(A113="","",MATCH(A113,Calculation!B$2:B9627,1))</f>
        <v>1</v>
      </c>
      <c r="E113" s="23">
        <f t="array" ref="E113">IF(D113="","",IF(D113=1,0,INDEX(Calculation!Q$2:Q9627,D113-1)))</f>
        <v>0</v>
      </c>
      <c r="F113" s="23">
        <f t="array" ref="F113">IF($A113="","",
  LET(
    r, $D113,
    startD, INDEX(Calculation!B$2:B9627, r),
    endD,   INDEX(Calculation!C$2:C9627, r),
    asOf,   MIN($A113,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165161.6438</v>
      </c>
    </row>
    <row r="114">
      <c r="A114" s="19">
        <v>42349.0</v>
      </c>
      <c r="B114" s="23">
        <v>1.0765E7</v>
      </c>
      <c r="C114" s="23">
        <f t="shared" si="1"/>
        <v>166636.3014</v>
      </c>
      <c r="D114" s="18">
        <f>IF(A114="","",MATCH(A114,Calculation!B$2:B9627,1))</f>
        <v>1</v>
      </c>
      <c r="E114" s="23">
        <f t="array" ref="E114">IF(D114="","",IF(D114=1,0,INDEX(Calculation!Q$2:Q9627,D114-1)))</f>
        <v>0</v>
      </c>
      <c r="F114" s="23">
        <f t="array" ref="F114">IF($A114="","",
  LET(
    r, $D114,
    startD, INDEX(Calculation!B$2:B9627, r),
    endD,   INDEX(Calculation!C$2:C9627, r),
    asOf,   MIN($A114,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166636.3014</v>
      </c>
    </row>
    <row r="115">
      <c r="A115" s="19">
        <v>42350.0</v>
      </c>
      <c r="B115" s="23">
        <v>1.0765E7</v>
      </c>
      <c r="C115" s="23">
        <f t="shared" si="1"/>
        <v>168110.9589</v>
      </c>
      <c r="D115" s="18">
        <f>IF(A115="","",MATCH(A115,Calculation!B$2:B9627,1))</f>
        <v>1</v>
      </c>
      <c r="E115" s="23">
        <f t="array" ref="E115">IF(D115="","",IF(D115=1,0,INDEX(Calculation!Q$2:Q9627,D115-1)))</f>
        <v>0</v>
      </c>
      <c r="F115" s="23">
        <f t="array" ref="F115">IF($A115="","",
  LET(
    r, $D115,
    startD, INDEX(Calculation!B$2:B9627, r),
    endD,   INDEX(Calculation!C$2:C9627, r),
    asOf,   MIN($A115,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168110.9589</v>
      </c>
    </row>
    <row r="116">
      <c r="A116" s="19">
        <v>42351.0</v>
      </c>
      <c r="B116" s="23">
        <v>1.0765E7</v>
      </c>
      <c r="C116" s="23">
        <f t="shared" si="1"/>
        <v>169585.6164</v>
      </c>
      <c r="D116" s="18">
        <f>IF(A116="","",MATCH(A116,Calculation!B$2:B9627,1))</f>
        <v>1</v>
      </c>
      <c r="E116" s="23">
        <f t="array" ref="E116">IF(D116="","",IF(D116=1,0,INDEX(Calculation!Q$2:Q9627,D116-1)))</f>
        <v>0</v>
      </c>
      <c r="F116" s="23">
        <f t="array" ref="F116">IF($A116="","",
  LET(
    r, $D116,
    startD, INDEX(Calculation!B$2:B9627, r),
    endD,   INDEX(Calculation!C$2:C9627, r),
    asOf,   MIN($A116,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169585.6164</v>
      </c>
    </row>
    <row r="117">
      <c r="A117" s="19">
        <v>42352.0</v>
      </c>
      <c r="B117" s="23">
        <v>1.0765E7</v>
      </c>
      <c r="C117" s="23">
        <f t="shared" si="1"/>
        <v>171060.274</v>
      </c>
      <c r="D117" s="18">
        <f>IF(A117="","",MATCH(A117,Calculation!B$2:B9627,1))</f>
        <v>1</v>
      </c>
      <c r="E117" s="23">
        <f t="array" ref="E117">IF(D117="","",IF(D117=1,0,INDEX(Calculation!Q$2:Q9627,D117-1)))</f>
        <v>0</v>
      </c>
      <c r="F117" s="23">
        <f t="array" ref="F117">IF($A117="","",
  LET(
    r, $D117,
    startD, INDEX(Calculation!B$2:B9627, r),
    endD,   INDEX(Calculation!C$2:C9627, r),
    asOf,   MIN($A117,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171060.274</v>
      </c>
    </row>
    <row r="118">
      <c r="A118" s="19">
        <v>42353.0</v>
      </c>
      <c r="B118" s="23">
        <v>1.0765E7</v>
      </c>
      <c r="C118" s="23">
        <f t="shared" si="1"/>
        <v>172534.9315</v>
      </c>
      <c r="D118" s="18">
        <f>IF(A118="","",MATCH(A118,Calculation!B$2:B9627,1))</f>
        <v>1</v>
      </c>
      <c r="E118" s="23">
        <f t="array" ref="E118">IF(D118="","",IF(D118=1,0,INDEX(Calculation!Q$2:Q9627,D118-1)))</f>
        <v>0</v>
      </c>
      <c r="F118" s="23">
        <f t="array" ref="F118">IF($A118="","",
  LET(
    r, $D118,
    startD, INDEX(Calculation!B$2:B9627, r),
    endD,   INDEX(Calculation!C$2:C9627, r),
    asOf,   MIN($A118,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172534.9315</v>
      </c>
    </row>
    <row r="119">
      <c r="A119" s="19">
        <v>42354.0</v>
      </c>
      <c r="B119" s="23">
        <v>1.0765E7</v>
      </c>
      <c r="C119" s="23">
        <f t="shared" si="1"/>
        <v>174009.589</v>
      </c>
      <c r="D119" s="18">
        <f>IF(A119="","",MATCH(A119,Calculation!B$2:B9627,1))</f>
        <v>1</v>
      </c>
      <c r="E119" s="23">
        <f t="array" ref="E119">IF(D119="","",IF(D119=1,0,INDEX(Calculation!Q$2:Q9627,D119-1)))</f>
        <v>0</v>
      </c>
      <c r="F119" s="23">
        <f t="array" ref="F119">IF($A119="","",
  LET(
    r, $D119,
    startD, INDEX(Calculation!B$2:B9627, r),
    endD,   INDEX(Calculation!C$2:C9627, r),
    asOf,   MIN($A119,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174009.589</v>
      </c>
    </row>
    <row r="120">
      <c r="A120" s="19">
        <v>42355.0</v>
      </c>
      <c r="B120" s="23">
        <v>1.0765E7</v>
      </c>
      <c r="C120" s="23">
        <f t="shared" si="1"/>
        <v>175484.2466</v>
      </c>
      <c r="D120" s="18">
        <f>IF(A120="","",MATCH(A120,Calculation!B$2:B9627,1))</f>
        <v>1</v>
      </c>
      <c r="E120" s="23">
        <f t="array" ref="E120">IF(D120="","",IF(D120=1,0,INDEX(Calculation!Q$2:Q9627,D120-1)))</f>
        <v>0</v>
      </c>
      <c r="F120" s="23">
        <f t="array" ref="F120">IF($A120="","",
  LET(
    r, $D120,
    startD, INDEX(Calculation!B$2:B9627, r),
    endD,   INDEX(Calculation!C$2:C9627, r),
    asOf,   MIN($A120,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175484.2466</v>
      </c>
    </row>
    <row r="121">
      <c r="A121" s="19">
        <v>42356.0</v>
      </c>
      <c r="B121" s="23">
        <v>1.0765E7</v>
      </c>
      <c r="C121" s="23">
        <f t="shared" si="1"/>
        <v>176958.9041</v>
      </c>
      <c r="D121" s="18">
        <f>IF(A121="","",MATCH(A121,Calculation!B$2:B9627,1))</f>
        <v>1</v>
      </c>
      <c r="E121" s="23">
        <f t="array" ref="E121">IF(D121="","",IF(D121=1,0,INDEX(Calculation!Q$2:Q9627,D121-1)))</f>
        <v>0</v>
      </c>
      <c r="F121" s="23">
        <f t="array" ref="F121">IF($A121="","",
  LET(
    r, $D121,
    startD, INDEX(Calculation!B$2:B9627, r),
    endD,   INDEX(Calculation!C$2:C9627, r),
    asOf,   MIN($A121,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176958.9041</v>
      </c>
    </row>
    <row r="122">
      <c r="A122" s="19">
        <v>42357.0</v>
      </c>
      <c r="B122" s="23">
        <v>1.0765E7</v>
      </c>
      <c r="C122" s="23">
        <f t="shared" si="1"/>
        <v>178433.5616</v>
      </c>
      <c r="D122" s="18">
        <f>IF(A122="","",MATCH(A122,Calculation!B$2:B9627,1))</f>
        <v>1</v>
      </c>
      <c r="E122" s="23">
        <f t="array" ref="E122">IF(D122="","",IF(D122=1,0,INDEX(Calculation!Q$2:Q9627,D122-1)))</f>
        <v>0</v>
      </c>
      <c r="F122" s="23">
        <f t="array" ref="F122">IF($A122="","",
  LET(
    r, $D122,
    startD, INDEX(Calculation!B$2:B9627, r),
    endD,   INDEX(Calculation!C$2:C9627, r),
    asOf,   MIN($A122,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178433.5616</v>
      </c>
    </row>
    <row r="123">
      <c r="A123" s="19">
        <v>42358.0</v>
      </c>
      <c r="B123" s="23">
        <v>1.0765E7</v>
      </c>
      <c r="C123" s="23">
        <f t="shared" si="1"/>
        <v>179908.2192</v>
      </c>
      <c r="D123" s="18">
        <f>IF(A123="","",MATCH(A123,Calculation!B$2:B9627,1))</f>
        <v>1</v>
      </c>
      <c r="E123" s="23">
        <f t="array" ref="E123">IF(D123="","",IF(D123=1,0,INDEX(Calculation!Q$2:Q9627,D123-1)))</f>
        <v>0</v>
      </c>
      <c r="F123" s="23">
        <f t="array" ref="F123">IF($A123="","",
  LET(
    r, $D123,
    startD, INDEX(Calculation!B$2:B9627, r),
    endD,   INDEX(Calculation!C$2:C9627, r),
    asOf,   MIN($A123,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179908.2192</v>
      </c>
    </row>
    <row r="124">
      <c r="A124" s="19">
        <v>42359.0</v>
      </c>
      <c r="B124" s="23">
        <v>1.0765E7</v>
      </c>
      <c r="C124" s="23">
        <f t="shared" si="1"/>
        <v>181382.8767</v>
      </c>
      <c r="D124" s="18">
        <f>IF(A124="","",MATCH(A124,Calculation!B$2:B9627,1))</f>
        <v>1</v>
      </c>
      <c r="E124" s="23">
        <f t="array" ref="E124">IF(D124="","",IF(D124=1,0,INDEX(Calculation!Q$2:Q9627,D124-1)))</f>
        <v>0</v>
      </c>
      <c r="F124" s="23">
        <f t="array" ref="F124">IF($A124="","",
  LET(
    r, $D124,
    startD, INDEX(Calculation!B$2:B9627, r),
    endD,   INDEX(Calculation!C$2:C9627, r),
    asOf,   MIN($A124,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181382.8767</v>
      </c>
    </row>
    <row r="125">
      <c r="A125" s="19">
        <v>42360.0</v>
      </c>
      <c r="B125" s="23">
        <v>1.0765E7</v>
      </c>
      <c r="C125" s="23">
        <f t="shared" si="1"/>
        <v>182857.5342</v>
      </c>
      <c r="D125" s="18">
        <f>IF(A125="","",MATCH(A125,Calculation!B$2:B9627,1))</f>
        <v>1</v>
      </c>
      <c r="E125" s="23">
        <f t="array" ref="E125">IF(D125="","",IF(D125=1,0,INDEX(Calculation!Q$2:Q9627,D125-1)))</f>
        <v>0</v>
      </c>
      <c r="F125" s="23">
        <f t="array" ref="F125">IF($A125="","",
  LET(
    r, $D125,
    startD, INDEX(Calculation!B$2:B9627, r),
    endD,   INDEX(Calculation!C$2:C9627, r),
    asOf,   MIN($A125,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182857.5342</v>
      </c>
    </row>
    <row r="126">
      <c r="A126" s="19">
        <v>42361.0</v>
      </c>
      <c r="B126" s="23">
        <v>1.0765E7</v>
      </c>
      <c r="C126" s="23">
        <f t="shared" si="1"/>
        <v>184332.1918</v>
      </c>
      <c r="D126" s="18">
        <f>IF(A126="","",MATCH(A126,Calculation!B$2:B9627,1))</f>
        <v>1</v>
      </c>
      <c r="E126" s="23">
        <f t="array" ref="E126">IF(D126="","",IF(D126=1,0,INDEX(Calculation!Q$2:Q9627,D126-1)))</f>
        <v>0</v>
      </c>
      <c r="F126" s="23">
        <f t="array" ref="F126">IF($A126="","",
  LET(
    r, $D126,
    startD, INDEX(Calculation!B$2:B9627, r),
    endD,   INDEX(Calculation!C$2:C9627, r),
    asOf,   MIN($A126,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184332.1918</v>
      </c>
    </row>
    <row r="127">
      <c r="A127" s="19">
        <v>42362.0</v>
      </c>
      <c r="B127" s="23">
        <v>1.0765E7</v>
      </c>
      <c r="C127" s="23">
        <f t="shared" si="1"/>
        <v>185806.8493</v>
      </c>
      <c r="D127" s="18">
        <f>IF(A127="","",MATCH(A127,Calculation!B$2:B9627,1))</f>
        <v>1</v>
      </c>
      <c r="E127" s="23">
        <f t="array" ref="E127">IF(D127="","",IF(D127=1,0,INDEX(Calculation!Q$2:Q9627,D127-1)))</f>
        <v>0</v>
      </c>
      <c r="F127" s="23">
        <f t="array" ref="F127">IF($A127="","",
  LET(
    r, $D127,
    startD, INDEX(Calculation!B$2:B9627, r),
    endD,   INDEX(Calculation!C$2:C9627, r),
    asOf,   MIN($A127,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185806.8493</v>
      </c>
    </row>
    <row r="128">
      <c r="A128" s="19">
        <v>42363.0</v>
      </c>
      <c r="B128" s="23">
        <v>1.0765E7</v>
      </c>
      <c r="C128" s="23">
        <f t="shared" si="1"/>
        <v>187281.5068</v>
      </c>
      <c r="D128" s="18">
        <f>IF(A128="","",MATCH(A128,Calculation!B$2:B9627,1))</f>
        <v>1</v>
      </c>
      <c r="E128" s="23">
        <f t="array" ref="E128">IF(D128="","",IF(D128=1,0,INDEX(Calculation!Q$2:Q9627,D128-1)))</f>
        <v>0</v>
      </c>
      <c r="F128" s="23">
        <f t="array" ref="F128">IF($A128="","",
  LET(
    r, $D128,
    startD, INDEX(Calculation!B$2:B9627, r),
    endD,   INDEX(Calculation!C$2:C9627, r),
    asOf,   MIN($A128,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187281.5068</v>
      </c>
    </row>
    <row r="129">
      <c r="A129" s="19">
        <v>42364.0</v>
      </c>
      <c r="B129" s="23">
        <v>1.0765E7</v>
      </c>
      <c r="C129" s="23">
        <f t="shared" si="1"/>
        <v>188756.1644</v>
      </c>
      <c r="D129" s="18">
        <f>IF(A129="","",MATCH(A129,Calculation!B$2:B9627,1))</f>
        <v>1</v>
      </c>
      <c r="E129" s="23">
        <f t="array" ref="E129">IF(D129="","",IF(D129=1,0,INDEX(Calculation!Q$2:Q9627,D129-1)))</f>
        <v>0</v>
      </c>
      <c r="F129" s="23">
        <f t="array" ref="F129">IF($A129="","",
  LET(
    r, $D129,
    startD, INDEX(Calculation!B$2:B9627, r),
    endD,   INDEX(Calculation!C$2:C9627, r),
    asOf,   MIN($A129,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188756.1644</v>
      </c>
    </row>
    <row r="130">
      <c r="A130" s="19">
        <v>42365.0</v>
      </c>
      <c r="B130" s="23">
        <v>1.0765E7</v>
      </c>
      <c r="C130" s="23">
        <f t="shared" si="1"/>
        <v>190230.8219</v>
      </c>
      <c r="D130" s="18">
        <f>IF(A130="","",MATCH(A130,Calculation!B$2:B9627,1))</f>
        <v>1</v>
      </c>
      <c r="E130" s="23">
        <f t="array" ref="E130">IF(D130="","",IF(D130=1,0,INDEX(Calculation!Q$2:Q9627,D130-1)))</f>
        <v>0</v>
      </c>
      <c r="F130" s="23">
        <f t="array" ref="F130">IF($A130="","",
  LET(
    r, $D130,
    startD, INDEX(Calculation!B$2:B9627, r),
    endD,   INDEX(Calculation!C$2:C9627, r),
    asOf,   MIN($A130,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190230.8219</v>
      </c>
    </row>
    <row r="131">
      <c r="A131" s="19">
        <v>42366.0</v>
      </c>
      <c r="B131" s="23">
        <v>1.0765E7</v>
      </c>
      <c r="C131" s="23">
        <f t="shared" si="1"/>
        <v>191705.4795</v>
      </c>
      <c r="D131" s="18">
        <f>IF(A131="","",MATCH(A131,Calculation!B$2:B9627,1))</f>
        <v>1</v>
      </c>
      <c r="E131" s="23">
        <f t="array" ref="E131">IF(D131="","",IF(D131=1,0,INDEX(Calculation!Q$2:Q9627,D131-1)))</f>
        <v>0</v>
      </c>
      <c r="F131" s="23">
        <f t="array" ref="F131">IF($A131="","",
  LET(
    r, $D131,
    startD, INDEX(Calculation!B$2:B9627, r),
    endD,   INDEX(Calculation!C$2:C9627, r),
    asOf,   MIN($A131,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191705.4795</v>
      </c>
    </row>
    <row r="132">
      <c r="A132" s="19">
        <v>42367.0</v>
      </c>
      <c r="B132" s="23">
        <v>1.0765E7</v>
      </c>
      <c r="C132" s="23">
        <f t="shared" si="1"/>
        <v>193180.137</v>
      </c>
      <c r="D132" s="18">
        <f>IF(A132="","",MATCH(A132,Calculation!B$2:B9627,1))</f>
        <v>1</v>
      </c>
      <c r="E132" s="23">
        <f t="array" ref="E132">IF(D132="","",IF(D132=1,0,INDEX(Calculation!Q$2:Q9627,D132-1)))</f>
        <v>0</v>
      </c>
      <c r="F132" s="23">
        <f t="array" ref="F132">IF($A132="","",
  LET(
    r, $D132,
    startD, INDEX(Calculation!B$2:B9627, r),
    endD,   INDEX(Calculation!C$2:C9627, r),
    asOf,   MIN($A132,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193180.137</v>
      </c>
    </row>
    <row r="133">
      <c r="A133" s="19">
        <v>42368.0</v>
      </c>
      <c r="B133" s="23">
        <v>1.0765E7</v>
      </c>
      <c r="C133" s="23">
        <f t="shared" si="1"/>
        <v>194654.7945</v>
      </c>
      <c r="D133" s="18">
        <f>IF(A133="","",MATCH(A133,Calculation!B$2:B9627,1))</f>
        <v>1</v>
      </c>
      <c r="E133" s="23">
        <f t="array" ref="E133">IF(D133="","",IF(D133=1,0,INDEX(Calculation!Q$2:Q9627,D133-1)))</f>
        <v>0</v>
      </c>
      <c r="F133" s="23">
        <f t="array" ref="F133">IF($A133="","",
  LET(
    r, $D133,
    startD, INDEX(Calculation!B$2:B9627, r),
    endD,   INDEX(Calculation!C$2:C9627, r),
    asOf,   MIN($A133,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194654.7945</v>
      </c>
    </row>
    <row r="134">
      <c r="A134" s="19">
        <v>42369.0</v>
      </c>
      <c r="B134" s="23">
        <v>1.0765E7</v>
      </c>
      <c r="C134" s="23">
        <f t="shared" si="1"/>
        <v>196129.4521</v>
      </c>
      <c r="D134" s="18">
        <f>IF(A134="","",MATCH(A134,Calculation!B$2:B9627,1))</f>
        <v>1</v>
      </c>
      <c r="E134" s="23">
        <f t="array" ref="E134">IF(D134="","",IF(D134=1,0,INDEX(Calculation!Q$2:Q9627,D134-1)))</f>
        <v>0</v>
      </c>
      <c r="F134" s="23">
        <f t="array" ref="F134">IF($A134="","",
  LET(
    r, $D134,
    startD, INDEX(Calculation!B$2:B9627, r),
    endD,   INDEX(Calculation!C$2:C9627, r),
    asOf,   MIN($A134,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196129.4521</v>
      </c>
    </row>
    <row r="135">
      <c r="A135" s="19">
        <v>42370.0</v>
      </c>
      <c r="B135" s="23">
        <v>1.0765E7</v>
      </c>
      <c r="C135" s="23">
        <f t="shared" si="1"/>
        <v>197604.1096</v>
      </c>
      <c r="D135" s="18">
        <f>IF(A135="","",MATCH(A135,Calculation!B$2:B9627,1))</f>
        <v>1</v>
      </c>
      <c r="E135" s="23">
        <f t="array" ref="E135">IF(D135="","",IF(D135=1,0,INDEX(Calculation!Q$2:Q9627,D135-1)))</f>
        <v>0</v>
      </c>
      <c r="F135" s="23">
        <f t="array" ref="F135">IF($A135="","",
  LET(
    r, $D135,
    startD, INDEX(Calculation!B$2:B9627, r),
    endD,   INDEX(Calculation!C$2:C9627, r),
    asOf,   MIN($A135,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197604.1096</v>
      </c>
    </row>
    <row r="136">
      <c r="A136" s="19">
        <v>42371.0</v>
      </c>
      <c r="B136" s="23">
        <v>1.0765E7</v>
      </c>
      <c r="C136" s="23">
        <f t="shared" si="1"/>
        <v>199078.7671</v>
      </c>
      <c r="D136" s="18">
        <f>IF(A136="","",MATCH(A136,Calculation!B$2:B9627,1))</f>
        <v>1</v>
      </c>
      <c r="E136" s="23">
        <f t="array" ref="E136">IF(D136="","",IF(D136=1,0,INDEX(Calculation!Q$2:Q9627,D136-1)))</f>
        <v>0</v>
      </c>
      <c r="F136" s="23">
        <f t="array" ref="F136">IF($A136="","",
  LET(
    r, $D136,
    startD, INDEX(Calculation!B$2:B9627, r),
    endD,   INDEX(Calculation!C$2:C9627, r),
    asOf,   MIN($A136,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199078.7671</v>
      </c>
    </row>
    <row r="137">
      <c r="A137" s="19">
        <v>42372.0</v>
      </c>
      <c r="B137" s="23">
        <v>1.0765E7</v>
      </c>
      <c r="C137" s="23">
        <f t="shared" si="1"/>
        <v>200553.4247</v>
      </c>
      <c r="D137" s="18">
        <f>IF(A137="","",MATCH(A137,Calculation!B$2:B9627,1))</f>
        <v>1</v>
      </c>
      <c r="E137" s="23">
        <f t="array" ref="E137">IF(D137="","",IF(D137=1,0,INDEX(Calculation!Q$2:Q9627,D137-1)))</f>
        <v>0</v>
      </c>
      <c r="F137" s="23">
        <f t="array" ref="F137">IF($A137="","",
  LET(
    r, $D137,
    startD, INDEX(Calculation!B$2:B9627, r),
    endD,   INDEX(Calculation!C$2:C9627, r),
    asOf,   MIN($A137,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200553.4247</v>
      </c>
    </row>
    <row r="138">
      <c r="A138" s="19">
        <v>42373.0</v>
      </c>
      <c r="B138" s="23">
        <v>1.0765E7</v>
      </c>
      <c r="C138" s="23">
        <f t="shared" si="1"/>
        <v>202028.0822</v>
      </c>
      <c r="D138" s="18">
        <f>IF(A138="","",MATCH(A138,Calculation!B$2:B9627,1))</f>
        <v>1</v>
      </c>
      <c r="E138" s="23">
        <f t="array" ref="E138">IF(D138="","",IF(D138=1,0,INDEX(Calculation!Q$2:Q9627,D138-1)))</f>
        <v>0</v>
      </c>
      <c r="F138" s="23">
        <f t="array" ref="F138">IF($A138="","",
  LET(
    r, $D138,
    startD, INDEX(Calculation!B$2:B9627, r),
    endD,   INDEX(Calculation!C$2:C9627, r),
    asOf,   MIN($A138,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202028.0822</v>
      </c>
    </row>
    <row r="139">
      <c r="A139" s="19">
        <v>42374.0</v>
      </c>
      <c r="B139" s="23">
        <v>1.0765E7</v>
      </c>
      <c r="C139" s="23">
        <f t="shared" si="1"/>
        <v>203502.7397</v>
      </c>
      <c r="D139" s="18">
        <f>IF(A139="","",MATCH(A139,Calculation!B$2:B9627,1))</f>
        <v>1</v>
      </c>
      <c r="E139" s="23">
        <f t="array" ref="E139">IF(D139="","",IF(D139=1,0,INDEX(Calculation!Q$2:Q9627,D139-1)))</f>
        <v>0</v>
      </c>
      <c r="F139" s="23">
        <f t="array" ref="F139">IF($A139="","",
  LET(
    r, $D139,
    startD, INDEX(Calculation!B$2:B9627, r),
    endD,   INDEX(Calculation!C$2:C9627, r),
    asOf,   MIN($A139,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203502.7397</v>
      </c>
    </row>
    <row r="140">
      <c r="A140" s="19">
        <v>42375.0</v>
      </c>
      <c r="B140" s="23">
        <v>1.0765E7</v>
      </c>
      <c r="C140" s="23">
        <f t="shared" si="1"/>
        <v>204977.3973</v>
      </c>
      <c r="D140" s="18">
        <f>IF(A140="","",MATCH(A140,Calculation!B$2:B9627,1))</f>
        <v>1</v>
      </c>
      <c r="E140" s="23">
        <f t="array" ref="E140">IF(D140="","",IF(D140=1,0,INDEX(Calculation!Q$2:Q9627,D140-1)))</f>
        <v>0</v>
      </c>
      <c r="F140" s="23">
        <f t="array" ref="F140">IF($A140="","",
  LET(
    r, $D140,
    startD, INDEX(Calculation!B$2:B9627, r),
    endD,   INDEX(Calculation!C$2:C9627, r),
    asOf,   MIN($A140,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204977.3973</v>
      </c>
    </row>
    <row r="141">
      <c r="A141" s="19">
        <v>42376.0</v>
      </c>
      <c r="B141" s="23">
        <v>1.0765E7</v>
      </c>
      <c r="C141" s="23">
        <f t="shared" si="1"/>
        <v>206452.0548</v>
      </c>
      <c r="D141" s="18">
        <f>IF(A141="","",MATCH(A141,Calculation!B$2:B9627,1))</f>
        <v>1</v>
      </c>
      <c r="E141" s="23">
        <f t="array" ref="E141">IF(D141="","",IF(D141=1,0,INDEX(Calculation!Q$2:Q9627,D141-1)))</f>
        <v>0</v>
      </c>
      <c r="F141" s="23">
        <f t="array" ref="F141">IF($A141="","",
  LET(
    r, $D141,
    startD, INDEX(Calculation!B$2:B9627, r),
    endD,   INDEX(Calculation!C$2:C9627, r),
    asOf,   MIN($A141,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206452.0548</v>
      </c>
    </row>
    <row r="142">
      <c r="A142" s="19">
        <v>42377.0</v>
      </c>
      <c r="B142" s="23">
        <v>1.0765E7</v>
      </c>
      <c r="C142" s="23">
        <f t="shared" si="1"/>
        <v>207926.7123</v>
      </c>
      <c r="D142" s="18">
        <f>IF(A142="","",MATCH(A142,Calculation!B$2:B9627,1))</f>
        <v>1</v>
      </c>
      <c r="E142" s="23">
        <f t="array" ref="E142">IF(D142="","",IF(D142=1,0,INDEX(Calculation!Q$2:Q9627,D142-1)))</f>
        <v>0</v>
      </c>
      <c r="F142" s="23">
        <f t="array" ref="F142">IF($A142="","",
  LET(
    r, $D142,
    startD, INDEX(Calculation!B$2:B9627, r),
    endD,   INDEX(Calculation!C$2:C9627, r),
    asOf,   MIN($A142,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207926.7123</v>
      </c>
    </row>
    <row r="143">
      <c r="A143" s="19">
        <v>42378.0</v>
      </c>
      <c r="B143" s="23">
        <v>1.0765E7</v>
      </c>
      <c r="C143" s="23">
        <f t="shared" si="1"/>
        <v>209401.3699</v>
      </c>
      <c r="D143" s="18">
        <f>IF(A143="","",MATCH(A143,Calculation!B$2:B9627,1))</f>
        <v>1</v>
      </c>
      <c r="E143" s="23">
        <f t="array" ref="E143">IF(D143="","",IF(D143=1,0,INDEX(Calculation!Q$2:Q9627,D143-1)))</f>
        <v>0</v>
      </c>
      <c r="F143" s="23">
        <f t="array" ref="F143">IF($A143="","",
  LET(
    r, $D143,
    startD, INDEX(Calculation!B$2:B9627, r),
    endD,   INDEX(Calculation!C$2:C9627, r),
    asOf,   MIN($A143,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209401.3699</v>
      </c>
    </row>
    <row r="144">
      <c r="A144" s="19">
        <v>42379.0</v>
      </c>
      <c r="B144" s="23">
        <v>1.0765E7</v>
      </c>
      <c r="C144" s="23">
        <f t="shared" si="1"/>
        <v>210876.0274</v>
      </c>
      <c r="D144" s="18">
        <f>IF(A144="","",MATCH(A144,Calculation!B$2:B9627,1))</f>
        <v>1</v>
      </c>
      <c r="E144" s="23">
        <f t="array" ref="E144">IF(D144="","",IF(D144=1,0,INDEX(Calculation!Q$2:Q9627,D144-1)))</f>
        <v>0</v>
      </c>
      <c r="F144" s="23">
        <f t="array" ref="F144">IF($A144="","",
  LET(
    r, $D144,
    startD, INDEX(Calculation!B$2:B9627, r),
    endD,   INDEX(Calculation!C$2:C9627, r),
    asOf,   MIN($A144,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210876.0274</v>
      </c>
    </row>
    <row r="145">
      <c r="A145" s="19">
        <v>42380.0</v>
      </c>
      <c r="B145" s="23">
        <v>1.0765E7</v>
      </c>
      <c r="C145" s="23">
        <f t="shared" si="1"/>
        <v>212350.6849</v>
      </c>
      <c r="D145" s="18">
        <f>IF(A145="","",MATCH(A145,Calculation!B$2:B9627,1))</f>
        <v>1</v>
      </c>
      <c r="E145" s="23">
        <f t="array" ref="E145">IF(D145="","",IF(D145=1,0,INDEX(Calculation!Q$2:Q9627,D145-1)))</f>
        <v>0</v>
      </c>
      <c r="F145" s="23">
        <f t="array" ref="F145">IF($A145="","",
  LET(
    r, $D145,
    startD, INDEX(Calculation!B$2:B9627, r),
    endD,   INDEX(Calculation!C$2:C9627, r),
    asOf,   MIN($A145,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212350.6849</v>
      </c>
    </row>
    <row r="146">
      <c r="A146" s="19">
        <v>42381.0</v>
      </c>
      <c r="B146" s="23">
        <v>1.0765E7</v>
      </c>
      <c r="C146" s="23">
        <f t="shared" si="1"/>
        <v>213825.3425</v>
      </c>
      <c r="D146" s="18">
        <f>IF(A146="","",MATCH(A146,Calculation!B$2:B9627,1))</f>
        <v>1</v>
      </c>
      <c r="E146" s="23">
        <f t="array" ref="E146">IF(D146="","",IF(D146=1,0,INDEX(Calculation!Q$2:Q9627,D146-1)))</f>
        <v>0</v>
      </c>
      <c r="F146" s="23">
        <f t="array" ref="F146">IF($A146="","",
  LET(
    r, $D146,
    startD, INDEX(Calculation!B$2:B9627, r),
    endD,   INDEX(Calculation!C$2:C9627, r),
    asOf,   MIN($A146,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213825.3425</v>
      </c>
    </row>
    <row r="147">
      <c r="A147" s="19">
        <v>42382.0</v>
      </c>
      <c r="B147" s="23">
        <v>1.0765E7</v>
      </c>
      <c r="C147" s="23">
        <f t="shared" si="1"/>
        <v>215300</v>
      </c>
      <c r="D147" s="18">
        <f>IF(A147="","",MATCH(A147,Calculation!B$2:B9627,1))</f>
        <v>1</v>
      </c>
      <c r="E147" s="23">
        <f t="array" ref="E147">IF(D147="","",IF(D147=1,0,INDEX(Calculation!Q$2:Q9627,D147-1)))</f>
        <v>0</v>
      </c>
      <c r="F147" s="23">
        <f t="array" ref="F147">IF($A147="","",
  LET(
    r, $D147,
    startD, INDEX(Calculation!B$2:B9627, r),
    endD,   INDEX(Calculation!C$2:C9627, r),
    asOf,   MIN($A147,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215300</v>
      </c>
    </row>
    <row r="148">
      <c r="A148" s="19">
        <v>42383.0</v>
      </c>
      <c r="B148" s="23">
        <v>1.0765E7</v>
      </c>
      <c r="C148" s="23">
        <f t="shared" si="1"/>
        <v>216774.6575</v>
      </c>
      <c r="D148" s="18">
        <f>IF(A148="","",MATCH(A148,Calculation!B$2:B9627,1))</f>
        <v>1</v>
      </c>
      <c r="E148" s="23">
        <f t="array" ref="E148">IF(D148="","",IF(D148=1,0,INDEX(Calculation!Q$2:Q9627,D148-1)))</f>
        <v>0</v>
      </c>
      <c r="F148" s="23">
        <f t="array" ref="F148">IF($A148="","",
  LET(
    r, $D148,
    startD, INDEX(Calculation!B$2:B9627, r),
    endD,   INDEX(Calculation!C$2:C9627, r),
    asOf,   MIN($A148,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216774.6575</v>
      </c>
    </row>
    <row r="149">
      <c r="A149" s="19">
        <v>42384.0</v>
      </c>
      <c r="B149" s="23">
        <v>1.0765E7</v>
      </c>
      <c r="C149" s="23">
        <f t="shared" si="1"/>
        <v>218249.3151</v>
      </c>
      <c r="D149" s="18">
        <f>IF(A149="","",MATCH(A149,Calculation!B$2:B9627,1))</f>
        <v>1</v>
      </c>
      <c r="E149" s="23">
        <f t="array" ref="E149">IF(D149="","",IF(D149=1,0,INDEX(Calculation!Q$2:Q9627,D149-1)))</f>
        <v>0</v>
      </c>
      <c r="F149" s="23">
        <f t="array" ref="F149">IF($A149="","",
  LET(
    r, $D149,
    startD, INDEX(Calculation!B$2:B9627, r),
    endD,   INDEX(Calculation!C$2:C9627, r),
    asOf,   MIN($A149,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218249.3151</v>
      </c>
    </row>
    <row r="150">
      <c r="A150" s="19">
        <v>42385.0</v>
      </c>
      <c r="B150" s="23">
        <v>1.0765E7</v>
      </c>
      <c r="C150" s="23">
        <f t="shared" si="1"/>
        <v>219723.9726</v>
      </c>
      <c r="D150" s="18">
        <f>IF(A150="","",MATCH(A150,Calculation!B$2:B9627,1))</f>
        <v>1</v>
      </c>
      <c r="E150" s="23">
        <f t="array" ref="E150">IF(D150="","",IF(D150=1,0,INDEX(Calculation!Q$2:Q9627,D150-1)))</f>
        <v>0</v>
      </c>
      <c r="F150" s="23">
        <f t="array" ref="F150">IF($A150="","",
  LET(
    r, $D150,
    startD, INDEX(Calculation!B$2:B9627, r),
    endD,   INDEX(Calculation!C$2:C9627, r),
    asOf,   MIN($A150,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219723.9726</v>
      </c>
    </row>
    <row r="151">
      <c r="A151" s="19">
        <v>42386.0</v>
      </c>
      <c r="B151" s="23">
        <v>1.0765E7</v>
      </c>
      <c r="C151" s="23">
        <f t="shared" si="1"/>
        <v>221198.6301</v>
      </c>
      <c r="D151" s="18">
        <f>IF(A151="","",MATCH(A151,Calculation!B$2:B9627,1))</f>
        <v>1</v>
      </c>
      <c r="E151" s="23">
        <f t="array" ref="E151">IF(D151="","",IF(D151=1,0,INDEX(Calculation!Q$2:Q9627,D151-1)))</f>
        <v>0</v>
      </c>
      <c r="F151" s="23">
        <f t="array" ref="F151">IF($A151="","",
  LET(
    r, $D151,
    startD, INDEX(Calculation!B$2:B9627, r),
    endD,   INDEX(Calculation!C$2:C9627, r),
    asOf,   MIN($A151,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221198.6301</v>
      </c>
    </row>
    <row r="152">
      <c r="A152" s="19">
        <v>42387.0</v>
      </c>
      <c r="B152" s="23">
        <v>1.0765E7</v>
      </c>
      <c r="C152" s="23">
        <f t="shared" si="1"/>
        <v>222673.2877</v>
      </c>
      <c r="D152" s="18">
        <f>IF(A152="","",MATCH(A152,Calculation!B$2:B9627,1))</f>
        <v>1</v>
      </c>
      <c r="E152" s="23">
        <f t="array" ref="E152">IF(D152="","",IF(D152=1,0,INDEX(Calculation!Q$2:Q9627,D152-1)))</f>
        <v>0</v>
      </c>
      <c r="F152" s="23">
        <f t="array" ref="F152">IF($A152="","",
  LET(
    r, $D152,
    startD, INDEX(Calculation!B$2:B9627, r),
    endD,   INDEX(Calculation!C$2:C9627, r),
    asOf,   MIN($A152,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222673.2877</v>
      </c>
    </row>
    <row r="153">
      <c r="A153" s="19">
        <v>42388.0</v>
      </c>
      <c r="B153" s="23">
        <v>1.0765E7</v>
      </c>
      <c r="C153" s="23">
        <f t="shared" si="1"/>
        <v>224147.9452</v>
      </c>
      <c r="D153" s="18">
        <f>IF(A153="","",MATCH(A153,Calculation!B$2:B9627,1))</f>
        <v>1</v>
      </c>
      <c r="E153" s="23">
        <f t="array" ref="E153">IF(D153="","",IF(D153=1,0,INDEX(Calculation!Q$2:Q9627,D153-1)))</f>
        <v>0</v>
      </c>
      <c r="F153" s="23">
        <f t="array" ref="F153">IF($A153="","",
  LET(
    r, $D153,
    startD, INDEX(Calculation!B$2:B9627, r),
    endD,   INDEX(Calculation!C$2:C9627, r),
    asOf,   MIN($A153,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224147.9452</v>
      </c>
    </row>
    <row r="154">
      <c r="A154" s="19">
        <v>42389.0</v>
      </c>
      <c r="B154" s="23">
        <v>1.0765E7</v>
      </c>
      <c r="C154" s="23">
        <f t="shared" si="1"/>
        <v>225622.6027</v>
      </c>
      <c r="D154" s="18">
        <f>IF(A154="","",MATCH(A154,Calculation!B$2:B9627,1))</f>
        <v>1</v>
      </c>
      <c r="E154" s="23">
        <f t="array" ref="E154">IF(D154="","",IF(D154=1,0,INDEX(Calculation!Q$2:Q9627,D154-1)))</f>
        <v>0</v>
      </c>
      <c r="F154" s="23">
        <f t="array" ref="F154">IF($A154="","",
  LET(
    r, $D154,
    startD, INDEX(Calculation!B$2:B9627, r),
    endD,   INDEX(Calculation!C$2:C9627, r),
    asOf,   MIN($A154,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225622.6027</v>
      </c>
    </row>
    <row r="155">
      <c r="A155" s="19">
        <v>42390.0</v>
      </c>
      <c r="B155" s="23">
        <v>1.0765E7</v>
      </c>
      <c r="C155" s="23">
        <f t="shared" si="1"/>
        <v>227097.2603</v>
      </c>
      <c r="D155" s="18">
        <f>IF(A155="","",MATCH(A155,Calculation!B$2:B9627,1))</f>
        <v>1</v>
      </c>
      <c r="E155" s="23">
        <f t="array" ref="E155">IF(D155="","",IF(D155=1,0,INDEX(Calculation!Q$2:Q9627,D155-1)))</f>
        <v>0</v>
      </c>
      <c r="F155" s="23">
        <f t="array" ref="F155">IF($A155="","",
  LET(
    r, $D155,
    startD, INDEX(Calculation!B$2:B9627, r),
    endD,   INDEX(Calculation!C$2:C9627, r),
    asOf,   MIN($A155,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227097.2603</v>
      </c>
    </row>
    <row r="156">
      <c r="A156" s="19">
        <v>42391.0</v>
      </c>
      <c r="B156" s="23">
        <v>1.0765E7</v>
      </c>
      <c r="C156" s="23">
        <f t="shared" si="1"/>
        <v>228571.9178</v>
      </c>
      <c r="D156" s="18">
        <f>IF(A156="","",MATCH(A156,Calculation!B$2:B9627,1))</f>
        <v>1</v>
      </c>
      <c r="E156" s="23">
        <f t="array" ref="E156">IF(D156="","",IF(D156=1,0,INDEX(Calculation!Q$2:Q9627,D156-1)))</f>
        <v>0</v>
      </c>
      <c r="F156" s="23">
        <f t="array" ref="F156">IF($A156="","",
  LET(
    r, $D156,
    startD, INDEX(Calculation!B$2:B9627, r),
    endD,   INDEX(Calculation!C$2:C9627, r),
    asOf,   MIN($A156,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228571.9178</v>
      </c>
    </row>
    <row r="157">
      <c r="A157" s="19">
        <v>42392.0</v>
      </c>
      <c r="B157" s="23">
        <v>1.0765E7</v>
      </c>
      <c r="C157" s="23">
        <f t="shared" si="1"/>
        <v>230046.5753</v>
      </c>
      <c r="D157" s="18">
        <f>IF(A157="","",MATCH(A157,Calculation!B$2:B9627,1))</f>
        <v>1</v>
      </c>
      <c r="E157" s="23">
        <f t="array" ref="E157">IF(D157="","",IF(D157=1,0,INDEX(Calculation!Q$2:Q9627,D157-1)))</f>
        <v>0</v>
      </c>
      <c r="F157" s="23">
        <f t="array" ref="F157">IF($A157="","",
  LET(
    r, $D157,
    startD, INDEX(Calculation!B$2:B9627, r),
    endD,   INDEX(Calculation!C$2:C9627, r),
    asOf,   MIN($A157,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230046.5753</v>
      </c>
    </row>
    <row r="158">
      <c r="A158" s="19">
        <v>42393.0</v>
      </c>
      <c r="B158" s="23">
        <v>1.0765E7</v>
      </c>
      <c r="C158" s="23">
        <f t="shared" si="1"/>
        <v>231521.2329</v>
      </c>
      <c r="D158" s="18">
        <f>IF(A158="","",MATCH(A158,Calculation!B$2:B9627,1))</f>
        <v>1</v>
      </c>
      <c r="E158" s="23">
        <f t="array" ref="E158">IF(D158="","",IF(D158=1,0,INDEX(Calculation!Q$2:Q9627,D158-1)))</f>
        <v>0</v>
      </c>
      <c r="F158" s="23">
        <f t="array" ref="F158">IF($A158="","",
  LET(
    r, $D158,
    startD, INDEX(Calculation!B$2:B9627, r),
    endD,   INDEX(Calculation!C$2:C9627, r),
    asOf,   MIN($A158,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231521.2329</v>
      </c>
    </row>
    <row r="159">
      <c r="A159" s="19">
        <v>42394.0</v>
      </c>
      <c r="B159" s="23">
        <v>1.0765E7</v>
      </c>
      <c r="C159" s="23">
        <f t="shared" si="1"/>
        <v>232995.8904</v>
      </c>
      <c r="D159" s="18">
        <f>IF(A159="","",MATCH(A159,Calculation!B$2:B9627,1))</f>
        <v>1</v>
      </c>
      <c r="E159" s="23">
        <f t="array" ref="E159">IF(D159="","",IF(D159=1,0,INDEX(Calculation!Q$2:Q9627,D159-1)))</f>
        <v>0</v>
      </c>
      <c r="F159" s="23">
        <f t="array" ref="F159">IF($A159="","",
  LET(
    r, $D159,
    startD, INDEX(Calculation!B$2:B9627, r),
    endD,   INDEX(Calculation!C$2:C9627, r),
    asOf,   MIN($A159,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232995.8904</v>
      </c>
    </row>
    <row r="160">
      <c r="A160" s="19">
        <v>42395.0</v>
      </c>
      <c r="B160" s="23">
        <v>1.0765E7</v>
      </c>
      <c r="C160" s="23">
        <f t="shared" si="1"/>
        <v>234470.5479</v>
      </c>
      <c r="D160" s="18">
        <f>IF(A160="","",MATCH(A160,Calculation!B$2:B9627,1))</f>
        <v>1</v>
      </c>
      <c r="E160" s="23">
        <f t="array" ref="E160">IF(D160="","",IF(D160=1,0,INDEX(Calculation!Q$2:Q9627,D160-1)))</f>
        <v>0</v>
      </c>
      <c r="F160" s="23">
        <f t="array" ref="F160">IF($A160="","",
  LET(
    r, $D160,
    startD, INDEX(Calculation!B$2:B9627, r),
    endD,   INDEX(Calculation!C$2:C9627, r),
    asOf,   MIN($A160,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234470.5479</v>
      </c>
    </row>
    <row r="161">
      <c r="A161" s="19">
        <v>42396.0</v>
      </c>
      <c r="B161" s="23">
        <v>1.0765E7</v>
      </c>
      <c r="C161" s="23">
        <f t="shared" si="1"/>
        <v>235945.2055</v>
      </c>
      <c r="D161" s="18">
        <f>IF(A161="","",MATCH(A161,Calculation!B$2:B9627,1))</f>
        <v>1</v>
      </c>
      <c r="E161" s="23">
        <f t="array" ref="E161">IF(D161="","",IF(D161=1,0,INDEX(Calculation!Q$2:Q9627,D161-1)))</f>
        <v>0</v>
      </c>
      <c r="F161" s="23">
        <f t="array" ref="F161">IF($A161="","",
  LET(
    r, $D161,
    startD, INDEX(Calculation!B$2:B9627, r),
    endD,   INDEX(Calculation!C$2:C9627, r),
    asOf,   MIN($A161,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235945.2055</v>
      </c>
    </row>
    <row r="162">
      <c r="A162" s="19">
        <v>42397.0</v>
      </c>
      <c r="B162" s="23">
        <v>1.0765E7</v>
      </c>
      <c r="C162" s="23">
        <f t="shared" si="1"/>
        <v>237419.863</v>
      </c>
      <c r="D162" s="18">
        <f>IF(A162="","",MATCH(A162,Calculation!B$2:B9627,1))</f>
        <v>1</v>
      </c>
      <c r="E162" s="23">
        <f t="array" ref="E162">IF(D162="","",IF(D162=1,0,INDEX(Calculation!Q$2:Q9627,D162-1)))</f>
        <v>0</v>
      </c>
      <c r="F162" s="23">
        <f t="array" ref="F162">IF($A162="","",
  LET(
    r, $D162,
    startD, INDEX(Calculation!B$2:B9627, r),
    endD,   INDEX(Calculation!C$2:C9627, r),
    asOf,   MIN($A162,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237419.863</v>
      </c>
    </row>
    <row r="163">
      <c r="A163" s="19">
        <v>42398.0</v>
      </c>
      <c r="B163" s="23">
        <v>1.0765E7</v>
      </c>
      <c r="C163" s="23">
        <f t="shared" si="1"/>
        <v>238894.5205</v>
      </c>
      <c r="D163" s="18">
        <f>IF(A163="","",MATCH(A163,Calculation!B$2:B9627,1))</f>
        <v>1</v>
      </c>
      <c r="E163" s="23">
        <f t="array" ref="E163">IF(D163="","",IF(D163=1,0,INDEX(Calculation!Q$2:Q9627,D163-1)))</f>
        <v>0</v>
      </c>
      <c r="F163" s="23">
        <f t="array" ref="F163">IF($A163="","",
  LET(
    r, $D163,
    startD, INDEX(Calculation!B$2:B9627, r),
    endD,   INDEX(Calculation!C$2:C9627, r),
    asOf,   MIN($A163,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238894.5205</v>
      </c>
    </row>
    <row r="164">
      <c r="A164" s="19">
        <v>42399.0</v>
      </c>
      <c r="B164" s="23">
        <v>1.0765E7</v>
      </c>
      <c r="C164" s="23">
        <f t="shared" si="1"/>
        <v>240369.1781</v>
      </c>
      <c r="D164" s="18">
        <f>IF(A164="","",MATCH(A164,Calculation!B$2:B9627,1))</f>
        <v>1</v>
      </c>
      <c r="E164" s="23">
        <f t="array" ref="E164">IF(D164="","",IF(D164=1,0,INDEX(Calculation!Q$2:Q9627,D164-1)))</f>
        <v>0</v>
      </c>
      <c r="F164" s="23">
        <f t="array" ref="F164">IF($A164="","",
  LET(
    r, $D164,
    startD, INDEX(Calculation!B$2:B9627, r),
    endD,   INDEX(Calculation!C$2:C9627, r),
    asOf,   MIN($A164,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240369.1781</v>
      </c>
    </row>
    <row r="165">
      <c r="A165" s="19">
        <v>42400.0</v>
      </c>
      <c r="B165" s="23">
        <v>1.0765E7</v>
      </c>
      <c r="C165" s="23">
        <f t="shared" si="1"/>
        <v>241843.8356</v>
      </c>
      <c r="D165" s="18">
        <f>IF(A165="","",MATCH(A165,Calculation!B$2:B9627,1))</f>
        <v>1</v>
      </c>
      <c r="E165" s="23">
        <f t="array" ref="E165">IF(D165="","",IF(D165=1,0,INDEX(Calculation!Q$2:Q9627,D165-1)))</f>
        <v>0</v>
      </c>
      <c r="F165" s="23">
        <f t="array" ref="F165">IF($A165="","",
  LET(
    r, $D165,
    startD, INDEX(Calculation!B$2:B9627, r),
    endD,   INDEX(Calculation!C$2:C9627, r),
    asOf,   MIN($A165,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241843.8356</v>
      </c>
    </row>
    <row r="166">
      <c r="A166" s="19">
        <v>42401.0</v>
      </c>
      <c r="B166" s="23">
        <v>1.0765E7</v>
      </c>
      <c r="C166" s="23">
        <f t="shared" si="1"/>
        <v>243318.4932</v>
      </c>
      <c r="D166" s="18">
        <f>IF(A166="","",MATCH(A166,Calculation!B$2:B9627,1))</f>
        <v>1</v>
      </c>
      <c r="E166" s="23">
        <f t="array" ref="E166">IF(D166="","",IF(D166=1,0,INDEX(Calculation!Q$2:Q9627,D166-1)))</f>
        <v>0</v>
      </c>
      <c r="F166" s="23">
        <f t="array" ref="F166">IF($A166="","",
  LET(
    r, $D166,
    startD, INDEX(Calculation!B$2:B9627, r),
    endD,   INDEX(Calculation!C$2:C9627, r),
    asOf,   MIN($A166,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243318.4932</v>
      </c>
    </row>
    <row r="167">
      <c r="A167" s="19">
        <v>42402.0</v>
      </c>
      <c r="B167" s="23">
        <v>1.0765E7</v>
      </c>
      <c r="C167" s="23">
        <f t="shared" si="1"/>
        <v>244793.1507</v>
      </c>
      <c r="D167" s="18">
        <f>IF(A167="","",MATCH(A167,Calculation!B$2:B9627,1))</f>
        <v>1</v>
      </c>
      <c r="E167" s="23">
        <f t="array" ref="E167">IF(D167="","",IF(D167=1,0,INDEX(Calculation!Q$2:Q9627,D167-1)))</f>
        <v>0</v>
      </c>
      <c r="F167" s="23">
        <f t="array" ref="F167">IF($A167="","",
  LET(
    r, $D167,
    startD, INDEX(Calculation!B$2:B9627, r),
    endD,   INDEX(Calculation!C$2:C9627, r),
    asOf,   MIN($A167,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244793.1507</v>
      </c>
    </row>
    <row r="168">
      <c r="A168" s="19">
        <v>42403.0</v>
      </c>
      <c r="B168" s="23">
        <v>1.0765E7</v>
      </c>
      <c r="C168" s="23">
        <f t="shared" si="1"/>
        <v>246267.8082</v>
      </c>
      <c r="D168" s="18">
        <f>IF(A168="","",MATCH(A168,Calculation!B$2:B9627,1))</f>
        <v>1</v>
      </c>
      <c r="E168" s="23">
        <f t="array" ref="E168">IF(D168="","",IF(D168=1,0,INDEX(Calculation!Q$2:Q9627,D168-1)))</f>
        <v>0</v>
      </c>
      <c r="F168" s="23">
        <f t="array" ref="F168">IF($A168="","",
  LET(
    r, $D168,
    startD, INDEX(Calculation!B$2:B9627, r),
    endD,   INDEX(Calculation!C$2:C9627, r),
    asOf,   MIN($A168,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246267.8082</v>
      </c>
    </row>
    <row r="169">
      <c r="A169" s="19">
        <v>42404.0</v>
      </c>
      <c r="B169" s="23">
        <v>1.0765E7</v>
      </c>
      <c r="C169" s="23">
        <f t="shared" si="1"/>
        <v>247742.4658</v>
      </c>
      <c r="D169" s="18">
        <f>IF(A169="","",MATCH(A169,Calculation!B$2:B9627,1))</f>
        <v>1</v>
      </c>
      <c r="E169" s="23">
        <f t="array" ref="E169">IF(D169="","",IF(D169=1,0,INDEX(Calculation!Q$2:Q9627,D169-1)))</f>
        <v>0</v>
      </c>
      <c r="F169" s="23">
        <f t="array" ref="F169">IF($A169="","",
  LET(
    r, $D169,
    startD, INDEX(Calculation!B$2:B9627, r),
    endD,   INDEX(Calculation!C$2:C9627, r),
    asOf,   MIN($A169,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247742.4658</v>
      </c>
    </row>
    <row r="170">
      <c r="A170" s="19">
        <v>42405.0</v>
      </c>
      <c r="B170" s="23">
        <v>1.0765E7</v>
      </c>
      <c r="C170" s="23">
        <f t="shared" si="1"/>
        <v>249217.1233</v>
      </c>
      <c r="D170" s="18">
        <f>IF(A170="","",MATCH(A170,Calculation!B$2:B9627,1))</f>
        <v>1</v>
      </c>
      <c r="E170" s="23">
        <f t="array" ref="E170">IF(D170="","",IF(D170=1,0,INDEX(Calculation!Q$2:Q9627,D170-1)))</f>
        <v>0</v>
      </c>
      <c r="F170" s="23">
        <f t="array" ref="F170">IF($A170="","",
  LET(
    r, $D170,
    startD, INDEX(Calculation!B$2:B9627, r),
    endD,   INDEX(Calculation!C$2:C9627, r),
    asOf,   MIN($A170,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249217.1233</v>
      </c>
    </row>
    <row r="171">
      <c r="A171" s="19">
        <v>42406.0</v>
      </c>
      <c r="B171" s="23">
        <v>1.0765E7</v>
      </c>
      <c r="C171" s="23">
        <f t="shared" si="1"/>
        <v>250691.7808</v>
      </c>
      <c r="D171" s="18">
        <f>IF(A171="","",MATCH(A171,Calculation!B$2:B9627,1))</f>
        <v>1</v>
      </c>
      <c r="E171" s="23">
        <f t="array" ref="E171">IF(D171="","",IF(D171=1,0,INDEX(Calculation!Q$2:Q9627,D171-1)))</f>
        <v>0</v>
      </c>
      <c r="F171" s="23">
        <f t="array" ref="F171">IF($A171="","",
  LET(
    r, $D171,
    startD, INDEX(Calculation!B$2:B9627, r),
    endD,   INDEX(Calculation!C$2:C9627, r),
    asOf,   MIN($A171,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250691.7808</v>
      </c>
    </row>
    <row r="172">
      <c r="A172" s="19">
        <v>42407.0</v>
      </c>
      <c r="B172" s="23">
        <v>1.0765E7</v>
      </c>
      <c r="C172" s="23">
        <f t="shared" si="1"/>
        <v>252166.4384</v>
      </c>
      <c r="D172" s="18">
        <f>IF(A172="","",MATCH(A172,Calculation!B$2:B9627,1))</f>
        <v>1</v>
      </c>
      <c r="E172" s="23">
        <f t="array" ref="E172">IF(D172="","",IF(D172=1,0,INDEX(Calculation!Q$2:Q9627,D172-1)))</f>
        <v>0</v>
      </c>
      <c r="F172" s="23">
        <f t="array" ref="F172">IF($A172="","",
  LET(
    r, $D172,
    startD, INDEX(Calculation!B$2:B9627, r),
    endD,   INDEX(Calculation!C$2:C9627, r),
    asOf,   MIN($A172,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252166.4384</v>
      </c>
    </row>
    <row r="173">
      <c r="A173" s="19">
        <v>42408.0</v>
      </c>
      <c r="B173" s="23">
        <v>1.0765E7</v>
      </c>
      <c r="C173" s="23">
        <f t="shared" si="1"/>
        <v>253641.0959</v>
      </c>
      <c r="D173" s="18">
        <f>IF(A173="","",MATCH(A173,Calculation!B$2:B9627,1))</f>
        <v>1</v>
      </c>
      <c r="E173" s="23">
        <f t="array" ref="E173">IF(D173="","",IF(D173=1,0,INDEX(Calculation!Q$2:Q9627,D173-1)))</f>
        <v>0</v>
      </c>
      <c r="F173" s="23">
        <f t="array" ref="F173">IF($A173="","",
  LET(
    r, $D173,
    startD, INDEX(Calculation!B$2:B9627, r),
    endD,   INDEX(Calculation!C$2:C9627, r),
    asOf,   MIN($A173,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253641.0959</v>
      </c>
    </row>
    <row r="174">
      <c r="A174" s="19">
        <v>42409.0</v>
      </c>
      <c r="B174" s="23">
        <v>1.0765E7</v>
      </c>
      <c r="C174" s="23">
        <f t="shared" si="1"/>
        <v>255115.7534</v>
      </c>
      <c r="D174" s="18">
        <f>IF(A174="","",MATCH(A174,Calculation!B$2:B9627,1))</f>
        <v>1</v>
      </c>
      <c r="E174" s="23">
        <f t="array" ref="E174">IF(D174="","",IF(D174=1,0,INDEX(Calculation!Q$2:Q9627,D174-1)))</f>
        <v>0</v>
      </c>
      <c r="F174" s="23">
        <f t="array" ref="F174">IF($A174="","",
  LET(
    r, $D174,
    startD, INDEX(Calculation!B$2:B9627, r),
    endD,   INDEX(Calculation!C$2:C9627, r),
    asOf,   MIN($A174,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255115.7534</v>
      </c>
    </row>
    <row r="175">
      <c r="A175" s="19">
        <v>42410.0</v>
      </c>
      <c r="B175" s="23">
        <v>1.0765E7</v>
      </c>
      <c r="C175" s="23">
        <f t="shared" si="1"/>
        <v>256590.411</v>
      </c>
      <c r="D175" s="18">
        <f>IF(A175="","",MATCH(A175,Calculation!B$2:B9627,1))</f>
        <v>1</v>
      </c>
      <c r="E175" s="23">
        <f t="array" ref="E175">IF(D175="","",IF(D175=1,0,INDEX(Calculation!Q$2:Q9627,D175-1)))</f>
        <v>0</v>
      </c>
      <c r="F175" s="23">
        <f t="array" ref="F175">IF($A175="","",
  LET(
    r, $D175,
    startD, INDEX(Calculation!B$2:B9627, r),
    endD,   INDEX(Calculation!C$2:C9627, r),
    asOf,   MIN($A175,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256590.411</v>
      </c>
    </row>
    <row r="176">
      <c r="A176" s="19">
        <v>42411.0</v>
      </c>
      <c r="B176" s="23">
        <v>1.0765E7</v>
      </c>
      <c r="C176" s="23">
        <f t="shared" si="1"/>
        <v>258065.0685</v>
      </c>
      <c r="D176" s="18">
        <f>IF(A176="","",MATCH(A176,Calculation!B$2:B9627,1))</f>
        <v>1</v>
      </c>
      <c r="E176" s="23">
        <f t="array" ref="E176">IF(D176="","",IF(D176=1,0,INDEX(Calculation!Q$2:Q9627,D176-1)))</f>
        <v>0</v>
      </c>
      <c r="F176" s="23">
        <f t="array" ref="F176">IF($A176="","",
  LET(
    r, $D176,
    startD, INDEX(Calculation!B$2:B9627, r),
    endD,   INDEX(Calculation!C$2:C9627, r),
    asOf,   MIN($A176,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258065.0685</v>
      </c>
    </row>
    <row r="177">
      <c r="A177" s="19">
        <v>42412.0</v>
      </c>
      <c r="B177" s="23">
        <v>1.0765E7</v>
      </c>
      <c r="C177" s="23">
        <f t="shared" si="1"/>
        <v>259539.726</v>
      </c>
      <c r="D177" s="18">
        <f>IF(A177="","",MATCH(A177,Calculation!B$2:B9627,1))</f>
        <v>1</v>
      </c>
      <c r="E177" s="23">
        <f t="array" ref="E177">IF(D177="","",IF(D177=1,0,INDEX(Calculation!Q$2:Q9627,D177-1)))</f>
        <v>0</v>
      </c>
      <c r="F177" s="23">
        <f t="array" ref="F177">IF($A177="","",
  LET(
    r, $D177,
    startD, INDEX(Calculation!B$2:B9627, r),
    endD,   INDEX(Calculation!C$2:C9627, r),
    asOf,   MIN($A177,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259539.726</v>
      </c>
    </row>
    <row r="178">
      <c r="A178" s="19">
        <v>42413.0</v>
      </c>
      <c r="B178" s="23">
        <v>1.0765E7</v>
      </c>
      <c r="C178" s="23">
        <f t="shared" si="1"/>
        <v>261014.3836</v>
      </c>
      <c r="D178" s="18">
        <f>IF(A178="","",MATCH(A178,Calculation!B$2:B9627,1))</f>
        <v>1</v>
      </c>
      <c r="E178" s="23">
        <f t="array" ref="E178">IF(D178="","",IF(D178=1,0,INDEX(Calculation!Q$2:Q9627,D178-1)))</f>
        <v>0</v>
      </c>
      <c r="F178" s="23">
        <f t="array" ref="F178">IF($A178="","",
  LET(
    r, $D178,
    startD, INDEX(Calculation!B$2:B9627, r),
    endD,   INDEX(Calculation!C$2:C9627, r),
    asOf,   MIN($A178,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261014.3836</v>
      </c>
    </row>
    <row r="179">
      <c r="A179" s="19">
        <v>42414.0</v>
      </c>
      <c r="B179" s="23">
        <v>1.0765E7</v>
      </c>
      <c r="C179" s="23">
        <f t="shared" si="1"/>
        <v>262489.0411</v>
      </c>
      <c r="D179" s="18">
        <f>IF(A179="","",MATCH(A179,Calculation!B$2:B9627,1))</f>
        <v>1</v>
      </c>
      <c r="E179" s="23">
        <f t="array" ref="E179">IF(D179="","",IF(D179=1,0,INDEX(Calculation!Q$2:Q9627,D179-1)))</f>
        <v>0</v>
      </c>
      <c r="F179" s="23">
        <f t="array" ref="F179">IF($A179="","",
  LET(
    r, $D179,
    startD, INDEX(Calculation!B$2:B9627, r),
    endD,   INDEX(Calculation!C$2:C9627, r),
    asOf,   MIN($A179,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262489.0411</v>
      </c>
    </row>
    <row r="180">
      <c r="A180" s="19">
        <v>42415.0</v>
      </c>
      <c r="B180" s="23">
        <v>1.0765E7</v>
      </c>
      <c r="C180" s="23">
        <f t="shared" si="1"/>
        <v>263963.6986</v>
      </c>
      <c r="D180" s="18">
        <f>IF(A180="","",MATCH(A180,Calculation!B$2:B9627,1))</f>
        <v>1</v>
      </c>
      <c r="E180" s="23">
        <f t="array" ref="E180">IF(D180="","",IF(D180=1,0,INDEX(Calculation!Q$2:Q9627,D180-1)))</f>
        <v>0</v>
      </c>
      <c r="F180" s="23">
        <f t="array" ref="F180">IF($A180="","",
  LET(
    r, $D180,
    startD, INDEX(Calculation!B$2:B9627, r),
    endD,   INDEX(Calculation!C$2:C9627, r),
    asOf,   MIN($A180,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263963.6986</v>
      </c>
    </row>
    <row r="181">
      <c r="A181" s="19">
        <v>42416.0</v>
      </c>
      <c r="B181" s="23">
        <v>1.0765E7</v>
      </c>
      <c r="C181" s="23">
        <f t="shared" si="1"/>
        <v>265438.3562</v>
      </c>
      <c r="D181" s="18">
        <f>IF(A181="","",MATCH(A181,Calculation!B$2:B9627,1))</f>
        <v>1</v>
      </c>
      <c r="E181" s="23">
        <f t="array" ref="E181">IF(D181="","",IF(D181=1,0,INDEX(Calculation!Q$2:Q9627,D181-1)))</f>
        <v>0</v>
      </c>
      <c r="F181" s="23">
        <f t="array" ref="F181">IF($A181="","",
  LET(
    r, $D181,
    startD, INDEX(Calculation!B$2:B9627, r),
    endD,   INDEX(Calculation!C$2:C9627, r),
    asOf,   MIN($A181,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265438.3562</v>
      </c>
    </row>
    <row r="182">
      <c r="A182" s="19">
        <v>42417.0</v>
      </c>
      <c r="B182" s="23">
        <v>1.0765E7</v>
      </c>
      <c r="C182" s="23">
        <f t="shared" si="1"/>
        <v>266913.0137</v>
      </c>
      <c r="D182" s="18">
        <f>IF(A182="","",MATCH(A182,Calculation!B$2:B9627,1))</f>
        <v>1</v>
      </c>
      <c r="E182" s="23">
        <f t="array" ref="E182">IF(D182="","",IF(D182=1,0,INDEX(Calculation!Q$2:Q9627,D182-1)))</f>
        <v>0</v>
      </c>
      <c r="F182" s="23">
        <f t="array" ref="F182">IF($A182="","",
  LET(
    r, $D182,
    startD, INDEX(Calculation!B$2:B9627, r),
    endD,   INDEX(Calculation!C$2:C9627, r),
    asOf,   MIN($A182,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266913.0137</v>
      </c>
    </row>
    <row r="183">
      <c r="A183" s="19">
        <v>42418.0</v>
      </c>
      <c r="B183" s="23">
        <v>1.0765E7</v>
      </c>
      <c r="C183" s="23">
        <f t="shared" si="1"/>
        <v>268387.6712</v>
      </c>
      <c r="D183" s="18">
        <f>IF(A183="","",MATCH(A183,Calculation!B$2:B9627,1))</f>
        <v>1</v>
      </c>
      <c r="E183" s="23">
        <f t="array" ref="E183">IF(D183="","",IF(D183=1,0,INDEX(Calculation!Q$2:Q9627,D183-1)))</f>
        <v>0</v>
      </c>
      <c r="F183" s="23">
        <f t="array" ref="F183">IF($A183="","",
  LET(
    r, $D183,
    startD, INDEX(Calculation!B$2:B9627, r),
    endD,   INDEX(Calculation!C$2:C9627, r),
    asOf,   MIN($A183,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268387.6712</v>
      </c>
    </row>
    <row r="184">
      <c r="A184" s="19">
        <v>42419.0</v>
      </c>
      <c r="B184" s="23">
        <v>1.0765E7</v>
      </c>
      <c r="C184" s="23">
        <f t="shared" si="1"/>
        <v>269862.3288</v>
      </c>
      <c r="D184" s="18">
        <f>IF(A184="","",MATCH(A184,Calculation!B$2:B9627,1))</f>
        <v>1</v>
      </c>
      <c r="E184" s="23">
        <f t="array" ref="E184">IF(D184="","",IF(D184=1,0,INDEX(Calculation!Q$2:Q9627,D184-1)))</f>
        <v>0</v>
      </c>
      <c r="F184" s="23">
        <f t="array" ref="F184">IF($A184="","",
  LET(
    r, $D184,
    startD, INDEX(Calculation!B$2:B9627, r),
    endD,   INDEX(Calculation!C$2:C9627, r),
    asOf,   MIN($A184,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269862.3288</v>
      </c>
    </row>
    <row r="185">
      <c r="A185" s="19">
        <v>42420.0</v>
      </c>
      <c r="B185" s="23">
        <v>1.0765E7</v>
      </c>
      <c r="C185" s="23">
        <f t="shared" si="1"/>
        <v>271336.9863</v>
      </c>
      <c r="D185" s="18">
        <f>IF(A185="","",MATCH(A185,Calculation!B$2:B9627,1))</f>
        <v>1</v>
      </c>
      <c r="E185" s="23">
        <f t="array" ref="E185">IF(D185="","",IF(D185=1,0,INDEX(Calculation!Q$2:Q9627,D185-1)))</f>
        <v>0</v>
      </c>
      <c r="F185" s="23">
        <f t="array" ref="F185">IF($A185="","",
  LET(
    r, $D185,
    startD, INDEX(Calculation!B$2:B9627, r),
    endD,   INDEX(Calculation!C$2:C9627, r),
    asOf,   MIN($A185,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271336.9863</v>
      </c>
    </row>
    <row r="186">
      <c r="A186" s="19">
        <v>42421.0</v>
      </c>
      <c r="B186" s="23">
        <v>1.0765E7</v>
      </c>
      <c r="C186" s="23">
        <f t="shared" si="1"/>
        <v>272811.6438</v>
      </c>
      <c r="D186" s="18">
        <f>IF(A186="","",MATCH(A186,Calculation!B$2:B9627,1))</f>
        <v>1</v>
      </c>
      <c r="E186" s="23">
        <f t="array" ref="E186">IF(D186="","",IF(D186=1,0,INDEX(Calculation!Q$2:Q9627,D186-1)))</f>
        <v>0</v>
      </c>
      <c r="F186" s="23">
        <f t="array" ref="F186">IF($A186="","",
  LET(
    r, $D186,
    startD, INDEX(Calculation!B$2:B9627, r),
    endD,   INDEX(Calculation!C$2:C9627, r),
    asOf,   MIN($A186,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272811.6438</v>
      </c>
    </row>
    <row r="187">
      <c r="A187" s="19">
        <v>42422.0</v>
      </c>
      <c r="B187" s="23">
        <v>1.0765E7</v>
      </c>
      <c r="C187" s="23">
        <f t="shared" si="1"/>
        <v>274286.3014</v>
      </c>
      <c r="D187" s="18">
        <f>IF(A187="","",MATCH(A187,Calculation!B$2:B9627,1))</f>
        <v>1</v>
      </c>
      <c r="E187" s="23">
        <f t="array" ref="E187">IF(D187="","",IF(D187=1,0,INDEX(Calculation!Q$2:Q9627,D187-1)))</f>
        <v>0</v>
      </c>
      <c r="F187" s="23">
        <f t="array" ref="F187">IF($A187="","",
  LET(
    r, $D187,
    startD, INDEX(Calculation!B$2:B9627, r),
    endD,   INDEX(Calculation!C$2:C9627, r),
    asOf,   MIN($A187,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274286.3014</v>
      </c>
    </row>
    <row r="188">
      <c r="A188" s="19">
        <v>42423.0</v>
      </c>
      <c r="B188" s="23">
        <v>1.0765E7</v>
      </c>
      <c r="C188" s="23">
        <f t="shared" si="1"/>
        <v>275760.9589</v>
      </c>
      <c r="D188" s="18">
        <f>IF(A188="","",MATCH(A188,Calculation!B$2:B9627,1))</f>
        <v>1</v>
      </c>
      <c r="E188" s="23">
        <f t="array" ref="E188">IF(D188="","",IF(D188=1,0,INDEX(Calculation!Q$2:Q9627,D188-1)))</f>
        <v>0</v>
      </c>
      <c r="F188" s="23">
        <f t="array" ref="F188">IF($A188="","",
  LET(
    r, $D188,
    startD, INDEX(Calculation!B$2:B9627, r),
    endD,   INDEX(Calculation!C$2:C9627, r),
    asOf,   MIN($A188,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275760.9589</v>
      </c>
    </row>
    <row r="189">
      <c r="A189" s="19">
        <v>42424.0</v>
      </c>
      <c r="B189" s="23">
        <v>1.0765E7</v>
      </c>
      <c r="C189" s="23">
        <f t="shared" si="1"/>
        <v>277235.6164</v>
      </c>
      <c r="D189" s="18">
        <f>IF(A189="","",MATCH(A189,Calculation!B$2:B9627,1))</f>
        <v>1</v>
      </c>
      <c r="E189" s="23">
        <f t="array" ref="E189">IF(D189="","",IF(D189=1,0,INDEX(Calculation!Q$2:Q9627,D189-1)))</f>
        <v>0</v>
      </c>
      <c r="F189" s="23">
        <f t="array" ref="F189">IF($A189="","",
  LET(
    r, $D189,
    startD, INDEX(Calculation!B$2:B9627, r),
    endD,   INDEX(Calculation!C$2:C9627, r),
    asOf,   MIN($A189,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277235.6164</v>
      </c>
    </row>
    <row r="190">
      <c r="A190" s="19">
        <v>42425.0</v>
      </c>
      <c r="B190" s="23">
        <v>1.0765E7</v>
      </c>
      <c r="C190" s="23">
        <f t="shared" si="1"/>
        <v>278710.274</v>
      </c>
      <c r="D190" s="18">
        <f>IF(A190="","",MATCH(A190,Calculation!B$2:B9627,1))</f>
        <v>1</v>
      </c>
      <c r="E190" s="23">
        <f t="array" ref="E190">IF(D190="","",IF(D190=1,0,INDEX(Calculation!Q$2:Q9627,D190-1)))</f>
        <v>0</v>
      </c>
      <c r="F190" s="23">
        <f t="array" ref="F190">IF($A190="","",
  LET(
    r, $D190,
    startD, INDEX(Calculation!B$2:B9627, r),
    endD,   INDEX(Calculation!C$2:C9627, r),
    asOf,   MIN($A190,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278710.274</v>
      </c>
    </row>
    <row r="191">
      <c r="A191" s="19">
        <v>42426.0</v>
      </c>
      <c r="B191" s="23">
        <v>1.0765E7</v>
      </c>
      <c r="C191" s="23">
        <f t="shared" si="1"/>
        <v>280184.9315</v>
      </c>
      <c r="D191" s="18">
        <f>IF(A191="","",MATCH(A191,Calculation!B$2:B9627,1))</f>
        <v>1</v>
      </c>
      <c r="E191" s="23">
        <f t="array" ref="E191">IF(D191="","",IF(D191=1,0,INDEX(Calculation!Q$2:Q9627,D191-1)))</f>
        <v>0</v>
      </c>
      <c r="F191" s="23">
        <f t="array" ref="F191">IF($A191="","",
  LET(
    r, $D191,
    startD, INDEX(Calculation!B$2:B9627, r),
    endD,   INDEX(Calculation!C$2:C9627, r),
    asOf,   MIN($A191,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280184.9315</v>
      </c>
    </row>
    <row r="192">
      <c r="A192" s="19">
        <v>42427.0</v>
      </c>
      <c r="B192" s="23">
        <v>1.0765E7</v>
      </c>
      <c r="C192" s="23">
        <f t="shared" si="1"/>
        <v>281659.589</v>
      </c>
      <c r="D192" s="18">
        <f>IF(A192="","",MATCH(A192,Calculation!B$2:B9627,1))</f>
        <v>1</v>
      </c>
      <c r="E192" s="23">
        <f t="array" ref="E192">IF(D192="","",IF(D192=1,0,INDEX(Calculation!Q$2:Q9627,D192-1)))</f>
        <v>0</v>
      </c>
      <c r="F192" s="23">
        <f t="array" ref="F192">IF($A192="","",
  LET(
    r, $D192,
    startD, INDEX(Calculation!B$2:B9627, r),
    endD,   INDEX(Calculation!C$2:C9627, r),
    asOf,   MIN($A192,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281659.589</v>
      </c>
    </row>
    <row r="193">
      <c r="A193" s="19">
        <v>42428.0</v>
      </c>
      <c r="B193" s="23">
        <v>1.0765E7</v>
      </c>
      <c r="C193" s="23">
        <f t="shared" si="1"/>
        <v>283134.2466</v>
      </c>
      <c r="D193" s="18">
        <f>IF(A193="","",MATCH(A193,Calculation!B$2:B9627,1))</f>
        <v>1</v>
      </c>
      <c r="E193" s="23">
        <f t="array" ref="E193">IF(D193="","",IF(D193=1,0,INDEX(Calculation!Q$2:Q9627,D193-1)))</f>
        <v>0</v>
      </c>
      <c r="F193" s="23">
        <f t="array" ref="F193">IF($A193="","",
  LET(
    r, $D193,
    startD, INDEX(Calculation!B$2:B9627, r),
    endD,   INDEX(Calculation!C$2:C9627, r),
    asOf,   MIN($A193,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283134.2466</v>
      </c>
    </row>
    <row r="194">
      <c r="A194" s="19">
        <v>42429.0</v>
      </c>
      <c r="B194" s="23">
        <v>1.0765E7</v>
      </c>
      <c r="C194" s="23">
        <f t="shared" si="1"/>
        <v>284608.9041</v>
      </c>
      <c r="D194" s="18">
        <f>IF(A194="","",MATCH(A194,Calculation!B$2:B9627,1))</f>
        <v>1</v>
      </c>
      <c r="E194" s="23">
        <f t="array" ref="E194">IF(D194="","",IF(D194=1,0,INDEX(Calculation!Q$2:Q9627,D194-1)))</f>
        <v>0</v>
      </c>
      <c r="F194" s="23">
        <f t="array" ref="F194">IF($A194="","",
  LET(
    r, $D194,
    startD, INDEX(Calculation!B$2:B9627, r),
    endD,   INDEX(Calculation!C$2:C9627, r),
    asOf,   MIN($A194,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284608.9041</v>
      </c>
    </row>
    <row r="195">
      <c r="A195" s="19">
        <v>42430.0</v>
      </c>
      <c r="B195" s="23">
        <v>1.0765E7</v>
      </c>
      <c r="C195" s="23">
        <f t="shared" si="1"/>
        <v>286083.5616</v>
      </c>
      <c r="D195" s="18">
        <f>IF(A195="","",MATCH(A195,Calculation!B$2:B9627,1))</f>
        <v>1</v>
      </c>
      <c r="E195" s="23">
        <f t="array" ref="E195">IF(D195="","",IF(D195=1,0,INDEX(Calculation!Q$2:Q9627,D195-1)))</f>
        <v>0</v>
      </c>
      <c r="F195" s="23">
        <f t="array" ref="F195">IF($A195="","",
  LET(
    r, $D195,
    startD, INDEX(Calculation!B$2:B9627, r),
    endD,   INDEX(Calculation!C$2:C9627, r),
    asOf,   MIN($A195,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286083.5616</v>
      </c>
    </row>
    <row r="196">
      <c r="A196" s="19">
        <v>42431.0</v>
      </c>
      <c r="B196" s="23">
        <v>1.0765E7</v>
      </c>
      <c r="C196" s="23">
        <f t="shared" si="1"/>
        <v>287558.2192</v>
      </c>
      <c r="D196" s="18">
        <f>IF(A196="","",MATCH(A196,Calculation!B$2:B9627,1))</f>
        <v>1</v>
      </c>
      <c r="E196" s="23">
        <f t="array" ref="E196">IF(D196="","",IF(D196=1,0,INDEX(Calculation!Q$2:Q9627,D196-1)))</f>
        <v>0</v>
      </c>
      <c r="F196" s="23">
        <f t="array" ref="F196">IF($A196="","",
  LET(
    r, $D196,
    startD, INDEX(Calculation!B$2:B9627, r),
    endD,   INDEX(Calculation!C$2:C9627, r),
    asOf,   MIN($A196,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287558.2192</v>
      </c>
    </row>
    <row r="197">
      <c r="A197" s="19">
        <v>42432.0</v>
      </c>
      <c r="B197" s="23">
        <v>1.0765E7</v>
      </c>
      <c r="C197" s="23">
        <f t="shared" si="1"/>
        <v>289032.8767</v>
      </c>
      <c r="D197" s="18">
        <f>IF(A197="","",MATCH(A197,Calculation!B$2:B9627,1))</f>
        <v>1</v>
      </c>
      <c r="E197" s="23">
        <f t="array" ref="E197">IF(D197="","",IF(D197=1,0,INDEX(Calculation!Q$2:Q9627,D197-1)))</f>
        <v>0</v>
      </c>
      <c r="F197" s="23">
        <f t="array" ref="F197">IF($A197="","",
  LET(
    r, $D197,
    startD, INDEX(Calculation!B$2:B9627, r),
    endD,   INDEX(Calculation!C$2:C9627, r),
    asOf,   MIN($A197,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289032.8767</v>
      </c>
    </row>
    <row r="198">
      <c r="A198" s="19">
        <v>42433.0</v>
      </c>
      <c r="B198" s="23">
        <v>1.0765E7</v>
      </c>
      <c r="C198" s="23">
        <f t="shared" si="1"/>
        <v>290507.5342</v>
      </c>
      <c r="D198" s="18">
        <f>IF(A198="","",MATCH(A198,Calculation!B$2:B9627,1))</f>
        <v>1</v>
      </c>
      <c r="E198" s="23">
        <f t="array" ref="E198">IF(D198="","",IF(D198=1,0,INDEX(Calculation!Q$2:Q9627,D198-1)))</f>
        <v>0</v>
      </c>
      <c r="F198" s="23">
        <f t="array" ref="F198">IF($A198="","",
  LET(
    r, $D198,
    startD, INDEX(Calculation!B$2:B9627, r),
    endD,   INDEX(Calculation!C$2:C9627, r),
    asOf,   MIN($A198,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290507.5342</v>
      </c>
    </row>
    <row r="199">
      <c r="A199" s="19">
        <v>42434.0</v>
      </c>
      <c r="B199" s="23">
        <v>1.0765E7</v>
      </c>
      <c r="C199" s="23">
        <f t="shared" si="1"/>
        <v>291982.1918</v>
      </c>
      <c r="D199" s="18">
        <f>IF(A199="","",MATCH(A199,Calculation!B$2:B9627,1))</f>
        <v>1</v>
      </c>
      <c r="E199" s="23">
        <f t="array" ref="E199">IF(D199="","",IF(D199=1,0,INDEX(Calculation!Q$2:Q9627,D199-1)))</f>
        <v>0</v>
      </c>
      <c r="F199" s="23">
        <f t="array" ref="F199">IF($A199="","",
  LET(
    r, $D199,
    startD, INDEX(Calculation!B$2:B9627, r),
    endD,   INDEX(Calculation!C$2:C9627, r),
    asOf,   MIN($A199,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291982.1918</v>
      </c>
    </row>
    <row r="200">
      <c r="A200" s="19">
        <v>42435.0</v>
      </c>
      <c r="B200" s="23">
        <v>1.0765E7</v>
      </c>
      <c r="C200" s="23">
        <f t="shared" si="1"/>
        <v>293456.8493</v>
      </c>
      <c r="D200" s="18">
        <f>IF(A200="","",MATCH(A200,Calculation!B$2:B9627,1))</f>
        <v>1</v>
      </c>
      <c r="E200" s="23">
        <f t="array" ref="E200">IF(D200="","",IF(D200=1,0,INDEX(Calculation!Q$2:Q9627,D200-1)))</f>
        <v>0</v>
      </c>
      <c r="F200" s="23">
        <f t="array" ref="F200">IF($A200="","",
  LET(
    r, $D200,
    startD, INDEX(Calculation!B$2:B9627, r),
    endD,   INDEX(Calculation!C$2:C9627, r),
    asOf,   MIN($A200,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293456.8493</v>
      </c>
    </row>
    <row r="201">
      <c r="A201" s="19">
        <v>42436.0</v>
      </c>
      <c r="B201" s="23">
        <v>1.0765E7</v>
      </c>
      <c r="C201" s="23">
        <f t="shared" si="1"/>
        <v>294931.5068</v>
      </c>
      <c r="D201" s="18">
        <f>IF(A201="","",MATCH(A201,Calculation!B$2:B9627,1))</f>
        <v>1</v>
      </c>
      <c r="E201" s="23">
        <f t="array" ref="E201">IF(D201="","",IF(D201=1,0,INDEX(Calculation!Q$2:Q9627,D201-1)))</f>
        <v>0</v>
      </c>
      <c r="F201" s="23">
        <f t="array" ref="F201">IF($A201="","",
  LET(
    r, $D201,
    startD, INDEX(Calculation!B$2:B9627, r),
    endD,   INDEX(Calculation!C$2:C9627, r),
    asOf,   MIN($A201,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294931.5068</v>
      </c>
    </row>
    <row r="202">
      <c r="A202" s="19">
        <v>42437.0</v>
      </c>
      <c r="B202" s="23">
        <v>1.0765E7</v>
      </c>
      <c r="C202" s="23">
        <f t="shared" si="1"/>
        <v>296406.1644</v>
      </c>
      <c r="D202" s="18">
        <f>IF(A202="","",MATCH(A202,Calculation!B$2:B9627,1))</f>
        <v>1</v>
      </c>
      <c r="E202" s="23">
        <f t="array" ref="E202">IF(D202="","",IF(D202=1,0,INDEX(Calculation!Q$2:Q9627,D202-1)))</f>
        <v>0</v>
      </c>
      <c r="F202" s="23">
        <f t="array" ref="F202">IF($A202="","",
  LET(
    r, $D202,
    startD, INDEX(Calculation!B$2:B9627, r),
    endD,   INDEX(Calculation!C$2:C9627, r),
    asOf,   MIN($A202,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296406.1644</v>
      </c>
    </row>
    <row r="203">
      <c r="A203" s="19">
        <v>42438.0</v>
      </c>
      <c r="B203" s="23">
        <v>1.0765E7</v>
      </c>
      <c r="C203" s="23">
        <f t="shared" si="1"/>
        <v>297880.8219</v>
      </c>
      <c r="D203" s="18">
        <f>IF(A203="","",MATCH(A203,Calculation!B$2:B9627,1))</f>
        <v>1</v>
      </c>
      <c r="E203" s="23">
        <f t="array" ref="E203">IF(D203="","",IF(D203=1,0,INDEX(Calculation!Q$2:Q9627,D203-1)))</f>
        <v>0</v>
      </c>
      <c r="F203" s="23">
        <f t="array" ref="F203">IF($A203="","",
  LET(
    r, $D203,
    startD, INDEX(Calculation!B$2:B9627, r),
    endD,   INDEX(Calculation!C$2:C9627, r),
    asOf,   MIN($A203,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297880.8219</v>
      </c>
    </row>
    <row r="204">
      <c r="A204" s="19">
        <v>42439.0</v>
      </c>
      <c r="B204" s="23">
        <v>1.0765E7</v>
      </c>
      <c r="C204" s="23">
        <f t="shared" si="1"/>
        <v>299355.4795</v>
      </c>
      <c r="D204" s="18">
        <f>IF(A204="","",MATCH(A204,Calculation!B$2:B9627,1))</f>
        <v>1</v>
      </c>
      <c r="E204" s="23">
        <f t="array" ref="E204">IF(D204="","",IF(D204=1,0,INDEX(Calculation!Q$2:Q9627,D204-1)))</f>
        <v>0</v>
      </c>
      <c r="F204" s="23">
        <f t="array" ref="F204">IF($A204="","",
  LET(
    r, $D204,
    startD, INDEX(Calculation!B$2:B9627, r),
    endD,   INDEX(Calculation!C$2:C9627, r),
    asOf,   MIN($A204,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299355.4795</v>
      </c>
    </row>
    <row r="205">
      <c r="A205" s="19">
        <v>42440.0</v>
      </c>
      <c r="B205" s="23">
        <v>1.0765E7</v>
      </c>
      <c r="C205" s="23">
        <f t="shared" si="1"/>
        <v>300830.137</v>
      </c>
      <c r="D205" s="18">
        <f>IF(A205="","",MATCH(A205,Calculation!B$2:B9627,1))</f>
        <v>1</v>
      </c>
      <c r="E205" s="23">
        <f t="array" ref="E205">IF(D205="","",IF(D205=1,0,INDEX(Calculation!Q$2:Q9627,D205-1)))</f>
        <v>0</v>
      </c>
      <c r="F205" s="23">
        <f t="array" ref="F205">IF($A205="","",
  LET(
    r, $D205,
    startD, INDEX(Calculation!B$2:B9627, r),
    endD,   INDEX(Calculation!C$2:C9627, r),
    asOf,   MIN($A205,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300830.137</v>
      </c>
    </row>
    <row r="206">
      <c r="A206" s="19">
        <v>42441.0</v>
      </c>
      <c r="B206" s="23">
        <v>1.0765E7</v>
      </c>
      <c r="C206" s="23">
        <f t="shared" si="1"/>
        <v>302304.7945</v>
      </c>
      <c r="D206" s="18">
        <f>IF(A206="","",MATCH(A206,Calculation!B$2:B9627,1))</f>
        <v>1</v>
      </c>
      <c r="E206" s="23">
        <f t="array" ref="E206">IF(D206="","",IF(D206=1,0,INDEX(Calculation!Q$2:Q9627,D206-1)))</f>
        <v>0</v>
      </c>
      <c r="F206" s="23">
        <f t="array" ref="F206">IF($A206="","",
  LET(
    r, $D206,
    startD, INDEX(Calculation!B$2:B9627, r),
    endD,   INDEX(Calculation!C$2:C9627, r),
    asOf,   MIN($A206,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302304.7945</v>
      </c>
    </row>
    <row r="207">
      <c r="A207" s="19">
        <v>42442.0</v>
      </c>
      <c r="B207" s="23">
        <v>1.0765E7</v>
      </c>
      <c r="C207" s="23">
        <f t="shared" si="1"/>
        <v>303779.4521</v>
      </c>
      <c r="D207" s="18">
        <f>IF(A207="","",MATCH(A207,Calculation!B$2:B9627,1))</f>
        <v>1</v>
      </c>
      <c r="E207" s="23">
        <f t="array" ref="E207">IF(D207="","",IF(D207=1,0,INDEX(Calculation!Q$2:Q9627,D207-1)))</f>
        <v>0</v>
      </c>
      <c r="F207" s="23">
        <f t="array" ref="F207">IF($A207="","",
  LET(
    r, $D207,
    startD, INDEX(Calculation!B$2:B9627, r),
    endD,   INDEX(Calculation!C$2:C9627, r),
    asOf,   MIN($A207,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303779.4521</v>
      </c>
    </row>
    <row r="208">
      <c r="A208" s="19">
        <v>42443.0</v>
      </c>
      <c r="B208" s="23">
        <v>1.0765E7</v>
      </c>
      <c r="C208" s="23">
        <f t="shared" si="1"/>
        <v>305254.1096</v>
      </c>
      <c r="D208" s="18">
        <f>IF(A208="","",MATCH(A208,Calculation!B$2:B9627,1))</f>
        <v>1</v>
      </c>
      <c r="E208" s="23">
        <f t="array" ref="E208">IF(D208="","",IF(D208=1,0,INDEX(Calculation!Q$2:Q9627,D208-1)))</f>
        <v>0</v>
      </c>
      <c r="F208" s="23">
        <f t="array" ref="F208">IF($A208="","",
  LET(
    r, $D208,
    startD, INDEX(Calculation!B$2:B9627, r),
    endD,   INDEX(Calculation!C$2:C9627, r),
    asOf,   MIN($A208,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305254.1096</v>
      </c>
    </row>
    <row r="209">
      <c r="A209" s="19">
        <v>42444.0</v>
      </c>
      <c r="B209" s="23">
        <v>1.0765E7</v>
      </c>
      <c r="C209" s="23">
        <f t="shared" si="1"/>
        <v>306728.7671</v>
      </c>
      <c r="D209" s="18">
        <f>IF(A209="","",MATCH(A209,Calculation!B$2:B9627,1))</f>
        <v>1</v>
      </c>
      <c r="E209" s="23">
        <f t="array" ref="E209">IF(D209="","",IF(D209=1,0,INDEX(Calculation!Q$2:Q9627,D209-1)))</f>
        <v>0</v>
      </c>
      <c r="F209" s="23">
        <f t="array" ref="F209">IF($A209="","",
  LET(
    r, $D209,
    startD, INDEX(Calculation!B$2:B9627, r),
    endD,   INDEX(Calculation!C$2:C9627, r),
    asOf,   MIN($A209,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306728.7671</v>
      </c>
    </row>
    <row r="210">
      <c r="A210" s="19">
        <v>42445.0</v>
      </c>
      <c r="B210" s="23">
        <v>1.0765E7</v>
      </c>
      <c r="C210" s="23">
        <f t="shared" si="1"/>
        <v>308203.4247</v>
      </c>
      <c r="D210" s="18">
        <f>IF(A210="","",MATCH(A210,Calculation!B$2:B9627,1))</f>
        <v>1</v>
      </c>
      <c r="E210" s="23">
        <f t="array" ref="E210">IF(D210="","",IF(D210=1,0,INDEX(Calculation!Q$2:Q9627,D210-1)))</f>
        <v>0</v>
      </c>
      <c r="F210" s="23">
        <f t="array" ref="F210">IF($A210="","",
  LET(
    r, $D210,
    startD, INDEX(Calculation!B$2:B9627, r),
    endD,   INDEX(Calculation!C$2:C9627, r),
    asOf,   MIN($A210,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308203.4247</v>
      </c>
    </row>
    <row r="211">
      <c r="A211" s="19">
        <v>42446.0</v>
      </c>
      <c r="B211" s="23">
        <v>1.0765E7</v>
      </c>
      <c r="C211" s="23">
        <f t="shared" si="1"/>
        <v>309678.0822</v>
      </c>
      <c r="D211" s="18">
        <f>IF(A211="","",MATCH(A211,Calculation!B$2:B9627,1))</f>
        <v>1</v>
      </c>
      <c r="E211" s="23">
        <f t="array" ref="E211">IF(D211="","",IF(D211=1,0,INDEX(Calculation!Q$2:Q9627,D211-1)))</f>
        <v>0</v>
      </c>
      <c r="F211" s="23">
        <f t="array" ref="F211">IF($A211="","",
  LET(
    r, $D211,
    startD, INDEX(Calculation!B$2:B9627, r),
    endD,   INDEX(Calculation!C$2:C9627, r),
    asOf,   MIN($A211,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309678.0822</v>
      </c>
    </row>
    <row r="212">
      <c r="A212" s="19">
        <v>42447.0</v>
      </c>
      <c r="B212" s="23">
        <v>1.0765E7</v>
      </c>
      <c r="C212" s="23">
        <f t="shared" si="1"/>
        <v>311152.7397</v>
      </c>
      <c r="D212" s="18">
        <f>IF(A212="","",MATCH(A212,Calculation!B$2:B9627,1))</f>
        <v>1</v>
      </c>
      <c r="E212" s="23">
        <f t="array" ref="E212">IF(D212="","",IF(D212=1,0,INDEX(Calculation!Q$2:Q9627,D212-1)))</f>
        <v>0</v>
      </c>
      <c r="F212" s="23">
        <f t="array" ref="F212">IF($A212="","",
  LET(
    r, $D212,
    startD, INDEX(Calculation!B$2:B9627, r),
    endD,   INDEX(Calculation!C$2:C9627, r),
    asOf,   MIN($A212,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311152.7397</v>
      </c>
    </row>
    <row r="213">
      <c r="A213" s="19">
        <v>42448.0</v>
      </c>
      <c r="B213" s="23">
        <v>1.0765E7</v>
      </c>
      <c r="C213" s="23">
        <f t="shared" si="1"/>
        <v>312627.3973</v>
      </c>
      <c r="D213" s="18">
        <f>IF(A213="","",MATCH(A213,Calculation!B$2:B9627,1))</f>
        <v>1</v>
      </c>
      <c r="E213" s="23">
        <f t="array" ref="E213">IF(D213="","",IF(D213=1,0,INDEX(Calculation!Q$2:Q9627,D213-1)))</f>
        <v>0</v>
      </c>
      <c r="F213" s="23">
        <f t="array" ref="F213">IF($A213="","",
  LET(
    r, $D213,
    startD, INDEX(Calculation!B$2:B9627, r),
    endD,   INDEX(Calculation!C$2:C9627, r),
    asOf,   MIN($A213,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312627.3973</v>
      </c>
    </row>
    <row r="214">
      <c r="A214" s="19">
        <v>42449.0</v>
      </c>
      <c r="B214" s="23">
        <v>1.0765E7</v>
      </c>
      <c r="C214" s="23">
        <f t="shared" si="1"/>
        <v>314102.0548</v>
      </c>
      <c r="D214" s="18">
        <f>IF(A214="","",MATCH(A214,Calculation!B$2:B9627,1))</f>
        <v>1</v>
      </c>
      <c r="E214" s="23">
        <f t="array" ref="E214">IF(D214="","",IF(D214=1,0,INDEX(Calculation!Q$2:Q9627,D214-1)))</f>
        <v>0</v>
      </c>
      <c r="F214" s="23">
        <f t="array" ref="F214">IF($A214="","",
  LET(
    r, $D214,
    startD, INDEX(Calculation!B$2:B9627, r),
    endD,   INDEX(Calculation!C$2:C9627, r),
    asOf,   MIN($A214,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314102.0548</v>
      </c>
    </row>
    <row r="215">
      <c r="A215" s="19">
        <v>42450.0</v>
      </c>
      <c r="B215" s="23">
        <v>1.0765E7</v>
      </c>
      <c r="C215" s="23">
        <f t="shared" si="1"/>
        <v>315576.7123</v>
      </c>
      <c r="D215" s="18">
        <f>IF(A215="","",MATCH(A215,Calculation!B$2:B9627,1))</f>
        <v>1</v>
      </c>
      <c r="E215" s="23">
        <f t="array" ref="E215">IF(D215="","",IF(D215=1,0,INDEX(Calculation!Q$2:Q9627,D215-1)))</f>
        <v>0</v>
      </c>
      <c r="F215" s="23">
        <f t="array" ref="F215">IF($A215="","",
  LET(
    r, $D215,
    startD, INDEX(Calculation!B$2:B9627, r),
    endD,   INDEX(Calculation!C$2:C9627, r),
    asOf,   MIN($A215,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315576.7123</v>
      </c>
    </row>
    <row r="216">
      <c r="A216" s="19">
        <v>42451.0</v>
      </c>
      <c r="B216" s="23">
        <v>1.0765E7</v>
      </c>
      <c r="C216" s="23">
        <f t="shared" si="1"/>
        <v>317051.3699</v>
      </c>
      <c r="D216" s="18">
        <f>IF(A216="","",MATCH(A216,Calculation!B$2:B9627,1))</f>
        <v>1</v>
      </c>
      <c r="E216" s="23">
        <f t="array" ref="E216">IF(D216="","",IF(D216=1,0,INDEX(Calculation!Q$2:Q9627,D216-1)))</f>
        <v>0</v>
      </c>
      <c r="F216" s="23">
        <f t="array" ref="F216">IF($A216="","",
  LET(
    r, $D216,
    startD, INDEX(Calculation!B$2:B9627, r),
    endD,   INDEX(Calculation!C$2:C9627, r),
    asOf,   MIN($A216,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317051.3699</v>
      </c>
    </row>
    <row r="217">
      <c r="A217" s="19">
        <v>42452.0</v>
      </c>
      <c r="B217" s="23">
        <v>1.0765E7</v>
      </c>
      <c r="C217" s="23">
        <f t="shared" si="1"/>
        <v>318526.0274</v>
      </c>
      <c r="D217" s="18">
        <f>IF(A217="","",MATCH(A217,Calculation!B$2:B9627,1))</f>
        <v>1</v>
      </c>
      <c r="E217" s="23">
        <f t="array" ref="E217">IF(D217="","",IF(D217=1,0,INDEX(Calculation!Q$2:Q9627,D217-1)))</f>
        <v>0</v>
      </c>
      <c r="F217" s="23">
        <f t="array" ref="F217">IF($A217="","",
  LET(
    r, $D217,
    startD, INDEX(Calculation!B$2:B9627, r),
    endD,   INDEX(Calculation!C$2:C9627, r),
    asOf,   MIN($A217,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318526.0274</v>
      </c>
    </row>
    <row r="218">
      <c r="A218" s="19">
        <v>42453.0</v>
      </c>
      <c r="B218" s="23">
        <v>1.0765E7</v>
      </c>
      <c r="C218" s="23">
        <f t="shared" si="1"/>
        <v>320000.6849</v>
      </c>
      <c r="D218" s="18">
        <f>IF(A218="","",MATCH(A218,Calculation!B$2:B9627,1))</f>
        <v>1</v>
      </c>
      <c r="E218" s="23">
        <f t="array" ref="E218">IF(D218="","",IF(D218=1,0,INDEX(Calculation!Q$2:Q9627,D218-1)))</f>
        <v>0</v>
      </c>
      <c r="F218" s="23">
        <f t="array" ref="F218">IF($A218="","",
  LET(
    r, $D218,
    startD, INDEX(Calculation!B$2:B9627, r),
    endD,   INDEX(Calculation!C$2:C9627, r),
    asOf,   MIN($A218,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320000.6849</v>
      </c>
    </row>
    <row r="219">
      <c r="A219" s="19">
        <v>42454.0</v>
      </c>
      <c r="B219" s="23">
        <v>1.0765E7</v>
      </c>
      <c r="C219" s="23">
        <f t="shared" si="1"/>
        <v>321475.3425</v>
      </c>
      <c r="D219" s="18">
        <f>IF(A219="","",MATCH(A219,Calculation!B$2:B9627,1))</f>
        <v>1</v>
      </c>
      <c r="E219" s="23">
        <f t="array" ref="E219">IF(D219="","",IF(D219=1,0,INDEX(Calculation!Q$2:Q9627,D219-1)))</f>
        <v>0</v>
      </c>
      <c r="F219" s="23">
        <f t="array" ref="F219">IF($A219="","",
  LET(
    r, $D219,
    startD, INDEX(Calculation!B$2:B9627, r),
    endD,   INDEX(Calculation!C$2:C9627, r),
    asOf,   MIN($A219,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321475.3425</v>
      </c>
    </row>
    <row r="220">
      <c r="A220" s="19">
        <v>42455.0</v>
      </c>
      <c r="B220" s="23">
        <v>1.0765E7</v>
      </c>
      <c r="C220" s="23">
        <f t="shared" si="1"/>
        <v>322950</v>
      </c>
      <c r="D220" s="18">
        <f>IF(A220="","",MATCH(A220,Calculation!B$2:B9627,1))</f>
        <v>1</v>
      </c>
      <c r="E220" s="23">
        <f t="array" ref="E220">IF(D220="","",IF(D220=1,0,INDEX(Calculation!Q$2:Q9627,D220-1)))</f>
        <v>0</v>
      </c>
      <c r="F220" s="23">
        <f t="array" ref="F220">IF($A220="","",
  LET(
    r, $D220,
    startD, INDEX(Calculation!B$2:B9627, r),
    endD,   INDEX(Calculation!C$2:C9627, r),
    asOf,   MIN($A220,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322950</v>
      </c>
    </row>
    <row r="221">
      <c r="A221" s="19">
        <v>42456.0</v>
      </c>
      <c r="B221" s="23">
        <v>1.0765E7</v>
      </c>
      <c r="C221" s="23">
        <f t="shared" si="1"/>
        <v>324424.6575</v>
      </c>
      <c r="D221" s="18">
        <f>IF(A221="","",MATCH(A221,Calculation!B$2:B9627,1))</f>
        <v>1</v>
      </c>
      <c r="E221" s="23">
        <f t="array" ref="E221">IF(D221="","",IF(D221=1,0,INDEX(Calculation!Q$2:Q9627,D221-1)))</f>
        <v>0</v>
      </c>
      <c r="F221" s="23">
        <f t="array" ref="F221">IF($A221="","",
  LET(
    r, $D221,
    startD, INDEX(Calculation!B$2:B9627, r),
    endD,   INDEX(Calculation!C$2:C9627, r),
    asOf,   MIN($A221,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324424.6575</v>
      </c>
    </row>
    <row r="222">
      <c r="A222" s="19">
        <v>42457.0</v>
      </c>
      <c r="B222" s="23">
        <v>1.0765E7</v>
      </c>
      <c r="C222" s="23">
        <f t="shared" si="1"/>
        <v>325899.3151</v>
      </c>
      <c r="D222" s="18">
        <f>IF(A222="","",MATCH(A222,Calculation!B$2:B9627,1))</f>
        <v>1</v>
      </c>
      <c r="E222" s="23">
        <f t="array" ref="E222">IF(D222="","",IF(D222=1,0,INDEX(Calculation!Q$2:Q9627,D222-1)))</f>
        <v>0</v>
      </c>
      <c r="F222" s="23">
        <f t="array" ref="F222">IF($A222="","",
  LET(
    r, $D222,
    startD, INDEX(Calculation!B$2:B9627, r),
    endD,   INDEX(Calculation!C$2:C9627, r),
    asOf,   MIN($A222,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325899.3151</v>
      </c>
    </row>
    <row r="223">
      <c r="A223" s="19">
        <v>42458.0</v>
      </c>
      <c r="B223" s="23">
        <v>1.0765E7</v>
      </c>
      <c r="C223" s="23">
        <f t="shared" si="1"/>
        <v>327373.9726</v>
      </c>
      <c r="D223" s="18">
        <f>IF(A223="","",MATCH(A223,Calculation!B$2:B9627,1))</f>
        <v>1</v>
      </c>
      <c r="E223" s="23">
        <f t="array" ref="E223">IF(D223="","",IF(D223=1,0,INDEX(Calculation!Q$2:Q9627,D223-1)))</f>
        <v>0</v>
      </c>
      <c r="F223" s="23">
        <f t="array" ref="F223">IF($A223="","",
  LET(
    r, $D223,
    startD, INDEX(Calculation!B$2:B9627, r),
    endD,   INDEX(Calculation!C$2:C9627, r),
    asOf,   MIN($A223,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327373.9726</v>
      </c>
    </row>
    <row r="224">
      <c r="A224" s="19">
        <v>42459.0</v>
      </c>
      <c r="B224" s="23">
        <v>1.0765E7</v>
      </c>
      <c r="C224" s="23">
        <f t="shared" si="1"/>
        <v>328848.6301</v>
      </c>
      <c r="D224" s="18">
        <f>IF(A224="","",MATCH(A224,Calculation!B$2:B9627,1))</f>
        <v>1</v>
      </c>
      <c r="E224" s="23">
        <f t="array" ref="E224">IF(D224="","",IF(D224=1,0,INDEX(Calculation!Q$2:Q9627,D224-1)))</f>
        <v>0</v>
      </c>
      <c r="F224" s="23">
        <f t="array" ref="F224">IF($A224="","",
  LET(
    r, $D224,
    startD, INDEX(Calculation!B$2:B9627, r),
    endD,   INDEX(Calculation!C$2:C9627, r),
    asOf,   MIN($A224,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328848.6301</v>
      </c>
    </row>
    <row r="225">
      <c r="A225" s="19">
        <v>42460.0</v>
      </c>
      <c r="B225" s="23">
        <v>1.0765E7</v>
      </c>
      <c r="C225" s="23">
        <f t="shared" si="1"/>
        <v>330323.2877</v>
      </c>
      <c r="D225" s="18">
        <f>IF(A225="","",MATCH(A225,Calculation!B$2:B9627,1))</f>
        <v>1</v>
      </c>
      <c r="E225" s="23">
        <f t="array" ref="E225">IF(D225="","",IF(D225=1,0,INDEX(Calculation!Q$2:Q9627,D225-1)))</f>
        <v>0</v>
      </c>
      <c r="F225" s="23">
        <f t="array" ref="F225">IF($A225="","",
  LET(
    r, $D225,
    startD, INDEX(Calculation!B$2:B9627, r),
    endD,   INDEX(Calculation!C$2:C9627, r),
    asOf,   MIN($A225,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330323.2877</v>
      </c>
    </row>
    <row r="226">
      <c r="A226" s="19">
        <v>42461.0</v>
      </c>
      <c r="B226" s="23">
        <v>1.0765E7</v>
      </c>
      <c r="C226" s="23">
        <f t="shared" si="1"/>
        <v>331797.9452</v>
      </c>
      <c r="D226" s="18">
        <f>IF(A226="","",MATCH(A226,Calculation!B$2:B9627,1))</f>
        <v>1</v>
      </c>
      <c r="E226" s="23">
        <f t="array" ref="E226">IF(D226="","",IF(D226=1,0,INDEX(Calculation!Q$2:Q9627,D226-1)))</f>
        <v>0</v>
      </c>
      <c r="F226" s="23">
        <f t="array" ref="F226">IF($A226="","",
  LET(
    r, $D226,
    startD, INDEX(Calculation!B$2:B9627, r),
    endD,   INDEX(Calculation!C$2:C9627, r),
    asOf,   MIN($A226,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331797.9452</v>
      </c>
    </row>
    <row r="227">
      <c r="A227" s="19">
        <v>42462.0</v>
      </c>
      <c r="B227" s="23">
        <v>1.0765E7</v>
      </c>
      <c r="C227" s="23">
        <f t="shared" si="1"/>
        <v>333272.6027</v>
      </c>
      <c r="D227" s="18">
        <f>IF(A227="","",MATCH(A227,Calculation!B$2:B9627,1))</f>
        <v>1</v>
      </c>
      <c r="E227" s="23">
        <f t="array" ref="E227">IF(D227="","",IF(D227=1,0,INDEX(Calculation!Q$2:Q9627,D227-1)))</f>
        <v>0</v>
      </c>
      <c r="F227" s="23">
        <f t="array" ref="F227">IF($A227="","",
  LET(
    r, $D227,
    startD, INDEX(Calculation!B$2:B9627, r),
    endD,   INDEX(Calculation!C$2:C9627, r),
    asOf,   MIN($A227,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333272.6027</v>
      </c>
    </row>
    <row r="228">
      <c r="A228" s="19">
        <v>42463.0</v>
      </c>
      <c r="B228" s="23">
        <v>1.0765E7</v>
      </c>
      <c r="C228" s="23">
        <f t="shared" si="1"/>
        <v>334747.2603</v>
      </c>
      <c r="D228" s="18">
        <f>IF(A228="","",MATCH(A228,Calculation!B$2:B9627,1))</f>
        <v>1</v>
      </c>
      <c r="E228" s="23">
        <f t="array" ref="E228">IF(D228="","",IF(D228=1,0,INDEX(Calculation!Q$2:Q9627,D228-1)))</f>
        <v>0</v>
      </c>
      <c r="F228" s="23">
        <f t="array" ref="F228">IF($A228="","",
  LET(
    r, $D228,
    startD, INDEX(Calculation!B$2:B9627, r),
    endD,   INDEX(Calculation!C$2:C9627, r),
    asOf,   MIN($A228,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334747.2603</v>
      </c>
    </row>
    <row r="229">
      <c r="A229" s="19">
        <v>42464.0</v>
      </c>
      <c r="B229" s="23">
        <v>1.0765E7</v>
      </c>
      <c r="C229" s="23">
        <f t="shared" si="1"/>
        <v>336221.9178</v>
      </c>
      <c r="D229" s="18">
        <f>IF(A229="","",MATCH(A229,Calculation!B$2:B9627,1))</f>
        <v>1</v>
      </c>
      <c r="E229" s="23">
        <f t="array" ref="E229">IF(D229="","",IF(D229=1,0,INDEX(Calculation!Q$2:Q9627,D229-1)))</f>
        <v>0</v>
      </c>
      <c r="F229" s="23">
        <f t="array" ref="F229">IF($A229="","",
  LET(
    r, $D229,
    startD, INDEX(Calculation!B$2:B9627, r),
    endD,   INDEX(Calculation!C$2:C9627, r),
    asOf,   MIN($A229,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336221.9178</v>
      </c>
    </row>
    <row r="230">
      <c r="A230" s="19">
        <v>42465.0</v>
      </c>
      <c r="B230" s="23">
        <v>1.0765E7</v>
      </c>
      <c r="C230" s="23">
        <f t="shared" si="1"/>
        <v>337696.5753</v>
      </c>
      <c r="D230" s="18">
        <f>IF(A230="","",MATCH(A230,Calculation!B$2:B9627,1))</f>
        <v>1</v>
      </c>
      <c r="E230" s="23">
        <f t="array" ref="E230">IF(D230="","",IF(D230=1,0,INDEX(Calculation!Q$2:Q9627,D230-1)))</f>
        <v>0</v>
      </c>
      <c r="F230" s="23">
        <f t="array" ref="F230">IF($A230="","",
  LET(
    r, $D230,
    startD, INDEX(Calculation!B$2:B9627, r),
    endD,   INDEX(Calculation!C$2:C9627, r),
    asOf,   MIN($A230,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337696.5753</v>
      </c>
    </row>
    <row r="231">
      <c r="A231" s="19">
        <v>42466.0</v>
      </c>
      <c r="B231" s="23">
        <v>1.0765E7</v>
      </c>
      <c r="C231" s="23">
        <f t="shared" si="1"/>
        <v>339171.2329</v>
      </c>
      <c r="D231" s="18">
        <f>IF(A231="","",MATCH(A231,Calculation!B$2:B9627,1))</f>
        <v>1</v>
      </c>
      <c r="E231" s="23">
        <f t="array" ref="E231">IF(D231="","",IF(D231=1,0,INDEX(Calculation!Q$2:Q9627,D231-1)))</f>
        <v>0</v>
      </c>
      <c r="F231" s="23">
        <f t="array" ref="F231">IF($A231="","",
  LET(
    r, $D231,
    startD, INDEX(Calculation!B$2:B9627, r),
    endD,   INDEX(Calculation!C$2:C9627, r),
    asOf,   MIN($A231,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339171.2329</v>
      </c>
    </row>
    <row r="232">
      <c r="A232" s="19">
        <v>42467.0</v>
      </c>
      <c r="B232" s="23">
        <v>1.0765E7</v>
      </c>
      <c r="C232" s="23">
        <f t="shared" si="1"/>
        <v>340645.8904</v>
      </c>
      <c r="D232" s="18">
        <f>IF(A232="","",MATCH(A232,Calculation!B$2:B9627,1))</f>
        <v>1</v>
      </c>
      <c r="E232" s="23">
        <f t="array" ref="E232">IF(D232="","",IF(D232=1,0,INDEX(Calculation!Q$2:Q9627,D232-1)))</f>
        <v>0</v>
      </c>
      <c r="F232" s="23">
        <f t="array" ref="F232">IF($A232="","",
  LET(
    r, $D232,
    startD, INDEX(Calculation!B$2:B9627, r),
    endD,   INDEX(Calculation!C$2:C9627, r),
    asOf,   MIN($A232,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340645.8904</v>
      </c>
    </row>
    <row r="233">
      <c r="A233" s="19">
        <v>42468.0</v>
      </c>
      <c r="B233" s="23">
        <v>1.0765E7</v>
      </c>
      <c r="C233" s="23">
        <f t="shared" si="1"/>
        <v>342120.5479</v>
      </c>
      <c r="D233" s="18">
        <f>IF(A233="","",MATCH(A233,Calculation!B$2:B9627,1))</f>
        <v>1</v>
      </c>
      <c r="E233" s="23">
        <f t="array" ref="E233">IF(D233="","",IF(D233=1,0,INDEX(Calculation!Q$2:Q9627,D233-1)))</f>
        <v>0</v>
      </c>
      <c r="F233" s="23">
        <f t="array" ref="F233">IF($A233="","",
  LET(
    r, $D233,
    startD, INDEX(Calculation!B$2:B9627, r),
    endD,   INDEX(Calculation!C$2:C9627, r),
    asOf,   MIN($A233,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342120.5479</v>
      </c>
    </row>
    <row r="234">
      <c r="A234" s="19">
        <v>42469.0</v>
      </c>
      <c r="B234" s="23">
        <v>1.0765E7</v>
      </c>
      <c r="C234" s="23">
        <f t="shared" si="1"/>
        <v>343595.2055</v>
      </c>
      <c r="D234" s="18">
        <f>IF(A234="","",MATCH(A234,Calculation!B$2:B9627,1))</f>
        <v>1</v>
      </c>
      <c r="E234" s="23">
        <f t="array" ref="E234">IF(D234="","",IF(D234=1,0,INDEX(Calculation!Q$2:Q9627,D234-1)))</f>
        <v>0</v>
      </c>
      <c r="F234" s="23">
        <f t="array" ref="F234">IF($A234="","",
  LET(
    r, $D234,
    startD, INDEX(Calculation!B$2:B9627, r),
    endD,   INDEX(Calculation!C$2:C9627, r),
    asOf,   MIN($A234,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343595.2055</v>
      </c>
    </row>
    <row r="235">
      <c r="A235" s="19">
        <v>42470.0</v>
      </c>
      <c r="B235" s="23">
        <v>1.0765E7</v>
      </c>
      <c r="C235" s="23">
        <f t="shared" si="1"/>
        <v>345069.863</v>
      </c>
      <c r="D235" s="18">
        <f>IF(A235="","",MATCH(A235,Calculation!B$2:B9627,1))</f>
        <v>1</v>
      </c>
      <c r="E235" s="23">
        <f t="array" ref="E235">IF(D235="","",IF(D235=1,0,INDEX(Calculation!Q$2:Q9627,D235-1)))</f>
        <v>0</v>
      </c>
      <c r="F235" s="23">
        <f t="array" ref="F235">IF($A235="","",
  LET(
    r, $D235,
    startD, INDEX(Calculation!B$2:B9627, r),
    endD,   INDEX(Calculation!C$2:C9627, r),
    asOf,   MIN($A235,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345069.863</v>
      </c>
    </row>
    <row r="236">
      <c r="A236" s="19">
        <v>42471.0</v>
      </c>
      <c r="B236" s="23">
        <v>1.0765E7</v>
      </c>
      <c r="C236" s="23">
        <f t="shared" si="1"/>
        <v>346544.5205</v>
      </c>
      <c r="D236" s="18">
        <f>IF(A236="","",MATCH(A236,Calculation!B$2:B9627,1))</f>
        <v>1</v>
      </c>
      <c r="E236" s="23">
        <f t="array" ref="E236">IF(D236="","",IF(D236=1,0,INDEX(Calculation!Q$2:Q9627,D236-1)))</f>
        <v>0</v>
      </c>
      <c r="F236" s="23">
        <f t="array" ref="F236">IF($A236="","",
  LET(
    r, $D236,
    startD, INDEX(Calculation!B$2:B9627, r),
    endD,   INDEX(Calculation!C$2:C9627, r),
    asOf,   MIN($A236,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346544.5205</v>
      </c>
    </row>
    <row r="237">
      <c r="A237" s="19">
        <v>42472.0</v>
      </c>
      <c r="B237" s="23">
        <v>1.0765E7</v>
      </c>
      <c r="C237" s="23">
        <f t="shared" si="1"/>
        <v>348019.1781</v>
      </c>
      <c r="D237" s="18">
        <f>IF(A237="","",MATCH(A237,Calculation!B$2:B9627,1))</f>
        <v>1</v>
      </c>
      <c r="E237" s="23">
        <f t="array" ref="E237">IF(D237="","",IF(D237=1,0,INDEX(Calculation!Q$2:Q9627,D237-1)))</f>
        <v>0</v>
      </c>
      <c r="F237" s="23">
        <f t="array" ref="F237">IF($A237="","",
  LET(
    r, $D237,
    startD, INDEX(Calculation!B$2:B9627, r),
    endD,   INDEX(Calculation!C$2:C9627, r),
    asOf,   MIN($A237,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348019.1781</v>
      </c>
    </row>
    <row r="238">
      <c r="A238" s="19">
        <v>42473.0</v>
      </c>
      <c r="B238" s="23">
        <v>1.0765E7</v>
      </c>
      <c r="C238" s="23">
        <f t="shared" si="1"/>
        <v>349493.8356</v>
      </c>
      <c r="D238" s="18">
        <f>IF(A238="","",MATCH(A238,Calculation!B$2:B9627,1))</f>
        <v>1</v>
      </c>
      <c r="E238" s="23">
        <f t="array" ref="E238">IF(D238="","",IF(D238=1,0,INDEX(Calculation!Q$2:Q9627,D238-1)))</f>
        <v>0</v>
      </c>
      <c r="F238" s="23">
        <f t="array" ref="F238">IF($A238="","",
  LET(
    r, $D238,
    startD, INDEX(Calculation!B$2:B9627, r),
    endD,   INDEX(Calculation!C$2:C9627, r),
    asOf,   MIN($A238,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349493.8356</v>
      </c>
    </row>
    <row r="239">
      <c r="A239" s="19">
        <v>42474.0</v>
      </c>
      <c r="B239" s="23">
        <v>1.0765E7</v>
      </c>
      <c r="C239" s="23">
        <f t="shared" si="1"/>
        <v>350968.4932</v>
      </c>
      <c r="D239" s="18">
        <f>IF(A239="","",MATCH(A239,Calculation!B$2:B9627,1))</f>
        <v>1</v>
      </c>
      <c r="E239" s="23">
        <f t="array" ref="E239">IF(D239="","",IF(D239=1,0,INDEX(Calculation!Q$2:Q9627,D239-1)))</f>
        <v>0</v>
      </c>
      <c r="F239" s="23">
        <f t="array" ref="F239">IF($A239="","",
  LET(
    r, $D239,
    startD, INDEX(Calculation!B$2:B9627, r),
    endD,   INDEX(Calculation!C$2:C9627, r),
    asOf,   MIN($A239,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350968.4932</v>
      </c>
    </row>
    <row r="240">
      <c r="A240" s="19">
        <v>42475.0</v>
      </c>
      <c r="B240" s="23">
        <v>1.0765E7</v>
      </c>
      <c r="C240" s="23">
        <f t="shared" si="1"/>
        <v>352443.1507</v>
      </c>
      <c r="D240" s="18">
        <f>IF(A240="","",MATCH(A240,Calculation!B$2:B9627,1))</f>
        <v>1</v>
      </c>
      <c r="E240" s="23">
        <f t="array" ref="E240">IF(D240="","",IF(D240=1,0,INDEX(Calculation!Q$2:Q9627,D240-1)))</f>
        <v>0</v>
      </c>
      <c r="F240" s="23">
        <f t="array" ref="F240">IF($A240="","",
  LET(
    r, $D240,
    startD, INDEX(Calculation!B$2:B9627, r),
    endD,   INDEX(Calculation!C$2:C9627, r),
    asOf,   MIN($A240,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352443.1507</v>
      </c>
    </row>
    <row r="241">
      <c r="A241" s="19">
        <v>42476.0</v>
      </c>
      <c r="B241" s="23">
        <v>1.0765E7</v>
      </c>
      <c r="C241" s="23">
        <f t="shared" si="1"/>
        <v>353917.8082</v>
      </c>
      <c r="D241" s="18">
        <f>IF(A241="","",MATCH(A241,Calculation!B$2:B9627,1))</f>
        <v>1</v>
      </c>
      <c r="E241" s="23">
        <f t="array" ref="E241">IF(D241="","",IF(D241=1,0,INDEX(Calculation!Q$2:Q9627,D241-1)))</f>
        <v>0</v>
      </c>
      <c r="F241" s="23">
        <f t="array" ref="F241">IF($A241="","",
  LET(
    r, $D241,
    startD, INDEX(Calculation!B$2:B9627, r),
    endD,   INDEX(Calculation!C$2:C9627, r),
    asOf,   MIN($A241,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353917.8082</v>
      </c>
    </row>
    <row r="242">
      <c r="A242" s="19">
        <v>42477.0</v>
      </c>
      <c r="B242" s="23">
        <v>1.0765E7</v>
      </c>
      <c r="C242" s="23">
        <f t="shared" si="1"/>
        <v>355392.4658</v>
      </c>
      <c r="D242" s="18">
        <f>IF(A242="","",MATCH(A242,Calculation!B$2:B9627,1))</f>
        <v>1</v>
      </c>
      <c r="E242" s="23">
        <f t="array" ref="E242">IF(D242="","",IF(D242=1,0,INDEX(Calculation!Q$2:Q9627,D242-1)))</f>
        <v>0</v>
      </c>
      <c r="F242" s="23">
        <f t="array" ref="F242">IF($A242="","",
  LET(
    r, $D242,
    startD, INDEX(Calculation!B$2:B9627, r),
    endD,   INDEX(Calculation!C$2:C9627, r),
    asOf,   MIN($A242,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355392.4658</v>
      </c>
    </row>
    <row r="243">
      <c r="A243" s="19">
        <v>42478.0</v>
      </c>
      <c r="B243" s="23">
        <v>1.0765E7</v>
      </c>
      <c r="C243" s="23">
        <f t="shared" si="1"/>
        <v>356867.1233</v>
      </c>
      <c r="D243" s="18">
        <f>IF(A243="","",MATCH(A243,Calculation!B$2:B9627,1))</f>
        <v>1</v>
      </c>
      <c r="E243" s="23">
        <f t="array" ref="E243">IF(D243="","",IF(D243=1,0,INDEX(Calculation!Q$2:Q9627,D243-1)))</f>
        <v>0</v>
      </c>
      <c r="F243" s="23">
        <f t="array" ref="F243">IF($A243="","",
  LET(
    r, $D243,
    startD, INDEX(Calculation!B$2:B9627, r),
    endD,   INDEX(Calculation!C$2:C9627, r),
    asOf,   MIN($A243,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356867.1233</v>
      </c>
    </row>
    <row r="244">
      <c r="A244" s="19">
        <v>42479.0</v>
      </c>
      <c r="B244" s="23">
        <v>1.0765E7</v>
      </c>
      <c r="C244" s="23">
        <f t="shared" si="1"/>
        <v>358341.7808</v>
      </c>
      <c r="D244" s="18">
        <f>IF(A244="","",MATCH(A244,Calculation!B$2:B9627,1))</f>
        <v>1</v>
      </c>
      <c r="E244" s="23">
        <f t="array" ref="E244">IF(D244="","",IF(D244=1,0,INDEX(Calculation!Q$2:Q9627,D244-1)))</f>
        <v>0</v>
      </c>
      <c r="F244" s="23">
        <f t="array" ref="F244">IF($A244="","",
  LET(
    r, $D244,
    startD, INDEX(Calculation!B$2:B9627, r),
    endD,   INDEX(Calculation!C$2:C9627, r),
    asOf,   MIN($A244,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358341.7808</v>
      </c>
    </row>
    <row r="245">
      <c r="A245" s="19">
        <v>42480.0</v>
      </c>
      <c r="B245" s="23">
        <v>1.0765E7</v>
      </c>
      <c r="C245" s="23">
        <f t="shared" si="1"/>
        <v>359816.4384</v>
      </c>
      <c r="D245" s="18">
        <f>IF(A245="","",MATCH(A245,Calculation!B$2:B9627,1))</f>
        <v>1</v>
      </c>
      <c r="E245" s="23">
        <f t="array" ref="E245">IF(D245="","",IF(D245=1,0,INDEX(Calculation!Q$2:Q9627,D245-1)))</f>
        <v>0</v>
      </c>
      <c r="F245" s="23">
        <f t="array" ref="F245">IF($A245="","",
  LET(
    r, $D245,
    startD, INDEX(Calculation!B$2:B9627, r),
    endD,   INDEX(Calculation!C$2:C9627, r),
    asOf,   MIN($A245,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359816.4384</v>
      </c>
    </row>
    <row r="246">
      <c r="A246" s="19">
        <v>42481.0</v>
      </c>
      <c r="B246" s="23">
        <v>1.0765E7</v>
      </c>
      <c r="C246" s="23">
        <f t="shared" si="1"/>
        <v>361291.0959</v>
      </c>
      <c r="D246" s="18">
        <f>IF(A246="","",MATCH(A246,Calculation!B$2:B9627,1))</f>
        <v>1</v>
      </c>
      <c r="E246" s="23">
        <f t="array" ref="E246">IF(D246="","",IF(D246=1,0,INDEX(Calculation!Q$2:Q9627,D246-1)))</f>
        <v>0</v>
      </c>
      <c r="F246" s="23">
        <f t="array" ref="F246">IF($A246="","",
  LET(
    r, $D246,
    startD, INDEX(Calculation!B$2:B9627, r),
    endD,   INDEX(Calculation!C$2:C9627, r),
    asOf,   MIN($A246,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361291.0959</v>
      </c>
    </row>
    <row r="247">
      <c r="A247" s="19">
        <v>42482.0</v>
      </c>
      <c r="B247" s="23">
        <v>1.0765E7</v>
      </c>
      <c r="C247" s="23">
        <f t="shared" si="1"/>
        <v>362765.7534</v>
      </c>
      <c r="D247" s="18">
        <f>IF(A247="","",MATCH(A247,Calculation!B$2:B9627,1))</f>
        <v>1</v>
      </c>
      <c r="E247" s="23">
        <f t="array" ref="E247">IF(D247="","",IF(D247=1,0,INDEX(Calculation!Q$2:Q9627,D247-1)))</f>
        <v>0</v>
      </c>
      <c r="F247" s="23">
        <f t="array" ref="F247">IF($A247="","",
  LET(
    r, $D247,
    startD, INDEX(Calculation!B$2:B9627, r),
    endD,   INDEX(Calculation!C$2:C9627, r),
    asOf,   MIN($A247,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362765.7534</v>
      </c>
    </row>
    <row r="248">
      <c r="A248" s="19">
        <v>42483.0</v>
      </c>
      <c r="B248" s="23">
        <v>1.0765E7</v>
      </c>
      <c r="C248" s="23">
        <f t="shared" si="1"/>
        <v>364240.411</v>
      </c>
      <c r="D248" s="18">
        <f>IF(A248="","",MATCH(A248,Calculation!B$2:B9627,1))</f>
        <v>1</v>
      </c>
      <c r="E248" s="23">
        <f t="array" ref="E248">IF(D248="","",IF(D248=1,0,INDEX(Calculation!Q$2:Q9627,D248-1)))</f>
        <v>0</v>
      </c>
      <c r="F248" s="23">
        <f t="array" ref="F248">IF($A248="","",
  LET(
    r, $D248,
    startD, INDEX(Calculation!B$2:B9627, r),
    endD,   INDEX(Calculation!C$2:C9627, r),
    asOf,   MIN($A248,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364240.411</v>
      </c>
    </row>
    <row r="249">
      <c r="A249" s="19">
        <v>42484.0</v>
      </c>
      <c r="B249" s="23">
        <v>1.0765E7</v>
      </c>
      <c r="C249" s="23">
        <f t="shared" si="1"/>
        <v>365715.0685</v>
      </c>
      <c r="D249" s="18">
        <f>IF(A249="","",MATCH(A249,Calculation!B$2:B9627,1))</f>
        <v>1</v>
      </c>
      <c r="E249" s="23">
        <f t="array" ref="E249">IF(D249="","",IF(D249=1,0,INDEX(Calculation!Q$2:Q9627,D249-1)))</f>
        <v>0</v>
      </c>
      <c r="F249" s="23">
        <f t="array" ref="F249">IF($A249="","",
  LET(
    r, $D249,
    startD, INDEX(Calculation!B$2:B9627, r),
    endD,   INDEX(Calculation!C$2:C9627, r),
    asOf,   MIN($A249,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365715.0685</v>
      </c>
    </row>
    <row r="250">
      <c r="A250" s="19">
        <v>42485.0</v>
      </c>
      <c r="B250" s="23">
        <v>1.0765E7</v>
      </c>
      <c r="C250" s="23">
        <f t="shared" si="1"/>
        <v>367189.726</v>
      </c>
      <c r="D250" s="18">
        <f>IF(A250="","",MATCH(A250,Calculation!B$2:B9627,1))</f>
        <v>1</v>
      </c>
      <c r="E250" s="23">
        <f t="array" ref="E250">IF(D250="","",IF(D250=1,0,INDEX(Calculation!Q$2:Q9627,D250-1)))</f>
        <v>0</v>
      </c>
      <c r="F250" s="23">
        <f t="array" ref="F250">IF($A250="","",
  LET(
    r, $D250,
    startD, INDEX(Calculation!B$2:B9627, r),
    endD,   INDEX(Calculation!C$2:C9627, r),
    asOf,   MIN($A250,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367189.726</v>
      </c>
    </row>
    <row r="251">
      <c r="A251" s="19">
        <v>42486.0</v>
      </c>
      <c r="B251" s="23">
        <v>1.0765E7</v>
      </c>
      <c r="C251" s="23">
        <f t="shared" si="1"/>
        <v>368664.3836</v>
      </c>
      <c r="D251" s="18">
        <f>IF(A251="","",MATCH(A251,Calculation!B$2:B9627,1))</f>
        <v>1</v>
      </c>
      <c r="E251" s="23">
        <f t="array" ref="E251">IF(D251="","",IF(D251=1,0,INDEX(Calculation!Q$2:Q9627,D251-1)))</f>
        <v>0</v>
      </c>
      <c r="F251" s="23">
        <f t="array" ref="F251">IF($A251="","",
  LET(
    r, $D251,
    startD, INDEX(Calculation!B$2:B9627, r),
    endD,   INDEX(Calculation!C$2:C9627, r),
    asOf,   MIN($A251,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368664.3836</v>
      </c>
    </row>
    <row r="252">
      <c r="A252" s="19">
        <v>42487.0</v>
      </c>
      <c r="B252" s="23">
        <v>1.0765E7</v>
      </c>
      <c r="C252" s="23">
        <f t="shared" si="1"/>
        <v>370139.0411</v>
      </c>
      <c r="D252" s="18">
        <f>IF(A252="","",MATCH(A252,Calculation!B$2:B9627,1))</f>
        <v>1</v>
      </c>
      <c r="E252" s="23">
        <f t="array" ref="E252">IF(D252="","",IF(D252=1,0,INDEX(Calculation!Q$2:Q9627,D252-1)))</f>
        <v>0</v>
      </c>
      <c r="F252" s="23">
        <f t="array" ref="F252">IF($A252="","",
  LET(
    r, $D252,
    startD, INDEX(Calculation!B$2:B9627, r),
    endD,   INDEX(Calculation!C$2:C9627, r),
    asOf,   MIN($A252,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370139.0411</v>
      </c>
    </row>
    <row r="253">
      <c r="A253" s="19">
        <v>42488.0</v>
      </c>
      <c r="B253" s="23">
        <v>1.0765E7</v>
      </c>
      <c r="C253" s="23">
        <f t="shared" si="1"/>
        <v>371613.6986</v>
      </c>
      <c r="D253" s="18">
        <f>IF(A253="","",MATCH(A253,Calculation!B$2:B9627,1))</f>
        <v>1</v>
      </c>
      <c r="E253" s="23">
        <f t="array" ref="E253">IF(D253="","",IF(D253=1,0,INDEX(Calculation!Q$2:Q9627,D253-1)))</f>
        <v>0</v>
      </c>
      <c r="F253" s="23">
        <f t="array" ref="F253">IF($A253="","",
  LET(
    r, $D253,
    startD, INDEX(Calculation!B$2:B9627, r),
    endD,   INDEX(Calculation!C$2:C9627, r),
    asOf,   MIN($A253,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371613.6986</v>
      </c>
    </row>
    <row r="254">
      <c r="A254" s="19">
        <v>42489.0</v>
      </c>
      <c r="B254" s="23">
        <v>1.0765E7</v>
      </c>
      <c r="C254" s="23">
        <f t="shared" si="1"/>
        <v>373088.3562</v>
      </c>
      <c r="D254" s="18">
        <f>IF(A254="","",MATCH(A254,Calculation!B$2:B9627,1))</f>
        <v>1</v>
      </c>
      <c r="E254" s="23">
        <f t="array" ref="E254">IF(D254="","",IF(D254=1,0,INDEX(Calculation!Q$2:Q9627,D254-1)))</f>
        <v>0</v>
      </c>
      <c r="F254" s="23">
        <f t="array" ref="F254">IF($A254="","",
  LET(
    r, $D254,
    startD, INDEX(Calculation!B$2:B9627, r),
    endD,   INDEX(Calculation!C$2:C9627, r),
    asOf,   MIN($A254,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373088.3562</v>
      </c>
    </row>
    <row r="255">
      <c r="A255" s="19">
        <v>42490.0</v>
      </c>
      <c r="B255" s="23">
        <v>1.0765E7</v>
      </c>
      <c r="C255" s="23">
        <f t="shared" si="1"/>
        <v>374563.0137</v>
      </c>
      <c r="D255" s="18">
        <f>IF(A255="","",MATCH(A255,Calculation!B$2:B9627,1))</f>
        <v>1</v>
      </c>
      <c r="E255" s="23">
        <f t="array" ref="E255">IF(D255="","",IF(D255=1,0,INDEX(Calculation!Q$2:Q9627,D255-1)))</f>
        <v>0</v>
      </c>
      <c r="F255" s="23">
        <f t="array" ref="F255">IF($A255="","",
  LET(
    r, $D255,
    startD, INDEX(Calculation!B$2:B9627, r),
    endD,   INDEX(Calculation!C$2:C9627, r),
    asOf,   MIN($A255,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374563.0137</v>
      </c>
    </row>
    <row r="256">
      <c r="A256" s="19">
        <v>42491.0</v>
      </c>
      <c r="B256" s="23">
        <v>1.0765E7</v>
      </c>
      <c r="C256" s="23">
        <f t="shared" si="1"/>
        <v>376037.6712</v>
      </c>
      <c r="D256" s="18">
        <f>IF(A256="","",MATCH(A256,Calculation!B$2:B9627,1))</f>
        <v>1</v>
      </c>
      <c r="E256" s="23">
        <f t="array" ref="E256">IF(D256="","",IF(D256=1,0,INDEX(Calculation!Q$2:Q9627,D256-1)))</f>
        <v>0</v>
      </c>
      <c r="F256" s="23">
        <f t="array" ref="F256">IF($A256="","",
  LET(
    r, $D256,
    startD, INDEX(Calculation!B$2:B9627, r),
    endD,   INDEX(Calculation!C$2:C9627, r),
    asOf,   MIN($A256,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376037.6712</v>
      </c>
    </row>
    <row r="257">
      <c r="A257" s="19">
        <v>42492.0</v>
      </c>
      <c r="B257" s="23">
        <v>1.0765E7</v>
      </c>
      <c r="C257" s="23">
        <f t="shared" si="1"/>
        <v>377512.3288</v>
      </c>
      <c r="D257" s="18">
        <f>IF(A257="","",MATCH(A257,Calculation!B$2:B9627,1))</f>
        <v>1</v>
      </c>
      <c r="E257" s="23">
        <f t="array" ref="E257">IF(D257="","",IF(D257=1,0,INDEX(Calculation!Q$2:Q9627,D257-1)))</f>
        <v>0</v>
      </c>
      <c r="F257" s="23">
        <f t="array" ref="F257">IF($A257="","",
  LET(
    r, $D257,
    startD, INDEX(Calculation!B$2:B9627, r),
    endD,   INDEX(Calculation!C$2:C9627, r),
    asOf,   MIN($A257,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377512.3288</v>
      </c>
    </row>
    <row r="258">
      <c r="A258" s="19">
        <v>42493.0</v>
      </c>
      <c r="B258" s="23">
        <v>1.0765E7</v>
      </c>
      <c r="C258" s="23">
        <f t="shared" si="1"/>
        <v>378986.9863</v>
      </c>
      <c r="D258" s="18">
        <f>IF(A258="","",MATCH(A258,Calculation!B$2:B9627,1))</f>
        <v>1</v>
      </c>
      <c r="E258" s="23">
        <f t="array" ref="E258">IF(D258="","",IF(D258=1,0,INDEX(Calculation!Q$2:Q9627,D258-1)))</f>
        <v>0</v>
      </c>
      <c r="F258" s="23">
        <f t="array" ref="F258">IF($A258="","",
  LET(
    r, $D258,
    startD, INDEX(Calculation!B$2:B9627, r),
    endD,   INDEX(Calculation!C$2:C9627, r),
    asOf,   MIN($A258,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378986.9863</v>
      </c>
    </row>
    <row r="259">
      <c r="A259" s="19">
        <v>42494.0</v>
      </c>
      <c r="B259" s="23">
        <v>1.0765E7</v>
      </c>
      <c r="C259" s="23">
        <f t="shared" si="1"/>
        <v>380461.6438</v>
      </c>
      <c r="D259" s="18">
        <f>IF(A259="","",MATCH(A259,Calculation!B$2:B9627,1))</f>
        <v>1</v>
      </c>
      <c r="E259" s="23">
        <f t="array" ref="E259">IF(D259="","",IF(D259=1,0,INDEX(Calculation!Q$2:Q9627,D259-1)))</f>
        <v>0</v>
      </c>
      <c r="F259" s="23">
        <f t="array" ref="F259">IF($A259="","",
  LET(
    r, $D259,
    startD, INDEX(Calculation!B$2:B9627, r),
    endD,   INDEX(Calculation!C$2:C9627, r),
    asOf,   MIN($A259,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380461.6438</v>
      </c>
    </row>
    <row r="260">
      <c r="A260" s="19">
        <v>42495.0</v>
      </c>
      <c r="B260" s="23">
        <v>1.0765E7</v>
      </c>
      <c r="C260" s="23">
        <f t="shared" si="1"/>
        <v>381936.3014</v>
      </c>
      <c r="D260" s="18">
        <f>IF(A260="","",MATCH(A260,Calculation!B$2:B9627,1))</f>
        <v>1</v>
      </c>
      <c r="E260" s="23">
        <f t="array" ref="E260">IF(D260="","",IF(D260=1,0,INDEX(Calculation!Q$2:Q9627,D260-1)))</f>
        <v>0</v>
      </c>
      <c r="F260" s="23">
        <f t="array" ref="F260">IF($A260="","",
  LET(
    r, $D260,
    startD, INDEX(Calculation!B$2:B9627, r),
    endD,   INDEX(Calculation!C$2:C9627, r),
    asOf,   MIN($A260,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381936.3014</v>
      </c>
    </row>
    <row r="261">
      <c r="A261" s="19">
        <v>42496.0</v>
      </c>
      <c r="B261" s="23">
        <v>1.0765E7</v>
      </c>
      <c r="C261" s="23">
        <f t="shared" si="1"/>
        <v>383410.9589</v>
      </c>
      <c r="D261" s="18">
        <f>IF(A261="","",MATCH(A261,Calculation!B$2:B9627,1))</f>
        <v>1</v>
      </c>
      <c r="E261" s="23">
        <f t="array" ref="E261">IF(D261="","",IF(D261=1,0,INDEX(Calculation!Q$2:Q9627,D261-1)))</f>
        <v>0</v>
      </c>
      <c r="F261" s="23">
        <f t="array" ref="F261">IF($A261="","",
  LET(
    r, $D261,
    startD, INDEX(Calculation!B$2:B9627, r),
    endD,   INDEX(Calculation!C$2:C9627, r),
    asOf,   MIN($A261,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383410.9589</v>
      </c>
    </row>
    <row r="262">
      <c r="A262" s="19">
        <v>42497.0</v>
      </c>
      <c r="B262" s="23">
        <v>1.0765E7</v>
      </c>
      <c r="C262" s="23">
        <f t="shared" si="1"/>
        <v>384885.6164</v>
      </c>
      <c r="D262" s="18">
        <f>IF(A262="","",MATCH(A262,Calculation!B$2:B9627,1))</f>
        <v>1</v>
      </c>
      <c r="E262" s="23">
        <f t="array" ref="E262">IF(D262="","",IF(D262=1,0,INDEX(Calculation!Q$2:Q9627,D262-1)))</f>
        <v>0</v>
      </c>
      <c r="F262" s="23">
        <f t="array" ref="F262">IF($A262="","",
  LET(
    r, $D262,
    startD, INDEX(Calculation!B$2:B9627, r),
    endD,   INDEX(Calculation!C$2:C9627, r),
    asOf,   MIN($A262,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384885.6164</v>
      </c>
    </row>
    <row r="263">
      <c r="A263" s="19">
        <v>42498.0</v>
      </c>
      <c r="B263" s="23">
        <v>1.0765E7</v>
      </c>
      <c r="C263" s="23">
        <f t="shared" si="1"/>
        <v>386360.274</v>
      </c>
      <c r="D263" s="18">
        <f>IF(A263="","",MATCH(A263,Calculation!B$2:B9627,1))</f>
        <v>1</v>
      </c>
      <c r="E263" s="23">
        <f t="array" ref="E263">IF(D263="","",IF(D263=1,0,INDEX(Calculation!Q$2:Q9627,D263-1)))</f>
        <v>0</v>
      </c>
      <c r="F263" s="23">
        <f t="array" ref="F263">IF($A263="","",
  LET(
    r, $D263,
    startD, INDEX(Calculation!B$2:B9627, r),
    endD,   INDEX(Calculation!C$2:C9627, r),
    asOf,   MIN($A263,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386360.274</v>
      </c>
    </row>
    <row r="264">
      <c r="A264" s="19">
        <v>42499.0</v>
      </c>
      <c r="B264" s="23">
        <v>1.0765E7</v>
      </c>
      <c r="C264" s="23">
        <f t="shared" si="1"/>
        <v>387834.9315</v>
      </c>
      <c r="D264" s="18">
        <f>IF(A264="","",MATCH(A264,Calculation!B$2:B9627,1))</f>
        <v>1</v>
      </c>
      <c r="E264" s="23">
        <f t="array" ref="E264">IF(D264="","",IF(D264=1,0,INDEX(Calculation!Q$2:Q9627,D264-1)))</f>
        <v>0</v>
      </c>
      <c r="F264" s="23">
        <f t="array" ref="F264">IF($A264="","",
  LET(
    r, $D264,
    startD, INDEX(Calculation!B$2:B9627, r),
    endD,   INDEX(Calculation!C$2:C9627, r),
    asOf,   MIN($A264,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387834.9315</v>
      </c>
    </row>
    <row r="265">
      <c r="A265" s="19">
        <v>42500.0</v>
      </c>
      <c r="B265" s="23">
        <v>1.0765E7</v>
      </c>
      <c r="C265" s="23">
        <f t="shared" si="1"/>
        <v>389309.589</v>
      </c>
      <c r="D265" s="18">
        <f>IF(A265="","",MATCH(A265,Calculation!B$2:B9627,1))</f>
        <v>1</v>
      </c>
      <c r="E265" s="23">
        <f t="array" ref="E265">IF(D265="","",IF(D265=1,0,INDEX(Calculation!Q$2:Q9627,D265-1)))</f>
        <v>0</v>
      </c>
      <c r="F265" s="23">
        <f t="array" ref="F265">IF($A265="","",
  LET(
    r, $D265,
    startD, INDEX(Calculation!B$2:B9627, r),
    endD,   INDEX(Calculation!C$2:C9627, r),
    asOf,   MIN($A265,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389309.589</v>
      </c>
    </row>
    <row r="266">
      <c r="A266" s="19">
        <v>42501.0</v>
      </c>
      <c r="B266" s="23">
        <v>1.0765E7</v>
      </c>
      <c r="C266" s="23">
        <f t="shared" si="1"/>
        <v>390784.2466</v>
      </c>
      <c r="D266" s="18">
        <f>IF(A266="","",MATCH(A266,Calculation!B$2:B9627,1))</f>
        <v>1</v>
      </c>
      <c r="E266" s="23">
        <f t="array" ref="E266">IF(D266="","",IF(D266=1,0,INDEX(Calculation!Q$2:Q9627,D266-1)))</f>
        <v>0</v>
      </c>
      <c r="F266" s="23">
        <f t="array" ref="F266">IF($A266="","",
  LET(
    r, $D266,
    startD, INDEX(Calculation!B$2:B9627, r),
    endD,   INDEX(Calculation!C$2:C9627, r),
    asOf,   MIN($A266,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390784.2466</v>
      </c>
    </row>
    <row r="267">
      <c r="A267" s="19">
        <v>42502.0</v>
      </c>
      <c r="B267" s="23">
        <v>1.0765E7</v>
      </c>
      <c r="C267" s="23">
        <f t="shared" si="1"/>
        <v>392258.9041</v>
      </c>
      <c r="D267" s="18">
        <f>IF(A267="","",MATCH(A267,Calculation!B$2:B9627,1))</f>
        <v>1</v>
      </c>
      <c r="E267" s="23">
        <f t="array" ref="E267">IF(D267="","",IF(D267=1,0,INDEX(Calculation!Q$2:Q9627,D267-1)))</f>
        <v>0</v>
      </c>
      <c r="F267" s="23">
        <f t="array" ref="F267">IF($A267="","",
  LET(
    r, $D267,
    startD, INDEX(Calculation!B$2:B9627, r),
    endD,   INDEX(Calculation!C$2:C9627, r),
    asOf,   MIN($A267,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392258.9041</v>
      </c>
    </row>
    <row r="268">
      <c r="A268" s="19">
        <v>42503.0</v>
      </c>
      <c r="B268" s="23">
        <v>1.0765E7</v>
      </c>
      <c r="C268" s="23">
        <f t="shared" si="1"/>
        <v>393733.5616</v>
      </c>
      <c r="D268" s="18">
        <f>IF(A268="","",MATCH(A268,Calculation!B$2:B9627,1))</f>
        <v>1</v>
      </c>
      <c r="E268" s="23">
        <f t="array" ref="E268">IF(D268="","",IF(D268=1,0,INDEX(Calculation!Q$2:Q9627,D268-1)))</f>
        <v>0</v>
      </c>
      <c r="F268" s="23">
        <f t="array" ref="F268">IF($A268="","",
  LET(
    r, $D268,
    startD, INDEX(Calculation!B$2:B9627, r),
    endD,   INDEX(Calculation!C$2:C9627, r),
    asOf,   MIN($A268,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393733.5616</v>
      </c>
    </row>
    <row r="269">
      <c r="A269" s="19">
        <v>42504.0</v>
      </c>
      <c r="B269" s="23">
        <v>1.0765E7</v>
      </c>
      <c r="C269" s="23">
        <f t="shared" si="1"/>
        <v>395208.2192</v>
      </c>
      <c r="D269" s="18">
        <f>IF(A269="","",MATCH(A269,Calculation!B$2:B9627,1))</f>
        <v>1</v>
      </c>
      <c r="E269" s="23">
        <f t="array" ref="E269">IF(D269="","",IF(D269=1,0,INDEX(Calculation!Q$2:Q9627,D269-1)))</f>
        <v>0</v>
      </c>
      <c r="F269" s="23">
        <f t="array" ref="F269">IF($A269="","",
  LET(
    r, $D269,
    startD, INDEX(Calculation!B$2:B9627, r),
    endD,   INDEX(Calculation!C$2:C9627, r),
    asOf,   MIN($A269,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395208.2192</v>
      </c>
    </row>
    <row r="270">
      <c r="A270" s="19">
        <v>42505.0</v>
      </c>
      <c r="B270" s="23">
        <v>1.0765E7</v>
      </c>
      <c r="C270" s="23">
        <f t="shared" si="1"/>
        <v>396682.8767</v>
      </c>
      <c r="D270" s="18">
        <f>IF(A270="","",MATCH(A270,Calculation!B$2:B9627,1))</f>
        <v>1</v>
      </c>
      <c r="E270" s="23">
        <f t="array" ref="E270">IF(D270="","",IF(D270=1,0,INDEX(Calculation!Q$2:Q9627,D270-1)))</f>
        <v>0</v>
      </c>
      <c r="F270" s="23">
        <f t="array" ref="F270">IF($A270="","",
  LET(
    r, $D270,
    startD, INDEX(Calculation!B$2:B9627, r),
    endD,   INDEX(Calculation!C$2:C9627, r),
    asOf,   MIN($A270,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396682.8767</v>
      </c>
    </row>
    <row r="271">
      <c r="A271" s="19">
        <v>42506.0</v>
      </c>
      <c r="B271" s="23">
        <v>1.0765E7</v>
      </c>
      <c r="C271" s="23">
        <f t="shared" si="1"/>
        <v>398157.5342</v>
      </c>
      <c r="D271" s="18">
        <f>IF(A271="","",MATCH(A271,Calculation!B$2:B9627,1))</f>
        <v>1</v>
      </c>
      <c r="E271" s="23">
        <f t="array" ref="E271">IF(D271="","",IF(D271=1,0,INDEX(Calculation!Q$2:Q9627,D271-1)))</f>
        <v>0</v>
      </c>
      <c r="F271" s="23">
        <f t="array" ref="F271">IF($A271="","",
  LET(
    r, $D271,
    startD, INDEX(Calculation!B$2:B9627, r),
    endD,   INDEX(Calculation!C$2:C9627, r),
    asOf,   MIN($A271,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398157.5342</v>
      </c>
    </row>
    <row r="272">
      <c r="A272" s="19">
        <v>42507.0</v>
      </c>
      <c r="B272" s="23">
        <v>1.0765E7</v>
      </c>
      <c r="C272" s="23">
        <f t="shared" si="1"/>
        <v>399632.1918</v>
      </c>
      <c r="D272" s="18">
        <f>IF(A272="","",MATCH(A272,Calculation!B$2:B9627,1))</f>
        <v>1</v>
      </c>
      <c r="E272" s="23">
        <f t="array" ref="E272">IF(D272="","",IF(D272=1,0,INDEX(Calculation!Q$2:Q9627,D272-1)))</f>
        <v>0</v>
      </c>
      <c r="F272" s="23">
        <f t="array" ref="F272">IF($A272="","",
  LET(
    r, $D272,
    startD, INDEX(Calculation!B$2:B9627, r),
    endD,   INDEX(Calculation!C$2:C9627, r),
    asOf,   MIN($A272,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399632.1918</v>
      </c>
    </row>
    <row r="273">
      <c r="A273" s="19">
        <v>42508.0</v>
      </c>
      <c r="B273" s="23">
        <v>1.0765E7</v>
      </c>
      <c r="C273" s="23">
        <f t="shared" si="1"/>
        <v>401106.8493</v>
      </c>
      <c r="D273" s="18">
        <f>IF(A273="","",MATCH(A273,Calculation!B$2:B9627,1))</f>
        <v>1</v>
      </c>
      <c r="E273" s="23">
        <f t="array" ref="E273">IF(D273="","",IF(D273=1,0,INDEX(Calculation!Q$2:Q9627,D273-1)))</f>
        <v>0</v>
      </c>
      <c r="F273" s="23">
        <f t="array" ref="F273">IF($A273="","",
  LET(
    r, $D273,
    startD, INDEX(Calculation!B$2:B9627, r),
    endD,   INDEX(Calculation!C$2:C9627, r),
    asOf,   MIN($A273,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401106.8493</v>
      </c>
    </row>
    <row r="274">
      <c r="A274" s="19">
        <v>42509.0</v>
      </c>
      <c r="B274" s="23">
        <v>1.0765E7</v>
      </c>
      <c r="C274" s="23">
        <f t="shared" si="1"/>
        <v>402581.5068</v>
      </c>
      <c r="D274" s="18">
        <f>IF(A274="","",MATCH(A274,Calculation!B$2:B9627,1))</f>
        <v>1</v>
      </c>
      <c r="E274" s="23">
        <f t="array" ref="E274">IF(D274="","",IF(D274=1,0,INDEX(Calculation!Q$2:Q9627,D274-1)))</f>
        <v>0</v>
      </c>
      <c r="F274" s="23">
        <f t="array" ref="F274">IF($A274="","",
  LET(
    r, $D274,
    startD, INDEX(Calculation!B$2:B9627, r),
    endD,   INDEX(Calculation!C$2:C9627, r),
    asOf,   MIN($A274,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402581.5068</v>
      </c>
    </row>
    <row r="275">
      <c r="A275" s="19">
        <v>42510.0</v>
      </c>
      <c r="B275" s="23">
        <v>1.0765E7</v>
      </c>
      <c r="C275" s="23">
        <f t="shared" si="1"/>
        <v>404056.1644</v>
      </c>
      <c r="D275" s="18">
        <f>IF(A275="","",MATCH(A275,Calculation!B$2:B9627,1))</f>
        <v>1</v>
      </c>
      <c r="E275" s="23">
        <f t="array" ref="E275">IF(D275="","",IF(D275=1,0,INDEX(Calculation!Q$2:Q9627,D275-1)))</f>
        <v>0</v>
      </c>
      <c r="F275" s="23">
        <f t="array" ref="F275">IF($A275="","",
  LET(
    r, $D275,
    startD, INDEX(Calculation!B$2:B9627, r),
    endD,   INDEX(Calculation!C$2:C9627, r),
    asOf,   MIN($A275,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404056.1644</v>
      </c>
    </row>
    <row r="276">
      <c r="A276" s="19">
        <v>42511.0</v>
      </c>
      <c r="B276" s="23">
        <v>1.0765E7</v>
      </c>
      <c r="C276" s="23">
        <f t="shared" si="1"/>
        <v>405530.8219</v>
      </c>
      <c r="D276" s="18">
        <f>IF(A276="","",MATCH(A276,Calculation!B$2:B9627,1))</f>
        <v>1</v>
      </c>
      <c r="E276" s="23">
        <f t="array" ref="E276">IF(D276="","",IF(D276=1,0,INDEX(Calculation!Q$2:Q9627,D276-1)))</f>
        <v>0</v>
      </c>
      <c r="F276" s="23">
        <f t="array" ref="F276">IF($A276="","",
  LET(
    r, $D276,
    startD, INDEX(Calculation!B$2:B9627, r),
    endD,   INDEX(Calculation!C$2:C9627, r),
    asOf,   MIN($A276,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405530.8219</v>
      </c>
    </row>
    <row r="277">
      <c r="A277" s="19">
        <v>42512.0</v>
      </c>
      <c r="B277" s="23">
        <v>1.0765E7</v>
      </c>
      <c r="C277" s="23">
        <f t="shared" si="1"/>
        <v>407005.4795</v>
      </c>
      <c r="D277" s="18">
        <f>IF(A277="","",MATCH(A277,Calculation!B$2:B9627,1))</f>
        <v>1</v>
      </c>
      <c r="E277" s="23">
        <f t="array" ref="E277">IF(D277="","",IF(D277=1,0,INDEX(Calculation!Q$2:Q9627,D277-1)))</f>
        <v>0</v>
      </c>
      <c r="F277" s="23">
        <f t="array" ref="F277">IF($A277="","",
  LET(
    r, $D277,
    startD, INDEX(Calculation!B$2:B9627, r),
    endD,   INDEX(Calculation!C$2:C9627, r),
    asOf,   MIN($A277,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407005.4795</v>
      </c>
    </row>
    <row r="278">
      <c r="A278" s="19">
        <v>42513.0</v>
      </c>
      <c r="B278" s="23">
        <v>1.0765E7</v>
      </c>
      <c r="C278" s="23">
        <f t="shared" si="1"/>
        <v>408480.137</v>
      </c>
      <c r="D278" s="18">
        <f>IF(A278="","",MATCH(A278,Calculation!B$2:B9627,1))</f>
        <v>1</v>
      </c>
      <c r="E278" s="23">
        <f t="array" ref="E278">IF(D278="","",IF(D278=1,0,INDEX(Calculation!Q$2:Q9627,D278-1)))</f>
        <v>0</v>
      </c>
      <c r="F278" s="23">
        <f t="array" ref="F278">IF($A278="","",
  LET(
    r, $D278,
    startD, INDEX(Calculation!B$2:B9627, r),
    endD,   INDEX(Calculation!C$2:C9627, r),
    asOf,   MIN($A278,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408480.137</v>
      </c>
    </row>
    <row r="279">
      <c r="A279" s="19">
        <v>42514.0</v>
      </c>
      <c r="B279" s="23">
        <v>1.0765E7</v>
      </c>
      <c r="C279" s="23">
        <f t="shared" si="1"/>
        <v>409954.7945</v>
      </c>
      <c r="D279" s="18">
        <f>IF(A279="","",MATCH(A279,Calculation!B$2:B9627,1))</f>
        <v>1</v>
      </c>
      <c r="E279" s="23">
        <f t="array" ref="E279">IF(D279="","",IF(D279=1,0,INDEX(Calculation!Q$2:Q9627,D279-1)))</f>
        <v>0</v>
      </c>
      <c r="F279" s="23">
        <f t="array" ref="F279">IF($A279="","",
  LET(
    r, $D279,
    startD, INDEX(Calculation!B$2:B9627, r),
    endD,   INDEX(Calculation!C$2:C9627, r),
    asOf,   MIN($A279,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409954.7945</v>
      </c>
    </row>
    <row r="280">
      <c r="A280" s="19">
        <v>42515.0</v>
      </c>
      <c r="B280" s="23">
        <v>1.0765E7</v>
      </c>
      <c r="C280" s="23">
        <f t="shared" si="1"/>
        <v>411429.4521</v>
      </c>
      <c r="D280" s="18">
        <f>IF(A280="","",MATCH(A280,Calculation!B$2:B9627,1))</f>
        <v>1</v>
      </c>
      <c r="E280" s="23">
        <f t="array" ref="E280">IF(D280="","",IF(D280=1,0,INDEX(Calculation!Q$2:Q9627,D280-1)))</f>
        <v>0</v>
      </c>
      <c r="F280" s="23">
        <f t="array" ref="F280">IF($A280="","",
  LET(
    r, $D280,
    startD, INDEX(Calculation!B$2:B9627, r),
    endD,   INDEX(Calculation!C$2:C9627, r),
    asOf,   MIN($A280,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411429.4521</v>
      </c>
    </row>
    <row r="281">
      <c r="A281" s="19">
        <v>42516.0</v>
      </c>
      <c r="B281" s="23">
        <v>1.0765E7</v>
      </c>
      <c r="C281" s="23">
        <f t="shared" si="1"/>
        <v>412904.1096</v>
      </c>
      <c r="D281" s="18">
        <f>IF(A281="","",MATCH(A281,Calculation!B$2:B9627,1))</f>
        <v>1</v>
      </c>
      <c r="E281" s="23">
        <f t="array" ref="E281">IF(D281="","",IF(D281=1,0,INDEX(Calculation!Q$2:Q9627,D281-1)))</f>
        <v>0</v>
      </c>
      <c r="F281" s="23">
        <f t="array" ref="F281">IF($A281="","",
  LET(
    r, $D281,
    startD, INDEX(Calculation!B$2:B9627, r),
    endD,   INDEX(Calculation!C$2:C9627, r),
    asOf,   MIN($A281,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412904.1096</v>
      </c>
    </row>
    <row r="282">
      <c r="A282" s="19">
        <v>42517.0</v>
      </c>
      <c r="B282" s="23">
        <v>1.0765E7</v>
      </c>
      <c r="C282" s="23">
        <f t="shared" si="1"/>
        <v>414378.7671</v>
      </c>
      <c r="D282" s="18">
        <f>IF(A282="","",MATCH(A282,Calculation!B$2:B9627,1))</f>
        <v>1</v>
      </c>
      <c r="E282" s="23">
        <f t="array" ref="E282">IF(D282="","",IF(D282=1,0,INDEX(Calculation!Q$2:Q9627,D282-1)))</f>
        <v>0</v>
      </c>
      <c r="F282" s="23">
        <f t="array" ref="F282">IF($A282="","",
  LET(
    r, $D282,
    startD, INDEX(Calculation!B$2:B9627, r),
    endD,   INDEX(Calculation!C$2:C9627, r),
    asOf,   MIN($A282,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414378.7671</v>
      </c>
    </row>
    <row r="283">
      <c r="A283" s="19">
        <v>42518.0</v>
      </c>
      <c r="B283" s="23">
        <v>1.0765E7</v>
      </c>
      <c r="C283" s="23">
        <f t="shared" si="1"/>
        <v>415853.4247</v>
      </c>
      <c r="D283" s="18">
        <f>IF(A283="","",MATCH(A283,Calculation!B$2:B9627,1))</f>
        <v>1</v>
      </c>
      <c r="E283" s="23">
        <f t="array" ref="E283">IF(D283="","",IF(D283=1,0,INDEX(Calculation!Q$2:Q9627,D283-1)))</f>
        <v>0</v>
      </c>
      <c r="F283" s="23">
        <f t="array" ref="F283">IF($A283="","",
  LET(
    r, $D283,
    startD, INDEX(Calculation!B$2:B9627, r),
    endD,   INDEX(Calculation!C$2:C9627, r),
    asOf,   MIN($A283,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415853.4247</v>
      </c>
    </row>
    <row r="284">
      <c r="A284" s="19">
        <v>42519.0</v>
      </c>
      <c r="B284" s="23">
        <v>1.0765E7</v>
      </c>
      <c r="C284" s="23">
        <f t="shared" si="1"/>
        <v>417328.0822</v>
      </c>
      <c r="D284" s="18">
        <f>IF(A284="","",MATCH(A284,Calculation!B$2:B9627,1))</f>
        <v>1</v>
      </c>
      <c r="E284" s="23">
        <f t="array" ref="E284">IF(D284="","",IF(D284=1,0,INDEX(Calculation!Q$2:Q9627,D284-1)))</f>
        <v>0</v>
      </c>
      <c r="F284" s="23">
        <f t="array" ref="F284">IF($A284="","",
  LET(
    r, $D284,
    startD, INDEX(Calculation!B$2:B9627, r),
    endD,   INDEX(Calculation!C$2:C9627, r),
    asOf,   MIN($A284,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417328.0822</v>
      </c>
    </row>
    <row r="285">
      <c r="A285" s="19">
        <v>42520.0</v>
      </c>
      <c r="B285" s="23">
        <v>1.0765E7</v>
      </c>
      <c r="C285" s="23">
        <f t="shared" si="1"/>
        <v>418802.7397</v>
      </c>
      <c r="D285" s="18">
        <f>IF(A285="","",MATCH(A285,Calculation!B$2:B9627,1))</f>
        <v>1</v>
      </c>
      <c r="E285" s="23">
        <f t="array" ref="E285">IF(D285="","",IF(D285=1,0,INDEX(Calculation!Q$2:Q9627,D285-1)))</f>
        <v>0</v>
      </c>
      <c r="F285" s="23">
        <f t="array" ref="F285">IF($A285="","",
  LET(
    r, $D285,
    startD, INDEX(Calculation!B$2:B9627, r),
    endD,   INDEX(Calculation!C$2:C9627, r),
    asOf,   MIN($A285,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418802.7397</v>
      </c>
    </row>
    <row r="286">
      <c r="A286" s="19">
        <v>42521.0</v>
      </c>
      <c r="B286" s="23">
        <v>1.0765E7</v>
      </c>
      <c r="C286" s="23">
        <f t="shared" si="1"/>
        <v>420277.3973</v>
      </c>
      <c r="D286" s="18">
        <f>IF(A286="","",MATCH(A286,Calculation!B$2:B9627,1))</f>
        <v>1</v>
      </c>
      <c r="E286" s="23">
        <f t="array" ref="E286">IF(D286="","",IF(D286=1,0,INDEX(Calculation!Q$2:Q9627,D286-1)))</f>
        <v>0</v>
      </c>
      <c r="F286" s="23">
        <f t="array" ref="F286">IF($A286="","",
  LET(
    r, $D286,
    startD, INDEX(Calculation!B$2:B9627, r),
    endD,   INDEX(Calculation!C$2:C9627, r),
    asOf,   MIN($A286,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420277.3973</v>
      </c>
    </row>
    <row r="287">
      <c r="A287" s="19">
        <v>42522.0</v>
      </c>
      <c r="B287" s="23">
        <v>1.0765E7</v>
      </c>
      <c r="C287" s="23">
        <f t="shared" si="1"/>
        <v>421752.0548</v>
      </c>
      <c r="D287" s="18">
        <f>IF(A287="","",MATCH(A287,Calculation!B$2:B9627,1))</f>
        <v>1</v>
      </c>
      <c r="E287" s="23">
        <f t="array" ref="E287">IF(D287="","",IF(D287=1,0,INDEX(Calculation!Q$2:Q9627,D287-1)))</f>
        <v>0</v>
      </c>
      <c r="F287" s="23">
        <f t="array" ref="F287">IF($A287="","",
  LET(
    r, $D287,
    startD, INDEX(Calculation!B$2:B9627, r),
    endD,   INDEX(Calculation!C$2:C9627, r),
    asOf,   MIN($A287,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421752.0548</v>
      </c>
    </row>
    <row r="288">
      <c r="A288" s="19">
        <v>42523.0</v>
      </c>
      <c r="B288" s="23">
        <v>1.0765E7</v>
      </c>
      <c r="C288" s="23">
        <f t="shared" si="1"/>
        <v>423226.7123</v>
      </c>
      <c r="D288" s="18">
        <f>IF(A288="","",MATCH(A288,Calculation!B$2:B9627,1))</f>
        <v>1</v>
      </c>
      <c r="E288" s="23">
        <f t="array" ref="E288">IF(D288="","",IF(D288=1,0,INDEX(Calculation!Q$2:Q9627,D288-1)))</f>
        <v>0</v>
      </c>
      <c r="F288" s="23">
        <f t="array" ref="F288">IF($A288="","",
  LET(
    r, $D288,
    startD, INDEX(Calculation!B$2:B9627, r),
    endD,   INDEX(Calculation!C$2:C9627, r),
    asOf,   MIN($A288,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423226.7123</v>
      </c>
    </row>
    <row r="289">
      <c r="A289" s="19">
        <v>42524.0</v>
      </c>
      <c r="B289" s="23">
        <v>1.0765E7</v>
      </c>
      <c r="C289" s="23">
        <f t="shared" si="1"/>
        <v>424701.3699</v>
      </c>
      <c r="D289" s="18">
        <f>IF(A289="","",MATCH(A289,Calculation!B$2:B9627,1))</f>
        <v>1</v>
      </c>
      <c r="E289" s="23">
        <f t="array" ref="E289">IF(D289="","",IF(D289=1,0,INDEX(Calculation!Q$2:Q9627,D289-1)))</f>
        <v>0</v>
      </c>
      <c r="F289" s="23">
        <f t="array" ref="F289">IF($A289="","",
  LET(
    r, $D289,
    startD, INDEX(Calculation!B$2:B9627, r),
    endD,   INDEX(Calculation!C$2:C9627, r),
    asOf,   MIN($A289,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424701.3699</v>
      </c>
    </row>
    <row r="290">
      <c r="A290" s="19">
        <v>42525.0</v>
      </c>
      <c r="B290" s="23">
        <v>1.0765E7</v>
      </c>
      <c r="C290" s="23">
        <f t="shared" si="1"/>
        <v>426176.0274</v>
      </c>
      <c r="D290" s="18">
        <f>IF(A290="","",MATCH(A290,Calculation!B$2:B9627,1))</f>
        <v>1</v>
      </c>
      <c r="E290" s="23">
        <f t="array" ref="E290">IF(D290="","",IF(D290=1,0,INDEX(Calculation!Q$2:Q9627,D290-1)))</f>
        <v>0</v>
      </c>
      <c r="F290" s="23">
        <f t="array" ref="F290">IF($A290="","",
  LET(
    r, $D290,
    startD, INDEX(Calculation!B$2:B9627, r),
    endD,   INDEX(Calculation!C$2:C9627, r),
    asOf,   MIN($A290,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426176.0274</v>
      </c>
    </row>
    <row r="291">
      <c r="A291" s="19">
        <v>42526.0</v>
      </c>
      <c r="B291" s="23">
        <v>1.0765E7</v>
      </c>
      <c r="C291" s="23">
        <f t="shared" si="1"/>
        <v>427650.6849</v>
      </c>
      <c r="D291" s="18">
        <f>IF(A291="","",MATCH(A291,Calculation!B$2:B9627,1))</f>
        <v>1</v>
      </c>
      <c r="E291" s="23">
        <f t="array" ref="E291">IF(D291="","",IF(D291=1,0,INDEX(Calculation!Q$2:Q9627,D291-1)))</f>
        <v>0</v>
      </c>
      <c r="F291" s="23">
        <f t="array" ref="F291">IF($A291="","",
  LET(
    r, $D291,
    startD, INDEX(Calculation!B$2:B9627, r),
    endD,   INDEX(Calculation!C$2:C9627, r),
    asOf,   MIN($A291,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427650.6849</v>
      </c>
    </row>
    <row r="292">
      <c r="A292" s="19">
        <v>42527.0</v>
      </c>
      <c r="B292" s="23">
        <v>1.0765E7</v>
      </c>
      <c r="C292" s="23">
        <f t="shared" si="1"/>
        <v>429125.3425</v>
      </c>
      <c r="D292" s="18">
        <f>IF(A292="","",MATCH(A292,Calculation!B$2:B9627,1))</f>
        <v>1</v>
      </c>
      <c r="E292" s="23">
        <f t="array" ref="E292">IF(D292="","",IF(D292=1,0,INDEX(Calculation!Q$2:Q9627,D292-1)))</f>
        <v>0</v>
      </c>
      <c r="F292" s="23">
        <f t="array" ref="F292">IF($A292="","",
  LET(
    r, $D292,
    startD, INDEX(Calculation!B$2:B9627, r),
    endD,   INDEX(Calculation!C$2:C9627, r),
    asOf,   MIN($A292,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429125.3425</v>
      </c>
    </row>
    <row r="293">
      <c r="A293" s="19">
        <v>42528.0</v>
      </c>
      <c r="B293" s="23">
        <v>1.0765E7</v>
      </c>
      <c r="C293" s="23">
        <f t="shared" si="1"/>
        <v>430600</v>
      </c>
      <c r="D293" s="18">
        <f>IF(A293="","",MATCH(A293,Calculation!B$2:B9627,1))</f>
        <v>1</v>
      </c>
      <c r="E293" s="23">
        <f t="array" ref="E293">IF(D293="","",IF(D293=1,0,INDEX(Calculation!Q$2:Q9627,D293-1)))</f>
        <v>0</v>
      </c>
      <c r="F293" s="23">
        <f t="array" ref="F293">IF($A293="","",
  LET(
    r, $D293,
    startD, INDEX(Calculation!B$2:B9627, r),
    endD,   INDEX(Calculation!C$2:C9627, r),
    asOf,   MIN($A293,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430600</v>
      </c>
    </row>
    <row r="294">
      <c r="A294" s="19">
        <v>42529.0</v>
      </c>
      <c r="B294" s="23">
        <v>1.0765E7</v>
      </c>
      <c r="C294" s="23">
        <f t="shared" si="1"/>
        <v>432074.6575</v>
      </c>
      <c r="D294" s="18">
        <f>IF(A294="","",MATCH(A294,Calculation!B$2:B9627,1))</f>
        <v>1</v>
      </c>
      <c r="E294" s="23">
        <f t="array" ref="E294">IF(D294="","",IF(D294=1,0,INDEX(Calculation!Q$2:Q9627,D294-1)))</f>
        <v>0</v>
      </c>
      <c r="F294" s="23">
        <f t="array" ref="F294">IF($A294="","",
  LET(
    r, $D294,
    startD, INDEX(Calculation!B$2:B9627, r),
    endD,   INDEX(Calculation!C$2:C9627, r),
    asOf,   MIN($A294,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432074.6575</v>
      </c>
    </row>
    <row r="295">
      <c r="A295" s="19">
        <v>42530.0</v>
      </c>
      <c r="B295" s="23">
        <v>1.0765E7</v>
      </c>
      <c r="C295" s="23">
        <f t="shared" si="1"/>
        <v>433549.3151</v>
      </c>
      <c r="D295" s="18">
        <f>IF(A295="","",MATCH(A295,Calculation!B$2:B9627,1))</f>
        <v>1</v>
      </c>
      <c r="E295" s="23">
        <f t="array" ref="E295">IF(D295="","",IF(D295=1,0,INDEX(Calculation!Q$2:Q9627,D295-1)))</f>
        <v>0</v>
      </c>
      <c r="F295" s="23">
        <f t="array" ref="F295">IF($A295="","",
  LET(
    r, $D295,
    startD, INDEX(Calculation!B$2:B9627, r),
    endD,   INDEX(Calculation!C$2:C9627, r),
    asOf,   MIN($A295,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433549.3151</v>
      </c>
    </row>
    <row r="296">
      <c r="A296" s="19">
        <v>42531.0</v>
      </c>
      <c r="B296" s="23">
        <v>1.0765E7</v>
      </c>
      <c r="C296" s="23">
        <f t="shared" si="1"/>
        <v>435023.9726</v>
      </c>
      <c r="D296" s="18">
        <f>IF(A296="","",MATCH(A296,Calculation!B$2:B9627,1))</f>
        <v>1</v>
      </c>
      <c r="E296" s="23">
        <f t="array" ref="E296">IF(D296="","",IF(D296=1,0,INDEX(Calculation!Q$2:Q9627,D296-1)))</f>
        <v>0</v>
      </c>
      <c r="F296" s="23">
        <f t="array" ref="F296">IF($A296="","",
  LET(
    r, $D296,
    startD, INDEX(Calculation!B$2:B9627, r),
    endD,   INDEX(Calculation!C$2:C9627, r),
    asOf,   MIN($A296,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435023.9726</v>
      </c>
    </row>
    <row r="297">
      <c r="A297" s="19">
        <v>42532.0</v>
      </c>
      <c r="B297" s="23">
        <v>1.0765E7</v>
      </c>
      <c r="C297" s="23">
        <f t="shared" si="1"/>
        <v>436498.6301</v>
      </c>
      <c r="D297" s="18">
        <f>IF(A297="","",MATCH(A297,Calculation!B$2:B9627,1))</f>
        <v>1</v>
      </c>
      <c r="E297" s="23">
        <f t="array" ref="E297">IF(D297="","",IF(D297=1,0,INDEX(Calculation!Q$2:Q9627,D297-1)))</f>
        <v>0</v>
      </c>
      <c r="F297" s="23">
        <f t="array" ref="F297">IF($A297="","",
  LET(
    r, $D297,
    startD, INDEX(Calculation!B$2:B9627, r),
    endD,   INDEX(Calculation!C$2:C9627, r),
    asOf,   MIN($A297,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436498.6301</v>
      </c>
    </row>
    <row r="298">
      <c r="A298" s="19">
        <v>42533.0</v>
      </c>
      <c r="B298" s="23">
        <v>1.0765E7</v>
      </c>
      <c r="C298" s="23">
        <f t="shared" si="1"/>
        <v>437973.2877</v>
      </c>
      <c r="D298" s="18">
        <f>IF(A298="","",MATCH(A298,Calculation!B$2:B9627,1))</f>
        <v>1</v>
      </c>
      <c r="E298" s="23">
        <f t="array" ref="E298">IF(D298="","",IF(D298=1,0,INDEX(Calculation!Q$2:Q9627,D298-1)))</f>
        <v>0</v>
      </c>
      <c r="F298" s="23">
        <f t="array" ref="F298">IF($A298="","",
  LET(
    r, $D298,
    startD, INDEX(Calculation!B$2:B9627, r),
    endD,   INDEX(Calculation!C$2:C9627, r),
    asOf,   MIN($A298,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437973.2877</v>
      </c>
    </row>
    <row r="299">
      <c r="A299" s="19">
        <v>42534.0</v>
      </c>
      <c r="B299" s="23">
        <v>1.0765E7</v>
      </c>
      <c r="C299" s="23">
        <f t="shared" si="1"/>
        <v>439447.9452</v>
      </c>
      <c r="D299" s="18">
        <f>IF(A299="","",MATCH(A299,Calculation!B$2:B9627,1))</f>
        <v>1</v>
      </c>
      <c r="E299" s="23">
        <f t="array" ref="E299">IF(D299="","",IF(D299=1,0,INDEX(Calculation!Q$2:Q9627,D299-1)))</f>
        <v>0</v>
      </c>
      <c r="F299" s="23">
        <f t="array" ref="F299">IF($A299="","",
  LET(
    r, $D299,
    startD, INDEX(Calculation!B$2:B9627, r),
    endD,   INDEX(Calculation!C$2:C9627, r),
    asOf,   MIN($A299,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439447.9452</v>
      </c>
    </row>
    <row r="300">
      <c r="A300" s="19">
        <v>42535.0</v>
      </c>
      <c r="B300" s="23">
        <v>1.0765E7</v>
      </c>
      <c r="C300" s="23">
        <f t="shared" si="1"/>
        <v>440922.6027</v>
      </c>
      <c r="D300" s="18">
        <f>IF(A300="","",MATCH(A300,Calculation!B$2:B9627,1))</f>
        <v>1</v>
      </c>
      <c r="E300" s="23">
        <f t="array" ref="E300">IF(D300="","",IF(D300=1,0,INDEX(Calculation!Q$2:Q9627,D300-1)))</f>
        <v>0</v>
      </c>
      <c r="F300" s="23">
        <f t="array" ref="F300">IF($A300="","",
  LET(
    r, $D300,
    startD, INDEX(Calculation!B$2:B9627, r),
    endD,   INDEX(Calculation!C$2:C9627, r),
    asOf,   MIN($A300,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440922.6027</v>
      </c>
    </row>
    <row r="301">
      <c r="A301" s="19">
        <v>42536.0</v>
      </c>
      <c r="B301" s="23">
        <v>1.0765E7</v>
      </c>
      <c r="C301" s="23">
        <f t="shared" si="1"/>
        <v>442397.2603</v>
      </c>
      <c r="D301" s="18">
        <f>IF(A301="","",MATCH(A301,Calculation!B$2:B9627,1))</f>
        <v>1</v>
      </c>
      <c r="E301" s="23">
        <f t="array" ref="E301">IF(D301="","",IF(D301=1,0,INDEX(Calculation!Q$2:Q9627,D301-1)))</f>
        <v>0</v>
      </c>
      <c r="F301" s="23">
        <f t="array" ref="F301">IF($A301="","",
  LET(
    r, $D301,
    startD, INDEX(Calculation!B$2:B9627, r),
    endD,   INDEX(Calculation!C$2:C9627, r),
    asOf,   MIN($A301,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442397.2603</v>
      </c>
    </row>
    <row r="302">
      <c r="A302" s="19">
        <v>42537.0</v>
      </c>
      <c r="B302" s="23">
        <v>1.0765E7</v>
      </c>
      <c r="C302" s="23">
        <f t="shared" si="1"/>
        <v>443871.9178</v>
      </c>
      <c r="D302" s="18">
        <f>IF(A302="","",MATCH(A302,Calculation!B$2:B9627,1))</f>
        <v>1</v>
      </c>
      <c r="E302" s="23">
        <f t="array" ref="E302">IF(D302="","",IF(D302=1,0,INDEX(Calculation!Q$2:Q9627,D302-1)))</f>
        <v>0</v>
      </c>
      <c r="F302" s="23">
        <f t="array" ref="F302">IF($A302="","",
  LET(
    r, $D302,
    startD, INDEX(Calculation!B$2:B9627, r),
    endD,   INDEX(Calculation!C$2:C9627, r),
    asOf,   MIN($A302,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443871.9178</v>
      </c>
    </row>
    <row r="303">
      <c r="A303" s="19">
        <v>42538.0</v>
      </c>
      <c r="B303" s="23">
        <v>1.0765E7</v>
      </c>
      <c r="C303" s="23">
        <f t="shared" si="1"/>
        <v>445346.5753</v>
      </c>
      <c r="D303" s="18">
        <f>IF(A303="","",MATCH(A303,Calculation!B$2:B9627,1))</f>
        <v>1</v>
      </c>
      <c r="E303" s="23">
        <f t="array" ref="E303">IF(D303="","",IF(D303=1,0,INDEX(Calculation!Q$2:Q9627,D303-1)))</f>
        <v>0</v>
      </c>
      <c r="F303" s="23">
        <f t="array" ref="F303">IF($A303="","",
  LET(
    r, $D303,
    startD, INDEX(Calculation!B$2:B9627, r),
    endD,   INDEX(Calculation!C$2:C9627, r),
    asOf,   MIN($A303,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445346.5753</v>
      </c>
    </row>
    <row r="304">
      <c r="A304" s="19">
        <v>42539.0</v>
      </c>
      <c r="B304" s="23">
        <v>1.0765E7</v>
      </c>
      <c r="C304" s="23">
        <f t="shared" si="1"/>
        <v>446821.2329</v>
      </c>
      <c r="D304" s="18">
        <f>IF(A304="","",MATCH(A304,Calculation!B$2:B9627,1))</f>
        <v>1</v>
      </c>
      <c r="E304" s="23">
        <f t="array" ref="E304">IF(D304="","",IF(D304=1,0,INDEX(Calculation!Q$2:Q9627,D304-1)))</f>
        <v>0</v>
      </c>
      <c r="F304" s="23">
        <f t="array" ref="F304">IF($A304="","",
  LET(
    r, $D304,
    startD, INDEX(Calculation!B$2:B9627, r),
    endD,   INDEX(Calculation!C$2:C9627, r),
    asOf,   MIN($A304,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446821.2329</v>
      </c>
    </row>
    <row r="305">
      <c r="A305" s="19">
        <v>42540.0</v>
      </c>
      <c r="B305" s="23">
        <v>1.0765E7</v>
      </c>
      <c r="C305" s="23">
        <f t="shared" si="1"/>
        <v>448295.8904</v>
      </c>
      <c r="D305" s="18">
        <f>IF(A305="","",MATCH(A305,Calculation!B$2:B9627,1))</f>
        <v>1</v>
      </c>
      <c r="E305" s="23">
        <f t="array" ref="E305">IF(D305="","",IF(D305=1,0,INDEX(Calculation!Q$2:Q9627,D305-1)))</f>
        <v>0</v>
      </c>
      <c r="F305" s="23">
        <f t="array" ref="F305">IF($A305="","",
  LET(
    r, $D305,
    startD, INDEX(Calculation!B$2:B9627, r),
    endD,   INDEX(Calculation!C$2:C9627, r),
    asOf,   MIN($A305,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448295.8904</v>
      </c>
    </row>
    <row r="306">
      <c r="A306" s="19">
        <v>42541.0</v>
      </c>
      <c r="B306" s="23">
        <v>1.0765E7</v>
      </c>
      <c r="C306" s="23">
        <f t="shared" si="1"/>
        <v>449770.5479</v>
      </c>
      <c r="D306" s="18">
        <f>IF(A306="","",MATCH(A306,Calculation!B$2:B9627,1))</f>
        <v>1</v>
      </c>
      <c r="E306" s="23">
        <f t="array" ref="E306">IF(D306="","",IF(D306=1,0,INDEX(Calculation!Q$2:Q9627,D306-1)))</f>
        <v>0</v>
      </c>
      <c r="F306" s="23">
        <f t="array" ref="F306">IF($A306="","",
  LET(
    r, $D306,
    startD, INDEX(Calculation!B$2:B9627, r),
    endD,   INDEX(Calculation!C$2:C9627, r),
    asOf,   MIN($A306,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449770.5479</v>
      </c>
    </row>
    <row r="307">
      <c r="A307" s="19">
        <v>42542.0</v>
      </c>
      <c r="B307" s="23">
        <v>1.0765E7</v>
      </c>
      <c r="C307" s="23">
        <f t="shared" si="1"/>
        <v>451245.2055</v>
      </c>
      <c r="D307" s="18">
        <f>IF(A307="","",MATCH(A307,Calculation!B$2:B9627,1))</f>
        <v>1</v>
      </c>
      <c r="E307" s="23">
        <f t="array" ref="E307">IF(D307="","",IF(D307=1,0,INDEX(Calculation!Q$2:Q9627,D307-1)))</f>
        <v>0</v>
      </c>
      <c r="F307" s="23">
        <f t="array" ref="F307">IF($A307="","",
  LET(
    r, $D307,
    startD, INDEX(Calculation!B$2:B9627, r),
    endD,   INDEX(Calculation!C$2:C9627, r),
    asOf,   MIN($A307,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451245.2055</v>
      </c>
    </row>
    <row r="308">
      <c r="A308" s="19">
        <v>42543.0</v>
      </c>
      <c r="B308" s="23">
        <v>1.0765E7</v>
      </c>
      <c r="C308" s="23">
        <f t="shared" si="1"/>
        <v>452719.863</v>
      </c>
      <c r="D308" s="18">
        <f>IF(A308="","",MATCH(A308,Calculation!B$2:B9627,1))</f>
        <v>1</v>
      </c>
      <c r="E308" s="23">
        <f t="array" ref="E308">IF(D308="","",IF(D308=1,0,INDEX(Calculation!Q$2:Q9627,D308-1)))</f>
        <v>0</v>
      </c>
      <c r="F308" s="23">
        <f t="array" ref="F308">IF($A308="","",
  LET(
    r, $D308,
    startD, INDEX(Calculation!B$2:B9627, r),
    endD,   INDEX(Calculation!C$2:C9627, r),
    asOf,   MIN($A308,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452719.863</v>
      </c>
    </row>
    <row r="309">
      <c r="A309" s="19">
        <v>42544.0</v>
      </c>
      <c r="B309" s="23">
        <v>1.0765E7</v>
      </c>
      <c r="C309" s="23">
        <f t="shared" si="1"/>
        <v>454194.5205</v>
      </c>
      <c r="D309" s="18">
        <f>IF(A309="","",MATCH(A309,Calculation!B$2:B9627,1))</f>
        <v>1</v>
      </c>
      <c r="E309" s="23">
        <f t="array" ref="E309">IF(D309="","",IF(D309=1,0,INDEX(Calculation!Q$2:Q9627,D309-1)))</f>
        <v>0</v>
      </c>
      <c r="F309" s="23">
        <f t="array" ref="F309">IF($A309="","",
  LET(
    r, $D309,
    startD, INDEX(Calculation!B$2:B9627, r),
    endD,   INDEX(Calculation!C$2:C9627, r),
    asOf,   MIN($A309,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454194.5205</v>
      </c>
    </row>
    <row r="310">
      <c r="A310" s="19">
        <v>42545.0</v>
      </c>
      <c r="B310" s="23">
        <v>1.0765E7</v>
      </c>
      <c r="C310" s="23">
        <f t="shared" si="1"/>
        <v>455669.1781</v>
      </c>
      <c r="D310" s="18">
        <f>IF(A310="","",MATCH(A310,Calculation!B$2:B9627,1))</f>
        <v>1</v>
      </c>
      <c r="E310" s="23">
        <f t="array" ref="E310">IF(D310="","",IF(D310=1,0,INDEX(Calculation!Q$2:Q9627,D310-1)))</f>
        <v>0</v>
      </c>
      <c r="F310" s="23">
        <f t="array" ref="F310">IF($A310="","",
  LET(
    r, $D310,
    startD, INDEX(Calculation!B$2:B9627, r),
    endD,   INDEX(Calculation!C$2:C9627, r),
    asOf,   MIN($A310,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455669.1781</v>
      </c>
    </row>
    <row r="311">
      <c r="A311" s="19">
        <v>42546.0</v>
      </c>
      <c r="B311" s="23">
        <v>1.0765E7</v>
      </c>
      <c r="C311" s="23">
        <f t="shared" si="1"/>
        <v>457143.8356</v>
      </c>
      <c r="D311" s="18">
        <f>IF(A311="","",MATCH(A311,Calculation!B$2:B9627,1))</f>
        <v>1</v>
      </c>
      <c r="E311" s="23">
        <f t="array" ref="E311">IF(D311="","",IF(D311=1,0,INDEX(Calculation!Q$2:Q9627,D311-1)))</f>
        <v>0</v>
      </c>
      <c r="F311" s="23">
        <f t="array" ref="F311">IF($A311="","",
  LET(
    r, $D311,
    startD, INDEX(Calculation!B$2:B9627, r),
    endD,   INDEX(Calculation!C$2:C9627, r),
    asOf,   MIN($A311,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457143.8356</v>
      </c>
    </row>
    <row r="312">
      <c r="A312" s="19">
        <v>42547.0</v>
      </c>
      <c r="B312" s="23">
        <v>1.0765E7</v>
      </c>
      <c r="C312" s="23">
        <f t="shared" si="1"/>
        <v>458618.4932</v>
      </c>
      <c r="D312" s="18">
        <f>IF(A312="","",MATCH(A312,Calculation!B$2:B9627,1))</f>
        <v>1</v>
      </c>
      <c r="E312" s="23">
        <f t="array" ref="E312">IF(D312="","",IF(D312=1,0,INDEX(Calculation!Q$2:Q9627,D312-1)))</f>
        <v>0</v>
      </c>
      <c r="F312" s="23">
        <f t="array" ref="F312">IF($A312="","",
  LET(
    r, $D312,
    startD, INDEX(Calculation!B$2:B9627, r),
    endD,   INDEX(Calculation!C$2:C9627, r),
    asOf,   MIN($A312,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458618.4932</v>
      </c>
    </row>
    <row r="313">
      <c r="A313" s="19">
        <v>42548.0</v>
      </c>
      <c r="B313" s="23">
        <v>1.0765E7</v>
      </c>
      <c r="C313" s="23">
        <f t="shared" si="1"/>
        <v>460093.1507</v>
      </c>
      <c r="D313" s="18">
        <f>IF(A313="","",MATCH(A313,Calculation!B$2:B9627,1))</f>
        <v>1</v>
      </c>
      <c r="E313" s="23">
        <f t="array" ref="E313">IF(D313="","",IF(D313=1,0,INDEX(Calculation!Q$2:Q9627,D313-1)))</f>
        <v>0</v>
      </c>
      <c r="F313" s="23">
        <f t="array" ref="F313">IF($A313="","",
  LET(
    r, $D313,
    startD, INDEX(Calculation!B$2:B9627, r),
    endD,   INDEX(Calculation!C$2:C9627, r),
    asOf,   MIN($A313,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460093.1507</v>
      </c>
    </row>
    <row r="314">
      <c r="A314" s="19">
        <v>42549.0</v>
      </c>
      <c r="B314" s="23">
        <v>1.0765E7</v>
      </c>
      <c r="C314" s="23">
        <f t="shared" si="1"/>
        <v>461567.8082</v>
      </c>
      <c r="D314" s="18">
        <f>IF(A314="","",MATCH(A314,Calculation!B$2:B9627,1))</f>
        <v>1</v>
      </c>
      <c r="E314" s="23">
        <f t="array" ref="E314">IF(D314="","",IF(D314=1,0,INDEX(Calculation!Q$2:Q9627,D314-1)))</f>
        <v>0</v>
      </c>
      <c r="F314" s="23">
        <f t="array" ref="F314">IF($A314="","",
  LET(
    r, $D314,
    startD, INDEX(Calculation!B$2:B9627, r),
    endD,   INDEX(Calculation!C$2:C9627, r),
    asOf,   MIN($A314,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461567.8082</v>
      </c>
    </row>
    <row r="315">
      <c r="A315" s="19">
        <v>42550.0</v>
      </c>
      <c r="B315" s="23">
        <v>1.0765E7</v>
      </c>
      <c r="C315" s="23">
        <f t="shared" si="1"/>
        <v>463042.4658</v>
      </c>
      <c r="D315" s="18">
        <f>IF(A315="","",MATCH(A315,Calculation!B$2:B9627,1))</f>
        <v>1</v>
      </c>
      <c r="E315" s="23">
        <f t="array" ref="E315">IF(D315="","",IF(D315=1,0,INDEX(Calculation!Q$2:Q9627,D315-1)))</f>
        <v>0</v>
      </c>
      <c r="F315" s="23">
        <f t="array" ref="F315">IF($A315="","",
  LET(
    r, $D315,
    startD, INDEX(Calculation!B$2:B9627, r),
    endD,   INDEX(Calculation!C$2:C9627, r),
    asOf,   MIN($A315,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463042.4658</v>
      </c>
    </row>
    <row r="316">
      <c r="A316" s="19">
        <v>42551.0</v>
      </c>
      <c r="B316" s="23">
        <v>1.0765E7</v>
      </c>
      <c r="C316" s="23">
        <f t="shared" si="1"/>
        <v>464517.1233</v>
      </c>
      <c r="D316" s="18">
        <f>IF(A316="","",MATCH(A316,Calculation!B$2:B9627,1))</f>
        <v>1</v>
      </c>
      <c r="E316" s="23">
        <f t="array" ref="E316">IF(D316="","",IF(D316=1,0,INDEX(Calculation!Q$2:Q9627,D316-1)))</f>
        <v>0</v>
      </c>
      <c r="F316" s="23">
        <f t="array" ref="F316">IF($A316="","",
  LET(
    r, $D316,
    startD, INDEX(Calculation!B$2:B9627, r),
    endD,   INDEX(Calculation!C$2:C9627, r),
    asOf,   MIN($A316,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464517.1233</v>
      </c>
    </row>
    <row r="317">
      <c r="A317" s="19">
        <v>42552.0</v>
      </c>
      <c r="B317" s="23">
        <v>1.0765E7</v>
      </c>
      <c r="C317" s="23">
        <f t="shared" si="1"/>
        <v>465991.7808</v>
      </c>
      <c r="D317" s="18">
        <f>IF(A317="","",MATCH(A317,Calculation!B$2:B9627,1))</f>
        <v>1</v>
      </c>
      <c r="E317" s="23">
        <f t="array" ref="E317">IF(D317="","",IF(D317=1,0,INDEX(Calculation!Q$2:Q9627,D317-1)))</f>
        <v>0</v>
      </c>
      <c r="F317" s="23">
        <f t="array" ref="F317">IF($A317="","",
  LET(
    r, $D317,
    startD, INDEX(Calculation!B$2:B9627, r),
    endD,   INDEX(Calculation!C$2:C9627, r),
    asOf,   MIN($A317,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465991.7808</v>
      </c>
    </row>
    <row r="318">
      <c r="A318" s="19">
        <v>42553.0</v>
      </c>
      <c r="B318" s="23">
        <v>1.0765E7</v>
      </c>
      <c r="C318" s="23">
        <f t="shared" si="1"/>
        <v>467466.4384</v>
      </c>
      <c r="D318" s="18">
        <f>IF(A318="","",MATCH(A318,Calculation!B$2:B9627,1))</f>
        <v>1</v>
      </c>
      <c r="E318" s="23">
        <f t="array" ref="E318">IF(D318="","",IF(D318=1,0,INDEX(Calculation!Q$2:Q9627,D318-1)))</f>
        <v>0</v>
      </c>
      <c r="F318" s="23">
        <f t="array" ref="F318">IF($A318="","",
  LET(
    r, $D318,
    startD, INDEX(Calculation!B$2:B9627, r),
    endD,   INDEX(Calculation!C$2:C9627, r),
    asOf,   MIN($A318,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467466.4384</v>
      </c>
    </row>
    <row r="319">
      <c r="A319" s="19">
        <v>42554.0</v>
      </c>
      <c r="B319" s="23">
        <v>1.0765E7</v>
      </c>
      <c r="C319" s="23">
        <f t="shared" si="1"/>
        <v>468941.0959</v>
      </c>
      <c r="D319" s="18">
        <f>IF(A319="","",MATCH(A319,Calculation!B$2:B9627,1))</f>
        <v>1</v>
      </c>
      <c r="E319" s="23">
        <f t="array" ref="E319">IF(D319="","",IF(D319=1,0,INDEX(Calculation!Q$2:Q9627,D319-1)))</f>
        <v>0</v>
      </c>
      <c r="F319" s="23">
        <f t="array" ref="F319">IF($A319="","",
  LET(
    r, $D319,
    startD, INDEX(Calculation!B$2:B9627, r),
    endD,   INDEX(Calculation!C$2:C9627, r),
    asOf,   MIN($A319,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468941.0959</v>
      </c>
    </row>
    <row r="320">
      <c r="A320" s="19">
        <v>42555.0</v>
      </c>
      <c r="B320" s="23">
        <v>1.0765E7</v>
      </c>
      <c r="C320" s="23">
        <f t="shared" si="1"/>
        <v>470415.7534</v>
      </c>
      <c r="D320" s="18">
        <f>IF(A320="","",MATCH(A320,Calculation!B$2:B9627,1))</f>
        <v>1</v>
      </c>
      <c r="E320" s="23">
        <f t="array" ref="E320">IF(D320="","",IF(D320=1,0,INDEX(Calculation!Q$2:Q9627,D320-1)))</f>
        <v>0</v>
      </c>
      <c r="F320" s="23">
        <f t="array" ref="F320">IF($A320="","",
  LET(
    r, $D320,
    startD, INDEX(Calculation!B$2:B9627, r),
    endD,   INDEX(Calculation!C$2:C9627, r),
    asOf,   MIN($A320,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470415.7534</v>
      </c>
    </row>
    <row r="321">
      <c r="A321" s="19">
        <v>42556.0</v>
      </c>
      <c r="B321" s="23">
        <v>1.0765E7</v>
      </c>
      <c r="C321" s="23">
        <f t="shared" si="1"/>
        <v>471890.411</v>
      </c>
      <c r="D321" s="18">
        <f>IF(A321="","",MATCH(A321,Calculation!B$2:B9627,1))</f>
        <v>1</v>
      </c>
      <c r="E321" s="23">
        <f t="array" ref="E321">IF(D321="","",IF(D321=1,0,INDEX(Calculation!Q$2:Q9627,D321-1)))</f>
        <v>0</v>
      </c>
      <c r="F321" s="23">
        <f t="array" ref="F321">IF($A321="","",
  LET(
    r, $D321,
    startD, INDEX(Calculation!B$2:B9627, r),
    endD,   INDEX(Calculation!C$2:C9627, r),
    asOf,   MIN($A321,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471890.411</v>
      </c>
    </row>
    <row r="322">
      <c r="A322" s="19">
        <v>42557.0</v>
      </c>
      <c r="B322" s="23">
        <v>1.0765E7</v>
      </c>
      <c r="C322" s="23">
        <f t="shared" si="1"/>
        <v>473365.0685</v>
      </c>
      <c r="D322" s="18">
        <f>IF(A322="","",MATCH(A322,Calculation!B$2:B9627,1))</f>
        <v>1</v>
      </c>
      <c r="E322" s="23">
        <f t="array" ref="E322">IF(D322="","",IF(D322=1,0,INDEX(Calculation!Q$2:Q9627,D322-1)))</f>
        <v>0</v>
      </c>
      <c r="F322" s="23">
        <f t="array" ref="F322">IF($A322="","",
  LET(
    r, $D322,
    startD, INDEX(Calculation!B$2:B9627, r),
    endD,   INDEX(Calculation!C$2:C9627, r),
    asOf,   MIN($A322,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473365.0685</v>
      </c>
    </row>
    <row r="323">
      <c r="A323" s="19">
        <v>42558.0</v>
      </c>
      <c r="B323" s="23">
        <v>1.0765E7</v>
      </c>
      <c r="C323" s="23">
        <f t="shared" si="1"/>
        <v>474839.726</v>
      </c>
      <c r="D323" s="18">
        <f>IF(A323="","",MATCH(A323,Calculation!B$2:B9627,1))</f>
        <v>1</v>
      </c>
      <c r="E323" s="23">
        <f t="array" ref="E323">IF(D323="","",IF(D323=1,0,INDEX(Calculation!Q$2:Q9627,D323-1)))</f>
        <v>0</v>
      </c>
      <c r="F323" s="23">
        <f t="array" ref="F323">IF($A323="","",
  LET(
    r, $D323,
    startD, INDEX(Calculation!B$2:B9627, r),
    endD,   INDEX(Calculation!C$2:C9627, r),
    asOf,   MIN($A323,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474839.726</v>
      </c>
    </row>
    <row r="324">
      <c r="A324" s="19">
        <v>42559.0</v>
      </c>
      <c r="B324" s="23">
        <v>1.0765E7</v>
      </c>
      <c r="C324" s="23">
        <f t="shared" si="1"/>
        <v>476314.3836</v>
      </c>
      <c r="D324" s="18">
        <f>IF(A324="","",MATCH(A324,Calculation!B$2:B9627,1))</f>
        <v>1</v>
      </c>
      <c r="E324" s="23">
        <f t="array" ref="E324">IF(D324="","",IF(D324=1,0,INDEX(Calculation!Q$2:Q9627,D324-1)))</f>
        <v>0</v>
      </c>
      <c r="F324" s="23">
        <f t="array" ref="F324">IF($A324="","",
  LET(
    r, $D324,
    startD, INDEX(Calculation!B$2:B9627, r),
    endD,   INDEX(Calculation!C$2:C9627, r),
    asOf,   MIN($A324,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476314.3836</v>
      </c>
    </row>
    <row r="325">
      <c r="A325" s="19">
        <v>42560.0</v>
      </c>
      <c r="B325" s="23">
        <v>1.0765E7</v>
      </c>
      <c r="C325" s="23">
        <f t="shared" si="1"/>
        <v>477789.0411</v>
      </c>
      <c r="D325" s="18">
        <f>IF(A325="","",MATCH(A325,Calculation!B$2:B9627,1))</f>
        <v>1</v>
      </c>
      <c r="E325" s="23">
        <f t="array" ref="E325">IF(D325="","",IF(D325=1,0,INDEX(Calculation!Q$2:Q9627,D325-1)))</f>
        <v>0</v>
      </c>
      <c r="F325" s="23">
        <f t="array" ref="F325">IF($A325="","",
  LET(
    r, $D325,
    startD, INDEX(Calculation!B$2:B9627, r),
    endD,   INDEX(Calculation!C$2:C9627, r),
    asOf,   MIN($A325,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477789.0411</v>
      </c>
    </row>
    <row r="326">
      <c r="A326" s="19">
        <v>42561.0</v>
      </c>
      <c r="B326" s="23">
        <v>1.0765E7</v>
      </c>
      <c r="C326" s="23">
        <f t="shared" si="1"/>
        <v>479263.6986</v>
      </c>
      <c r="D326" s="18">
        <f>IF(A326="","",MATCH(A326,Calculation!B$2:B9627,1))</f>
        <v>1</v>
      </c>
      <c r="E326" s="23">
        <f t="array" ref="E326">IF(D326="","",IF(D326=1,0,INDEX(Calculation!Q$2:Q9627,D326-1)))</f>
        <v>0</v>
      </c>
      <c r="F326" s="23">
        <f t="array" ref="F326">IF($A326="","",
  LET(
    r, $D326,
    startD, INDEX(Calculation!B$2:B9627, r),
    endD,   INDEX(Calculation!C$2:C9627, r),
    asOf,   MIN($A326,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479263.6986</v>
      </c>
    </row>
    <row r="327">
      <c r="A327" s="19">
        <v>42562.0</v>
      </c>
      <c r="B327" s="23">
        <v>1.0765E7</v>
      </c>
      <c r="C327" s="23">
        <f t="shared" si="1"/>
        <v>480738.3562</v>
      </c>
      <c r="D327" s="18">
        <f>IF(A327="","",MATCH(A327,Calculation!B$2:B9627,1))</f>
        <v>1</v>
      </c>
      <c r="E327" s="23">
        <f t="array" ref="E327">IF(D327="","",IF(D327=1,0,INDEX(Calculation!Q$2:Q9627,D327-1)))</f>
        <v>0</v>
      </c>
      <c r="F327" s="23">
        <f t="array" ref="F327">IF($A327="","",
  LET(
    r, $D327,
    startD, INDEX(Calculation!B$2:B9627, r),
    endD,   INDEX(Calculation!C$2:C9627, r),
    asOf,   MIN($A327,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480738.3562</v>
      </c>
    </row>
    <row r="328">
      <c r="A328" s="19">
        <v>42563.0</v>
      </c>
      <c r="B328" s="23">
        <v>1.0765E7</v>
      </c>
      <c r="C328" s="23">
        <f t="shared" si="1"/>
        <v>482213.0137</v>
      </c>
      <c r="D328" s="18">
        <f>IF(A328="","",MATCH(A328,Calculation!B$2:B9627,1))</f>
        <v>1</v>
      </c>
      <c r="E328" s="23">
        <f t="array" ref="E328">IF(D328="","",IF(D328=1,0,INDEX(Calculation!Q$2:Q9627,D328-1)))</f>
        <v>0</v>
      </c>
      <c r="F328" s="23">
        <f t="array" ref="F328">IF($A328="","",
  LET(
    r, $D328,
    startD, INDEX(Calculation!B$2:B9627, r),
    endD,   INDEX(Calculation!C$2:C9627, r),
    asOf,   MIN($A328,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482213.0137</v>
      </c>
    </row>
    <row r="329">
      <c r="A329" s="19">
        <v>42564.0</v>
      </c>
      <c r="B329" s="23">
        <v>1.0765E7</v>
      </c>
      <c r="C329" s="23">
        <f t="shared" si="1"/>
        <v>483687.6712</v>
      </c>
      <c r="D329" s="18">
        <f>IF(A329="","",MATCH(A329,Calculation!B$2:B9627,1))</f>
        <v>1</v>
      </c>
      <c r="E329" s="23">
        <f t="array" ref="E329">IF(D329="","",IF(D329=1,0,INDEX(Calculation!Q$2:Q9627,D329-1)))</f>
        <v>0</v>
      </c>
      <c r="F329" s="23">
        <f t="array" ref="F329">IF($A329="","",
  LET(
    r, $D329,
    startD, INDEX(Calculation!B$2:B9627, r),
    endD,   INDEX(Calculation!C$2:C9627, r),
    asOf,   MIN($A329,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483687.6712</v>
      </c>
    </row>
    <row r="330">
      <c r="A330" s="19">
        <v>42565.0</v>
      </c>
      <c r="B330" s="23">
        <v>1.0765E7</v>
      </c>
      <c r="C330" s="23">
        <f t="shared" si="1"/>
        <v>485162.3288</v>
      </c>
      <c r="D330" s="18">
        <f>IF(A330="","",MATCH(A330,Calculation!B$2:B9627,1))</f>
        <v>1</v>
      </c>
      <c r="E330" s="23">
        <f t="array" ref="E330">IF(D330="","",IF(D330=1,0,INDEX(Calculation!Q$2:Q9627,D330-1)))</f>
        <v>0</v>
      </c>
      <c r="F330" s="23">
        <f t="array" ref="F330">IF($A330="","",
  LET(
    r, $D330,
    startD, INDEX(Calculation!B$2:B9627, r),
    endD,   INDEX(Calculation!C$2:C9627, r),
    asOf,   MIN($A330,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485162.3288</v>
      </c>
    </row>
    <row r="331">
      <c r="A331" s="19">
        <v>42566.0</v>
      </c>
      <c r="B331" s="23">
        <v>1.0765E7</v>
      </c>
      <c r="C331" s="23">
        <f t="shared" si="1"/>
        <v>486636.9863</v>
      </c>
      <c r="D331" s="18">
        <f>IF(A331="","",MATCH(A331,Calculation!B$2:B9627,1))</f>
        <v>1</v>
      </c>
      <c r="E331" s="23">
        <f t="array" ref="E331">IF(D331="","",IF(D331=1,0,INDEX(Calculation!Q$2:Q9627,D331-1)))</f>
        <v>0</v>
      </c>
      <c r="F331" s="23">
        <f t="array" ref="F331">IF($A331="","",
  LET(
    r, $D331,
    startD, INDEX(Calculation!B$2:B9627, r),
    endD,   INDEX(Calculation!C$2:C9627, r),
    asOf,   MIN($A331,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486636.9863</v>
      </c>
    </row>
    <row r="332">
      <c r="A332" s="19">
        <v>42567.0</v>
      </c>
      <c r="B332" s="23">
        <v>1.0765E7</v>
      </c>
      <c r="C332" s="23">
        <f t="shared" si="1"/>
        <v>488111.6438</v>
      </c>
      <c r="D332" s="18">
        <f>IF(A332="","",MATCH(A332,Calculation!B$2:B9627,1))</f>
        <v>1</v>
      </c>
      <c r="E332" s="23">
        <f t="array" ref="E332">IF(D332="","",IF(D332=1,0,INDEX(Calculation!Q$2:Q9627,D332-1)))</f>
        <v>0</v>
      </c>
      <c r="F332" s="23">
        <f t="array" ref="F332">IF($A332="","",
  LET(
    r, $D332,
    startD, INDEX(Calculation!B$2:B9627, r),
    endD,   INDEX(Calculation!C$2:C9627, r),
    asOf,   MIN($A332,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488111.6438</v>
      </c>
    </row>
    <row r="333">
      <c r="A333" s="19">
        <v>42568.0</v>
      </c>
      <c r="B333" s="23">
        <v>1.0765E7</v>
      </c>
      <c r="C333" s="23">
        <f t="shared" si="1"/>
        <v>489586.3014</v>
      </c>
      <c r="D333" s="18">
        <f>IF(A333="","",MATCH(A333,Calculation!B$2:B9627,1))</f>
        <v>1</v>
      </c>
      <c r="E333" s="23">
        <f t="array" ref="E333">IF(D333="","",IF(D333=1,0,INDEX(Calculation!Q$2:Q9627,D333-1)))</f>
        <v>0</v>
      </c>
      <c r="F333" s="23">
        <f t="array" ref="F333">IF($A333="","",
  LET(
    r, $D333,
    startD, INDEX(Calculation!B$2:B9627, r),
    endD,   INDEX(Calculation!C$2:C9627, r),
    asOf,   MIN($A333,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489586.3014</v>
      </c>
    </row>
    <row r="334">
      <c r="A334" s="19">
        <v>42569.0</v>
      </c>
      <c r="B334" s="23">
        <v>1.0765E7</v>
      </c>
      <c r="C334" s="23">
        <f t="shared" si="1"/>
        <v>491060.9589</v>
      </c>
      <c r="D334" s="18">
        <f>IF(A334="","",MATCH(A334,Calculation!B$2:B9627,1))</f>
        <v>1</v>
      </c>
      <c r="E334" s="23">
        <f t="array" ref="E334">IF(D334="","",IF(D334=1,0,INDEX(Calculation!Q$2:Q9627,D334-1)))</f>
        <v>0</v>
      </c>
      <c r="F334" s="23">
        <f t="array" ref="F334">IF($A334="","",
  LET(
    r, $D334,
    startD, INDEX(Calculation!B$2:B9627, r),
    endD,   INDEX(Calculation!C$2:C9627, r),
    asOf,   MIN($A334,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491060.9589</v>
      </c>
    </row>
    <row r="335">
      <c r="A335" s="19">
        <v>42570.0</v>
      </c>
      <c r="B335" s="23">
        <v>1.0765E7</v>
      </c>
      <c r="C335" s="23">
        <f t="shared" si="1"/>
        <v>492535.6164</v>
      </c>
      <c r="D335" s="18">
        <f>IF(A335="","",MATCH(A335,Calculation!B$2:B9627,1))</f>
        <v>1</v>
      </c>
      <c r="E335" s="23">
        <f t="array" ref="E335">IF(D335="","",IF(D335=1,0,INDEX(Calculation!Q$2:Q9627,D335-1)))</f>
        <v>0</v>
      </c>
      <c r="F335" s="23">
        <f t="array" ref="F335">IF($A335="","",
  LET(
    r, $D335,
    startD, INDEX(Calculation!B$2:B9627, r),
    endD,   INDEX(Calculation!C$2:C9627, r),
    asOf,   MIN($A335,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492535.6164</v>
      </c>
    </row>
    <row r="336">
      <c r="A336" s="19">
        <v>42571.0</v>
      </c>
      <c r="B336" s="23">
        <v>1.0765E7</v>
      </c>
      <c r="C336" s="23">
        <f t="shared" si="1"/>
        <v>494010.274</v>
      </c>
      <c r="D336" s="18">
        <f>IF(A336="","",MATCH(A336,Calculation!B$2:B9627,1))</f>
        <v>1</v>
      </c>
      <c r="E336" s="23">
        <f t="array" ref="E336">IF(D336="","",IF(D336=1,0,INDEX(Calculation!Q$2:Q9627,D336-1)))</f>
        <v>0</v>
      </c>
      <c r="F336" s="23">
        <f t="array" ref="F336">IF($A336="","",
  LET(
    r, $D336,
    startD, INDEX(Calculation!B$2:B9627, r),
    endD,   INDEX(Calculation!C$2:C9627, r),
    asOf,   MIN($A336,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494010.274</v>
      </c>
    </row>
    <row r="337">
      <c r="A337" s="19">
        <v>42572.0</v>
      </c>
      <c r="B337" s="23">
        <v>1.0765E7</v>
      </c>
      <c r="C337" s="23">
        <f t="shared" si="1"/>
        <v>495484.9315</v>
      </c>
      <c r="D337" s="18">
        <f>IF(A337="","",MATCH(A337,Calculation!B$2:B9627,1))</f>
        <v>1</v>
      </c>
      <c r="E337" s="23">
        <f t="array" ref="E337">IF(D337="","",IF(D337=1,0,INDEX(Calculation!Q$2:Q9627,D337-1)))</f>
        <v>0</v>
      </c>
      <c r="F337" s="23">
        <f t="array" ref="F337">IF($A337="","",
  LET(
    r, $D337,
    startD, INDEX(Calculation!B$2:B9627, r),
    endD,   INDEX(Calculation!C$2:C9627, r),
    asOf,   MIN($A337,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495484.9315</v>
      </c>
    </row>
    <row r="338">
      <c r="A338" s="19">
        <v>42573.0</v>
      </c>
      <c r="B338" s="23">
        <v>1.0765E7</v>
      </c>
      <c r="C338" s="23">
        <f t="shared" si="1"/>
        <v>496959.589</v>
      </c>
      <c r="D338" s="18">
        <f>IF(A338="","",MATCH(A338,Calculation!B$2:B9627,1))</f>
        <v>1</v>
      </c>
      <c r="E338" s="23">
        <f t="array" ref="E338">IF(D338="","",IF(D338=1,0,INDEX(Calculation!Q$2:Q9627,D338-1)))</f>
        <v>0</v>
      </c>
      <c r="F338" s="23">
        <f t="array" ref="F338">IF($A338="","",
  LET(
    r, $D338,
    startD, INDEX(Calculation!B$2:B9627, r),
    endD,   INDEX(Calculation!C$2:C9627, r),
    asOf,   MIN($A338,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496959.589</v>
      </c>
    </row>
    <row r="339">
      <c r="A339" s="19">
        <v>42574.0</v>
      </c>
      <c r="B339" s="23">
        <v>1.0765E7</v>
      </c>
      <c r="C339" s="23">
        <f t="shared" si="1"/>
        <v>498434.2466</v>
      </c>
      <c r="D339" s="18">
        <f>IF(A339="","",MATCH(A339,Calculation!B$2:B9627,1))</f>
        <v>1</v>
      </c>
      <c r="E339" s="23">
        <f t="array" ref="E339">IF(D339="","",IF(D339=1,0,INDEX(Calculation!Q$2:Q9627,D339-1)))</f>
        <v>0</v>
      </c>
      <c r="F339" s="23">
        <f t="array" ref="F339">IF($A339="","",
  LET(
    r, $D339,
    startD, INDEX(Calculation!B$2:B9627, r),
    endD,   INDEX(Calculation!C$2:C9627, r),
    asOf,   MIN($A339,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498434.2466</v>
      </c>
    </row>
    <row r="340">
      <c r="A340" s="19">
        <v>42575.0</v>
      </c>
      <c r="B340" s="23">
        <v>1.0765E7</v>
      </c>
      <c r="C340" s="23">
        <f t="shared" si="1"/>
        <v>499908.9041</v>
      </c>
      <c r="D340" s="18">
        <f>IF(A340="","",MATCH(A340,Calculation!B$2:B9627,1))</f>
        <v>1</v>
      </c>
      <c r="E340" s="23">
        <f t="array" ref="E340">IF(D340="","",IF(D340=1,0,INDEX(Calculation!Q$2:Q9627,D340-1)))</f>
        <v>0</v>
      </c>
      <c r="F340" s="23">
        <f t="array" ref="F340">IF($A340="","",
  LET(
    r, $D340,
    startD, INDEX(Calculation!B$2:B9627, r),
    endD,   INDEX(Calculation!C$2:C9627, r),
    asOf,   MIN($A340,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499908.9041</v>
      </c>
    </row>
    <row r="341">
      <c r="A341" s="19">
        <v>42576.0</v>
      </c>
      <c r="B341" s="23">
        <v>1.0765E7</v>
      </c>
      <c r="C341" s="23">
        <f t="shared" si="1"/>
        <v>501383.5616</v>
      </c>
      <c r="D341" s="18">
        <f>IF(A341="","",MATCH(A341,Calculation!B$2:B9627,1))</f>
        <v>1</v>
      </c>
      <c r="E341" s="23">
        <f t="array" ref="E341">IF(D341="","",IF(D341=1,0,INDEX(Calculation!Q$2:Q9627,D341-1)))</f>
        <v>0</v>
      </c>
      <c r="F341" s="23">
        <f t="array" ref="F341">IF($A341="","",
  LET(
    r, $D341,
    startD, INDEX(Calculation!B$2:B9627, r),
    endD,   INDEX(Calculation!C$2:C9627, r),
    asOf,   MIN($A341,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501383.5616</v>
      </c>
    </row>
    <row r="342">
      <c r="A342" s="19">
        <v>42577.0</v>
      </c>
      <c r="B342" s="23">
        <v>1.0765E7</v>
      </c>
      <c r="C342" s="23">
        <f t="shared" si="1"/>
        <v>502858.2192</v>
      </c>
      <c r="D342" s="18">
        <f>IF(A342="","",MATCH(A342,Calculation!B$2:B9627,1))</f>
        <v>1</v>
      </c>
      <c r="E342" s="23">
        <f t="array" ref="E342">IF(D342="","",IF(D342=1,0,INDEX(Calculation!Q$2:Q9627,D342-1)))</f>
        <v>0</v>
      </c>
      <c r="F342" s="23">
        <f t="array" ref="F342">IF($A342="","",
  LET(
    r, $D342,
    startD, INDEX(Calculation!B$2:B9627, r),
    endD,   INDEX(Calculation!C$2:C9627, r),
    asOf,   MIN($A342,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502858.2192</v>
      </c>
    </row>
    <row r="343">
      <c r="A343" s="19">
        <v>42578.0</v>
      </c>
      <c r="B343" s="23">
        <v>1.0765E7</v>
      </c>
      <c r="C343" s="23">
        <f t="shared" si="1"/>
        <v>504332.8767</v>
      </c>
      <c r="D343" s="18">
        <f>IF(A343="","",MATCH(A343,Calculation!B$2:B9627,1))</f>
        <v>1</v>
      </c>
      <c r="E343" s="23">
        <f t="array" ref="E343">IF(D343="","",IF(D343=1,0,INDEX(Calculation!Q$2:Q9627,D343-1)))</f>
        <v>0</v>
      </c>
      <c r="F343" s="23">
        <f t="array" ref="F343">IF($A343="","",
  LET(
    r, $D343,
    startD, INDEX(Calculation!B$2:B9627, r),
    endD,   INDEX(Calculation!C$2:C9627, r),
    asOf,   MIN($A343,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504332.8767</v>
      </c>
    </row>
    <row r="344">
      <c r="A344" s="19">
        <v>42579.0</v>
      </c>
      <c r="B344" s="23">
        <v>1.0765E7</v>
      </c>
      <c r="C344" s="23">
        <f t="shared" si="1"/>
        <v>505807.5342</v>
      </c>
      <c r="D344" s="18">
        <f>IF(A344="","",MATCH(A344,Calculation!B$2:B9627,1))</f>
        <v>1</v>
      </c>
      <c r="E344" s="23">
        <f t="array" ref="E344">IF(D344="","",IF(D344=1,0,INDEX(Calculation!Q$2:Q9627,D344-1)))</f>
        <v>0</v>
      </c>
      <c r="F344" s="23">
        <f t="array" ref="F344">IF($A344="","",
  LET(
    r, $D344,
    startD, INDEX(Calculation!B$2:B9627, r),
    endD,   INDEX(Calculation!C$2:C9627, r),
    asOf,   MIN($A344,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505807.5342</v>
      </c>
    </row>
    <row r="345">
      <c r="A345" s="19">
        <v>42580.0</v>
      </c>
      <c r="B345" s="23">
        <v>1.0765E7</v>
      </c>
      <c r="C345" s="23">
        <f t="shared" si="1"/>
        <v>507282.1918</v>
      </c>
      <c r="D345" s="18">
        <f>IF(A345="","",MATCH(A345,Calculation!B$2:B9627,1))</f>
        <v>1</v>
      </c>
      <c r="E345" s="23">
        <f t="array" ref="E345">IF(D345="","",IF(D345=1,0,INDEX(Calculation!Q$2:Q9627,D345-1)))</f>
        <v>0</v>
      </c>
      <c r="F345" s="23">
        <f t="array" ref="F345">IF($A345="","",
  LET(
    r, $D345,
    startD, INDEX(Calculation!B$2:B9627, r),
    endD,   INDEX(Calculation!C$2:C9627, r),
    asOf,   MIN($A345,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507282.1918</v>
      </c>
    </row>
    <row r="346">
      <c r="A346" s="19">
        <v>42581.0</v>
      </c>
      <c r="B346" s="23">
        <v>1.0765E7</v>
      </c>
      <c r="C346" s="23">
        <f t="shared" si="1"/>
        <v>508756.8493</v>
      </c>
      <c r="D346" s="18">
        <f>IF(A346="","",MATCH(A346,Calculation!B$2:B9627,1))</f>
        <v>1</v>
      </c>
      <c r="E346" s="23">
        <f t="array" ref="E346">IF(D346="","",IF(D346=1,0,INDEX(Calculation!Q$2:Q9627,D346-1)))</f>
        <v>0</v>
      </c>
      <c r="F346" s="23">
        <f t="array" ref="F346">IF($A346="","",
  LET(
    r, $D346,
    startD, INDEX(Calculation!B$2:B9627, r),
    endD,   INDEX(Calculation!C$2:C9627, r),
    asOf,   MIN($A346,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508756.8493</v>
      </c>
    </row>
    <row r="347">
      <c r="A347" s="19">
        <v>42582.0</v>
      </c>
      <c r="B347" s="23">
        <v>1.0765E7</v>
      </c>
      <c r="C347" s="23">
        <f t="shared" si="1"/>
        <v>510231.5068</v>
      </c>
      <c r="D347" s="18">
        <f>IF(A347="","",MATCH(A347,Calculation!B$2:B9627,1))</f>
        <v>1</v>
      </c>
      <c r="E347" s="23">
        <f t="array" ref="E347">IF(D347="","",IF(D347=1,0,INDEX(Calculation!Q$2:Q9627,D347-1)))</f>
        <v>0</v>
      </c>
      <c r="F347" s="23">
        <f t="array" ref="F347">IF($A347="","",
  LET(
    r, $D347,
    startD, INDEX(Calculation!B$2:B9627, r),
    endD,   INDEX(Calculation!C$2:C9627, r),
    asOf,   MIN($A347,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510231.5068</v>
      </c>
    </row>
    <row r="348">
      <c r="A348" s="19">
        <v>42583.0</v>
      </c>
      <c r="B348" s="23">
        <v>1.0765E7</v>
      </c>
      <c r="C348" s="23">
        <f t="shared" si="1"/>
        <v>511706.1644</v>
      </c>
      <c r="D348" s="18">
        <f>IF(A348="","",MATCH(A348,Calculation!B$2:B9627,1))</f>
        <v>1</v>
      </c>
      <c r="E348" s="23">
        <f t="array" ref="E348">IF(D348="","",IF(D348=1,0,INDEX(Calculation!Q$2:Q9627,D348-1)))</f>
        <v>0</v>
      </c>
      <c r="F348" s="23">
        <f t="array" ref="F348">IF($A348="","",
  LET(
    r, $D348,
    startD, INDEX(Calculation!B$2:B9627, r),
    endD,   INDEX(Calculation!C$2:C9627, r),
    asOf,   MIN($A348,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511706.1644</v>
      </c>
    </row>
    <row r="349">
      <c r="A349" s="19">
        <v>42584.0</v>
      </c>
      <c r="B349" s="23">
        <v>1.0765E7</v>
      </c>
      <c r="C349" s="23">
        <f t="shared" si="1"/>
        <v>513180.8219</v>
      </c>
      <c r="D349" s="18">
        <f>IF(A349="","",MATCH(A349,Calculation!B$2:B9627,1))</f>
        <v>1</v>
      </c>
      <c r="E349" s="23">
        <f t="array" ref="E349">IF(D349="","",IF(D349=1,0,INDEX(Calculation!Q$2:Q9627,D349-1)))</f>
        <v>0</v>
      </c>
      <c r="F349" s="23">
        <f t="array" ref="F349">IF($A349="","",
  LET(
    r, $D349,
    startD, INDEX(Calculation!B$2:B9627, r),
    endD,   INDEX(Calculation!C$2:C9627, r),
    asOf,   MIN($A349,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513180.8219</v>
      </c>
    </row>
    <row r="350">
      <c r="A350" s="19">
        <v>42585.0</v>
      </c>
      <c r="B350" s="23">
        <v>1.0765E7</v>
      </c>
      <c r="C350" s="23">
        <f t="shared" si="1"/>
        <v>514655.4795</v>
      </c>
      <c r="D350" s="18">
        <f>IF(A350="","",MATCH(A350,Calculation!B$2:B9627,1))</f>
        <v>1</v>
      </c>
      <c r="E350" s="23">
        <f t="array" ref="E350">IF(D350="","",IF(D350=1,0,INDEX(Calculation!Q$2:Q9627,D350-1)))</f>
        <v>0</v>
      </c>
      <c r="F350" s="23">
        <f t="array" ref="F350">IF($A350="","",
  LET(
    r, $D350,
    startD, INDEX(Calculation!B$2:B9627, r),
    endD,   INDEX(Calculation!C$2:C9627, r),
    asOf,   MIN($A350,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514655.4795</v>
      </c>
    </row>
    <row r="351">
      <c r="A351" s="19">
        <v>42586.0</v>
      </c>
      <c r="B351" s="23">
        <v>1.0765E7</v>
      </c>
      <c r="C351" s="23">
        <f t="shared" si="1"/>
        <v>516130.137</v>
      </c>
      <c r="D351" s="18">
        <f>IF(A351="","",MATCH(A351,Calculation!B$2:B9627,1))</f>
        <v>1</v>
      </c>
      <c r="E351" s="23">
        <f t="array" ref="E351">IF(D351="","",IF(D351=1,0,INDEX(Calculation!Q$2:Q9627,D351-1)))</f>
        <v>0</v>
      </c>
      <c r="F351" s="23">
        <f t="array" ref="F351">IF($A351="","",
  LET(
    r, $D351,
    startD, INDEX(Calculation!B$2:B9627, r),
    endD,   INDEX(Calculation!C$2:C9627, r),
    asOf,   MIN($A351,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516130.137</v>
      </c>
    </row>
    <row r="352">
      <c r="A352" s="19">
        <v>42587.0</v>
      </c>
      <c r="B352" s="23">
        <v>1.0765E7</v>
      </c>
      <c r="C352" s="23">
        <f t="shared" si="1"/>
        <v>517604.7945</v>
      </c>
      <c r="D352" s="18">
        <f>IF(A352="","",MATCH(A352,Calculation!B$2:B9627,1))</f>
        <v>1</v>
      </c>
      <c r="E352" s="23">
        <f t="array" ref="E352">IF(D352="","",IF(D352=1,0,INDEX(Calculation!Q$2:Q9627,D352-1)))</f>
        <v>0</v>
      </c>
      <c r="F352" s="23">
        <f t="array" ref="F352">IF($A352="","",
  LET(
    r, $D352,
    startD, INDEX(Calculation!B$2:B9627, r),
    endD,   INDEX(Calculation!C$2:C9627, r),
    asOf,   MIN($A352,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517604.7945</v>
      </c>
    </row>
    <row r="353">
      <c r="A353" s="19">
        <v>42588.0</v>
      </c>
      <c r="B353" s="23">
        <v>1.0765E7</v>
      </c>
      <c r="C353" s="23">
        <f t="shared" si="1"/>
        <v>519079.4521</v>
      </c>
      <c r="D353" s="18">
        <f>IF(A353="","",MATCH(A353,Calculation!B$2:B9627,1))</f>
        <v>1</v>
      </c>
      <c r="E353" s="23">
        <f t="array" ref="E353">IF(D353="","",IF(D353=1,0,INDEX(Calculation!Q$2:Q9627,D353-1)))</f>
        <v>0</v>
      </c>
      <c r="F353" s="23">
        <f t="array" ref="F353">IF($A353="","",
  LET(
    r, $D353,
    startD, INDEX(Calculation!B$2:B9627, r),
    endD,   INDEX(Calculation!C$2:C9627, r),
    asOf,   MIN($A353,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519079.4521</v>
      </c>
    </row>
    <row r="354">
      <c r="A354" s="19">
        <v>42589.0</v>
      </c>
      <c r="B354" s="23">
        <v>1.0765E7</v>
      </c>
      <c r="C354" s="23">
        <f t="shared" si="1"/>
        <v>520554.1096</v>
      </c>
      <c r="D354" s="18">
        <f>IF(A354="","",MATCH(A354,Calculation!B$2:B9627,1))</f>
        <v>1</v>
      </c>
      <c r="E354" s="23">
        <f t="array" ref="E354">IF(D354="","",IF(D354=1,0,INDEX(Calculation!Q$2:Q9627,D354-1)))</f>
        <v>0</v>
      </c>
      <c r="F354" s="23">
        <f t="array" ref="F354">IF($A354="","",
  LET(
    r, $D354,
    startD, INDEX(Calculation!B$2:B9627, r),
    endD,   INDEX(Calculation!C$2:C9627, r),
    asOf,   MIN($A354,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520554.1096</v>
      </c>
    </row>
    <row r="355">
      <c r="A355" s="19">
        <v>42590.0</v>
      </c>
      <c r="B355" s="23">
        <v>1.0765E7</v>
      </c>
      <c r="C355" s="23">
        <f t="shared" si="1"/>
        <v>522028.7671</v>
      </c>
      <c r="D355" s="18">
        <f>IF(A355="","",MATCH(A355,Calculation!B$2:B9627,1))</f>
        <v>1</v>
      </c>
      <c r="E355" s="23">
        <f t="array" ref="E355">IF(D355="","",IF(D355=1,0,INDEX(Calculation!Q$2:Q9627,D355-1)))</f>
        <v>0</v>
      </c>
      <c r="F355" s="23">
        <f t="array" ref="F355">IF($A355="","",
  LET(
    r, $D355,
    startD, INDEX(Calculation!B$2:B9627, r),
    endD,   INDEX(Calculation!C$2:C9627, r),
    asOf,   MIN($A355,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522028.7671</v>
      </c>
    </row>
    <row r="356">
      <c r="A356" s="19">
        <v>42591.0</v>
      </c>
      <c r="B356" s="23">
        <v>1.0765E7</v>
      </c>
      <c r="C356" s="23">
        <f t="shared" si="1"/>
        <v>523503.4247</v>
      </c>
      <c r="D356" s="18">
        <f>IF(A356="","",MATCH(A356,Calculation!B$2:B9627,1))</f>
        <v>1</v>
      </c>
      <c r="E356" s="23">
        <f t="array" ref="E356">IF(D356="","",IF(D356=1,0,INDEX(Calculation!Q$2:Q9627,D356-1)))</f>
        <v>0</v>
      </c>
      <c r="F356" s="23">
        <f t="array" ref="F356">IF($A356="","",
  LET(
    r, $D356,
    startD, INDEX(Calculation!B$2:B9627, r),
    endD,   INDEX(Calculation!C$2:C9627, r),
    asOf,   MIN($A356,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523503.4247</v>
      </c>
    </row>
    <row r="357">
      <c r="A357" s="19">
        <v>42592.0</v>
      </c>
      <c r="B357" s="23">
        <v>1.0765E7</v>
      </c>
      <c r="C357" s="23">
        <f t="shared" si="1"/>
        <v>524978.0822</v>
      </c>
      <c r="D357" s="18">
        <f>IF(A357="","",MATCH(A357,Calculation!B$2:B9627,1))</f>
        <v>1</v>
      </c>
      <c r="E357" s="23">
        <f t="array" ref="E357">IF(D357="","",IF(D357=1,0,INDEX(Calculation!Q$2:Q9627,D357-1)))</f>
        <v>0</v>
      </c>
      <c r="F357" s="23">
        <f t="array" ref="F357">IF($A357="","",
  LET(
    r, $D357,
    startD, INDEX(Calculation!B$2:B9627, r),
    endD,   INDEX(Calculation!C$2:C9627, r),
    asOf,   MIN($A357,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524978.0822</v>
      </c>
    </row>
    <row r="358">
      <c r="A358" s="19">
        <v>42593.0</v>
      </c>
      <c r="B358" s="23">
        <v>1.0765E7</v>
      </c>
      <c r="C358" s="23">
        <f t="shared" si="1"/>
        <v>526452.7397</v>
      </c>
      <c r="D358" s="18">
        <f>IF(A358="","",MATCH(A358,Calculation!B$2:B9627,1))</f>
        <v>1</v>
      </c>
      <c r="E358" s="23">
        <f t="array" ref="E358">IF(D358="","",IF(D358=1,0,INDEX(Calculation!Q$2:Q9627,D358-1)))</f>
        <v>0</v>
      </c>
      <c r="F358" s="23">
        <f t="array" ref="F358">IF($A358="","",
  LET(
    r, $D358,
    startD, INDEX(Calculation!B$2:B9627, r),
    endD,   INDEX(Calculation!C$2:C9627, r),
    asOf,   MIN($A358,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526452.7397</v>
      </c>
    </row>
    <row r="359">
      <c r="A359" s="19">
        <v>42594.0</v>
      </c>
      <c r="B359" s="23">
        <v>1.0765E7</v>
      </c>
      <c r="C359" s="23">
        <f t="shared" si="1"/>
        <v>527927.3973</v>
      </c>
      <c r="D359" s="18">
        <f>IF(A359="","",MATCH(A359,Calculation!B$2:B9627,1))</f>
        <v>1</v>
      </c>
      <c r="E359" s="23">
        <f t="array" ref="E359">IF(D359="","",IF(D359=1,0,INDEX(Calculation!Q$2:Q9627,D359-1)))</f>
        <v>0</v>
      </c>
      <c r="F359" s="23">
        <f t="array" ref="F359">IF($A359="","",
  LET(
    r, $D359,
    startD, INDEX(Calculation!B$2:B9627, r),
    endD,   INDEX(Calculation!C$2:C9627, r),
    asOf,   MIN($A359,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527927.3973</v>
      </c>
    </row>
    <row r="360">
      <c r="A360" s="19">
        <v>42595.0</v>
      </c>
      <c r="B360" s="23">
        <v>1.0765E7</v>
      </c>
      <c r="C360" s="23">
        <f t="shared" si="1"/>
        <v>529402.0548</v>
      </c>
      <c r="D360" s="18">
        <f>IF(A360="","",MATCH(A360,Calculation!B$2:B9627,1))</f>
        <v>1</v>
      </c>
      <c r="E360" s="23">
        <f t="array" ref="E360">IF(D360="","",IF(D360=1,0,INDEX(Calculation!Q$2:Q9627,D360-1)))</f>
        <v>0</v>
      </c>
      <c r="F360" s="23">
        <f t="array" ref="F360">IF($A360="","",
  LET(
    r, $D360,
    startD, INDEX(Calculation!B$2:B9627, r),
    endD,   INDEX(Calculation!C$2:C9627, r),
    asOf,   MIN($A360,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529402.0548</v>
      </c>
    </row>
    <row r="361">
      <c r="A361" s="19">
        <v>42596.0</v>
      </c>
      <c r="B361" s="23">
        <v>1.0765E7</v>
      </c>
      <c r="C361" s="23">
        <f t="shared" si="1"/>
        <v>530876.7123</v>
      </c>
      <c r="D361" s="18">
        <f>IF(A361="","",MATCH(A361,Calculation!B$2:B9627,1))</f>
        <v>1</v>
      </c>
      <c r="E361" s="23">
        <f t="array" ref="E361">IF(D361="","",IF(D361=1,0,INDEX(Calculation!Q$2:Q9627,D361-1)))</f>
        <v>0</v>
      </c>
      <c r="F361" s="23">
        <f t="array" ref="F361">IF($A361="","",
  LET(
    r, $D361,
    startD, INDEX(Calculation!B$2:B9627, r),
    endD,   INDEX(Calculation!C$2:C9627, r),
    asOf,   MIN($A361,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530876.7123</v>
      </c>
    </row>
    <row r="362">
      <c r="A362" s="19">
        <v>42597.0</v>
      </c>
      <c r="B362" s="23">
        <v>1.0765E7</v>
      </c>
      <c r="C362" s="23">
        <f t="shared" si="1"/>
        <v>532351.3699</v>
      </c>
      <c r="D362" s="18">
        <f>IF(A362="","",MATCH(A362,Calculation!B$2:B9627,1))</f>
        <v>1</v>
      </c>
      <c r="E362" s="23">
        <f t="array" ref="E362">IF(D362="","",IF(D362=1,0,INDEX(Calculation!Q$2:Q9627,D362-1)))</f>
        <v>0</v>
      </c>
      <c r="F362" s="23">
        <f t="array" ref="F362">IF($A362="","",
  LET(
    r, $D362,
    startD, INDEX(Calculation!B$2:B9627, r),
    endD,   INDEX(Calculation!C$2:C9627, r),
    asOf,   MIN($A362,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532351.3699</v>
      </c>
    </row>
    <row r="363">
      <c r="A363" s="19">
        <v>42598.0</v>
      </c>
      <c r="B363" s="23">
        <v>1.0765E7</v>
      </c>
      <c r="C363" s="23">
        <f t="shared" si="1"/>
        <v>533826.0274</v>
      </c>
      <c r="D363" s="18">
        <f>IF(A363="","",MATCH(A363,Calculation!B$2:B9627,1))</f>
        <v>1</v>
      </c>
      <c r="E363" s="23">
        <f t="array" ref="E363">IF(D363="","",IF(D363=1,0,INDEX(Calculation!Q$2:Q9627,D363-1)))</f>
        <v>0</v>
      </c>
      <c r="F363" s="23">
        <f t="array" ref="F363">IF($A363="","",
  LET(
    r, $D363,
    startD, INDEX(Calculation!B$2:B9627, r),
    endD,   INDEX(Calculation!C$2:C9627, r),
    asOf,   MIN($A363,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533826.0274</v>
      </c>
    </row>
    <row r="364">
      <c r="A364" s="19">
        <v>42599.0</v>
      </c>
      <c r="B364" s="23">
        <v>1.0765E7</v>
      </c>
      <c r="C364" s="23">
        <f t="shared" si="1"/>
        <v>535300.6849</v>
      </c>
      <c r="D364" s="18">
        <f>IF(A364="","",MATCH(A364,Calculation!B$2:B9627,1))</f>
        <v>1</v>
      </c>
      <c r="E364" s="23">
        <f t="array" ref="E364">IF(D364="","",IF(D364=1,0,INDEX(Calculation!Q$2:Q9627,D364-1)))</f>
        <v>0</v>
      </c>
      <c r="F364" s="23">
        <f t="array" ref="F364">IF($A364="","",
  LET(
    r, $D364,
    startD, INDEX(Calculation!B$2:B9627, r),
    endD,   INDEX(Calculation!C$2:C9627, r),
    asOf,   MIN($A364,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535300.6849</v>
      </c>
    </row>
    <row r="365">
      <c r="A365" s="19">
        <v>42600.0</v>
      </c>
      <c r="B365" s="23">
        <v>1.0765E7</v>
      </c>
      <c r="C365" s="23">
        <f t="shared" si="1"/>
        <v>536775.3425</v>
      </c>
      <c r="D365" s="18">
        <f>IF(A365="","",MATCH(A365,Calculation!B$2:B9627,1))</f>
        <v>1</v>
      </c>
      <c r="E365" s="23">
        <f t="array" ref="E365">IF(D365="","",IF(D365=1,0,INDEX(Calculation!Q$2:Q9627,D365-1)))</f>
        <v>0</v>
      </c>
      <c r="F365" s="23">
        <f t="array" ref="F365">IF($A365="","",
  LET(
    r, $D365,
    startD, INDEX(Calculation!B$2:B9627, r),
    endD,   INDEX(Calculation!C$2:C9627, r),
    asOf,   MIN($A365,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536775.3425</v>
      </c>
    </row>
    <row r="366">
      <c r="A366" s="19">
        <v>42601.0</v>
      </c>
      <c r="B366" s="23">
        <v>1.0765E7</v>
      </c>
      <c r="C366" s="23">
        <f t="shared" si="1"/>
        <v>538250</v>
      </c>
      <c r="D366" s="18">
        <f>IF(A366="","",MATCH(A366,Calculation!B$2:B9627,1))</f>
        <v>1</v>
      </c>
      <c r="E366" s="23">
        <f t="array" ref="E366">IF(D366="","",IF(D366=1,0,INDEX(Calculation!Q$2:Q9627,D366-1)))</f>
        <v>0</v>
      </c>
      <c r="F366" s="23">
        <f t="array" ref="F366">IF($A366="","",
  LET(
    r, $D366,
    startD, INDEX(Calculation!B$2:B9627, r),
    endD,   INDEX(Calculation!C$2:C9627, r),
    asOf,   MIN($A366,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538250</v>
      </c>
    </row>
    <row r="367">
      <c r="A367" s="19">
        <v>42602.0</v>
      </c>
      <c r="B367" s="23">
        <v>1.0765E7</v>
      </c>
      <c r="C367" s="23">
        <f t="shared" si="1"/>
        <v>539724.6575</v>
      </c>
      <c r="D367" s="18">
        <f>IF(A367="","",MATCH(A367,Calculation!B$2:B9627,1))</f>
        <v>1</v>
      </c>
      <c r="E367" s="23">
        <f t="array" ref="E367">IF(D367="","",IF(D367=1,0,INDEX(Calculation!Q$2:Q9627,D367-1)))</f>
        <v>0</v>
      </c>
      <c r="F367" s="23">
        <f t="array" ref="F367">IF($A367="","",
  LET(
    r, $D367,
    startD, INDEX(Calculation!B$2:B9627, r),
    endD,   INDEX(Calculation!C$2:C9627, r),
    asOf,   MIN($A367,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539724.6575</v>
      </c>
    </row>
    <row r="368">
      <c r="A368" s="19">
        <v>42603.0</v>
      </c>
      <c r="B368" s="23">
        <v>1.0765E7</v>
      </c>
      <c r="C368" s="23">
        <f t="shared" si="1"/>
        <v>541199.3151</v>
      </c>
      <c r="D368" s="18">
        <f>IF(A368="","",MATCH(A368,Calculation!B$2:B9627,1))</f>
        <v>1</v>
      </c>
      <c r="E368" s="23">
        <f t="array" ref="E368">IF(D368="","",IF(D368=1,0,INDEX(Calculation!Q$2:Q9627,D368-1)))</f>
        <v>0</v>
      </c>
      <c r="F368" s="23">
        <f t="array" ref="F368">IF($A368="","",
  LET(
    r, $D368,
    startD, INDEX(Calculation!B$2:B9627, r),
    endD,   INDEX(Calculation!C$2:C9627, r),
    asOf,   MIN($A368,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541199.3151</v>
      </c>
    </row>
    <row r="369">
      <c r="A369" s="19">
        <v>42604.0</v>
      </c>
      <c r="B369" s="23">
        <v>1.0765E7</v>
      </c>
      <c r="C369" s="23">
        <f t="shared" si="1"/>
        <v>542673.9726</v>
      </c>
      <c r="D369" s="18">
        <f>IF(A369="","",MATCH(A369,Calculation!B$2:B9627,1))</f>
        <v>1</v>
      </c>
      <c r="E369" s="23">
        <f t="array" ref="E369">IF(D369="","",IF(D369=1,0,INDEX(Calculation!Q$2:Q9627,D369-1)))</f>
        <v>0</v>
      </c>
      <c r="F369" s="23">
        <f t="array" ref="F369">IF($A369="","",
  LET(
    r, $D369,
    startD, INDEX(Calculation!B$2:B9627, r),
    endD,   INDEX(Calculation!C$2:C9627, r),
    asOf,   MIN($A369,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542673.9726</v>
      </c>
    </row>
    <row r="370">
      <c r="A370" s="19">
        <v>42605.0</v>
      </c>
      <c r="B370" s="23">
        <v>1.0765E7</v>
      </c>
      <c r="C370" s="23">
        <f t="shared" si="1"/>
        <v>544148.6301</v>
      </c>
      <c r="D370" s="18">
        <f>IF(A370="","",MATCH(A370,Calculation!B$2:B9627,1))</f>
        <v>1</v>
      </c>
      <c r="E370" s="23">
        <f t="array" ref="E370">IF(D370="","",IF(D370=1,0,INDEX(Calculation!Q$2:Q9627,D370-1)))</f>
        <v>0</v>
      </c>
      <c r="F370" s="23">
        <f t="array" ref="F370">IF($A370="","",
  LET(
    r, $D370,
    startD, INDEX(Calculation!B$2:B9627, r),
    endD,   INDEX(Calculation!C$2:C9627, r),
    asOf,   MIN($A370,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544148.6301</v>
      </c>
    </row>
    <row r="371">
      <c r="A371" s="19">
        <v>42606.0</v>
      </c>
      <c r="B371" s="23">
        <v>1.0765E7</v>
      </c>
      <c r="C371" s="23">
        <f t="shared" si="1"/>
        <v>545623.2877</v>
      </c>
      <c r="D371" s="18">
        <f>IF(A371="","",MATCH(A371,Calculation!B$2:B9627,1))</f>
        <v>1</v>
      </c>
      <c r="E371" s="23">
        <f t="array" ref="E371">IF(D371="","",IF(D371=1,0,INDEX(Calculation!Q$2:Q9627,D371-1)))</f>
        <v>0</v>
      </c>
      <c r="F371" s="23">
        <f t="array" ref="F371">IF($A371="","",
  LET(
    r, $D371,
    startD, INDEX(Calculation!B$2:B9627, r),
    endD,   INDEX(Calculation!C$2:C9627, r),
    asOf,   MIN($A371,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545623.2877</v>
      </c>
    </row>
    <row r="372">
      <c r="A372" s="19">
        <v>42607.0</v>
      </c>
      <c r="B372" s="23">
        <v>1.0765E7</v>
      </c>
      <c r="C372" s="23">
        <f t="shared" si="1"/>
        <v>547097.9452</v>
      </c>
      <c r="D372" s="18">
        <f>IF(A372="","",MATCH(A372,Calculation!B$2:B9627,1))</f>
        <v>1</v>
      </c>
      <c r="E372" s="23">
        <f t="array" ref="E372">IF(D372="","",IF(D372=1,0,INDEX(Calculation!Q$2:Q9627,D372-1)))</f>
        <v>0</v>
      </c>
      <c r="F372" s="23">
        <f t="array" ref="F372">IF($A372="","",
  LET(
    r, $D372,
    startD, INDEX(Calculation!B$2:B9627, r),
    endD,   INDEX(Calculation!C$2:C9627, r),
    asOf,   MIN($A372,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547097.9452</v>
      </c>
    </row>
    <row r="373">
      <c r="A373" s="19">
        <v>42608.0</v>
      </c>
      <c r="B373" s="23">
        <v>1.0765E7</v>
      </c>
      <c r="C373" s="23">
        <f t="shared" si="1"/>
        <v>548572.6027</v>
      </c>
      <c r="D373" s="18">
        <f>IF(A373="","",MATCH(A373,Calculation!B$2:B9627,1))</f>
        <v>1</v>
      </c>
      <c r="E373" s="23">
        <f t="array" ref="E373">IF(D373="","",IF(D373=1,0,INDEX(Calculation!Q$2:Q9627,D373-1)))</f>
        <v>0</v>
      </c>
      <c r="F373" s="23">
        <f t="array" ref="F373">IF($A373="","",
  LET(
    r, $D373,
    startD, INDEX(Calculation!B$2:B9627, r),
    endD,   INDEX(Calculation!C$2:C9627, r),
    asOf,   MIN($A373,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548572.6027</v>
      </c>
    </row>
    <row r="374">
      <c r="A374" s="19">
        <v>42609.0</v>
      </c>
      <c r="B374" s="23">
        <v>1.0765E7</v>
      </c>
      <c r="C374" s="23">
        <f t="shared" si="1"/>
        <v>550047.2603</v>
      </c>
      <c r="D374" s="18">
        <f>IF(A374="","",MATCH(A374,Calculation!B$2:B9627,1))</f>
        <v>1</v>
      </c>
      <c r="E374" s="23">
        <f t="array" ref="E374">IF(D374="","",IF(D374=1,0,INDEX(Calculation!Q$2:Q9627,D374-1)))</f>
        <v>0</v>
      </c>
      <c r="F374" s="23">
        <f t="array" ref="F374">IF($A374="","",
  LET(
    r, $D374,
    startD, INDEX(Calculation!B$2:B9627, r),
    endD,   INDEX(Calculation!C$2:C9627, r),
    asOf,   MIN($A374,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550047.2603</v>
      </c>
    </row>
    <row r="375">
      <c r="A375" s="19">
        <v>42610.0</v>
      </c>
      <c r="B375" s="23">
        <v>1.0765E7</v>
      </c>
      <c r="C375" s="23">
        <f t="shared" si="1"/>
        <v>551521.9178</v>
      </c>
      <c r="D375" s="18">
        <f>IF(A375="","",MATCH(A375,Calculation!B$2:B9627,1))</f>
        <v>1</v>
      </c>
      <c r="E375" s="23">
        <f t="array" ref="E375">IF(D375="","",IF(D375=1,0,INDEX(Calculation!Q$2:Q9627,D375-1)))</f>
        <v>0</v>
      </c>
      <c r="F375" s="23">
        <f t="array" ref="F375">IF($A375="","",
  LET(
    r, $D375,
    startD, INDEX(Calculation!B$2:B9627, r),
    endD,   INDEX(Calculation!C$2:C9627, r),
    asOf,   MIN($A375,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551521.9178</v>
      </c>
    </row>
    <row r="376">
      <c r="A376" s="19">
        <v>42611.0</v>
      </c>
      <c r="B376" s="23">
        <v>1.0765E7</v>
      </c>
      <c r="C376" s="23">
        <f t="shared" si="1"/>
        <v>552996.5753</v>
      </c>
      <c r="D376" s="18">
        <f>IF(A376="","",MATCH(A376,Calculation!B$2:B9627,1))</f>
        <v>1</v>
      </c>
      <c r="E376" s="23">
        <f t="array" ref="E376">IF(D376="","",IF(D376=1,0,INDEX(Calculation!Q$2:Q9627,D376-1)))</f>
        <v>0</v>
      </c>
      <c r="F376" s="23">
        <f t="array" ref="F376">IF($A376="","",
  LET(
    r, $D376,
    startD, INDEX(Calculation!B$2:B9627, r),
    endD,   INDEX(Calculation!C$2:C9627, r),
    asOf,   MIN($A376,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552996.5753</v>
      </c>
    </row>
    <row r="377">
      <c r="A377" s="19">
        <v>42612.0</v>
      </c>
      <c r="B377" s="23">
        <v>1.0765E7</v>
      </c>
      <c r="C377" s="23">
        <f t="shared" si="1"/>
        <v>554471.2329</v>
      </c>
      <c r="D377" s="18">
        <f>IF(A377="","",MATCH(A377,Calculation!B$2:B9627,1))</f>
        <v>1</v>
      </c>
      <c r="E377" s="23">
        <f t="array" ref="E377">IF(D377="","",IF(D377=1,0,INDEX(Calculation!Q$2:Q9627,D377-1)))</f>
        <v>0</v>
      </c>
      <c r="F377" s="23">
        <f t="array" ref="F377">IF($A377="","",
  LET(
    r, $D377,
    startD, INDEX(Calculation!B$2:B9627, r),
    endD,   INDEX(Calculation!C$2:C9627, r),
    asOf,   MIN($A377,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554471.2329</v>
      </c>
    </row>
    <row r="378">
      <c r="A378" s="19">
        <v>42613.0</v>
      </c>
      <c r="B378" s="23">
        <v>1.0765E7</v>
      </c>
      <c r="C378" s="23">
        <f t="shared" si="1"/>
        <v>555945.8904</v>
      </c>
      <c r="D378" s="18">
        <f>IF(A378="","",MATCH(A378,Calculation!B$2:B9627,1))</f>
        <v>1</v>
      </c>
      <c r="E378" s="23">
        <f t="array" ref="E378">IF(D378="","",IF(D378=1,0,INDEX(Calculation!Q$2:Q9627,D378-1)))</f>
        <v>0</v>
      </c>
      <c r="F378" s="23">
        <f t="array" ref="F378">IF($A378="","",
  LET(
    r, $D378,
    startD, INDEX(Calculation!B$2:B9627, r),
    endD,   INDEX(Calculation!C$2:C9627, r),
    asOf,   MIN($A378,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555945.8904</v>
      </c>
    </row>
    <row r="379">
      <c r="A379" s="19">
        <v>42614.0</v>
      </c>
      <c r="B379" s="23">
        <v>1.0765E7</v>
      </c>
      <c r="C379" s="23">
        <f t="shared" si="1"/>
        <v>557420.5479</v>
      </c>
      <c r="D379" s="18">
        <f>IF(A379="","",MATCH(A379,Calculation!B$2:B9627,1))</f>
        <v>1</v>
      </c>
      <c r="E379" s="23">
        <f t="array" ref="E379">IF(D379="","",IF(D379=1,0,INDEX(Calculation!Q$2:Q9627,D379-1)))</f>
        <v>0</v>
      </c>
      <c r="F379" s="23">
        <f t="array" ref="F379">IF($A379="","",
  LET(
    r, $D379,
    startD, INDEX(Calculation!B$2:B9627, r),
    endD,   INDEX(Calculation!C$2:C9627, r),
    asOf,   MIN($A379,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557420.5479</v>
      </c>
    </row>
    <row r="380">
      <c r="A380" s="19">
        <v>42615.0</v>
      </c>
      <c r="B380" s="23">
        <v>1.0765E7</v>
      </c>
      <c r="C380" s="23">
        <f t="shared" si="1"/>
        <v>558895.2055</v>
      </c>
      <c r="D380" s="18">
        <f>IF(A380="","",MATCH(A380,Calculation!B$2:B9627,1))</f>
        <v>1</v>
      </c>
      <c r="E380" s="23">
        <f t="array" ref="E380">IF(D380="","",IF(D380=1,0,INDEX(Calculation!Q$2:Q9627,D380-1)))</f>
        <v>0</v>
      </c>
      <c r="F380" s="23">
        <f t="array" ref="F380">IF($A380="","",
  LET(
    r, $D380,
    startD, INDEX(Calculation!B$2:B9627, r),
    endD,   INDEX(Calculation!C$2:C9627, r),
    asOf,   MIN($A380,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558895.2055</v>
      </c>
    </row>
    <row r="381">
      <c r="A381" s="19">
        <v>42616.0</v>
      </c>
      <c r="B381" s="23">
        <v>1.0765E7</v>
      </c>
      <c r="C381" s="23">
        <f t="shared" si="1"/>
        <v>560369.863</v>
      </c>
      <c r="D381" s="18">
        <f>IF(A381="","",MATCH(A381,Calculation!B$2:B9627,1))</f>
        <v>1</v>
      </c>
      <c r="E381" s="23">
        <f t="array" ref="E381">IF(D381="","",IF(D381=1,0,INDEX(Calculation!Q$2:Q9627,D381-1)))</f>
        <v>0</v>
      </c>
      <c r="F381" s="23">
        <f t="array" ref="F381">IF($A381="","",
  LET(
    r, $D381,
    startD, INDEX(Calculation!B$2:B9627, r),
    endD,   INDEX(Calculation!C$2:C9627, r),
    asOf,   MIN($A381,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560369.863</v>
      </c>
    </row>
    <row r="382">
      <c r="A382" s="19">
        <v>42617.0</v>
      </c>
      <c r="B382" s="23">
        <v>1.0765E7</v>
      </c>
      <c r="C382" s="23">
        <f t="shared" si="1"/>
        <v>561844.5205</v>
      </c>
      <c r="D382" s="18">
        <f>IF(A382="","",MATCH(A382,Calculation!B$2:B9627,1))</f>
        <v>1</v>
      </c>
      <c r="E382" s="23">
        <f t="array" ref="E382">IF(D382="","",IF(D382=1,0,INDEX(Calculation!Q$2:Q9627,D382-1)))</f>
        <v>0</v>
      </c>
      <c r="F382" s="23">
        <f t="array" ref="F382">IF($A382="","",
  LET(
    r, $D382,
    startD, INDEX(Calculation!B$2:B9627, r),
    endD,   INDEX(Calculation!C$2:C9627, r),
    asOf,   MIN($A382,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561844.5205</v>
      </c>
    </row>
    <row r="383">
      <c r="A383" s="19">
        <v>42618.0</v>
      </c>
      <c r="B383" s="23">
        <v>1.0765E7</v>
      </c>
      <c r="C383" s="23">
        <f t="shared" si="1"/>
        <v>563319.1781</v>
      </c>
      <c r="D383" s="18">
        <f>IF(A383="","",MATCH(A383,Calculation!B$2:B9627,1))</f>
        <v>1</v>
      </c>
      <c r="E383" s="23">
        <f t="array" ref="E383">IF(D383="","",IF(D383=1,0,INDEX(Calculation!Q$2:Q9627,D383-1)))</f>
        <v>0</v>
      </c>
      <c r="F383" s="23">
        <f t="array" ref="F383">IF($A383="","",
  LET(
    r, $D383,
    startD, INDEX(Calculation!B$2:B9627, r),
    endD,   INDEX(Calculation!C$2:C9627, r),
    asOf,   MIN($A383,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563319.1781</v>
      </c>
    </row>
    <row r="384">
      <c r="A384" s="19">
        <v>42619.0</v>
      </c>
      <c r="B384" s="23">
        <v>1.0765E7</v>
      </c>
      <c r="C384" s="23">
        <f t="shared" si="1"/>
        <v>564793.8356</v>
      </c>
      <c r="D384" s="18">
        <f>IF(A384="","",MATCH(A384,Calculation!B$2:B9627,1))</f>
        <v>1</v>
      </c>
      <c r="E384" s="23">
        <f t="array" ref="E384">IF(D384="","",IF(D384=1,0,INDEX(Calculation!Q$2:Q9627,D384-1)))</f>
        <v>0</v>
      </c>
      <c r="F384" s="23">
        <f t="array" ref="F384">IF($A384="","",
  LET(
    r, $D384,
    startD, INDEX(Calculation!B$2:B9627, r),
    endD,   INDEX(Calculation!C$2:C9627, r),
    asOf,   MIN($A384,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564793.8356</v>
      </c>
    </row>
    <row r="385">
      <c r="A385" s="19">
        <v>42620.0</v>
      </c>
      <c r="B385" s="23">
        <v>1.0765E7</v>
      </c>
      <c r="C385" s="23">
        <f t="shared" si="1"/>
        <v>566268.4932</v>
      </c>
      <c r="D385" s="18">
        <f>IF(A385="","",MATCH(A385,Calculation!B$2:B9627,1))</f>
        <v>1</v>
      </c>
      <c r="E385" s="23">
        <f t="array" ref="E385">IF(D385="","",IF(D385=1,0,INDEX(Calculation!Q$2:Q9627,D385-1)))</f>
        <v>0</v>
      </c>
      <c r="F385" s="23">
        <f t="array" ref="F385">IF($A385="","",
  LET(
    r, $D385,
    startD, INDEX(Calculation!B$2:B9627, r),
    endD,   INDEX(Calculation!C$2:C9627, r),
    asOf,   MIN($A385,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566268.4932</v>
      </c>
    </row>
    <row r="386">
      <c r="A386" s="19">
        <v>42621.0</v>
      </c>
      <c r="B386" s="23">
        <v>1.0765E7</v>
      </c>
      <c r="C386" s="23">
        <f t="shared" si="1"/>
        <v>567743.1507</v>
      </c>
      <c r="D386" s="18">
        <f>IF(A386="","",MATCH(A386,Calculation!B$2:B9627,1))</f>
        <v>1</v>
      </c>
      <c r="E386" s="23">
        <f t="array" ref="E386">IF(D386="","",IF(D386=1,0,INDEX(Calculation!Q$2:Q9627,D386-1)))</f>
        <v>0</v>
      </c>
      <c r="F386" s="23">
        <f t="array" ref="F386">IF($A386="","",
  LET(
    r, $D386,
    startD, INDEX(Calculation!B$2:B9627, r),
    endD,   INDEX(Calculation!C$2:C9627, r),
    asOf,   MIN($A386,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567743.1507</v>
      </c>
    </row>
    <row r="387">
      <c r="A387" s="19">
        <v>42622.0</v>
      </c>
      <c r="B387" s="23">
        <v>1.0765E7</v>
      </c>
      <c r="C387" s="23">
        <f t="shared" si="1"/>
        <v>569217.8082</v>
      </c>
      <c r="D387" s="18">
        <f>IF(A387="","",MATCH(A387,Calculation!B$2:B9627,1))</f>
        <v>1</v>
      </c>
      <c r="E387" s="23">
        <f t="array" ref="E387">IF(D387="","",IF(D387=1,0,INDEX(Calculation!Q$2:Q9627,D387-1)))</f>
        <v>0</v>
      </c>
      <c r="F387" s="23">
        <f t="array" ref="F387">IF($A387="","",
  LET(
    r, $D387,
    startD, INDEX(Calculation!B$2:B9627, r),
    endD,   INDEX(Calculation!C$2:C9627, r),
    asOf,   MIN($A387,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569217.8082</v>
      </c>
    </row>
    <row r="388">
      <c r="A388" s="19">
        <v>42623.0</v>
      </c>
      <c r="B388" s="23">
        <v>1.0765E7</v>
      </c>
      <c r="C388" s="23">
        <f t="shared" si="1"/>
        <v>570692.4658</v>
      </c>
      <c r="D388" s="18">
        <f>IF(A388="","",MATCH(A388,Calculation!B$2:B9627,1))</f>
        <v>1</v>
      </c>
      <c r="E388" s="23">
        <f t="array" ref="E388">IF(D388="","",IF(D388=1,0,INDEX(Calculation!Q$2:Q9627,D388-1)))</f>
        <v>0</v>
      </c>
      <c r="F388" s="23">
        <f t="array" ref="F388">IF($A388="","",
  LET(
    r, $D388,
    startD, INDEX(Calculation!B$2:B9627, r),
    endD,   INDEX(Calculation!C$2:C9627, r),
    asOf,   MIN($A388,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570692.4658</v>
      </c>
    </row>
    <row r="389">
      <c r="A389" s="19">
        <v>42624.0</v>
      </c>
      <c r="B389" s="23">
        <v>1.0765E7</v>
      </c>
      <c r="C389" s="23">
        <f t="shared" si="1"/>
        <v>572167.1233</v>
      </c>
      <c r="D389" s="18">
        <f>IF(A389="","",MATCH(A389,Calculation!B$2:B9627,1))</f>
        <v>1</v>
      </c>
      <c r="E389" s="23">
        <f t="array" ref="E389">IF(D389="","",IF(D389=1,0,INDEX(Calculation!Q$2:Q9627,D389-1)))</f>
        <v>0</v>
      </c>
      <c r="F389" s="23">
        <f t="array" ref="F389">IF($A389="","",
  LET(
    r, $D389,
    startD, INDEX(Calculation!B$2:B9627, r),
    endD,   INDEX(Calculation!C$2:C9627, r),
    asOf,   MIN($A389,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572167.1233</v>
      </c>
    </row>
    <row r="390">
      <c r="A390" s="19">
        <v>42625.0</v>
      </c>
      <c r="B390" s="23">
        <v>1.0765E7</v>
      </c>
      <c r="C390" s="23">
        <f t="shared" si="1"/>
        <v>573641.7808</v>
      </c>
      <c r="D390" s="18">
        <f>IF(A390="","",MATCH(A390,Calculation!B$2:B9627,1))</f>
        <v>1</v>
      </c>
      <c r="E390" s="23">
        <f t="array" ref="E390">IF(D390="","",IF(D390=1,0,INDEX(Calculation!Q$2:Q9627,D390-1)))</f>
        <v>0</v>
      </c>
      <c r="F390" s="23">
        <f t="array" ref="F390">IF($A390="","",
  LET(
    r, $D390,
    startD, INDEX(Calculation!B$2:B9627, r),
    endD,   INDEX(Calculation!C$2:C9627, r),
    asOf,   MIN($A390,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573641.7808</v>
      </c>
    </row>
    <row r="391">
      <c r="A391" s="19">
        <v>42626.0</v>
      </c>
      <c r="B391" s="23">
        <v>1.0765E7</v>
      </c>
      <c r="C391" s="23">
        <f t="shared" si="1"/>
        <v>575116.4384</v>
      </c>
      <c r="D391" s="18">
        <f>IF(A391="","",MATCH(A391,Calculation!B$2:B9627,1))</f>
        <v>1</v>
      </c>
      <c r="E391" s="23">
        <f t="array" ref="E391">IF(D391="","",IF(D391=1,0,INDEX(Calculation!Q$2:Q9627,D391-1)))</f>
        <v>0</v>
      </c>
      <c r="F391" s="23">
        <f t="array" ref="F391">IF($A391="","",
  LET(
    r, $D391,
    startD, INDEX(Calculation!B$2:B9627, r),
    endD,   INDEX(Calculation!C$2:C9627, r),
    asOf,   MIN($A391,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575116.4384</v>
      </c>
    </row>
    <row r="392">
      <c r="A392" s="19">
        <v>42627.0</v>
      </c>
      <c r="B392" s="23">
        <v>1.0765E7</v>
      </c>
      <c r="C392" s="23">
        <f t="shared" si="1"/>
        <v>576591.0959</v>
      </c>
      <c r="D392" s="18">
        <f>IF(A392="","",MATCH(A392,Calculation!B$2:B9627,1))</f>
        <v>1</v>
      </c>
      <c r="E392" s="23">
        <f t="array" ref="E392">IF(D392="","",IF(D392=1,0,INDEX(Calculation!Q$2:Q9627,D392-1)))</f>
        <v>0</v>
      </c>
      <c r="F392" s="23">
        <f t="array" ref="F392">IF($A392="","",
  LET(
    r, $D392,
    startD, INDEX(Calculation!B$2:B9627, r),
    endD,   INDEX(Calculation!C$2:C9627, r),
    asOf,   MIN($A392,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576591.0959</v>
      </c>
    </row>
    <row r="393">
      <c r="A393" s="19">
        <v>42628.0</v>
      </c>
      <c r="B393" s="23">
        <v>1.0765E7</v>
      </c>
      <c r="C393" s="23">
        <f t="shared" si="1"/>
        <v>578065.7534</v>
      </c>
      <c r="D393" s="18">
        <f>IF(A393="","",MATCH(A393,Calculation!B$2:B9627,1))</f>
        <v>1</v>
      </c>
      <c r="E393" s="23">
        <f t="array" ref="E393">IF(D393="","",IF(D393=1,0,INDEX(Calculation!Q$2:Q9627,D393-1)))</f>
        <v>0</v>
      </c>
      <c r="F393" s="23">
        <f t="array" ref="F393">IF($A393="","",
  LET(
    r, $D393,
    startD, INDEX(Calculation!B$2:B9627, r),
    endD,   INDEX(Calculation!C$2:C9627, r),
    asOf,   MIN($A393,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578065.7534</v>
      </c>
    </row>
    <row r="394">
      <c r="A394" s="19">
        <v>42629.0</v>
      </c>
      <c r="B394" s="23">
        <v>1.0765E7</v>
      </c>
      <c r="C394" s="23">
        <f t="shared" si="1"/>
        <v>579540.411</v>
      </c>
      <c r="D394" s="18">
        <f>IF(A394="","",MATCH(A394,Calculation!B$2:B9627,1))</f>
        <v>1</v>
      </c>
      <c r="E394" s="23">
        <f t="array" ref="E394">IF(D394="","",IF(D394=1,0,INDEX(Calculation!Q$2:Q9627,D394-1)))</f>
        <v>0</v>
      </c>
      <c r="F394" s="23">
        <f t="array" ref="F394">IF($A394="","",
  LET(
    r, $D394,
    startD, INDEX(Calculation!B$2:B9627, r),
    endD,   INDEX(Calculation!C$2:C9627, r),
    asOf,   MIN($A394,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579540.411</v>
      </c>
    </row>
    <row r="395">
      <c r="A395" s="19">
        <v>42630.0</v>
      </c>
      <c r="B395" s="23">
        <v>1.0765E7</v>
      </c>
      <c r="C395" s="23">
        <f t="shared" si="1"/>
        <v>581015.0685</v>
      </c>
      <c r="D395" s="18">
        <f>IF(A395="","",MATCH(A395,Calculation!B$2:B9627,1))</f>
        <v>1</v>
      </c>
      <c r="E395" s="23">
        <f t="array" ref="E395">IF(D395="","",IF(D395=1,0,INDEX(Calculation!Q$2:Q9627,D395-1)))</f>
        <v>0</v>
      </c>
      <c r="F395" s="23">
        <f t="array" ref="F395">IF($A395="","",
  LET(
    r, $D395,
    startD, INDEX(Calculation!B$2:B9627, r),
    endD,   INDEX(Calculation!C$2:C9627, r),
    asOf,   MIN($A395,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581015.0685</v>
      </c>
    </row>
    <row r="396">
      <c r="A396" s="19">
        <v>42631.0</v>
      </c>
      <c r="B396" s="23">
        <v>1.0765E7</v>
      </c>
      <c r="C396" s="23">
        <f t="shared" si="1"/>
        <v>582489.726</v>
      </c>
      <c r="D396" s="18">
        <f>IF(A396="","",MATCH(A396,Calculation!B$2:B9627,1))</f>
        <v>1</v>
      </c>
      <c r="E396" s="23">
        <f t="array" ref="E396">IF(D396="","",IF(D396=1,0,INDEX(Calculation!Q$2:Q9627,D396-1)))</f>
        <v>0</v>
      </c>
      <c r="F396" s="23">
        <f t="array" ref="F396">IF($A396="","",
  LET(
    r, $D396,
    startD, INDEX(Calculation!B$2:B9627, r),
    endD,   INDEX(Calculation!C$2:C9627, r),
    asOf,   MIN($A396,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582489.726</v>
      </c>
    </row>
    <row r="397">
      <c r="A397" s="19">
        <v>42632.0</v>
      </c>
      <c r="B397" s="23">
        <v>1.0765E7</v>
      </c>
      <c r="C397" s="23">
        <f t="shared" si="1"/>
        <v>583964.3836</v>
      </c>
      <c r="D397" s="18">
        <f>IF(A397="","",MATCH(A397,Calculation!B$2:B9627,1))</f>
        <v>1</v>
      </c>
      <c r="E397" s="23">
        <f t="array" ref="E397">IF(D397="","",IF(D397=1,0,INDEX(Calculation!Q$2:Q9627,D397-1)))</f>
        <v>0</v>
      </c>
      <c r="F397" s="23">
        <f t="array" ref="F397">IF($A397="","",
  LET(
    r, $D397,
    startD, INDEX(Calculation!B$2:B9627, r),
    endD,   INDEX(Calculation!C$2:C9627, r),
    asOf,   MIN($A397,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583964.3836</v>
      </c>
    </row>
    <row r="398">
      <c r="A398" s="19">
        <v>42633.0</v>
      </c>
      <c r="B398" s="23">
        <v>1.0765E7</v>
      </c>
      <c r="C398" s="23">
        <f t="shared" si="1"/>
        <v>585439.0411</v>
      </c>
      <c r="D398" s="18">
        <f>IF(A398="","",MATCH(A398,Calculation!B$2:B9627,1))</f>
        <v>1</v>
      </c>
      <c r="E398" s="23">
        <f t="array" ref="E398">IF(D398="","",IF(D398=1,0,INDEX(Calculation!Q$2:Q9627,D398-1)))</f>
        <v>0</v>
      </c>
      <c r="F398" s="23">
        <f t="array" ref="F398">IF($A398="","",
  LET(
    r, $D398,
    startD, INDEX(Calculation!B$2:B9627, r),
    endD,   INDEX(Calculation!C$2:C9627, r),
    asOf,   MIN($A398,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585439.0411</v>
      </c>
    </row>
    <row r="399">
      <c r="A399" s="19">
        <v>42634.0</v>
      </c>
      <c r="B399" s="23">
        <v>1.0765E7</v>
      </c>
      <c r="C399" s="23">
        <f t="shared" si="1"/>
        <v>586913.6986</v>
      </c>
      <c r="D399" s="18">
        <f>IF(A399="","",MATCH(A399,Calculation!B$2:B9627,1))</f>
        <v>1</v>
      </c>
      <c r="E399" s="23">
        <f t="array" ref="E399">IF(D399="","",IF(D399=1,0,INDEX(Calculation!Q$2:Q9627,D399-1)))</f>
        <v>0</v>
      </c>
      <c r="F399" s="23">
        <f t="array" ref="F399">IF($A399="","",
  LET(
    r, $D399,
    startD, INDEX(Calculation!B$2:B9627, r),
    endD,   INDEX(Calculation!C$2:C9627, r),
    asOf,   MIN($A399,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586913.6986</v>
      </c>
    </row>
    <row r="400">
      <c r="A400" s="19">
        <v>42635.0</v>
      </c>
      <c r="B400" s="23">
        <v>1.0765E7</v>
      </c>
      <c r="C400" s="23">
        <f t="shared" si="1"/>
        <v>588388.3562</v>
      </c>
      <c r="D400" s="18">
        <f>IF(A400="","",MATCH(A400,Calculation!B$2:B9627,1))</f>
        <v>1</v>
      </c>
      <c r="E400" s="23">
        <f t="array" ref="E400">IF(D400="","",IF(D400=1,0,INDEX(Calculation!Q$2:Q9627,D400-1)))</f>
        <v>0</v>
      </c>
      <c r="F400" s="23">
        <f t="array" ref="F400">IF($A400="","",
  LET(
    r, $D400,
    startD, INDEX(Calculation!B$2:B9627, r),
    endD,   INDEX(Calculation!C$2:C9627, r),
    asOf,   MIN($A400,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588388.3562</v>
      </c>
    </row>
    <row r="401">
      <c r="A401" s="19">
        <v>42636.0</v>
      </c>
      <c r="B401" s="23">
        <v>1.0765E7</v>
      </c>
      <c r="C401" s="23">
        <f t="shared" si="1"/>
        <v>589863.0137</v>
      </c>
      <c r="D401" s="18">
        <f>IF(A401="","",MATCH(A401,Calculation!B$2:B9627,1))</f>
        <v>1</v>
      </c>
      <c r="E401" s="23">
        <f t="array" ref="E401">IF(D401="","",IF(D401=1,0,INDEX(Calculation!Q$2:Q9627,D401-1)))</f>
        <v>0</v>
      </c>
      <c r="F401" s="23">
        <f t="array" ref="F401">IF($A401="","",
  LET(
    r, $D401,
    startD, INDEX(Calculation!B$2:B9627, r),
    endD,   INDEX(Calculation!C$2:C9627, r),
    asOf,   MIN($A401,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589863.0137</v>
      </c>
    </row>
    <row r="402">
      <c r="A402" s="19">
        <v>42637.0</v>
      </c>
      <c r="B402" s="23">
        <v>1.0765E7</v>
      </c>
      <c r="C402" s="23">
        <f t="shared" si="1"/>
        <v>591337.6712</v>
      </c>
      <c r="D402" s="18">
        <f>IF(A402="","",MATCH(A402,Calculation!B$2:B9627,1))</f>
        <v>1</v>
      </c>
      <c r="E402" s="23">
        <f t="array" ref="E402">IF(D402="","",IF(D402=1,0,INDEX(Calculation!Q$2:Q9627,D402-1)))</f>
        <v>0</v>
      </c>
      <c r="F402" s="23">
        <f t="array" ref="F402">IF($A402="","",
  LET(
    r, $D402,
    startD, INDEX(Calculation!B$2:B9627, r),
    endD,   INDEX(Calculation!C$2:C9627, r),
    asOf,   MIN($A402,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591337.6712</v>
      </c>
    </row>
    <row r="403">
      <c r="A403" s="19">
        <v>42638.0</v>
      </c>
      <c r="B403" s="23">
        <v>1.0765E7</v>
      </c>
      <c r="C403" s="23">
        <f t="shared" si="1"/>
        <v>592812.3288</v>
      </c>
      <c r="D403" s="18">
        <f>IF(A403="","",MATCH(A403,Calculation!B$2:B9627,1))</f>
        <v>1</v>
      </c>
      <c r="E403" s="23">
        <f t="array" ref="E403">IF(D403="","",IF(D403=1,0,INDEX(Calculation!Q$2:Q9627,D403-1)))</f>
        <v>0</v>
      </c>
      <c r="F403" s="23">
        <f t="array" ref="F403">IF($A403="","",
  LET(
    r, $D403,
    startD, INDEX(Calculation!B$2:B9627, r),
    endD,   INDEX(Calculation!C$2:C9627, r),
    asOf,   MIN($A403,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592812.3288</v>
      </c>
    </row>
    <row r="404">
      <c r="A404" s="19">
        <v>42639.0</v>
      </c>
      <c r="B404" s="23">
        <v>1.0765E7</v>
      </c>
      <c r="C404" s="23">
        <f t="shared" si="1"/>
        <v>594286.9863</v>
      </c>
      <c r="D404" s="18">
        <f>IF(A404="","",MATCH(A404,Calculation!B$2:B9627,1))</f>
        <v>1</v>
      </c>
      <c r="E404" s="23">
        <f t="array" ref="E404">IF(D404="","",IF(D404=1,0,INDEX(Calculation!Q$2:Q9627,D404-1)))</f>
        <v>0</v>
      </c>
      <c r="F404" s="23">
        <f t="array" ref="F404">IF($A404="","",
  LET(
    r, $D404,
    startD, INDEX(Calculation!B$2:B9627, r),
    endD,   INDEX(Calculation!C$2:C9627, r),
    asOf,   MIN($A404,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594286.9863</v>
      </c>
    </row>
    <row r="405">
      <c r="A405" s="19">
        <v>42640.0</v>
      </c>
      <c r="B405" s="23">
        <v>1.0765E7</v>
      </c>
      <c r="C405" s="23">
        <f t="shared" si="1"/>
        <v>595761.6438</v>
      </c>
      <c r="D405" s="18">
        <f>IF(A405="","",MATCH(A405,Calculation!B$2:B9627,1))</f>
        <v>1</v>
      </c>
      <c r="E405" s="23">
        <f t="array" ref="E405">IF(D405="","",IF(D405=1,0,INDEX(Calculation!Q$2:Q9627,D405-1)))</f>
        <v>0</v>
      </c>
      <c r="F405" s="23">
        <f t="array" ref="F405">IF($A405="","",
  LET(
    r, $D405,
    startD, INDEX(Calculation!B$2:B9627, r),
    endD,   INDEX(Calculation!C$2:C9627, r),
    asOf,   MIN($A405,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595761.6438</v>
      </c>
    </row>
    <row r="406">
      <c r="A406" s="19">
        <v>42641.0</v>
      </c>
      <c r="B406" s="23">
        <v>1.0765E7</v>
      </c>
      <c r="C406" s="23">
        <f t="shared" si="1"/>
        <v>597236.3014</v>
      </c>
      <c r="D406" s="18">
        <f>IF(A406="","",MATCH(A406,Calculation!B$2:B9627,1))</f>
        <v>1</v>
      </c>
      <c r="E406" s="23">
        <f t="array" ref="E406">IF(D406="","",IF(D406=1,0,INDEX(Calculation!Q$2:Q9627,D406-1)))</f>
        <v>0</v>
      </c>
      <c r="F406" s="23">
        <f t="array" ref="F406">IF($A406="","",
  LET(
    r, $D406,
    startD, INDEX(Calculation!B$2:B9627, r),
    endD,   INDEX(Calculation!C$2:C9627, r),
    asOf,   MIN($A406,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597236.3014</v>
      </c>
    </row>
    <row r="407">
      <c r="A407" s="19">
        <v>42642.0</v>
      </c>
      <c r="B407" s="23">
        <v>1.0765E7</v>
      </c>
      <c r="C407" s="23">
        <f t="shared" si="1"/>
        <v>598710.9589</v>
      </c>
      <c r="D407" s="18">
        <f>IF(A407="","",MATCH(A407,Calculation!B$2:B9627,1))</f>
        <v>1</v>
      </c>
      <c r="E407" s="23">
        <f t="array" ref="E407">IF(D407="","",IF(D407=1,0,INDEX(Calculation!Q$2:Q9627,D407-1)))</f>
        <v>0</v>
      </c>
      <c r="F407" s="23">
        <f t="array" ref="F407">IF($A407="","",
  LET(
    r, $D407,
    startD, INDEX(Calculation!B$2:B9627, r),
    endD,   INDEX(Calculation!C$2:C9627, r),
    asOf,   MIN($A407,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598710.9589</v>
      </c>
    </row>
    <row r="408">
      <c r="A408" s="19">
        <v>42643.0</v>
      </c>
      <c r="B408" s="23">
        <v>1.0765E7</v>
      </c>
      <c r="C408" s="23">
        <f t="shared" si="1"/>
        <v>600185.6164</v>
      </c>
      <c r="D408" s="18">
        <f>IF(A408="","",MATCH(A408,Calculation!B$2:B9627,1))</f>
        <v>1</v>
      </c>
      <c r="E408" s="23">
        <f t="array" ref="E408">IF(D408="","",IF(D408=1,0,INDEX(Calculation!Q$2:Q9627,D408-1)))</f>
        <v>0</v>
      </c>
      <c r="F408" s="23">
        <f t="array" ref="F408">IF($A408="","",
  LET(
    r, $D408,
    startD, INDEX(Calculation!B$2:B9627, r),
    endD,   INDEX(Calculation!C$2:C9627, r),
    asOf,   MIN($A408,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600185.6164</v>
      </c>
    </row>
    <row r="409">
      <c r="A409" s="19">
        <v>42644.0</v>
      </c>
      <c r="B409" s="23">
        <v>1.0765E7</v>
      </c>
      <c r="C409" s="23">
        <f t="shared" si="1"/>
        <v>601660.274</v>
      </c>
      <c r="D409" s="18">
        <f>IF(A409="","",MATCH(A409,Calculation!B$2:B9627,1))</f>
        <v>1</v>
      </c>
      <c r="E409" s="23">
        <f t="array" ref="E409">IF(D409="","",IF(D409=1,0,INDEX(Calculation!Q$2:Q9627,D409-1)))</f>
        <v>0</v>
      </c>
      <c r="F409" s="23">
        <f t="array" ref="F409">IF($A409="","",
  LET(
    r, $D409,
    startD, INDEX(Calculation!B$2:B9627, r),
    endD,   INDEX(Calculation!C$2:C9627, r),
    asOf,   MIN($A409,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601660.274</v>
      </c>
    </row>
    <row r="410">
      <c r="A410" s="19">
        <v>42645.0</v>
      </c>
      <c r="B410" s="23">
        <v>1.0765E7</v>
      </c>
      <c r="C410" s="23">
        <f t="shared" si="1"/>
        <v>603134.9315</v>
      </c>
      <c r="D410" s="18">
        <f>IF(A410="","",MATCH(A410,Calculation!B$2:B9627,1))</f>
        <v>1</v>
      </c>
      <c r="E410" s="23">
        <f t="array" ref="E410">IF(D410="","",IF(D410=1,0,INDEX(Calculation!Q$2:Q9627,D410-1)))</f>
        <v>0</v>
      </c>
      <c r="F410" s="23">
        <f t="array" ref="F410">IF($A410="","",
  LET(
    r, $D410,
    startD, INDEX(Calculation!B$2:B9627, r),
    endD,   INDEX(Calculation!C$2:C9627, r),
    asOf,   MIN($A410,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603134.9315</v>
      </c>
    </row>
    <row r="411">
      <c r="A411" s="19">
        <v>42646.0</v>
      </c>
      <c r="B411" s="23">
        <v>1.0765E7</v>
      </c>
      <c r="C411" s="23">
        <f t="shared" si="1"/>
        <v>604609.589</v>
      </c>
      <c r="D411" s="18">
        <f>IF(A411="","",MATCH(A411,Calculation!B$2:B9627,1))</f>
        <v>1</v>
      </c>
      <c r="E411" s="23">
        <f t="array" ref="E411">IF(D411="","",IF(D411=1,0,INDEX(Calculation!Q$2:Q9627,D411-1)))</f>
        <v>0</v>
      </c>
      <c r="F411" s="23">
        <f t="array" ref="F411">IF($A411="","",
  LET(
    r, $D411,
    startD, INDEX(Calculation!B$2:B9627, r),
    endD,   INDEX(Calculation!C$2:C9627, r),
    asOf,   MIN($A411,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604609.589</v>
      </c>
    </row>
    <row r="412">
      <c r="A412" s="19">
        <v>42647.0</v>
      </c>
      <c r="B412" s="23">
        <v>1.0765E7</v>
      </c>
      <c r="C412" s="23">
        <f t="shared" si="1"/>
        <v>606084.2466</v>
      </c>
      <c r="D412" s="18">
        <f>IF(A412="","",MATCH(A412,Calculation!B$2:B9627,1))</f>
        <v>1</v>
      </c>
      <c r="E412" s="23">
        <f t="array" ref="E412">IF(D412="","",IF(D412=1,0,INDEX(Calculation!Q$2:Q9627,D412-1)))</f>
        <v>0</v>
      </c>
      <c r="F412" s="23">
        <f t="array" ref="F412">IF($A412="","",
  LET(
    r, $D412,
    startD, INDEX(Calculation!B$2:B9627, r),
    endD,   INDEX(Calculation!C$2:C9627, r),
    asOf,   MIN($A412,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606084.2466</v>
      </c>
    </row>
    <row r="413">
      <c r="A413" s="19">
        <v>42648.0</v>
      </c>
      <c r="B413" s="23">
        <v>1.0765E7</v>
      </c>
      <c r="C413" s="23">
        <f t="shared" si="1"/>
        <v>607558.9041</v>
      </c>
      <c r="D413" s="18">
        <f>IF(A413="","",MATCH(A413,Calculation!B$2:B9627,1))</f>
        <v>1</v>
      </c>
      <c r="E413" s="23">
        <f t="array" ref="E413">IF(D413="","",IF(D413=1,0,INDEX(Calculation!Q$2:Q9627,D413-1)))</f>
        <v>0</v>
      </c>
      <c r="F413" s="23">
        <f t="array" ref="F413">IF($A413="","",
  LET(
    r, $D413,
    startD, INDEX(Calculation!B$2:B9627, r),
    endD,   INDEX(Calculation!C$2:C9627, r),
    asOf,   MIN($A413,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607558.9041</v>
      </c>
    </row>
    <row r="414">
      <c r="A414" s="19">
        <v>42649.0</v>
      </c>
      <c r="B414" s="23">
        <v>1.0765E7</v>
      </c>
      <c r="C414" s="23">
        <f t="shared" si="1"/>
        <v>609033.5616</v>
      </c>
      <c r="D414" s="18">
        <f>IF(A414="","",MATCH(A414,Calculation!B$2:B9627,1))</f>
        <v>1</v>
      </c>
      <c r="E414" s="23">
        <f t="array" ref="E414">IF(D414="","",IF(D414=1,0,INDEX(Calculation!Q$2:Q9627,D414-1)))</f>
        <v>0</v>
      </c>
      <c r="F414" s="23">
        <f t="array" ref="F414">IF($A414="","",
  LET(
    r, $D414,
    startD, INDEX(Calculation!B$2:B9627, r),
    endD,   INDEX(Calculation!C$2:C9627, r),
    asOf,   MIN($A414,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609033.5616</v>
      </c>
    </row>
    <row r="415">
      <c r="A415" s="19">
        <v>42650.0</v>
      </c>
      <c r="B415" s="23">
        <v>1.0765E7</v>
      </c>
      <c r="C415" s="23">
        <f t="shared" si="1"/>
        <v>610508.2192</v>
      </c>
      <c r="D415" s="18">
        <f>IF(A415="","",MATCH(A415,Calculation!B$2:B9627,1))</f>
        <v>1</v>
      </c>
      <c r="E415" s="23">
        <f t="array" ref="E415">IF(D415="","",IF(D415=1,0,INDEX(Calculation!Q$2:Q9627,D415-1)))</f>
        <v>0</v>
      </c>
      <c r="F415" s="23">
        <f t="array" ref="F415">IF($A415="","",
  LET(
    r, $D415,
    startD, INDEX(Calculation!B$2:B9627, r),
    endD,   INDEX(Calculation!C$2:C9627, r),
    asOf,   MIN($A415,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610508.2192</v>
      </c>
    </row>
    <row r="416">
      <c r="A416" s="19">
        <v>42651.0</v>
      </c>
      <c r="B416" s="23">
        <v>1.0765E7</v>
      </c>
      <c r="C416" s="23">
        <f t="shared" si="1"/>
        <v>611982.8767</v>
      </c>
      <c r="D416" s="18">
        <f>IF(A416="","",MATCH(A416,Calculation!B$2:B9627,1))</f>
        <v>1</v>
      </c>
      <c r="E416" s="23">
        <f t="array" ref="E416">IF(D416="","",IF(D416=1,0,INDEX(Calculation!Q$2:Q9627,D416-1)))</f>
        <v>0</v>
      </c>
      <c r="F416" s="23">
        <f t="array" ref="F416">IF($A416="","",
  LET(
    r, $D416,
    startD, INDEX(Calculation!B$2:B9627, r),
    endD,   INDEX(Calculation!C$2:C9627, r),
    asOf,   MIN($A416,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611982.8767</v>
      </c>
    </row>
    <row r="417">
      <c r="A417" s="19">
        <v>42652.0</v>
      </c>
      <c r="B417" s="23">
        <v>1.0765E7</v>
      </c>
      <c r="C417" s="23">
        <f t="shared" si="1"/>
        <v>613457.5342</v>
      </c>
      <c r="D417" s="18">
        <f>IF(A417="","",MATCH(A417,Calculation!B$2:B9627,1))</f>
        <v>1</v>
      </c>
      <c r="E417" s="23">
        <f t="array" ref="E417">IF(D417="","",IF(D417=1,0,INDEX(Calculation!Q$2:Q9627,D417-1)))</f>
        <v>0</v>
      </c>
      <c r="F417" s="23">
        <f t="array" ref="F417">IF($A417="","",
  LET(
    r, $D417,
    startD, INDEX(Calculation!B$2:B9627, r),
    endD,   INDEX(Calculation!C$2:C9627, r),
    asOf,   MIN($A417,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613457.5342</v>
      </c>
    </row>
    <row r="418">
      <c r="A418" s="19">
        <v>42653.0</v>
      </c>
      <c r="B418" s="23">
        <v>1.0765E7</v>
      </c>
      <c r="C418" s="23">
        <f t="shared" si="1"/>
        <v>614932.1918</v>
      </c>
      <c r="D418" s="18">
        <f>IF(A418="","",MATCH(A418,Calculation!B$2:B9627,1))</f>
        <v>1</v>
      </c>
      <c r="E418" s="23">
        <f t="array" ref="E418">IF(D418="","",IF(D418=1,0,INDEX(Calculation!Q$2:Q9627,D418-1)))</f>
        <v>0</v>
      </c>
      <c r="F418" s="23">
        <f t="array" ref="F418">IF($A418="","",
  LET(
    r, $D418,
    startD, INDEX(Calculation!B$2:B9627, r),
    endD,   INDEX(Calculation!C$2:C9627, r),
    asOf,   MIN($A418,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614932.1918</v>
      </c>
    </row>
    <row r="419">
      <c r="A419" s="19">
        <v>42654.0</v>
      </c>
      <c r="B419" s="23">
        <v>1.0765E7</v>
      </c>
      <c r="C419" s="23">
        <f t="shared" si="1"/>
        <v>616406.8493</v>
      </c>
      <c r="D419" s="18">
        <f>IF(A419="","",MATCH(A419,Calculation!B$2:B9627,1))</f>
        <v>1</v>
      </c>
      <c r="E419" s="23">
        <f t="array" ref="E419">IF(D419="","",IF(D419=1,0,INDEX(Calculation!Q$2:Q9627,D419-1)))</f>
        <v>0</v>
      </c>
      <c r="F419" s="23">
        <f t="array" ref="F419">IF($A419="","",
  LET(
    r, $D419,
    startD, INDEX(Calculation!B$2:B9627, r),
    endD,   INDEX(Calculation!C$2:C9627, r),
    asOf,   MIN($A419,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616406.8493</v>
      </c>
    </row>
    <row r="420">
      <c r="A420" s="19">
        <v>42655.0</v>
      </c>
      <c r="B420" s="23">
        <v>1.0765E7</v>
      </c>
      <c r="C420" s="23">
        <f t="shared" si="1"/>
        <v>617881.5068</v>
      </c>
      <c r="D420" s="18">
        <f>IF(A420="","",MATCH(A420,Calculation!B$2:B9627,1))</f>
        <v>1</v>
      </c>
      <c r="E420" s="23">
        <f t="array" ref="E420">IF(D420="","",IF(D420=1,0,INDEX(Calculation!Q$2:Q9627,D420-1)))</f>
        <v>0</v>
      </c>
      <c r="F420" s="23">
        <f t="array" ref="F420">IF($A420="","",
  LET(
    r, $D420,
    startD, INDEX(Calculation!B$2:B9627, r),
    endD,   INDEX(Calculation!C$2:C9627, r),
    asOf,   MIN($A420,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617881.5068</v>
      </c>
    </row>
    <row r="421">
      <c r="A421" s="19">
        <v>42656.0</v>
      </c>
      <c r="B421" s="23">
        <v>1.0765E7</v>
      </c>
      <c r="C421" s="23">
        <f t="shared" si="1"/>
        <v>619356.1644</v>
      </c>
      <c r="D421" s="18">
        <f>IF(A421="","",MATCH(A421,Calculation!B$2:B9627,1))</f>
        <v>1</v>
      </c>
      <c r="E421" s="23">
        <f t="array" ref="E421">IF(D421="","",IF(D421=1,0,INDEX(Calculation!Q$2:Q9627,D421-1)))</f>
        <v>0</v>
      </c>
      <c r="F421" s="23">
        <f t="array" ref="F421">IF($A421="","",
  LET(
    r, $D421,
    startD, INDEX(Calculation!B$2:B9627, r),
    endD,   INDEX(Calculation!C$2:C9627, r),
    asOf,   MIN($A421,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619356.1644</v>
      </c>
    </row>
    <row r="422">
      <c r="A422" s="19">
        <v>42657.0</v>
      </c>
      <c r="B422" s="23">
        <v>1.0765E7</v>
      </c>
      <c r="C422" s="23">
        <f t="shared" si="1"/>
        <v>620830.8219</v>
      </c>
      <c r="D422" s="18">
        <f>IF(A422="","",MATCH(A422,Calculation!B$2:B9627,1))</f>
        <v>1</v>
      </c>
      <c r="E422" s="23">
        <f t="array" ref="E422">IF(D422="","",IF(D422=1,0,INDEX(Calculation!Q$2:Q9627,D422-1)))</f>
        <v>0</v>
      </c>
      <c r="F422" s="23">
        <f t="array" ref="F422">IF($A422="","",
  LET(
    r, $D422,
    startD, INDEX(Calculation!B$2:B9627, r),
    endD,   INDEX(Calculation!C$2:C9627, r),
    asOf,   MIN($A422,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620830.8219</v>
      </c>
    </row>
    <row r="423">
      <c r="A423" s="19">
        <v>42658.0</v>
      </c>
      <c r="B423" s="23">
        <v>1.0765E7</v>
      </c>
      <c r="C423" s="23">
        <f t="shared" si="1"/>
        <v>622305.4795</v>
      </c>
      <c r="D423" s="18">
        <f>IF(A423="","",MATCH(A423,Calculation!B$2:B9627,1))</f>
        <v>1</v>
      </c>
      <c r="E423" s="23">
        <f t="array" ref="E423">IF(D423="","",IF(D423=1,0,INDEX(Calculation!Q$2:Q9627,D423-1)))</f>
        <v>0</v>
      </c>
      <c r="F423" s="23">
        <f t="array" ref="F423">IF($A423="","",
  LET(
    r, $D423,
    startD, INDEX(Calculation!B$2:B9627, r),
    endD,   INDEX(Calculation!C$2:C9627, r),
    asOf,   MIN($A423,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622305.4795</v>
      </c>
    </row>
    <row r="424">
      <c r="A424" s="19">
        <v>42659.0</v>
      </c>
      <c r="B424" s="23">
        <v>1.0765E7</v>
      </c>
      <c r="C424" s="23">
        <f t="shared" si="1"/>
        <v>623780.137</v>
      </c>
      <c r="D424" s="18">
        <f>IF(A424="","",MATCH(A424,Calculation!B$2:B9627,1))</f>
        <v>1</v>
      </c>
      <c r="E424" s="23">
        <f t="array" ref="E424">IF(D424="","",IF(D424=1,0,INDEX(Calculation!Q$2:Q9627,D424-1)))</f>
        <v>0</v>
      </c>
      <c r="F424" s="23">
        <f t="array" ref="F424">IF($A424="","",
  LET(
    r, $D424,
    startD, INDEX(Calculation!B$2:B9627, r),
    endD,   INDEX(Calculation!C$2:C9627, r),
    asOf,   MIN($A424,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623780.137</v>
      </c>
    </row>
    <row r="425">
      <c r="A425" s="19">
        <v>42660.0</v>
      </c>
      <c r="B425" s="23">
        <v>1.0765E7</v>
      </c>
      <c r="C425" s="23">
        <f t="shared" si="1"/>
        <v>625254.7945</v>
      </c>
      <c r="D425" s="18">
        <f>IF(A425="","",MATCH(A425,Calculation!B$2:B9627,1))</f>
        <v>1</v>
      </c>
      <c r="E425" s="23">
        <f t="array" ref="E425">IF(D425="","",IF(D425=1,0,INDEX(Calculation!Q$2:Q9627,D425-1)))</f>
        <v>0</v>
      </c>
      <c r="F425" s="23">
        <f t="array" ref="F425">IF($A425="","",
  LET(
    r, $D425,
    startD, INDEX(Calculation!B$2:B9627, r),
    endD,   INDEX(Calculation!C$2:C9627, r),
    asOf,   MIN($A425,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625254.7945</v>
      </c>
    </row>
    <row r="426">
      <c r="A426" s="19">
        <v>42661.0</v>
      </c>
      <c r="B426" s="23">
        <v>1.0765E7</v>
      </c>
      <c r="C426" s="23">
        <f t="shared" si="1"/>
        <v>626729.4521</v>
      </c>
      <c r="D426" s="18">
        <f>IF(A426="","",MATCH(A426,Calculation!B$2:B9627,1))</f>
        <v>1</v>
      </c>
      <c r="E426" s="23">
        <f t="array" ref="E426">IF(D426="","",IF(D426=1,0,INDEX(Calculation!Q$2:Q9627,D426-1)))</f>
        <v>0</v>
      </c>
      <c r="F426" s="23">
        <f t="array" ref="F426">IF($A426="","",
  LET(
    r, $D426,
    startD, INDEX(Calculation!B$2:B9627, r),
    endD,   INDEX(Calculation!C$2:C9627, r),
    asOf,   MIN($A426,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626729.4521</v>
      </c>
    </row>
    <row r="427">
      <c r="A427" s="19">
        <v>42662.0</v>
      </c>
      <c r="B427" s="23">
        <v>1.0765E7</v>
      </c>
      <c r="C427" s="23">
        <f t="shared" si="1"/>
        <v>628204.1096</v>
      </c>
      <c r="D427" s="18">
        <f>IF(A427="","",MATCH(A427,Calculation!B$2:B9627,1))</f>
        <v>1</v>
      </c>
      <c r="E427" s="23">
        <f t="array" ref="E427">IF(D427="","",IF(D427=1,0,INDEX(Calculation!Q$2:Q9627,D427-1)))</f>
        <v>0</v>
      </c>
      <c r="F427" s="23">
        <f t="array" ref="F427">IF($A427="","",
  LET(
    r, $D427,
    startD, INDEX(Calculation!B$2:B9627, r),
    endD,   INDEX(Calculation!C$2:C9627, r),
    asOf,   MIN($A427,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628204.1096</v>
      </c>
    </row>
    <row r="428">
      <c r="A428" s="19">
        <v>42663.0</v>
      </c>
      <c r="B428" s="23">
        <v>1.0765E7</v>
      </c>
      <c r="C428" s="23">
        <f t="shared" si="1"/>
        <v>629678.7671</v>
      </c>
      <c r="D428" s="18">
        <f>IF(A428="","",MATCH(A428,Calculation!B$2:B9627,1))</f>
        <v>1</v>
      </c>
      <c r="E428" s="23">
        <f t="array" ref="E428">IF(D428="","",IF(D428=1,0,INDEX(Calculation!Q$2:Q9627,D428-1)))</f>
        <v>0</v>
      </c>
      <c r="F428" s="23">
        <f t="array" ref="F428">IF($A428="","",
  LET(
    r, $D428,
    startD, INDEX(Calculation!B$2:B9627, r),
    endD,   INDEX(Calculation!C$2:C9627, r),
    asOf,   MIN($A428,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629678.7671</v>
      </c>
    </row>
    <row r="429">
      <c r="A429" s="19">
        <v>42664.0</v>
      </c>
      <c r="B429" s="23">
        <v>1.0765E7</v>
      </c>
      <c r="C429" s="23">
        <f t="shared" si="1"/>
        <v>631153.4247</v>
      </c>
      <c r="D429" s="18">
        <f>IF(A429="","",MATCH(A429,Calculation!B$2:B9627,1))</f>
        <v>1</v>
      </c>
      <c r="E429" s="23">
        <f t="array" ref="E429">IF(D429="","",IF(D429=1,0,INDEX(Calculation!Q$2:Q9627,D429-1)))</f>
        <v>0</v>
      </c>
      <c r="F429" s="23">
        <f t="array" ref="F429">IF($A429="","",
  LET(
    r, $D429,
    startD, INDEX(Calculation!B$2:B9627, r),
    endD,   INDEX(Calculation!C$2:C9627, r),
    asOf,   MIN($A429,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631153.4247</v>
      </c>
    </row>
    <row r="430">
      <c r="A430" s="19">
        <v>42665.0</v>
      </c>
      <c r="B430" s="23">
        <v>1.0765E7</v>
      </c>
      <c r="C430" s="23">
        <f t="shared" si="1"/>
        <v>632628.0822</v>
      </c>
      <c r="D430" s="18">
        <f>IF(A430="","",MATCH(A430,Calculation!B$2:B9627,1))</f>
        <v>1</v>
      </c>
      <c r="E430" s="23">
        <f t="array" ref="E430">IF(D430="","",IF(D430=1,0,INDEX(Calculation!Q$2:Q9627,D430-1)))</f>
        <v>0</v>
      </c>
      <c r="F430" s="23">
        <f t="array" ref="F430">IF($A430="","",
  LET(
    r, $D430,
    startD, INDEX(Calculation!B$2:B9627, r),
    endD,   INDEX(Calculation!C$2:C9627, r),
    asOf,   MIN($A430,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632628.0822</v>
      </c>
    </row>
    <row r="431">
      <c r="A431" s="19">
        <v>42666.0</v>
      </c>
      <c r="B431" s="23">
        <v>1.0765E7</v>
      </c>
      <c r="C431" s="23">
        <f t="shared" si="1"/>
        <v>634102.7397</v>
      </c>
      <c r="D431" s="18">
        <f>IF(A431="","",MATCH(A431,Calculation!B$2:B9627,1))</f>
        <v>1</v>
      </c>
      <c r="E431" s="23">
        <f t="array" ref="E431">IF(D431="","",IF(D431=1,0,INDEX(Calculation!Q$2:Q9627,D431-1)))</f>
        <v>0</v>
      </c>
      <c r="F431" s="23">
        <f t="array" ref="F431">IF($A431="","",
  LET(
    r, $D431,
    startD, INDEX(Calculation!B$2:B9627, r),
    endD,   INDEX(Calculation!C$2:C9627, r),
    asOf,   MIN($A431,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634102.7397</v>
      </c>
    </row>
    <row r="432">
      <c r="A432" s="19">
        <v>42667.0</v>
      </c>
      <c r="B432" s="23">
        <v>1.0765E7</v>
      </c>
      <c r="C432" s="23">
        <f t="shared" si="1"/>
        <v>635577.3973</v>
      </c>
      <c r="D432" s="18">
        <f>IF(A432="","",MATCH(A432,Calculation!B$2:B9627,1))</f>
        <v>1</v>
      </c>
      <c r="E432" s="23">
        <f t="array" ref="E432">IF(D432="","",IF(D432=1,0,INDEX(Calculation!Q$2:Q9627,D432-1)))</f>
        <v>0</v>
      </c>
      <c r="F432" s="23">
        <f t="array" ref="F432">IF($A432="","",
  LET(
    r, $D432,
    startD, INDEX(Calculation!B$2:B9627, r),
    endD,   INDEX(Calculation!C$2:C9627, r),
    asOf,   MIN($A432,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635577.3973</v>
      </c>
    </row>
    <row r="433">
      <c r="A433" s="19">
        <v>42668.0</v>
      </c>
      <c r="B433" s="23">
        <v>1.0765E7</v>
      </c>
      <c r="C433" s="23">
        <f t="shared" si="1"/>
        <v>637052.0548</v>
      </c>
      <c r="D433" s="18">
        <f>IF(A433="","",MATCH(A433,Calculation!B$2:B9627,1))</f>
        <v>1</v>
      </c>
      <c r="E433" s="23">
        <f t="array" ref="E433">IF(D433="","",IF(D433=1,0,INDEX(Calculation!Q$2:Q9627,D433-1)))</f>
        <v>0</v>
      </c>
      <c r="F433" s="23">
        <f t="array" ref="F433">IF($A433="","",
  LET(
    r, $D433,
    startD, INDEX(Calculation!B$2:B9627, r),
    endD,   INDEX(Calculation!C$2:C9627, r),
    asOf,   MIN($A433,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637052.0548</v>
      </c>
    </row>
    <row r="434">
      <c r="A434" s="19">
        <v>42669.0</v>
      </c>
      <c r="B434" s="23">
        <v>1.0765E7</v>
      </c>
      <c r="C434" s="23">
        <f t="shared" si="1"/>
        <v>638526.7123</v>
      </c>
      <c r="D434" s="18">
        <f>IF(A434="","",MATCH(A434,Calculation!B$2:B9627,1))</f>
        <v>1</v>
      </c>
      <c r="E434" s="23">
        <f t="array" ref="E434">IF(D434="","",IF(D434=1,0,INDEX(Calculation!Q$2:Q9627,D434-1)))</f>
        <v>0</v>
      </c>
      <c r="F434" s="23">
        <f t="array" ref="F434">IF($A434="","",
  LET(
    r, $D434,
    startD, INDEX(Calculation!B$2:B9627, r),
    endD,   INDEX(Calculation!C$2:C9627, r),
    asOf,   MIN($A434,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638526.7123</v>
      </c>
    </row>
    <row r="435">
      <c r="A435" s="19">
        <v>42670.0</v>
      </c>
      <c r="B435" s="23">
        <v>1.0765E7</v>
      </c>
      <c r="C435" s="23">
        <f t="shared" si="1"/>
        <v>640001.3699</v>
      </c>
      <c r="D435" s="18">
        <f>IF(A435="","",MATCH(A435,Calculation!B$2:B9627,1))</f>
        <v>1</v>
      </c>
      <c r="E435" s="23">
        <f t="array" ref="E435">IF(D435="","",IF(D435=1,0,INDEX(Calculation!Q$2:Q9627,D435-1)))</f>
        <v>0</v>
      </c>
      <c r="F435" s="23">
        <f t="array" ref="F435">IF($A435="","",
  LET(
    r, $D435,
    startD, INDEX(Calculation!B$2:B9627, r),
    endD,   INDEX(Calculation!C$2:C9627, r),
    asOf,   MIN($A435,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640001.3699</v>
      </c>
    </row>
    <row r="436">
      <c r="A436" s="19">
        <v>42671.0</v>
      </c>
      <c r="B436" s="23">
        <v>1.0765E7</v>
      </c>
      <c r="C436" s="23">
        <f t="shared" si="1"/>
        <v>641476.0274</v>
      </c>
      <c r="D436" s="18">
        <f>IF(A436="","",MATCH(A436,Calculation!B$2:B9627,1))</f>
        <v>1</v>
      </c>
      <c r="E436" s="23">
        <f t="array" ref="E436">IF(D436="","",IF(D436=1,0,INDEX(Calculation!Q$2:Q9627,D436-1)))</f>
        <v>0</v>
      </c>
      <c r="F436" s="23">
        <f t="array" ref="F436">IF($A436="","",
  LET(
    r, $D436,
    startD, INDEX(Calculation!B$2:B9627, r),
    endD,   INDEX(Calculation!C$2:C9627, r),
    asOf,   MIN($A436,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641476.0274</v>
      </c>
    </row>
    <row r="437">
      <c r="A437" s="19">
        <v>42672.0</v>
      </c>
      <c r="B437" s="23">
        <v>1.0765E7</v>
      </c>
      <c r="C437" s="23">
        <f t="shared" si="1"/>
        <v>642950.6849</v>
      </c>
      <c r="D437" s="18">
        <f>IF(A437="","",MATCH(A437,Calculation!B$2:B9627,1))</f>
        <v>1</v>
      </c>
      <c r="E437" s="23">
        <f t="array" ref="E437">IF(D437="","",IF(D437=1,0,INDEX(Calculation!Q$2:Q9627,D437-1)))</f>
        <v>0</v>
      </c>
      <c r="F437" s="23">
        <f t="array" ref="F437">IF($A437="","",
  LET(
    r, $D437,
    startD, INDEX(Calculation!B$2:B9627, r),
    endD,   INDEX(Calculation!C$2:C9627, r),
    asOf,   MIN($A437,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642950.6849</v>
      </c>
    </row>
    <row r="438">
      <c r="A438" s="19">
        <v>42673.0</v>
      </c>
      <c r="B438" s="23">
        <v>1.0765E7</v>
      </c>
      <c r="C438" s="23">
        <f t="shared" si="1"/>
        <v>644425.3425</v>
      </c>
      <c r="D438" s="18">
        <f>IF(A438="","",MATCH(A438,Calculation!B$2:B9627,1))</f>
        <v>1</v>
      </c>
      <c r="E438" s="23">
        <f t="array" ref="E438">IF(D438="","",IF(D438=1,0,INDEX(Calculation!Q$2:Q9627,D438-1)))</f>
        <v>0</v>
      </c>
      <c r="F438" s="23">
        <f t="array" ref="F438">IF($A438="","",
  LET(
    r, $D438,
    startD, INDEX(Calculation!B$2:B9627, r),
    endD,   INDEX(Calculation!C$2:C9627, r),
    asOf,   MIN($A438,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644425.3425</v>
      </c>
    </row>
    <row r="439">
      <c r="A439" s="19">
        <v>42674.0</v>
      </c>
      <c r="B439" s="23">
        <v>1.0765E7</v>
      </c>
      <c r="C439" s="23">
        <f t="shared" si="1"/>
        <v>645900</v>
      </c>
      <c r="D439" s="18">
        <f>IF(A439="","",MATCH(A439,Calculation!B$2:B9627,1))</f>
        <v>1</v>
      </c>
      <c r="E439" s="23">
        <f t="array" ref="E439">IF(D439="","",IF(D439=1,0,INDEX(Calculation!Q$2:Q9627,D439-1)))</f>
        <v>0</v>
      </c>
      <c r="F439" s="23">
        <f t="array" ref="F439">IF($A439="","",
  LET(
    r, $D439,
    startD, INDEX(Calculation!B$2:B9627, r),
    endD,   INDEX(Calculation!C$2:C9627, r),
    asOf,   MIN($A439,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645900</v>
      </c>
    </row>
    <row r="440">
      <c r="A440" s="19">
        <v>42675.0</v>
      </c>
      <c r="B440" s="23">
        <v>1.0765E7</v>
      </c>
      <c r="C440" s="23">
        <f t="shared" si="1"/>
        <v>647374.6575</v>
      </c>
      <c r="D440" s="18">
        <f>IF(A440="","",MATCH(A440,Calculation!B$2:B9627,1))</f>
        <v>1</v>
      </c>
      <c r="E440" s="23">
        <f t="array" ref="E440">IF(D440="","",IF(D440=1,0,INDEX(Calculation!Q$2:Q9627,D440-1)))</f>
        <v>0</v>
      </c>
      <c r="F440" s="23">
        <f t="array" ref="F440">IF($A440="","",
  LET(
    r, $D440,
    startD, INDEX(Calculation!B$2:B9627, r),
    endD,   INDEX(Calculation!C$2:C9627, r),
    asOf,   MIN($A440,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647374.6575</v>
      </c>
    </row>
    <row r="441">
      <c r="A441" s="19">
        <v>42676.0</v>
      </c>
      <c r="B441" s="23">
        <v>1.0765E7</v>
      </c>
      <c r="C441" s="23">
        <f t="shared" si="1"/>
        <v>648849.3151</v>
      </c>
      <c r="D441" s="18">
        <f>IF(A441="","",MATCH(A441,Calculation!B$2:B9627,1))</f>
        <v>1</v>
      </c>
      <c r="E441" s="23">
        <f t="array" ref="E441">IF(D441="","",IF(D441=1,0,INDEX(Calculation!Q$2:Q9627,D441-1)))</f>
        <v>0</v>
      </c>
      <c r="F441" s="23">
        <f t="array" ref="F441">IF($A441="","",
  LET(
    r, $D441,
    startD, INDEX(Calculation!B$2:B9627, r),
    endD,   INDEX(Calculation!C$2:C9627, r),
    asOf,   MIN($A441,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648849.3151</v>
      </c>
    </row>
    <row r="442">
      <c r="A442" s="19">
        <v>42677.0</v>
      </c>
      <c r="B442" s="23">
        <v>1.0765E7</v>
      </c>
      <c r="C442" s="23">
        <f t="shared" si="1"/>
        <v>650323.9726</v>
      </c>
      <c r="D442" s="18">
        <f>IF(A442="","",MATCH(A442,Calculation!B$2:B9627,1))</f>
        <v>1</v>
      </c>
      <c r="E442" s="23">
        <f t="array" ref="E442">IF(D442="","",IF(D442=1,0,INDEX(Calculation!Q$2:Q9627,D442-1)))</f>
        <v>0</v>
      </c>
      <c r="F442" s="23">
        <f t="array" ref="F442">IF($A442="","",
  LET(
    r, $D442,
    startD, INDEX(Calculation!B$2:B9627, r),
    endD,   INDEX(Calculation!C$2:C9627, r),
    asOf,   MIN($A442,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650323.9726</v>
      </c>
    </row>
    <row r="443">
      <c r="A443" s="19">
        <v>42678.0</v>
      </c>
      <c r="B443" s="23">
        <v>1.0765E7</v>
      </c>
      <c r="C443" s="23">
        <f t="shared" si="1"/>
        <v>651798.6301</v>
      </c>
      <c r="D443" s="18">
        <f>IF(A443="","",MATCH(A443,Calculation!B$2:B9627,1))</f>
        <v>1</v>
      </c>
      <c r="E443" s="23">
        <f t="array" ref="E443">IF(D443="","",IF(D443=1,0,INDEX(Calculation!Q$2:Q9627,D443-1)))</f>
        <v>0</v>
      </c>
      <c r="F443" s="23">
        <f t="array" ref="F443">IF($A443="","",
  LET(
    r, $D443,
    startD, INDEX(Calculation!B$2:B9627, r),
    endD,   INDEX(Calculation!C$2:C9627, r),
    asOf,   MIN($A443,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651798.6301</v>
      </c>
    </row>
    <row r="444">
      <c r="A444" s="19">
        <v>42679.0</v>
      </c>
      <c r="B444" s="23">
        <v>1.0765E7</v>
      </c>
      <c r="C444" s="23">
        <f t="shared" si="1"/>
        <v>653273.2877</v>
      </c>
      <c r="D444" s="18">
        <f>IF(A444="","",MATCH(A444,Calculation!B$2:B9627,1))</f>
        <v>1</v>
      </c>
      <c r="E444" s="23">
        <f t="array" ref="E444">IF(D444="","",IF(D444=1,0,INDEX(Calculation!Q$2:Q9627,D444-1)))</f>
        <v>0</v>
      </c>
      <c r="F444" s="23">
        <f t="array" ref="F444">IF($A444="","",
  LET(
    r, $D444,
    startD, INDEX(Calculation!B$2:B9627, r),
    endD,   INDEX(Calculation!C$2:C9627, r),
    asOf,   MIN($A444,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653273.2877</v>
      </c>
    </row>
    <row r="445">
      <c r="A445" s="19">
        <v>42680.0</v>
      </c>
      <c r="B445" s="23">
        <v>1.0765E7</v>
      </c>
      <c r="C445" s="23">
        <f t="shared" si="1"/>
        <v>654747.9452</v>
      </c>
      <c r="D445" s="18">
        <f>IF(A445="","",MATCH(A445,Calculation!B$2:B9627,1))</f>
        <v>1</v>
      </c>
      <c r="E445" s="23">
        <f t="array" ref="E445">IF(D445="","",IF(D445=1,0,INDEX(Calculation!Q$2:Q9627,D445-1)))</f>
        <v>0</v>
      </c>
      <c r="F445" s="23">
        <f t="array" ref="F445">IF($A445="","",
  LET(
    r, $D445,
    startD, INDEX(Calculation!B$2:B9627, r),
    endD,   INDEX(Calculation!C$2:C9627, r),
    asOf,   MIN($A445,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654747.9452</v>
      </c>
    </row>
    <row r="446">
      <c r="A446" s="19">
        <v>42681.0</v>
      </c>
      <c r="B446" s="23">
        <v>1.0765E7</v>
      </c>
      <c r="C446" s="23">
        <f t="shared" si="1"/>
        <v>656222.6027</v>
      </c>
      <c r="D446" s="18">
        <f>IF(A446="","",MATCH(A446,Calculation!B$2:B9627,1))</f>
        <v>1</v>
      </c>
      <c r="E446" s="23">
        <f t="array" ref="E446">IF(D446="","",IF(D446=1,0,INDEX(Calculation!Q$2:Q9627,D446-1)))</f>
        <v>0</v>
      </c>
      <c r="F446" s="23">
        <f t="array" ref="F446">IF($A446="","",
  LET(
    r, $D446,
    startD, INDEX(Calculation!B$2:B9627, r),
    endD,   INDEX(Calculation!C$2:C9627, r),
    asOf,   MIN($A446,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656222.6027</v>
      </c>
    </row>
    <row r="447">
      <c r="A447" s="19">
        <v>42682.0</v>
      </c>
      <c r="B447" s="23">
        <v>1.0765E7</v>
      </c>
      <c r="C447" s="23">
        <f t="shared" si="1"/>
        <v>657697.2603</v>
      </c>
      <c r="D447" s="18">
        <f>IF(A447="","",MATCH(A447,Calculation!B$2:B9627,1))</f>
        <v>1</v>
      </c>
      <c r="E447" s="23">
        <f t="array" ref="E447">IF(D447="","",IF(D447=1,0,INDEX(Calculation!Q$2:Q9627,D447-1)))</f>
        <v>0</v>
      </c>
      <c r="F447" s="23">
        <f t="array" ref="F447">IF($A447="","",
  LET(
    r, $D447,
    startD, INDEX(Calculation!B$2:B9627, r),
    endD,   INDEX(Calculation!C$2:C9627, r),
    asOf,   MIN($A447,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657697.2603</v>
      </c>
    </row>
    <row r="448">
      <c r="A448" s="19">
        <v>42683.0</v>
      </c>
      <c r="B448" s="23">
        <v>1.0765E7</v>
      </c>
      <c r="C448" s="23">
        <f t="shared" si="1"/>
        <v>659171.9178</v>
      </c>
      <c r="D448" s="18">
        <f>IF(A448="","",MATCH(A448,Calculation!B$2:B9627,1))</f>
        <v>1</v>
      </c>
      <c r="E448" s="23">
        <f t="array" ref="E448">IF(D448="","",IF(D448=1,0,INDEX(Calculation!Q$2:Q9627,D448-1)))</f>
        <v>0</v>
      </c>
      <c r="F448" s="23">
        <f t="array" ref="F448">IF($A448="","",
  LET(
    r, $D448,
    startD, INDEX(Calculation!B$2:B9627, r),
    endD,   INDEX(Calculation!C$2:C9627, r),
    asOf,   MIN($A448,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659171.9178</v>
      </c>
    </row>
    <row r="449">
      <c r="A449" s="19">
        <v>42684.0</v>
      </c>
      <c r="B449" s="23">
        <v>1.0765E7</v>
      </c>
      <c r="C449" s="23">
        <f t="shared" si="1"/>
        <v>660646.5753</v>
      </c>
      <c r="D449" s="18">
        <f>IF(A449="","",MATCH(A449,Calculation!B$2:B9627,1))</f>
        <v>1</v>
      </c>
      <c r="E449" s="23">
        <f t="array" ref="E449">IF(D449="","",IF(D449=1,0,INDEX(Calculation!Q$2:Q9627,D449-1)))</f>
        <v>0</v>
      </c>
      <c r="F449" s="23">
        <f t="array" ref="F449">IF($A449="","",
  LET(
    r, $D449,
    startD, INDEX(Calculation!B$2:B9627, r),
    endD,   INDEX(Calculation!C$2:C9627, r),
    asOf,   MIN($A449,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660646.5753</v>
      </c>
    </row>
    <row r="450">
      <c r="A450" s="19">
        <v>42685.0</v>
      </c>
      <c r="B450" s="23">
        <v>1.0765E7</v>
      </c>
      <c r="C450" s="23">
        <f t="shared" si="1"/>
        <v>662121.2329</v>
      </c>
      <c r="D450" s="18">
        <f>IF(A450="","",MATCH(A450,Calculation!B$2:B9627,1))</f>
        <v>1</v>
      </c>
      <c r="E450" s="23">
        <f t="array" ref="E450">IF(D450="","",IF(D450=1,0,INDEX(Calculation!Q$2:Q9627,D450-1)))</f>
        <v>0</v>
      </c>
      <c r="F450" s="23">
        <f t="array" ref="F450">IF($A450="","",
  LET(
    r, $D450,
    startD, INDEX(Calculation!B$2:B9627, r),
    endD,   INDEX(Calculation!C$2:C9627, r),
    asOf,   MIN($A450,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662121.2329</v>
      </c>
    </row>
    <row r="451">
      <c r="A451" s="19">
        <v>42686.0</v>
      </c>
      <c r="B451" s="23">
        <v>1.0765E7</v>
      </c>
      <c r="C451" s="23">
        <f t="shared" si="1"/>
        <v>663595.8904</v>
      </c>
      <c r="D451" s="18">
        <f>IF(A451="","",MATCH(A451,Calculation!B$2:B9627,1))</f>
        <v>1</v>
      </c>
      <c r="E451" s="23">
        <f t="array" ref="E451">IF(D451="","",IF(D451=1,0,INDEX(Calculation!Q$2:Q9627,D451-1)))</f>
        <v>0</v>
      </c>
      <c r="F451" s="23">
        <f t="array" ref="F451">IF($A451="","",
  LET(
    r, $D451,
    startD, INDEX(Calculation!B$2:B9627, r),
    endD,   INDEX(Calculation!C$2:C9627, r),
    asOf,   MIN($A451,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663595.8904</v>
      </c>
    </row>
    <row r="452">
      <c r="A452" s="19">
        <v>42687.0</v>
      </c>
      <c r="B452" s="23">
        <v>1.0765E7</v>
      </c>
      <c r="C452" s="23">
        <f t="shared" si="1"/>
        <v>665070.5479</v>
      </c>
      <c r="D452" s="18">
        <f>IF(A452="","",MATCH(A452,Calculation!B$2:B9627,1))</f>
        <v>1</v>
      </c>
      <c r="E452" s="23">
        <f t="array" ref="E452">IF(D452="","",IF(D452=1,0,INDEX(Calculation!Q$2:Q9627,D452-1)))</f>
        <v>0</v>
      </c>
      <c r="F452" s="23">
        <f t="array" ref="F452">IF($A452="","",
  LET(
    r, $D452,
    startD, INDEX(Calculation!B$2:B9627, r),
    endD,   INDEX(Calculation!C$2:C9627, r),
    asOf,   MIN($A452,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665070.5479</v>
      </c>
    </row>
    <row r="453">
      <c r="A453" s="19">
        <v>42688.0</v>
      </c>
      <c r="B453" s="23">
        <v>1.0765E7</v>
      </c>
      <c r="C453" s="23">
        <f t="shared" si="1"/>
        <v>666545.2055</v>
      </c>
      <c r="D453" s="18">
        <f>IF(A453="","",MATCH(A453,Calculation!B$2:B9627,1))</f>
        <v>1</v>
      </c>
      <c r="E453" s="23">
        <f t="array" ref="E453">IF(D453="","",IF(D453=1,0,INDEX(Calculation!Q$2:Q9627,D453-1)))</f>
        <v>0</v>
      </c>
      <c r="F453" s="23">
        <f t="array" ref="F453">IF($A453="","",
  LET(
    r, $D453,
    startD, INDEX(Calculation!B$2:B9627, r),
    endD,   INDEX(Calculation!C$2:C9627, r),
    asOf,   MIN($A453,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666545.2055</v>
      </c>
    </row>
    <row r="454">
      <c r="A454" s="19">
        <v>42689.0</v>
      </c>
      <c r="B454" s="23">
        <v>1.0765E7</v>
      </c>
      <c r="C454" s="23">
        <f t="shared" si="1"/>
        <v>668019.863</v>
      </c>
      <c r="D454" s="18">
        <f>IF(A454="","",MATCH(A454,Calculation!B$2:B9627,1))</f>
        <v>1</v>
      </c>
      <c r="E454" s="23">
        <f t="array" ref="E454">IF(D454="","",IF(D454=1,0,INDEX(Calculation!Q$2:Q9627,D454-1)))</f>
        <v>0</v>
      </c>
      <c r="F454" s="23">
        <f t="array" ref="F454">IF($A454="","",
  LET(
    r, $D454,
    startD, INDEX(Calculation!B$2:B9627, r),
    endD,   INDEX(Calculation!C$2:C9627, r),
    asOf,   MIN($A454,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668019.863</v>
      </c>
    </row>
    <row r="455">
      <c r="A455" s="19">
        <v>42690.0</v>
      </c>
      <c r="B455" s="23">
        <v>1.0765E7</v>
      </c>
      <c r="C455" s="23">
        <f t="shared" si="1"/>
        <v>669494.5205</v>
      </c>
      <c r="D455" s="18">
        <f>IF(A455="","",MATCH(A455,Calculation!B$2:B9627,1))</f>
        <v>1</v>
      </c>
      <c r="E455" s="23">
        <f t="array" ref="E455">IF(D455="","",IF(D455=1,0,INDEX(Calculation!Q$2:Q9627,D455-1)))</f>
        <v>0</v>
      </c>
      <c r="F455" s="23">
        <f t="array" ref="F455">IF($A455="","",
  LET(
    r, $D455,
    startD, INDEX(Calculation!B$2:B9627, r),
    endD,   INDEX(Calculation!C$2:C9627, r),
    asOf,   MIN($A455,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669494.5205</v>
      </c>
    </row>
    <row r="456">
      <c r="A456" s="19">
        <v>42691.0</v>
      </c>
      <c r="B456" s="23">
        <v>1.0765E7</v>
      </c>
      <c r="C456" s="23">
        <f t="shared" si="1"/>
        <v>670969.1781</v>
      </c>
      <c r="D456" s="18">
        <f>IF(A456="","",MATCH(A456,Calculation!B$2:B9627,1))</f>
        <v>1</v>
      </c>
      <c r="E456" s="23">
        <f t="array" ref="E456">IF(D456="","",IF(D456=1,0,INDEX(Calculation!Q$2:Q9627,D456-1)))</f>
        <v>0</v>
      </c>
      <c r="F456" s="23">
        <f t="array" ref="F456">IF($A456="","",
  LET(
    r, $D456,
    startD, INDEX(Calculation!B$2:B9627, r),
    endD,   INDEX(Calculation!C$2:C9627, r),
    asOf,   MIN($A456,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670969.1781</v>
      </c>
    </row>
    <row r="457">
      <c r="A457" s="19">
        <v>42692.0</v>
      </c>
      <c r="B457" s="23">
        <v>1.0765E7</v>
      </c>
      <c r="C457" s="23">
        <f t="shared" si="1"/>
        <v>672443.8356</v>
      </c>
      <c r="D457" s="18">
        <f>IF(A457="","",MATCH(A457,Calculation!B$2:B9627,1))</f>
        <v>1</v>
      </c>
      <c r="E457" s="23">
        <f t="array" ref="E457">IF(D457="","",IF(D457=1,0,INDEX(Calculation!Q$2:Q9627,D457-1)))</f>
        <v>0</v>
      </c>
      <c r="F457" s="23">
        <f t="array" ref="F457">IF($A457="","",
  LET(
    r, $D457,
    startD, INDEX(Calculation!B$2:B9627, r),
    endD,   INDEX(Calculation!C$2:C9627, r),
    asOf,   MIN($A457,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672443.8356</v>
      </c>
    </row>
    <row r="458">
      <c r="A458" s="19">
        <v>42693.0</v>
      </c>
      <c r="B458" s="23">
        <v>1.0765E7</v>
      </c>
      <c r="C458" s="23">
        <f t="shared" si="1"/>
        <v>673918.4932</v>
      </c>
      <c r="D458" s="18">
        <f>IF(A458="","",MATCH(A458,Calculation!B$2:B9627,1))</f>
        <v>1</v>
      </c>
      <c r="E458" s="23">
        <f t="array" ref="E458">IF(D458="","",IF(D458=1,0,INDEX(Calculation!Q$2:Q9627,D458-1)))</f>
        <v>0</v>
      </c>
      <c r="F458" s="23">
        <f t="array" ref="F458">IF($A458="","",
  LET(
    r, $D458,
    startD, INDEX(Calculation!B$2:B9627, r),
    endD,   INDEX(Calculation!C$2:C9627, r),
    asOf,   MIN($A458,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673918.4932</v>
      </c>
    </row>
    <row r="459">
      <c r="A459" s="19">
        <v>42694.0</v>
      </c>
      <c r="B459" s="23">
        <v>1.0765E7</v>
      </c>
      <c r="C459" s="23">
        <f t="shared" si="1"/>
        <v>675393.1507</v>
      </c>
      <c r="D459" s="18">
        <f>IF(A459="","",MATCH(A459,Calculation!B$2:B9627,1))</f>
        <v>1</v>
      </c>
      <c r="E459" s="23">
        <f t="array" ref="E459">IF(D459="","",IF(D459=1,0,INDEX(Calculation!Q$2:Q9627,D459-1)))</f>
        <v>0</v>
      </c>
      <c r="F459" s="23">
        <f t="array" ref="F459">IF($A459="","",
  LET(
    r, $D459,
    startD, INDEX(Calculation!B$2:B9627, r),
    endD,   INDEX(Calculation!C$2:C9627, r),
    asOf,   MIN($A459,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675393.1507</v>
      </c>
    </row>
    <row r="460">
      <c r="A460" s="19">
        <v>42695.0</v>
      </c>
      <c r="B460" s="23">
        <v>1.0765E7</v>
      </c>
      <c r="C460" s="23">
        <f t="shared" si="1"/>
        <v>676867.8082</v>
      </c>
      <c r="D460" s="18">
        <f>IF(A460="","",MATCH(A460,Calculation!B$2:B9627,1))</f>
        <v>1</v>
      </c>
      <c r="E460" s="23">
        <f t="array" ref="E460">IF(D460="","",IF(D460=1,0,INDEX(Calculation!Q$2:Q9627,D460-1)))</f>
        <v>0</v>
      </c>
      <c r="F460" s="23">
        <f t="array" ref="F460">IF($A460="","",
  LET(
    r, $D460,
    startD, INDEX(Calculation!B$2:B9627, r),
    endD,   INDEX(Calculation!C$2:C9627, r),
    asOf,   MIN($A460,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676867.8082</v>
      </c>
    </row>
    <row r="461">
      <c r="A461" s="19">
        <v>42696.0</v>
      </c>
      <c r="B461" s="23">
        <v>1.0765E7</v>
      </c>
      <c r="C461" s="23">
        <f t="shared" si="1"/>
        <v>678342.4658</v>
      </c>
      <c r="D461" s="18">
        <f>IF(A461="","",MATCH(A461,Calculation!B$2:B9627,1))</f>
        <v>1</v>
      </c>
      <c r="E461" s="23">
        <f t="array" ref="E461">IF(D461="","",IF(D461=1,0,INDEX(Calculation!Q$2:Q9627,D461-1)))</f>
        <v>0</v>
      </c>
      <c r="F461" s="23">
        <f t="array" ref="F461">IF($A461="","",
  LET(
    r, $D461,
    startD, INDEX(Calculation!B$2:B9627, r),
    endD,   INDEX(Calculation!C$2:C9627, r),
    asOf,   MIN($A461,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678342.4658</v>
      </c>
    </row>
    <row r="462">
      <c r="A462" s="19">
        <v>42697.0</v>
      </c>
      <c r="B462" s="23">
        <v>1.0765E7</v>
      </c>
      <c r="C462" s="23">
        <f t="shared" si="1"/>
        <v>679817.1233</v>
      </c>
      <c r="D462" s="18">
        <f>IF(A462="","",MATCH(A462,Calculation!B$2:B9627,1))</f>
        <v>1</v>
      </c>
      <c r="E462" s="23">
        <f t="array" ref="E462">IF(D462="","",IF(D462=1,0,INDEX(Calculation!Q$2:Q9627,D462-1)))</f>
        <v>0</v>
      </c>
      <c r="F462" s="23">
        <f t="array" ref="F462">IF($A462="","",
  LET(
    r, $D462,
    startD, INDEX(Calculation!B$2:B9627, r),
    endD,   INDEX(Calculation!C$2:C9627, r),
    asOf,   MIN($A462,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679817.1233</v>
      </c>
    </row>
    <row r="463">
      <c r="A463" s="19">
        <v>42698.0</v>
      </c>
      <c r="B463" s="23">
        <v>1.0765E7</v>
      </c>
      <c r="C463" s="23">
        <f t="shared" si="1"/>
        <v>681291.7808</v>
      </c>
      <c r="D463" s="18">
        <f>IF(A463="","",MATCH(A463,Calculation!B$2:B9627,1))</f>
        <v>1</v>
      </c>
      <c r="E463" s="23">
        <f t="array" ref="E463">IF(D463="","",IF(D463=1,0,INDEX(Calculation!Q$2:Q9627,D463-1)))</f>
        <v>0</v>
      </c>
      <c r="F463" s="23">
        <f t="array" ref="F463">IF($A463="","",
  LET(
    r, $D463,
    startD, INDEX(Calculation!B$2:B9627, r),
    endD,   INDEX(Calculation!C$2:C9627, r),
    asOf,   MIN($A463,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681291.7808</v>
      </c>
    </row>
    <row r="464">
      <c r="A464" s="19">
        <v>42699.0</v>
      </c>
      <c r="B464" s="23">
        <v>1.0765E7</v>
      </c>
      <c r="C464" s="23">
        <f t="shared" si="1"/>
        <v>682766.4384</v>
      </c>
      <c r="D464" s="18">
        <f>IF(A464="","",MATCH(A464,Calculation!B$2:B9627,1))</f>
        <v>1</v>
      </c>
      <c r="E464" s="23">
        <f t="array" ref="E464">IF(D464="","",IF(D464=1,0,INDEX(Calculation!Q$2:Q9627,D464-1)))</f>
        <v>0</v>
      </c>
      <c r="F464" s="23">
        <f t="array" ref="F464">IF($A464="","",
  LET(
    r, $D464,
    startD, INDEX(Calculation!B$2:B9627, r),
    endD,   INDEX(Calculation!C$2:C9627, r),
    asOf,   MIN($A464,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682766.4384</v>
      </c>
    </row>
    <row r="465">
      <c r="A465" s="19">
        <v>42700.0</v>
      </c>
      <c r="B465" s="23">
        <v>1.0765E7</v>
      </c>
      <c r="C465" s="23">
        <f t="shared" si="1"/>
        <v>684241.0959</v>
      </c>
      <c r="D465" s="18">
        <f>IF(A465="","",MATCH(A465,Calculation!B$2:B9627,1))</f>
        <v>1</v>
      </c>
      <c r="E465" s="23">
        <f t="array" ref="E465">IF(D465="","",IF(D465=1,0,INDEX(Calculation!Q$2:Q9627,D465-1)))</f>
        <v>0</v>
      </c>
      <c r="F465" s="23">
        <f t="array" ref="F465">IF($A465="","",
  LET(
    r, $D465,
    startD, INDEX(Calculation!B$2:B9627, r),
    endD,   INDEX(Calculation!C$2:C9627, r),
    asOf,   MIN($A465,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684241.0959</v>
      </c>
    </row>
    <row r="466">
      <c r="A466" s="19">
        <v>42701.0</v>
      </c>
      <c r="B466" s="23">
        <v>1.0765E7</v>
      </c>
      <c r="C466" s="23">
        <f t="shared" si="1"/>
        <v>685715.7534</v>
      </c>
      <c r="D466" s="18">
        <f>IF(A466="","",MATCH(A466,Calculation!B$2:B9627,1))</f>
        <v>1</v>
      </c>
      <c r="E466" s="23">
        <f t="array" ref="E466">IF(D466="","",IF(D466=1,0,INDEX(Calculation!Q$2:Q9627,D466-1)))</f>
        <v>0</v>
      </c>
      <c r="F466" s="23">
        <f t="array" ref="F466">IF($A466="","",
  LET(
    r, $D466,
    startD, INDEX(Calculation!B$2:B9627, r),
    endD,   INDEX(Calculation!C$2:C9627, r),
    asOf,   MIN($A466,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685715.7534</v>
      </c>
    </row>
    <row r="467">
      <c r="A467" s="19">
        <v>42702.0</v>
      </c>
      <c r="B467" s="23">
        <v>1.0765E7</v>
      </c>
      <c r="C467" s="23">
        <f t="shared" si="1"/>
        <v>687190.411</v>
      </c>
      <c r="D467" s="18">
        <f>IF(A467="","",MATCH(A467,Calculation!B$2:B9627,1))</f>
        <v>1</v>
      </c>
      <c r="E467" s="23">
        <f t="array" ref="E467">IF(D467="","",IF(D467=1,0,INDEX(Calculation!Q$2:Q9627,D467-1)))</f>
        <v>0</v>
      </c>
      <c r="F467" s="23">
        <f t="array" ref="F467">IF($A467="","",
  LET(
    r, $D467,
    startD, INDEX(Calculation!B$2:B9627, r),
    endD,   INDEX(Calculation!C$2:C9627, r),
    asOf,   MIN($A467,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687190.411</v>
      </c>
    </row>
    <row r="468">
      <c r="A468" s="19">
        <v>42703.0</v>
      </c>
      <c r="B468" s="23">
        <v>1.0765E7</v>
      </c>
      <c r="C468" s="23">
        <f t="shared" si="1"/>
        <v>688665.0685</v>
      </c>
      <c r="D468" s="18">
        <f>IF(A468="","",MATCH(A468,Calculation!B$2:B9627,1))</f>
        <v>1</v>
      </c>
      <c r="E468" s="23">
        <f t="array" ref="E468">IF(D468="","",IF(D468=1,0,INDEX(Calculation!Q$2:Q9627,D468-1)))</f>
        <v>0</v>
      </c>
      <c r="F468" s="23">
        <f t="array" ref="F468">IF($A468="","",
  LET(
    r, $D468,
    startD, INDEX(Calculation!B$2:B9627, r),
    endD,   INDEX(Calculation!C$2:C9627, r),
    asOf,   MIN($A468,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688665.0685</v>
      </c>
    </row>
    <row r="469">
      <c r="A469" s="19">
        <v>42704.0</v>
      </c>
      <c r="B469" s="23">
        <v>1.0765E7</v>
      </c>
      <c r="C469" s="23">
        <f t="shared" si="1"/>
        <v>690139.726</v>
      </c>
      <c r="D469" s="18">
        <f>IF(A469="","",MATCH(A469,Calculation!B$2:B9627,1))</f>
        <v>1</v>
      </c>
      <c r="E469" s="23">
        <f t="array" ref="E469">IF(D469="","",IF(D469=1,0,INDEX(Calculation!Q$2:Q9627,D469-1)))</f>
        <v>0</v>
      </c>
      <c r="F469" s="23">
        <f t="array" ref="F469">IF($A469="","",
  LET(
    r, $D469,
    startD, INDEX(Calculation!B$2:B9627, r),
    endD,   INDEX(Calculation!C$2:C9627, r),
    asOf,   MIN($A469,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690139.726</v>
      </c>
    </row>
    <row r="470">
      <c r="A470" s="19">
        <v>42705.0</v>
      </c>
      <c r="B470" s="23">
        <v>1.0765E7</v>
      </c>
      <c r="C470" s="23">
        <f t="shared" si="1"/>
        <v>691614.3836</v>
      </c>
      <c r="D470" s="18">
        <f>IF(A470="","",MATCH(A470,Calculation!B$2:B9627,1))</f>
        <v>1</v>
      </c>
      <c r="E470" s="23">
        <f t="array" ref="E470">IF(D470="","",IF(D470=1,0,INDEX(Calculation!Q$2:Q9627,D470-1)))</f>
        <v>0</v>
      </c>
      <c r="F470" s="23">
        <f t="array" ref="F470">IF($A470="","",
  LET(
    r, $D470,
    startD, INDEX(Calculation!B$2:B9627, r),
    endD,   INDEX(Calculation!C$2:C9627, r),
    asOf,   MIN($A470,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691614.3836</v>
      </c>
    </row>
    <row r="471">
      <c r="A471" s="19">
        <v>42706.0</v>
      </c>
      <c r="B471" s="23">
        <v>1.0765E7</v>
      </c>
      <c r="C471" s="23">
        <f t="shared" si="1"/>
        <v>693089.0411</v>
      </c>
      <c r="D471" s="18">
        <f>IF(A471="","",MATCH(A471,Calculation!B$2:B9627,1))</f>
        <v>1</v>
      </c>
      <c r="E471" s="23">
        <f t="array" ref="E471">IF(D471="","",IF(D471=1,0,INDEX(Calculation!Q$2:Q9627,D471-1)))</f>
        <v>0</v>
      </c>
      <c r="F471" s="23">
        <f t="array" ref="F471">IF($A471="","",
  LET(
    r, $D471,
    startD, INDEX(Calculation!B$2:B9627, r),
    endD,   INDEX(Calculation!C$2:C9627, r),
    asOf,   MIN($A471,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693089.0411</v>
      </c>
    </row>
    <row r="472">
      <c r="A472" s="19">
        <v>42707.0</v>
      </c>
      <c r="B472" s="23">
        <v>1.0765E7</v>
      </c>
      <c r="C472" s="23">
        <f t="shared" si="1"/>
        <v>694563.6986</v>
      </c>
      <c r="D472" s="18">
        <f>IF(A472="","",MATCH(A472,Calculation!B$2:B9627,1))</f>
        <v>1</v>
      </c>
      <c r="E472" s="23">
        <f t="array" ref="E472">IF(D472="","",IF(D472=1,0,INDEX(Calculation!Q$2:Q9627,D472-1)))</f>
        <v>0</v>
      </c>
      <c r="F472" s="23">
        <f t="array" ref="F472">IF($A472="","",
  LET(
    r, $D472,
    startD, INDEX(Calculation!B$2:B9627, r),
    endD,   INDEX(Calculation!C$2:C9627, r),
    asOf,   MIN($A472,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694563.6986</v>
      </c>
    </row>
    <row r="473">
      <c r="A473" s="19">
        <v>42708.0</v>
      </c>
      <c r="B473" s="23">
        <v>1.0765E7</v>
      </c>
      <c r="C473" s="23">
        <f t="shared" si="1"/>
        <v>696038.3562</v>
      </c>
      <c r="D473" s="18">
        <f>IF(A473="","",MATCH(A473,Calculation!B$2:B9627,1))</f>
        <v>1</v>
      </c>
      <c r="E473" s="23">
        <f t="array" ref="E473">IF(D473="","",IF(D473=1,0,INDEX(Calculation!Q$2:Q9627,D473-1)))</f>
        <v>0</v>
      </c>
      <c r="F473" s="23">
        <f t="array" ref="F473">IF($A473="","",
  LET(
    r, $D473,
    startD, INDEX(Calculation!B$2:B9627, r),
    endD,   INDEX(Calculation!C$2:C9627, r),
    asOf,   MIN($A473,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696038.3562</v>
      </c>
    </row>
    <row r="474">
      <c r="A474" s="19">
        <v>42709.0</v>
      </c>
      <c r="B474" s="23">
        <v>1.0765E7</v>
      </c>
      <c r="C474" s="23">
        <f t="shared" si="1"/>
        <v>697513.0137</v>
      </c>
      <c r="D474" s="18">
        <f>IF(A474="","",MATCH(A474,Calculation!B$2:B9627,1))</f>
        <v>1</v>
      </c>
      <c r="E474" s="23">
        <f t="array" ref="E474">IF(D474="","",IF(D474=1,0,INDEX(Calculation!Q$2:Q9627,D474-1)))</f>
        <v>0</v>
      </c>
      <c r="F474" s="23">
        <f t="array" ref="F474">IF($A474="","",
  LET(
    r, $D474,
    startD, INDEX(Calculation!B$2:B9627, r),
    endD,   INDEX(Calculation!C$2:C9627, r),
    asOf,   MIN($A474,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697513.0137</v>
      </c>
    </row>
    <row r="475">
      <c r="A475" s="19">
        <v>42710.0</v>
      </c>
      <c r="B475" s="23">
        <v>1.0765E7</v>
      </c>
      <c r="C475" s="23">
        <f t="shared" si="1"/>
        <v>698987.6712</v>
      </c>
      <c r="D475" s="18">
        <f>IF(A475="","",MATCH(A475,Calculation!B$2:B9627,1))</f>
        <v>1</v>
      </c>
      <c r="E475" s="23">
        <f t="array" ref="E475">IF(D475="","",IF(D475=1,0,INDEX(Calculation!Q$2:Q9627,D475-1)))</f>
        <v>0</v>
      </c>
      <c r="F475" s="23">
        <f t="array" ref="F475">IF($A475="","",
  LET(
    r, $D475,
    startD, INDEX(Calculation!B$2:B9627, r),
    endD,   INDEX(Calculation!C$2:C9627, r),
    asOf,   MIN($A475,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698987.6712</v>
      </c>
    </row>
    <row r="476">
      <c r="A476" s="19">
        <v>42711.0</v>
      </c>
      <c r="B476" s="23">
        <v>1.0765E7</v>
      </c>
      <c r="C476" s="23">
        <f t="shared" si="1"/>
        <v>700462.3288</v>
      </c>
      <c r="D476" s="18">
        <f>IF(A476="","",MATCH(A476,Calculation!B$2:B9627,1))</f>
        <v>1</v>
      </c>
      <c r="E476" s="23">
        <f t="array" ref="E476">IF(D476="","",IF(D476=1,0,INDEX(Calculation!Q$2:Q9627,D476-1)))</f>
        <v>0</v>
      </c>
      <c r="F476" s="23">
        <f t="array" ref="F476">IF($A476="","",
  LET(
    r, $D476,
    startD, INDEX(Calculation!B$2:B9627, r),
    endD,   INDEX(Calculation!C$2:C9627, r),
    asOf,   MIN($A476,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700462.3288</v>
      </c>
    </row>
    <row r="477">
      <c r="A477" s="19">
        <v>42712.0</v>
      </c>
      <c r="B477" s="23">
        <v>1.0765E7</v>
      </c>
      <c r="C477" s="23">
        <f t="shared" si="1"/>
        <v>701936.9863</v>
      </c>
      <c r="D477" s="18">
        <f>IF(A477="","",MATCH(A477,Calculation!B$2:B9627,1))</f>
        <v>1</v>
      </c>
      <c r="E477" s="23">
        <f t="array" ref="E477">IF(D477="","",IF(D477=1,0,INDEX(Calculation!Q$2:Q9627,D477-1)))</f>
        <v>0</v>
      </c>
      <c r="F477" s="23">
        <f t="array" ref="F477">IF($A477="","",
  LET(
    r, $D477,
    startD, INDEX(Calculation!B$2:B9627, r),
    endD,   INDEX(Calculation!C$2:C9627, r),
    asOf,   MIN($A477,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701936.9863</v>
      </c>
    </row>
    <row r="478">
      <c r="A478" s="19">
        <v>42713.0</v>
      </c>
      <c r="B478" s="23">
        <v>1.0765E7</v>
      </c>
      <c r="C478" s="23">
        <f t="shared" si="1"/>
        <v>703411.6438</v>
      </c>
      <c r="D478" s="18">
        <f>IF(A478="","",MATCH(A478,Calculation!B$2:B9627,1))</f>
        <v>1</v>
      </c>
      <c r="E478" s="23">
        <f t="array" ref="E478">IF(D478="","",IF(D478=1,0,INDEX(Calculation!Q$2:Q9627,D478-1)))</f>
        <v>0</v>
      </c>
      <c r="F478" s="23">
        <f t="array" ref="F478">IF($A478="","",
  LET(
    r, $D478,
    startD, INDEX(Calculation!B$2:B9627, r),
    endD,   INDEX(Calculation!C$2:C9627, r),
    asOf,   MIN($A478,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703411.6438</v>
      </c>
    </row>
    <row r="479">
      <c r="A479" s="19">
        <v>42714.0</v>
      </c>
      <c r="B479" s="23">
        <v>1.0765E7</v>
      </c>
      <c r="C479" s="23">
        <f t="shared" si="1"/>
        <v>704886.3014</v>
      </c>
      <c r="D479" s="18">
        <f>IF(A479="","",MATCH(A479,Calculation!B$2:B9627,1))</f>
        <v>1</v>
      </c>
      <c r="E479" s="23">
        <f t="array" ref="E479">IF(D479="","",IF(D479=1,0,INDEX(Calculation!Q$2:Q9627,D479-1)))</f>
        <v>0</v>
      </c>
      <c r="F479" s="23">
        <f t="array" ref="F479">IF($A479="","",
  LET(
    r, $D479,
    startD, INDEX(Calculation!B$2:B9627, r),
    endD,   INDEX(Calculation!C$2:C9627, r),
    asOf,   MIN($A479,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704886.3014</v>
      </c>
    </row>
    <row r="480">
      <c r="A480" s="19">
        <v>42715.0</v>
      </c>
      <c r="B480" s="23">
        <v>1.0765E7</v>
      </c>
      <c r="C480" s="23">
        <f t="shared" si="1"/>
        <v>706360.9589</v>
      </c>
      <c r="D480" s="18">
        <f>IF(A480="","",MATCH(A480,Calculation!B$2:B9627,1))</f>
        <v>1</v>
      </c>
      <c r="E480" s="23">
        <f t="array" ref="E480">IF(D480="","",IF(D480=1,0,INDEX(Calculation!Q$2:Q9627,D480-1)))</f>
        <v>0</v>
      </c>
      <c r="F480" s="23">
        <f t="array" ref="F480">IF($A480="","",
  LET(
    r, $D480,
    startD, INDEX(Calculation!B$2:B9627, r),
    endD,   INDEX(Calculation!C$2:C9627, r),
    asOf,   MIN($A480,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706360.9589</v>
      </c>
    </row>
    <row r="481">
      <c r="A481" s="19">
        <v>42716.0</v>
      </c>
      <c r="B481" s="23">
        <v>1.0765E7</v>
      </c>
      <c r="C481" s="23">
        <f t="shared" si="1"/>
        <v>707835.6164</v>
      </c>
      <c r="D481" s="18">
        <f>IF(A481="","",MATCH(A481,Calculation!B$2:B9627,1))</f>
        <v>1</v>
      </c>
      <c r="E481" s="23">
        <f t="array" ref="E481">IF(D481="","",IF(D481=1,0,INDEX(Calculation!Q$2:Q9627,D481-1)))</f>
        <v>0</v>
      </c>
      <c r="F481" s="23">
        <f t="array" ref="F481">IF($A481="","",
  LET(
    r, $D481,
    startD, INDEX(Calculation!B$2:B9627, r),
    endD,   INDEX(Calculation!C$2:C9627, r),
    asOf,   MIN($A481,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707835.6164</v>
      </c>
    </row>
    <row r="482">
      <c r="A482" s="19">
        <v>42717.0</v>
      </c>
      <c r="B482" s="23">
        <v>1.0765E7</v>
      </c>
      <c r="C482" s="23">
        <f t="shared" si="1"/>
        <v>709310.274</v>
      </c>
      <c r="D482" s="18">
        <f>IF(A482="","",MATCH(A482,Calculation!B$2:B9627,1))</f>
        <v>1</v>
      </c>
      <c r="E482" s="23">
        <f t="array" ref="E482">IF(D482="","",IF(D482=1,0,INDEX(Calculation!Q$2:Q9627,D482-1)))</f>
        <v>0</v>
      </c>
      <c r="F482" s="23">
        <f t="array" ref="F482">IF($A482="","",
  LET(
    r, $D482,
    startD, INDEX(Calculation!B$2:B9627, r),
    endD,   INDEX(Calculation!C$2:C9627, r),
    asOf,   MIN($A482,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709310.274</v>
      </c>
    </row>
    <row r="483">
      <c r="A483" s="19">
        <v>42718.0</v>
      </c>
      <c r="B483" s="23">
        <v>1.0765E7</v>
      </c>
      <c r="C483" s="23">
        <f t="shared" si="1"/>
        <v>710784.9315</v>
      </c>
      <c r="D483" s="18">
        <f>IF(A483="","",MATCH(A483,Calculation!B$2:B9627,1))</f>
        <v>1</v>
      </c>
      <c r="E483" s="23">
        <f t="array" ref="E483">IF(D483="","",IF(D483=1,0,INDEX(Calculation!Q$2:Q9627,D483-1)))</f>
        <v>0</v>
      </c>
      <c r="F483" s="23">
        <f t="array" ref="F483">IF($A483="","",
  LET(
    r, $D483,
    startD, INDEX(Calculation!B$2:B9627, r),
    endD,   INDEX(Calculation!C$2:C9627, r),
    asOf,   MIN($A483,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710784.9315</v>
      </c>
    </row>
    <row r="484">
      <c r="A484" s="19">
        <v>42719.0</v>
      </c>
      <c r="B484" s="23">
        <v>1.0765E7</v>
      </c>
      <c r="C484" s="23">
        <f t="shared" si="1"/>
        <v>712259.589</v>
      </c>
      <c r="D484" s="18">
        <f>IF(A484="","",MATCH(A484,Calculation!B$2:B9627,1))</f>
        <v>1</v>
      </c>
      <c r="E484" s="23">
        <f t="array" ref="E484">IF(D484="","",IF(D484=1,0,INDEX(Calculation!Q$2:Q9627,D484-1)))</f>
        <v>0</v>
      </c>
      <c r="F484" s="23">
        <f t="array" ref="F484">IF($A484="","",
  LET(
    r, $D484,
    startD, INDEX(Calculation!B$2:B9627, r),
    endD,   INDEX(Calculation!C$2:C9627, r),
    asOf,   MIN($A484,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712259.589</v>
      </c>
    </row>
    <row r="485">
      <c r="A485" s="19">
        <v>42720.0</v>
      </c>
      <c r="B485" s="23">
        <v>1.0765E7</v>
      </c>
      <c r="C485" s="23">
        <f t="shared" si="1"/>
        <v>713734.2466</v>
      </c>
      <c r="D485" s="18">
        <f>IF(A485="","",MATCH(A485,Calculation!B$2:B9627,1))</f>
        <v>1</v>
      </c>
      <c r="E485" s="23">
        <f t="array" ref="E485">IF(D485="","",IF(D485=1,0,INDEX(Calculation!Q$2:Q9627,D485-1)))</f>
        <v>0</v>
      </c>
      <c r="F485" s="23">
        <f t="array" ref="F485">IF($A485="","",
  LET(
    r, $D485,
    startD, INDEX(Calculation!B$2:B9627, r),
    endD,   INDEX(Calculation!C$2:C9627, r),
    asOf,   MIN($A485,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713734.2466</v>
      </c>
    </row>
    <row r="486">
      <c r="A486" s="19">
        <v>42721.0</v>
      </c>
      <c r="B486" s="23">
        <v>1.0765E7</v>
      </c>
      <c r="C486" s="23">
        <f t="shared" si="1"/>
        <v>715208.9041</v>
      </c>
      <c r="D486" s="18">
        <f>IF(A486="","",MATCH(A486,Calculation!B$2:B9627,1))</f>
        <v>1</v>
      </c>
      <c r="E486" s="23">
        <f t="array" ref="E486">IF(D486="","",IF(D486=1,0,INDEX(Calculation!Q$2:Q9627,D486-1)))</f>
        <v>0</v>
      </c>
      <c r="F486" s="23">
        <f t="array" ref="F486">IF($A486="","",
  LET(
    r, $D486,
    startD, INDEX(Calculation!B$2:B9627, r),
    endD,   INDEX(Calculation!C$2:C9627, r),
    asOf,   MIN($A486,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715208.9041</v>
      </c>
    </row>
    <row r="487">
      <c r="A487" s="19">
        <v>42722.0</v>
      </c>
      <c r="B487" s="23">
        <v>1.0765E7</v>
      </c>
      <c r="C487" s="23">
        <f t="shared" si="1"/>
        <v>716683.5616</v>
      </c>
      <c r="D487" s="18">
        <f>IF(A487="","",MATCH(A487,Calculation!B$2:B9627,1))</f>
        <v>1</v>
      </c>
      <c r="E487" s="23">
        <f t="array" ref="E487">IF(D487="","",IF(D487=1,0,INDEX(Calculation!Q$2:Q9627,D487-1)))</f>
        <v>0</v>
      </c>
      <c r="F487" s="23">
        <f t="array" ref="F487">IF($A487="","",
  LET(
    r, $D487,
    startD, INDEX(Calculation!B$2:B9627, r),
    endD,   INDEX(Calculation!C$2:C9627, r),
    asOf,   MIN($A487,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716683.5616</v>
      </c>
    </row>
    <row r="488">
      <c r="A488" s="19">
        <v>42723.0</v>
      </c>
      <c r="B488" s="23">
        <v>1.0765E7</v>
      </c>
      <c r="C488" s="23">
        <f t="shared" si="1"/>
        <v>718158.2192</v>
      </c>
      <c r="D488" s="18">
        <f>IF(A488="","",MATCH(A488,Calculation!B$2:B9627,1))</f>
        <v>1</v>
      </c>
      <c r="E488" s="23">
        <f t="array" ref="E488">IF(D488="","",IF(D488=1,0,INDEX(Calculation!Q$2:Q9627,D488-1)))</f>
        <v>0</v>
      </c>
      <c r="F488" s="23">
        <f t="array" ref="F488">IF($A488="","",
  LET(
    r, $D488,
    startD, INDEX(Calculation!B$2:B9627, r),
    endD,   INDEX(Calculation!C$2:C9627, r),
    asOf,   MIN($A488,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718158.2192</v>
      </c>
    </row>
    <row r="489">
      <c r="A489" s="19">
        <v>42724.0</v>
      </c>
      <c r="B489" s="23">
        <v>1.0765E7</v>
      </c>
      <c r="C489" s="23">
        <f t="shared" si="1"/>
        <v>719632.8767</v>
      </c>
      <c r="D489" s="18">
        <f>IF(A489="","",MATCH(A489,Calculation!B$2:B9627,1))</f>
        <v>1</v>
      </c>
      <c r="E489" s="23">
        <f t="array" ref="E489">IF(D489="","",IF(D489=1,0,INDEX(Calculation!Q$2:Q9627,D489-1)))</f>
        <v>0</v>
      </c>
      <c r="F489" s="23">
        <f t="array" ref="F489">IF($A489="","",
  LET(
    r, $D489,
    startD, INDEX(Calculation!B$2:B9627, r),
    endD,   INDEX(Calculation!C$2:C9627, r),
    asOf,   MIN($A489,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719632.8767</v>
      </c>
    </row>
    <row r="490">
      <c r="A490" s="19">
        <v>42725.0</v>
      </c>
      <c r="B490" s="23">
        <v>1.0765E7</v>
      </c>
      <c r="C490" s="23">
        <f t="shared" si="1"/>
        <v>721107.5342</v>
      </c>
      <c r="D490" s="18">
        <f>IF(A490="","",MATCH(A490,Calculation!B$2:B9627,1))</f>
        <v>1</v>
      </c>
      <c r="E490" s="23">
        <f t="array" ref="E490">IF(D490="","",IF(D490=1,0,INDEX(Calculation!Q$2:Q9627,D490-1)))</f>
        <v>0</v>
      </c>
      <c r="F490" s="23">
        <f t="array" ref="F490">IF($A490="","",
  LET(
    r, $D490,
    startD, INDEX(Calculation!B$2:B9627, r),
    endD,   INDEX(Calculation!C$2:C9627, r),
    asOf,   MIN($A490,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721107.5342</v>
      </c>
    </row>
    <row r="491">
      <c r="A491" s="19">
        <v>42726.0</v>
      </c>
      <c r="B491" s="23">
        <v>1.0765E7</v>
      </c>
      <c r="C491" s="23">
        <f t="shared" si="1"/>
        <v>722582.1918</v>
      </c>
      <c r="D491" s="18">
        <f>IF(A491="","",MATCH(A491,Calculation!B$2:B9627,1))</f>
        <v>1</v>
      </c>
      <c r="E491" s="23">
        <f t="array" ref="E491">IF(D491="","",IF(D491=1,0,INDEX(Calculation!Q$2:Q9627,D491-1)))</f>
        <v>0</v>
      </c>
      <c r="F491" s="23">
        <f t="array" ref="F491">IF($A491="","",
  LET(
    r, $D491,
    startD, INDEX(Calculation!B$2:B9627, r),
    endD,   INDEX(Calculation!C$2:C9627, r),
    asOf,   MIN($A491,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722582.1918</v>
      </c>
    </row>
    <row r="492">
      <c r="A492" s="19">
        <v>42727.0</v>
      </c>
      <c r="B492" s="23">
        <v>1.0765E7</v>
      </c>
      <c r="C492" s="23">
        <f t="shared" si="1"/>
        <v>724056.8493</v>
      </c>
      <c r="D492" s="18">
        <f>IF(A492="","",MATCH(A492,Calculation!B$2:B9627,1))</f>
        <v>1</v>
      </c>
      <c r="E492" s="23">
        <f t="array" ref="E492">IF(D492="","",IF(D492=1,0,INDEX(Calculation!Q$2:Q9627,D492-1)))</f>
        <v>0</v>
      </c>
      <c r="F492" s="23">
        <f t="array" ref="F492">IF($A492="","",
  LET(
    r, $D492,
    startD, INDEX(Calculation!B$2:B9627, r),
    endD,   INDEX(Calculation!C$2:C9627, r),
    asOf,   MIN($A492,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724056.8493</v>
      </c>
    </row>
    <row r="493">
      <c r="A493" s="19">
        <v>42728.0</v>
      </c>
      <c r="B493" s="23">
        <v>1.0765E7</v>
      </c>
      <c r="C493" s="23">
        <f t="shared" si="1"/>
        <v>725531.5068</v>
      </c>
      <c r="D493" s="18">
        <f>IF(A493="","",MATCH(A493,Calculation!B$2:B9627,1))</f>
        <v>1</v>
      </c>
      <c r="E493" s="23">
        <f t="array" ref="E493">IF(D493="","",IF(D493=1,0,INDEX(Calculation!Q$2:Q9627,D493-1)))</f>
        <v>0</v>
      </c>
      <c r="F493" s="23">
        <f t="array" ref="F493">IF($A493="","",
  LET(
    r, $D493,
    startD, INDEX(Calculation!B$2:B9627, r),
    endD,   INDEX(Calculation!C$2:C9627, r),
    asOf,   MIN($A493,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725531.5068</v>
      </c>
    </row>
    <row r="494">
      <c r="A494" s="19">
        <v>42729.0</v>
      </c>
      <c r="B494" s="23">
        <v>1.0765E7</v>
      </c>
      <c r="C494" s="23">
        <f t="shared" si="1"/>
        <v>727006.1644</v>
      </c>
      <c r="D494" s="18">
        <f>IF(A494="","",MATCH(A494,Calculation!B$2:B9627,1))</f>
        <v>1</v>
      </c>
      <c r="E494" s="23">
        <f t="array" ref="E494">IF(D494="","",IF(D494=1,0,INDEX(Calculation!Q$2:Q9627,D494-1)))</f>
        <v>0</v>
      </c>
      <c r="F494" s="23">
        <f t="array" ref="F494">IF($A494="","",
  LET(
    r, $D494,
    startD, INDEX(Calculation!B$2:B9627, r),
    endD,   INDEX(Calculation!C$2:C9627, r),
    asOf,   MIN($A494,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727006.1644</v>
      </c>
    </row>
    <row r="495">
      <c r="A495" s="19">
        <v>42730.0</v>
      </c>
      <c r="B495" s="23">
        <v>1.0765E7</v>
      </c>
      <c r="C495" s="23">
        <f t="shared" si="1"/>
        <v>728480.8219</v>
      </c>
      <c r="D495" s="18">
        <f>IF(A495="","",MATCH(A495,Calculation!B$2:B9627,1))</f>
        <v>1</v>
      </c>
      <c r="E495" s="23">
        <f t="array" ref="E495">IF(D495="","",IF(D495=1,0,INDEX(Calculation!Q$2:Q9627,D495-1)))</f>
        <v>0</v>
      </c>
      <c r="F495" s="23">
        <f t="array" ref="F495">IF($A495="","",
  LET(
    r, $D495,
    startD, INDEX(Calculation!B$2:B9627, r),
    endD,   INDEX(Calculation!C$2:C9627, r),
    asOf,   MIN($A495,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728480.8219</v>
      </c>
    </row>
    <row r="496">
      <c r="A496" s="19">
        <v>42731.0</v>
      </c>
      <c r="B496" s="23">
        <v>1.0765E7</v>
      </c>
      <c r="C496" s="23">
        <f t="shared" si="1"/>
        <v>729955.4795</v>
      </c>
      <c r="D496" s="18">
        <f>IF(A496="","",MATCH(A496,Calculation!B$2:B9627,1))</f>
        <v>1</v>
      </c>
      <c r="E496" s="23">
        <f t="array" ref="E496">IF(D496="","",IF(D496=1,0,INDEX(Calculation!Q$2:Q9627,D496-1)))</f>
        <v>0</v>
      </c>
      <c r="F496" s="23">
        <f t="array" ref="F496">IF($A496="","",
  LET(
    r, $D496,
    startD, INDEX(Calculation!B$2:B9627, r),
    endD,   INDEX(Calculation!C$2:C9627, r),
    asOf,   MIN($A496,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729955.4795</v>
      </c>
    </row>
    <row r="497">
      <c r="A497" s="19">
        <v>42732.0</v>
      </c>
      <c r="B497" s="23">
        <v>1.0765E7</v>
      </c>
      <c r="C497" s="23">
        <f t="shared" si="1"/>
        <v>731430.137</v>
      </c>
      <c r="D497" s="18">
        <f>IF(A497="","",MATCH(A497,Calculation!B$2:B9627,1))</f>
        <v>1</v>
      </c>
      <c r="E497" s="23">
        <f t="array" ref="E497">IF(D497="","",IF(D497=1,0,INDEX(Calculation!Q$2:Q9627,D497-1)))</f>
        <v>0</v>
      </c>
      <c r="F497" s="23">
        <f t="array" ref="F497">IF($A497="","",
  LET(
    r, $D497,
    startD, INDEX(Calculation!B$2:B9627, r),
    endD,   INDEX(Calculation!C$2:C9627, r),
    asOf,   MIN($A497,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731430.137</v>
      </c>
    </row>
    <row r="498">
      <c r="A498" s="19">
        <v>42733.0</v>
      </c>
      <c r="B498" s="23">
        <v>1.0765E7</v>
      </c>
      <c r="C498" s="23">
        <f t="shared" si="1"/>
        <v>732904.7945</v>
      </c>
      <c r="D498" s="18">
        <f>IF(A498="","",MATCH(A498,Calculation!B$2:B9627,1))</f>
        <v>1</v>
      </c>
      <c r="E498" s="23">
        <f t="array" ref="E498">IF(D498="","",IF(D498=1,0,INDEX(Calculation!Q$2:Q9627,D498-1)))</f>
        <v>0</v>
      </c>
      <c r="F498" s="23">
        <f t="array" ref="F498">IF($A498="","",
  LET(
    r, $D498,
    startD, INDEX(Calculation!B$2:B9627, r),
    endD,   INDEX(Calculation!C$2:C9627, r),
    asOf,   MIN($A498,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732904.7945</v>
      </c>
    </row>
    <row r="499">
      <c r="A499" s="19">
        <v>42734.0</v>
      </c>
      <c r="B499" s="23">
        <v>1.0765E7</v>
      </c>
      <c r="C499" s="23">
        <f t="shared" si="1"/>
        <v>734379.4521</v>
      </c>
      <c r="D499" s="18">
        <f>IF(A499="","",MATCH(A499,Calculation!B$2:B9627,1))</f>
        <v>1</v>
      </c>
      <c r="E499" s="23">
        <f t="array" ref="E499">IF(D499="","",IF(D499=1,0,INDEX(Calculation!Q$2:Q9627,D499-1)))</f>
        <v>0</v>
      </c>
      <c r="F499" s="23">
        <f t="array" ref="F499">IF($A499="","",
  LET(
    r, $D499,
    startD, INDEX(Calculation!B$2:B9627, r),
    endD,   INDEX(Calculation!C$2:C9627, r),
    asOf,   MIN($A499,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734379.4521</v>
      </c>
    </row>
    <row r="500">
      <c r="A500" s="19">
        <v>42735.0</v>
      </c>
      <c r="B500" s="23">
        <v>1.0765E7</v>
      </c>
      <c r="C500" s="23">
        <f t="shared" si="1"/>
        <v>735854.1096</v>
      </c>
      <c r="D500" s="18">
        <f>IF(A500="","",MATCH(A500,Calculation!B$2:B9627,1))</f>
        <v>1</v>
      </c>
      <c r="E500" s="23">
        <f t="array" ref="E500">IF(D500="","",IF(D500=1,0,INDEX(Calculation!Q$2:Q9627,D500-1)))</f>
        <v>0</v>
      </c>
      <c r="F500" s="23">
        <f t="array" ref="F500">IF($A500="","",
  LET(
    r, $D500,
    startD, INDEX(Calculation!B$2:B9627, r),
    endD,   INDEX(Calculation!C$2:C9627, r),
    asOf,   MIN($A500,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735854.1096</v>
      </c>
    </row>
    <row r="501">
      <c r="A501" s="19">
        <v>42736.0</v>
      </c>
      <c r="B501" s="23">
        <v>1.0765E7</v>
      </c>
      <c r="C501" s="23">
        <f t="shared" si="1"/>
        <v>737328.7671</v>
      </c>
      <c r="D501" s="18">
        <f>IF(A501="","",MATCH(A501,Calculation!B$2:B9627,1))</f>
        <v>1</v>
      </c>
      <c r="E501" s="23">
        <f t="array" ref="E501">IF(D501="","",IF(D501=1,0,INDEX(Calculation!Q$2:Q9627,D501-1)))</f>
        <v>0</v>
      </c>
      <c r="F501" s="23">
        <f t="array" ref="F501">IF($A501="","",
  LET(
    r, $D501,
    startD, INDEX(Calculation!B$2:B9627, r),
    endD,   INDEX(Calculation!C$2:C9627, r),
    asOf,   MIN($A501,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737328.7671</v>
      </c>
    </row>
    <row r="502">
      <c r="A502" s="19">
        <v>42737.0</v>
      </c>
      <c r="B502" s="23">
        <v>1.0765E7</v>
      </c>
      <c r="C502" s="23">
        <f t="shared" si="1"/>
        <v>738803.4247</v>
      </c>
      <c r="D502" s="18">
        <f>IF(A502="","",MATCH(A502,Calculation!B$2:B9627,1))</f>
        <v>1</v>
      </c>
      <c r="E502" s="23">
        <f t="array" ref="E502">IF(D502="","",IF(D502=1,0,INDEX(Calculation!Q$2:Q9627,D502-1)))</f>
        <v>0</v>
      </c>
      <c r="F502" s="23">
        <f t="array" ref="F502">IF($A502="","",
  LET(
    r, $D502,
    startD, INDEX(Calculation!B$2:B9627, r),
    endD,   INDEX(Calculation!C$2:C9627, r),
    asOf,   MIN($A502,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738803.4247</v>
      </c>
    </row>
    <row r="503">
      <c r="A503" s="19">
        <v>42738.0</v>
      </c>
      <c r="B503" s="23">
        <v>1.0765E7</v>
      </c>
      <c r="C503" s="23">
        <f t="shared" si="1"/>
        <v>740278.0822</v>
      </c>
      <c r="D503" s="18">
        <f>IF(A503="","",MATCH(A503,Calculation!B$2:B9627,1))</f>
        <v>1</v>
      </c>
      <c r="E503" s="23">
        <f t="array" ref="E503">IF(D503="","",IF(D503=1,0,INDEX(Calculation!Q$2:Q9627,D503-1)))</f>
        <v>0</v>
      </c>
      <c r="F503" s="23">
        <f t="array" ref="F503">IF($A503="","",
  LET(
    r, $D503,
    startD, INDEX(Calculation!B$2:B9627, r),
    endD,   INDEX(Calculation!C$2:C9627, r),
    asOf,   MIN($A503,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740278.0822</v>
      </c>
    </row>
    <row r="504">
      <c r="A504" s="19">
        <v>42739.0</v>
      </c>
      <c r="B504" s="23">
        <v>1.0765E7</v>
      </c>
      <c r="C504" s="23">
        <f t="shared" si="1"/>
        <v>741752.7397</v>
      </c>
      <c r="D504" s="18">
        <f>IF(A504="","",MATCH(A504,Calculation!B$2:B9627,1))</f>
        <v>1</v>
      </c>
      <c r="E504" s="23">
        <f t="array" ref="E504">IF(D504="","",IF(D504=1,0,INDEX(Calculation!Q$2:Q9627,D504-1)))</f>
        <v>0</v>
      </c>
      <c r="F504" s="23">
        <f t="array" ref="F504">IF($A504="","",
  LET(
    r, $D504,
    startD, INDEX(Calculation!B$2:B9627, r),
    endD,   INDEX(Calculation!C$2:C9627, r),
    asOf,   MIN($A504,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741752.7397</v>
      </c>
    </row>
    <row r="505">
      <c r="A505" s="19">
        <v>42740.0</v>
      </c>
      <c r="B505" s="23">
        <v>1.0765E7</v>
      </c>
      <c r="C505" s="23">
        <f t="shared" si="1"/>
        <v>743227.3973</v>
      </c>
      <c r="D505" s="18">
        <f>IF(A505="","",MATCH(A505,Calculation!B$2:B9627,1))</f>
        <v>1</v>
      </c>
      <c r="E505" s="23">
        <f t="array" ref="E505">IF(D505="","",IF(D505=1,0,INDEX(Calculation!Q$2:Q9627,D505-1)))</f>
        <v>0</v>
      </c>
      <c r="F505" s="23">
        <f t="array" ref="F505">IF($A505="","",
  LET(
    r, $D505,
    startD, INDEX(Calculation!B$2:B9627, r),
    endD,   INDEX(Calculation!C$2:C9627, r),
    asOf,   MIN($A505,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743227.3973</v>
      </c>
    </row>
    <row r="506">
      <c r="A506" s="19">
        <v>42741.0</v>
      </c>
      <c r="B506" s="23">
        <v>1.0765E7</v>
      </c>
      <c r="C506" s="23">
        <f t="shared" si="1"/>
        <v>744702.0548</v>
      </c>
      <c r="D506" s="18">
        <f>IF(A506="","",MATCH(A506,Calculation!B$2:B9627,1))</f>
        <v>1</v>
      </c>
      <c r="E506" s="23">
        <f t="array" ref="E506">IF(D506="","",IF(D506=1,0,INDEX(Calculation!Q$2:Q9627,D506-1)))</f>
        <v>0</v>
      </c>
      <c r="F506" s="23">
        <f t="array" ref="F506">IF($A506="","",
  LET(
    r, $D506,
    startD, INDEX(Calculation!B$2:B9627, r),
    endD,   INDEX(Calculation!C$2:C9627, r),
    asOf,   MIN($A506,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744702.0548</v>
      </c>
    </row>
    <row r="507">
      <c r="A507" s="19">
        <v>42742.0</v>
      </c>
      <c r="B507" s="23">
        <v>1.0765E7</v>
      </c>
      <c r="C507" s="23">
        <f t="shared" si="1"/>
        <v>746176.7123</v>
      </c>
      <c r="D507" s="18">
        <f>IF(A507="","",MATCH(A507,Calculation!B$2:B9627,1))</f>
        <v>1</v>
      </c>
      <c r="E507" s="23">
        <f t="array" ref="E507">IF(D507="","",IF(D507=1,0,INDEX(Calculation!Q$2:Q9627,D507-1)))</f>
        <v>0</v>
      </c>
      <c r="F507" s="23">
        <f t="array" ref="F507">IF($A507="","",
  LET(
    r, $D507,
    startD, INDEX(Calculation!B$2:B9627, r),
    endD,   INDEX(Calculation!C$2:C9627, r),
    asOf,   MIN($A507,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746176.7123</v>
      </c>
    </row>
    <row r="508">
      <c r="A508" s="19">
        <v>42743.0</v>
      </c>
      <c r="B508" s="23">
        <v>1.0765E7</v>
      </c>
      <c r="C508" s="23">
        <f t="shared" si="1"/>
        <v>747651.3699</v>
      </c>
      <c r="D508" s="18">
        <f>IF(A508="","",MATCH(A508,Calculation!B$2:B9627,1))</f>
        <v>1</v>
      </c>
      <c r="E508" s="23">
        <f t="array" ref="E508">IF(D508="","",IF(D508=1,0,INDEX(Calculation!Q$2:Q9627,D508-1)))</f>
        <v>0</v>
      </c>
      <c r="F508" s="23">
        <f t="array" ref="F508">IF($A508="","",
  LET(
    r, $D508,
    startD, INDEX(Calculation!B$2:B9627, r),
    endD,   INDEX(Calculation!C$2:C9627, r),
    asOf,   MIN($A508,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747651.3699</v>
      </c>
    </row>
    <row r="509">
      <c r="A509" s="19">
        <v>42744.0</v>
      </c>
      <c r="B509" s="23">
        <v>1.0765E7</v>
      </c>
      <c r="C509" s="23">
        <f t="shared" si="1"/>
        <v>749126.0274</v>
      </c>
      <c r="D509" s="18">
        <f>IF(A509="","",MATCH(A509,Calculation!B$2:B9627,1))</f>
        <v>1</v>
      </c>
      <c r="E509" s="23">
        <f t="array" ref="E509">IF(D509="","",IF(D509=1,0,INDEX(Calculation!Q$2:Q9627,D509-1)))</f>
        <v>0</v>
      </c>
      <c r="F509" s="23">
        <f t="array" ref="F509">IF($A509="","",
  LET(
    r, $D509,
    startD, INDEX(Calculation!B$2:B9627, r),
    endD,   INDEX(Calculation!C$2:C9627, r),
    asOf,   MIN($A509,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749126.0274</v>
      </c>
    </row>
    <row r="510">
      <c r="A510" s="19">
        <v>42745.0</v>
      </c>
      <c r="B510" s="23">
        <v>1.0765E7</v>
      </c>
      <c r="C510" s="23">
        <f t="shared" si="1"/>
        <v>750600.6849</v>
      </c>
      <c r="D510" s="18">
        <f>IF(A510="","",MATCH(A510,Calculation!B$2:B9627,1))</f>
        <v>1</v>
      </c>
      <c r="E510" s="23">
        <f t="array" ref="E510">IF(D510="","",IF(D510=1,0,INDEX(Calculation!Q$2:Q9627,D510-1)))</f>
        <v>0</v>
      </c>
      <c r="F510" s="23">
        <f t="array" ref="F510">IF($A510="","",
  LET(
    r, $D510,
    startD, INDEX(Calculation!B$2:B9627, r),
    endD,   INDEX(Calculation!C$2:C9627, r),
    asOf,   MIN($A510,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750600.6849</v>
      </c>
    </row>
    <row r="511">
      <c r="A511" s="19">
        <v>42746.0</v>
      </c>
      <c r="B511" s="23">
        <v>1.0765E7</v>
      </c>
      <c r="C511" s="23">
        <f t="shared" si="1"/>
        <v>752075.3425</v>
      </c>
      <c r="D511" s="18">
        <f>IF(A511="","",MATCH(A511,Calculation!B$2:B9627,1))</f>
        <v>1</v>
      </c>
      <c r="E511" s="23">
        <f t="array" ref="E511">IF(D511="","",IF(D511=1,0,INDEX(Calculation!Q$2:Q9627,D511-1)))</f>
        <v>0</v>
      </c>
      <c r="F511" s="23">
        <f t="array" ref="F511">IF($A511="","",
  LET(
    r, $D511,
    startD, INDEX(Calculation!B$2:B9627, r),
    endD,   INDEX(Calculation!C$2:C9627, r),
    asOf,   MIN($A511,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752075.3425</v>
      </c>
    </row>
    <row r="512">
      <c r="A512" s="19">
        <v>42747.0</v>
      </c>
      <c r="B512" s="23">
        <v>1.0765E7</v>
      </c>
      <c r="C512" s="23">
        <f t="shared" si="1"/>
        <v>753550</v>
      </c>
      <c r="D512" s="18">
        <f>IF(A512="","",MATCH(A512,Calculation!B$2:B9627,1))</f>
        <v>1</v>
      </c>
      <c r="E512" s="23">
        <f t="array" ref="E512">IF(D512="","",IF(D512=1,0,INDEX(Calculation!Q$2:Q9627,D512-1)))</f>
        <v>0</v>
      </c>
      <c r="F512" s="23">
        <f t="array" ref="F512">IF($A512="","",
  LET(
    r, $D512,
    startD, INDEX(Calculation!B$2:B9627, r),
    endD,   INDEX(Calculation!C$2:C9627, r),
    asOf,   MIN($A512,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753550</v>
      </c>
    </row>
    <row r="513">
      <c r="A513" s="19">
        <v>42748.0</v>
      </c>
      <c r="B513" s="23">
        <v>1.0765E7</v>
      </c>
      <c r="C513" s="23">
        <f t="shared" si="1"/>
        <v>755024.6575</v>
      </c>
      <c r="D513" s="18">
        <f>IF(A513="","",MATCH(A513,Calculation!B$2:B9627,1))</f>
        <v>1</v>
      </c>
      <c r="E513" s="23">
        <f t="array" ref="E513">IF(D513="","",IF(D513=1,0,INDEX(Calculation!Q$2:Q9627,D513-1)))</f>
        <v>0</v>
      </c>
      <c r="F513" s="23">
        <f t="array" ref="F513">IF($A513="","",
  LET(
    r, $D513,
    startD, INDEX(Calculation!B$2:B9627, r),
    endD,   INDEX(Calculation!C$2:C9627, r),
    asOf,   MIN($A513,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755024.6575</v>
      </c>
    </row>
    <row r="514">
      <c r="A514" s="19">
        <v>42749.0</v>
      </c>
      <c r="B514" s="23">
        <v>1.0765E7</v>
      </c>
      <c r="C514" s="23">
        <f t="shared" si="1"/>
        <v>756499.3151</v>
      </c>
      <c r="D514" s="18">
        <f>IF(A514="","",MATCH(A514,Calculation!B$2:B9627,1))</f>
        <v>1</v>
      </c>
      <c r="E514" s="23">
        <f t="array" ref="E514">IF(D514="","",IF(D514=1,0,INDEX(Calculation!Q$2:Q9627,D514-1)))</f>
        <v>0</v>
      </c>
      <c r="F514" s="23">
        <f t="array" ref="F514">IF($A514="","",
  LET(
    r, $D514,
    startD, INDEX(Calculation!B$2:B9627, r),
    endD,   INDEX(Calculation!C$2:C9627, r),
    asOf,   MIN($A514,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756499.3151</v>
      </c>
    </row>
    <row r="515">
      <c r="A515" s="19">
        <v>42750.0</v>
      </c>
      <c r="B515" s="23">
        <v>1.0765E7</v>
      </c>
      <c r="C515" s="23">
        <f t="shared" si="1"/>
        <v>757973.9726</v>
      </c>
      <c r="D515" s="18">
        <f>IF(A515="","",MATCH(A515,Calculation!B$2:B9627,1))</f>
        <v>1</v>
      </c>
      <c r="E515" s="23">
        <f t="array" ref="E515">IF(D515="","",IF(D515=1,0,INDEX(Calculation!Q$2:Q9627,D515-1)))</f>
        <v>0</v>
      </c>
      <c r="F515" s="23">
        <f t="array" ref="F515">IF($A515="","",
  LET(
    r, $D515,
    startD, INDEX(Calculation!B$2:B9627, r),
    endD,   INDEX(Calculation!C$2:C9627, r),
    asOf,   MIN($A515,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757973.9726</v>
      </c>
    </row>
    <row r="516">
      <c r="A516" s="19">
        <v>42751.0</v>
      </c>
      <c r="B516" s="23">
        <v>1.0765E7</v>
      </c>
      <c r="C516" s="23">
        <f t="shared" si="1"/>
        <v>759448.6301</v>
      </c>
      <c r="D516" s="18">
        <f>IF(A516="","",MATCH(A516,Calculation!B$2:B9627,1))</f>
        <v>1</v>
      </c>
      <c r="E516" s="23">
        <f t="array" ref="E516">IF(D516="","",IF(D516=1,0,INDEX(Calculation!Q$2:Q9627,D516-1)))</f>
        <v>0</v>
      </c>
      <c r="F516" s="23">
        <f t="array" ref="F516">IF($A516="","",
  LET(
    r, $D516,
    startD, INDEX(Calculation!B$2:B9627, r),
    endD,   INDEX(Calculation!C$2:C9627, r),
    asOf,   MIN($A516,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759448.6301</v>
      </c>
    </row>
    <row r="517">
      <c r="A517" s="19">
        <v>42752.0</v>
      </c>
      <c r="B517" s="23">
        <v>1.0765E7</v>
      </c>
      <c r="C517" s="23">
        <f t="shared" si="1"/>
        <v>760923.2877</v>
      </c>
      <c r="D517" s="18">
        <f>IF(A517="","",MATCH(A517,Calculation!B$2:B9627,1))</f>
        <v>1</v>
      </c>
      <c r="E517" s="23">
        <f t="array" ref="E517">IF(D517="","",IF(D517=1,0,INDEX(Calculation!Q$2:Q9627,D517-1)))</f>
        <v>0</v>
      </c>
      <c r="F517" s="23">
        <f t="array" ref="F517">IF($A517="","",
  LET(
    r, $D517,
    startD, INDEX(Calculation!B$2:B9627, r),
    endD,   INDEX(Calculation!C$2:C9627, r),
    asOf,   MIN($A517,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760923.2877</v>
      </c>
    </row>
    <row r="518">
      <c r="A518" s="19">
        <v>42753.0</v>
      </c>
      <c r="B518" s="23">
        <v>1.0765E7</v>
      </c>
      <c r="C518" s="23">
        <f t="shared" si="1"/>
        <v>762397.9452</v>
      </c>
      <c r="D518" s="18">
        <f>IF(A518="","",MATCH(A518,Calculation!B$2:B9627,1))</f>
        <v>1</v>
      </c>
      <c r="E518" s="23">
        <f t="array" ref="E518">IF(D518="","",IF(D518=1,0,INDEX(Calculation!Q$2:Q9627,D518-1)))</f>
        <v>0</v>
      </c>
      <c r="F518" s="23">
        <f t="array" ref="F518">IF($A518="","",
  LET(
    r, $D518,
    startD, INDEX(Calculation!B$2:B9627, r),
    endD,   INDEX(Calculation!C$2:C9627, r),
    asOf,   MIN($A518,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762397.9452</v>
      </c>
    </row>
    <row r="519">
      <c r="A519" s="19">
        <v>42754.0</v>
      </c>
      <c r="B519" s="23">
        <v>1.0765E7</v>
      </c>
      <c r="C519" s="23">
        <f t="shared" si="1"/>
        <v>763872.6027</v>
      </c>
      <c r="D519" s="18">
        <f>IF(A519="","",MATCH(A519,Calculation!B$2:B9627,1))</f>
        <v>1</v>
      </c>
      <c r="E519" s="23">
        <f t="array" ref="E519">IF(D519="","",IF(D519=1,0,INDEX(Calculation!Q$2:Q9627,D519-1)))</f>
        <v>0</v>
      </c>
      <c r="F519" s="23">
        <f t="array" ref="F519">IF($A519="","",
  LET(
    r, $D519,
    startD, INDEX(Calculation!B$2:B9627, r),
    endD,   INDEX(Calculation!C$2:C9627, r),
    asOf,   MIN($A519,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763872.6027</v>
      </c>
    </row>
    <row r="520">
      <c r="A520" s="19">
        <v>42755.0</v>
      </c>
      <c r="B520" s="23">
        <v>1.0765E7</v>
      </c>
      <c r="C520" s="23">
        <f t="shared" si="1"/>
        <v>765347.2603</v>
      </c>
      <c r="D520" s="18">
        <f>IF(A520="","",MATCH(A520,Calculation!B$2:B9627,1))</f>
        <v>1</v>
      </c>
      <c r="E520" s="23">
        <f t="array" ref="E520">IF(D520="","",IF(D520=1,0,INDEX(Calculation!Q$2:Q9627,D520-1)))</f>
        <v>0</v>
      </c>
      <c r="F520" s="23">
        <f t="array" ref="F520">IF($A520="","",
  LET(
    r, $D520,
    startD, INDEX(Calculation!B$2:B9627, r),
    endD,   INDEX(Calculation!C$2:C9627, r),
    asOf,   MIN($A520,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765347.2603</v>
      </c>
    </row>
    <row r="521">
      <c r="A521" s="19">
        <v>42756.0</v>
      </c>
      <c r="B521" s="23">
        <v>1.0765E7</v>
      </c>
      <c r="C521" s="23">
        <f t="shared" si="1"/>
        <v>766821.9178</v>
      </c>
      <c r="D521" s="18">
        <f>IF(A521="","",MATCH(A521,Calculation!B$2:B9627,1))</f>
        <v>1</v>
      </c>
      <c r="E521" s="23">
        <f t="array" ref="E521">IF(D521="","",IF(D521=1,0,INDEX(Calculation!Q$2:Q9627,D521-1)))</f>
        <v>0</v>
      </c>
      <c r="F521" s="23">
        <f t="array" ref="F521">IF($A521="","",
  LET(
    r, $D521,
    startD, INDEX(Calculation!B$2:B9627, r),
    endD,   INDEX(Calculation!C$2:C9627, r),
    asOf,   MIN($A521,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766821.9178</v>
      </c>
    </row>
    <row r="522">
      <c r="A522" s="19">
        <v>42757.0</v>
      </c>
      <c r="B522" s="23">
        <v>1.0765E7</v>
      </c>
      <c r="C522" s="23">
        <f t="shared" si="1"/>
        <v>768296.5753</v>
      </c>
      <c r="D522" s="18">
        <f>IF(A522="","",MATCH(A522,Calculation!B$2:B9627,1))</f>
        <v>1</v>
      </c>
      <c r="E522" s="23">
        <f t="array" ref="E522">IF(D522="","",IF(D522=1,0,INDEX(Calculation!Q$2:Q9627,D522-1)))</f>
        <v>0</v>
      </c>
      <c r="F522" s="23">
        <f t="array" ref="F522">IF($A522="","",
  LET(
    r, $D522,
    startD, INDEX(Calculation!B$2:B9627, r),
    endD,   INDEX(Calculation!C$2:C9627, r),
    asOf,   MIN($A522,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768296.5753</v>
      </c>
    </row>
    <row r="523">
      <c r="A523" s="19">
        <v>42758.0</v>
      </c>
      <c r="B523" s="23">
        <v>1.0765E7</v>
      </c>
      <c r="C523" s="23">
        <f t="shared" si="1"/>
        <v>769771.2329</v>
      </c>
      <c r="D523" s="18">
        <f>IF(A523="","",MATCH(A523,Calculation!B$2:B9627,1))</f>
        <v>1</v>
      </c>
      <c r="E523" s="23">
        <f t="array" ref="E523">IF(D523="","",IF(D523=1,0,INDEX(Calculation!Q$2:Q9627,D523-1)))</f>
        <v>0</v>
      </c>
      <c r="F523" s="23">
        <f t="array" ref="F523">IF($A523="","",
  LET(
    r, $D523,
    startD, INDEX(Calculation!B$2:B9627, r),
    endD,   INDEX(Calculation!C$2:C9627, r),
    asOf,   MIN($A523,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769771.2329</v>
      </c>
    </row>
    <row r="524">
      <c r="A524" s="19">
        <v>42759.0</v>
      </c>
      <c r="B524" s="23">
        <v>1.0765E7</v>
      </c>
      <c r="C524" s="23">
        <f t="shared" si="1"/>
        <v>771245.8904</v>
      </c>
      <c r="D524" s="18">
        <f>IF(A524="","",MATCH(A524,Calculation!B$2:B9627,1))</f>
        <v>1</v>
      </c>
      <c r="E524" s="23">
        <f t="array" ref="E524">IF(D524="","",IF(D524=1,0,INDEX(Calculation!Q$2:Q9627,D524-1)))</f>
        <v>0</v>
      </c>
      <c r="F524" s="23">
        <f t="array" ref="F524">IF($A524="","",
  LET(
    r, $D524,
    startD, INDEX(Calculation!B$2:B9627, r),
    endD,   INDEX(Calculation!C$2:C9627, r),
    asOf,   MIN($A524,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771245.8904</v>
      </c>
    </row>
    <row r="525">
      <c r="A525" s="19">
        <v>42760.0</v>
      </c>
      <c r="B525" s="23">
        <v>1.0765E7</v>
      </c>
      <c r="C525" s="23">
        <f t="shared" si="1"/>
        <v>772720.5479</v>
      </c>
      <c r="D525" s="18">
        <f>IF(A525="","",MATCH(A525,Calculation!B$2:B9627,1))</f>
        <v>1</v>
      </c>
      <c r="E525" s="23">
        <f t="array" ref="E525">IF(D525="","",IF(D525=1,0,INDEX(Calculation!Q$2:Q9627,D525-1)))</f>
        <v>0</v>
      </c>
      <c r="F525" s="23">
        <f t="array" ref="F525">IF($A525="","",
  LET(
    r, $D525,
    startD, INDEX(Calculation!B$2:B9627, r),
    endD,   INDEX(Calculation!C$2:C9627, r),
    asOf,   MIN($A525,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772720.5479</v>
      </c>
    </row>
    <row r="526">
      <c r="A526" s="19">
        <v>42761.0</v>
      </c>
      <c r="B526" s="23">
        <v>1.0765E7</v>
      </c>
      <c r="C526" s="23">
        <f t="shared" si="1"/>
        <v>774195.2055</v>
      </c>
      <c r="D526" s="18">
        <f>IF(A526="","",MATCH(A526,Calculation!B$2:B9627,1))</f>
        <v>1</v>
      </c>
      <c r="E526" s="23">
        <f t="array" ref="E526">IF(D526="","",IF(D526=1,0,INDEX(Calculation!Q$2:Q9627,D526-1)))</f>
        <v>0</v>
      </c>
      <c r="F526" s="23">
        <f t="array" ref="F526">IF($A526="","",
  LET(
    r, $D526,
    startD, INDEX(Calculation!B$2:B9627, r),
    endD,   INDEX(Calculation!C$2:C9627, r),
    asOf,   MIN($A526,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774195.2055</v>
      </c>
    </row>
    <row r="527">
      <c r="A527" s="19">
        <v>42762.0</v>
      </c>
      <c r="B527" s="23">
        <v>1.0765E7</v>
      </c>
      <c r="C527" s="23">
        <f t="shared" si="1"/>
        <v>775669.863</v>
      </c>
      <c r="D527" s="18">
        <f>IF(A527="","",MATCH(A527,Calculation!B$2:B9627,1))</f>
        <v>1</v>
      </c>
      <c r="E527" s="23">
        <f t="array" ref="E527">IF(D527="","",IF(D527=1,0,INDEX(Calculation!Q$2:Q9627,D527-1)))</f>
        <v>0</v>
      </c>
      <c r="F527" s="23">
        <f t="array" ref="F527">IF($A527="","",
  LET(
    r, $D527,
    startD, INDEX(Calculation!B$2:B9627, r),
    endD,   INDEX(Calculation!C$2:C9627, r),
    asOf,   MIN($A527,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775669.863</v>
      </c>
    </row>
    <row r="528">
      <c r="A528" s="19">
        <v>42763.0</v>
      </c>
      <c r="B528" s="23">
        <v>1.0765E7</v>
      </c>
      <c r="C528" s="23">
        <f t="shared" si="1"/>
        <v>777144.5205</v>
      </c>
      <c r="D528" s="18">
        <f>IF(A528="","",MATCH(A528,Calculation!B$2:B9627,1))</f>
        <v>1</v>
      </c>
      <c r="E528" s="23">
        <f t="array" ref="E528">IF(D528="","",IF(D528=1,0,INDEX(Calculation!Q$2:Q9627,D528-1)))</f>
        <v>0</v>
      </c>
      <c r="F528" s="23">
        <f t="array" ref="F528">IF($A528="","",
  LET(
    r, $D528,
    startD, INDEX(Calculation!B$2:B9627, r),
    endD,   INDEX(Calculation!C$2:C9627, r),
    asOf,   MIN($A528,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777144.5205</v>
      </c>
    </row>
    <row r="529">
      <c r="A529" s="19">
        <v>42764.0</v>
      </c>
      <c r="B529" s="23">
        <v>1.0765E7</v>
      </c>
      <c r="C529" s="23">
        <f t="shared" si="1"/>
        <v>778619.1781</v>
      </c>
      <c r="D529" s="18">
        <f>IF(A529="","",MATCH(A529,Calculation!B$2:B9627,1))</f>
        <v>1</v>
      </c>
      <c r="E529" s="23">
        <f t="array" ref="E529">IF(D529="","",IF(D529=1,0,INDEX(Calculation!Q$2:Q9627,D529-1)))</f>
        <v>0</v>
      </c>
      <c r="F529" s="23">
        <f t="array" ref="F529">IF($A529="","",
  LET(
    r, $D529,
    startD, INDEX(Calculation!B$2:B9627, r),
    endD,   INDEX(Calculation!C$2:C9627, r),
    asOf,   MIN($A529,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778619.1781</v>
      </c>
    </row>
    <row r="530">
      <c r="A530" s="19">
        <v>42765.0</v>
      </c>
      <c r="B530" s="23">
        <v>1.0765E7</v>
      </c>
      <c r="C530" s="23">
        <f t="shared" si="1"/>
        <v>780093.8356</v>
      </c>
      <c r="D530" s="18">
        <f>IF(A530="","",MATCH(A530,Calculation!B$2:B9627,1))</f>
        <v>1</v>
      </c>
      <c r="E530" s="23">
        <f t="array" ref="E530">IF(D530="","",IF(D530=1,0,INDEX(Calculation!Q$2:Q9627,D530-1)))</f>
        <v>0</v>
      </c>
      <c r="F530" s="23">
        <f t="array" ref="F530">IF($A530="","",
  LET(
    r, $D530,
    startD, INDEX(Calculation!B$2:B9627, r),
    endD,   INDEX(Calculation!C$2:C9627, r),
    asOf,   MIN($A530,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780093.8356</v>
      </c>
    </row>
    <row r="531">
      <c r="A531" s="19">
        <v>42766.0</v>
      </c>
      <c r="B531" s="23">
        <v>1.0765E7</v>
      </c>
      <c r="C531" s="23">
        <f t="shared" si="1"/>
        <v>781568.4932</v>
      </c>
      <c r="D531" s="18">
        <f>IF(A531="","",MATCH(A531,Calculation!B$2:B9627,1))</f>
        <v>1</v>
      </c>
      <c r="E531" s="23">
        <f t="array" ref="E531">IF(D531="","",IF(D531=1,0,INDEX(Calculation!Q$2:Q9627,D531-1)))</f>
        <v>0</v>
      </c>
      <c r="F531" s="23">
        <f t="array" ref="F531">IF($A531="","",
  LET(
    r, $D531,
    startD, INDEX(Calculation!B$2:B9627, r),
    endD,   INDEX(Calculation!C$2:C9627, r),
    asOf,   MIN($A531,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781568.4932</v>
      </c>
    </row>
    <row r="532">
      <c r="A532" s="19">
        <v>42767.0</v>
      </c>
      <c r="B532" s="23">
        <v>1.0765E7</v>
      </c>
      <c r="C532" s="23">
        <f t="shared" si="1"/>
        <v>783043.1507</v>
      </c>
      <c r="D532" s="18">
        <f>IF(A532="","",MATCH(A532,Calculation!B$2:B9627,1))</f>
        <v>1</v>
      </c>
      <c r="E532" s="23">
        <f t="array" ref="E532">IF(D532="","",IF(D532=1,0,INDEX(Calculation!Q$2:Q9627,D532-1)))</f>
        <v>0</v>
      </c>
      <c r="F532" s="23">
        <f t="array" ref="F532">IF($A532="","",
  LET(
    r, $D532,
    startD, INDEX(Calculation!B$2:B9627, r),
    endD,   INDEX(Calculation!C$2:C9627, r),
    asOf,   MIN($A532,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783043.1507</v>
      </c>
    </row>
    <row r="533">
      <c r="A533" s="19">
        <v>42768.0</v>
      </c>
      <c r="B533" s="23">
        <v>1.0765E7</v>
      </c>
      <c r="C533" s="23">
        <f t="shared" si="1"/>
        <v>784517.8082</v>
      </c>
      <c r="D533" s="18">
        <f>IF(A533="","",MATCH(A533,Calculation!B$2:B9627,1))</f>
        <v>1</v>
      </c>
      <c r="E533" s="23">
        <f t="array" ref="E533">IF(D533="","",IF(D533=1,0,INDEX(Calculation!Q$2:Q9627,D533-1)))</f>
        <v>0</v>
      </c>
      <c r="F533" s="23">
        <f t="array" ref="F533">IF($A533="","",
  LET(
    r, $D533,
    startD, INDEX(Calculation!B$2:B9627, r),
    endD,   INDEX(Calculation!C$2:C9627, r),
    asOf,   MIN($A533,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784517.8082</v>
      </c>
    </row>
    <row r="534">
      <c r="A534" s="19">
        <v>42769.0</v>
      </c>
      <c r="B534" s="23">
        <v>1.0765E7</v>
      </c>
      <c r="C534" s="23">
        <f t="shared" si="1"/>
        <v>785992.4658</v>
      </c>
      <c r="D534" s="18">
        <f>IF(A534="","",MATCH(A534,Calculation!B$2:B9627,1))</f>
        <v>1</v>
      </c>
      <c r="E534" s="23">
        <f t="array" ref="E534">IF(D534="","",IF(D534=1,0,INDEX(Calculation!Q$2:Q9627,D534-1)))</f>
        <v>0</v>
      </c>
      <c r="F534" s="23">
        <f t="array" ref="F534">IF($A534="","",
  LET(
    r, $D534,
    startD, INDEX(Calculation!B$2:B9627, r),
    endD,   INDEX(Calculation!C$2:C9627, r),
    asOf,   MIN($A534,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785992.4658</v>
      </c>
    </row>
    <row r="535">
      <c r="A535" s="19">
        <v>42770.0</v>
      </c>
      <c r="B535" s="23">
        <v>1.0765E7</v>
      </c>
      <c r="C535" s="23">
        <f t="shared" si="1"/>
        <v>787467.1233</v>
      </c>
      <c r="D535" s="18">
        <f>IF(A535="","",MATCH(A535,Calculation!B$2:B9627,1))</f>
        <v>1</v>
      </c>
      <c r="E535" s="23">
        <f t="array" ref="E535">IF(D535="","",IF(D535=1,0,INDEX(Calculation!Q$2:Q9627,D535-1)))</f>
        <v>0</v>
      </c>
      <c r="F535" s="23">
        <f t="array" ref="F535">IF($A535="","",
  LET(
    r, $D535,
    startD, INDEX(Calculation!B$2:B9627, r),
    endD,   INDEX(Calculation!C$2:C9627, r),
    asOf,   MIN($A535,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787467.1233</v>
      </c>
    </row>
    <row r="536">
      <c r="A536" s="19">
        <v>42771.0</v>
      </c>
      <c r="B536" s="23">
        <v>1.0765E7</v>
      </c>
      <c r="C536" s="23">
        <f t="shared" si="1"/>
        <v>788941.7808</v>
      </c>
      <c r="D536" s="18">
        <f>IF(A536="","",MATCH(A536,Calculation!B$2:B9627,1))</f>
        <v>1</v>
      </c>
      <c r="E536" s="23">
        <f t="array" ref="E536">IF(D536="","",IF(D536=1,0,INDEX(Calculation!Q$2:Q9627,D536-1)))</f>
        <v>0</v>
      </c>
      <c r="F536" s="23">
        <f t="array" ref="F536">IF($A536="","",
  LET(
    r, $D536,
    startD, INDEX(Calculation!B$2:B9627, r),
    endD,   INDEX(Calculation!C$2:C9627, r),
    asOf,   MIN($A536,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788941.7808</v>
      </c>
    </row>
    <row r="537">
      <c r="A537" s="19">
        <v>42772.0</v>
      </c>
      <c r="B537" s="23">
        <v>1.0765E7</v>
      </c>
      <c r="C537" s="23">
        <f t="shared" si="1"/>
        <v>790416.4384</v>
      </c>
      <c r="D537" s="18">
        <f>IF(A537="","",MATCH(A537,Calculation!B$2:B9627,1))</f>
        <v>1</v>
      </c>
      <c r="E537" s="23">
        <f t="array" ref="E537">IF(D537="","",IF(D537=1,0,INDEX(Calculation!Q$2:Q9627,D537-1)))</f>
        <v>0</v>
      </c>
      <c r="F537" s="23">
        <f t="array" ref="F537">IF($A537="","",
  LET(
    r, $D537,
    startD, INDEX(Calculation!B$2:B9627, r),
    endD,   INDEX(Calculation!C$2:C9627, r),
    asOf,   MIN($A537,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790416.4384</v>
      </c>
    </row>
    <row r="538">
      <c r="A538" s="19">
        <v>42773.0</v>
      </c>
      <c r="B538" s="23">
        <v>1.0765E7</v>
      </c>
      <c r="C538" s="23">
        <f t="shared" si="1"/>
        <v>791891.0959</v>
      </c>
      <c r="D538" s="18">
        <f>IF(A538="","",MATCH(A538,Calculation!B$2:B9627,1))</f>
        <v>1</v>
      </c>
      <c r="E538" s="23">
        <f t="array" ref="E538">IF(D538="","",IF(D538=1,0,INDEX(Calculation!Q$2:Q9627,D538-1)))</f>
        <v>0</v>
      </c>
      <c r="F538" s="23">
        <f t="array" ref="F538">IF($A538="","",
  LET(
    r, $D538,
    startD, INDEX(Calculation!B$2:B9627, r),
    endD,   INDEX(Calculation!C$2:C9627, r),
    asOf,   MIN($A538,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791891.0959</v>
      </c>
    </row>
    <row r="539">
      <c r="A539" s="19">
        <v>42774.0</v>
      </c>
      <c r="B539" s="23">
        <v>1.0765E7</v>
      </c>
      <c r="C539" s="23">
        <f t="shared" si="1"/>
        <v>793365.7534</v>
      </c>
      <c r="D539" s="18">
        <f>IF(A539="","",MATCH(A539,Calculation!B$2:B9627,1))</f>
        <v>1</v>
      </c>
      <c r="E539" s="23">
        <f t="array" ref="E539">IF(D539="","",IF(D539=1,0,INDEX(Calculation!Q$2:Q9627,D539-1)))</f>
        <v>0</v>
      </c>
      <c r="F539" s="23">
        <f t="array" ref="F539">IF($A539="","",
  LET(
    r, $D539,
    startD, INDEX(Calculation!B$2:B9627, r),
    endD,   INDEX(Calculation!C$2:C9627, r),
    asOf,   MIN($A539,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793365.7534</v>
      </c>
    </row>
    <row r="540">
      <c r="A540" s="19">
        <v>42775.0</v>
      </c>
      <c r="B540" s="23">
        <v>1.0765E7</v>
      </c>
      <c r="C540" s="23">
        <f t="shared" si="1"/>
        <v>794840.411</v>
      </c>
      <c r="D540" s="18">
        <f>IF(A540="","",MATCH(A540,Calculation!B$2:B9627,1))</f>
        <v>1</v>
      </c>
      <c r="E540" s="23">
        <f t="array" ref="E540">IF(D540="","",IF(D540=1,0,INDEX(Calculation!Q$2:Q9627,D540-1)))</f>
        <v>0</v>
      </c>
      <c r="F540" s="23">
        <f t="array" ref="F540">IF($A540="","",
  LET(
    r, $D540,
    startD, INDEX(Calculation!B$2:B9627, r),
    endD,   INDEX(Calculation!C$2:C9627, r),
    asOf,   MIN($A540,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794840.411</v>
      </c>
    </row>
    <row r="541">
      <c r="A541" s="19">
        <v>42776.0</v>
      </c>
      <c r="B541" s="23">
        <v>1.0765E7</v>
      </c>
      <c r="C541" s="23">
        <f t="shared" si="1"/>
        <v>796315.0685</v>
      </c>
      <c r="D541" s="18">
        <f>IF(A541="","",MATCH(A541,Calculation!B$2:B9627,1))</f>
        <v>1</v>
      </c>
      <c r="E541" s="23">
        <f t="array" ref="E541">IF(D541="","",IF(D541=1,0,INDEX(Calculation!Q$2:Q9627,D541-1)))</f>
        <v>0</v>
      </c>
      <c r="F541" s="23">
        <f t="array" ref="F541">IF($A541="","",
  LET(
    r, $D541,
    startD, INDEX(Calculation!B$2:B9627, r),
    endD,   INDEX(Calculation!C$2:C9627, r),
    asOf,   MIN($A541,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796315.0685</v>
      </c>
    </row>
    <row r="542">
      <c r="A542" s="19">
        <v>42777.0</v>
      </c>
      <c r="B542" s="23">
        <v>1.0765E7</v>
      </c>
      <c r="C542" s="23">
        <f t="shared" si="1"/>
        <v>797789.726</v>
      </c>
      <c r="D542" s="18">
        <f>IF(A542="","",MATCH(A542,Calculation!B$2:B9627,1))</f>
        <v>1</v>
      </c>
      <c r="E542" s="23">
        <f t="array" ref="E542">IF(D542="","",IF(D542=1,0,INDEX(Calculation!Q$2:Q9627,D542-1)))</f>
        <v>0</v>
      </c>
      <c r="F542" s="23">
        <f t="array" ref="F542">IF($A542="","",
  LET(
    r, $D542,
    startD, INDEX(Calculation!B$2:B9627, r),
    endD,   INDEX(Calculation!C$2:C9627, r),
    asOf,   MIN($A542,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797789.726</v>
      </c>
    </row>
    <row r="543">
      <c r="A543" s="19">
        <v>42778.0</v>
      </c>
      <c r="B543" s="23">
        <v>1.0765E7</v>
      </c>
      <c r="C543" s="23">
        <f t="shared" si="1"/>
        <v>799264.3836</v>
      </c>
      <c r="D543" s="18">
        <f>IF(A543="","",MATCH(A543,Calculation!B$2:B9627,1))</f>
        <v>1</v>
      </c>
      <c r="E543" s="23">
        <f t="array" ref="E543">IF(D543="","",IF(D543=1,0,INDEX(Calculation!Q$2:Q9627,D543-1)))</f>
        <v>0</v>
      </c>
      <c r="F543" s="23">
        <f t="array" ref="F543">IF($A543="","",
  LET(
    r, $D543,
    startD, INDEX(Calculation!B$2:B9627, r),
    endD,   INDEX(Calculation!C$2:C9627, r),
    asOf,   MIN($A543,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799264.3836</v>
      </c>
    </row>
    <row r="544">
      <c r="A544" s="19">
        <v>42779.0</v>
      </c>
      <c r="B544" s="23">
        <v>1.0765E7</v>
      </c>
      <c r="C544" s="23">
        <f t="shared" si="1"/>
        <v>800739.0411</v>
      </c>
      <c r="D544" s="18">
        <f>IF(A544="","",MATCH(A544,Calculation!B$2:B9627,1))</f>
        <v>1</v>
      </c>
      <c r="E544" s="23">
        <f t="array" ref="E544">IF(D544="","",IF(D544=1,0,INDEX(Calculation!Q$2:Q9627,D544-1)))</f>
        <v>0</v>
      </c>
      <c r="F544" s="23">
        <f t="array" ref="F544">IF($A544="","",
  LET(
    r, $D544,
    startD, INDEX(Calculation!B$2:B9627, r),
    endD,   INDEX(Calculation!C$2:C9627, r),
    asOf,   MIN($A544,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800739.0411</v>
      </c>
    </row>
    <row r="545">
      <c r="A545" s="19">
        <v>42780.0</v>
      </c>
      <c r="B545" s="23">
        <v>1.0765E7</v>
      </c>
      <c r="C545" s="23">
        <f t="shared" si="1"/>
        <v>802213.6986</v>
      </c>
      <c r="D545" s="18">
        <f>IF(A545="","",MATCH(A545,Calculation!B$2:B9627,1))</f>
        <v>1</v>
      </c>
      <c r="E545" s="23">
        <f t="array" ref="E545">IF(D545="","",IF(D545=1,0,INDEX(Calculation!Q$2:Q9627,D545-1)))</f>
        <v>0</v>
      </c>
      <c r="F545" s="23">
        <f t="array" ref="F545">IF($A545="","",
  LET(
    r, $D545,
    startD, INDEX(Calculation!B$2:B9627, r),
    endD,   INDEX(Calculation!C$2:C9627, r),
    asOf,   MIN($A545,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802213.6986</v>
      </c>
    </row>
    <row r="546">
      <c r="A546" s="19">
        <v>42781.0</v>
      </c>
      <c r="B546" s="23">
        <v>1.0765E7</v>
      </c>
      <c r="C546" s="23">
        <f t="shared" si="1"/>
        <v>803688.3562</v>
      </c>
      <c r="D546" s="18">
        <f>IF(A546="","",MATCH(A546,Calculation!B$2:B9627,1))</f>
        <v>1</v>
      </c>
      <c r="E546" s="23">
        <f t="array" ref="E546">IF(D546="","",IF(D546=1,0,INDEX(Calculation!Q$2:Q9627,D546-1)))</f>
        <v>0</v>
      </c>
      <c r="F546" s="23">
        <f t="array" ref="F546">IF($A546="","",
  LET(
    r, $D546,
    startD, INDEX(Calculation!B$2:B9627, r),
    endD,   INDEX(Calculation!C$2:C9627, r),
    asOf,   MIN($A546,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803688.3562</v>
      </c>
    </row>
    <row r="547">
      <c r="A547" s="19">
        <v>42782.0</v>
      </c>
      <c r="B547" s="23">
        <v>1.0765E7</v>
      </c>
      <c r="C547" s="23">
        <f t="shared" si="1"/>
        <v>805163.0137</v>
      </c>
      <c r="D547" s="18">
        <f>IF(A547="","",MATCH(A547,Calculation!B$2:B9627,1))</f>
        <v>1</v>
      </c>
      <c r="E547" s="23">
        <f t="array" ref="E547">IF(D547="","",IF(D547=1,0,INDEX(Calculation!Q$2:Q9627,D547-1)))</f>
        <v>0</v>
      </c>
      <c r="F547" s="23">
        <f t="array" ref="F547">IF($A547="","",
  LET(
    r, $D547,
    startD, INDEX(Calculation!B$2:B9627, r),
    endD,   INDEX(Calculation!C$2:C9627, r),
    asOf,   MIN($A547,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805163.0137</v>
      </c>
    </row>
    <row r="548">
      <c r="A548" s="19">
        <v>42783.0</v>
      </c>
      <c r="B548" s="23">
        <v>1.0765E7</v>
      </c>
      <c r="C548" s="23">
        <f t="shared" si="1"/>
        <v>806637.6712</v>
      </c>
      <c r="D548" s="18">
        <f>IF(A548="","",MATCH(A548,Calculation!B$2:B9627,1))</f>
        <v>1</v>
      </c>
      <c r="E548" s="23">
        <f t="array" ref="E548">IF(D548="","",IF(D548=1,0,INDEX(Calculation!Q$2:Q9627,D548-1)))</f>
        <v>0</v>
      </c>
      <c r="F548" s="23">
        <f t="array" ref="F548">IF($A548="","",
  LET(
    r, $D548,
    startD, INDEX(Calculation!B$2:B9627, r),
    endD,   INDEX(Calculation!C$2:C9627, r),
    asOf,   MIN($A548,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806637.6712</v>
      </c>
    </row>
    <row r="549">
      <c r="A549" s="19">
        <v>42784.0</v>
      </c>
      <c r="B549" s="23">
        <v>1.0765E7</v>
      </c>
      <c r="C549" s="23">
        <f t="shared" si="1"/>
        <v>808112.3288</v>
      </c>
      <c r="D549" s="18">
        <f>IF(A549="","",MATCH(A549,Calculation!B$2:B9627,1))</f>
        <v>1</v>
      </c>
      <c r="E549" s="23">
        <f t="array" ref="E549">IF(D549="","",IF(D549=1,0,INDEX(Calculation!Q$2:Q9627,D549-1)))</f>
        <v>0</v>
      </c>
      <c r="F549" s="23">
        <f t="array" ref="F549">IF($A549="","",
  LET(
    r, $D549,
    startD, INDEX(Calculation!B$2:B9627, r),
    endD,   INDEX(Calculation!C$2:C9627, r),
    asOf,   MIN($A549,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808112.3288</v>
      </c>
    </row>
    <row r="550">
      <c r="A550" s="19">
        <v>42785.0</v>
      </c>
      <c r="B550" s="23">
        <v>1.0765E7</v>
      </c>
      <c r="C550" s="23">
        <f t="shared" si="1"/>
        <v>809586.9863</v>
      </c>
      <c r="D550" s="18">
        <f>IF(A550="","",MATCH(A550,Calculation!B$2:B9627,1))</f>
        <v>1</v>
      </c>
      <c r="E550" s="23">
        <f t="array" ref="E550">IF(D550="","",IF(D550=1,0,INDEX(Calculation!Q$2:Q9627,D550-1)))</f>
        <v>0</v>
      </c>
      <c r="F550" s="23">
        <f t="array" ref="F550">IF($A550="","",
  LET(
    r, $D550,
    startD, INDEX(Calculation!B$2:B9627, r),
    endD,   INDEX(Calculation!C$2:C9627, r),
    asOf,   MIN($A550,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809586.9863</v>
      </c>
    </row>
    <row r="551">
      <c r="A551" s="19">
        <v>42786.0</v>
      </c>
      <c r="B551" s="23">
        <v>1.0765E7</v>
      </c>
      <c r="C551" s="23">
        <f t="shared" si="1"/>
        <v>811061.6438</v>
      </c>
      <c r="D551" s="18">
        <f>IF(A551="","",MATCH(A551,Calculation!B$2:B9627,1))</f>
        <v>1</v>
      </c>
      <c r="E551" s="23">
        <f t="array" ref="E551">IF(D551="","",IF(D551=1,0,INDEX(Calculation!Q$2:Q9627,D551-1)))</f>
        <v>0</v>
      </c>
      <c r="F551" s="23">
        <f t="array" ref="F551">IF($A551="","",
  LET(
    r, $D551,
    startD, INDEX(Calculation!B$2:B9627, r),
    endD,   INDEX(Calculation!C$2:C9627, r),
    asOf,   MIN($A551,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811061.6438</v>
      </c>
    </row>
    <row r="552">
      <c r="A552" s="19">
        <v>42787.0</v>
      </c>
      <c r="B552" s="23">
        <v>1.0765E7</v>
      </c>
      <c r="C552" s="23">
        <f t="shared" si="1"/>
        <v>812536.3014</v>
      </c>
      <c r="D552" s="18">
        <f>IF(A552="","",MATCH(A552,Calculation!B$2:B9627,1))</f>
        <v>1</v>
      </c>
      <c r="E552" s="23">
        <f t="array" ref="E552">IF(D552="","",IF(D552=1,0,INDEX(Calculation!Q$2:Q9627,D552-1)))</f>
        <v>0</v>
      </c>
      <c r="F552" s="23">
        <f t="array" ref="F552">IF($A552="","",
  LET(
    r, $D552,
    startD, INDEX(Calculation!B$2:B9627, r),
    endD,   INDEX(Calculation!C$2:C9627, r),
    asOf,   MIN($A552,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812536.3014</v>
      </c>
    </row>
    <row r="553">
      <c r="A553" s="19">
        <v>42788.0</v>
      </c>
      <c r="B553" s="23">
        <v>1.0765E7</v>
      </c>
      <c r="C553" s="23">
        <f t="shared" si="1"/>
        <v>814010.9589</v>
      </c>
      <c r="D553" s="18">
        <f>IF(A553="","",MATCH(A553,Calculation!B$2:B9627,1))</f>
        <v>1</v>
      </c>
      <c r="E553" s="23">
        <f t="array" ref="E553">IF(D553="","",IF(D553=1,0,INDEX(Calculation!Q$2:Q9627,D553-1)))</f>
        <v>0</v>
      </c>
      <c r="F553" s="23">
        <f t="array" ref="F553">IF($A553="","",
  LET(
    r, $D553,
    startD, INDEX(Calculation!B$2:B9627, r),
    endD,   INDEX(Calculation!C$2:C9627, r),
    asOf,   MIN($A553,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814010.9589</v>
      </c>
    </row>
    <row r="554">
      <c r="A554" s="19">
        <v>42789.0</v>
      </c>
      <c r="B554" s="23">
        <v>1.0765E7</v>
      </c>
      <c r="C554" s="23">
        <f t="shared" si="1"/>
        <v>815485.6164</v>
      </c>
      <c r="D554" s="18">
        <f>IF(A554="","",MATCH(A554,Calculation!B$2:B9627,1))</f>
        <v>1</v>
      </c>
      <c r="E554" s="23">
        <f t="array" ref="E554">IF(D554="","",IF(D554=1,0,INDEX(Calculation!Q$2:Q9627,D554-1)))</f>
        <v>0</v>
      </c>
      <c r="F554" s="23">
        <f t="array" ref="F554">IF($A554="","",
  LET(
    r, $D554,
    startD, INDEX(Calculation!B$2:B9627, r),
    endD,   INDEX(Calculation!C$2:C9627, r),
    asOf,   MIN($A554,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815485.6164</v>
      </c>
    </row>
    <row r="555">
      <c r="A555" s="19">
        <v>42790.0</v>
      </c>
      <c r="B555" s="23">
        <v>1.0765E7</v>
      </c>
      <c r="C555" s="23">
        <f t="shared" si="1"/>
        <v>816960.274</v>
      </c>
      <c r="D555" s="18">
        <f>IF(A555="","",MATCH(A555,Calculation!B$2:B9627,1))</f>
        <v>1</v>
      </c>
      <c r="E555" s="23">
        <f t="array" ref="E555">IF(D555="","",IF(D555=1,0,INDEX(Calculation!Q$2:Q9627,D555-1)))</f>
        <v>0</v>
      </c>
      <c r="F555" s="23">
        <f t="array" ref="F555">IF($A555="","",
  LET(
    r, $D555,
    startD, INDEX(Calculation!B$2:B9627, r),
    endD,   INDEX(Calculation!C$2:C9627, r),
    asOf,   MIN($A555,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816960.274</v>
      </c>
    </row>
    <row r="556">
      <c r="A556" s="19">
        <v>42791.0</v>
      </c>
      <c r="B556" s="23">
        <v>1.0765E7</v>
      </c>
      <c r="C556" s="23">
        <f t="shared" si="1"/>
        <v>818434.9315</v>
      </c>
      <c r="D556" s="18">
        <f>IF(A556="","",MATCH(A556,Calculation!B$2:B9627,1))</f>
        <v>1</v>
      </c>
      <c r="E556" s="23">
        <f t="array" ref="E556">IF(D556="","",IF(D556=1,0,INDEX(Calculation!Q$2:Q9627,D556-1)))</f>
        <v>0</v>
      </c>
      <c r="F556" s="23">
        <f t="array" ref="F556">IF($A556="","",
  LET(
    r, $D556,
    startD, INDEX(Calculation!B$2:B9627, r),
    endD,   INDEX(Calculation!C$2:C9627, r),
    asOf,   MIN($A556,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818434.9315</v>
      </c>
    </row>
    <row r="557">
      <c r="A557" s="19">
        <v>42792.0</v>
      </c>
      <c r="B557" s="23">
        <v>1.0765E7</v>
      </c>
      <c r="C557" s="23">
        <f t="shared" si="1"/>
        <v>819909.589</v>
      </c>
      <c r="D557" s="18">
        <f>IF(A557="","",MATCH(A557,Calculation!B$2:B9627,1))</f>
        <v>1</v>
      </c>
      <c r="E557" s="23">
        <f t="array" ref="E557">IF(D557="","",IF(D557=1,0,INDEX(Calculation!Q$2:Q9627,D557-1)))</f>
        <v>0</v>
      </c>
      <c r="F557" s="23">
        <f t="array" ref="F557">IF($A557="","",
  LET(
    r, $D557,
    startD, INDEX(Calculation!B$2:B9627, r),
    endD,   INDEX(Calculation!C$2:C9627, r),
    asOf,   MIN($A557,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819909.589</v>
      </c>
    </row>
    <row r="558">
      <c r="A558" s="19">
        <v>42793.0</v>
      </c>
      <c r="B558" s="23">
        <v>1.0765E7</v>
      </c>
      <c r="C558" s="23">
        <f t="shared" si="1"/>
        <v>821384.2466</v>
      </c>
      <c r="D558" s="18">
        <f>IF(A558="","",MATCH(A558,Calculation!B$2:B9627,1))</f>
        <v>1</v>
      </c>
      <c r="E558" s="23">
        <f t="array" ref="E558">IF(D558="","",IF(D558=1,0,INDEX(Calculation!Q$2:Q9627,D558-1)))</f>
        <v>0</v>
      </c>
      <c r="F558" s="23">
        <f t="array" ref="F558">IF($A558="","",
  LET(
    r, $D558,
    startD, INDEX(Calculation!B$2:B9627, r),
    endD,   INDEX(Calculation!C$2:C9627, r),
    asOf,   MIN($A558,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821384.2466</v>
      </c>
    </row>
    <row r="559">
      <c r="A559" s="19">
        <v>42794.0</v>
      </c>
      <c r="B559" s="23">
        <v>1.0765E7</v>
      </c>
      <c r="C559" s="23">
        <f t="shared" si="1"/>
        <v>822858.9041</v>
      </c>
      <c r="D559" s="18">
        <f>IF(A559="","",MATCH(A559,Calculation!B$2:B9627,1))</f>
        <v>1</v>
      </c>
      <c r="E559" s="23">
        <f t="array" ref="E559">IF(D559="","",IF(D559=1,0,INDEX(Calculation!Q$2:Q9627,D559-1)))</f>
        <v>0</v>
      </c>
      <c r="F559" s="23">
        <f t="array" ref="F559">IF($A559="","",
  LET(
    r, $D559,
    startD, INDEX(Calculation!B$2:B9627, r),
    endD,   INDEX(Calculation!C$2:C9627, r),
    asOf,   MIN($A559,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822858.9041</v>
      </c>
    </row>
    <row r="560">
      <c r="A560" s="19">
        <v>42795.0</v>
      </c>
      <c r="B560" s="23">
        <v>1.0765E7</v>
      </c>
      <c r="C560" s="23">
        <f t="shared" si="1"/>
        <v>824333.5616</v>
      </c>
      <c r="D560" s="18">
        <f>IF(A560="","",MATCH(A560,Calculation!B$2:B9627,1))</f>
        <v>1</v>
      </c>
      <c r="E560" s="23">
        <f t="array" ref="E560">IF(D560="","",IF(D560=1,0,INDEX(Calculation!Q$2:Q9627,D560-1)))</f>
        <v>0</v>
      </c>
      <c r="F560" s="23">
        <f t="array" ref="F560">IF($A560="","",
  LET(
    r, $D560,
    startD, INDEX(Calculation!B$2:B9627, r),
    endD,   INDEX(Calculation!C$2:C9627, r),
    asOf,   MIN($A560,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824333.5616</v>
      </c>
    </row>
    <row r="561">
      <c r="A561" s="19">
        <v>42796.0</v>
      </c>
      <c r="B561" s="23">
        <v>1.0765E7</v>
      </c>
      <c r="C561" s="23">
        <f t="shared" si="1"/>
        <v>825808.2192</v>
      </c>
      <c r="D561" s="18">
        <f>IF(A561="","",MATCH(A561,Calculation!B$2:B9627,1))</f>
        <v>1</v>
      </c>
      <c r="E561" s="23">
        <f t="array" ref="E561">IF(D561="","",IF(D561=1,0,INDEX(Calculation!Q$2:Q9627,D561-1)))</f>
        <v>0</v>
      </c>
      <c r="F561" s="23">
        <f t="array" ref="F561">IF($A561="","",
  LET(
    r, $D561,
    startD, INDEX(Calculation!B$2:B9627, r),
    endD,   INDEX(Calculation!C$2:C9627, r),
    asOf,   MIN($A561,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825808.2192</v>
      </c>
    </row>
    <row r="562">
      <c r="A562" s="19">
        <v>42797.0</v>
      </c>
      <c r="B562" s="23">
        <v>1.0765E7</v>
      </c>
      <c r="C562" s="23">
        <f t="shared" si="1"/>
        <v>827282.8767</v>
      </c>
      <c r="D562" s="18">
        <f>IF(A562="","",MATCH(A562,Calculation!B$2:B9627,1))</f>
        <v>1</v>
      </c>
      <c r="E562" s="23">
        <f t="array" ref="E562">IF(D562="","",IF(D562=1,0,INDEX(Calculation!Q$2:Q9627,D562-1)))</f>
        <v>0</v>
      </c>
      <c r="F562" s="23">
        <f t="array" ref="F562">IF($A562="","",
  LET(
    r, $D562,
    startD, INDEX(Calculation!B$2:B9627, r),
    endD,   INDEX(Calculation!C$2:C9627, r),
    asOf,   MIN($A562,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827282.8767</v>
      </c>
    </row>
    <row r="563">
      <c r="A563" s="19">
        <v>42798.0</v>
      </c>
      <c r="B563" s="23">
        <v>1.0765E7</v>
      </c>
      <c r="C563" s="23">
        <f t="shared" si="1"/>
        <v>828757.5342</v>
      </c>
      <c r="D563" s="18">
        <f>IF(A563="","",MATCH(A563,Calculation!B$2:B9627,1))</f>
        <v>1</v>
      </c>
      <c r="E563" s="23">
        <f t="array" ref="E563">IF(D563="","",IF(D563=1,0,INDEX(Calculation!Q$2:Q9627,D563-1)))</f>
        <v>0</v>
      </c>
      <c r="F563" s="23">
        <f t="array" ref="F563">IF($A563="","",
  LET(
    r, $D563,
    startD, INDEX(Calculation!B$2:B9627, r),
    endD,   INDEX(Calculation!C$2:C9627, r),
    asOf,   MIN($A563,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828757.5342</v>
      </c>
    </row>
    <row r="564">
      <c r="A564" s="19">
        <v>42799.0</v>
      </c>
      <c r="B564" s="23">
        <v>1.0765E7</v>
      </c>
      <c r="C564" s="23">
        <f t="shared" si="1"/>
        <v>830232.1918</v>
      </c>
      <c r="D564" s="18">
        <f>IF(A564="","",MATCH(A564,Calculation!B$2:B9627,1))</f>
        <v>1</v>
      </c>
      <c r="E564" s="23">
        <f t="array" ref="E564">IF(D564="","",IF(D564=1,0,INDEX(Calculation!Q$2:Q9627,D564-1)))</f>
        <v>0</v>
      </c>
      <c r="F564" s="23">
        <f t="array" ref="F564">IF($A564="","",
  LET(
    r, $D564,
    startD, INDEX(Calculation!B$2:B9627, r),
    endD,   INDEX(Calculation!C$2:C9627, r),
    asOf,   MIN($A564,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830232.1918</v>
      </c>
    </row>
    <row r="565">
      <c r="A565" s="19">
        <v>42800.0</v>
      </c>
      <c r="B565" s="23">
        <v>1.0765E7</v>
      </c>
      <c r="C565" s="23">
        <f t="shared" si="1"/>
        <v>831706.8493</v>
      </c>
      <c r="D565" s="18">
        <f>IF(A565="","",MATCH(A565,Calculation!B$2:B9627,1))</f>
        <v>1</v>
      </c>
      <c r="E565" s="23">
        <f t="array" ref="E565">IF(D565="","",IF(D565=1,0,INDEX(Calculation!Q$2:Q9627,D565-1)))</f>
        <v>0</v>
      </c>
      <c r="F565" s="23">
        <f t="array" ref="F565">IF($A565="","",
  LET(
    r, $D565,
    startD, INDEX(Calculation!B$2:B9627, r),
    endD,   INDEX(Calculation!C$2:C9627, r),
    asOf,   MIN($A565,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831706.8493</v>
      </c>
    </row>
    <row r="566">
      <c r="A566" s="19">
        <v>42801.0</v>
      </c>
      <c r="B566" s="23">
        <v>1.0765E7</v>
      </c>
      <c r="C566" s="23">
        <f t="shared" si="1"/>
        <v>833181.5068</v>
      </c>
      <c r="D566" s="18">
        <f>IF(A566="","",MATCH(A566,Calculation!B$2:B9627,1))</f>
        <v>1</v>
      </c>
      <c r="E566" s="23">
        <f t="array" ref="E566">IF(D566="","",IF(D566=1,0,INDEX(Calculation!Q$2:Q9627,D566-1)))</f>
        <v>0</v>
      </c>
      <c r="F566" s="23">
        <f t="array" ref="F566">IF($A566="","",
  LET(
    r, $D566,
    startD, INDEX(Calculation!B$2:B9627, r),
    endD,   INDEX(Calculation!C$2:C9627, r),
    asOf,   MIN($A566,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833181.5068</v>
      </c>
    </row>
    <row r="567">
      <c r="A567" s="19">
        <v>42802.0</v>
      </c>
      <c r="B567" s="23">
        <v>1.0765E7</v>
      </c>
      <c r="C567" s="23">
        <f t="shared" si="1"/>
        <v>834656.1644</v>
      </c>
      <c r="D567" s="18">
        <f>IF(A567="","",MATCH(A567,Calculation!B$2:B9627,1))</f>
        <v>1</v>
      </c>
      <c r="E567" s="23">
        <f t="array" ref="E567">IF(D567="","",IF(D567=1,0,INDEX(Calculation!Q$2:Q9627,D567-1)))</f>
        <v>0</v>
      </c>
      <c r="F567" s="23">
        <f t="array" ref="F567">IF($A567="","",
  LET(
    r, $D567,
    startD, INDEX(Calculation!B$2:B9627, r),
    endD,   INDEX(Calculation!C$2:C9627, r),
    asOf,   MIN($A567,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834656.1644</v>
      </c>
    </row>
    <row r="568">
      <c r="A568" s="19">
        <v>42803.0</v>
      </c>
      <c r="B568" s="23">
        <v>1.0765E7</v>
      </c>
      <c r="C568" s="23">
        <f t="shared" si="1"/>
        <v>836130.8219</v>
      </c>
      <c r="D568" s="18">
        <f>IF(A568="","",MATCH(A568,Calculation!B$2:B9627,1))</f>
        <v>1</v>
      </c>
      <c r="E568" s="23">
        <f t="array" ref="E568">IF(D568="","",IF(D568=1,0,INDEX(Calculation!Q$2:Q9627,D568-1)))</f>
        <v>0</v>
      </c>
      <c r="F568" s="23">
        <f t="array" ref="F568">IF($A568="","",
  LET(
    r, $D568,
    startD, INDEX(Calculation!B$2:B9627, r),
    endD,   INDEX(Calculation!C$2:C9627, r),
    asOf,   MIN($A568,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836130.8219</v>
      </c>
    </row>
    <row r="569">
      <c r="A569" s="19">
        <v>42804.0</v>
      </c>
      <c r="B569" s="23">
        <v>1.0765E7</v>
      </c>
      <c r="C569" s="23">
        <f t="shared" si="1"/>
        <v>837605.4795</v>
      </c>
      <c r="D569" s="18">
        <f>IF(A569="","",MATCH(A569,Calculation!B$2:B9627,1))</f>
        <v>1</v>
      </c>
      <c r="E569" s="23">
        <f t="array" ref="E569">IF(D569="","",IF(D569=1,0,INDEX(Calculation!Q$2:Q9627,D569-1)))</f>
        <v>0</v>
      </c>
      <c r="F569" s="23">
        <f t="array" ref="F569">IF($A569="","",
  LET(
    r, $D569,
    startD, INDEX(Calculation!B$2:B9627, r),
    endD,   INDEX(Calculation!C$2:C9627, r),
    asOf,   MIN($A569,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837605.4795</v>
      </c>
    </row>
    <row r="570">
      <c r="A570" s="19">
        <v>42805.0</v>
      </c>
      <c r="B570" s="23">
        <v>1.0765E7</v>
      </c>
      <c r="C570" s="23">
        <f t="shared" si="1"/>
        <v>839080.137</v>
      </c>
      <c r="D570" s="18">
        <f>IF(A570="","",MATCH(A570,Calculation!B$2:B9627,1))</f>
        <v>1</v>
      </c>
      <c r="E570" s="23">
        <f t="array" ref="E570">IF(D570="","",IF(D570=1,0,INDEX(Calculation!Q$2:Q9627,D570-1)))</f>
        <v>0</v>
      </c>
      <c r="F570" s="23">
        <f t="array" ref="F570">IF($A570="","",
  LET(
    r, $D570,
    startD, INDEX(Calculation!B$2:B9627, r),
    endD,   INDEX(Calculation!C$2:C9627, r),
    asOf,   MIN($A570,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839080.137</v>
      </c>
    </row>
    <row r="571">
      <c r="A571" s="19">
        <v>42806.0</v>
      </c>
      <c r="B571" s="23">
        <v>1.0765E7</v>
      </c>
      <c r="C571" s="23">
        <f t="shared" si="1"/>
        <v>840554.7945</v>
      </c>
      <c r="D571" s="18">
        <f>IF(A571="","",MATCH(A571,Calculation!B$2:B9627,1))</f>
        <v>1</v>
      </c>
      <c r="E571" s="23">
        <f t="array" ref="E571">IF(D571="","",IF(D571=1,0,INDEX(Calculation!Q$2:Q9627,D571-1)))</f>
        <v>0</v>
      </c>
      <c r="F571" s="23">
        <f t="array" ref="F571">IF($A571="","",
  LET(
    r, $D571,
    startD, INDEX(Calculation!B$2:B9627, r),
    endD,   INDEX(Calculation!C$2:C9627, r),
    asOf,   MIN($A571,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840554.7945</v>
      </c>
    </row>
    <row r="572">
      <c r="A572" s="19">
        <v>42807.0</v>
      </c>
      <c r="B572" s="23">
        <v>1.0765E7</v>
      </c>
      <c r="C572" s="23">
        <f t="shared" si="1"/>
        <v>842029.4521</v>
      </c>
      <c r="D572" s="18">
        <f>IF(A572="","",MATCH(A572,Calculation!B$2:B9627,1))</f>
        <v>1</v>
      </c>
      <c r="E572" s="23">
        <f t="array" ref="E572">IF(D572="","",IF(D572=1,0,INDEX(Calculation!Q$2:Q9627,D572-1)))</f>
        <v>0</v>
      </c>
      <c r="F572" s="23">
        <f t="array" ref="F572">IF($A572="","",
  LET(
    r, $D572,
    startD, INDEX(Calculation!B$2:B9627, r),
    endD,   INDEX(Calculation!C$2:C9627, r),
    asOf,   MIN($A572,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842029.4521</v>
      </c>
    </row>
    <row r="573">
      <c r="A573" s="19">
        <v>42808.0</v>
      </c>
      <c r="B573" s="23">
        <v>1.0765E7</v>
      </c>
      <c r="C573" s="23">
        <f t="shared" si="1"/>
        <v>843504.1096</v>
      </c>
      <c r="D573" s="18">
        <f>IF(A573="","",MATCH(A573,Calculation!B$2:B9627,1))</f>
        <v>1</v>
      </c>
      <c r="E573" s="23">
        <f t="array" ref="E573">IF(D573="","",IF(D573=1,0,INDEX(Calculation!Q$2:Q9627,D573-1)))</f>
        <v>0</v>
      </c>
      <c r="F573" s="23">
        <f t="array" ref="F573">IF($A573="","",
  LET(
    r, $D573,
    startD, INDEX(Calculation!B$2:B9627, r),
    endD,   INDEX(Calculation!C$2:C9627, r),
    asOf,   MIN($A573,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843504.1096</v>
      </c>
    </row>
    <row r="574">
      <c r="A574" s="19">
        <v>42809.0</v>
      </c>
      <c r="B574" s="23">
        <v>1.0765E7</v>
      </c>
      <c r="C574" s="23">
        <f t="shared" si="1"/>
        <v>844978.7671</v>
      </c>
      <c r="D574" s="18">
        <f>IF(A574="","",MATCH(A574,Calculation!B$2:B9627,1))</f>
        <v>1</v>
      </c>
      <c r="E574" s="23">
        <f t="array" ref="E574">IF(D574="","",IF(D574=1,0,INDEX(Calculation!Q$2:Q9627,D574-1)))</f>
        <v>0</v>
      </c>
      <c r="F574" s="23">
        <f t="array" ref="F574">IF($A574="","",
  LET(
    r, $D574,
    startD, INDEX(Calculation!B$2:B9627, r),
    endD,   INDEX(Calculation!C$2:C9627, r),
    asOf,   MIN($A574,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844978.7671</v>
      </c>
    </row>
    <row r="575">
      <c r="A575" s="19">
        <v>42810.0</v>
      </c>
      <c r="B575" s="23">
        <v>1.0765E7</v>
      </c>
      <c r="C575" s="23">
        <f t="shared" si="1"/>
        <v>846453.4247</v>
      </c>
      <c r="D575" s="18">
        <f>IF(A575="","",MATCH(A575,Calculation!B$2:B9627,1))</f>
        <v>1</v>
      </c>
      <c r="E575" s="23">
        <f t="array" ref="E575">IF(D575="","",IF(D575=1,0,INDEX(Calculation!Q$2:Q9627,D575-1)))</f>
        <v>0</v>
      </c>
      <c r="F575" s="23">
        <f t="array" ref="F575">IF($A575="","",
  LET(
    r, $D575,
    startD, INDEX(Calculation!B$2:B9627, r),
    endD,   INDEX(Calculation!C$2:C9627, r),
    asOf,   MIN($A575,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846453.4247</v>
      </c>
    </row>
    <row r="576">
      <c r="A576" s="19">
        <v>42811.0</v>
      </c>
      <c r="B576" s="23">
        <v>1.0765E7</v>
      </c>
      <c r="C576" s="23">
        <f t="shared" si="1"/>
        <v>847928.0822</v>
      </c>
      <c r="D576" s="18">
        <f>IF(A576="","",MATCH(A576,Calculation!B$2:B9627,1))</f>
        <v>1</v>
      </c>
      <c r="E576" s="23">
        <f t="array" ref="E576">IF(D576="","",IF(D576=1,0,INDEX(Calculation!Q$2:Q9627,D576-1)))</f>
        <v>0</v>
      </c>
      <c r="F576" s="23">
        <f t="array" ref="F576">IF($A576="","",
  LET(
    r, $D576,
    startD, INDEX(Calculation!B$2:B9627, r),
    endD,   INDEX(Calculation!C$2:C9627, r),
    asOf,   MIN($A576,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847928.0822</v>
      </c>
    </row>
    <row r="577">
      <c r="A577" s="19">
        <v>42812.0</v>
      </c>
      <c r="B577" s="23">
        <v>1.0765E7</v>
      </c>
      <c r="C577" s="23">
        <f t="shared" si="1"/>
        <v>849402.7397</v>
      </c>
      <c r="D577" s="18">
        <f>IF(A577="","",MATCH(A577,Calculation!B$2:B9627,1))</f>
        <v>1</v>
      </c>
      <c r="E577" s="23">
        <f t="array" ref="E577">IF(D577="","",IF(D577=1,0,INDEX(Calculation!Q$2:Q9627,D577-1)))</f>
        <v>0</v>
      </c>
      <c r="F577" s="23">
        <f t="array" ref="F577">IF($A577="","",
  LET(
    r, $D577,
    startD, INDEX(Calculation!B$2:B9627, r),
    endD,   INDEX(Calculation!C$2:C9627, r),
    asOf,   MIN($A577,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849402.7397</v>
      </c>
    </row>
    <row r="578">
      <c r="A578" s="19">
        <v>42813.0</v>
      </c>
      <c r="B578" s="23">
        <v>1.0765E7</v>
      </c>
      <c r="C578" s="23">
        <f t="shared" si="1"/>
        <v>850877.3973</v>
      </c>
      <c r="D578" s="18">
        <f>IF(A578="","",MATCH(A578,Calculation!B$2:B9627,1))</f>
        <v>1</v>
      </c>
      <c r="E578" s="23">
        <f t="array" ref="E578">IF(D578="","",IF(D578=1,0,INDEX(Calculation!Q$2:Q9627,D578-1)))</f>
        <v>0</v>
      </c>
      <c r="F578" s="23">
        <f t="array" ref="F578">IF($A578="","",
  LET(
    r, $D578,
    startD, INDEX(Calculation!B$2:B9627, r),
    endD,   INDEX(Calculation!C$2:C9627, r),
    asOf,   MIN($A578,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850877.3973</v>
      </c>
    </row>
    <row r="579">
      <c r="A579" s="19">
        <v>42814.0</v>
      </c>
      <c r="B579" s="23">
        <v>1.0765E7</v>
      </c>
      <c r="C579" s="23">
        <f t="shared" si="1"/>
        <v>852352.0548</v>
      </c>
      <c r="D579" s="18">
        <f>IF(A579="","",MATCH(A579,Calculation!B$2:B9627,1))</f>
        <v>1</v>
      </c>
      <c r="E579" s="23">
        <f t="array" ref="E579">IF(D579="","",IF(D579=1,0,INDEX(Calculation!Q$2:Q9627,D579-1)))</f>
        <v>0</v>
      </c>
      <c r="F579" s="23">
        <f t="array" ref="F579">IF($A579="","",
  LET(
    r, $D579,
    startD, INDEX(Calculation!B$2:B9627, r),
    endD,   INDEX(Calculation!C$2:C9627, r),
    asOf,   MIN($A579,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852352.0548</v>
      </c>
    </row>
    <row r="580">
      <c r="A580" s="19">
        <v>42815.0</v>
      </c>
      <c r="B580" s="23">
        <v>1.0765E7</v>
      </c>
      <c r="C580" s="23">
        <f t="shared" si="1"/>
        <v>853826.7123</v>
      </c>
      <c r="D580" s="18">
        <f>IF(A580="","",MATCH(A580,Calculation!B$2:B9627,1))</f>
        <v>1</v>
      </c>
      <c r="E580" s="23">
        <f t="array" ref="E580">IF(D580="","",IF(D580=1,0,INDEX(Calculation!Q$2:Q9627,D580-1)))</f>
        <v>0</v>
      </c>
      <c r="F580" s="23">
        <f t="array" ref="F580">IF($A580="","",
  LET(
    r, $D580,
    startD, INDEX(Calculation!B$2:B9627, r),
    endD,   INDEX(Calculation!C$2:C9627, r),
    asOf,   MIN($A580,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853826.7123</v>
      </c>
    </row>
    <row r="581">
      <c r="A581" s="19">
        <v>42816.0</v>
      </c>
      <c r="B581" s="23">
        <v>1.0765E7</v>
      </c>
      <c r="C581" s="23">
        <f t="shared" si="1"/>
        <v>855301.3699</v>
      </c>
      <c r="D581" s="18">
        <f>IF(A581="","",MATCH(A581,Calculation!B$2:B9627,1))</f>
        <v>1</v>
      </c>
      <c r="E581" s="23">
        <f t="array" ref="E581">IF(D581="","",IF(D581=1,0,INDEX(Calculation!Q$2:Q9627,D581-1)))</f>
        <v>0</v>
      </c>
      <c r="F581" s="23">
        <f t="array" ref="F581">IF($A581="","",
  LET(
    r, $D581,
    startD, INDEX(Calculation!B$2:B9627, r),
    endD,   INDEX(Calculation!C$2:C9627, r),
    asOf,   MIN($A581,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855301.3699</v>
      </c>
    </row>
    <row r="582">
      <c r="A582" s="19">
        <v>42817.0</v>
      </c>
      <c r="B582" s="23">
        <v>1.0765E7</v>
      </c>
      <c r="C582" s="23">
        <f t="shared" si="1"/>
        <v>856776.0274</v>
      </c>
      <c r="D582" s="18">
        <f>IF(A582="","",MATCH(A582,Calculation!B$2:B9627,1))</f>
        <v>1</v>
      </c>
      <c r="E582" s="23">
        <f t="array" ref="E582">IF(D582="","",IF(D582=1,0,INDEX(Calculation!Q$2:Q9627,D582-1)))</f>
        <v>0</v>
      </c>
      <c r="F582" s="23">
        <f t="array" ref="F582">IF($A582="","",
  LET(
    r, $D582,
    startD, INDEX(Calculation!B$2:B9627, r),
    endD,   INDEX(Calculation!C$2:C9627, r),
    asOf,   MIN($A582,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856776.0274</v>
      </c>
    </row>
    <row r="583">
      <c r="A583" s="19">
        <v>42818.0</v>
      </c>
      <c r="B583" s="23">
        <v>1.0765E7</v>
      </c>
      <c r="C583" s="23">
        <f t="shared" si="1"/>
        <v>858250.6849</v>
      </c>
      <c r="D583" s="18">
        <f>IF(A583="","",MATCH(A583,Calculation!B$2:B9627,1))</f>
        <v>1</v>
      </c>
      <c r="E583" s="23">
        <f t="array" ref="E583">IF(D583="","",IF(D583=1,0,INDEX(Calculation!Q$2:Q9627,D583-1)))</f>
        <v>0</v>
      </c>
      <c r="F583" s="23">
        <f t="array" ref="F583">IF($A583="","",
  LET(
    r, $D583,
    startD, INDEX(Calculation!B$2:B9627, r),
    endD,   INDEX(Calculation!C$2:C9627, r),
    asOf,   MIN($A583,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858250.6849</v>
      </c>
    </row>
    <row r="584">
      <c r="A584" s="19">
        <v>42819.0</v>
      </c>
      <c r="B584" s="23">
        <v>1.0765E7</v>
      </c>
      <c r="C584" s="23">
        <f t="shared" si="1"/>
        <v>859725.3425</v>
      </c>
      <c r="D584" s="18">
        <f>IF(A584="","",MATCH(A584,Calculation!B$2:B9627,1))</f>
        <v>1</v>
      </c>
      <c r="E584" s="23">
        <f t="array" ref="E584">IF(D584="","",IF(D584=1,0,INDEX(Calculation!Q$2:Q9627,D584-1)))</f>
        <v>0</v>
      </c>
      <c r="F584" s="23">
        <f t="array" ref="F584">IF($A584="","",
  LET(
    r, $D584,
    startD, INDEX(Calculation!B$2:B9627, r),
    endD,   INDEX(Calculation!C$2:C9627, r),
    asOf,   MIN($A584,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859725.3425</v>
      </c>
    </row>
    <row r="585">
      <c r="A585" s="19">
        <v>42820.0</v>
      </c>
      <c r="B585" s="23">
        <v>1.0765E7</v>
      </c>
      <c r="C585" s="23">
        <f t="shared" si="1"/>
        <v>861200</v>
      </c>
      <c r="D585" s="18">
        <f>IF(A585="","",MATCH(A585,Calculation!B$2:B9627,1))</f>
        <v>1</v>
      </c>
      <c r="E585" s="23">
        <f t="array" ref="E585">IF(D585="","",IF(D585=1,0,INDEX(Calculation!Q$2:Q9627,D585-1)))</f>
        <v>0</v>
      </c>
      <c r="F585" s="23">
        <f t="array" ref="F585">IF($A585="","",
  LET(
    r, $D585,
    startD, INDEX(Calculation!B$2:B9627, r),
    endD,   INDEX(Calculation!C$2:C9627, r),
    asOf,   MIN($A585,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861200</v>
      </c>
    </row>
    <row r="586">
      <c r="A586" s="19">
        <v>42821.0</v>
      </c>
      <c r="B586" s="23">
        <v>1.0765E7</v>
      </c>
      <c r="C586" s="23">
        <f t="shared" si="1"/>
        <v>862674.6575</v>
      </c>
      <c r="D586" s="18">
        <f>IF(A586="","",MATCH(A586,Calculation!B$2:B9627,1))</f>
        <v>1</v>
      </c>
      <c r="E586" s="23">
        <f t="array" ref="E586">IF(D586="","",IF(D586=1,0,INDEX(Calculation!Q$2:Q9627,D586-1)))</f>
        <v>0</v>
      </c>
      <c r="F586" s="23">
        <f t="array" ref="F586">IF($A586="","",
  LET(
    r, $D586,
    startD, INDEX(Calculation!B$2:B9627, r),
    endD,   INDEX(Calculation!C$2:C9627, r),
    asOf,   MIN($A586,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862674.6575</v>
      </c>
    </row>
    <row r="587">
      <c r="A587" s="19">
        <v>42822.0</v>
      </c>
      <c r="B587" s="23">
        <v>1.0765E7</v>
      </c>
      <c r="C587" s="23">
        <f t="shared" si="1"/>
        <v>864149.3151</v>
      </c>
      <c r="D587" s="18">
        <f>IF(A587="","",MATCH(A587,Calculation!B$2:B9627,1))</f>
        <v>1</v>
      </c>
      <c r="E587" s="23">
        <f t="array" ref="E587">IF(D587="","",IF(D587=1,0,INDEX(Calculation!Q$2:Q9627,D587-1)))</f>
        <v>0</v>
      </c>
      <c r="F587" s="23">
        <f t="array" ref="F587">IF($A587="","",
  LET(
    r, $D587,
    startD, INDEX(Calculation!B$2:B9627, r),
    endD,   INDEX(Calculation!C$2:C9627, r),
    asOf,   MIN($A587,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864149.3151</v>
      </c>
    </row>
    <row r="588">
      <c r="A588" s="19">
        <v>42823.0</v>
      </c>
      <c r="B588" s="23">
        <v>1.0765E7</v>
      </c>
      <c r="C588" s="23">
        <f t="shared" si="1"/>
        <v>865623.9726</v>
      </c>
      <c r="D588" s="18">
        <f>IF(A588="","",MATCH(A588,Calculation!B$2:B9627,1))</f>
        <v>1</v>
      </c>
      <c r="E588" s="23">
        <f t="array" ref="E588">IF(D588="","",IF(D588=1,0,INDEX(Calculation!Q$2:Q9627,D588-1)))</f>
        <v>0</v>
      </c>
      <c r="F588" s="23">
        <f t="array" ref="F588">IF($A588="","",
  LET(
    r, $D588,
    startD, INDEX(Calculation!B$2:B9627, r),
    endD,   INDEX(Calculation!C$2:C9627, r),
    asOf,   MIN($A588,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865623.9726</v>
      </c>
    </row>
    <row r="589">
      <c r="A589" s="19">
        <v>42824.0</v>
      </c>
      <c r="B589" s="23">
        <v>1.0765E7</v>
      </c>
      <c r="C589" s="23">
        <f t="shared" si="1"/>
        <v>867098.6301</v>
      </c>
      <c r="D589" s="18">
        <f>IF(A589="","",MATCH(A589,Calculation!B$2:B9627,1))</f>
        <v>1</v>
      </c>
      <c r="E589" s="23">
        <f t="array" ref="E589">IF(D589="","",IF(D589=1,0,INDEX(Calculation!Q$2:Q9627,D589-1)))</f>
        <v>0</v>
      </c>
      <c r="F589" s="23">
        <f t="array" ref="F589">IF($A589="","",
  LET(
    r, $D589,
    startD, INDEX(Calculation!B$2:B9627, r),
    endD,   INDEX(Calculation!C$2:C9627, r),
    asOf,   MIN($A589,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867098.6301</v>
      </c>
    </row>
    <row r="590">
      <c r="A590" s="19">
        <v>42825.0</v>
      </c>
      <c r="B590" s="23">
        <v>1.0765E7</v>
      </c>
      <c r="C590" s="23">
        <f t="shared" si="1"/>
        <v>868573.2877</v>
      </c>
      <c r="D590" s="18">
        <f>IF(A590="","",MATCH(A590,Calculation!B$2:B9627,1))</f>
        <v>1</v>
      </c>
      <c r="E590" s="23">
        <f t="array" ref="E590">IF(D590="","",IF(D590=1,0,INDEX(Calculation!Q$2:Q9627,D590-1)))</f>
        <v>0</v>
      </c>
      <c r="F590" s="23">
        <f t="array" ref="F590">IF($A590="","",
  LET(
    r, $D590,
    startD, INDEX(Calculation!B$2:B9627, r),
    endD,   INDEX(Calculation!C$2:C9627, r),
    asOf,   MIN($A590,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868573.2877</v>
      </c>
    </row>
    <row r="591">
      <c r="A591" s="19">
        <v>42826.0</v>
      </c>
      <c r="B591" s="23">
        <v>1.0765E7</v>
      </c>
      <c r="C591" s="23">
        <f t="shared" si="1"/>
        <v>870047.9452</v>
      </c>
      <c r="D591" s="18">
        <f>IF(A591="","",MATCH(A591,Calculation!B$2:B9627,1))</f>
        <v>1</v>
      </c>
      <c r="E591" s="23">
        <f t="array" ref="E591">IF(D591="","",IF(D591=1,0,INDEX(Calculation!Q$2:Q9627,D591-1)))</f>
        <v>0</v>
      </c>
      <c r="F591" s="23">
        <f t="array" ref="F591">IF($A591="","",
  LET(
    r, $D591,
    startD, INDEX(Calculation!B$2:B9627, r),
    endD,   INDEX(Calculation!C$2:C9627, r),
    asOf,   MIN($A591,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870047.9452</v>
      </c>
    </row>
    <row r="592">
      <c r="A592" s="19">
        <v>42827.0</v>
      </c>
      <c r="B592" s="23">
        <v>1.0765E7</v>
      </c>
      <c r="C592" s="23">
        <f t="shared" si="1"/>
        <v>871522.6027</v>
      </c>
      <c r="D592" s="18">
        <f>IF(A592="","",MATCH(A592,Calculation!B$2:B9627,1))</f>
        <v>1</v>
      </c>
      <c r="E592" s="23">
        <f t="array" ref="E592">IF(D592="","",IF(D592=1,0,INDEX(Calculation!Q$2:Q9627,D592-1)))</f>
        <v>0</v>
      </c>
      <c r="F592" s="23">
        <f t="array" ref="F592">IF($A592="","",
  LET(
    r, $D592,
    startD, INDEX(Calculation!B$2:B9627, r),
    endD,   INDEX(Calculation!C$2:C9627, r),
    asOf,   MIN($A592,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871522.6027</v>
      </c>
    </row>
    <row r="593">
      <c r="A593" s="19">
        <v>42828.0</v>
      </c>
      <c r="B593" s="23">
        <v>1.0765E7</v>
      </c>
      <c r="C593" s="23">
        <f t="shared" si="1"/>
        <v>872997.2603</v>
      </c>
      <c r="D593" s="18">
        <f>IF(A593="","",MATCH(A593,Calculation!B$2:B9627,1))</f>
        <v>1</v>
      </c>
      <c r="E593" s="23">
        <f t="array" ref="E593">IF(D593="","",IF(D593=1,0,INDEX(Calculation!Q$2:Q9627,D593-1)))</f>
        <v>0</v>
      </c>
      <c r="F593" s="23">
        <f t="array" ref="F593">IF($A593="","",
  LET(
    r, $D593,
    startD, INDEX(Calculation!B$2:B9627, r),
    endD,   INDEX(Calculation!C$2:C9627, r),
    asOf,   MIN($A593,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872997.2603</v>
      </c>
    </row>
    <row r="594">
      <c r="A594" s="19">
        <v>42829.0</v>
      </c>
      <c r="B594" s="23">
        <v>1.0765E7</v>
      </c>
      <c r="C594" s="23">
        <f t="shared" si="1"/>
        <v>874471.9178</v>
      </c>
      <c r="D594" s="18">
        <f>IF(A594="","",MATCH(A594,Calculation!B$2:B9627,1))</f>
        <v>1</v>
      </c>
      <c r="E594" s="23">
        <f t="array" ref="E594">IF(D594="","",IF(D594=1,0,INDEX(Calculation!Q$2:Q9627,D594-1)))</f>
        <v>0</v>
      </c>
      <c r="F594" s="23">
        <f t="array" ref="F594">IF($A594="","",
  LET(
    r, $D594,
    startD, INDEX(Calculation!B$2:B9627, r),
    endD,   INDEX(Calculation!C$2:C9627, r),
    asOf,   MIN($A594,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874471.9178</v>
      </c>
    </row>
    <row r="595">
      <c r="A595" s="19">
        <v>42830.0</v>
      </c>
      <c r="B595" s="23">
        <v>1.0765E7</v>
      </c>
      <c r="C595" s="23">
        <f t="shared" si="1"/>
        <v>875946.5753</v>
      </c>
      <c r="D595" s="18">
        <f>IF(A595="","",MATCH(A595,Calculation!B$2:B9627,1))</f>
        <v>1</v>
      </c>
      <c r="E595" s="23">
        <f t="array" ref="E595">IF(D595="","",IF(D595=1,0,INDEX(Calculation!Q$2:Q9627,D595-1)))</f>
        <v>0</v>
      </c>
      <c r="F595" s="23">
        <f t="array" ref="F595">IF($A595="","",
  LET(
    r, $D595,
    startD, INDEX(Calculation!B$2:B9627, r),
    endD,   INDEX(Calculation!C$2:C9627, r),
    asOf,   MIN($A595,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875946.5753</v>
      </c>
    </row>
    <row r="596">
      <c r="A596" s="19">
        <v>42831.0</v>
      </c>
      <c r="B596" s="23">
        <v>1.0765E7</v>
      </c>
      <c r="C596" s="23">
        <f t="shared" si="1"/>
        <v>877421.2329</v>
      </c>
      <c r="D596" s="18">
        <f>IF(A596="","",MATCH(A596,Calculation!B$2:B9627,1))</f>
        <v>1</v>
      </c>
      <c r="E596" s="23">
        <f t="array" ref="E596">IF(D596="","",IF(D596=1,0,INDEX(Calculation!Q$2:Q9627,D596-1)))</f>
        <v>0</v>
      </c>
      <c r="F596" s="23">
        <f t="array" ref="F596">IF($A596="","",
  LET(
    r, $D596,
    startD, INDEX(Calculation!B$2:B9627, r),
    endD,   INDEX(Calculation!C$2:C9627, r),
    asOf,   MIN($A596,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877421.2329</v>
      </c>
    </row>
    <row r="597">
      <c r="A597" s="19">
        <v>42832.0</v>
      </c>
      <c r="B597" s="23">
        <v>1.0765E7</v>
      </c>
      <c r="C597" s="23">
        <f t="shared" si="1"/>
        <v>878895.8904</v>
      </c>
      <c r="D597" s="18">
        <f>IF(A597="","",MATCH(A597,Calculation!B$2:B9627,1))</f>
        <v>1</v>
      </c>
      <c r="E597" s="23">
        <f t="array" ref="E597">IF(D597="","",IF(D597=1,0,INDEX(Calculation!Q$2:Q9627,D597-1)))</f>
        <v>0</v>
      </c>
      <c r="F597" s="23">
        <f t="array" ref="F597">IF($A597="","",
  LET(
    r, $D597,
    startD, INDEX(Calculation!B$2:B9627, r),
    endD,   INDEX(Calculation!C$2:C9627, r),
    asOf,   MIN($A597,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878895.8904</v>
      </c>
    </row>
    <row r="598">
      <c r="A598" s="19">
        <v>42833.0</v>
      </c>
      <c r="B598" s="23">
        <v>1.0765E7</v>
      </c>
      <c r="C598" s="23">
        <f t="shared" si="1"/>
        <v>880370.5479</v>
      </c>
      <c r="D598" s="18">
        <f>IF(A598="","",MATCH(A598,Calculation!B$2:B9627,1))</f>
        <v>1</v>
      </c>
      <c r="E598" s="23">
        <f t="array" ref="E598">IF(D598="","",IF(D598=1,0,INDEX(Calculation!Q$2:Q9627,D598-1)))</f>
        <v>0</v>
      </c>
      <c r="F598" s="23">
        <f t="array" ref="F598">IF($A598="","",
  LET(
    r, $D598,
    startD, INDEX(Calculation!B$2:B9627, r),
    endD,   INDEX(Calculation!C$2:C9627, r),
    asOf,   MIN($A598,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880370.5479</v>
      </c>
    </row>
    <row r="599">
      <c r="A599" s="19">
        <v>42834.0</v>
      </c>
      <c r="B599" s="23">
        <v>1.0765E7</v>
      </c>
      <c r="C599" s="23">
        <f t="shared" si="1"/>
        <v>881845.2055</v>
      </c>
      <c r="D599" s="18">
        <f>IF(A599="","",MATCH(A599,Calculation!B$2:B9627,1))</f>
        <v>1</v>
      </c>
      <c r="E599" s="23">
        <f t="array" ref="E599">IF(D599="","",IF(D599=1,0,INDEX(Calculation!Q$2:Q9627,D599-1)))</f>
        <v>0</v>
      </c>
      <c r="F599" s="23">
        <f t="array" ref="F599">IF($A599="","",
  LET(
    r, $D599,
    startD, INDEX(Calculation!B$2:B9627, r),
    endD,   INDEX(Calculation!C$2:C9627, r),
    asOf,   MIN($A599,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881845.2055</v>
      </c>
    </row>
    <row r="600">
      <c r="A600" s="19">
        <v>42835.0</v>
      </c>
      <c r="B600" s="23">
        <v>1.0765E7</v>
      </c>
      <c r="C600" s="23">
        <f t="shared" si="1"/>
        <v>883319.863</v>
      </c>
      <c r="D600" s="18">
        <f>IF(A600="","",MATCH(A600,Calculation!B$2:B9627,1))</f>
        <v>1</v>
      </c>
      <c r="E600" s="23">
        <f t="array" ref="E600">IF(D600="","",IF(D600=1,0,INDEX(Calculation!Q$2:Q9627,D600-1)))</f>
        <v>0</v>
      </c>
      <c r="F600" s="23">
        <f t="array" ref="F600">IF($A600="","",
  LET(
    r, $D600,
    startD, INDEX(Calculation!B$2:B9627, r),
    endD,   INDEX(Calculation!C$2:C9627, r),
    asOf,   MIN($A600,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883319.863</v>
      </c>
    </row>
    <row r="601">
      <c r="A601" s="19">
        <v>42836.0</v>
      </c>
      <c r="B601" s="23">
        <v>1.0765E7</v>
      </c>
      <c r="C601" s="23">
        <f t="shared" si="1"/>
        <v>884794.5205</v>
      </c>
      <c r="D601" s="18">
        <f>IF(A601="","",MATCH(A601,Calculation!B$2:B9627,1))</f>
        <v>1</v>
      </c>
      <c r="E601" s="23">
        <f t="array" ref="E601">IF(D601="","",IF(D601=1,0,INDEX(Calculation!Q$2:Q9627,D601-1)))</f>
        <v>0</v>
      </c>
      <c r="F601" s="23">
        <f t="array" ref="F601">IF($A601="","",
  LET(
    r, $D601,
    startD, INDEX(Calculation!B$2:B9627, r),
    endD,   INDEX(Calculation!C$2:C9627, r),
    asOf,   MIN($A601,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884794.5205</v>
      </c>
    </row>
    <row r="602">
      <c r="A602" s="19">
        <v>42837.0</v>
      </c>
      <c r="B602" s="23">
        <v>1.0765E7</v>
      </c>
      <c r="C602" s="23">
        <f t="shared" si="1"/>
        <v>886269.1781</v>
      </c>
      <c r="D602" s="18">
        <f>IF(A602="","",MATCH(A602,Calculation!B$2:B9627,1))</f>
        <v>1</v>
      </c>
      <c r="E602" s="23">
        <f t="array" ref="E602">IF(D602="","",IF(D602=1,0,INDEX(Calculation!Q$2:Q9627,D602-1)))</f>
        <v>0</v>
      </c>
      <c r="F602" s="23">
        <f t="array" ref="F602">IF($A602="","",
  LET(
    r, $D602,
    startD, INDEX(Calculation!B$2:B9627, r),
    endD,   INDEX(Calculation!C$2:C9627, r),
    asOf,   MIN($A602,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886269.1781</v>
      </c>
    </row>
    <row r="603">
      <c r="A603" s="19">
        <v>42838.0</v>
      </c>
      <c r="B603" s="23">
        <v>1.0765E7</v>
      </c>
      <c r="C603" s="23">
        <f t="shared" si="1"/>
        <v>887743.8356</v>
      </c>
      <c r="D603" s="18">
        <f>IF(A603="","",MATCH(A603,Calculation!B$2:B9627,1))</f>
        <v>1</v>
      </c>
      <c r="E603" s="23">
        <f t="array" ref="E603">IF(D603="","",IF(D603=1,0,INDEX(Calculation!Q$2:Q9627,D603-1)))</f>
        <v>0</v>
      </c>
      <c r="F603" s="23">
        <f t="array" ref="F603">IF($A603="","",
  LET(
    r, $D603,
    startD, INDEX(Calculation!B$2:B9627, r),
    endD,   INDEX(Calculation!C$2:C9627, r),
    asOf,   MIN($A603,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887743.8356</v>
      </c>
    </row>
    <row r="604">
      <c r="A604" s="19">
        <v>42839.0</v>
      </c>
      <c r="B604" s="23">
        <v>1.0765E7</v>
      </c>
      <c r="C604" s="23">
        <f t="shared" si="1"/>
        <v>889218.4932</v>
      </c>
      <c r="D604" s="18">
        <f>IF(A604="","",MATCH(A604,Calculation!B$2:B9627,1))</f>
        <v>1</v>
      </c>
      <c r="E604" s="23">
        <f t="array" ref="E604">IF(D604="","",IF(D604=1,0,INDEX(Calculation!Q$2:Q9627,D604-1)))</f>
        <v>0</v>
      </c>
      <c r="F604" s="23">
        <f t="array" ref="F604">IF($A604="","",
  LET(
    r, $D604,
    startD, INDEX(Calculation!B$2:B9627, r),
    endD,   INDEX(Calculation!C$2:C9627, r),
    asOf,   MIN($A604,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889218.4932</v>
      </c>
    </row>
    <row r="605">
      <c r="A605" s="19">
        <v>42840.0</v>
      </c>
      <c r="B605" s="23">
        <v>1.0765E7</v>
      </c>
      <c r="C605" s="23">
        <f t="shared" si="1"/>
        <v>890693.1507</v>
      </c>
      <c r="D605" s="18">
        <f>IF(A605="","",MATCH(A605,Calculation!B$2:B9627,1))</f>
        <v>1</v>
      </c>
      <c r="E605" s="23">
        <f t="array" ref="E605">IF(D605="","",IF(D605=1,0,INDEX(Calculation!Q$2:Q9627,D605-1)))</f>
        <v>0</v>
      </c>
      <c r="F605" s="23">
        <f t="array" ref="F605">IF($A605="","",
  LET(
    r, $D605,
    startD, INDEX(Calculation!B$2:B9627, r),
    endD,   INDEX(Calculation!C$2:C9627, r),
    asOf,   MIN($A605,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890693.1507</v>
      </c>
    </row>
    <row r="606">
      <c r="A606" s="19">
        <v>42841.0</v>
      </c>
      <c r="B606" s="23">
        <v>1.0765E7</v>
      </c>
      <c r="C606" s="23">
        <f t="shared" si="1"/>
        <v>892167.8082</v>
      </c>
      <c r="D606" s="18">
        <f>IF(A606="","",MATCH(A606,Calculation!B$2:B9627,1))</f>
        <v>1</v>
      </c>
      <c r="E606" s="23">
        <f t="array" ref="E606">IF(D606="","",IF(D606=1,0,INDEX(Calculation!Q$2:Q9627,D606-1)))</f>
        <v>0</v>
      </c>
      <c r="F606" s="23">
        <f t="array" ref="F606">IF($A606="","",
  LET(
    r, $D606,
    startD, INDEX(Calculation!B$2:B9627, r),
    endD,   INDEX(Calculation!C$2:C9627, r),
    asOf,   MIN($A606,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892167.8082</v>
      </c>
    </row>
    <row r="607">
      <c r="A607" s="19">
        <v>42842.0</v>
      </c>
      <c r="B607" s="23">
        <v>1.0765E7</v>
      </c>
      <c r="C607" s="23">
        <f t="shared" si="1"/>
        <v>893642.4658</v>
      </c>
      <c r="D607" s="18">
        <f>IF(A607="","",MATCH(A607,Calculation!B$2:B9627,1))</f>
        <v>1</v>
      </c>
      <c r="E607" s="23">
        <f t="array" ref="E607">IF(D607="","",IF(D607=1,0,INDEX(Calculation!Q$2:Q9627,D607-1)))</f>
        <v>0</v>
      </c>
      <c r="F607" s="23">
        <f t="array" ref="F607">IF($A607="","",
  LET(
    r, $D607,
    startD, INDEX(Calculation!B$2:B9627, r),
    endD,   INDEX(Calculation!C$2:C9627, r),
    asOf,   MIN($A607,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893642.4658</v>
      </c>
    </row>
    <row r="608">
      <c r="A608" s="19">
        <v>42843.0</v>
      </c>
      <c r="B608" s="23">
        <v>1.0765E7</v>
      </c>
      <c r="C608" s="23">
        <f t="shared" si="1"/>
        <v>895117.1233</v>
      </c>
      <c r="D608" s="18">
        <f>IF(A608="","",MATCH(A608,Calculation!B$2:B9627,1))</f>
        <v>1</v>
      </c>
      <c r="E608" s="23">
        <f t="array" ref="E608">IF(D608="","",IF(D608=1,0,INDEX(Calculation!Q$2:Q9627,D608-1)))</f>
        <v>0</v>
      </c>
      <c r="F608" s="23">
        <f t="array" ref="F608">IF($A608="","",
  LET(
    r, $D608,
    startD, INDEX(Calculation!B$2:B9627, r),
    endD,   INDEX(Calculation!C$2:C9627, r),
    asOf,   MIN($A608,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895117.1233</v>
      </c>
    </row>
    <row r="609">
      <c r="A609" s="19">
        <v>42844.0</v>
      </c>
      <c r="B609" s="23">
        <v>1.0765E7</v>
      </c>
      <c r="C609" s="23">
        <f t="shared" si="1"/>
        <v>896591.7808</v>
      </c>
      <c r="D609" s="18">
        <f>IF(A609="","",MATCH(A609,Calculation!B$2:B9627,1))</f>
        <v>1</v>
      </c>
      <c r="E609" s="23">
        <f t="array" ref="E609">IF(D609="","",IF(D609=1,0,INDEX(Calculation!Q$2:Q9627,D609-1)))</f>
        <v>0</v>
      </c>
      <c r="F609" s="23">
        <f t="array" ref="F609">IF($A609="","",
  LET(
    r, $D609,
    startD, INDEX(Calculation!B$2:B9627, r),
    endD,   INDEX(Calculation!C$2:C9627, r),
    asOf,   MIN($A609,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896591.7808</v>
      </c>
    </row>
    <row r="610">
      <c r="A610" s="19">
        <v>42845.0</v>
      </c>
      <c r="B610" s="23">
        <v>1.0765E7</v>
      </c>
      <c r="C610" s="23">
        <f t="shared" si="1"/>
        <v>898066.4384</v>
      </c>
      <c r="D610" s="18">
        <f>IF(A610="","",MATCH(A610,Calculation!B$2:B9627,1))</f>
        <v>1</v>
      </c>
      <c r="E610" s="23">
        <f t="array" ref="E610">IF(D610="","",IF(D610=1,0,INDEX(Calculation!Q$2:Q9627,D610-1)))</f>
        <v>0</v>
      </c>
      <c r="F610" s="23">
        <f t="array" ref="F610">IF($A610="","",
  LET(
    r, $D610,
    startD, INDEX(Calculation!B$2:B9627, r),
    endD,   INDEX(Calculation!C$2:C9627, r),
    asOf,   MIN($A610,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898066.4384</v>
      </c>
    </row>
    <row r="611">
      <c r="A611" s="19">
        <v>42846.0</v>
      </c>
      <c r="B611" s="23">
        <v>1.0765E7</v>
      </c>
      <c r="C611" s="23">
        <f t="shared" si="1"/>
        <v>899541.0959</v>
      </c>
      <c r="D611" s="18">
        <f>IF(A611="","",MATCH(A611,Calculation!B$2:B9627,1))</f>
        <v>1</v>
      </c>
      <c r="E611" s="23">
        <f t="array" ref="E611">IF(D611="","",IF(D611=1,0,INDEX(Calculation!Q$2:Q9627,D611-1)))</f>
        <v>0</v>
      </c>
      <c r="F611" s="23">
        <f t="array" ref="F611">IF($A611="","",
  LET(
    r, $D611,
    startD, INDEX(Calculation!B$2:B9627, r),
    endD,   INDEX(Calculation!C$2:C9627, r),
    asOf,   MIN($A611,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899541.0959</v>
      </c>
    </row>
    <row r="612">
      <c r="A612" s="19">
        <v>42847.0</v>
      </c>
      <c r="B612" s="23">
        <v>1.0765E7</v>
      </c>
      <c r="C612" s="23">
        <f t="shared" si="1"/>
        <v>901015.7534</v>
      </c>
      <c r="D612" s="18">
        <f>IF(A612="","",MATCH(A612,Calculation!B$2:B9627,1))</f>
        <v>1</v>
      </c>
      <c r="E612" s="23">
        <f t="array" ref="E612">IF(D612="","",IF(D612=1,0,INDEX(Calculation!Q$2:Q9627,D612-1)))</f>
        <v>0</v>
      </c>
      <c r="F612" s="23">
        <f t="array" ref="F612">IF($A612="","",
  LET(
    r, $D612,
    startD, INDEX(Calculation!B$2:B9627, r),
    endD,   INDEX(Calculation!C$2:C9627, r),
    asOf,   MIN($A612,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901015.7534</v>
      </c>
    </row>
    <row r="613">
      <c r="A613" s="19">
        <v>42848.0</v>
      </c>
      <c r="B613" s="23">
        <v>1.0765E7</v>
      </c>
      <c r="C613" s="23">
        <f t="shared" si="1"/>
        <v>902490.411</v>
      </c>
      <c r="D613" s="18">
        <f>IF(A613="","",MATCH(A613,Calculation!B$2:B9627,1))</f>
        <v>1</v>
      </c>
      <c r="E613" s="23">
        <f t="array" ref="E613">IF(D613="","",IF(D613=1,0,INDEX(Calculation!Q$2:Q9627,D613-1)))</f>
        <v>0</v>
      </c>
      <c r="F613" s="23">
        <f t="array" ref="F613">IF($A613="","",
  LET(
    r, $D613,
    startD, INDEX(Calculation!B$2:B9627, r),
    endD,   INDEX(Calculation!C$2:C9627, r),
    asOf,   MIN($A613,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902490.411</v>
      </c>
    </row>
    <row r="614">
      <c r="A614" s="19">
        <v>42849.0</v>
      </c>
      <c r="B614" s="23">
        <v>1.0765E7</v>
      </c>
      <c r="C614" s="23">
        <f t="shared" si="1"/>
        <v>903965.0685</v>
      </c>
      <c r="D614" s="18">
        <f>IF(A614="","",MATCH(A614,Calculation!B$2:B9627,1))</f>
        <v>1</v>
      </c>
      <c r="E614" s="23">
        <f t="array" ref="E614">IF(D614="","",IF(D614=1,0,INDEX(Calculation!Q$2:Q9627,D614-1)))</f>
        <v>0</v>
      </c>
      <c r="F614" s="23">
        <f t="array" ref="F614">IF($A614="","",
  LET(
    r, $D614,
    startD, INDEX(Calculation!B$2:B9627, r),
    endD,   INDEX(Calculation!C$2:C9627, r),
    asOf,   MIN($A614,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903965.0685</v>
      </c>
    </row>
    <row r="615">
      <c r="A615" s="19">
        <v>42850.0</v>
      </c>
      <c r="B615" s="23">
        <v>1.0765E7</v>
      </c>
      <c r="C615" s="23">
        <f t="shared" si="1"/>
        <v>905439.726</v>
      </c>
      <c r="D615" s="18">
        <f>IF(A615="","",MATCH(A615,Calculation!B$2:B9627,1))</f>
        <v>1</v>
      </c>
      <c r="E615" s="23">
        <f t="array" ref="E615">IF(D615="","",IF(D615=1,0,INDEX(Calculation!Q$2:Q9627,D615-1)))</f>
        <v>0</v>
      </c>
      <c r="F615" s="23">
        <f t="array" ref="F615">IF($A615="","",
  LET(
    r, $D615,
    startD, INDEX(Calculation!B$2:B9627, r),
    endD,   INDEX(Calculation!C$2:C9627, r),
    asOf,   MIN($A615,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905439.726</v>
      </c>
    </row>
    <row r="616">
      <c r="A616" s="19">
        <v>42851.0</v>
      </c>
      <c r="B616" s="23">
        <v>1.0765E7</v>
      </c>
      <c r="C616" s="23">
        <f t="shared" si="1"/>
        <v>906914.3836</v>
      </c>
      <c r="D616" s="18">
        <f>IF(A616="","",MATCH(A616,Calculation!B$2:B9627,1))</f>
        <v>1</v>
      </c>
      <c r="E616" s="23">
        <f t="array" ref="E616">IF(D616="","",IF(D616=1,0,INDEX(Calculation!Q$2:Q9627,D616-1)))</f>
        <v>0</v>
      </c>
      <c r="F616" s="23">
        <f t="array" ref="F616">IF($A616="","",
  LET(
    r, $D616,
    startD, INDEX(Calculation!B$2:B9627, r),
    endD,   INDEX(Calculation!C$2:C9627, r),
    asOf,   MIN($A616,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906914.3836</v>
      </c>
    </row>
    <row r="617">
      <c r="A617" s="19">
        <v>42852.0</v>
      </c>
      <c r="B617" s="23">
        <v>1.0765E7</v>
      </c>
      <c r="C617" s="23">
        <f t="shared" si="1"/>
        <v>908389.0411</v>
      </c>
      <c r="D617" s="18">
        <f>IF(A617="","",MATCH(A617,Calculation!B$2:B9627,1))</f>
        <v>1</v>
      </c>
      <c r="E617" s="23">
        <f t="array" ref="E617">IF(D617="","",IF(D617=1,0,INDEX(Calculation!Q$2:Q9627,D617-1)))</f>
        <v>0</v>
      </c>
      <c r="F617" s="23">
        <f t="array" ref="F617">IF($A617="","",
  LET(
    r, $D617,
    startD, INDEX(Calculation!B$2:B9627, r),
    endD,   INDEX(Calculation!C$2:C9627, r),
    asOf,   MIN($A617,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908389.0411</v>
      </c>
    </row>
    <row r="618">
      <c r="A618" s="19">
        <v>42853.0</v>
      </c>
      <c r="B618" s="23">
        <v>1.0765E7</v>
      </c>
      <c r="C618" s="23">
        <f t="shared" si="1"/>
        <v>909863.6986</v>
      </c>
      <c r="D618" s="18">
        <f>IF(A618="","",MATCH(A618,Calculation!B$2:B9627,1))</f>
        <v>1</v>
      </c>
      <c r="E618" s="23">
        <f t="array" ref="E618">IF(D618="","",IF(D618=1,0,INDEX(Calculation!Q$2:Q9627,D618-1)))</f>
        <v>0</v>
      </c>
      <c r="F618" s="23">
        <f t="array" ref="F618">IF($A618="","",
  LET(
    r, $D618,
    startD, INDEX(Calculation!B$2:B9627, r),
    endD,   INDEX(Calculation!C$2:C9627, r),
    asOf,   MIN($A618,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909863.6986</v>
      </c>
    </row>
    <row r="619">
      <c r="A619" s="19">
        <v>42854.0</v>
      </c>
      <c r="B619" s="23">
        <v>1.0765E7</v>
      </c>
      <c r="C619" s="23">
        <f t="shared" si="1"/>
        <v>911338.3562</v>
      </c>
      <c r="D619" s="18">
        <f>IF(A619="","",MATCH(A619,Calculation!B$2:B9627,1))</f>
        <v>1</v>
      </c>
      <c r="E619" s="23">
        <f t="array" ref="E619">IF(D619="","",IF(D619=1,0,INDEX(Calculation!Q$2:Q9627,D619-1)))</f>
        <v>0</v>
      </c>
      <c r="F619" s="23">
        <f t="array" ref="F619">IF($A619="","",
  LET(
    r, $D619,
    startD, INDEX(Calculation!B$2:B9627, r),
    endD,   INDEX(Calculation!C$2:C9627, r),
    asOf,   MIN($A619,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911338.3562</v>
      </c>
    </row>
    <row r="620">
      <c r="A620" s="19">
        <v>42855.0</v>
      </c>
      <c r="B620" s="23">
        <v>1.0765E7</v>
      </c>
      <c r="C620" s="23">
        <f t="shared" si="1"/>
        <v>912813.0137</v>
      </c>
      <c r="D620" s="18">
        <f>IF(A620="","",MATCH(A620,Calculation!B$2:B9627,1))</f>
        <v>1</v>
      </c>
      <c r="E620" s="23">
        <f t="array" ref="E620">IF(D620="","",IF(D620=1,0,INDEX(Calculation!Q$2:Q9627,D620-1)))</f>
        <v>0</v>
      </c>
      <c r="F620" s="23">
        <f t="array" ref="F620">IF($A620="","",
  LET(
    r, $D620,
    startD, INDEX(Calculation!B$2:B9627, r),
    endD,   INDEX(Calculation!C$2:C9627, r),
    asOf,   MIN($A620,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912813.0137</v>
      </c>
    </row>
    <row r="621">
      <c r="A621" s="19">
        <v>42856.0</v>
      </c>
      <c r="B621" s="23">
        <v>1.0765E7</v>
      </c>
      <c r="C621" s="23">
        <f t="shared" si="1"/>
        <v>914287.6712</v>
      </c>
      <c r="D621" s="18">
        <f>IF(A621="","",MATCH(A621,Calculation!B$2:B9627,1))</f>
        <v>1</v>
      </c>
      <c r="E621" s="23">
        <f t="array" ref="E621">IF(D621="","",IF(D621=1,0,INDEX(Calculation!Q$2:Q9627,D621-1)))</f>
        <v>0</v>
      </c>
      <c r="F621" s="23">
        <f t="array" ref="F621">IF($A621="","",
  LET(
    r, $D621,
    startD, INDEX(Calculation!B$2:B9627, r),
    endD,   INDEX(Calculation!C$2:C9627, r),
    asOf,   MIN($A621,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914287.6712</v>
      </c>
    </row>
    <row r="622">
      <c r="A622" s="19">
        <v>42857.0</v>
      </c>
      <c r="B622" s="23">
        <v>1.0765E7</v>
      </c>
      <c r="C622" s="23">
        <f t="shared" si="1"/>
        <v>915762.3288</v>
      </c>
      <c r="D622" s="18">
        <f>IF(A622="","",MATCH(A622,Calculation!B$2:B9627,1))</f>
        <v>1</v>
      </c>
      <c r="E622" s="23">
        <f t="array" ref="E622">IF(D622="","",IF(D622=1,0,INDEX(Calculation!Q$2:Q9627,D622-1)))</f>
        <v>0</v>
      </c>
      <c r="F622" s="23">
        <f t="array" ref="F622">IF($A622="","",
  LET(
    r, $D622,
    startD, INDEX(Calculation!B$2:B9627, r),
    endD,   INDEX(Calculation!C$2:C9627, r),
    asOf,   MIN($A622,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915762.3288</v>
      </c>
    </row>
    <row r="623">
      <c r="A623" s="19">
        <v>42858.0</v>
      </c>
      <c r="B623" s="23">
        <v>1.0765E7</v>
      </c>
      <c r="C623" s="23">
        <f t="shared" si="1"/>
        <v>917236.9863</v>
      </c>
      <c r="D623" s="18">
        <f>IF(A623="","",MATCH(A623,Calculation!B$2:B9627,1))</f>
        <v>1</v>
      </c>
      <c r="E623" s="23">
        <f t="array" ref="E623">IF(D623="","",IF(D623=1,0,INDEX(Calculation!Q$2:Q9627,D623-1)))</f>
        <v>0</v>
      </c>
      <c r="F623" s="23">
        <f t="array" ref="F623">IF($A623="","",
  LET(
    r, $D623,
    startD, INDEX(Calculation!B$2:B9627, r),
    endD,   INDEX(Calculation!C$2:C9627, r),
    asOf,   MIN($A623,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917236.9863</v>
      </c>
    </row>
    <row r="624">
      <c r="A624" s="19">
        <v>42859.0</v>
      </c>
      <c r="B624" s="23">
        <v>1.0765E7</v>
      </c>
      <c r="C624" s="23">
        <f t="shared" si="1"/>
        <v>918711.6438</v>
      </c>
      <c r="D624" s="18">
        <f>IF(A624="","",MATCH(A624,Calculation!B$2:B9627,1))</f>
        <v>1</v>
      </c>
      <c r="E624" s="23">
        <f t="array" ref="E624">IF(D624="","",IF(D624=1,0,INDEX(Calculation!Q$2:Q9627,D624-1)))</f>
        <v>0</v>
      </c>
      <c r="F624" s="23">
        <f t="array" ref="F624">IF($A624="","",
  LET(
    r, $D624,
    startD, INDEX(Calculation!B$2:B9627, r),
    endD,   INDEX(Calculation!C$2:C9627, r),
    asOf,   MIN($A624,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918711.6438</v>
      </c>
    </row>
    <row r="625">
      <c r="A625" s="19">
        <v>42860.0</v>
      </c>
      <c r="B625" s="23">
        <v>1.0765E7</v>
      </c>
      <c r="C625" s="23">
        <f t="shared" si="1"/>
        <v>920186.3014</v>
      </c>
      <c r="D625" s="18">
        <f>IF(A625="","",MATCH(A625,Calculation!B$2:B9627,1))</f>
        <v>1</v>
      </c>
      <c r="E625" s="23">
        <f t="array" ref="E625">IF(D625="","",IF(D625=1,0,INDEX(Calculation!Q$2:Q9627,D625-1)))</f>
        <v>0</v>
      </c>
      <c r="F625" s="23">
        <f t="array" ref="F625">IF($A625="","",
  LET(
    r, $D625,
    startD, INDEX(Calculation!B$2:B9627, r),
    endD,   INDEX(Calculation!C$2:C9627, r),
    asOf,   MIN($A625,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920186.3014</v>
      </c>
    </row>
    <row r="626">
      <c r="A626" s="19">
        <v>42861.0</v>
      </c>
      <c r="B626" s="23">
        <v>1.0765E7</v>
      </c>
      <c r="C626" s="23">
        <f t="shared" si="1"/>
        <v>921660.9589</v>
      </c>
      <c r="D626" s="18">
        <f>IF(A626="","",MATCH(A626,Calculation!B$2:B9627,1))</f>
        <v>1</v>
      </c>
      <c r="E626" s="23">
        <f t="array" ref="E626">IF(D626="","",IF(D626=1,0,INDEX(Calculation!Q$2:Q9627,D626-1)))</f>
        <v>0</v>
      </c>
      <c r="F626" s="23">
        <f t="array" ref="F626">IF($A626="","",
  LET(
    r, $D626,
    startD, INDEX(Calculation!B$2:B9627, r),
    endD,   INDEX(Calculation!C$2:C9627, r),
    asOf,   MIN($A626,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921660.9589</v>
      </c>
    </row>
    <row r="627">
      <c r="A627" s="19">
        <v>42862.0</v>
      </c>
      <c r="B627" s="23">
        <v>1.0765E7</v>
      </c>
      <c r="C627" s="23">
        <f t="shared" si="1"/>
        <v>923135.6164</v>
      </c>
      <c r="D627" s="18">
        <f>IF(A627="","",MATCH(A627,Calculation!B$2:B9627,1))</f>
        <v>1</v>
      </c>
      <c r="E627" s="23">
        <f t="array" ref="E627">IF(D627="","",IF(D627=1,0,INDEX(Calculation!Q$2:Q9627,D627-1)))</f>
        <v>0</v>
      </c>
      <c r="F627" s="23">
        <f t="array" ref="F627">IF($A627="","",
  LET(
    r, $D627,
    startD, INDEX(Calculation!B$2:B9627, r),
    endD,   INDEX(Calculation!C$2:C9627, r),
    asOf,   MIN($A627,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923135.6164</v>
      </c>
    </row>
    <row r="628">
      <c r="A628" s="19">
        <v>42863.0</v>
      </c>
      <c r="B628" s="23">
        <v>1.0765E7</v>
      </c>
      <c r="C628" s="23">
        <f t="shared" si="1"/>
        <v>924610.274</v>
      </c>
      <c r="D628" s="18">
        <f>IF(A628="","",MATCH(A628,Calculation!B$2:B9627,1))</f>
        <v>1</v>
      </c>
      <c r="E628" s="23">
        <f t="array" ref="E628">IF(D628="","",IF(D628=1,0,INDEX(Calculation!Q$2:Q9627,D628-1)))</f>
        <v>0</v>
      </c>
      <c r="F628" s="23">
        <f t="array" ref="F628">IF($A628="","",
  LET(
    r, $D628,
    startD, INDEX(Calculation!B$2:B9627, r),
    endD,   INDEX(Calculation!C$2:C9627, r),
    asOf,   MIN($A628,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924610.274</v>
      </c>
    </row>
    <row r="629">
      <c r="A629" s="19">
        <v>42864.0</v>
      </c>
      <c r="B629" s="23">
        <v>1.0765E7</v>
      </c>
      <c r="C629" s="23">
        <f t="shared" si="1"/>
        <v>926084.9315</v>
      </c>
      <c r="D629" s="18">
        <f>IF(A629="","",MATCH(A629,Calculation!B$2:B9627,1))</f>
        <v>1</v>
      </c>
      <c r="E629" s="23">
        <f t="array" ref="E629">IF(D629="","",IF(D629=1,0,INDEX(Calculation!Q$2:Q9627,D629-1)))</f>
        <v>0</v>
      </c>
      <c r="F629" s="23">
        <f t="array" ref="F629">IF($A629="","",
  LET(
    r, $D629,
    startD, INDEX(Calculation!B$2:B9627, r),
    endD,   INDEX(Calculation!C$2:C9627, r),
    asOf,   MIN($A629,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926084.9315</v>
      </c>
    </row>
    <row r="630">
      <c r="A630" s="19">
        <v>42865.0</v>
      </c>
      <c r="B630" s="23">
        <v>1.0765E7</v>
      </c>
      <c r="C630" s="23">
        <f t="shared" si="1"/>
        <v>927559.589</v>
      </c>
      <c r="D630" s="18">
        <f>IF(A630="","",MATCH(A630,Calculation!B$2:B9627,1))</f>
        <v>1</v>
      </c>
      <c r="E630" s="23">
        <f t="array" ref="E630">IF(D630="","",IF(D630=1,0,INDEX(Calculation!Q$2:Q9627,D630-1)))</f>
        <v>0</v>
      </c>
      <c r="F630" s="23">
        <f t="array" ref="F630">IF($A630="","",
  LET(
    r, $D630,
    startD, INDEX(Calculation!B$2:B9627, r),
    endD,   INDEX(Calculation!C$2:C9627, r),
    asOf,   MIN($A630,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927559.589</v>
      </c>
    </row>
    <row r="631">
      <c r="A631" s="19">
        <v>42866.0</v>
      </c>
      <c r="B631" s="23">
        <v>1.0765E7</v>
      </c>
      <c r="C631" s="23">
        <f t="shared" si="1"/>
        <v>929034.2466</v>
      </c>
      <c r="D631" s="18">
        <f>IF(A631="","",MATCH(A631,Calculation!B$2:B9627,1))</f>
        <v>1</v>
      </c>
      <c r="E631" s="23">
        <f t="array" ref="E631">IF(D631="","",IF(D631=1,0,INDEX(Calculation!Q$2:Q9627,D631-1)))</f>
        <v>0</v>
      </c>
      <c r="F631" s="23">
        <f t="array" ref="F631">IF($A631="","",
  LET(
    r, $D631,
    startD, INDEX(Calculation!B$2:B9627, r),
    endD,   INDEX(Calculation!C$2:C9627, r),
    asOf,   MIN($A631,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929034.2466</v>
      </c>
    </row>
    <row r="632">
      <c r="A632" s="19">
        <v>42867.0</v>
      </c>
      <c r="B632" s="23">
        <v>1.0765E7</v>
      </c>
      <c r="C632" s="23">
        <f t="shared" si="1"/>
        <v>930508.9041</v>
      </c>
      <c r="D632" s="18">
        <f>IF(A632="","",MATCH(A632,Calculation!B$2:B9627,1))</f>
        <v>1</v>
      </c>
      <c r="E632" s="23">
        <f t="array" ref="E632">IF(D632="","",IF(D632=1,0,INDEX(Calculation!Q$2:Q9627,D632-1)))</f>
        <v>0</v>
      </c>
      <c r="F632" s="23">
        <f t="array" ref="F632">IF($A632="","",
  LET(
    r, $D632,
    startD, INDEX(Calculation!B$2:B9627, r),
    endD,   INDEX(Calculation!C$2:C9627, r),
    asOf,   MIN($A632,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930508.9041</v>
      </c>
    </row>
    <row r="633">
      <c r="A633" s="19">
        <v>42868.0</v>
      </c>
      <c r="B633" s="23">
        <v>1.0765E7</v>
      </c>
      <c r="C633" s="23">
        <f t="shared" si="1"/>
        <v>931983.5616</v>
      </c>
      <c r="D633" s="18">
        <f>IF(A633="","",MATCH(A633,Calculation!B$2:B9627,1))</f>
        <v>1</v>
      </c>
      <c r="E633" s="23">
        <f t="array" ref="E633">IF(D633="","",IF(D633=1,0,INDEX(Calculation!Q$2:Q9627,D633-1)))</f>
        <v>0</v>
      </c>
      <c r="F633" s="23">
        <f t="array" ref="F633">IF($A633="","",
  LET(
    r, $D633,
    startD, INDEX(Calculation!B$2:B9627, r),
    endD,   INDEX(Calculation!C$2:C9627, r),
    asOf,   MIN($A633,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931983.5616</v>
      </c>
    </row>
    <row r="634">
      <c r="A634" s="19">
        <v>42869.0</v>
      </c>
      <c r="B634" s="23">
        <v>1.0765E7</v>
      </c>
      <c r="C634" s="23">
        <f t="shared" si="1"/>
        <v>933458.2192</v>
      </c>
      <c r="D634" s="18">
        <f>IF(A634="","",MATCH(A634,Calculation!B$2:B9627,1))</f>
        <v>1</v>
      </c>
      <c r="E634" s="23">
        <f t="array" ref="E634">IF(D634="","",IF(D634=1,0,INDEX(Calculation!Q$2:Q9627,D634-1)))</f>
        <v>0</v>
      </c>
      <c r="F634" s="23">
        <f t="array" ref="F634">IF($A634="","",
  LET(
    r, $D634,
    startD, INDEX(Calculation!B$2:B9627, r),
    endD,   INDEX(Calculation!C$2:C9627, r),
    asOf,   MIN($A634,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933458.2192</v>
      </c>
    </row>
    <row r="635">
      <c r="A635" s="19">
        <v>42870.0</v>
      </c>
      <c r="B635" s="23">
        <v>1.0765E7</v>
      </c>
      <c r="C635" s="23">
        <f t="shared" si="1"/>
        <v>934932.8767</v>
      </c>
      <c r="D635" s="18">
        <f>IF(A635="","",MATCH(A635,Calculation!B$2:B9627,1))</f>
        <v>1</v>
      </c>
      <c r="E635" s="23">
        <f t="array" ref="E635">IF(D635="","",IF(D635=1,0,INDEX(Calculation!Q$2:Q9627,D635-1)))</f>
        <v>0</v>
      </c>
      <c r="F635" s="23">
        <f t="array" ref="F635">IF($A635="","",
  LET(
    r, $D635,
    startD, INDEX(Calculation!B$2:B9627, r),
    endD,   INDEX(Calculation!C$2:C9627, r),
    asOf,   MIN($A635,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934932.8767</v>
      </c>
    </row>
    <row r="636">
      <c r="A636" s="19">
        <v>42871.0</v>
      </c>
      <c r="B636" s="23">
        <v>1.0765E7</v>
      </c>
      <c r="C636" s="23">
        <f t="shared" si="1"/>
        <v>936407.5342</v>
      </c>
      <c r="D636" s="18">
        <f>IF(A636="","",MATCH(A636,Calculation!B$2:B9627,1))</f>
        <v>1</v>
      </c>
      <c r="E636" s="23">
        <f t="array" ref="E636">IF(D636="","",IF(D636=1,0,INDEX(Calculation!Q$2:Q9627,D636-1)))</f>
        <v>0</v>
      </c>
      <c r="F636" s="23">
        <f t="array" ref="F636">IF($A636="","",
  LET(
    r, $D636,
    startD, INDEX(Calculation!B$2:B9627, r),
    endD,   INDEX(Calculation!C$2:C9627, r),
    asOf,   MIN($A636,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936407.5342</v>
      </c>
    </row>
    <row r="637">
      <c r="A637" s="19">
        <v>42872.0</v>
      </c>
      <c r="B637" s="23">
        <v>1.0765E7</v>
      </c>
      <c r="C637" s="23">
        <f t="shared" si="1"/>
        <v>937882.1918</v>
      </c>
      <c r="D637" s="18">
        <f>IF(A637="","",MATCH(A637,Calculation!B$2:B9627,1))</f>
        <v>1</v>
      </c>
      <c r="E637" s="23">
        <f t="array" ref="E637">IF(D637="","",IF(D637=1,0,INDEX(Calculation!Q$2:Q9627,D637-1)))</f>
        <v>0</v>
      </c>
      <c r="F637" s="23">
        <f t="array" ref="F637">IF($A637="","",
  LET(
    r, $D637,
    startD, INDEX(Calculation!B$2:B9627, r),
    endD,   INDEX(Calculation!C$2:C9627, r),
    asOf,   MIN($A637,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937882.1918</v>
      </c>
    </row>
    <row r="638">
      <c r="A638" s="19">
        <v>42873.0</v>
      </c>
      <c r="B638" s="23">
        <v>1.0765E7</v>
      </c>
      <c r="C638" s="23">
        <f t="shared" si="1"/>
        <v>939356.8493</v>
      </c>
      <c r="D638" s="18">
        <f>IF(A638="","",MATCH(A638,Calculation!B$2:B9627,1))</f>
        <v>1</v>
      </c>
      <c r="E638" s="23">
        <f t="array" ref="E638">IF(D638="","",IF(D638=1,0,INDEX(Calculation!Q$2:Q9627,D638-1)))</f>
        <v>0</v>
      </c>
      <c r="F638" s="23">
        <f t="array" ref="F638">IF($A638="","",
  LET(
    r, $D638,
    startD, INDEX(Calculation!B$2:B9627, r),
    endD,   INDEX(Calculation!C$2:C9627, r),
    asOf,   MIN($A638,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939356.8493</v>
      </c>
    </row>
    <row r="639">
      <c r="A639" s="19">
        <v>42874.0</v>
      </c>
      <c r="B639" s="23">
        <v>1.0765E7</v>
      </c>
      <c r="C639" s="23">
        <f t="shared" si="1"/>
        <v>940831.5068</v>
      </c>
      <c r="D639" s="18">
        <f>IF(A639="","",MATCH(A639,Calculation!B$2:B9627,1))</f>
        <v>1</v>
      </c>
      <c r="E639" s="23">
        <f t="array" ref="E639">IF(D639="","",IF(D639=1,0,INDEX(Calculation!Q$2:Q9627,D639-1)))</f>
        <v>0</v>
      </c>
      <c r="F639" s="23">
        <f t="array" ref="F639">IF($A639="","",
  LET(
    r, $D639,
    startD, INDEX(Calculation!B$2:B9627, r),
    endD,   INDEX(Calculation!C$2:C9627, r),
    asOf,   MIN($A639,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940831.5068</v>
      </c>
    </row>
    <row r="640">
      <c r="A640" s="19">
        <v>42875.0</v>
      </c>
      <c r="B640" s="23">
        <v>1.0765E7</v>
      </c>
      <c r="C640" s="23">
        <f t="shared" si="1"/>
        <v>942306.1644</v>
      </c>
      <c r="D640" s="18">
        <f>IF(A640="","",MATCH(A640,Calculation!B$2:B9627,1))</f>
        <v>1</v>
      </c>
      <c r="E640" s="23">
        <f t="array" ref="E640">IF(D640="","",IF(D640=1,0,INDEX(Calculation!Q$2:Q9627,D640-1)))</f>
        <v>0</v>
      </c>
      <c r="F640" s="23">
        <f t="array" ref="F640">IF($A640="","",
  LET(
    r, $D640,
    startD, INDEX(Calculation!B$2:B9627, r),
    endD,   INDEX(Calculation!C$2:C9627, r),
    asOf,   MIN($A640,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942306.1644</v>
      </c>
    </row>
    <row r="641">
      <c r="A641" s="19">
        <v>42876.0</v>
      </c>
      <c r="B641" s="23">
        <v>1.0765E7</v>
      </c>
      <c r="C641" s="23">
        <f t="shared" si="1"/>
        <v>943780.8219</v>
      </c>
      <c r="D641" s="18">
        <f>IF(A641="","",MATCH(A641,Calculation!B$2:B9627,1))</f>
        <v>1</v>
      </c>
      <c r="E641" s="23">
        <f t="array" ref="E641">IF(D641="","",IF(D641=1,0,INDEX(Calculation!Q$2:Q9627,D641-1)))</f>
        <v>0</v>
      </c>
      <c r="F641" s="23">
        <f t="array" ref="F641">IF($A641="","",
  LET(
    r, $D641,
    startD, INDEX(Calculation!B$2:B9627, r),
    endD,   INDEX(Calculation!C$2:C9627, r),
    asOf,   MIN($A641,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943780.8219</v>
      </c>
    </row>
    <row r="642">
      <c r="A642" s="19">
        <v>42877.0</v>
      </c>
      <c r="B642" s="23">
        <v>1.0765E7</v>
      </c>
      <c r="C642" s="23">
        <f t="shared" si="1"/>
        <v>945255.4795</v>
      </c>
      <c r="D642" s="18">
        <f>IF(A642="","",MATCH(A642,Calculation!B$2:B9627,1))</f>
        <v>1</v>
      </c>
      <c r="E642" s="23">
        <f t="array" ref="E642">IF(D642="","",IF(D642=1,0,INDEX(Calculation!Q$2:Q9627,D642-1)))</f>
        <v>0</v>
      </c>
      <c r="F642" s="23">
        <f t="array" ref="F642">IF($A642="","",
  LET(
    r, $D642,
    startD, INDEX(Calculation!B$2:B9627, r),
    endD,   INDEX(Calculation!C$2:C9627, r),
    asOf,   MIN($A642,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945255.4795</v>
      </c>
    </row>
    <row r="643">
      <c r="A643" s="19">
        <v>42878.0</v>
      </c>
      <c r="B643" s="23">
        <v>1.0765E7</v>
      </c>
      <c r="C643" s="23">
        <f t="shared" si="1"/>
        <v>946730.137</v>
      </c>
      <c r="D643" s="18">
        <f>IF(A643="","",MATCH(A643,Calculation!B$2:B9627,1))</f>
        <v>1</v>
      </c>
      <c r="E643" s="23">
        <f t="array" ref="E643">IF(D643="","",IF(D643=1,0,INDEX(Calculation!Q$2:Q9627,D643-1)))</f>
        <v>0</v>
      </c>
      <c r="F643" s="23">
        <f t="array" ref="F643">IF($A643="","",
  LET(
    r, $D643,
    startD, INDEX(Calculation!B$2:B9627, r),
    endD,   INDEX(Calculation!C$2:C9627, r),
    asOf,   MIN($A643,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946730.137</v>
      </c>
    </row>
    <row r="644">
      <c r="A644" s="19">
        <v>42879.0</v>
      </c>
      <c r="B644" s="23">
        <v>1.0765E7</v>
      </c>
      <c r="C644" s="23">
        <f t="shared" si="1"/>
        <v>948204.7945</v>
      </c>
      <c r="D644" s="18">
        <f>IF(A644="","",MATCH(A644,Calculation!B$2:B9627,1))</f>
        <v>1</v>
      </c>
      <c r="E644" s="23">
        <f t="array" ref="E644">IF(D644="","",IF(D644=1,0,INDEX(Calculation!Q$2:Q9627,D644-1)))</f>
        <v>0</v>
      </c>
      <c r="F644" s="23">
        <f t="array" ref="F644">IF($A644="","",
  LET(
    r, $D644,
    startD, INDEX(Calculation!B$2:B9627, r),
    endD,   INDEX(Calculation!C$2:C9627, r),
    asOf,   MIN($A644,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948204.7945</v>
      </c>
    </row>
    <row r="645">
      <c r="A645" s="19">
        <v>42880.0</v>
      </c>
      <c r="B645" s="23">
        <v>1.0765E7</v>
      </c>
      <c r="C645" s="23">
        <f t="shared" si="1"/>
        <v>949679.4521</v>
      </c>
      <c r="D645" s="18">
        <f>IF(A645="","",MATCH(A645,Calculation!B$2:B9627,1))</f>
        <v>1</v>
      </c>
      <c r="E645" s="23">
        <f t="array" ref="E645">IF(D645="","",IF(D645=1,0,INDEX(Calculation!Q$2:Q9627,D645-1)))</f>
        <v>0</v>
      </c>
      <c r="F645" s="23">
        <f t="array" ref="F645">IF($A645="","",
  LET(
    r, $D645,
    startD, INDEX(Calculation!B$2:B9627, r),
    endD,   INDEX(Calculation!C$2:C9627, r),
    asOf,   MIN($A645,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949679.4521</v>
      </c>
    </row>
    <row r="646">
      <c r="A646" s="19">
        <v>42881.0</v>
      </c>
      <c r="B646" s="23">
        <v>1.0765E7</v>
      </c>
      <c r="C646" s="23">
        <f t="shared" si="1"/>
        <v>951154.1096</v>
      </c>
      <c r="D646" s="18">
        <f>IF(A646="","",MATCH(A646,Calculation!B$2:B9627,1))</f>
        <v>1</v>
      </c>
      <c r="E646" s="23">
        <f t="array" ref="E646">IF(D646="","",IF(D646=1,0,INDEX(Calculation!Q$2:Q9627,D646-1)))</f>
        <v>0</v>
      </c>
      <c r="F646" s="23">
        <f t="array" ref="F646">IF($A646="","",
  LET(
    r, $D646,
    startD, INDEX(Calculation!B$2:B9627, r),
    endD,   INDEX(Calculation!C$2:C9627, r),
    asOf,   MIN($A646,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951154.1096</v>
      </c>
    </row>
    <row r="647">
      <c r="A647" s="19">
        <v>42882.0</v>
      </c>
      <c r="B647" s="23">
        <v>1.0765E7</v>
      </c>
      <c r="C647" s="23">
        <f t="shared" si="1"/>
        <v>952628.7671</v>
      </c>
      <c r="D647" s="18">
        <f>IF(A647="","",MATCH(A647,Calculation!B$2:B9627,1))</f>
        <v>1</v>
      </c>
      <c r="E647" s="23">
        <f t="array" ref="E647">IF(D647="","",IF(D647=1,0,INDEX(Calculation!Q$2:Q9627,D647-1)))</f>
        <v>0</v>
      </c>
      <c r="F647" s="23">
        <f t="array" ref="F647">IF($A647="","",
  LET(
    r, $D647,
    startD, INDEX(Calculation!B$2:B9627, r),
    endD,   INDEX(Calculation!C$2:C9627, r),
    asOf,   MIN($A647,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952628.7671</v>
      </c>
    </row>
    <row r="648">
      <c r="A648" s="19">
        <v>42883.0</v>
      </c>
      <c r="B648" s="23">
        <v>1.0765E7</v>
      </c>
      <c r="C648" s="23">
        <f t="shared" si="1"/>
        <v>954103.4247</v>
      </c>
      <c r="D648" s="18">
        <f>IF(A648="","",MATCH(A648,Calculation!B$2:B9627,1))</f>
        <v>1</v>
      </c>
      <c r="E648" s="23">
        <f t="array" ref="E648">IF(D648="","",IF(D648=1,0,INDEX(Calculation!Q$2:Q9627,D648-1)))</f>
        <v>0</v>
      </c>
      <c r="F648" s="23">
        <f t="array" ref="F648">IF($A648="","",
  LET(
    r, $D648,
    startD, INDEX(Calculation!B$2:B9627, r),
    endD,   INDEX(Calculation!C$2:C9627, r),
    asOf,   MIN($A648,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954103.4247</v>
      </c>
    </row>
    <row r="649">
      <c r="A649" s="19">
        <v>42884.0</v>
      </c>
      <c r="B649" s="23">
        <v>1.0765E7</v>
      </c>
      <c r="C649" s="23">
        <f t="shared" si="1"/>
        <v>955578.0822</v>
      </c>
      <c r="D649" s="18">
        <f>IF(A649="","",MATCH(A649,Calculation!B$2:B9627,1))</f>
        <v>1</v>
      </c>
      <c r="E649" s="23">
        <f t="array" ref="E649">IF(D649="","",IF(D649=1,0,INDEX(Calculation!Q$2:Q9627,D649-1)))</f>
        <v>0</v>
      </c>
      <c r="F649" s="23">
        <f t="array" ref="F649">IF($A649="","",
  LET(
    r, $D649,
    startD, INDEX(Calculation!B$2:B9627, r),
    endD,   INDEX(Calculation!C$2:C9627, r),
    asOf,   MIN($A649,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955578.0822</v>
      </c>
    </row>
    <row r="650">
      <c r="A650" s="19">
        <v>42885.0</v>
      </c>
      <c r="B650" s="23">
        <v>1.0765E7</v>
      </c>
      <c r="C650" s="23">
        <f t="shared" si="1"/>
        <v>957052.7397</v>
      </c>
      <c r="D650" s="18">
        <f>IF(A650="","",MATCH(A650,Calculation!B$2:B9627,1))</f>
        <v>1</v>
      </c>
      <c r="E650" s="23">
        <f t="array" ref="E650">IF(D650="","",IF(D650=1,0,INDEX(Calculation!Q$2:Q9627,D650-1)))</f>
        <v>0</v>
      </c>
      <c r="F650" s="23">
        <f t="array" ref="F650">IF($A650="","",
  LET(
    r, $D650,
    startD, INDEX(Calculation!B$2:B9627, r),
    endD,   INDEX(Calculation!C$2:C9627, r),
    asOf,   MIN($A650,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957052.7397</v>
      </c>
    </row>
    <row r="651">
      <c r="A651" s="19">
        <v>42886.0</v>
      </c>
      <c r="B651" s="23">
        <v>1.0765E7</v>
      </c>
      <c r="C651" s="23">
        <f t="shared" si="1"/>
        <v>958527.3973</v>
      </c>
      <c r="D651" s="18">
        <f>IF(A651="","",MATCH(A651,Calculation!B$2:B9627,1))</f>
        <v>1</v>
      </c>
      <c r="E651" s="23">
        <f t="array" ref="E651">IF(D651="","",IF(D651=1,0,INDEX(Calculation!Q$2:Q9627,D651-1)))</f>
        <v>0</v>
      </c>
      <c r="F651" s="23">
        <f t="array" ref="F651">IF($A651="","",
  LET(
    r, $D651,
    startD, INDEX(Calculation!B$2:B9627, r),
    endD,   INDEX(Calculation!C$2:C9627, r),
    asOf,   MIN($A651,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958527.3973</v>
      </c>
    </row>
    <row r="652">
      <c r="A652" s="19">
        <v>42887.0</v>
      </c>
      <c r="B652" s="23">
        <v>1.0765E7</v>
      </c>
      <c r="C652" s="23">
        <f t="shared" si="1"/>
        <v>960002.0548</v>
      </c>
      <c r="D652" s="18">
        <f>IF(A652="","",MATCH(A652,Calculation!B$2:B9627,1))</f>
        <v>1</v>
      </c>
      <c r="E652" s="23">
        <f t="array" ref="E652">IF(D652="","",IF(D652=1,0,INDEX(Calculation!Q$2:Q9627,D652-1)))</f>
        <v>0</v>
      </c>
      <c r="F652" s="23">
        <f t="array" ref="F652">IF($A652="","",
  LET(
    r, $D652,
    startD, INDEX(Calculation!B$2:B9627, r),
    endD,   INDEX(Calculation!C$2:C9627, r),
    asOf,   MIN($A652,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960002.0548</v>
      </c>
    </row>
    <row r="653">
      <c r="A653" s="19">
        <v>42888.0</v>
      </c>
      <c r="B653" s="23">
        <v>1.0765E7</v>
      </c>
      <c r="C653" s="23">
        <f t="shared" si="1"/>
        <v>961476.7123</v>
      </c>
      <c r="D653" s="18">
        <f>IF(A653="","",MATCH(A653,Calculation!B$2:B9627,1))</f>
        <v>1</v>
      </c>
      <c r="E653" s="23">
        <f t="array" ref="E653">IF(D653="","",IF(D653=1,0,INDEX(Calculation!Q$2:Q9627,D653-1)))</f>
        <v>0</v>
      </c>
      <c r="F653" s="23">
        <f t="array" ref="F653">IF($A653="","",
  LET(
    r, $D653,
    startD, INDEX(Calculation!B$2:B9627, r),
    endD,   INDEX(Calculation!C$2:C9627, r),
    asOf,   MIN($A653,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961476.7123</v>
      </c>
    </row>
    <row r="654">
      <c r="A654" s="19">
        <v>42889.0</v>
      </c>
      <c r="B654" s="23">
        <v>1.0765E7</v>
      </c>
      <c r="C654" s="23">
        <f t="shared" si="1"/>
        <v>962951.3699</v>
      </c>
      <c r="D654" s="18">
        <f>IF(A654="","",MATCH(A654,Calculation!B$2:B9627,1))</f>
        <v>1</v>
      </c>
      <c r="E654" s="23">
        <f t="array" ref="E654">IF(D654="","",IF(D654=1,0,INDEX(Calculation!Q$2:Q9627,D654-1)))</f>
        <v>0</v>
      </c>
      <c r="F654" s="23">
        <f t="array" ref="F654">IF($A654="","",
  LET(
    r, $D654,
    startD, INDEX(Calculation!B$2:B9627, r),
    endD,   INDEX(Calculation!C$2:C9627, r),
    asOf,   MIN($A654,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962951.3699</v>
      </c>
    </row>
    <row r="655">
      <c r="A655" s="19">
        <v>42890.0</v>
      </c>
      <c r="B655" s="23">
        <v>1.0765E7</v>
      </c>
      <c r="C655" s="23">
        <f t="shared" si="1"/>
        <v>964426.0274</v>
      </c>
      <c r="D655" s="18">
        <f>IF(A655="","",MATCH(A655,Calculation!B$2:B9627,1))</f>
        <v>1</v>
      </c>
      <c r="E655" s="23">
        <f t="array" ref="E655">IF(D655="","",IF(D655=1,0,INDEX(Calculation!Q$2:Q9627,D655-1)))</f>
        <v>0</v>
      </c>
      <c r="F655" s="23">
        <f t="array" ref="F655">IF($A655="","",
  LET(
    r, $D655,
    startD, INDEX(Calculation!B$2:B9627, r),
    endD,   INDEX(Calculation!C$2:C9627, r),
    asOf,   MIN($A655,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964426.0274</v>
      </c>
    </row>
    <row r="656">
      <c r="A656" s="19">
        <v>42891.0</v>
      </c>
      <c r="B656" s="23">
        <v>1.0765E7</v>
      </c>
      <c r="C656" s="23">
        <f t="shared" si="1"/>
        <v>965900.6849</v>
      </c>
      <c r="D656" s="18">
        <f>IF(A656="","",MATCH(A656,Calculation!B$2:B9627,1))</f>
        <v>1</v>
      </c>
      <c r="E656" s="23">
        <f t="array" ref="E656">IF(D656="","",IF(D656=1,0,INDEX(Calculation!Q$2:Q9627,D656-1)))</f>
        <v>0</v>
      </c>
      <c r="F656" s="23">
        <f t="array" ref="F656">IF($A656="","",
  LET(
    r, $D656,
    startD, INDEX(Calculation!B$2:B9627, r),
    endD,   INDEX(Calculation!C$2:C9627, r),
    asOf,   MIN($A656,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965900.6849</v>
      </c>
    </row>
    <row r="657">
      <c r="A657" s="19">
        <v>42892.0</v>
      </c>
      <c r="B657" s="23">
        <v>1.0765E7</v>
      </c>
      <c r="C657" s="23">
        <f t="shared" si="1"/>
        <v>967375.3425</v>
      </c>
      <c r="D657" s="18">
        <f>IF(A657="","",MATCH(A657,Calculation!B$2:B9627,1))</f>
        <v>1</v>
      </c>
      <c r="E657" s="23">
        <f t="array" ref="E657">IF(D657="","",IF(D657=1,0,INDEX(Calculation!Q$2:Q9627,D657-1)))</f>
        <v>0</v>
      </c>
      <c r="F657" s="23">
        <f t="array" ref="F657">IF($A657="","",
  LET(
    r, $D657,
    startD, INDEX(Calculation!B$2:B9627, r),
    endD,   INDEX(Calculation!C$2:C9627, r),
    asOf,   MIN($A657,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967375.3425</v>
      </c>
    </row>
    <row r="658">
      <c r="A658" s="19">
        <v>42893.0</v>
      </c>
      <c r="B658" s="23">
        <v>1.0765E7</v>
      </c>
      <c r="C658" s="23">
        <f t="shared" si="1"/>
        <v>968850</v>
      </c>
      <c r="D658" s="18">
        <f>IF(A658="","",MATCH(A658,Calculation!B$2:B9627,1))</f>
        <v>1</v>
      </c>
      <c r="E658" s="23">
        <f t="array" ref="E658">IF(D658="","",IF(D658=1,0,INDEX(Calculation!Q$2:Q9627,D658-1)))</f>
        <v>0</v>
      </c>
      <c r="F658" s="23">
        <f t="array" ref="F658">IF($A658="","",
  LET(
    r, $D658,
    startD, INDEX(Calculation!B$2:B9627, r),
    endD,   INDEX(Calculation!C$2:C9627, r),
    asOf,   MIN($A658,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968850</v>
      </c>
    </row>
    <row r="659">
      <c r="A659" s="19">
        <v>42894.0</v>
      </c>
      <c r="B659" s="23">
        <v>1.0765E7</v>
      </c>
      <c r="C659" s="23">
        <f t="shared" si="1"/>
        <v>970324.6575</v>
      </c>
      <c r="D659" s="18">
        <f>IF(A659="","",MATCH(A659,Calculation!B$2:B9627,1))</f>
        <v>1</v>
      </c>
      <c r="E659" s="23">
        <f t="array" ref="E659">IF(D659="","",IF(D659=1,0,INDEX(Calculation!Q$2:Q9627,D659-1)))</f>
        <v>0</v>
      </c>
      <c r="F659" s="23">
        <f t="array" ref="F659">IF($A659="","",
  LET(
    r, $D659,
    startD, INDEX(Calculation!B$2:B9627, r),
    endD,   INDEX(Calculation!C$2:C9627, r),
    asOf,   MIN($A659,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970324.6575</v>
      </c>
    </row>
    <row r="660">
      <c r="A660" s="19">
        <v>42895.0</v>
      </c>
      <c r="B660" s="23">
        <v>1.0765E7</v>
      </c>
      <c r="C660" s="23">
        <f t="shared" si="1"/>
        <v>971799.3151</v>
      </c>
      <c r="D660" s="18">
        <f>IF(A660="","",MATCH(A660,Calculation!B$2:B9627,1))</f>
        <v>1</v>
      </c>
      <c r="E660" s="23">
        <f t="array" ref="E660">IF(D660="","",IF(D660=1,0,INDEX(Calculation!Q$2:Q9627,D660-1)))</f>
        <v>0</v>
      </c>
      <c r="F660" s="23">
        <f t="array" ref="F660">IF($A660="","",
  LET(
    r, $D660,
    startD, INDEX(Calculation!B$2:B9627, r),
    endD,   INDEX(Calculation!C$2:C9627, r),
    asOf,   MIN($A660,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971799.3151</v>
      </c>
    </row>
    <row r="661">
      <c r="A661" s="19">
        <v>42896.0</v>
      </c>
      <c r="B661" s="23">
        <v>1.0765E7</v>
      </c>
      <c r="C661" s="23">
        <f t="shared" si="1"/>
        <v>973273.9726</v>
      </c>
      <c r="D661" s="18">
        <f>IF(A661="","",MATCH(A661,Calculation!B$2:B9627,1))</f>
        <v>1</v>
      </c>
      <c r="E661" s="23">
        <f t="array" ref="E661">IF(D661="","",IF(D661=1,0,INDEX(Calculation!Q$2:Q9627,D661-1)))</f>
        <v>0</v>
      </c>
      <c r="F661" s="23">
        <f t="array" ref="F661">IF($A661="","",
  LET(
    r, $D661,
    startD, INDEX(Calculation!B$2:B9627, r),
    endD,   INDEX(Calculation!C$2:C9627, r),
    asOf,   MIN($A661,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973273.9726</v>
      </c>
    </row>
    <row r="662">
      <c r="A662" s="19">
        <v>42897.0</v>
      </c>
      <c r="B662" s="23">
        <v>1.0765E7</v>
      </c>
      <c r="C662" s="23">
        <f t="shared" si="1"/>
        <v>974748.6301</v>
      </c>
      <c r="D662" s="18">
        <f>IF(A662="","",MATCH(A662,Calculation!B$2:B9627,1))</f>
        <v>1</v>
      </c>
      <c r="E662" s="23">
        <f t="array" ref="E662">IF(D662="","",IF(D662=1,0,INDEX(Calculation!Q$2:Q9627,D662-1)))</f>
        <v>0</v>
      </c>
      <c r="F662" s="23">
        <f t="array" ref="F662">IF($A662="","",
  LET(
    r, $D662,
    startD, INDEX(Calculation!B$2:B9627, r),
    endD,   INDEX(Calculation!C$2:C9627, r),
    asOf,   MIN($A662,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974748.6301</v>
      </c>
    </row>
    <row r="663">
      <c r="A663" s="19">
        <v>42898.0</v>
      </c>
      <c r="B663" s="23">
        <v>1.0765E7</v>
      </c>
      <c r="C663" s="23">
        <f t="shared" si="1"/>
        <v>976223.2877</v>
      </c>
      <c r="D663" s="18">
        <f>IF(A663="","",MATCH(A663,Calculation!B$2:B9627,1))</f>
        <v>1</v>
      </c>
      <c r="E663" s="23">
        <f t="array" ref="E663">IF(D663="","",IF(D663=1,0,INDEX(Calculation!Q$2:Q9627,D663-1)))</f>
        <v>0</v>
      </c>
      <c r="F663" s="23">
        <f t="array" ref="F663">IF($A663="","",
  LET(
    r, $D663,
    startD, INDEX(Calculation!B$2:B9627, r),
    endD,   INDEX(Calculation!C$2:C9627, r),
    asOf,   MIN($A663,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976223.2877</v>
      </c>
    </row>
    <row r="664">
      <c r="A664" s="19">
        <v>42899.0</v>
      </c>
      <c r="B664" s="23">
        <v>1.0765E7</v>
      </c>
      <c r="C664" s="23">
        <f t="shared" si="1"/>
        <v>977697.9452</v>
      </c>
      <c r="D664" s="18">
        <f>IF(A664="","",MATCH(A664,Calculation!B$2:B9627,1))</f>
        <v>1</v>
      </c>
      <c r="E664" s="23">
        <f t="array" ref="E664">IF(D664="","",IF(D664=1,0,INDEX(Calculation!Q$2:Q9627,D664-1)))</f>
        <v>0</v>
      </c>
      <c r="F664" s="23">
        <f t="array" ref="F664">IF($A664="","",
  LET(
    r, $D664,
    startD, INDEX(Calculation!B$2:B9627, r),
    endD,   INDEX(Calculation!C$2:C9627, r),
    asOf,   MIN($A664,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977697.9452</v>
      </c>
    </row>
    <row r="665">
      <c r="A665" s="19">
        <v>42900.0</v>
      </c>
      <c r="B665" s="23">
        <v>1.0765E7</v>
      </c>
      <c r="C665" s="23">
        <f t="shared" si="1"/>
        <v>979172.6027</v>
      </c>
      <c r="D665" s="18">
        <f>IF(A665="","",MATCH(A665,Calculation!B$2:B9627,1))</f>
        <v>1</v>
      </c>
      <c r="E665" s="23">
        <f t="array" ref="E665">IF(D665="","",IF(D665=1,0,INDEX(Calculation!Q$2:Q9627,D665-1)))</f>
        <v>0</v>
      </c>
      <c r="F665" s="23">
        <f t="array" ref="F665">IF($A665="","",
  LET(
    r, $D665,
    startD, INDEX(Calculation!B$2:B9627, r),
    endD,   INDEX(Calculation!C$2:C9627, r),
    asOf,   MIN($A665,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979172.6027</v>
      </c>
    </row>
    <row r="666">
      <c r="A666" s="19">
        <v>42901.0</v>
      </c>
      <c r="B666" s="23">
        <v>1.0765E7</v>
      </c>
      <c r="C666" s="23">
        <f t="shared" si="1"/>
        <v>980647.2603</v>
      </c>
      <c r="D666" s="18">
        <f>IF(A666="","",MATCH(A666,Calculation!B$2:B9627,1))</f>
        <v>1</v>
      </c>
      <c r="E666" s="23">
        <f t="array" ref="E666">IF(D666="","",IF(D666=1,0,INDEX(Calculation!Q$2:Q9627,D666-1)))</f>
        <v>0</v>
      </c>
      <c r="F666" s="23">
        <f t="array" ref="F666">IF($A666="","",
  LET(
    r, $D666,
    startD, INDEX(Calculation!B$2:B9627, r),
    endD,   INDEX(Calculation!C$2:C9627, r),
    asOf,   MIN($A666,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980647.2603</v>
      </c>
    </row>
    <row r="667">
      <c r="A667" s="19">
        <v>42902.0</v>
      </c>
      <c r="B667" s="23">
        <v>1.0765E7</v>
      </c>
      <c r="C667" s="23">
        <f t="shared" si="1"/>
        <v>982121.9178</v>
      </c>
      <c r="D667" s="18">
        <f>IF(A667="","",MATCH(A667,Calculation!B$2:B9627,1))</f>
        <v>1</v>
      </c>
      <c r="E667" s="23">
        <f t="array" ref="E667">IF(D667="","",IF(D667=1,0,INDEX(Calculation!Q$2:Q9627,D667-1)))</f>
        <v>0</v>
      </c>
      <c r="F667" s="23">
        <f t="array" ref="F667">IF($A667="","",
  LET(
    r, $D667,
    startD, INDEX(Calculation!B$2:B9627, r),
    endD,   INDEX(Calculation!C$2:C9627, r),
    asOf,   MIN($A667,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982121.9178</v>
      </c>
    </row>
    <row r="668">
      <c r="A668" s="19">
        <v>42903.0</v>
      </c>
      <c r="B668" s="23">
        <v>1.0765E7</v>
      </c>
      <c r="C668" s="23">
        <f t="shared" si="1"/>
        <v>983596.5753</v>
      </c>
      <c r="D668" s="18">
        <f>IF(A668="","",MATCH(A668,Calculation!B$2:B9627,1))</f>
        <v>1</v>
      </c>
      <c r="E668" s="23">
        <f t="array" ref="E668">IF(D668="","",IF(D668=1,0,INDEX(Calculation!Q$2:Q9627,D668-1)))</f>
        <v>0</v>
      </c>
      <c r="F668" s="23">
        <f t="array" ref="F668">IF($A668="","",
  LET(
    r, $D668,
    startD, INDEX(Calculation!B$2:B9627, r),
    endD,   INDEX(Calculation!C$2:C9627, r),
    asOf,   MIN($A668,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983596.5753</v>
      </c>
    </row>
    <row r="669">
      <c r="A669" s="19">
        <v>42904.0</v>
      </c>
      <c r="B669" s="23">
        <v>1.0765E7</v>
      </c>
      <c r="C669" s="23">
        <f t="shared" si="1"/>
        <v>985071.2329</v>
      </c>
      <c r="D669" s="18">
        <f>IF(A669="","",MATCH(A669,Calculation!B$2:B9627,1))</f>
        <v>1</v>
      </c>
      <c r="E669" s="23">
        <f t="array" ref="E669">IF(D669="","",IF(D669=1,0,INDEX(Calculation!Q$2:Q9627,D669-1)))</f>
        <v>0</v>
      </c>
      <c r="F669" s="23">
        <f t="array" ref="F669">IF($A669="","",
  LET(
    r, $D669,
    startD, INDEX(Calculation!B$2:B9627, r),
    endD,   INDEX(Calculation!C$2:C9627, r),
    asOf,   MIN($A669,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985071.2329</v>
      </c>
    </row>
    <row r="670">
      <c r="A670" s="19">
        <v>42905.0</v>
      </c>
      <c r="B670" s="23">
        <v>1.0765E7</v>
      </c>
      <c r="C670" s="23">
        <f t="shared" si="1"/>
        <v>986545.8904</v>
      </c>
      <c r="D670" s="18">
        <f>IF(A670="","",MATCH(A670,Calculation!B$2:B9627,1))</f>
        <v>1</v>
      </c>
      <c r="E670" s="23">
        <f t="array" ref="E670">IF(D670="","",IF(D670=1,0,INDEX(Calculation!Q$2:Q9627,D670-1)))</f>
        <v>0</v>
      </c>
      <c r="F670" s="23">
        <f t="array" ref="F670">IF($A670="","",
  LET(
    r, $D670,
    startD, INDEX(Calculation!B$2:B9627, r),
    endD,   INDEX(Calculation!C$2:C9627, r),
    asOf,   MIN($A670,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986545.8904</v>
      </c>
    </row>
    <row r="671">
      <c r="A671" s="19">
        <v>42906.0</v>
      </c>
      <c r="B671" s="23">
        <v>1.0765E7</v>
      </c>
      <c r="C671" s="23">
        <f t="shared" si="1"/>
        <v>988020.5479</v>
      </c>
      <c r="D671" s="18">
        <f>IF(A671="","",MATCH(A671,Calculation!B$2:B9627,1))</f>
        <v>1</v>
      </c>
      <c r="E671" s="23">
        <f t="array" ref="E671">IF(D671="","",IF(D671=1,0,INDEX(Calculation!Q$2:Q9627,D671-1)))</f>
        <v>0</v>
      </c>
      <c r="F671" s="23">
        <f t="array" ref="F671">IF($A671="","",
  LET(
    r, $D671,
    startD, INDEX(Calculation!B$2:B9627, r),
    endD,   INDEX(Calculation!C$2:C9627, r),
    asOf,   MIN($A671,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988020.5479</v>
      </c>
    </row>
    <row r="672">
      <c r="A672" s="19">
        <v>42907.0</v>
      </c>
      <c r="B672" s="23">
        <v>1.0765E7</v>
      </c>
      <c r="C672" s="23">
        <f t="shared" si="1"/>
        <v>989495.2055</v>
      </c>
      <c r="D672" s="18">
        <f>IF(A672="","",MATCH(A672,Calculation!B$2:B9627,1))</f>
        <v>1</v>
      </c>
      <c r="E672" s="23">
        <f t="array" ref="E672">IF(D672="","",IF(D672=1,0,INDEX(Calculation!Q$2:Q9627,D672-1)))</f>
        <v>0</v>
      </c>
      <c r="F672" s="23">
        <f t="array" ref="F672">IF($A672="","",
  LET(
    r, $D672,
    startD, INDEX(Calculation!B$2:B9627, r),
    endD,   INDEX(Calculation!C$2:C9627, r),
    asOf,   MIN($A672,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989495.2055</v>
      </c>
    </row>
    <row r="673">
      <c r="A673" s="19">
        <v>42908.0</v>
      </c>
      <c r="B673" s="23">
        <v>1.0765E7</v>
      </c>
      <c r="C673" s="23">
        <f t="shared" si="1"/>
        <v>990969.863</v>
      </c>
      <c r="D673" s="18">
        <f>IF(A673="","",MATCH(A673,Calculation!B$2:B9627,1))</f>
        <v>1</v>
      </c>
      <c r="E673" s="23">
        <f t="array" ref="E673">IF(D673="","",IF(D673=1,0,INDEX(Calculation!Q$2:Q9627,D673-1)))</f>
        <v>0</v>
      </c>
      <c r="F673" s="23">
        <f t="array" ref="F673">IF($A673="","",
  LET(
    r, $D673,
    startD, INDEX(Calculation!B$2:B9627, r),
    endD,   INDEX(Calculation!C$2:C9627, r),
    asOf,   MIN($A673,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990969.863</v>
      </c>
    </row>
    <row r="674">
      <c r="A674" s="19">
        <v>42909.0</v>
      </c>
      <c r="B674" s="23">
        <v>1.0765E7</v>
      </c>
      <c r="C674" s="23">
        <f t="shared" si="1"/>
        <v>992444.5205</v>
      </c>
      <c r="D674" s="18">
        <f>IF(A674="","",MATCH(A674,Calculation!B$2:B9627,1))</f>
        <v>1</v>
      </c>
      <c r="E674" s="23">
        <f t="array" ref="E674">IF(D674="","",IF(D674=1,0,INDEX(Calculation!Q$2:Q9627,D674-1)))</f>
        <v>0</v>
      </c>
      <c r="F674" s="23">
        <f t="array" ref="F674">IF($A674="","",
  LET(
    r, $D674,
    startD, INDEX(Calculation!B$2:B9627, r),
    endD,   INDEX(Calculation!C$2:C9627, r),
    asOf,   MIN($A674,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992444.5205</v>
      </c>
    </row>
    <row r="675">
      <c r="A675" s="19">
        <v>42910.0</v>
      </c>
      <c r="B675" s="23">
        <v>1.0765E7</v>
      </c>
      <c r="C675" s="23">
        <f t="shared" si="1"/>
        <v>993919.1781</v>
      </c>
      <c r="D675" s="18">
        <f>IF(A675="","",MATCH(A675,Calculation!B$2:B9627,1))</f>
        <v>1</v>
      </c>
      <c r="E675" s="23">
        <f t="array" ref="E675">IF(D675="","",IF(D675=1,0,INDEX(Calculation!Q$2:Q9627,D675-1)))</f>
        <v>0</v>
      </c>
      <c r="F675" s="23">
        <f t="array" ref="F675">IF($A675="","",
  LET(
    r, $D675,
    startD, INDEX(Calculation!B$2:B9627, r),
    endD,   INDEX(Calculation!C$2:C9627, r),
    asOf,   MIN($A675,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993919.1781</v>
      </c>
    </row>
    <row r="676">
      <c r="A676" s="19">
        <v>42911.0</v>
      </c>
      <c r="B676" s="23">
        <v>1.0765E7</v>
      </c>
      <c r="C676" s="23">
        <f t="shared" si="1"/>
        <v>995393.8356</v>
      </c>
      <c r="D676" s="18">
        <f>IF(A676="","",MATCH(A676,Calculation!B$2:B9627,1))</f>
        <v>1</v>
      </c>
      <c r="E676" s="23">
        <f t="array" ref="E676">IF(D676="","",IF(D676=1,0,INDEX(Calculation!Q$2:Q9627,D676-1)))</f>
        <v>0</v>
      </c>
      <c r="F676" s="23">
        <f t="array" ref="F676">IF($A676="","",
  LET(
    r, $D676,
    startD, INDEX(Calculation!B$2:B9627, r),
    endD,   INDEX(Calculation!C$2:C9627, r),
    asOf,   MIN($A676,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995393.8356</v>
      </c>
    </row>
    <row r="677">
      <c r="A677" s="19">
        <v>42912.0</v>
      </c>
      <c r="B677" s="23">
        <v>1.0765E7</v>
      </c>
      <c r="C677" s="23">
        <f t="shared" si="1"/>
        <v>996868.4932</v>
      </c>
      <c r="D677" s="18">
        <f>IF(A677="","",MATCH(A677,Calculation!B$2:B9627,1))</f>
        <v>1</v>
      </c>
      <c r="E677" s="23">
        <f t="array" ref="E677">IF(D677="","",IF(D677=1,0,INDEX(Calculation!Q$2:Q9627,D677-1)))</f>
        <v>0</v>
      </c>
      <c r="F677" s="23">
        <f t="array" ref="F677">IF($A677="","",
  LET(
    r, $D677,
    startD, INDEX(Calculation!B$2:B9627, r),
    endD,   INDEX(Calculation!C$2:C9627, r),
    asOf,   MIN($A677,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996868.4932</v>
      </c>
    </row>
    <row r="678">
      <c r="A678" s="19">
        <v>42913.0</v>
      </c>
      <c r="B678" s="23">
        <v>1.0765E7</v>
      </c>
      <c r="C678" s="23">
        <f t="shared" si="1"/>
        <v>998343.1507</v>
      </c>
      <c r="D678" s="18">
        <f>IF(A678="","",MATCH(A678,Calculation!B$2:B9627,1))</f>
        <v>1</v>
      </c>
      <c r="E678" s="23">
        <f t="array" ref="E678">IF(D678="","",IF(D678=1,0,INDEX(Calculation!Q$2:Q9627,D678-1)))</f>
        <v>0</v>
      </c>
      <c r="F678" s="23">
        <f t="array" ref="F678">IF($A678="","",
  LET(
    r, $D678,
    startD, INDEX(Calculation!B$2:B9627, r),
    endD,   INDEX(Calculation!C$2:C9627, r),
    asOf,   MIN($A678,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998343.1507</v>
      </c>
    </row>
    <row r="679">
      <c r="A679" s="19">
        <v>42914.0</v>
      </c>
      <c r="B679" s="23">
        <v>1.0765E7</v>
      </c>
      <c r="C679" s="23">
        <f t="shared" si="1"/>
        <v>999817.8082</v>
      </c>
      <c r="D679" s="18">
        <f>IF(A679="","",MATCH(A679,Calculation!B$2:B9627,1))</f>
        <v>1</v>
      </c>
      <c r="E679" s="23">
        <f t="array" ref="E679">IF(D679="","",IF(D679=1,0,INDEX(Calculation!Q$2:Q9627,D679-1)))</f>
        <v>0</v>
      </c>
      <c r="F679" s="23">
        <f t="array" ref="F679">IF($A679="","",
  LET(
    r, $D679,
    startD, INDEX(Calculation!B$2:B9627, r),
    endD,   INDEX(Calculation!C$2:C9627, r),
    asOf,   MIN($A679,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999817.8082</v>
      </c>
    </row>
    <row r="680">
      <c r="A680" s="19">
        <v>42915.0</v>
      </c>
      <c r="B680" s="23">
        <v>1.0765E7</v>
      </c>
      <c r="C680" s="23">
        <f t="shared" si="1"/>
        <v>1001292.466</v>
      </c>
      <c r="D680" s="18">
        <f>IF(A680="","",MATCH(A680,Calculation!B$2:B9627,1))</f>
        <v>1</v>
      </c>
      <c r="E680" s="23">
        <f t="array" ref="E680">IF(D680="","",IF(D680=1,0,INDEX(Calculation!Q$2:Q9627,D680-1)))</f>
        <v>0</v>
      </c>
      <c r="F680" s="23">
        <f t="array" ref="F680">IF($A680="","",
  LET(
    r, $D680,
    startD, INDEX(Calculation!B$2:B9627, r),
    endD,   INDEX(Calculation!C$2:C9627, r),
    asOf,   MIN($A680,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1001292.466</v>
      </c>
    </row>
    <row r="681">
      <c r="A681" s="19">
        <v>42916.0</v>
      </c>
      <c r="B681" s="23">
        <v>1.0765E7</v>
      </c>
      <c r="C681" s="23">
        <f t="shared" si="1"/>
        <v>1002767.123</v>
      </c>
      <c r="D681" s="18">
        <f>IF(A681="","",MATCH(A681,Calculation!B$2:B9627,1))</f>
        <v>1</v>
      </c>
      <c r="E681" s="23">
        <f t="array" ref="E681">IF(D681="","",IF(D681=1,0,INDEX(Calculation!Q$2:Q9627,D681-1)))</f>
        <v>0</v>
      </c>
      <c r="F681" s="23">
        <f t="array" ref="F681">IF($A681="","",
  LET(
    r, $D681,
    startD, INDEX(Calculation!B$2:B9627, r),
    endD,   INDEX(Calculation!C$2:C9627, r),
    asOf,   MIN($A681,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1002767.123</v>
      </c>
    </row>
    <row r="682">
      <c r="A682" s="19">
        <v>42917.0</v>
      </c>
      <c r="B682" s="23">
        <v>1.0765E7</v>
      </c>
      <c r="C682" s="23">
        <f t="shared" si="1"/>
        <v>1004241.781</v>
      </c>
      <c r="D682" s="18">
        <f>IF(A682="","",MATCH(A682,Calculation!B$2:B9627,1))</f>
        <v>1</v>
      </c>
      <c r="E682" s="23">
        <f t="array" ref="E682">IF(D682="","",IF(D682=1,0,INDEX(Calculation!Q$2:Q9627,D682-1)))</f>
        <v>0</v>
      </c>
      <c r="F682" s="23">
        <f t="array" ref="F682">IF($A682="","",
  LET(
    r, $D682,
    startD, INDEX(Calculation!B$2:B9627, r),
    endD,   INDEX(Calculation!C$2:C9627, r),
    asOf,   MIN($A682,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1004241.781</v>
      </c>
    </row>
    <row r="683">
      <c r="A683" s="19">
        <v>42918.0</v>
      </c>
      <c r="B683" s="23">
        <v>1.0765E7</v>
      </c>
      <c r="C683" s="23">
        <f t="shared" si="1"/>
        <v>1005716.438</v>
      </c>
      <c r="D683" s="18">
        <f>IF(A683="","",MATCH(A683,Calculation!B$2:B9627,1))</f>
        <v>1</v>
      </c>
      <c r="E683" s="23">
        <f t="array" ref="E683">IF(D683="","",IF(D683=1,0,INDEX(Calculation!Q$2:Q9627,D683-1)))</f>
        <v>0</v>
      </c>
      <c r="F683" s="23">
        <f t="array" ref="F683">IF($A683="","",
  LET(
    r, $D683,
    startD, INDEX(Calculation!B$2:B9627, r),
    endD,   INDEX(Calculation!C$2:C9627, r),
    asOf,   MIN($A683,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1005716.438</v>
      </c>
    </row>
    <row r="684">
      <c r="A684" s="19">
        <v>42919.0</v>
      </c>
      <c r="B684" s="23">
        <v>1.0765E7</v>
      </c>
      <c r="C684" s="23">
        <f t="shared" si="1"/>
        <v>1007191.096</v>
      </c>
      <c r="D684" s="18">
        <f>IF(A684="","",MATCH(A684,Calculation!B$2:B9627,1))</f>
        <v>1</v>
      </c>
      <c r="E684" s="23">
        <f t="array" ref="E684">IF(D684="","",IF(D684=1,0,INDEX(Calculation!Q$2:Q9627,D684-1)))</f>
        <v>0</v>
      </c>
      <c r="F684" s="23">
        <f t="array" ref="F684">IF($A684="","",
  LET(
    r, $D684,
    startD, INDEX(Calculation!B$2:B9627, r),
    endD,   INDEX(Calculation!C$2:C9627, r),
    asOf,   MIN($A684,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1007191.096</v>
      </c>
    </row>
    <row r="685">
      <c r="A685" s="19">
        <v>42920.0</v>
      </c>
      <c r="B685" s="23">
        <v>1.0765E7</v>
      </c>
      <c r="C685" s="23">
        <f t="shared" si="1"/>
        <v>1008665.753</v>
      </c>
      <c r="D685" s="18">
        <f>IF(A685="","",MATCH(A685,Calculation!B$2:B9627,1))</f>
        <v>1</v>
      </c>
      <c r="E685" s="23">
        <f t="array" ref="E685">IF(D685="","",IF(D685=1,0,INDEX(Calculation!Q$2:Q9627,D685-1)))</f>
        <v>0</v>
      </c>
      <c r="F685" s="23">
        <f t="array" ref="F685">IF($A685="","",
  LET(
    r, $D685,
    startD, INDEX(Calculation!B$2:B9627, r),
    endD,   INDEX(Calculation!C$2:C9627, r),
    asOf,   MIN($A685,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1008665.753</v>
      </c>
    </row>
    <row r="686">
      <c r="A686" s="19">
        <v>42921.0</v>
      </c>
      <c r="B686" s="23">
        <v>1.0765E7</v>
      </c>
      <c r="C686" s="23">
        <f t="shared" si="1"/>
        <v>1010140.411</v>
      </c>
      <c r="D686" s="18">
        <f>IF(A686="","",MATCH(A686,Calculation!B$2:B9627,1))</f>
        <v>1</v>
      </c>
      <c r="E686" s="23">
        <f t="array" ref="E686">IF(D686="","",IF(D686=1,0,INDEX(Calculation!Q$2:Q9627,D686-1)))</f>
        <v>0</v>
      </c>
      <c r="F686" s="23">
        <f t="array" ref="F686">IF($A686="","",
  LET(
    r, $D686,
    startD, INDEX(Calculation!B$2:B9627, r),
    endD,   INDEX(Calculation!C$2:C9627, r),
    asOf,   MIN($A686,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1010140.411</v>
      </c>
    </row>
    <row r="687">
      <c r="A687" s="19">
        <v>42922.0</v>
      </c>
      <c r="B687" s="23">
        <v>1.0765E7</v>
      </c>
      <c r="C687" s="23">
        <f t="shared" si="1"/>
        <v>1011615.068</v>
      </c>
      <c r="D687" s="18">
        <f>IF(A687="","",MATCH(A687,Calculation!B$2:B9627,1))</f>
        <v>1</v>
      </c>
      <c r="E687" s="23">
        <f t="array" ref="E687">IF(D687="","",IF(D687=1,0,INDEX(Calculation!Q$2:Q9627,D687-1)))</f>
        <v>0</v>
      </c>
      <c r="F687" s="23">
        <f t="array" ref="F687">IF($A687="","",
  LET(
    r, $D687,
    startD, INDEX(Calculation!B$2:B9627, r),
    endD,   INDEX(Calculation!C$2:C9627, r),
    asOf,   MIN($A687,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1011615.068</v>
      </c>
    </row>
    <row r="688">
      <c r="A688" s="19">
        <v>42923.0</v>
      </c>
      <c r="B688" s="23">
        <v>1.0765E7</v>
      </c>
      <c r="C688" s="23">
        <f t="shared" si="1"/>
        <v>1013089.726</v>
      </c>
      <c r="D688" s="18">
        <f>IF(A688="","",MATCH(A688,Calculation!B$2:B9627,1))</f>
        <v>1</v>
      </c>
      <c r="E688" s="23">
        <f t="array" ref="E688">IF(D688="","",IF(D688=1,0,INDEX(Calculation!Q$2:Q9627,D688-1)))</f>
        <v>0</v>
      </c>
      <c r="F688" s="23">
        <f t="array" ref="F688">IF($A688="","",
  LET(
    r, $D688,
    startD, INDEX(Calculation!B$2:B9627, r),
    endD,   INDEX(Calculation!C$2:C9627, r),
    asOf,   MIN($A688,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1013089.726</v>
      </c>
    </row>
    <row r="689">
      <c r="A689" s="19">
        <v>42924.0</v>
      </c>
      <c r="B689" s="23">
        <v>1.0765E7</v>
      </c>
      <c r="C689" s="23">
        <f t="shared" si="1"/>
        <v>1014564.384</v>
      </c>
      <c r="D689" s="18">
        <f>IF(A689="","",MATCH(A689,Calculation!B$2:B9627,1))</f>
        <v>1</v>
      </c>
      <c r="E689" s="23">
        <f t="array" ref="E689">IF(D689="","",IF(D689=1,0,INDEX(Calculation!Q$2:Q9627,D689-1)))</f>
        <v>0</v>
      </c>
      <c r="F689" s="23">
        <f t="array" ref="F689">IF($A689="","",
  LET(
    r, $D689,
    startD, INDEX(Calculation!B$2:B9627, r),
    endD,   INDEX(Calculation!C$2:C9627, r),
    asOf,   MIN($A689,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1014564.384</v>
      </c>
    </row>
    <row r="690">
      <c r="A690" s="19">
        <v>42925.0</v>
      </c>
      <c r="B690" s="23">
        <v>1.0765E7</v>
      </c>
      <c r="C690" s="23">
        <f t="shared" si="1"/>
        <v>1016039.041</v>
      </c>
      <c r="D690" s="18">
        <f>IF(A690="","",MATCH(A690,Calculation!B$2:B9627,1))</f>
        <v>1</v>
      </c>
      <c r="E690" s="23">
        <f t="array" ref="E690">IF(D690="","",IF(D690=1,0,INDEX(Calculation!Q$2:Q9627,D690-1)))</f>
        <v>0</v>
      </c>
      <c r="F690" s="23">
        <f t="array" ref="F690">IF($A690="","",
  LET(
    r, $D690,
    startD, INDEX(Calculation!B$2:B9627, r),
    endD,   INDEX(Calculation!C$2:C9627, r),
    asOf,   MIN($A690,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1016039.041</v>
      </c>
    </row>
    <row r="691">
      <c r="A691" s="19">
        <v>42926.0</v>
      </c>
      <c r="B691" s="23">
        <v>1.0765E7</v>
      </c>
      <c r="C691" s="23">
        <f t="shared" si="1"/>
        <v>1017513.699</v>
      </c>
      <c r="D691" s="18">
        <f>IF(A691="","",MATCH(A691,Calculation!B$2:B9627,1))</f>
        <v>1</v>
      </c>
      <c r="E691" s="23">
        <f t="array" ref="E691">IF(D691="","",IF(D691=1,0,INDEX(Calculation!Q$2:Q9627,D691-1)))</f>
        <v>0</v>
      </c>
      <c r="F691" s="23">
        <f t="array" ref="F691">IF($A691="","",
  LET(
    r, $D691,
    startD, INDEX(Calculation!B$2:B9627, r),
    endD,   INDEX(Calculation!C$2:C9627, r),
    asOf,   MIN($A691,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1017513.699</v>
      </c>
    </row>
    <row r="692">
      <c r="A692" s="19">
        <v>42927.0</v>
      </c>
      <c r="B692" s="23">
        <v>1.0765E7</v>
      </c>
      <c r="C692" s="23">
        <f t="shared" si="1"/>
        <v>1018988.356</v>
      </c>
      <c r="D692" s="18">
        <f>IF(A692="","",MATCH(A692,Calculation!B$2:B9627,1))</f>
        <v>1</v>
      </c>
      <c r="E692" s="23">
        <f t="array" ref="E692">IF(D692="","",IF(D692=1,0,INDEX(Calculation!Q$2:Q9627,D692-1)))</f>
        <v>0</v>
      </c>
      <c r="F692" s="23">
        <f t="array" ref="F692">IF($A692="","",
  LET(
    r, $D692,
    startD, INDEX(Calculation!B$2:B9627, r),
    endD,   INDEX(Calculation!C$2:C9627, r),
    asOf,   MIN($A692,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1018988.356</v>
      </c>
    </row>
    <row r="693">
      <c r="A693" s="19">
        <v>42928.0</v>
      </c>
      <c r="B693" s="23">
        <v>1.0765E7</v>
      </c>
      <c r="C693" s="23">
        <f t="shared" si="1"/>
        <v>1020463.014</v>
      </c>
      <c r="D693" s="18">
        <f>IF(A693="","",MATCH(A693,Calculation!B$2:B9627,1))</f>
        <v>1</v>
      </c>
      <c r="E693" s="23">
        <f t="array" ref="E693">IF(D693="","",IF(D693=1,0,INDEX(Calculation!Q$2:Q9627,D693-1)))</f>
        <v>0</v>
      </c>
      <c r="F693" s="23">
        <f t="array" ref="F693">IF($A693="","",
  LET(
    r, $D693,
    startD, INDEX(Calculation!B$2:B9627, r),
    endD,   INDEX(Calculation!C$2:C9627, r),
    asOf,   MIN($A693,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1020463.014</v>
      </c>
    </row>
    <row r="694">
      <c r="A694" s="19">
        <v>42929.0</v>
      </c>
      <c r="B694" s="23">
        <v>1.0765E7</v>
      </c>
      <c r="C694" s="23">
        <f t="shared" si="1"/>
        <v>1021937.671</v>
      </c>
      <c r="D694" s="18">
        <f>IF(A694="","",MATCH(A694,Calculation!B$2:B9627,1))</f>
        <v>1</v>
      </c>
      <c r="E694" s="23">
        <f t="array" ref="E694">IF(D694="","",IF(D694=1,0,INDEX(Calculation!Q$2:Q9627,D694-1)))</f>
        <v>0</v>
      </c>
      <c r="F694" s="23">
        <f t="array" ref="F694">IF($A694="","",
  LET(
    r, $D694,
    startD, INDEX(Calculation!B$2:B9627, r),
    endD,   INDEX(Calculation!C$2:C9627, r),
    asOf,   MIN($A694,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1021937.671</v>
      </c>
    </row>
    <row r="695">
      <c r="A695" s="19">
        <v>42930.0</v>
      </c>
      <c r="B695" s="23">
        <v>1.0765E7</v>
      </c>
      <c r="C695" s="23">
        <f t="shared" si="1"/>
        <v>1023412.329</v>
      </c>
      <c r="D695" s="18">
        <f>IF(A695="","",MATCH(A695,Calculation!B$2:B9627,1))</f>
        <v>1</v>
      </c>
      <c r="E695" s="23">
        <f t="array" ref="E695">IF(D695="","",IF(D695=1,0,INDEX(Calculation!Q$2:Q9627,D695-1)))</f>
        <v>0</v>
      </c>
      <c r="F695" s="23">
        <f t="array" ref="F695">IF($A695="","",
  LET(
    r, $D695,
    startD, INDEX(Calculation!B$2:B9627, r),
    endD,   INDEX(Calculation!C$2:C9627, r),
    asOf,   MIN($A695,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1023412.329</v>
      </c>
    </row>
    <row r="696">
      <c r="A696" s="19">
        <v>42931.0</v>
      </c>
      <c r="B696" s="23">
        <v>1.0765E7</v>
      </c>
      <c r="C696" s="23">
        <f t="shared" si="1"/>
        <v>1024886.986</v>
      </c>
      <c r="D696" s="18">
        <f>IF(A696="","",MATCH(A696,Calculation!B$2:B9627,1))</f>
        <v>1</v>
      </c>
      <c r="E696" s="23">
        <f t="array" ref="E696">IF(D696="","",IF(D696=1,0,INDEX(Calculation!Q$2:Q9627,D696-1)))</f>
        <v>0</v>
      </c>
      <c r="F696" s="23">
        <f t="array" ref="F696">IF($A696="","",
  LET(
    r, $D696,
    startD, INDEX(Calculation!B$2:B9627, r),
    endD,   INDEX(Calculation!C$2:C9627, r),
    asOf,   MIN($A696,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1024886.986</v>
      </c>
    </row>
    <row r="697">
      <c r="A697" s="19">
        <v>42932.0</v>
      </c>
      <c r="B697" s="23">
        <v>1.0765E7</v>
      </c>
      <c r="C697" s="23">
        <f t="shared" si="1"/>
        <v>1026361.644</v>
      </c>
      <c r="D697" s="18">
        <f>IF(A697="","",MATCH(A697,Calculation!B$2:B9627,1))</f>
        <v>1</v>
      </c>
      <c r="E697" s="23">
        <f t="array" ref="E697">IF(D697="","",IF(D697=1,0,INDEX(Calculation!Q$2:Q9627,D697-1)))</f>
        <v>0</v>
      </c>
      <c r="F697" s="23">
        <f t="array" ref="F697">IF($A697="","",
  LET(
    r, $D697,
    startD, INDEX(Calculation!B$2:B9627, r),
    endD,   INDEX(Calculation!C$2:C9627, r),
    asOf,   MIN($A697,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1026361.644</v>
      </c>
    </row>
    <row r="698">
      <c r="A698" s="19">
        <v>42933.0</v>
      </c>
      <c r="B698" s="23">
        <v>1.0765E7</v>
      </c>
      <c r="C698" s="23">
        <f t="shared" si="1"/>
        <v>1027836.301</v>
      </c>
      <c r="D698" s="18">
        <f>IF(A698="","",MATCH(A698,Calculation!B$2:B9627,1))</f>
        <v>1</v>
      </c>
      <c r="E698" s="23">
        <f t="array" ref="E698">IF(D698="","",IF(D698=1,0,INDEX(Calculation!Q$2:Q9627,D698-1)))</f>
        <v>0</v>
      </c>
      <c r="F698" s="23">
        <f t="array" ref="F698">IF($A698="","",
  LET(
    r, $D698,
    startD, INDEX(Calculation!B$2:B9627, r),
    endD,   INDEX(Calculation!C$2:C9627, r),
    asOf,   MIN($A698,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1027836.301</v>
      </c>
    </row>
    <row r="699">
      <c r="A699" s="19">
        <v>42934.0</v>
      </c>
      <c r="B699" s="23">
        <v>1.0765E7</v>
      </c>
      <c r="C699" s="23">
        <f t="shared" si="1"/>
        <v>1029310.959</v>
      </c>
      <c r="D699" s="18">
        <f>IF(A699="","",MATCH(A699,Calculation!B$2:B9627,1))</f>
        <v>1</v>
      </c>
      <c r="E699" s="23">
        <f t="array" ref="E699">IF(D699="","",IF(D699=1,0,INDEX(Calculation!Q$2:Q9627,D699-1)))</f>
        <v>0</v>
      </c>
      <c r="F699" s="23">
        <f t="array" ref="F699">IF($A699="","",
  LET(
    r, $D699,
    startD, INDEX(Calculation!B$2:B9627, r),
    endD,   INDEX(Calculation!C$2:C9627, r),
    asOf,   MIN($A699,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1029310.959</v>
      </c>
    </row>
    <row r="700">
      <c r="A700" s="19">
        <v>42935.0</v>
      </c>
      <c r="B700" s="23">
        <v>1.0765E7</v>
      </c>
      <c r="C700" s="23">
        <f t="shared" si="1"/>
        <v>1030785.616</v>
      </c>
      <c r="D700" s="18">
        <f>IF(A700="","",MATCH(A700,Calculation!B$2:B9627,1))</f>
        <v>1</v>
      </c>
      <c r="E700" s="23">
        <f t="array" ref="E700">IF(D700="","",IF(D700=1,0,INDEX(Calculation!Q$2:Q9627,D700-1)))</f>
        <v>0</v>
      </c>
      <c r="F700" s="23">
        <f t="array" ref="F700">IF($A700="","",
  LET(
    r, $D700,
    startD, INDEX(Calculation!B$2:B9627, r),
    endD,   INDEX(Calculation!C$2:C9627, r),
    asOf,   MIN($A700,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1030785.616</v>
      </c>
    </row>
    <row r="701">
      <c r="A701" s="19">
        <v>42936.0</v>
      </c>
      <c r="B701" s="23">
        <v>1.0765E7</v>
      </c>
      <c r="C701" s="23">
        <f t="shared" si="1"/>
        <v>1032260.274</v>
      </c>
      <c r="D701" s="18">
        <f>IF(A701="","",MATCH(A701,Calculation!B$2:B9627,1))</f>
        <v>1</v>
      </c>
      <c r="E701" s="23">
        <f t="array" ref="E701">IF(D701="","",IF(D701=1,0,INDEX(Calculation!Q$2:Q9627,D701-1)))</f>
        <v>0</v>
      </c>
      <c r="F701" s="23">
        <f t="array" ref="F701">IF($A701="","",
  LET(
    r, $D701,
    startD, INDEX(Calculation!B$2:B9627, r),
    endD,   INDEX(Calculation!C$2:C9627, r),
    asOf,   MIN($A701,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1032260.274</v>
      </c>
    </row>
    <row r="702">
      <c r="A702" s="19">
        <v>42937.0</v>
      </c>
      <c r="B702" s="23">
        <v>1.0765E7</v>
      </c>
      <c r="C702" s="23">
        <f t="shared" si="1"/>
        <v>1033734.932</v>
      </c>
      <c r="D702" s="18">
        <f>IF(A702="","",MATCH(A702,Calculation!B$2:B9627,1))</f>
        <v>1</v>
      </c>
      <c r="E702" s="23">
        <f t="array" ref="E702">IF(D702="","",IF(D702=1,0,INDEX(Calculation!Q$2:Q9627,D702-1)))</f>
        <v>0</v>
      </c>
      <c r="F702" s="23">
        <f t="array" ref="F702">IF($A702="","",
  LET(
    r, $D702,
    startD, INDEX(Calculation!B$2:B9627, r),
    endD,   INDEX(Calculation!C$2:C9627, r),
    asOf,   MIN($A702,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1033734.932</v>
      </c>
    </row>
    <row r="703">
      <c r="A703" s="19">
        <v>42938.0</v>
      </c>
      <c r="B703" s="23">
        <v>1.0765E7</v>
      </c>
      <c r="C703" s="23">
        <f t="shared" si="1"/>
        <v>1035209.589</v>
      </c>
      <c r="D703" s="18">
        <f>IF(A703="","",MATCH(A703,Calculation!B$2:B9627,1))</f>
        <v>1</v>
      </c>
      <c r="E703" s="23">
        <f t="array" ref="E703">IF(D703="","",IF(D703=1,0,INDEX(Calculation!Q$2:Q9627,D703-1)))</f>
        <v>0</v>
      </c>
      <c r="F703" s="23">
        <f t="array" ref="F703">IF($A703="","",
  LET(
    r, $D703,
    startD, INDEX(Calculation!B$2:B9627, r),
    endD,   INDEX(Calculation!C$2:C9627, r),
    asOf,   MIN($A703,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1035209.589</v>
      </c>
    </row>
    <row r="704">
      <c r="A704" s="19">
        <v>42939.0</v>
      </c>
      <c r="B704" s="23">
        <v>1.0765E7</v>
      </c>
      <c r="C704" s="23">
        <f t="shared" si="1"/>
        <v>1036684.247</v>
      </c>
      <c r="D704" s="18">
        <f>IF(A704="","",MATCH(A704,Calculation!B$2:B9627,1))</f>
        <v>1</v>
      </c>
      <c r="E704" s="23">
        <f t="array" ref="E704">IF(D704="","",IF(D704=1,0,INDEX(Calculation!Q$2:Q9627,D704-1)))</f>
        <v>0</v>
      </c>
      <c r="F704" s="23">
        <f t="array" ref="F704">IF($A704="","",
  LET(
    r, $D704,
    startD, INDEX(Calculation!B$2:B9627, r),
    endD,   INDEX(Calculation!C$2:C9627, r),
    asOf,   MIN($A704,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1036684.247</v>
      </c>
    </row>
    <row r="705">
      <c r="A705" s="19">
        <v>42940.0</v>
      </c>
      <c r="B705" s="23">
        <v>1.0765E7</v>
      </c>
      <c r="C705" s="23">
        <f t="shared" si="1"/>
        <v>1038158.904</v>
      </c>
      <c r="D705" s="18">
        <f>IF(A705="","",MATCH(A705,Calculation!B$2:B9627,1))</f>
        <v>1</v>
      </c>
      <c r="E705" s="23">
        <f t="array" ref="E705">IF(D705="","",IF(D705=1,0,INDEX(Calculation!Q$2:Q9627,D705-1)))</f>
        <v>0</v>
      </c>
      <c r="F705" s="23">
        <f t="array" ref="F705">IF($A705="","",
  LET(
    r, $D705,
    startD, INDEX(Calculation!B$2:B9627, r),
    endD,   INDEX(Calculation!C$2:C9627, r),
    asOf,   MIN($A705,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1038158.904</v>
      </c>
    </row>
    <row r="706">
      <c r="A706" s="19">
        <v>42941.0</v>
      </c>
      <c r="B706" s="23">
        <v>1.0765E7</v>
      </c>
      <c r="C706" s="23">
        <f t="shared" si="1"/>
        <v>1039633.562</v>
      </c>
      <c r="D706" s="18">
        <f>IF(A706="","",MATCH(A706,Calculation!B$2:B9627,1))</f>
        <v>1</v>
      </c>
      <c r="E706" s="23">
        <f t="array" ref="E706">IF(D706="","",IF(D706=1,0,INDEX(Calculation!Q$2:Q9627,D706-1)))</f>
        <v>0</v>
      </c>
      <c r="F706" s="23">
        <f t="array" ref="F706">IF($A706="","",
  LET(
    r, $D706,
    startD, INDEX(Calculation!B$2:B9627, r),
    endD,   INDEX(Calculation!C$2:C9627, r),
    asOf,   MIN($A706,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1039633.562</v>
      </c>
    </row>
    <row r="707">
      <c r="A707" s="19">
        <v>42942.0</v>
      </c>
      <c r="B707" s="23">
        <v>1.0765E7</v>
      </c>
      <c r="C707" s="23">
        <f t="shared" si="1"/>
        <v>1041108.219</v>
      </c>
      <c r="D707" s="18">
        <f>IF(A707="","",MATCH(A707,Calculation!B$2:B9627,1))</f>
        <v>1</v>
      </c>
      <c r="E707" s="23">
        <f t="array" ref="E707">IF(D707="","",IF(D707=1,0,INDEX(Calculation!Q$2:Q9627,D707-1)))</f>
        <v>0</v>
      </c>
      <c r="F707" s="23">
        <f t="array" ref="F707">IF($A707="","",
  LET(
    r, $D707,
    startD, INDEX(Calculation!B$2:B9627, r),
    endD,   INDEX(Calculation!C$2:C9627, r),
    asOf,   MIN($A707,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1041108.219</v>
      </c>
    </row>
    <row r="708">
      <c r="A708" s="19">
        <v>42943.0</v>
      </c>
      <c r="B708" s="23">
        <v>1.0765E7</v>
      </c>
      <c r="C708" s="23">
        <f t="shared" si="1"/>
        <v>1042582.877</v>
      </c>
      <c r="D708" s="18">
        <f>IF(A708="","",MATCH(A708,Calculation!B$2:B9627,1))</f>
        <v>1</v>
      </c>
      <c r="E708" s="23">
        <f t="array" ref="E708">IF(D708="","",IF(D708=1,0,INDEX(Calculation!Q$2:Q9627,D708-1)))</f>
        <v>0</v>
      </c>
      <c r="F708" s="23">
        <f t="array" ref="F708">IF($A708="","",
  LET(
    r, $D708,
    startD, INDEX(Calculation!B$2:B9627, r),
    endD,   INDEX(Calculation!C$2:C9627, r),
    asOf,   MIN($A708,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1042582.877</v>
      </c>
    </row>
    <row r="709">
      <c r="A709" s="19">
        <v>42944.0</v>
      </c>
      <c r="B709" s="23">
        <v>1.0765E7</v>
      </c>
      <c r="C709" s="23">
        <f t="shared" si="1"/>
        <v>1044057.534</v>
      </c>
      <c r="D709" s="18">
        <f>IF(A709="","",MATCH(A709,Calculation!B$2:B9627,1))</f>
        <v>1</v>
      </c>
      <c r="E709" s="23">
        <f t="array" ref="E709">IF(D709="","",IF(D709=1,0,INDEX(Calculation!Q$2:Q9627,D709-1)))</f>
        <v>0</v>
      </c>
      <c r="F709" s="23">
        <f t="array" ref="F709">IF($A709="","",
  LET(
    r, $D709,
    startD, INDEX(Calculation!B$2:B9627, r),
    endD,   INDEX(Calculation!C$2:C9627, r),
    asOf,   MIN($A709,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1044057.534</v>
      </c>
    </row>
    <row r="710">
      <c r="A710" s="19">
        <v>42945.0</v>
      </c>
      <c r="B710" s="23">
        <v>1.0765E7</v>
      </c>
      <c r="C710" s="23">
        <f t="shared" si="1"/>
        <v>1045532.192</v>
      </c>
      <c r="D710" s="18">
        <f>IF(A710="","",MATCH(A710,Calculation!B$2:B9627,1))</f>
        <v>1</v>
      </c>
      <c r="E710" s="23">
        <f t="array" ref="E710">IF(D710="","",IF(D710=1,0,INDEX(Calculation!Q$2:Q9627,D710-1)))</f>
        <v>0</v>
      </c>
      <c r="F710" s="23">
        <f t="array" ref="F710">IF($A710="","",
  LET(
    r, $D710,
    startD, INDEX(Calculation!B$2:B9627, r),
    endD,   INDEX(Calculation!C$2:C9627, r),
    asOf,   MIN($A710,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1045532.192</v>
      </c>
    </row>
    <row r="711">
      <c r="A711" s="19">
        <v>42946.0</v>
      </c>
      <c r="B711" s="23">
        <v>1.0765E7</v>
      </c>
      <c r="C711" s="23">
        <f t="shared" si="1"/>
        <v>1047006.849</v>
      </c>
      <c r="D711" s="18">
        <f>IF(A711="","",MATCH(A711,Calculation!B$2:B9627,1))</f>
        <v>1</v>
      </c>
      <c r="E711" s="23">
        <f t="array" ref="E711">IF(D711="","",IF(D711=1,0,INDEX(Calculation!Q$2:Q9627,D711-1)))</f>
        <v>0</v>
      </c>
      <c r="F711" s="23">
        <f t="array" ref="F711">IF($A711="","",
  LET(
    r, $D711,
    startD, INDEX(Calculation!B$2:B9627, r),
    endD,   INDEX(Calculation!C$2:C9627, r),
    asOf,   MIN($A711,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1047006.849</v>
      </c>
    </row>
    <row r="712">
      <c r="A712" s="19">
        <v>42947.0</v>
      </c>
      <c r="B712" s="23">
        <v>1.0765E7</v>
      </c>
      <c r="C712" s="23">
        <f t="shared" si="1"/>
        <v>1048481.507</v>
      </c>
      <c r="D712" s="18">
        <f>IF(A712="","",MATCH(A712,Calculation!B$2:B9627,1))</f>
        <v>1</v>
      </c>
      <c r="E712" s="23">
        <f t="array" ref="E712">IF(D712="","",IF(D712=1,0,INDEX(Calculation!Q$2:Q9627,D712-1)))</f>
        <v>0</v>
      </c>
      <c r="F712" s="23">
        <f t="array" ref="F712">IF($A712="","",
  LET(
    r, $D712,
    startD, INDEX(Calculation!B$2:B9627, r),
    endD,   INDEX(Calculation!C$2:C9627, r),
    asOf,   MIN($A712,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1048481.507</v>
      </c>
    </row>
    <row r="713">
      <c r="A713" s="19">
        <v>42948.0</v>
      </c>
      <c r="B713" s="23">
        <v>1.0765E7</v>
      </c>
      <c r="C713" s="23">
        <f t="shared" si="1"/>
        <v>1049956.164</v>
      </c>
      <c r="D713" s="18">
        <f>IF(A713="","",MATCH(A713,Calculation!B$2:B9627,1))</f>
        <v>1</v>
      </c>
      <c r="E713" s="23">
        <f t="array" ref="E713">IF(D713="","",IF(D713=1,0,INDEX(Calculation!Q$2:Q9627,D713-1)))</f>
        <v>0</v>
      </c>
      <c r="F713" s="23">
        <f t="array" ref="F713">IF($A713="","",
  LET(
    r, $D713,
    startD, INDEX(Calculation!B$2:B9627, r),
    endD,   INDEX(Calculation!C$2:C9627, r),
    asOf,   MIN($A713,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1049956.164</v>
      </c>
    </row>
    <row r="714">
      <c r="A714" s="19">
        <v>42949.0</v>
      </c>
      <c r="B714" s="23">
        <v>1.0765E7</v>
      </c>
      <c r="C714" s="23">
        <f t="shared" si="1"/>
        <v>1051430.822</v>
      </c>
      <c r="D714" s="18">
        <f>IF(A714="","",MATCH(A714,Calculation!B$2:B9627,1))</f>
        <v>1</v>
      </c>
      <c r="E714" s="23">
        <f t="array" ref="E714">IF(D714="","",IF(D714=1,0,INDEX(Calculation!Q$2:Q9627,D714-1)))</f>
        <v>0</v>
      </c>
      <c r="F714" s="23">
        <f t="array" ref="F714">IF($A714="","",
  LET(
    r, $D714,
    startD, INDEX(Calculation!B$2:B9627, r),
    endD,   INDEX(Calculation!C$2:C9627, r),
    asOf,   MIN($A714,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1051430.822</v>
      </c>
    </row>
    <row r="715">
      <c r="A715" s="19">
        <v>42950.0</v>
      </c>
      <c r="B715" s="23">
        <v>1.0765E7</v>
      </c>
      <c r="C715" s="23">
        <f t="shared" si="1"/>
        <v>1052905.479</v>
      </c>
      <c r="D715" s="18">
        <f>IF(A715="","",MATCH(A715,Calculation!B$2:B9627,1))</f>
        <v>1</v>
      </c>
      <c r="E715" s="23">
        <f t="array" ref="E715">IF(D715="","",IF(D715=1,0,INDEX(Calculation!Q$2:Q9627,D715-1)))</f>
        <v>0</v>
      </c>
      <c r="F715" s="23">
        <f t="array" ref="F715">IF($A715="","",
  LET(
    r, $D715,
    startD, INDEX(Calculation!B$2:B9627, r),
    endD,   INDEX(Calculation!C$2:C9627, r),
    asOf,   MIN($A715,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1052905.479</v>
      </c>
    </row>
    <row r="716">
      <c r="A716" s="19">
        <v>42951.0</v>
      </c>
      <c r="B716" s="23">
        <v>1.0765E7</v>
      </c>
      <c r="C716" s="23">
        <f t="shared" si="1"/>
        <v>1054380.137</v>
      </c>
      <c r="D716" s="18">
        <f>IF(A716="","",MATCH(A716,Calculation!B$2:B9627,1))</f>
        <v>1</v>
      </c>
      <c r="E716" s="23">
        <f t="array" ref="E716">IF(D716="","",IF(D716=1,0,INDEX(Calculation!Q$2:Q9627,D716-1)))</f>
        <v>0</v>
      </c>
      <c r="F716" s="23">
        <f t="array" ref="F716">IF($A716="","",
  LET(
    r, $D716,
    startD, INDEX(Calculation!B$2:B9627, r),
    endD,   INDEX(Calculation!C$2:C9627, r),
    asOf,   MIN($A716,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1054380.137</v>
      </c>
    </row>
    <row r="717">
      <c r="A717" s="19">
        <v>42952.0</v>
      </c>
      <c r="B717" s="23">
        <v>1.0765E7</v>
      </c>
      <c r="C717" s="23">
        <f t="shared" si="1"/>
        <v>1055854.795</v>
      </c>
      <c r="D717" s="18">
        <f>IF(A717="","",MATCH(A717,Calculation!B$2:B9627,1))</f>
        <v>1</v>
      </c>
      <c r="E717" s="23">
        <f t="array" ref="E717">IF(D717="","",IF(D717=1,0,INDEX(Calculation!Q$2:Q9627,D717-1)))</f>
        <v>0</v>
      </c>
      <c r="F717" s="23">
        <f t="array" ref="F717">IF($A717="","",
  LET(
    r, $D717,
    startD, INDEX(Calculation!B$2:B9627, r),
    endD,   INDEX(Calculation!C$2:C9627, r),
    asOf,   MIN($A717,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1055854.795</v>
      </c>
    </row>
    <row r="718">
      <c r="A718" s="19">
        <v>42953.0</v>
      </c>
      <c r="B718" s="23">
        <v>1.0765E7</v>
      </c>
      <c r="C718" s="23">
        <f t="shared" si="1"/>
        <v>1057329.452</v>
      </c>
      <c r="D718" s="18">
        <f>IF(A718="","",MATCH(A718,Calculation!B$2:B9627,1))</f>
        <v>1</v>
      </c>
      <c r="E718" s="23">
        <f t="array" ref="E718">IF(D718="","",IF(D718=1,0,INDEX(Calculation!Q$2:Q9627,D718-1)))</f>
        <v>0</v>
      </c>
      <c r="F718" s="23">
        <f t="array" ref="F718">IF($A718="","",
  LET(
    r, $D718,
    startD, INDEX(Calculation!B$2:B9627, r),
    endD,   INDEX(Calculation!C$2:C9627, r),
    asOf,   MIN($A718,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1057329.452</v>
      </c>
    </row>
    <row r="719">
      <c r="A719" s="19">
        <v>42954.0</v>
      </c>
      <c r="B719" s="23">
        <v>1.0765E7</v>
      </c>
      <c r="C719" s="23">
        <f t="shared" si="1"/>
        <v>1058804.11</v>
      </c>
      <c r="D719" s="18">
        <f>IF(A719="","",MATCH(A719,Calculation!B$2:B9627,1))</f>
        <v>1</v>
      </c>
      <c r="E719" s="23">
        <f t="array" ref="E719">IF(D719="","",IF(D719=1,0,INDEX(Calculation!Q$2:Q9627,D719-1)))</f>
        <v>0</v>
      </c>
      <c r="F719" s="23">
        <f t="array" ref="F719">IF($A719="","",
  LET(
    r, $D719,
    startD, INDEX(Calculation!B$2:B9627, r),
    endD,   INDEX(Calculation!C$2:C9627, r),
    asOf,   MIN($A719,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1058804.11</v>
      </c>
    </row>
    <row r="720">
      <c r="A720" s="19">
        <v>42955.0</v>
      </c>
      <c r="B720" s="23">
        <v>1.0765E7</v>
      </c>
      <c r="C720" s="23">
        <f t="shared" si="1"/>
        <v>1060278.767</v>
      </c>
      <c r="D720" s="18">
        <f>IF(A720="","",MATCH(A720,Calculation!B$2:B9627,1))</f>
        <v>1</v>
      </c>
      <c r="E720" s="23">
        <f t="array" ref="E720">IF(D720="","",IF(D720=1,0,INDEX(Calculation!Q$2:Q9627,D720-1)))</f>
        <v>0</v>
      </c>
      <c r="F720" s="23">
        <f t="array" ref="F720">IF($A720="","",
  LET(
    r, $D720,
    startD, INDEX(Calculation!B$2:B9627, r),
    endD,   INDEX(Calculation!C$2:C9627, r),
    asOf,   MIN($A720,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1060278.767</v>
      </c>
    </row>
    <row r="721">
      <c r="A721" s="19">
        <v>42956.0</v>
      </c>
      <c r="B721" s="23">
        <v>1.0765E7</v>
      </c>
      <c r="C721" s="23">
        <f t="shared" si="1"/>
        <v>1061753.425</v>
      </c>
      <c r="D721" s="18">
        <f>IF(A721="","",MATCH(A721,Calculation!B$2:B9627,1))</f>
        <v>1</v>
      </c>
      <c r="E721" s="23">
        <f t="array" ref="E721">IF(D721="","",IF(D721=1,0,INDEX(Calculation!Q$2:Q9627,D721-1)))</f>
        <v>0</v>
      </c>
      <c r="F721" s="23">
        <f t="array" ref="F721">IF($A721="","",
  LET(
    r, $D721,
    startD, INDEX(Calculation!B$2:B9627, r),
    endD,   INDEX(Calculation!C$2:C9627, r),
    asOf,   MIN($A721,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1061753.425</v>
      </c>
    </row>
    <row r="722">
      <c r="A722" s="19">
        <v>42957.0</v>
      </c>
      <c r="B722" s="23">
        <v>1.0765E7</v>
      </c>
      <c r="C722" s="23">
        <f t="shared" si="1"/>
        <v>1063228.082</v>
      </c>
      <c r="D722" s="18">
        <f>IF(A722="","",MATCH(A722,Calculation!B$2:B9627,1))</f>
        <v>1</v>
      </c>
      <c r="E722" s="23">
        <f t="array" ref="E722">IF(D722="","",IF(D722=1,0,INDEX(Calculation!Q$2:Q9627,D722-1)))</f>
        <v>0</v>
      </c>
      <c r="F722" s="23">
        <f t="array" ref="F722">IF($A722="","",
  LET(
    r, $D722,
    startD, INDEX(Calculation!B$2:B9627, r),
    endD,   INDEX(Calculation!C$2:C9627, r),
    asOf,   MIN($A722,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1063228.082</v>
      </c>
    </row>
    <row r="723">
      <c r="A723" s="19">
        <v>42958.0</v>
      </c>
      <c r="B723" s="23">
        <v>1.0765E7</v>
      </c>
      <c r="C723" s="23">
        <f t="shared" si="1"/>
        <v>1064702.74</v>
      </c>
      <c r="D723" s="18">
        <f>IF(A723="","",MATCH(A723,Calculation!B$2:B9627,1))</f>
        <v>1</v>
      </c>
      <c r="E723" s="23">
        <f t="array" ref="E723">IF(D723="","",IF(D723=1,0,INDEX(Calculation!Q$2:Q9627,D723-1)))</f>
        <v>0</v>
      </c>
      <c r="F723" s="23">
        <f t="array" ref="F723">IF($A723="","",
  LET(
    r, $D723,
    startD, INDEX(Calculation!B$2:B9627, r),
    endD,   INDEX(Calculation!C$2:C9627, r),
    asOf,   MIN($A723,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1064702.74</v>
      </c>
    </row>
    <row r="724">
      <c r="A724" s="19">
        <v>42959.0</v>
      </c>
      <c r="B724" s="23">
        <v>1.0765E7</v>
      </c>
      <c r="C724" s="23">
        <f t="shared" si="1"/>
        <v>1066177.397</v>
      </c>
      <c r="D724" s="18">
        <f>IF(A724="","",MATCH(A724,Calculation!B$2:B9627,1))</f>
        <v>1</v>
      </c>
      <c r="E724" s="23">
        <f t="array" ref="E724">IF(D724="","",IF(D724=1,0,INDEX(Calculation!Q$2:Q9627,D724-1)))</f>
        <v>0</v>
      </c>
      <c r="F724" s="23">
        <f t="array" ref="F724">IF($A724="","",
  LET(
    r, $D724,
    startD, INDEX(Calculation!B$2:B9627, r),
    endD,   INDEX(Calculation!C$2:C9627, r),
    asOf,   MIN($A724,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1066177.397</v>
      </c>
    </row>
    <row r="725">
      <c r="A725" s="19">
        <v>42960.0</v>
      </c>
      <c r="B725" s="23">
        <v>1.0765E7</v>
      </c>
      <c r="C725" s="23">
        <f t="shared" si="1"/>
        <v>1067652.055</v>
      </c>
      <c r="D725" s="18">
        <f>IF(A725="","",MATCH(A725,Calculation!B$2:B9627,1))</f>
        <v>1</v>
      </c>
      <c r="E725" s="23">
        <f t="array" ref="E725">IF(D725="","",IF(D725=1,0,INDEX(Calculation!Q$2:Q9627,D725-1)))</f>
        <v>0</v>
      </c>
      <c r="F725" s="23">
        <f t="array" ref="F725">IF($A725="","",
  LET(
    r, $D725,
    startD, INDEX(Calculation!B$2:B9627, r),
    endD,   INDEX(Calculation!C$2:C9627, r),
    asOf,   MIN($A725,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1067652.055</v>
      </c>
    </row>
    <row r="726">
      <c r="A726" s="19">
        <v>42961.0</v>
      </c>
      <c r="B726" s="23">
        <v>1.0765E7</v>
      </c>
      <c r="C726" s="23">
        <f t="shared" si="1"/>
        <v>1069126.712</v>
      </c>
      <c r="D726" s="18">
        <f>IF(A726="","",MATCH(A726,Calculation!B$2:B9627,1))</f>
        <v>1</v>
      </c>
      <c r="E726" s="23">
        <f t="array" ref="E726">IF(D726="","",IF(D726=1,0,INDEX(Calculation!Q$2:Q9627,D726-1)))</f>
        <v>0</v>
      </c>
      <c r="F726" s="23">
        <f t="array" ref="F726">IF($A726="","",
  LET(
    r, $D726,
    startD, INDEX(Calculation!B$2:B9627, r),
    endD,   INDEX(Calculation!C$2:C9627, r),
    asOf,   MIN($A726,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1069126.712</v>
      </c>
    </row>
    <row r="727">
      <c r="A727" s="19">
        <v>42962.0</v>
      </c>
      <c r="B727" s="23">
        <v>1.0765E7</v>
      </c>
      <c r="C727" s="23">
        <f t="shared" si="1"/>
        <v>1070601.37</v>
      </c>
      <c r="D727" s="18">
        <f>IF(A727="","",MATCH(A727,Calculation!B$2:B9627,1))</f>
        <v>1</v>
      </c>
      <c r="E727" s="23">
        <f t="array" ref="E727">IF(D727="","",IF(D727=1,0,INDEX(Calculation!Q$2:Q9627,D727-1)))</f>
        <v>0</v>
      </c>
      <c r="F727" s="23">
        <f t="array" ref="F727">IF($A727="","",
  LET(
    r, $D727,
    startD, INDEX(Calculation!B$2:B9627, r),
    endD,   INDEX(Calculation!C$2:C9627, r),
    asOf,   MIN($A727,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1070601.37</v>
      </c>
    </row>
    <row r="728">
      <c r="A728" s="19">
        <v>42963.0</v>
      </c>
      <c r="B728" s="23">
        <v>1.0765E7</v>
      </c>
      <c r="C728" s="23">
        <f t="shared" si="1"/>
        <v>1072076.027</v>
      </c>
      <c r="D728" s="18">
        <f>IF(A728="","",MATCH(A728,Calculation!B$2:B9627,1))</f>
        <v>1</v>
      </c>
      <c r="E728" s="23">
        <f t="array" ref="E728">IF(D728="","",IF(D728=1,0,INDEX(Calculation!Q$2:Q9627,D728-1)))</f>
        <v>0</v>
      </c>
      <c r="F728" s="23">
        <f t="array" ref="F728">IF($A728="","",
  LET(
    r, $D728,
    startD, INDEX(Calculation!B$2:B9627, r),
    endD,   INDEX(Calculation!C$2:C9627, r),
    asOf,   MIN($A728,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1072076.027</v>
      </c>
    </row>
    <row r="729">
      <c r="A729" s="19">
        <v>42964.0</v>
      </c>
      <c r="B729" s="23">
        <v>1.0765E7</v>
      </c>
      <c r="C729" s="23">
        <f t="shared" si="1"/>
        <v>1073550.685</v>
      </c>
      <c r="D729" s="18">
        <f>IF(A729="","",MATCH(A729,Calculation!B$2:B9627,1))</f>
        <v>1</v>
      </c>
      <c r="E729" s="23">
        <f t="array" ref="E729">IF(D729="","",IF(D729=1,0,INDEX(Calculation!Q$2:Q9627,D729-1)))</f>
        <v>0</v>
      </c>
      <c r="F729" s="23">
        <f t="array" ref="F729">IF($A729="","",
  LET(
    r, $D729,
    startD, INDEX(Calculation!B$2:B9627, r),
    endD,   INDEX(Calculation!C$2:C9627, r),
    asOf,   MIN($A729,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1073550.685</v>
      </c>
    </row>
    <row r="730">
      <c r="A730" s="19">
        <v>42965.0</v>
      </c>
      <c r="B730" s="23">
        <v>1.0765E7</v>
      </c>
      <c r="C730" s="23">
        <f t="shared" si="1"/>
        <v>1075025.342</v>
      </c>
      <c r="D730" s="18">
        <f>IF(A730="","",MATCH(A730,Calculation!B$2:B9627,1))</f>
        <v>1</v>
      </c>
      <c r="E730" s="23">
        <f t="array" ref="E730">IF(D730="","",IF(D730=1,0,INDEX(Calculation!Q$2:Q9627,D730-1)))</f>
        <v>0</v>
      </c>
      <c r="F730" s="23">
        <f t="array" ref="F730">IF($A730="","",
  LET(
    r, $D730,
    startD, INDEX(Calculation!B$2:B9627, r),
    endD,   INDEX(Calculation!C$2:C9627, r),
    asOf,   MIN($A730,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1075025.342</v>
      </c>
    </row>
    <row r="731">
      <c r="A731" s="19">
        <v>42966.0</v>
      </c>
      <c r="B731" s="23">
        <v>1.0765E7</v>
      </c>
      <c r="C731" s="23">
        <f t="shared" si="1"/>
        <v>1076500</v>
      </c>
      <c r="D731" s="18">
        <f>IF(A731="","",MATCH(A731,Calculation!B$2:B9627,1))</f>
        <v>1</v>
      </c>
      <c r="E731" s="23">
        <f t="array" ref="E731">IF(D731="","",IF(D731=1,0,INDEX(Calculation!Q$2:Q9627,D731-1)))</f>
        <v>0</v>
      </c>
      <c r="F731" s="23">
        <f t="array" ref="F731">IF($A731="","",
  LET(
    r, $D731,
    startD, INDEX(Calculation!B$2:B9627, r),
    endD,   INDEX(Calculation!C$2:C9627, r),
    asOf,   MIN($A731,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1076500</v>
      </c>
    </row>
    <row r="732">
      <c r="A732" s="19">
        <v>42967.0</v>
      </c>
      <c r="B732" s="23">
        <v>1.0765E7</v>
      </c>
      <c r="C732" s="23">
        <f t="shared" si="1"/>
        <v>1077974.658</v>
      </c>
      <c r="D732" s="18">
        <f>IF(A732="","",MATCH(A732,Calculation!B$2:B9627,1))</f>
        <v>1</v>
      </c>
      <c r="E732" s="23">
        <f t="array" ref="E732">IF(D732="","",IF(D732=1,0,INDEX(Calculation!Q$2:Q9627,D732-1)))</f>
        <v>0</v>
      </c>
      <c r="F732" s="23">
        <f t="array" ref="F732">IF($A732="","",
  LET(
    r, $D732,
    startD, INDEX(Calculation!B$2:B9627, r),
    endD,   INDEX(Calculation!C$2:C9627, r),
    asOf,   MIN($A732,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1077974.658</v>
      </c>
    </row>
    <row r="733">
      <c r="A733" s="19">
        <v>42968.0</v>
      </c>
      <c r="B733" s="23">
        <v>1.0765E7</v>
      </c>
      <c r="C733" s="23">
        <f t="shared" si="1"/>
        <v>1079449.315</v>
      </c>
      <c r="D733" s="18">
        <f>IF(A733="","",MATCH(A733,Calculation!B$2:B9627,1))</f>
        <v>1</v>
      </c>
      <c r="E733" s="23">
        <f t="array" ref="E733">IF(D733="","",IF(D733=1,0,INDEX(Calculation!Q$2:Q9627,D733-1)))</f>
        <v>0</v>
      </c>
      <c r="F733" s="23">
        <f t="array" ref="F733">IF($A733="","",
  LET(
    r, $D733,
    startD, INDEX(Calculation!B$2:B9627, r),
    endD,   INDEX(Calculation!C$2:C9627, r),
    asOf,   MIN($A733,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1079449.315</v>
      </c>
    </row>
    <row r="734">
      <c r="A734" s="19">
        <v>42969.0</v>
      </c>
      <c r="B734" s="23">
        <v>1.0765E7</v>
      </c>
      <c r="C734" s="23">
        <f t="shared" si="1"/>
        <v>1080923.973</v>
      </c>
      <c r="D734" s="18">
        <f>IF(A734="","",MATCH(A734,Calculation!B$2:B9627,1))</f>
        <v>1</v>
      </c>
      <c r="E734" s="23">
        <f t="array" ref="E734">IF(D734="","",IF(D734=1,0,INDEX(Calculation!Q$2:Q9627,D734-1)))</f>
        <v>0</v>
      </c>
      <c r="F734" s="23">
        <f t="array" ref="F734">IF($A734="","",
  LET(
    r, $D734,
    startD, INDEX(Calculation!B$2:B9627, r),
    endD,   INDEX(Calculation!C$2:C9627, r),
    asOf,   MIN($A734,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1080923.973</v>
      </c>
    </row>
    <row r="735">
      <c r="A735" s="19">
        <v>42970.0</v>
      </c>
      <c r="B735" s="23">
        <v>1.0765E7</v>
      </c>
      <c r="C735" s="23">
        <f t="shared" si="1"/>
        <v>1082398.63</v>
      </c>
      <c r="D735" s="18">
        <f>IF(A735="","",MATCH(A735,Calculation!B$2:B9627,1))</f>
        <v>1</v>
      </c>
      <c r="E735" s="23">
        <f t="array" ref="E735">IF(D735="","",IF(D735=1,0,INDEX(Calculation!Q$2:Q9627,D735-1)))</f>
        <v>0</v>
      </c>
      <c r="F735" s="23">
        <f t="array" ref="F735">IF($A735="","",
  LET(
    r, $D735,
    startD, INDEX(Calculation!B$2:B9627, r),
    endD,   INDEX(Calculation!C$2:C9627, r),
    asOf,   MIN($A735,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1082398.63</v>
      </c>
    </row>
    <row r="736">
      <c r="A736" s="19">
        <v>42971.0</v>
      </c>
      <c r="B736" s="23">
        <v>1.0765E7</v>
      </c>
      <c r="C736" s="23">
        <f t="shared" si="1"/>
        <v>1083873.288</v>
      </c>
      <c r="D736" s="18">
        <f>IF(A736="","",MATCH(A736,Calculation!B$2:B9627,1))</f>
        <v>1</v>
      </c>
      <c r="E736" s="23">
        <f t="array" ref="E736">IF(D736="","",IF(D736=1,0,INDEX(Calculation!Q$2:Q9627,D736-1)))</f>
        <v>0</v>
      </c>
      <c r="F736" s="23">
        <f t="array" ref="F736">IF($A736="","",
  LET(
    r, $D736,
    startD, INDEX(Calculation!B$2:B9627, r),
    endD,   INDEX(Calculation!C$2:C9627, r),
    asOf,   MIN($A736,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1083873.288</v>
      </c>
    </row>
    <row r="737">
      <c r="A737" s="19">
        <v>42972.0</v>
      </c>
      <c r="B737" s="23">
        <v>1.0765E7</v>
      </c>
      <c r="C737" s="23">
        <f t="shared" si="1"/>
        <v>1085347.945</v>
      </c>
      <c r="D737" s="18">
        <f>IF(A737="","",MATCH(A737,Calculation!B$2:B9627,1))</f>
        <v>1</v>
      </c>
      <c r="E737" s="23">
        <f t="array" ref="E737">IF(D737="","",IF(D737=1,0,INDEX(Calculation!Q$2:Q9627,D737-1)))</f>
        <v>0</v>
      </c>
      <c r="F737" s="23">
        <f t="array" ref="F737">IF($A737="","",
  LET(
    r, $D737,
    startD, INDEX(Calculation!B$2:B9627, r),
    endD,   INDEX(Calculation!C$2:C9627, r),
    asOf,   MIN($A737,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1085347.945</v>
      </c>
    </row>
    <row r="738">
      <c r="A738" s="19">
        <v>42973.0</v>
      </c>
      <c r="B738" s="23">
        <v>1.0765E7</v>
      </c>
      <c r="C738" s="23">
        <f t="shared" si="1"/>
        <v>1086822.603</v>
      </c>
      <c r="D738" s="18">
        <f>IF(A738="","",MATCH(A738,Calculation!B$2:B9627,1))</f>
        <v>1</v>
      </c>
      <c r="E738" s="23">
        <f t="array" ref="E738">IF(D738="","",IF(D738=1,0,INDEX(Calculation!Q$2:Q9627,D738-1)))</f>
        <v>0</v>
      </c>
      <c r="F738" s="23">
        <f t="array" ref="F738">IF($A738="","",
  LET(
    r, $D738,
    startD, INDEX(Calculation!B$2:B9627, r),
    endD,   INDEX(Calculation!C$2:C9627, r),
    asOf,   MIN($A738,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1086822.603</v>
      </c>
    </row>
    <row r="739">
      <c r="A739" s="19">
        <v>42974.0</v>
      </c>
      <c r="B739" s="23">
        <v>1.0765E7</v>
      </c>
      <c r="C739" s="23">
        <f t="shared" si="1"/>
        <v>1088297.26</v>
      </c>
      <c r="D739" s="18">
        <f>IF(A739="","",MATCH(A739,Calculation!B$2:B9627,1))</f>
        <v>1</v>
      </c>
      <c r="E739" s="23">
        <f t="array" ref="E739">IF(D739="","",IF(D739=1,0,INDEX(Calculation!Q$2:Q9627,D739-1)))</f>
        <v>0</v>
      </c>
      <c r="F739" s="23">
        <f t="array" ref="F739">IF($A739="","",
  LET(
    r, $D739,
    startD, INDEX(Calculation!B$2:B9627, r),
    endD,   INDEX(Calculation!C$2:C9627, r),
    asOf,   MIN($A739,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1088297.26</v>
      </c>
    </row>
    <row r="740">
      <c r="A740" s="19">
        <v>42975.0</v>
      </c>
      <c r="B740" s="23">
        <v>1.0765E7</v>
      </c>
      <c r="C740" s="23">
        <f t="shared" si="1"/>
        <v>1089771.918</v>
      </c>
      <c r="D740" s="18">
        <f>IF(A740="","",MATCH(A740,Calculation!B$2:B9627,1))</f>
        <v>1</v>
      </c>
      <c r="E740" s="23">
        <f t="array" ref="E740">IF(D740="","",IF(D740=1,0,INDEX(Calculation!Q$2:Q9627,D740-1)))</f>
        <v>0</v>
      </c>
      <c r="F740" s="23">
        <f t="array" ref="F740">IF($A740="","",
  LET(
    r, $D740,
    startD, INDEX(Calculation!B$2:B9627, r),
    endD,   INDEX(Calculation!C$2:C9627, r),
    asOf,   MIN($A740,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1089771.918</v>
      </c>
    </row>
    <row r="741">
      <c r="A741" s="19">
        <v>42976.0</v>
      </c>
      <c r="B741" s="23">
        <v>1.0765E7</v>
      </c>
      <c r="C741" s="23">
        <f t="shared" si="1"/>
        <v>1091246.575</v>
      </c>
      <c r="D741" s="18">
        <f>IF(A741="","",MATCH(A741,Calculation!B$2:B9627,1))</f>
        <v>1</v>
      </c>
      <c r="E741" s="23">
        <f t="array" ref="E741">IF(D741="","",IF(D741=1,0,INDEX(Calculation!Q$2:Q9627,D741-1)))</f>
        <v>0</v>
      </c>
      <c r="F741" s="23">
        <f t="array" ref="F741">IF($A741="","",
  LET(
    r, $D741,
    startD, INDEX(Calculation!B$2:B9627, r),
    endD,   INDEX(Calculation!C$2:C9627, r),
    asOf,   MIN($A741,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1091246.575</v>
      </c>
    </row>
    <row r="742">
      <c r="A742" s="19">
        <v>42977.0</v>
      </c>
      <c r="B742" s="23">
        <v>1.0765E7</v>
      </c>
      <c r="C742" s="23">
        <f t="shared" si="1"/>
        <v>1092721.233</v>
      </c>
      <c r="D742" s="18">
        <f>IF(A742="","",MATCH(A742,Calculation!B$2:B9627,1))</f>
        <v>1</v>
      </c>
      <c r="E742" s="23">
        <f t="array" ref="E742">IF(D742="","",IF(D742=1,0,INDEX(Calculation!Q$2:Q9627,D742-1)))</f>
        <v>0</v>
      </c>
      <c r="F742" s="23">
        <f t="array" ref="F742">IF($A742="","",
  LET(
    r, $D742,
    startD, INDEX(Calculation!B$2:B9627, r),
    endD,   INDEX(Calculation!C$2:C9627, r),
    asOf,   MIN($A742,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1092721.233</v>
      </c>
    </row>
    <row r="743">
      <c r="A743" s="19">
        <v>42978.0</v>
      </c>
      <c r="B743" s="23">
        <v>1.0765E7</v>
      </c>
      <c r="C743" s="23">
        <f t="shared" si="1"/>
        <v>1094195.89</v>
      </c>
      <c r="D743" s="18">
        <f>IF(A743="","",MATCH(A743,Calculation!B$2:B9627,1))</f>
        <v>1</v>
      </c>
      <c r="E743" s="23">
        <f t="array" ref="E743">IF(D743="","",IF(D743=1,0,INDEX(Calculation!Q$2:Q9627,D743-1)))</f>
        <v>0</v>
      </c>
      <c r="F743" s="23">
        <f t="array" ref="F743">IF($A743="","",
  LET(
    r, $D743,
    startD, INDEX(Calculation!B$2:B9627, r),
    endD,   INDEX(Calculation!C$2:C9627, r),
    asOf,   MIN($A743,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1094195.89</v>
      </c>
    </row>
    <row r="744">
      <c r="A744" s="19">
        <v>42979.0</v>
      </c>
      <c r="B744" s="23">
        <v>1.0765E7</v>
      </c>
      <c r="C744" s="23">
        <f t="shared" si="1"/>
        <v>1095670.548</v>
      </c>
      <c r="D744" s="18">
        <f>IF(A744="","",MATCH(A744,Calculation!B$2:B9627,1))</f>
        <v>1</v>
      </c>
      <c r="E744" s="23">
        <f t="array" ref="E744">IF(D744="","",IF(D744=1,0,INDEX(Calculation!Q$2:Q9627,D744-1)))</f>
        <v>0</v>
      </c>
      <c r="F744" s="23">
        <f t="array" ref="F744">IF($A744="","",
  LET(
    r, $D744,
    startD, INDEX(Calculation!B$2:B9627, r),
    endD,   INDEX(Calculation!C$2:C9627, r),
    asOf,   MIN($A744,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1095670.548</v>
      </c>
    </row>
    <row r="745">
      <c r="A745" s="19">
        <v>42980.0</v>
      </c>
      <c r="B745" s="23">
        <v>1.0765E7</v>
      </c>
      <c r="C745" s="23">
        <f t="shared" si="1"/>
        <v>1097145.205</v>
      </c>
      <c r="D745" s="18">
        <f>IF(A745="","",MATCH(A745,Calculation!B$2:B9627,1))</f>
        <v>1</v>
      </c>
      <c r="E745" s="23">
        <f t="array" ref="E745">IF(D745="","",IF(D745=1,0,INDEX(Calculation!Q$2:Q9627,D745-1)))</f>
        <v>0</v>
      </c>
      <c r="F745" s="23">
        <f t="array" ref="F745">IF($A745="","",
  LET(
    r, $D745,
    startD, INDEX(Calculation!B$2:B9627, r),
    endD,   INDEX(Calculation!C$2:C9627, r),
    asOf,   MIN($A745,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1097145.205</v>
      </c>
    </row>
    <row r="746">
      <c r="A746" s="19">
        <v>42981.0</v>
      </c>
      <c r="B746" s="23">
        <v>1.0765E7</v>
      </c>
      <c r="C746" s="23">
        <f t="shared" si="1"/>
        <v>1098619.863</v>
      </c>
      <c r="D746" s="18">
        <f>IF(A746="","",MATCH(A746,Calculation!B$2:B9627,1))</f>
        <v>1</v>
      </c>
      <c r="E746" s="23">
        <f t="array" ref="E746">IF(D746="","",IF(D746=1,0,INDEX(Calculation!Q$2:Q9627,D746-1)))</f>
        <v>0</v>
      </c>
      <c r="F746" s="23">
        <f t="array" ref="F746">IF($A746="","",
  LET(
    r, $D746,
    startD, INDEX(Calculation!B$2:B9627, r),
    endD,   INDEX(Calculation!C$2:C9627, r),
    asOf,   MIN($A746,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1098619.863</v>
      </c>
    </row>
    <row r="747">
      <c r="A747" s="19">
        <v>42982.0</v>
      </c>
      <c r="B747" s="23">
        <v>1.0765E7</v>
      </c>
      <c r="C747" s="23">
        <f t="shared" si="1"/>
        <v>1100094.521</v>
      </c>
      <c r="D747" s="18">
        <f>IF(A747="","",MATCH(A747,Calculation!B$2:B9627,1))</f>
        <v>1</v>
      </c>
      <c r="E747" s="23">
        <f t="array" ref="E747">IF(D747="","",IF(D747=1,0,INDEX(Calculation!Q$2:Q9627,D747-1)))</f>
        <v>0</v>
      </c>
      <c r="F747" s="23">
        <f t="array" ref="F747">IF($A747="","",
  LET(
    r, $D747,
    startD, INDEX(Calculation!B$2:B9627, r),
    endD,   INDEX(Calculation!C$2:C9627, r),
    asOf,   MIN($A747,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1100094.521</v>
      </c>
    </row>
    <row r="748">
      <c r="A748" s="19">
        <v>42983.0</v>
      </c>
      <c r="B748" s="23">
        <v>1.0765E7</v>
      </c>
      <c r="C748" s="23">
        <f t="shared" si="1"/>
        <v>1101569.178</v>
      </c>
      <c r="D748" s="18">
        <f>IF(A748="","",MATCH(A748,Calculation!B$2:B9627,1))</f>
        <v>1</v>
      </c>
      <c r="E748" s="23">
        <f t="array" ref="E748">IF(D748="","",IF(D748=1,0,INDEX(Calculation!Q$2:Q9627,D748-1)))</f>
        <v>0</v>
      </c>
      <c r="F748" s="23">
        <f t="array" ref="F748">IF($A748="","",
  LET(
    r, $D748,
    startD, INDEX(Calculation!B$2:B9627, r),
    endD,   INDEX(Calculation!C$2:C9627, r),
    asOf,   MIN($A748,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1101569.178</v>
      </c>
    </row>
    <row r="749">
      <c r="A749" s="19">
        <v>42984.0</v>
      </c>
      <c r="B749" s="23">
        <v>1.0765E7</v>
      </c>
      <c r="C749" s="23">
        <f t="shared" si="1"/>
        <v>1103043.836</v>
      </c>
      <c r="D749" s="18">
        <f>IF(A749="","",MATCH(A749,Calculation!B$2:B9627,1))</f>
        <v>1</v>
      </c>
      <c r="E749" s="23">
        <f t="array" ref="E749">IF(D749="","",IF(D749=1,0,INDEX(Calculation!Q$2:Q9627,D749-1)))</f>
        <v>0</v>
      </c>
      <c r="F749" s="23">
        <f t="array" ref="F749">IF($A749="","",
  LET(
    r, $D749,
    startD, INDEX(Calculation!B$2:B9627, r),
    endD,   INDEX(Calculation!C$2:C9627, r),
    asOf,   MIN($A749,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1103043.836</v>
      </c>
    </row>
    <row r="750">
      <c r="A750" s="19">
        <v>42985.0</v>
      </c>
      <c r="B750" s="23">
        <v>1.0765E7</v>
      </c>
      <c r="C750" s="23">
        <f t="shared" si="1"/>
        <v>1104518.493</v>
      </c>
      <c r="D750" s="18">
        <f>IF(A750="","",MATCH(A750,Calculation!B$2:B9627,1))</f>
        <v>1</v>
      </c>
      <c r="E750" s="23">
        <f t="array" ref="E750">IF(D750="","",IF(D750=1,0,INDEX(Calculation!Q$2:Q9627,D750-1)))</f>
        <v>0</v>
      </c>
      <c r="F750" s="23">
        <f t="array" ref="F750">IF($A750="","",
  LET(
    r, $D750,
    startD, INDEX(Calculation!B$2:B9627, r),
    endD,   INDEX(Calculation!C$2:C9627, r),
    asOf,   MIN($A750,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1104518.493</v>
      </c>
    </row>
    <row r="751">
      <c r="A751" s="19">
        <v>42986.0</v>
      </c>
      <c r="B751" s="23">
        <v>1.0765E7</v>
      </c>
      <c r="C751" s="23">
        <f t="shared" si="1"/>
        <v>1105993.151</v>
      </c>
      <c r="D751" s="18">
        <f>IF(A751="","",MATCH(A751,Calculation!B$2:B9627,1))</f>
        <v>1</v>
      </c>
      <c r="E751" s="23">
        <f t="array" ref="E751">IF(D751="","",IF(D751=1,0,INDEX(Calculation!Q$2:Q9627,D751-1)))</f>
        <v>0</v>
      </c>
      <c r="F751" s="23">
        <f t="array" ref="F751">IF($A751="","",
  LET(
    r, $D751,
    startD, INDEX(Calculation!B$2:B9627, r),
    endD,   INDEX(Calculation!C$2:C9627, r),
    asOf,   MIN($A751,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1105993.151</v>
      </c>
    </row>
    <row r="752">
      <c r="A752" s="19">
        <v>42987.0</v>
      </c>
      <c r="B752" s="23">
        <v>1.0765E7</v>
      </c>
      <c r="C752" s="23">
        <f t="shared" si="1"/>
        <v>1107467.808</v>
      </c>
      <c r="D752" s="18">
        <f>IF(A752="","",MATCH(A752,Calculation!B$2:B9627,1))</f>
        <v>1</v>
      </c>
      <c r="E752" s="23">
        <f t="array" ref="E752">IF(D752="","",IF(D752=1,0,INDEX(Calculation!Q$2:Q9627,D752-1)))</f>
        <v>0</v>
      </c>
      <c r="F752" s="23">
        <f t="array" ref="F752">IF($A752="","",
  LET(
    r, $D752,
    startD, INDEX(Calculation!B$2:B9627, r),
    endD,   INDEX(Calculation!C$2:C9627, r),
    asOf,   MIN($A752,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1107467.808</v>
      </c>
    </row>
    <row r="753">
      <c r="A753" s="19">
        <v>42988.0</v>
      </c>
      <c r="B753" s="23">
        <v>1.0765E7</v>
      </c>
      <c r="C753" s="23">
        <f t="shared" si="1"/>
        <v>1108942.466</v>
      </c>
      <c r="D753" s="18">
        <f>IF(A753="","",MATCH(A753,Calculation!B$2:B9627,1))</f>
        <v>1</v>
      </c>
      <c r="E753" s="23">
        <f t="array" ref="E753">IF(D753="","",IF(D753=1,0,INDEX(Calculation!Q$2:Q9627,D753-1)))</f>
        <v>0</v>
      </c>
      <c r="F753" s="23">
        <f t="array" ref="F753">IF($A753="","",
  LET(
    r, $D753,
    startD, INDEX(Calculation!B$2:B9627, r),
    endD,   INDEX(Calculation!C$2:C9627, r),
    asOf,   MIN($A753,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1108942.466</v>
      </c>
    </row>
    <row r="754">
      <c r="A754" s="19">
        <v>42989.0</v>
      </c>
      <c r="B754" s="23">
        <v>1.0765E7</v>
      </c>
      <c r="C754" s="23">
        <f t="shared" si="1"/>
        <v>1110417.123</v>
      </c>
      <c r="D754" s="18">
        <f>IF(A754="","",MATCH(A754,Calculation!B$2:B9627,1))</f>
        <v>1</v>
      </c>
      <c r="E754" s="23">
        <f t="array" ref="E754">IF(D754="","",IF(D754=1,0,INDEX(Calculation!Q$2:Q9627,D754-1)))</f>
        <v>0</v>
      </c>
      <c r="F754" s="23">
        <f t="array" ref="F754">IF($A754="","",
  LET(
    r, $D754,
    startD, INDEX(Calculation!B$2:B9627, r),
    endD,   INDEX(Calculation!C$2:C9627, r),
    asOf,   MIN($A754,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1110417.123</v>
      </c>
    </row>
    <row r="755">
      <c r="A755" s="19">
        <v>42990.0</v>
      </c>
      <c r="B755" s="23">
        <v>1.0765E7</v>
      </c>
      <c r="C755" s="23">
        <f t="shared" si="1"/>
        <v>1111891.781</v>
      </c>
      <c r="D755" s="18">
        <f>IF(A755="","",MATCH(A755,Calculation!B$2:B9627,1))</f>
        <v>1</v>
      </c>
      <c r="E755" s="23">
        <f t="array" ref="E755">IF(D755="","",IF(D755=1,0,INDEX(Calculation!Q$2:Q9627,D755-1)))</f>
        <v>0</v>
      </c>
      <c r="F755" s="23">
        <f t="array" ref="F755">IF($A755="","",
  LET(
    r, $D755,
    startD, INDEX(Calculation!B$2:B9627, r),
    endD,   INDEX(Calculation!C$2:C9627, r),
    asOf,   MIN($A755,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1111891.781</v>
      </c>
    </row>
    <row r="756">
      <c r="A756" s="19">
        <v>42991.0</v>
      </c>
      <c r="B756" s="23">
        <v>1.0765E7</v>
      </c>
      <c r="C756" s="23">
        <f t="shared" si="1"/>
        <v>1113366.438</v>
      </c>
      <c r="D756" s="18">
        <f>IF(A756="","",MATCH(A756,Calculation!B$2:B9627,1))</f>
        <v>1</v>
      </c>
      <c r="E756" s="23">
        <f t="array" ref="E756">IF(D756="","",IF(D756=1,0,INDEX(Calculation!Q$2:Q9627,D756-1)))</f>
        <v>0</v>
      </c>
      <c r="F756" s="23">
        <f t="array" ref="F756">IF($A756="","",
  LET(
    r, $D756,
    startD, INDEX(Calculation!B$2:B9627, r),
    endD,   INDEX(Calculation!C$2:C9627, r),
    asOf,   MIN($A756,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1113366.438</v>
      </c>
    </row>
    <row r="757">
      <c r="A757" s="19">
        <v>42992.0</v>
      </c>
      <c r="B757" s="23">
        <v>1.0765E7</v>
      </c>
      <c r="C757" s="23">
        <f t="shared" si="1"/>
        <v>1114841.096</v>
      </c>
      <c r="D757" s="18">
        <f>IF(A757="","",MATCH(A757,Calculation!B$2:B9627,1))</f>
        <v>1</v>
      </c>
      <c r="E757" s="23">
        <f t="array" ref="E757">IF(D757="","",IF(D757=1,0,INDEX(Calculation!Q$2:Q9627,D757-1)))</f>
        <v>0</v>
      </c>
      <c r="F757" s="23">
        <f t="array" ref="F757">IF($A757="","",
  LET(
    r, $D757,
    startD, INDEX(Calculation!B$2:B9627, r),
    endD,   INDEX(Calculation!C$2:C9627, r),
    asOf,   MIN($A757,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1114841.096</v>
      </c>
    </row>
    <row r="758">
      <c r="A758" s="19">
        <v>42993.0</v>
      </c>
      <c r="B758" s="23">
        <v>1.0765E7</v>
      </c>
      <c r="C758" s="23">
        <f t="shared" si="1"/>
        <v>1116315.753</v>
      </c>
      <c r="D758" s="18">
        <f>IF(A758="","",MATCH(A758,Calculation!B$2:B9627,1))</f>
        <v>1</v>
      </c>
      <c r="E758" s="23">
        <f t="array" ref="E758">IF(D758="","",IF(D758=1,0,INDEX(Calculation!Q$2:Q9627,D758-1)))</f>
        <v>0</v>
      </c>
      <c r="F758" s="23">
        <f t="array" ref="F758">IF($A758="","",
  LET(
    r, $D758,
    startD, INDEX(Calculation!B$2:B9627, r),
    endD,   INDEX(Calculation!C$2:C9627, r),
    asOf,   MIN($A758,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1116315.753</v>
      </c>
    </row>
    <row r="759">
      <c r="A759" s="19">
        <v>42994.0</v>
      </c>
      <c r="B759" s="23">
        <v>1.0765E7</v>
      </c>
      <c r="C759" s="23">
        <f t="shared" si="1"/>
        <v>1117790.411</v>
      </c>
      <c r="D759" s="18">
        <f>IF(A759="","",MATCH(A759,Calculation!B$2:B9627,1))</f>
        <v>1</v>
      </c>
      <c r="E759" s="23">
        <f t="array" ref="E759">IF(D759="","",IF(D759=1,0,INDEX(Calculation!Q$2:Q9627,D759-1)))</f>
        <v>0</v>
      </c>
      <c r="F759" s="23">
        <f t="array" ref="F759">IF($A759="","",
  LET(
    r, $D759,
    startD, INDEX(Calculation!B$2:B9627, r),
    endD,   INDEX(Calculation!C$2:C9627, r),
    asOf,   MIN($A759,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1117790.411</v>
      </c>
    </row>
    <row r="760">
      <c r="A760" s="19">
        <v>42995.0</v>
      </c>
      <c r="B760" s="23">
        <v>1.0765E7</v>
      </c>
      <c r="C760" s="23">
        <f t="shared" si="1"/>
        <v>1119265.068</v>
      </c>
      <c r="D760" s="18">
        <f>IF(A760="","",MATCH(A760,Calculation!B$2:B9627,1))</f>
        <v>1</v>
      </c>
      <c r="E760" s="23">
        <f t="array" ref="E760">IF(D760="","",IF(D760=1,0,INDEX(Calculation!Q$2:Q9627,D760-1)))</f>
        <v>0</v>
      </c>
      <c r="F760" s="23">
        <f t="array" ref="F760">IF($A760="","",
  LET(
    r, $D760,
    startD, INDEX(Calculation!B$2:B9627, r),
    endD,   INDEX(Calculation!C$2:C9627, r),
    asOf,   MIN($A760,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1119265.068</v>
      </c>
    </row>
    <row r="761">
      <c r="A761" s="19">
        <v>42996.0</v>
      </c>
      <c r="B761" s="23">
        <v>1.0765E7</v>
      </c>
      <c r="C761" s="23">
        <f t="shared" si="1"/>
        <v>1120739.726</v>
      </c>
      <c r="D761" s="18">
        <f>IF(A761="","",MATCH(A761,Calculation!B$2:B9627,1))</f>
        <v>1</v>
      </c>
      <c r="E761" s="23">
        <f t="array" ref="E761">IF(D761="","",IF(D761=1,0,INDEX(Calculation!Q$2:Q9627,D761-1)))</f>
        <v>0</v>
      </c>
      <c r="F761" s="23">
        <f t="array" ref="F761">IF($A761="","",
  LET(
    r, $D761,
    startD, INDEX(Calculation!B$2:B9627, r),
    endD,   INDEX(Calculation!C$2:C9627, r),
    asOf,   MIN($A761,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1120739.726</v>
      </c>
    </row>
    <row r="762">
      <c r="A762" s="19">
        <v>42997.0</v>
      </c>
      <c r="B762" s="23">
        <v>1.0765E7</v>
      </c>
      <c r="C762" s="23">
        <f t="shared" si="1"/>
        <v>1122214.384</v>
      </c>
      <c r="D762" s="18">
        <f>IF(A762="","",MATCH(A762,Calculation!B$2:B9627,1))</f>
        <v>1</v>
      </c>
      <c r="E762" s="23">
        <f t="array" ref="E762">IF(D762="","",IF(D762=1,0,INDEX(Calculation!Q$2:Q9627,D762-1)))</f>
        <v>0</v>
      </c>
      <c r="F762" s="23">
        <f t="array" ref="F762">IF($A762="","",
  LET(
    r, $D762,
    startD, INDEX(Calculation!B$2:B9627, r),
    endD,   INDEX(Calculation!C$2:C9627, r),
    asOf,   MIN($A762,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1122214.384</v>
      </c>
    </row>
    <row r="763">
      <c r="A763" s="19">
        <v>42998.0</v>
      </c>
      <c r="B763" s="23">
        <v>1.0765E7</v>
      </c>
      <c r="C763" s="23">
        <f t="shared" si="1"/>
        <v>1123689.041</v>
      </c>
      <c r="D763" s="18">
        <f>IF(A763="","",MATCH(A763,Calculation!B$2:B9627,1))</f>
        <v>1</v>
      </c>
      <c r="E763" s="23">
        <f t="array" ref="E763">IF(D763="","",IF(D763=1,0,INDEX(Calculation!Q$2:Q9627,D763-1)))</f>
        <v>0</v>
      </c>
      <c r="F763" s="23">
        <f t="array" ref="F763">IF($A763="","",
  LET(
    r, $D763,
    startD, INDEX(Calculation!B$2:B9627, r),
    endD,   INDEX(Calculation!C$2:C9627, r),
    asOf,   MIN($A763,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1123689.041</v>
      </c>
    </row>
    <row r="764">
      <c r="A764" s="19">
        <v>42999.0</v>
      </c>
      <c r="B764" s="23">
        <v>1.0765E7</v>
      </c>
      <c r="C764" s="23">
        <f t="shared" si="1"/>
        <v>1125163.699</v>
      </c>
      <c r="D764" s="18">
        <f>IF(A764="","",MATCH(A764,Calculation!B$2:B9627,1))</f>
        <v>1</v>
      </c>
      <c r="E764" s="23">
        <f t="array" ref="E764">IF(D764="","",IF(D764=1,0,INDEX(Calculation!Q$2:Q9627,D764-1)))</f>
        <v>0</v>
      </c>
      <c r="F764" s="23">
        <f t="array" ref="F764">IF($A764="","",
  LET(
    r, $D764,
    startD, INDEX(Calculation!B$2:B9627, r),
    endD,   INDEX(Calculation!C$2:C9627, r),
    asOf,   MIN($A764,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1125163.699</v>
      </c>
    </row>
    <row r="765">
      <c r="A765" s="19">
        <v>43000.0</v>
      </c>
      <c r="B765" s="23">
        <v>1.0765E7</v>
      </c>
      <c r="C765" s="23">
        <f t="shared" si="1"/>
        <v>1126638.356</v>
      </c>
      <c r="D765" s="18">
        <f>IF(A765="","",MATCH(A765,Calculation!B$2:B9627,1))</f>
        <v>1</v>
      </c>
      <c r="E765" s="23">
        <f t="array" ref="E765">IF(D765="","",IF(D765=1,0,INDEX(Calculation!Q$2:Q9627,D765-1)))</f>
        <v>0</v>
      </c>
      <c r="F765" s="23">
        <f t="array" ref="F765">IF($A765="","",
  LET(
    r, $D765,
    startD, INDEX(Calculation!B$2:B9627, r),
    endD,   INDEX(Calculation!C$2:C9627, r),
    asOf,   MIN($A765,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1126638.356</v>
      </c>
    </row>
    <row r="766">
      <c r="A766" s="19">
        <v>43001.0</v>
      </c>
      <c r="B766" s="23">
        <v>1.0765E7</v>
      </c>
      <c r="C766" s="23">
        <f t="shared" si="1"/>
        <v>1128113.014</v>
      </c>
      <c r="D766" s="18">
        <f>IF(A766="","",MATCH(A766,Calculation!B$2:B9627,1))</f>
        <v>1</v>
      </c>
      <c r="E766" s="23">
        <f t="array" ref="E766">IF(D766="","",IF(D766=1,0,INDEX(Calculation!Q$2:Q9627,D766-1)))</f>
        <v>0</v>
      </c>
      <c r="F766" s="23">
        <f t="array" ref="F766">IF($A766="","",
  LET(
    r, $D766,
    startD, INDEX(Calculation!B$2:B9627, r),
    endD,   INDEX(Calculation!C$2:C9627, r),
    asOf,   MIN($A766,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1128113.014</v>
      </c>
    </row>
    <row r="767">
      <c r="A767" s="19">
        <v>43002.0</v>
      </c>
      <c r="B767" s="23">
        <v>1.0765E7</v>
      </c>
      <c r="C767" s="23">
        <f t="shared" si="1"/>
        <v>1129587.671</v>
      </c>
      <c r="D767" s="18">
        <f>IF(A767="","",MATCH(A767,Calculation!B$2:B9627,1))</f>
        <v>1</v>
      </c>
      <c r="E767" s="23">
        <f t="array" ref="E767">IF(D767="","",IF(D767=1,0,INDEX(Calculation!Q$2:Q9627,D767-1)))</f>
        <v>0</v>
      </c>
      <c r="F767" s="23">
        <f t="array" ref="F767">IF($A767="","",
  LET(
    r, $D767,
    startD, INDEX(Calculation!B$2:B9627, r),
    endD,   INDEX(Calculation!C$2:C9627, r),
    asOf,   MIN($A767,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1129587.671</v>
      </c>
    </row>
    <row r="768">
      <c r="A768" s="19">
        <v>43003.0</v>
      </c>
      <c r="B768" s="23">
        <v>1.0765E7</v>
      </c>
      <c r="C768" s="23">
        <f t="shared" si="1"/>
        <v>1131062.329</v>
      </c>
      <c r="D768" s="18">
        <f>IF(A768="","",MATCH(A768,Calculation!B$2:B9627,1))</f>
        <v>1</v>
      </c>
      <c r="E768" s="23">
        <f t="array" ref="E768">IF(D768="","",IF(D768=1,0,INDEX(Calculation!Q$2:Q9627,D768-1)))</f>
        <v>0</v>
      </c>
      <c r="F768" s="23">
        <f t="array" ref="F768">IF($A768="","",
  LET(
    r, $D768,
    startD, INDEX(Calculation!B$2:B9627, r),
    endD,   INDEX(Calculation!C$2:C9627, r),
    asOf,   MIN($A768,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1131062.329</v>
      </c>
    </row>
    <row r="769">
      <c r="A769" s="19">
        <v>43004.0</v>
      </c>
      <c r="B769" s="23">
        <v>1.0765E7</v>
      </c>
      <c r="C769" s="23">
        <f t="shared" si="1"/>
        <v>1132536.986</v>
      </c>
      <c r="D769" s="18">
        <f>IF(A769="","",MATCH(A769,Calculation!B$2:B9627,1))</f>
        <v>1</v>
      </c>
      <c r="E769" s="23">
        <f t="array" ref="E769">IF(D769="","",IF(D769=1,0,INDEX(Calculation!Q$2:Q9627,D769-1)))</f>
        <v>0</v>
      </c>
      <c r="F769" s="23">
        <f t="array" ref="F769">IF($A769="","",
  LET(
    r, $D769,
    startD, INDEX(Calculation!B$2:B9627, r),
    endD,   INDEX(Calculation!C$2:C9627, r),
    asOf,   MIN($A769,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1132536.986</v>
      </c>
    </row>
    <row r="770">
      <c r="A770" s="19">
        <v>43005.0</v>
      </c>
      <c r="B770" s="23">
        <v>1.0765E7</v>
      </c>
      <c r="C770" s="23">
        <f t="shared" si="1"/>
        <v>1134011.644</v>
      </c>
      <c r="D770" s="18">
        <f>IF(A770="","",MATCH(A770,Calculation!B$2:B9627,1))</f>
        <v>1</v>
      </c>
      <c r="E770" s="23">
        <f t="array" ref="E770">IF(D770="","",IF(D770=1,0,INDEX(Calculation!Q$2:Q9627,D770-1)))</f>
        <v>0</v>
      </c>
      <c r="F770" s="23">
        <f t="array" ref="F770">IF($A770="","",
  LET(
    r, $D770,
    startD, INDEX(Calculation!B$2:B9627, r),
    endD,   INDEX(Calculation!C$2:C9627, r),
    asOf,   MIN($A770,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1134011.644</v>
      </c>
    </row>
    <row r="771">
      <c r="A771" s="19">
        <v>43006.0</v>
      </c>
      <c r="B771" s="23">
        <v>1.0765E7</v>
      </c>
      <c r="C771" s="23">
        <f t="shared" si="1"/>
        <v>1135486.301</v>
      </c>
      <c r="D771" s="18">
        <f>IF(A771="","",MATCH(A771,Calculation!B$2:B9627,1))</f>
        <v>1</v>
      </c>
      <c r="E771" s="23">
        <f t="array" ref="E771">IF(D771="","",IF(D771=1,0,INDEX(Calculation!Q$2:Q9627,D771-1)))</f>
        <v>0</v>
      </c>
      <c r="F771" s="23">
        <f t="array" ref="F771">IF($A771="","",
  LET(
    r, $D771,
    startD, INDEX(Calculation!B$2:B9627, r),
    endD,   INDEX(Calculation!C$2:C9627, r),
    asOf,   MIN($A771,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1135486.301</v>
      </c>
    </row>
    <row r="772">
      <c r="A772" s="19">
        <v>43007.0</v>
      </c>
      <c r="B772" s="23">
        <v>1.0765E7</v>
      </c>
      <c r="C772" s="23">
        <f t="shared" si="1"/>
        <v>1136960.959</v>
      </c>
      <c r="D772" s="18">
        <f>IF(A772="","",MATCH(A772,Calculation!B$2:B9627,1))</f>
        <v>1</v>
      </c>
      <c r="E772" s="23">
        <f t="array" ref="E772">IF(D772="","",IF(D772=1,0,INDEX(Calculation!Q$2:Q9627,D772-1)))</f>
        <v>0</v>
      </c>
      <c r="F772" s="23">
        <f t="array" ref="F772">IF($A772="","",
  LET(
    r, $D772,
    startD, INDEX(Calculation!B$2:B9627, r),
    endD,   INDEX(Calculation!C$2:C9627, r),
    asOf,   MIN($A772,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1136960.959</v>
      </c>
    </row>
    <row r="773">
      <c r="A773" s="19">
        <v>43008.0</v>
      </c>
      <c r="B773" s="23">
        <v>1.0765E7</v>
      </c>
      <c r="C773" s="23">
        <f t="shared" si="1"/>
        <v>1138435.616</v>
      </c>
      <c r="D773" s="18">
        <f>IF(A773="","",MATCH(A773,Calculation!B$2:B9627,1))</f>
        <v>1</v>
      </c>
      <c r="E773" s="23">
        <f t="array" ref="E773">IF(D773="","",IF(D773=1,0,INDEX(Calculation!Q$2:Q9627,D773-1)))</f>
        <v>0</v>
      </c>
      <c r="F773" s="23">
        <f t="array" ref="F773">IF($A773="","",
  LET(
    r, $D773,
    startD, INDEX(Calculation!B$2:B9627, r),
    endD,   INDEX(Calculation!C$2:C9627, r),
    asOf,   MIN($A773,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1138435.616</v>
      </c>
    </row>
    <row r="774">
      <c r="A774" s="19">
        <v>43009.0</v>
      </c>
      <c r="B774" s="23">
        <v>1.0765E7</v>
      </c>
      <c r="C774" s="23">
        <f t="shared" si="1"/>
        <v>1139910.274</v>
      </c>
      <c r="D774" s="18">
        <f>IF(A774="","",MATCH(A774,Calculation!B$2:B9627,1))</f>
        <v>1</v>
      </c>
      <c r="E774" s="23">
        <f t="array" ref="E774">IF(D774="","",IF(D774=1,0,INDEX(Calculation!Q$2:Q9627,D774-1)))</f>
        <v>0</v>
      </c>
      <c r="F774" s="23">
        <f t="array" ref="F774">IF($A774="","",
  LET(
    r, $D774,
    startD, INDEX(Calculation!B$2:B9627, r),
    endD,   INDEX(Calculation!C$2:C9627, r),
    asOf,   MIN($A774,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1139910.274</v>
      </c>
    </row>
    <row r="775">
      <c r="A775" s="19">
        <v>43010.0</v>
      </c>
      <c r="B775" s="23">
        <v>1.0765E7</v>
      </c>
      <c r="C775" s="23">
        <f t="shared" si="1"/>
        <v>1141384.932</v>
      </c>
      <c r="D775" s="18">
        <f>IF(A775="","",MATCH(A775,Calculation!B$2:B9627,1))</f>
        <v>1</v>
      </c>
      <c r="E775" s="23">
        <f t="array" ref="E775">IF(D775="","",IF(D775=1,0,INDEX(Calculation!Q$2:Q9627,D775-1)))</f>
        <v>0</v>
      </c>
      <c r="F775" s="23">
        <f t="array" ref="F775">IF($A775="","",
  LET(
    r, $D775,
    startD, INDEX(Calculation!B$2:B9627, r),
    endD,   INDEX(Calculation!C$2:C9627, r),
    asOf,   MIN($A775,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1141384.932</v>
      </c>
    </row>
    <row r="776">
      <c r="A776" s="19">
        <v>43011.0</v>
      </c>
      <c r="B776" s="23">
        <v>1.0765E7</v>
      </c>
      <c r="C776" s="23">
        <f t="shared" si="1"/>
        <v>1142859.589</v>
      </c>
      <c r="D776" s="18">
        <f>IF(A776="","",MATCH(A776,Calculation!B$2:B9627,1))</f>
        <v>1</v>
      </c>
      <c r="E776" s="23">
        <f t="array" ref="E776">IF(D776="","",IF(D776=1,0,INDEX(Calculation!Q$2:Q9627,D776-1)))</f>
        <v>0</v>
      </c>
      <c r="F776" s="23">
        <f t="array" ref="F776">IF($A776="","",
  LET(
    r, $D776,
    startD, INDEX(Calculation!B$2:B9627, r),
    endD,   INDEX(Calculation!C$2:C9627, r),
    asOf,   MIN($A776,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1142859.589</v>
      </c>
    </row>
    <row r="777">
      <c r="A777" s="19">
        <v>43012.0</v>
      </c>
      <c r="B777" s="23">
        <v>1.0765E7</v>
      </c>
      <c r="C777" s="23">
        <f t="shared" si="1"/>
        <v>1144334.247</v>
      </c>
      <c r="D777" s="18">
        <f>IF(A777="","",MATCH(A777,Calculation!B$2:B9627,1))</f>
        <v>1</v>
      </c>
      <c r="E777" s="23">
        <f t="array" ref="E777">IF(D777="","",IF(D777=1,0,INDEX(Calculation!Q$2:Q9627,D777-1)))</f>
        <v>0</v>
      </c>
      <c r="F777" s="23">
        <f t="array" ref="F777">IF($A777="","",
  LET(
    r, $D777,
    startD, INDEX(Calculation!B$2:B9627, r),
    endD,   INDEX(Calculation!C$2:C9627, r),
    asOf,   MIN($A777,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1144334.247</v>
      </c>
    </row>
    <row r="778">
      <c r="A778" s="19">
        <v>43013.0</v>
      </c>
      <c r="B778" s="23">
        <v>1.0765E7</v>
      </c>
      <c r="C778" s="23">
        <f t="shared" si="1"/>
        <v>1145808.904</v>
      </c>
      <c r="D778" s="18">
        <f>IF(A778="","",MATCH(A778,Calculation!B$2:B9627,1))</f>
        <v>1</v>
      </c>
      <c r="E778" s="23">
        <f t="array" ref="E778">IF(D778="","",IF(D778=1,0,INDEX(Calculation!Q$2:Q9627,D778-1)))</f>
        <v>0</v>
      </c>
      <c r="F778" s="23">
        <f t="array" ref="F778">IF($A778="","",
  LET(
    r, $D778,
    startD, INDEX(Calculation!B$2:B9627, r),
    endD,   INDEX(Calculation!C$2:C9627, r),
    asOf,   MIN($A778,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1145808.904</v>
      </c>
    </row>
    <row r="779">
      <c r="A779" s="19">
        <v>43014.0</v>
      </c>
      <c r="B779" s="23">
        <v>1.0765E7</v>
      </c>
      <c r="C779" s="23">
        <f t="shared" si="1"/>
        <v>1147283.562</v>
      </c>
      <c r="D779" s="18">
        <f>IF(A779="","",MATCH(A779,Calculation!B$2:B9627,1))</f>
        <v>1</v>
      </c>
      <c r="E779" s="23">
        <f t="array" ref="E779">IF(D779="","",IF(D779=1,0,INDEX(Calculation!Q$2:Q9627,D779-1)))</f>
        <v>0</v>
      </c>
      <c r="F779" s="23">
        <f t="array" ref="F779">IF($A779="","",
  LET(
    r, $D779,
    startD, INDEX(Calculation!B$2:B9627, r),
    endD,   INDEX(Calculation!C$2:C9627, r),
    asOf,   MIN($A779,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1147283.562</v>
      </c>
    </row>
    <row r="780">
      <c r="A780" s="19">
        <v>43015.0</v>
      </c>
      <c r="B780" s="23">
        <v>1.0765E7</v>
      </c>
      <c r="C780" s="23">
        <f t="shared" si="1"/>
        <v>1148758.219</v>
      </c>
      <c r="D780" s="18">
        <f>IF(A780="","",MATCH(A780,Calculation!B$2:B9627,1))</f>
        <v>1</v>
      </c>
      <c r="E780" s="23">
        <f t="array" ref="E780">IF(D780="","",IF(D780=1,0,INDEX(Calculation!Q$2:Q9627,D780-1)))</f>
        <v>0</v>
      </c>
      <c r="F780" s="23">
        <f t="array" ref="F780">IF($A780="","",
  LET(
    r, $D780,
    startD, INDEX(Calculation!B$2:B9627, r),
    endD,   INDEX(Calculation!C$2:C9627, r),
    asOf,   MIN($A780,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1148758.219</v>
      </c>
    </row>
    <row r="781">
      <c r="A781" s="19">
        <v>43016.0</v>
      </c>
      <c r="B781" s="23">
        <v>1.0765E7</v>
      </c>
      <c r="C781" s="23">
        <f t="shared" si="1"/>
        <v>1150232.877</v>
      </c>
      <c r="D781" s="18">
        <f>IF(A781="","",MATCH(A781,Calculation!B$2:B9627,1))</f>
        <v>1</v>
      </c>
      <c r="E781" s="23">
        <f t="array" ref="E781">IF(D781="","",IF(D781=1,0,INDEX(Calculation!Q$2:Q9627,D781-1)))</f>
        <v>0</v>
      </c>
      <c r="F781" s="23">
        <f t="array" ref="F781">IF($A781="","",
  LET(
    r, $D781,
    startD, INDEX(Calculation!B$2:B9627, r),
    endD,   INDEX(Calculation!C$2:C9627, r),
    asOf,   MIN($A781,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1150232.877</v>
      </c>
    </row>
    <row r="782">
      <c r="A782" s="19">
        <v>43017.0</v>
      </c>
      <c r="B782" s="23">
        <v>1.0765E7</v>
      </c>
      <c r="C782" s="23">
        <f t="shared" si="1"/>
        <v>1151707.534</v>
      </c>
      <c r="D782" s="18">
        <f>IF(A782="","",MATCH(A782,Calculation!B$2:B9627,1))</f>
        <v>1</v>
      </c>
      <c r="E782" s="23">
        <f t="array" ref="E782">IF(D782="","",IF(D782=1,0,INDEX(Calculation!Q$2:Q9627,D782-1)))</f>
        <v>0</v>
      </c>
      <c r="F782" s="23">
        <f t="array" ref="F782">IF($A782="","",
  LET(
    r, $D782,
    startD, INDEX(Calculation!B$2:B9627, r),
    endD,   INDEX(Calculation!C$2:C9627, r),
    asOf,   MIN($A782,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1151707.534</v>
      </c>
    </row>
    <row r="783">
      <c r="A783" s="19">
        <v>43018.0</v>
      </c>
      <c r="B783" s="23">
        <v>1.0765E7</v>
      </c>
      <c r="C783" s="23">
        <f t="shared" si="1"/>
        <v>1153182.192</v>
      </c>
      <c r="D783" s="18">
        <f>IF(A783="","",MATCH(A783,Calculation!B$2:B9627,1))</f>
        <v>1</v>
      </c>
      <c r="E783" s="23">
        <f t="array" ref="E783">IF(D783="","",IF(D783=1,0,INDEX(Calculation!Q$2:Q9627,D783-1)))</f>
        <v>0</v>
      </c>
      <c r="F783" s="23">
        <f t="array" ref="F783">IF($A783="","",
  LET(
    r, $D783,
    startD, INDEX(Calculation!B$2:B9627, r),
    endD,   INDEX(Calculation!C$2:C9627, r),
    asOf,   MIN($A783,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1153182.192</v>
      </c>
    </row>
    <row r="784">
      <c r="A784" s="19">
        <v>43019.0</v>
      </c>
      <c r="B784" s="23">
        <v>1.0765E7</v>
      </c>
      <c r="C784" s="23">
        <f t="shared" si="1"/>
        <v>1154656.849</v>
      </c>
      <c r="D784" s="18">
        <f>IF(A784="","",MATCH(A784,Calculation!B$2:B9627,1))</f>
        <v>1</v>
      </c>
      <c r="E784" s="23">
        <f t="array" ref="E784">IF(D784="","",IF(D784=1,0,INDEX(Calculation!Q$2:Q9627,D784-1)))</f>
        <v>0</v>
      </c>
      <c r="F784" s="23">
        <f t="array" ref="F784">IF($A784="","",
  LET(
    r, $D784,
    startD, INDEX(Calculation!B$2:B9627, r),
    endD,   INDEX(Calculation!C$2:C9627, r),
    asOf,   MIN($A784,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1154656.849</v>
      </c>
    </row>
    <row r="785">
      <c r="A785" s="19">
        <v>43020.0</v>
      </c>
      <c r="B785" s="23">
        <v>1.0765E7</v>
      </c>
      <c r="C785" s="23">
        <f t="shared" si="1"/>
        <v>1156131.507</v>
      </c>
      <c r="D785" s="18">
        <f>IF(A785="","",MATCH(A785,Calculation!B$2:B9627,1))</f>
        <v>1</v>
      </c>
      <c r="E785" s="23">
        <f t="array" ref="E785">IF(D785="","",IF(D785=1,0,INDEX(Calculation!Q$2:Q9627,D785-1)))</f>
        <v>0</v>
      </c>
      <c r="F785" s="23">
        <f t="array" ref="F785">IF($A785="","",
  LET(
    r, $D785,
    startD, INDEX(Calculation!B$2:B9627, r),
    endD,   INDEX(Calculation!C$2:C9627, r),
    asOf,   MIN($A785,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1156131.507</v>
      </c>
    </row>
    <row r="786">
      <c r="A786" s="19">
        <v>43021.0</v>
      </c>
      <c r="B786" s="23">
        <v>1.0765E7</v>
      </c>
      <c r="C786" s="23">
        <f t="shared" si="1"/>
        <v>1157606.164</v>
      </c>
      <c r="D786" s="18">
        <f>IF(A786="","",MATCH(A786,Calculation!B$2:B9627,1))</f>
        <v>1</v>
      </c>
      <c r="E786" s="23">
        <f t="array" ref="E786">IF(D786="","",IF(D786=1,0,INDEX(Calculation!Q$2:Q9627,D786-1)))</f>
        <v>0</v>
      </c>
      <c r="F786" s="23">
        <f t="array" ref="F786">IF($A786="","",
  LET(
    r, $D786,
    startD, INDEX(Calculation!B$2:B9627, r),
    endD,   INDEX(Calculation!C$2:C9627, r),
    asOf,   MIN($A786,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1157606.164</v>
      </c>
    </row>
    <row r="787">
      <c r="A787" s="19">
        <v>43022.0</v>
      </c>
      <c r="B787" s="23">
        <v>1.0765E7</v>
      </c>
      <c r="C787" s="23">
        <f t="shared" si="1"/>
        <v>1159080.822</v>
      </c>
      <c r="D787" s="18">
        <f>IF(A787="","",MATCH(A787,Calculation!B$2:B9627,1))</f>
        <v>1</v>
      </c>
      <c r="E787" s="23">
        <f t="array" ref="E787">IF(D787="","",IF(D787=1,0,INDEX(Calculation!Q$2:Q9627,D787-1)))</f>
        <v>0</v>
      </c>
      <c r="F787" s="23">
        <f t="array" ref="F787">IF($A787="","",
  LET(
    r, $D787,
    startD, INDEX(Calculation!B$2:B9627, r),
    endD,   INDEX(Calculation!C$2:C9627, r),
    asOf,   MIN($A787,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1159080.822</v>
      </c>
    </row>
    <row r="788">
      <c r="A788" s="19">
        <v>43023.0</v>
      </c>
      <c r="B788" s="23">
        <v>1.0765E7</v>
      </c>
      <c r="C788" s="23">
        <f t="shared" si="1"/>
        <v>1160555.479</v>
      </c>
      <c r="D788" s="18">
        <f>IF(A788="","",MATCH(A788,Calculation!B$2:B9627,1))</f>
        <v>1</v>
      </c>
      <c r="E788" s="23">
        <f t="array" ref="E788">IF(D788="","",IF(D788=1,0,INDEX(Calculation!Q$2:Q9627,D788-1)))</f>
        <v>0</v>
      </c>
      <c r="F788" s="23">
        <f t="array" ref="F788">IF($A788="","",
  LET(
    r, $D788,
    startD, INDEX(Calculation!B$2:B9627, r),
    endD,   INDEX(Calculation!C$2:C9627, r),
    asOf,   MIN($A788,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1160555.479</v>
      </c>
    </row>
    <row r="789">
      <c r="A789" s="19">
        <v>43024.0</v>
      </c>
      <c r="B789" s="23">
        <v>1.0765E7</v>
      </c>
      <c r="C789" s="23">
        <f t="shared" si="1"/>
        <v>1162030.137</v>
      </c>
      <c r="D789" s="18">
        <f>IF(A789="","",MATCH(A789,Calculation!B$2:B9627,1))</f>
        <v>1</v>
      </c>
      <c r="E789" s="23">
        <f t="array" ref="E789">IF(D789="","",IF(D789=1,0,INDEX(Calculation!Q$2:Q9627,D789-1)))</f>
        <v>0</v>
      </c>
      <c r="F789" s="23">
        <f t="array" ref="F789">IF($A789="","",
  LET(
    r, $D789,
    startD, INDEX(Calculation!B$2:B9627, r),
    endD,   INDEX(Calculation!C$2:C9627, r),
    asOf,   MIN($A789,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1162030.137</v>
      </c>
    </row>
    <row r="790">
      <c r="A790" s="19">
        <v>43025.0</v>
      </c>
      <c r="B790" s="23">
        <v>1.0765E7</v>
      </c>
      <c r="C790" s="23">
        <f t="shared" si="1"/>
        <v>1163504.795</v>
      </c>
      <c r="D790" s="18">
        <f>IF(A790="","",MATCH(A790,Calculation!B$2:B9627,1))</f>
        <v>1</v>
      </c>
      <c r="E790" s="23">
        <f t="array" ref="E790">IF(D790="","",IF(D790=1,0,INDEX(Calculation!Q$2:Q9627,D790-1)))</f>
        <v>0</v>
      </c>
      <c r="F790" s="23">
        <f t="array" ref="F790">IF($A790="","",
  LET(
    r, $D790,
    startD, INDEX(Calculation!B$2:B9627, r),
    endD,   INDEX(Calculation!C$2:C9627, r),
    asOf,   MIN($A790,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1163504.795</v>
      </c>
    </row>
    <row r="791">
      <c r="A791" s="19">
        <v>43026.0</v>
      </c>
      <c r="B791" s="23">
        <v>1.0765E7</v>
      </c>
      <c r="C791" s="23">
        <f t="shared" si="1"/>
        <v>1164979.452</v>
      </c>
      <c r="D791" s="18">
        <f>IF(A791="","",MATCH(A791,Calculation!B$2:B9627,1))</f>
        <v>1</v>
      </c>
      <c r="E791" s="23">
        <f t="array" ref="E791">IF(D791="","",IF(D791=1,0,INDEX(Calculation!Q$2:Q9627,D791-1)))</f>
        <v>0</v>
      </c>
      <c r="F791" s="23">
        <f t="array" ref="F791">IF($A791="","",
  LET(
    r, $D791,
    startD, INDEX(Calculation!B$2:B9627, r),
    endD,   INDEX(Calculation!C$2:C9627, r),
    asOf,   MIN($A791,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1164979.452</v>
      </c>
    </row>
    <row r="792">
      <c r="A792" s="19">
        <v>43027.0</v>
      </c>
      <c r="B792" s="23">
        <v>1.0765E7</v>
      </c>
      <c r="C792" s="23">
        <f t="shared" si="1"/>
        <v>1166454.11</v>
      </c>
      <c r="D792" s="18">
        <f>IF(A792="","",MATCH(A792,Calculation!B$2:B9627,1))</f>
        <v>1</v>
      </c>
      <c r="E792" s="23">
        <f t="array" ref="E792">IF(D792="","",IF(D792=1,0,INDEX(Calculation!Q$2:Q9627,D792-1)))</f>
        <v>0</v>
      </c>
      <c r="F792" s="23">
        <f t="array" ref="F792">IF($A792="","",
  LET(
    r, $D792,
    startD, INDEX(Calculation!B$2:B9627, r),
    endD,   INDEX(Calculation!C$2:C9627, r),
    asOf,   MIN($A792,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1166454.11</v>
      </c>
    </row>
    <row r="793">
      <c r="A793" s="19">
        <v>43028.0</v>
      </c>
      <c r="B793" s="23">
        <v>1.0765E7</v>
      </c>
      <c r="C793" s="23">
        <f t="shared" si="1"/>
        <v>1167928.767</v>
      </c>
      <c r="D793" s="18">
        <f>IF(A793="","",MATCH(A793,Calculation!B$2:B9627,1))</f>
        <v>1</v>
      </c>
      <c r="E793" s="23">
        <f t="array" ref="E793">IF(D793="","",IF(D793=1,0,INDEX(Calculation!Q$2:Q9627,D793-1)))</f>
        <v>0</v>
      </c>
      <c r="F793" s="23">
        <f t="array" ref="F793">IF($A793="","",
  LET(
    r, $D793,
    startD, INDEX(Calculation!B$2:B9627, r),
    endD,   INDEX(Calculation!C$2:C9627, r),
    asOf,   MIN($A793,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1167928.767</v>
      </c>
    </row>
    <row r="794">
      <c r="A794" s="19">
        <v>43029.0</v>
      </c>
      <c r="B794" s="23">
        <v>1.0765E7</v>
      </c>
      <c r="C794" s="23">
        <f t="shared" si="1"/>
        <v>1169403.425</v>
      </c>
      <c r="D794" s="18">
        <f>IF(A794="","",MATCH(A794,Calculation!B$2:B9627,1))</f>
        <v>1</v>
      </c>
      <c r="E794" s="23">
        <f t="array" ref="E794">IF(D794="","",IF(D794=1,0,INDEX(Calculation!Q$2:Q9627,D794-1)))</f>
        <v>0</v>
      </c>
      <c r="F794" s="23">
        <f t="array" ref="F794">IF($A794="","",
  LET(
    r, $D794,
    startD, INDEX(Calculation!B$2:B9627, r),
    endD,   INDEX(Calculation!C$2:C9627, r),
    asOf,   MIN($A794,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1169403.425</v>
      </c>
    </row>
    <row r="795">
      <c r="A795" s="19">
        <v>43030.0</v>
      </c>
      <c r="B795" s="23">
        <v>1.0765E7</v>
      </c>
      <c r="C795" s="23">
        <f t="shared" si="1"/>
        <v>1170878.082</v>
      </c>
      <c r="D795" s="18">
        <f>IF(A795="","",MATCH(A795,Calculation!B$2:B9627,1))</f>
        <v>1</v>
      </c>
      <c r="E795" s="23">
        <f t="array" ref="E795">IF(D795="","",IF(D795=1,0,INDEX(Calculation!Q$2:Q9627,D795-1)))</f>
        <v>0</v>
      </c>
      <c r="F795" s="23">
        <f t="array" ref="F795">IF($A795="","",
  LET(
    r, $D795,
    startD, INDEX(Calculation!B$2:B9627, r),
    endD,   INDEX(Calculation!C$2:C9627, r),
    asOf,   MIN($A795,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1170878.082</v>
      </c>
    </row>
    <row r="796">
      <c r="A796" s="19">
        <v>43031.0</v>
      </c>
      <c r="B796" s="23">
        <v>1.0765E7</v>
      </c>
      <c r="C796" s="23">
        <f t="shared" si="1"/>
        <v>1172352.74</v>
      </c>
      <c r="D796" s="18">
        <f>IF(A796="","",MATCH(A796,Calculation!B$2:B9627,1))</f>
        <v>1</v>
      </c>
      <c r="E796" s="23">
        <f t="array" ref="E796">IF(D796="","",IF(D796=1,0,INDEX(Calculation!Q$2:Q9627,D796-1)))</f>
        <v>0</v>
      </c>
      <c r="F796" s="23">
        <f t="array" ref="F796">IF($A796="","",
  LET(
    r, $D796,
    startD, INDEX(Calculation!B$2:B9627, r),
    endD,   INDEX(Calculation!C$2:C9627, r),
    asOf,   MIN($A796,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1172352.74</v>
      </c>
    </row>
    <row r="797">
      <c r="A797" s="19">
        <v>43032.0</v>
      </c>
      <c r="B797" s="23">
        <v>1.0765E7</v>
      </c>
      <c r="C797" s="23">
        <f t="shared" si="1"/>
        <v>1173827.397</v>
      </c>
      <c r="D797" s="18">
        <f>IF(A797="","",MATCH(A797,Calculation!B$2:B9627,1))</f>
        <v>1</v>
      </c>
      <c r="E797" s="23">
        <f t="array" ref="E797">IF(D797="","",IF(D797=1,0,INDEX(Calculation!Q$2:Q9627,D797-1)))</f>
        <v>0</v>
      </c>
      <c r="F797" s="23">
        <f t="array" ref="F797">IF($A797="","",
  LET(
    r, $D797,
    startD, INDEX(Calculation!B$2:B9627, r),
    endD,   INDEX(Calculation!C$2:C9627, r),
    asOf,   MIN($A797,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1173827.397</v>
      </c>
    </row>
    <row r="798">
      <c r="A798" s="19">
        <v>43033.0</v>
      </c>
      <c r="B798" s="23">
        <v>1.0765E7</v>
      </c>
      <c r="C798" s="23">
        <f t="shared" si="1"/>
        <v>1175302.055</v>
      </c>
      <c r="D798" s="18">
        <f>IF(A798="","",MATCH(A798,Calculation!B$2:B9627,1))</f>
        <v>1</v>
      </c>
      <c r="E798" s="23">
        <f t="array" ref="E798">IF(D798="","",IF(D798=1,0,INDEX(Calculation!Q$2:Q9627,D798-1)))</f>
        <v>0</v>
      </c>
      <c r="F798" s="23">
        <f t="array" ref="F798">IF($A798="","",
  LET(
    r, $D798,
    startD, INDEX(Calculation!B$2:B9627, r),
    endD,   INDEX(Calculation!C$2:C9627, r),
    asOf,   MIN($A798,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1175302.055</v>
      </c>
    </row>
    <row r="799">
      <c r="A799" s="19">
        <v>43034.0</v>
      </c>
      <c r="B799" s="23">
        <v>1.0765E7</v>
      </c>
      <c r="C799" s="23">
        <f t="shared" si="1"/>
        <v>1176776.712</v>
      </c>
      <c r="D799" s="18">
        <f>IF(A799="","",MATCH(A799,Calculation!B$2:B9627,1))</f>
        <v>1</v>
      </c>
      <c r="E799" s="23">
        <f t="array" ref="E799">IF(D799="","",IF(D799=1,0,INDEX(Calculation!Q$2:Q9627,D799-1)))</f>
        <v>0</v>
      </c>
      <c r="F799" s="23">
        <f t="array" ref="F799">IF($A799="","",
  LET(
    r, $D799,
    startD, INDEX(Calculation!B$2:B9627, r),
    endD,   INDEX(Calculation!C$2:C9627, r),
    asOf,   MIN($A799,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1176776.712</v>
      </c>
    </row>
    <row r="800">
      <c r="A800" s="19">
        <v>43035.0</v>
      </c>
      <c r="B800" s="23">
        <v>1.0765E7</v>
      </c>
      <c r="C800" s="23">
        <f t="shared" si="1"/>
        <v>1178251.37</v>
      </c>
      <c r="D800" s="18">
        <f>IF(A800="","",MATCH(A800,Calculation!B$2:B9627,1))</f>
        <v>1</v>
      </c>
      <c r="E800" s="23">
        <f t="array" ref="E800">IF(D800="","",IF(D800=1,0,INDEX(Calculation!Q$2:Q9627,D800-1)))</f>
        <v>0</v>
      </c>
      <c r="F800" s="23">
        <f t="array" ref="F800">IF($A800="","",
  LET(
    r, $D800,
    startD, INDEX(Calculation!B$2:B9627, r),
    endD,   INDEX(Calculation!C$2:C9627, r),
    asOf,   MIN($A800,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1178251.37</v>
      </c>
    </row>
    <row r="801">
      <c r="A801" s="19">
        <v>43036.0</v>
      </c>
      <c r="B801" s="23">
        <v>1.0765E7</v>
      </c>
      <c r="C801" s="23">
        <f t="shared" si="1"/>
        <v>1179726.027</v>
      </c>
      <c r="D801" s="18">
        <f>IF(A801="","",MATCH(A801,Calculation!B$2:B9627,1))</f>
        <v>1</v>
      </c>
      <c r="E801" s="23">
        <f t="array" ref="E801">IF(D801="","",IF(D801=1,0,INDEX(Calculation!Q$2:Q9627,D801-1)))</f>
        <v>0</v>
      </c>
      <c r="F801" s="23">
        <f t="array" ref="F801">IF($A801="","",
  LET(
    r, $D801,
    startD, INDEX(Calculation!B$2:B9627, r),
    endD,   INDEX(Calculation!C$2:C9627, r),
    asOf,   MIN($A801,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1179726.027</v>
      </c>
    </row>
    <row r="802">
      <c r="A802" s="19">
        <v>43037.0</v>
      </c>
      <c r="B802" s="23">
        <v>1.0765E7</v>
      </c>
      <c r="C802" s="23">
        <f t="shared" si="1"/>
        <v>1181200.685</v>
      </c>
      <c r="D802" s="18">
        <f>IF(A802="","",MATCH(A802,Calculation!B$2:B9627,1))</f>
        <v>1</v>
      </c>
      <c r="E802" s="23">
        <f t="array" ref="E802">IF(D802="","",IF(D802=1,0,INDEX(Calculation!Q$2:Q9627,D802-1)))</f>
        <v>0</v>
      </c>
      <c r="F802" s="23">
        <f t="array" ref="F802">IF($A802="","",
  LET(
    r, $D802,
    startD, INDEX(Calculation!B$2:B9627, r),
    endD,   INDEX(Calculation!C$2:C9627, r),
    asOf,   MIN($A802,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1181200.685</v>
      </c>
    </row>
    <row r="803">
      <c r="A803" s="19">
        <v>43038.0</v>
      </c>
      <c r="B803" s="23">
        <v>1.0765E7</v>
      </c>
      <c r="C803" s="23">
        <f t="shared" si="1"/>
        <v>1182675.342</v>
      </c>
      <c r="D803" s="18">
        <f>IF(A803="","",MATCH(A803,Calculation!B$2:B9627,1))</f>
        <v>1</v>
      </c>
      <c r="E803" s="23">
        <f t="array" ref="E803">IF(D803="","",IF(D803=1,0,INDEX(Calculation!Q$2:Q9627,D803-1)))</f>
        <v>0</v>
      </c>
      <c r="F803" s="23">
        <f t="array" ref="F803">IF($A803="","",
  LET(
    r, $D803,
    startD, INDEX(Calculation!B$2:B9627, r),
    endD,   INDEX(Calculation!C$2:C9627, r),
    asOf,   MIN($A803,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1182675.342</v>
      </c>
    </row>
    <row r="804">
      <c r="A804" s="19">
        <v>43039.0</v>
      </c>
      <c r="B804" s="23">
        <v>1.0765E7</v>
      </c>
      <c r="C804" s="23">
        <f t="shared" si="1"/>
        <v>1184150</v>
      </c>
      <c r="D804" s="18">
        <f>IF(A804="","",MATCH(A804,Calculation!B$2:B9627,1))</f>
        <v>1</v>
      </c>
      <c r="E804" s="23">
        <f t="array" ref="E804">IF(D804="","",IF(D804=1,0,INDEX(Calculation!Q$2:Q9627,D804-1)))</f>
        <v>0</v>
      </c>
      <c r="F804" s="23">
        <f t="array" ref="F804">IF($A804="","",
  LET(
    r, $D804,
    startD, INDEX(Calculation!B$2:B9627, r),
    endD,   INDEX(Calculation!C$2:C9627, r),
    asOf,   MIN($A804,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1184150</v>
      </c>
    </row>
    <row r="805">
      <c r="A805" s="19">
        <v>43040.0</v>
      </c>
      <c r="B805" s="23">
        <v>1.0765E7</v>
      </c>
      <c r="C805" s="23">
        <f t="shared" si="1"/>
        <v>1185624.658</v>
      </c>
      <c r="D805" s="18">
        <f>IF(A805="","",MATCH(A805,Calculation!B$2:B9627,1))</f>
        <v>1</v>
      </c>
      <c r="E805" s="23">
        <f t="array" ref="E805">IF(D805="","",IF(D805=1,0,INDEX(Calculation!Q$2:Q9627,D805-1)))</f>
        <v>0</v>
      </c>
      <c r="F805" s="23">
        <f t="array" ref="F805">IF($A805="","",
  LET(
    r, $D805,
    startD, INDEX(Calculation!B$2:B9627, r),
    endD,   INDEX(Calculation!C$2:C9627, r),
    asOf,   MIN($A805,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1185624.658</v>
      </c>
    </row>
    <row r="806">
      <c r="A806" s="19">
        <v>43041.0</v>
      </c>
      <c r="B806" s="23">
        <v>1.0765E7</v>
      </c>
      <c r="C806" s="23">
        <f t="shared" si="1"/>
        <v>1187099.315</v>
      </c>
      <c r="D806" s="18">
        <f>IF(A806="","",MATCH(A806,Calculation!B$2:B9627,1))</f>
        <v>1</v>
      </c>
      <c r="E806" s="23">
        <f t="array" ref="E806">IF(D806="","",IF(D806=1,0,INDEX(Calculation!Q$2:Q9627,D806-1)))</f>
        <v>0</v>
      </c>
      <c r="F806" s="23">
        <f t="array" ref="F806">IF($A806="","",
  LET(
    r, $D806,
    startD, INDEX(Calculation!B$2:B9627, r),
    endD,   INDEX(Calculation!C$2:C9627, r),
    asOf,   MIN($A806,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1187099.315</v>
      </c>
    </row>
    <row r="807">
      <c r="A807" s="19">
        <v>43042.0</v>
      </c>
      <c r="B807" s="23">
        <v>1.0765E7</v>
      </c>
      <c r="C807" s="23">
        <f t="shared" si="1"/>
        <v>1188573.973</v>
      </c>
      <c r="D807" s="18">
        <f>IF(A807="","",MATCH(A807,Calculation!B$2:B9627,1))</f>
        <v>1</v>
      </c>
      <c r="E807" s="23">
        <f t="array" ref="E807">IF(D807="","",IF(D807=1,0,INDEX(Calculation!Q$2:Q9627,D807-1)))</f>
        <v>0</v>
      </c>
      <c r="F807" s="23">
        <f t="array" ref="F807">IF($A807="","",
  LET(
    r, $D807,
    startD, INDEX(Calculation!B$2:B9627, r),
    endD,   INDEX(Calculation!C$2:C9627, r),
    asOf,   MIN($A807,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1188573.973</v>
      </c>
    </row>
    <row r="808">
      <c r="A808" s="19">
        <v>43043.0</v>
      </c>
      <c r="B808" s="23">
        <v>1.0765E7</v>
      </c>
      <c r="C808" s="23">
        <f t="shared" si="1"/>
        <v>1190048.63</v>
      </c>
      <c r="D808" s="18">
        <f>IF(A808="","",MATCH(A808,Calculation!B$2:B9627,1))</f>
        <v>1</v>
      </c>
      <c r="E808" s="23">
        <f t="array" ref="E808">IF(D808="","",IF(D808=1,0,INDEX(Calculation!Q$2:Q9627,D808-1)))</f>
        <v>0</v>
      </c>
      <c r="F808" s="23">
        <f t="array" ref="F808">IF($A808="","",
  LET(
    r, $D808,
    startD, INDEX(Calculation!B$2:B9627, r),
    endD,   INDEX(Calculation!C$2:C9627, r),
    asOf,   MIN($A808,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1190048.63</v>
      </c>
    </row>
    <row r="809">
      <c r="A809" s="19">
        <v>43044.0</v>
      </c>
      <c r="B809" s="23">
        <v>1.0765E7</v>
      </c>
      <c r="C809" s="23">
        <f t="shared" si="1"/>
        <v>1191523.288</v>
      </c>
      <c r="D809" s="18">
        <f>IF(A809="","",MATCH(A809,Calculation!B$2:B9627,1))</f>
        <v>1</v>
      </c>
      <c r="E809" s="23">
        <f t="array" ref="E809">IF(D809="","",IF(D809=1,0,INDEX(Calculation!Q$2:Q9627,D809-1)))</f>
        <v>0</v>
      </c>
      <c r="F809" s="23">
        <f t="array" ref="F809">IF($A809="","",
  LET(
    r, $D809,
    startD, INDEX(Calculation!B$2:B9627, r),
    endD,   INDEX(Calculation!C$2:C9627, r),
    asOf,   MIN($A809,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1191523.288</v>
      </c>
    </row>
    <row r="810">
      <c r="A810" s="19">
        <v>43045.0</v>
      </c>
      <c r="B810" s="23">
        <v>1.0765E7</v>
      </c>
      <c r="C810" s="23">
        <f t="shared" si="1"/>
        <v>1192997.945</v>
      </c>
      <c r="D810" s="18">
        <f>IF(A810="","",MATCH(A810,Calculation!B$2:B9627,1))</f>
        <v>1</v>
      </c>
      <c r="E810" s="23">
        <f t="array" ref="E810">IF(D810="","",IF(D810=1,0,INDEX(Calculation!Q$2:Q9627,D810-1)))</f>
        <v>0</v>
      </c>
      <c r="F810" s="23">
        <f t="array" ref="F810">IF($A810="","",
  LET(
    r, $D810,
    startD, INDEX(Calculation!B$2:B9627, r),
    endD,   INDEX(Calculation!C$2:C9627, r),
    asOf,   MIN($A810,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1192997.945</v>
      </c>
    </row>
    <row r="811">
      <c r="A811" s="19">
        <v>43046.0</v>
      </c>
      <c r="B811" s="23">
        <v>1.0765E7</v>
      </c>
      <c r="C811" s="23">
        <f t="shared" si="1"/>
        <v>1194472.603</v>
      </c>
      <c r="D811" s="18">
        <f>IF(A811="","",MATCH(A811,Calculation!B$2:B9627,1))</f>
        <v>1</v>
      </c>
      <c r="E811" s="23">
        <f t="array" ref="E811">IF(D811="","",IF(D811=1,0,INDEX(Calculation!Q$2:Q9627,D811-1)))</f>
        <v>0</v>
      </c>
      <c r="F811" s="23">
        <f t="array" ref="F811">IF($A811="","",
  LET(
    r, $D811,
    startD, INDEX(Calculation!B$2:B9627, r),
    endD,   INDEX(Calculation!C$2:C9627, r),
    asOf,   MIN($A811,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1194472.603</v>
      </c>
    </row>
    <row r="812">
      <c r="A812" s="19">
        <v>43047.0</v>
      </c>
      <c r="B812" s="23">
        <v>1.0765E7</v>
      </c>
      <c r="C812" s="23">
        <f t="shared" si="1"/>
        <v>1195947.26</v>
      </c>
      <c r="D812" s="18">
        <f>IF(A812="","",MATCH(A812,Calculation!B$2:B9627,1))</f>
        <v>1</v>
      </c>
      <c r="E812" s="23">
        <f t="array" ref="E812">IF(D812="","",IF(D812=1,0,INDEX(Calculation!Q$2:Q9627,D812-1)))</f>
        <v>0</v>
      </c>
      <c r="F812" s="23">
        <f t="array" ref="F812">IF($A812="","",
  LET(
    r, $D812,
    startD, INDEX(Calculation!B$2:B9627, r),
    endD,   INDEX(Calculation!C$2:C9627, r),
    asOf,   MIN($A812,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1195947.26</v>
      </c>
    </row>
    <row r="813">
      <c r="A813" s="19">
        <v>43048.0</v>
      </c>
      <c r="B813" s="23">
        <v>1.0765E7</v>
      </c>
      <c r="C813" s="23">
        <f t="shared" si="1"/>
        <v>1197421.918</v>
      </c>
      <c r="D813" s="18">
        <f>IF(A813="","",MATCH(A813,Calculation!B$2:B9627,1))</f>
        <v>1</v>
      </c>
      <c r="E813" s="23">
        <f t="array" ref="E813">IF(D813="","",IF(D813=1,0,INDEX(Calculation!Q$2:Q9627,D813-1)))</f>
        <v>0</v>
      </c>
      <c r="F813" s="23">
        <f t="array" ref="F813">IF($A813="","",
  LET(
    r, $D813,
    startD, INDEX(Calculation!B$2:B9627, r),
    endD,   INDEX(Calculation!C$2:C9627, r),
    asOf,   MIN($A813,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1197421.918</v>
      </c>
    </row>
    <row r="814">
      <c r="A814" s="19">
        <v>43049.0</v>
      </c>
      <c r="B814" s="23">
        <v>1.0765E7</v>
      </c>
      <c r="C814" s="23">
        <f t="shared" si="1"/>
        <v>1198896.575</v>
      </c>
      <c r="D814" s="18">
        <f>IF(A814="","",MATCH(A814,Calculation!B$2:B9627,1))</f>
        <v>1</v>
      </c>
      <c r="E814" s="23">
        <f t="array" ref="E814">IF(D814="","",IF(D814=1,0,INDEX(Calculation!Q$2:Q9627,D814-1)))</f>
        <v>0</v>
      </c>
      <c r="F814" s="23">
        <f t="array" ref="F814">IF($A814="","",
  LET(
    r, $D814,
    startD, INDEX(Calculation!B$2:B9627, r),
    endD,   INDEX(Calculation!C$2:C9627, r),
    asOf,   MIN($A814,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1198896.575</v>
      </c>
    </row>
    <row r="815">
      <c r="A815" s="19">
        <v>43050.0</v>
      </c>
      <c r="B815" s="23">
        <v>1.0765E7</v>
      </c>
      <c r="C815" s="23">
        <f t="shared" si="1"/>
        <v>1200371.233</v>
      </c>
      <c r="D815" s="18">
        <f>IF(A815="","",MATCH(A815,Calculation!B$2:B9627,1))</f>
        <v>1</v>
      </c>
      <c r="E815" s="23">
        <f t="array" ref="E815">IF(D815="","",IF(D815=1,0,INDEX(Calculation!Q$2:Q9627,D815-1)))</f>
        <v>0</v>
      </c>
      <c r="F815" s="23">
        <f t="array" ref="F815">IF($A815="","",
  LET(
    r, $D815,
    startD, INDEX(Calculation!B$2:B9627, r),
    endD,   INDEX(Calculation!C$2:C9627, r),
    asOf,   MIN($A815,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1200371.233</v>
      </c>
    </row>
    <row r="816">
      <c r="A816" s="19">
        <v>43051.0</v>
      </c>
      <c r="B816" s="23">
        <v>1.0765E7</v>
      </c>
      <c r="C816" s="23">
        <f t="shared" si="1"/>
        <v>1201845.89</v>
      </c>
      <c r="D816" s="18">
        <f>IF(A816="","",MATCH(A816,Calculation!B$2:B9627,1))</f>
        <v>1</v>
      </c>
      <c r="E816" s="23">
        <f t="array" ref="E816">IF(D816="","",IF(D816=1,0,INDEX(Calculation!Q$2:Q9627,D816-1)))</f>
        <v>0</v>
      </c>
      <c r="F816" s="23">
        <f t="array" ref="F816">IF($A816="","",
  LET(
    r, $D816,
    startD, INDEX(Calculation!B$2:B9627, r),
    endD,   INDEX(Calculation!C$2:C9627, r),
    asOf,   MIN($A816,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1201845.89</v>
      </c>
    </row>
    <row r="817">
      <c r="A817" s="19">
        <v>43052.0</v>
      </c>
      <c r="B817" s="23">
        <v>1.0765E7</v>
      </c>
      <c r="C817" s="23">
        <f t="shared" si="1"/>
        <v>1203320.548</v>
      </c>
      <c r="D817" s="18">
        <f>IF(A817="","",MATCH(A817,Calculation!B$2:B9627,1))</f>
        <v>1</v>
      </c>
      <c r="E817" s="23">
        <f t="array" ref="E817">IF(D817="","",IF(D817=1,0,INDEX(Calculation!Q$2:Q9627,D817-1)))</f>
        <v>0</v>
      </c>
      <c r="F817" s="23">
        <f t="array" ref="F817">IF($A817="","",
  LET(
    r, $D817,
    startD, INDEX(Calculation!B$2:B9627, r),
    endD,   INDEX(Calculation!C$2:C9627, r),
    asOf,   MIN($A817,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1203320.548</v>
      </c>
    </row>
    <row r="818">
      <c r="A818" s="19">
        <v>43053.0</v>
      </c>
      <c r="B818" s="23">
        <v>1.0765E7</v>
      </c>
      <c r="C818" s="23">
        <f t="shared" si="1"/>
        <v>1204795.205</v>
      </c>
      <c r="D818" s="18">
        <f>IF(A818="","",MATCH(A818,Calculation!B$2:B9627,1))</f>
        <v>1</v>
      </c>
      <c r="E818" s="23">
        <f t="array" ref="E818">IF(D818="","",IF(D818=1,0,INDEX(Calculation!Q$2:Q9627,D818-1)))</f>
        <v>0</v>
      </c>
      <c r="F818" s="23">
        <f t="array" ref="F818">IF($A818="","",
  LET(
    r, $D818,
    startD, INDEX(Calculation!B$2:B9627, r),
    endD,   INDEX(Calculation!C$2:C9627, r),
    asOf,   MIN($A818,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1204795.205</v>
      </c>
    </row>
    <row r="819">
      <c r="A819" s="19">
        <v>43054.0</v>
      </c>
      <c r="B819" s="23">
        <v>1.0765E7</v>
      </c>
      <c r="C819" s="23">
        <f t="shared" si="1"/>
        <v>1206269.863</v>
      </c>
      <c r="D819" s="18">
        <f>IF(A819="","",MATCH(A819,Calculation!B$2:B9627,1))</f>
        <v>1</v>
      </c>
      <c r="E819" s="23">
        <f t="array" ref="E819">IF(D819="","",IF(D819=1,0,INDEX(Calculation!Q$2:Q9627,D819-1)))</f>
        <v>0</v>
      </c>
      <c r="F819" s="23">
        <f t="array" ref="F819">IF($A819="","",
  LET(
    r, $D819,
    startD, INDEX(Calculation!B$2:B9627, r),
    endD,   INDEX(Calculation!C$2:C9627, r),
    asOf,   MIN($A819,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1206269.863</v>
      </c>
    </row>
    <row r="820">
      <c r="A820" s="19">
        <v>43055.0</v>
      </c>
      <c r="B820" s="23">
        <v>1.0765E7</v>
      </c>
      <c r="C820" s="23">
        <f t="shared" si="1"/>
        <v>1207744.521</v>
      </c>
      <c r="D820" s="18">
        <f>IF(A820="","",MATCH(A820,Calculation!B$2:B9627,1))</f>
        <v>1</v>
      </c>
      <c r="E820" s="23">
        <f t="array" ref="E820">IF(D820="","",IF(D820=1,0,INDEX(Calculation!Q$2:Q9627,D820-1)))</f>
        <v>0</v>
      </c>
      <c r="F820" s="23">
        <f t="array" ref="F820">IF($A820="","",
  LET(
    r, $D820,
    startD, INDEX(Calculation!B$2:B9627, r),
    endD,   INDEX(Calculation!C$2:C9627, r),
    asOf,   MIN($A820,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1207744.521</v>
      </c>
    </row>
    <row r="821">
      <c r="A821" s="19">
        <v>43056.0</v>
      </c>
      <c r="B821" s="23">
        <v>1.0765E7</v>
      </c>
      <c r="C821" s="23">
        <f t="shared" si="1"/>
        <v>1209219.178</v>
      </c>
      <c r="D821" s="18">
        <f>IF(A821="","",MATCH(A821,Calculation!B$2:B9627,1))</f>
        <v>1</v>
      </c>
      <c r="E821" s="23">
        <f t="array" ref="E821">IF(D821="","",IF(D821=1,0,INDEX(Calculation!Q$2:Q9627,D821-1)))</f>
        <v>0</v>
      </c>
      <c r="F821" s="23">
        <f t="array" ref="F821">IF($A821="","",
  LET(
    r, $D821,
    startD, INDEX(Calculation!B$2:B9627, r),
    endD,   INDEX(Calculation!C$2:C9627, r),
    asOf,   MIN($A821,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1209219.178</v>
      </c>
    </row>
    <row r="822">
      <c r="A822" s="19">
        <v>43057.0</v>
      </c>
      <c r="B822" s="23">
        <v>1.0765E7</v>
      </c>
      <c r="C822" s="23">
        <f t="shared" si="1"/>
        <v>1210693.836</v>
      </c>
      <c r="D822" s="18">
        <f>IF(A822="","",MATCH(A822,Calculation!B$2:B9627,1))</f>
        <v>1</v>
      </c>
      <c r="E822" s="23">
        <f t="array" ref="E822">IF(D822="","",IF(D822=1,0,INDEX(Calculation!Q$2:Q9627,D822-1)))</f>
        <v>0</v>
      </c>
      <c r="F822" s="23">
        <f t="array" ref="F822">IF($A822="","",
  LET(
    r, $D822,
    startD, INDEX(Calculation!B$2:B9627, r),
    endD,   INDEX(Calculation!C$2:C9627, r),
    asOf,   MIN($A822,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1210693.836</v>
      </c>
    </row>
    <row r="823">
      <c r="A823" s="19">
        <v>43058.0</v>
      </c>
      <c r="B823" s="23">
        <v>1.0765E7</v>
      </c>
      <c r="C823" s="23">
        <f t="shared" si="1"/>
        <v>1212168.493</v>
      </c>
      <c r="D823" s="18">
        <f>IF(A823="","",MATCH(A823,Calculation!B$2:B9627,1))</f>
        <v>1</v>
      </c>
      <c r="E823" s="23">
        <f t="array" ref="E823">IF(D823="","",IF(D823=1,0,INDEX(Calculation!Q$2:Q9627,D823-1)))</f>
        <v>0</v>
      </c>
      <c r="F823" s="23">
        <f t="array" ref="F823">IF($A823="","",
  LET(
    r, $D823,
    startD, INDEX(Calculation!B$2:B9627, r),
    endD,   INDEX(Calculation!C$2:C9627, r),
    asOf,   MIN($A823,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1212168.493</v>
      </c>
    </row>
    <row r="824">
      <c r="A824" s="19">
        <v>43059.0</v>
      </c>
      <c r="B824" s="23">
        <v>1.0765E7</v>
      </c>
      <c r="C824" s="23">
        <f t="shared" si="1"/>
        <v>1213643.151</v>
      </c>
      <c r="D824" s="18">
        <f>IF(A824="","",MATCH(A824,Calculation!B$2:B9627,1))</f>
        <v>1</v>
      </c>
      <c r="E824" s="23">
        <f t="array" ref="E824">IF(D824="","",IF(D824=1,0,INDEX(Calculation!Q$2:Q9627,D824-1)))</f>
        <v>0</v>
      </c>
      <c r="F824" s="23">
        <f t="array" ref="F824">IF($A824="","",
  LET(
    r, $D824,
    startD, INDEX(Calculation!B$2:B9627, r),
    endD,   INDEX(Calculation!C$2:C9627, r),
    asOf,   MIN($A824,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1213643.151</v>
      </c>
    </row>
    <row r="825">
      <c r="A825" s="19">
        <v>43060.0</v>
      </c>
      <c r="B825" s="23">
        <v>1.0765E7</v>
      </c>
      <c r="C825" s="23">
        <f t="shared" si="1"/>
        <v>1215117.808</v>
      </c>
      <c r="D825" s="18">
        <f>IF(A825="","",MATCH(A825,Calculation!B$2:B9627,1))</f>
        <v>1</v>
      </c>
      <c r="E825" s="23">
        <f t="array" ref="E825">IF(D825="","",IF(D825=1,0,INDEX(Calculation!Q$2:Q9627,D825-1)))</f>
        <v>0</v>
      </c>
      <c r="F825" s="23">
        <f t="array" ref="F825">IF($A825="","",
  LET(
    r, $D825,
    startD, INDEX(Calculation!B$2:B9627, r),
    endD,   INDEX(Calculation!C$2:C9627, r),
    asOf,   MIN($A825,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1215117.808</v>
      </c>
    </row>
    <row r="826">
      <c r="A826" s="19">
        <v>43061.0</v>
      </c>
      <c r="B826" s="23">
        <v>1.0765E7</v>
      </c>
      <c r="C826" s="23">
        <f t="shared" si="1"/>
        <v>1216592.466</v>
      </c>
      <c r="D826" s="18">
        <f>IF(A826="","",MATCH(A826,Calculation!B$2:B9627,1))</f>
        <v>1</v>
      </c>
      <c r="E826" s="23">
        <f t="array" ref="E826">IF(D826="","",IF(D826=1,0,INDEX(Calculation!Q$2:Q9627,D826-1)))</f>
        <v>0</v>
      </c>
      <c r="F826" s="23">
        <f t="array" ref="F826">IF($A826="","",
  LET(
    r, $D826,
    startD, INDEX(Calculation!B$2:B9627, r),
    endD,   INDEX(Calculation!C$2:C9627, r),
    asOf,   MIN($A826,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1216592.466</v>
      </c>
    </row>
    <row r="827">
      <c r="A827" s="19">
        <v>43062.0</v>
      </c>
      <c r="B827" s="23">
        <v>1.0765E7</v>
      </c>
      <c r="C827" s="23">
        <f t="shared" si="1"/>
        <v>1218067.123</v>
      </c>
      <c r="D827" s="18">
        <f>IF(A827="","",MATCH(A827,Calculation!B$2:B9627,1))</f>
        <v>1</v>
      </c>
      <c r="E827" s="23">
        <f t="array" ref="E827">IF(D827="","",IF(D827=1,0,INDEX(Calculation!Q$2:Q9627,D827-1)))</f>
        <v>0</v>
      </c>
      <c r="F827" s="23">
        <f t="array" ref="F827">IF($A827="","",
  LET(
    r, $D827,
    startD, INDEX(Calculation!B$2:B9627, r),
    endD,   INDEX(Calculation!C$2:C9627, r),
    asOf,   MIN($A827,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1218067.123</v>
      </c>
    </row>
    <row r="828">
      <c r="A828" s="19">
        <v>43063.0</v>
      </c>
      <c r="B828" s="23">
        <v>1.0765E7</v>
      </c>
      <c r="C828" s="23">
        <f t="shared" si="1"/>
        <v>1219541.781</v>
      </c>
      <c r="D828" s="18">
        <f>IF(A828="","",MATCH(A828,Calculation!B$2:B9627,1))</f>
        <v>1</v>
      </c>
      <c r="E828" s="23">
        <f t="array" ref="E828">IF(D828="","",IF(D828=1,0,INDEX(Calculation!Q$2:Q9627,D828-1)))</f>
        <v>0</v>
      </c>
      <c r="F828" s="23">
        <f t="array" ref="F828">IF($A828="","",
  LET(
    r, $D828,
    startD, INDEX(Calculation!B$2:B9627, r),
    endD,   INDEX(Calculation!C$2:C9627, r),
    asOf,   MIN($A828,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1219541.781</v>
      </c>
    </row>
    <row r="829">
      <c r="A829" s="19">
        <v>43064.0</v>
      </c>
      <c r="B829" s="23">
        <v>1.0765E7</v>
      </c>
      <c r="C829" s="23">
        <f t="shared" si="1"/>
        <v>1221016.438</v>
      </c>
      <c r="D829" s="18">
        <f>IF(A829="","",MATCH(A829,Calculation!B$2:B9627,1))</f>
        <v>1</v>
      </c>
      <c r="E829" s="23">
        <f t="array" ref="E829">IF(D829="","",IF(D829=1,0,INDEX(Calculation!Q$2:Q9627,D829-1)))</f>
        <v>0</v>
      </c>
      <c r="F829" s="23">
        <f t="array" ref="F829">IF($A829="","",
  LET(
    r, $D829,
    startD, INDEX(Calculation!B$2:B9627, r),
    endD,   INDEX(Calculation!C$2:C9627, r),
    asOf,   MIN($A829,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1221016.438</v>
      </c>
    </row>
    <row r="830">
      <c r="A830" s="19">
        <v>43065.0</v>
      </c>
      <c r="B830" s="23">
        <v>1.0765E7</v>
      </c>
      <c r="C830" s="23">
        <f t="shared" si="1"/>
        <v>1222491.096</v>
      </c>
      <c r="D830" s="18">
        <f>IF(A830="","",MATCH(A830,Calculation!B$2:B9627,1))</f>
        <v>1</v>
      </c>
      <c r="E830" s="23">
        <f t="array" ref="E830">IF(D830="","",IF(D830=1,0,INDEX(Calculation!Q$2:Q9627,D830-1)))</f>
        <v>0</v>
      </c>
      <c r="F830" s="23">
        <f t="array" ref="F830">IF($A830="","",
  LET(
    r, $D830,
    startD, INDEX(Calculation!B$2:B9627, r),
    endD,   INDEX(Calculation!C$2:C9627, r),
    asOf,   MIN($A830,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1222491.096</v>
      </c>
    </row>
    <row r="831">
      <c r="A831" s="19">
        <v>43066.0</v>
      </c>
      <c r="B831" s="23">
        <v>1.0765E7</v>
      </c>
      <c r="C831" s="23">
        <f t="shared" si="1"/>
        <v>1223965.753</v>
      </c>
      <c r="D831" s="18">
        <f>IF(A831="","",MATCH(A831,Calculation!B$2:B9627,1))</f>
        <v>1</v>
      </c>
      <c r="E831" s="23">
        <f t="array" ref="E831">IF(D831="","",IF(D831=1,0,INDEX(Calculation!Q$2:Q9627,D831-1)))</f>
        <v>0</v>
      </c>
      <c r="F831" s="23">
        <f t="array" ref="F831">IF($A831="","",
  LET(
    r, $D831,
    startD, INDEX(Calculation!B$2:B9627, r),
    endD,   INDEX(Calculation!C$2:C9627, r),
    asOf,   MIN($A831,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1223965.753</v>
      </c>
    </row>
    <row r="832">
      <c r="A832" s="19">
        <v>43067.0</v>
      </c>
      <c r="B832" s="23">
        <v>1.0765E7</v>
      </c>
      <c r="C832" s="23">
        <f t="shared" si="1"/>
        <v>1225440.411</v>
      </c>
      <c r="D832" s="18">
        <f>IF(A832="","",MATCH(A832,Calculation!B$2:B9627,1))</f>
        <v>1</v>
      </c>
      <c r="E832" s="23">
        <f t="array" ref="E832">IF(D832="","",IF(D832=1,0,INDEX(Calculation!Q$2:Q9627,D832-1)))</f>
        <v>0</v>
      </c>
      <c r="F832" s="23">
        <f t="array" ref="F832">IF($A832="","",
  LET(
    r, $D832,
    startD, INDEX(Calculation!B$2:B9627, r),
    endD,   INDEX(Calculation!C$2:C9627, r),
    asOf,   MIN($A832,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1225440.411</v>
      </c>
    </row>
    <row r="833">
      <c r="A833" s="19">
        <v>43068.0</v>
      </c>
      <c r="B833" s="23">
        <v>1.0765E7</v>
      </c>
      <c r="C833" s="23">
        <f t="shared" si="1"/>
        <v>1226915.068</v>
      </c>
      <c r="D833" s="18">
        <f>IF(A833="","",MATCH(A833,Calculation!B$2:B9627,1))</f>
        <v>1</v>
      </c>
      <c r="E833" s="23">
        <f t="array" ref="E833">IF(D833="","",IF(D833=1,0,INDEX(Calculation!Q$2:Q9627,D833-1)))</f>
        <v>0</v>
      </c>
      <c r="F833" s="23">
        <f t="array" ref="F833">IF($A833="","",
  LET(
    r, $D833,
    startD, INDEX(Calculation!B$2:B9627, r),
    endD,   INDEX(Calculation!C$2:C9627, r),
    asOf,   MIN($A833,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1226915.068</v>
      </c>
    </row>
    <row r="834">
      <c r="A834" s="19">
        <v>43069.0</v>
      </c>
      <c r="B834" s="23">
        <v>1.0765E7</v>
      </c>
      <c r="C834" s="23">
        <f t="shared" si="1"/>
        <v>1228389.726</v>
      </c>
      <c r="D834" s="18">
        <f>IF(A834="","",MATCH(A834,Calculation!B$2:B9627,1))</f>
        <v>1</v>
      </c>
      <c r="E834" s="23">
        <f t="array" ref="E834">IF(D834="","",IF(D834=1,0,INDEX(Calculation!Q$2:Q9627,D834-1)))</f>
        <v>0</v>
      </c>
      <c r="F834" s="23">
        <f t="array" ref="F834">IF($A834="","",
  LET(
    r, $D834,
    startD, INDEX(Calculation!B$2:B9627, r),
    endD,   INDEX(Calculation!C$2:C9627, r),
    asOf,   MIN($A834,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1228389.726</v>
      </c>
    </row>
    <row r="835">
      <c r="A835" s="19">
        <v>43070.0</v>
      </c>
      <c r="B835" s="23">
        <v>1.0765E7</v>
      </c>
      <c r="C835" s="23">
        <f t="shared" si="1"/>
        <v>1229864.384</v>
      </c>
      <c r="D835" s="18">
        <f>IF(A835="","",MATCH(A835,Calculation!B$2:B9627,1))</f>
        <v>1</v>
      </c>
      <c r="E835" s="23">
        <f t="array" ref="E835">IF(D835="","",IF(D835=1,0,INDEX(Calculation!Q$2:Q9627,D835-1)))</f>
        <v>0</v>
      </c>
      <c r="F835" s="23">
        <f t="array" ref="F835">IF($A835="","",
  LET(
    r, $D835,
    startD, INDEX(Calculation!B$2:B9627, r),
    endD,   INDEX(Calculation!C$2:C9627, r),
    asOf,   MIN($A835,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1229864.384</v>
      </c>
    </row>
    <row r="836">
      <c r="A836" s="19">
        <v>43071.0</v>
      </c>
      <c r="B836" s="23">
        <v>1.0765E7</v>
      </c>
      <c r="C836" s="23">
        <f t="shared" si="1"/>
        <v>1231339.041</v>
      </c>
      <c r="D836" s="18">
        <f>IF(A836="","",MATCH(A836,Calculation!B$2:B9627,1))</f>
        <v>1</v>
      </c>
      <c r="E836" s="23">
        <f t="array" ref="E836">IF(D836="","",IF(D836=1,0,INDEX(Calculation!Q$2:Q9627,D836-1)))</f>
        <v>0</v>
      </c>
      <c r="F836" s="23">
        <f t="array" ref="F836">IF($A836="","",
  LET(
    r, $D836,
    startD, INDEX(Calculation!B$2:B9627, r),
    endD,   INDEX(Calculation!C$2:C9627, r),
    asOf,   MIN($A836,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1231339.041</v>
      </c>
    </row>
    <row r="837">
      <c r="A837" s="19">
        <v>43072.0</v>
      </c>
      <c r="B837" s="23">
        <v>1.0765E7</v>
      </c>
      <c r="C837" s="23">
        <f t="shared" si="1"/>
        <v>1232813.699</v>
      </c>
      <c r="D837" s="18">
        <f>IF(A837="","",MATCH(A837,Calculation!B$2:B9627,1))</f>
        <v>1</v>
      </c>
      <c r="E837" s="23">
        <f t="array" ref="E837">IF(D837="","",IF(D837=1,0,INDEX(Calculation!Q$2:Q9627,D837-1)))</f>
        <v>0</v>
      </c>
      <c r="F837" s="23">
        <f t="array" ref="F837">IF($A837="","",
  LET(
    r, $D837,
    startD, INDEX(Calculation!B$2:B9627, r),
    endD,   INDEX(Calculation!C$2:C9627, r),
    asOf,   MIN($A837,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1232813.699</v>
      </c>
    </row>
    <row r="838">
      <c r="A838" s="19">
        <v>43073.0</v>
      </c>
      <c r="B838" s="23">
        <v>1.0765E7</v>
      </c>
      <c r="C838" s="23">
        <f t="shared" si="1"/>
        <v>1234288.356</v>
      </c>
      <c r="D838" s="18">
        <f>IF(A838="","",MATCH(A838,Calculation!B$2:B9627,1))</f>
        <v>1</v>
      </c>
      <c r="E838" s="23">
        <f t="array" ref="E838">IF(D838="","",IF(D838=1,0,INDEX(Calculation!Q$2:Q9627,D838-1)))</f>
        <v>0</v>
      </c>
      <c r="F838" s="23">
        <f t="array" ref="F838">IF($A838="","",
  LET(
    r, $D838,
    startD, INDEX(Calculation!B$2:B9627, r),
    endD,   INDEX(Calculation!C$2:C9627, r),
    asOf,   MIN($A838,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1234288.356</v>
      </c>
    </row>
    <row r="839">
      <c r="A839" s="19">
        <v>43074.0</v>
      </c>
      <c r="B839" s="23">
        <v>1.0765E7</v>
      </c>
      <c r="C839" s="23">
        <f t="shared" si="1"/>
        <v>1235763.014</v>
      </c>
      <c r="D839" s="18">
        <f>IF(A839="","",MATCH(A839,Calculation!B$2:B9627,1))</f>
        <v>1</v>
      </c>
      <c r="E839" s="23">
        <f t="array" ref="E839">IF(D839="","",IF(D839=1,0,INDEX(Calculation!Q$2:Q9627,D839-1)))</f>
        <v>0</v>
      </c>
      <c r="F839" s="23">
        <f t="array" ref="F839">IF($A839="","",
  LET(
    r, $D839,
    startD, INDEX(Calculation!B$2:B9627, r),
    endD,   INDEX(Calculation!C$2:C9627, r),
    asOf,   MIN($A839,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1235763.014</v>
      </c>
    </row>
    <row r="840">
      <c r="A840" s="19">
        <v>43075.0</v>
      </c>
      <c r="B840" s="23">
        <v>1.0765E7</v>
      </c>
      <c r="C840" s="23">
        <f t="shared" si="1"/>
        <v>1237237.671</v>
      </c>
      <c r="D840" s="18">
        <f>IF(A840="","",MATCH(A840,Calculation!B$2:B9627,1))</f>
        <v>1</v>
      </c>
      <c r="E840" s="23">
        <f t="array" ref="E840">IF(D840="","",IF(D840=1,0,INDEX(Calculation!Q$2:Q9627,D840-1)))</f>
        <v>0</v>
      </c>
      <c r="F840" s="23">
        <f t="array" ref="F840">IF($A840="","",
  LET(
    r, $D840,
    startD, INDEX(Calculation!B$2:B9627, r),
    endD,   INDEX(Calculation!C$2:C9627, r),
    asOf,   MIN($A840,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1237237.671</v>
      </c>
    </row>
    <row r="841">
      <c r="A841" s="19">
        <v>43076.0</v>
      </c>
      <c r="B841" s="23">
        <v>1.0765E7</v>
      </c>
      <c r="C841" s="23">
        <f t="shared" si="1"/>
        <v>1238712.329</v>
      </c>
      <c r="D841" s="18">
        <f>IF(A841="","",MATCH(A841,Calculation!B$2:B9627,1))</f>
        <v>1</v>
      </c>
      <c r="E841" s="23">
        <f t="array" ref="E841">IF(D841="","",IF(D841=1,0,INDEX(Calculation!Q$2:Q9627,D841-1)))</f>
        <v>0</v>
      </c>
      <c r="F841" s="23">
        <f t="array" ref="F841">IF($A841="","",
  LET(
    r, $D841,
    startD, INDEX(Calculation!B$2:B9627, r),
    endD,   INDEX(Calculation!C$2:C9627, r),
    asOf,   MIN($A841,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1238712.329</v>
      </c>
    </row>
    <row r="842">
      <c r="A842" s="19">
        <v>43077.0</v>
      </c>
      <c r="B842" s="23">
        <v>1.0765E7</v>
      </c>
      <c r="C842" s="23">
        <f t="shared" si="1"/>
        <v>1240186.986</v>
      </c>
      <c r="D842" s="18">
        <f>IF(A842="","",MATCH(A842,Calculation!B$2:B9627,1))</f>
        <v>1</v>
      </c>
      <c r="E842" s="23">
        <f t="array" ref="E842">IF(D842="","",IF(D842=1,0,INDEX(Calculation!Q$2:Q9627,D842-1)))</f>
        <v>0</v>
      </c>
      <c r="F842" s="23">
        <f t="array" ref="F842">IF($A842="","",
  LET(
    r, $D842,
    startD, INDEX(Calculation!B$2:B9627, r),
    endD,   INDEX(Calculation!C$2:C9627, r),
    asOf,   MIN($A842,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1240186.986</v>
      </c>
    </row>
    <row r="843">
      <c r="A843" s="19">
        <v>43078.0</v>
      </c>
      <c r="B843" s="23">
        <v>1.0765E7</v>
      </c>
      <c r="C843" s="23">
        <f t="shared" si="1"/>
        <v>1241661.644</v>
      </c>
      <c r="D843" s="18">
        <f>IF(A843="","",MATCH(A843,Calculation!B$2:B9627,1))</f>
        <v>1</v>
      </c>
      <c r="E843" s="23">
        <f t="array" ref="E843">IF(D843="","",IF(D843=1,0,INDEX(Calculation!Q$2:Q9627,D843-1)))</f>
        <v>0</v>
      </c>
      <c r="F843" s="23">
        <f t="array" ref="F843">IF($A843="","",
  LET(
    r, $D843,
    startD, INDEX(Calculation!B$2:B9627, r),
    endD,   INDEX(Calculation!C$2:C9627, r),
    asOf,   MIN($A843,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1241661.644</v>
      </c>
    </row>
    <row r="844">
      <c r="A844" s="19">
        <v>43079.0</v>
      </c>
      <c r="B844" s="23">
        <v>1.0765E7</v>
      </c>
      <c r="C844" s="23">
        <f t="shared" si="1"/>
        <v>1243136.301</v>
      </c>
      <c r="D844" s="18">
        <f>IF(A844="","",MATCH(A844,Calculation!B$2:B9627,1))</f>
        <v>1</v>
      </c>
      <c r="E844" s="23">
        <f t="array" ref="E844">IF(D844="","",IF(D844=1,0,INDEX(Calculation!Q$2:Q9627,D844-1)))</f>
        <v>0</v>
      </c>
      <c r="F844" s="23">
        <f t="array" ref="F844">IF($A844="","",
  LET(
    r, $D844,
    startD, INDEX(Calculation!B$2:B9627, r),
    endD,   INDEX(Calculation!C$2:C9627, r),
    asOf,   MIN($A844,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1243136.301</v>
      </c>
    </row>
    <row r="845">
      <c r="A845" s="19">
        <v>43080.0</v>
      </c>
      <c r="B845" s="23">
        <v>1.0765E7</v>
      </c>
      <c r="C845" s="23">
        <f t="shared" si="1"/>
        <v>1244610.959</v>
      </c>
      <c r="D845" s="18">
        <f>IF(A845="","",MATCH(A845,Calculation!B$2:B9627,1))</f>
        <v>1</v>
      </c>
      <c r="E845" s="23">
        <f t="array" ref="E845">IF(D845="","",IF(D845=1,0,INDEX(Calculation!Q$2:Q9627,D845-1)))</f>
        <v>0</v>
      </c>
      <c r="F845" s="23">
        <f t="array" ref="F845">IF($A845="","",
  LET(
    r, $D845,
    startD, INDEX(Calculation!B$2:B9627, r),
    endD,   INDEX(Calculation!C$2:C9627, r),
    asOf,   MIN($A845,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1244610.959</v>
      </c>
    </row>
    <row r="846">
      <c r="A846" s="19">
        <v>43081.0</v>
      </c>
      <c r="B846" s="23">
        <v>1.0765E7</v>
      </c>
      <c r="C846" s="23">
        <f t="shared" si="1"/>
        <v>1246085.616</v>
      </c>
      <c r="D846" s="18">
        <f>IF(A846="","",MATCH(A846,Calculation!B$2:B9627,1))</f>
        <v>1</v>
      </c>
      <c r="E846" s="23">
        <f t="array" ref="E846">IF(D846="","",IF(D846=1,0,INDEX(Calculation!Q$2:Q9627,D846-1)))</f>
        <v>0</v>
      </c>
      <c r="F846" s="23">
        <f t="array" ref="F846">IF($A846="","",
  LET(
    r, $D846,
    startD, INDEX(Calculation!B$2:B9627, r),
    endD,   INDEX(Calculation!C$2:C9627, r),
    asOf,   MIN($A846,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1246085.616</v>
      </c>
    </row>
    <row r="847">
      <c r="A847" s="19">
        <v>43082.0</v>
      </c>
      <c r="B847" s="23">
        <v>1.0765E7</v>
      </c>
      <c r="C847" s="23">
        <f t="shared" si="1"/>
        <v>1247560.274</v>
      </c>
      <c r="D847" s="18">
        <f>IF(A847="","",MATCH(A847,Calculation!B$2:B9627,1))</f>
        <v>1</v>
      </c>
      <c r="E847" s="23">
        <f t="array" ref="E847">IF(D847="","",IF(D847=1,0,INDEX(Calculation!Q$2:Q9627,D847-1)))</f>
        <v>0</v>
      </c>
      <c r="F847" s="23">
        <f t="array" ref="F847">IF($A847="","",
  LET(
    r, $D847,
    startD, INDEX(Calculation!B$2:B9627, r),
    endD,   INDEX(Calculation!C$2:C9627, r),
    asOf,   MIN($A847,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1247560.274</v>
      </c>
    </row>
    <row r="848">
      <c r="A848" s="19">
        <v>43083.0</v>
      </c>
      <c r="B848" s="23">
        <v>1.0765E7</v>
      </c>
      <c r="C848" s="23">
        <f t="shared" si="1"/>
        <v>1249034.932</v>
      </c>
      <c r="D848" s="18">
        <f>IF(A848="","",MATCH(A848,Calculation!B$2:B9627,1))</f>
        <v>1</v>
      </c>
      <c r="E848" s="23">
        <f t="array" ref="E848">IF(D848="","",IF(D848=1,0,INDEX(Calculation!Q$2:Q9627,D848-1)))</f>
        <v>0</v>
      </c>
      <c r="F848" s="23">
        <f t="array" ref="F848">IF($A848="","",
  LET(
    r, $D848,
    startD, INDEX(Calculation!B$2:B9627, r),
    endD,   INDEX(Calculation!C$2:C9627, r),
    asOf,   MIN($A848,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1249034.932</v>
      </c>
    </row>
    <row r="849">
      <c r="A849" s="19">
        <v>43084.0</v>
      </c>
      <c r="B849" s="23">
        <v>1.0765E7</v>
      </c>
      <c r="C849" s="23">
        <f t="shared" si="1"/>
        <v>1250509.589</v>
      </c>
      <c r="D849" s="18">
        <f>IF(A849="","",MATCH(A849,Calculation!B$2:B9627,1))</f>
        <v>1</v>
      </c>
      <c r="E849" s="23">
        <f t="array" ref="E849">IF(D849="","",IF(D849=1,0,INDEX(Calculation!Q$2:Q9627,D849-1)))</f>
        <v>0</v>
      </c>
      <c r="F849" s="23">
        <f t="array" ref="F849">IF($A849="","",
  LET(
    r, $D849,
    startD, INDEX(Calculation!B$2:B9627, r),
    endD,   INDEX(Calculation!C$2:C9627, r),
    asOf,   MIN($A849,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1250509.589</v>
      </c>
    </row>
    <row r="850">
      <c r="A850" s="19">
        <v>43085.0</v>
      </c>
      <c r="B850" s="23">
        <v>1.0765E7</v>
      </c>
      <c r="C850" s="23">
        <f t="shared" si="1"/>
        <v>1251984.247</v>
      </c>
      <c r="D850" s="18">
        <f>IF(A850="","",MATCH(A850,Calculation!B$2:B9627,1))</f>
        <v>1</v>
      </c>
      <c r="E850" s="23">
        <f t="array" ref="E850">IF(D850="","",IF(D850=1,0,INDEX(Calculation!Q$2:Q9627,D850-1)))</f>
        <v>0</v>
      </c>
      <c r="F850" s="23">
        <f t="array" ref="F850">IF($A850="","",
  LET(
    r, $D850,
    startD, INDEX(Calculation!B$2:B9627, r),
    endD,   INDEX(Calculation!C$2:C9627, r),
    asOf,   MIN($A850,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1251984.247</v>
      </c>
    </row>
    <row r="851">
      <c r="A851" s="19">
        <v>43086.0</v>
      </c>
      <c r="B851" s="23">
        <v>1.0765E7</v>
      </c>
      <c r="C851" s="23">
        <f t="shared" si="1"/>
        <v>1253458.904</v>
      </c>
      <c r="D851" s="18">
        <f>IF(A851="","",MATCH(A851,Calculation!B$2:B9627,1))</f>
        <v>1</v>
      </c>
      <c r="E851" s="23">
        <f t="array" ref="E851">IF(D851="","",IF(D851=1,0,INDEX(Calculation!Q$2:Q9627,D851-1)))</f>
        <v>0</v>
      </c>
      <c r="F851" s="23">
        <f t="array" ref="F851">IF($A851="","",
  LET(
    r, $D851,
    startD, INDEX(Calculation!B$2:B9627, r),
    endD,   INDEX(Calculation!C$2:C9627, r),
    asOf,   MIN($A851,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1253458.904</v>
      </c>
    </row>
    <row r="852">
      <c r="A852" s="19">
        <v>43087.0</v>
      </c>
      <c r="B852" s="23">
        <v>1.0765E7</v>
      </c>
      <c r="C852" s="23">
        <f t="shared" si="1"/>
        <v>1254933.562</v>
      </c>
      <c r="D852" s="18">
        <f>IF(A852="","",MATCH(A852,Calculation!B$2:B9627,1))</f>
        <v>1</v>
      </c>
      <c r="E852" s="23">
        <f t="array" ref="E852">IF(D852="","",IF(D852=1,0,INDEX(Calculation!Q$2:Q9627,D852-1)))</f>
        <v>0</v>
      </c>
      <c r="F852" s="23">
        <f t="array" ref="F852">IF($A852="","",
  LET(
    r, $D852,
    startD, INDEX(Calculation!B$2:B9627, r),
    endD,   INDEX(Calculation!C$2:C9627, r),
    asOf,   MIN($A852,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1254933.562</v>
      </c>
    </row>
    <row r="853">
      <c r="A853" s="19">
        <v>43088.0</v>
      </c>
      <c r="B853" s="23">
        <v>1.0765E7</v>
      </c>
      <c r="C853" s="23">
        <f t="shared" si="1"/>
        <v>1256408.219</v>
      </c>
      <c r="D853" s="18">
        <f>IF(A853="","",MATCH(A853,Calculation!B$2:B9627,1))</f>
        <v>1</v>
      </c>
      <c r="E853" s="23">
        <f t="array" ref="E853">IF(D853="","",IF(D853=1,0,INDEX(Calculation!Q$2:Q9627,D853-1)))</f>
        <v>0</v>
      </c>
      <c r="F853" s="23">
        <f t="array" ref="F853">IF($A853="","",
  LET(
    r, $D853,
    startD, INDEX(Calculation!B$2:B9627, r),
    endD,   INDEX(Calculation!C$2:C9627, r),
    asOf,   MIN($A853,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1256408.219</v>
      </c>
    </row>
    <row r="854">
      <c r="A854" s="19">
        <v>43089.0</v>
      </c>
      <c r="B854" s="23">
        <v>1.0765E7</v>
      </c>
      <c r="C854" s="23">
        <f t="shared" si="1"/>
        <v>1257882.877</v>
      </c>
      <c r="D854" s="18">
        <f>IF(A854="","",MATCH(A854,Calculation!B$2:B9627,1))</f>
        <v>1</v>
      </c>
      <c r="E854" s="23">
        <f t="array" ref="E854">IF(D854="","",IF(D854=1,0,INDEX(Calculation!Q$2:Q9627,D854-1)))</f>
        <v>0</v>
      </c>
      <c r="F854" s="23">
        <f t="array" ref="F854">IF($A854="","",
  LET(
    r, $D854,
    startD, INDEX(Calculation!B$2:B9627, r),
    endD,   INDEX(Calculation!C$2:C9627, r),
    asOf,   MIN($A854,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1257882.877</v>
      </c>
    </row>
    <row r="855">
      <c r="A855" s="19">
        <v>43090.0</v>
      </c>
      <c r="B855" s="23">
        <v>1.0765E7</v>
      </c>
      <c r="C855" s="23">
        <f t="shared" si="1"/>
        <v>1259357.534</v>
      </c>
      <c r="D855" s="18">
        <f>IF(A855="","",MATCH(A855,Calculation!B$2:B9627,1))</f>
        <v>1</v>
      </c>
      <c r="E855" s="23">
        <f t="array" ref="E855">IF(D855="","",IF(D855=1,0,INDEX(Calculation!Q$2:Q9627,D855-1)))</f>
        <v>0</v>
      </c>
      <c r="F855" s="23">
        <f t="array" ref="F855">IF($A855="","",
  LET(
    r, $D855,
    startD, INDEX(Calculation!B$2:B9627, r),
    endD,   INDEX(Calculation!C$2:C9627, r),
    asOf,   MIN($A855,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1259357.534</v>
      </c>
    </row>
    <row r="856">
      <c r="A856" s="19">
        <v>43091.0</v>
      </c>
      <c r="B856" s="23">
        <v>1.0765E7</v>
      </c>
      <c r="C856" s="23">
        <f t="shared" si="1"/>
        <v>1260832.192</v>
      </c>
      <c r="D856" s="18">
        <f>IF(A856="","",MATCH(A856,Calculation!B$2:B9627,1))</f>
        <v>1</v>
      </c>
      <c r="E856" s="23">
        <f t="array" ref="E856">IF(D856="","",IF(D856=1,0,INDEX(Calculation!Q$2:Q9627,D856-1)))</f>
        <v>0</v>
      </c>
      <c r="F856" s="23">
        <f t="array" ref="F856">IF($A856="","",
  LET(
    r, $D856,
    startD, INDEX(Calculation!B$2:B9627, r),
    endD,   INDEX(Calculation!C$2:C9627, r),
    asOf,   MIN($A856,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1260832.192</v>
      </c>
    </row>
    <row r="857">
      <c r="A857" s="19">
        <v>43092.0</v>
      </c>
      <c r="B857" s="23">
        <v>1.0765E7</v>
      </c>
      <c r="C857" s="23">
        <f t="shared" si="1"/>
        <v>1262306.849</v>
      </c>
      <c r="D857" s="18">
        <f>IF(A857="","",MATCH(A857,Calculation!B$2:B9627,1))</f>
        <v>1</v>
      </c>
      <c r="E857" s="23">
        <f t="array" ref="E857">IF(D857="","",IF(D857=1,0,INDEX(Calculation!Q$2:Q9627,D857-1)))</f>
        <v>0</v>
      </c>
      <c r="F857" s="23">
        <f t="array" ref="F857">IF($A857="","",
  LET(
    r, $D857,
    startD, INDEX(Calculation!B$2:B9627, r),
    endD,   INDEX(Calculation!C$2:C9627, r),
    asOf,   MIN($A857,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1262306.849</v>
      </c>
    </row>
    <row r="858">
      <c r="A858" s="19">
        <v>43093.0</v>
      </c>
      <c r="B858" s="23">
        <v>1.0765E7</v>
      </c>
      <c r="C858" s="23">
        <f t="shared" si="1"/>
        <v>1263781.507</v>
      </c>
      <c r="D858" s="18">
        <f>IF(A858="","",MATCH(A858,Calculation!B$2:B9627,1))</f>
        <v>1</v>
      </c>
      <c r="E858" s="23">
        <f t="array" ref="E858">IF(D858="","",IF(D858=1,0,INDEX(Calculation!Q$2:Q9627,D858-1)))</f>
        <v>0</v>
      </c>
      <c r="F858" s="23">
        <f t="array" ref="F858">IF($A858="","",
  LET(
    r, $D858,
    startD, INDEX(Calculation!B$2:B9627, r),
    endD,   INDEX(Calculation!C$2:C9627, r),
    asOf,   MIN($A858,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1263781.507</v>
      </c>
    </row>
    <row r="859">
      <c r="A859" s="19">
        <v>43094.0</v>
      </c>
      <c r="B859" s="23">
        <v>1.0765E7</v>
      </c>
      <c r="C859" s="23">
        <f t="shared" si="1"/>
        <v>1265256.164</v>
      </c>
      <c r="D859" s="18">
        <f>IF(A859="","",MATCH(A859,Calculation!B$2:B9627,1))</f>
        <v>1</v>
      </c>
      <c r="E859" s="23">
        <f t="array" ref="E859">IF(D859="","",IF(D859=1,0,INDEX(Calculation!Q$2:Q9627,D859-1)))</f>
        <v>0</v>
      </c>
      <c r="F859" s="23">
        <f t="array" ref="F859">IF($A859="","",
  LET(
    r, $D859,
    startD, INDEX(Calculation!B$2:B9627, r),
    endD,   INDEX(Calculation!C$2:C9627, r),
    asOf,   MIN($A859,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1265256.164</v>
      </c>
    </row>
    <row r="860">
      <c r="A860" s="19">
        <v>43095.0</v>
      </c>
      <c r="B860" s="23">
        <v>1.0765E7</v>
      </c>
      <c r="C860" s="23">
        <f t="shared" si="1"/>
        <v>1266730.822</v>
      </c>
      <c r="D860" s="18">
        <f>IF(A860="","",MATCH(A860,Calculation!B$2:B9627,1))</f>
        <v>1</v>
      </c>
      <c r="E860" s="23">
        <f t="array" ref="E860">IF(D860="","",IF(D860=1,0,INDEX(Calculation!Q$2:Q9627,D860-1)))</f>
        <v>0</v>
      </c>
      <c r="F860" s="23">
        <f t="array" ref="F860">IF($A860="","",
  LET(
    r, $D860,
    startD, INDEX(Calculation!B$2:B9627, r),
    endD,   INDEX(Calculation!C$2:C9627, r),
    asOf,   MIN($A860,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1266730.822</v>
      </c>
    </row>
    <row r="861">
      <c r="A861" s="19">
        <v>43096.0</v>
      </c>
      <c r="B861" s="23">
        <v>1.0765E7</v>
      </c>
      <c r="C861" s="23">
        <f t="shared" si="1"/>
        <v>1268205.479</v>
      </c>
      <c r="D861" s="18">
        <f>IF(A861="","",MATCH(A861,Calculation!B$2:B9627,1))</f>
        <v>1</v>
      </c>
      <c r="E861" s="23">
        <f t="array" ref="E861">IF(D861="","",IF(D861=1,0,INDEX(Calculation!Q$2:Q9627,D861-1)))</f>
        <v>0</v>
      </c>
      <c r="F861" s="23">
        <f t="array" ref="F861">IF($A861="","",
  LET(
    r, $D861,
    startD, INDEX(Calculation!B$2:B9627, r),
    endD,   INDEX(Calculation!C$2:C9627, r),
    asOf,   MIN($A861,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1268205.479</v>
      </c>
    </row>
    <row r="862">
      <c r="A862" s="19">
        <v>43097.0</v>
      </c>
      <c r="B862" s="23">
        <v>1.0765E7</v>
      </c>
      <c r="C862" s="23">
        <f t="shared" si="1"/>
        <v>1269680.137</v>
      </c>
      <c r="D862" s="18">
        <f>IF(A862="","",MATCH(A862,Calculation!B$2:B9627,1))</f>
        <v>1</v>
      </c>
      <c r="E862" s="23">
        <f t="array" ref="E862">IF(D862="","",IF(D862=1,0,INDEX(Calculation!Q$2:Q9627,D862-1)))</f>
        <v>0</v>
      </c>
      <c r="F862" s="23">
        <f t="array" ref="F862">IF($A862="","",
  LET(
    r, $D862,
    startD, INDEX(Calculation!B$2:B9627, r),
    endD,   INDEX(Calculation!C$2:C9627, r),
    asOf,   MIN($A862,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1269680.137</v>
      </c>
    </row>
    <row r="863">
      <c r="A863" s="19">
        <v>43098.0</v>
      </c>
      <c r="B863" s="23">
        <v>1.0765E7</v>
      </c>
      <c r="C863" s="23">
        <f t="shared" si="1"/>
        <v>1271154.795</v>
      </c>
      <c r="D863" s="18">
        <f>IF(A863="","",MATCH(A863,Calculation!B$2:B9627,1))</f>
        <v>1</v>
      </c>
      <c r="E863" s="23">
        <f t="array" ref="E863">IF(D863="","",IF(D863=1,0,INDEX(Calculation!Q$2:Q9627,D863-1)))</f>
        <v>0</v>
      </c>
      <c r="F863" s="23">
        <f t="array" ref="F863">IF($A863="","",
  LET(
    r, $D863,
    startD, INDEX(Calculation!B$2:B9627, r),
    endD,   INDEX(Calculation!C$2:C9627, r),
    asOf,   MIN($A863,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1271154.795</v>
      </c>
    </row>
    <row r="864">
      <c r="A864" s="19">
        <v>43099.0</v>
      </c>
      <c r="B864" s="23">
        <v>1.0765E7</v>
      </c>
      <c r="C864" s="23">
        <f t="shared" si="1"/>
        <v>1272629.452</v>
      </c>
      <c r="D864" s="18">
        <f>IF(A864="","",MATCH(A864,Calculation!B$2:B9627,1))</f>
        <v>1</v>
      </c>
      <c r="E864" s="23">
        <f t="array" ref="E864">IF(D864="","",IF(D864=1,0,INDEX(Calculation!Q$2:Q9627,D864-1)))</f>
        <v>0</v>
      </c>
      <c r="F864" s="23">
        <f t="array" ref="F864">IF($A864="","",
  LET(
    r, $D864,
    startD, INDEX(Calculation!B$2:B9627, r),
    endD,   INDEX(Calculation!C$2:C9627, r),
    asOf,   MIN($A864,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1272629.452</v>
      </c>
    </row>
    <row r="865">
      <c r="A865" s="19">
        <v>43100.0</v>
      </c>
      <c r="B865" s="23">
        <v>1.0765E7</v>
      </c>
      <c r="C865" s="23">
        <f t="shared" si="1"/>
        <v>1274104.11</v>
      </c>
      <c r="D865" s="18">
        <f>IF(A865="","",MATCH(A865,Calculation!B$2:B9627,1))</f>
        <v>1</v>
      </c>
      <c r="E865" s="23">
        <f t="array" ref="E865">IF(D865="","",IF(D865=1,0,INDEX(Calculation!Q$2:Q9627,D865-1)))</f>
        <v>0</v>
      </c>
      <c r="F865" s="23">
        <f t="array" ref="F865">IF($A865="","",
  LET(
    r, $D865,
    startD, INDEX(Calculation!B$2:B9627, r),
    endD,   INDEX(Calculation!C$2:C9627, r),
    asOf,   MIN($A865,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1274104.11</v>
      </c>
    </row>
    <row r="866">
      <c r="A866" s="19">
        <v>43101.0</v>
      </c>
      <c r="B866" s="23">
        <v>1.0765E7</v>
      </c>
      <c r="C866" s="23">
        <f t="shared" si="1"/>
        <v>1275578.767</v>
      </c>
      <c r="D866" s="18">
        <f>IF(A866="","",MATCH(A866,Calculation!B$2:B9627,1))</f>
        <v>1</v>
      </c>
      <c r="E866" s="23">
        <f t="array" ref="E866">IF(D866="","",IF(D866=1,0,INDEX(Calculation!Q$2:Q9627,D866-1)))</f>
        <v>0</v>
      </c>
      <c r="F866" s="23">
        <f t="array" ref="F866">IF($A866="","",
  LET(
    r, $D866,
    startD, INDEX(Calculation!B$2:B9627, r),
    endD,   INDEX(Calculation!C$2:C9627, r),
    asOf,   MIN($A866,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1275578.767</v>
      </c>
    </row>
    <row r="867">
      <c r="A867" s="19">
        <v>43102.0</v>
      </c>
      <c r="B867" s="23">
        <v>1.0765E7</v>
      </c>
      <c r="C867" s="23">
        <f t="shared" si="1"/>
        <v>1277053.425</v>
      </c>
      <c r="D867" s="18">
        <f>IF(A867="","",MATCH(A867,Calculation!B$2:B9627,1))</f>
        <v>1</v>
      </c>
      <c r="E867" s="23">
        <f t="array" ref="E867">IF(D867="","",IF(D867=1,0,INDEX(Calculation!Q$2:Q9627,D867-1)))</f>
        <v>0</v>
      </c>
      <c r="F867" s="23">
        <f t="array" ref="F867">IF($A867="","",
  LET(
    r, $D867,
    startD, INDEX(Calculation!B$2:B9627, r),
    endD,   INDEX(Calculation!C$2:C9627, r),
    asOf,   MIN($A867,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1277053.425</v>
      </c>
    </row>
    <row r="868">
      <c r="A868" s="19">
        <v>43103.0</v>
      </c>
      <c r="B868" s="23">
        <v>1.0765E7</v>
      </c>
      <c r="C868" s="23">
        <f t="shared" si="1"/>
        <v>1278528.082</v>
      </c>
      <c r="D868" s="18">
        <f>IF(A868="","",MATCH(A868,Calculation!B$2:B9627,1))</f>
        <v>1</v>
      </c>
      <c r="E868" s="23">
        <f t="array" ref="E868">IF(D868="","",IF(D868=1,0,INDEX(Calculation!Q$2:Q9627,D868-1)))</f>
        <v>0</v>
      </c>
      <c r="F868" s="23">
        <f t="array" ref="F868">IF($A868="","",
  LET(
    r, $D868,
    startD, INDEX(Calculation!B$2:B9627, r),
    endD,   INDEX(Calculation!C$2:C9627, r),
    asOf,   MIN($A868,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1278528.082</v>
      </c>
    </row>
    <row r="869">
      <c r="A869" s="19">
        <v>43104.0</v>
      </c>
      <c r="B869" s="23">
        <v>1.0765E7</v>
      </c>
      <c r="C869" s="23">
        <f t="shared" si="1"/>
        <v>1280002.74</v>
      </c>
      <c r="D869" s="18">
        <f>IF(A869="","",MATCH(A869,Calculation!B$2:B9627,1))</f>
        <v>1</v>
      </c>
      <c r="E869" s="23">
        <f t="array" ref="E869">IF(D869="","",IF(D869=1,0,INDEX(Calculation!Q$2:Q9627,D869-1)))</f>
        <v>0</v>
      </c>
      <c r="F869" s="23">
        <f t="array" ref="F869">IF($A869="","",
  LET(
    r, $D869,
    startD, INDEX(Calculation!B$2:B9627, r),
    endD,   INDEX(Calculation!C$2:C9627, r),
    asOf,   MIN($A869,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1280002.74</v>
      </c>
    </row>
    <row r="870">
      <c r="A870" s="19">
        <v>43105.0</v>
      </c>
      <c r="B870" s="23">
        <v>1.0765E7</v>
      </c>
      <c r="C870" s="23">
        <f t="shared" si="1"/>
        <v>1281477.397</v>
      </c>
      <c r="D870" s="18">
        <f>IF(A870="","",MATCH(A870,Calculation!B$2:B9627,1))</f>
        <v>1</v>
      </c>
      <c r="E870" s="23">
        <f t="array" ref="E870">IF(D870="","",IF(D870=1,0,INDEX(Calculation!Q$2:Q9627,D870-1)))</f>
        <v>0</v>
      </c>
      <c r="F870" s="23">
        <f t="array" ref="F870">IF($A870="","",
  LET(
    r, $D870,
    startD, INDEX(Calculation!B$2:B9627, r),
    endD,   INDEX(Calculation!C$2:C9627, r),
    asOf,   MIN($A870,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1281477.397</v>
      </c>
    </row>
    <row r="871">
      <c r="A871" s="19">
        <v>43106.0</v>
      </c>
      <c r="B871" s="23">
        <v>1.0765E7</v>
      </c>
      <c r="C871" s="23">
        <f t="shared" si="1"/>
        <v>1282952.055</v>
      </c>
      <c r="D871" s="18">
        <f>IF(A871="","",MATCH(A871,Calculation!B$2:B9627,1))</f>
        <v>1</v>
      </c>
      <c r="E871" s="23">
        <f t="array" ref="E871">IF(D871="","",IF(D871=1,0,INDEX(Calculation!Q$2:Q9627,D871-1)))</f>
        <v>0</v>
      </c>
      <c r="F871" s="23">
        <f t="array" ref="F871">IF($A871="","",
  LET(
    r, $D871,
    startD, INDEX(Calculation!B$2:B9627, r),
    endD,   INDEX(Calculation!C$2:C9627, r),
    asOf,   MIN($A871,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1282952.055</v>
      </c>
    </row>
    <row r="872">
      <c r="A872" s="19">
        <v>43107.0</v>
      </c>
      <c r="B872" s="23">
        <v>1.0765E7</v>
      </c>
      <c r="C872" s="23">
        <f t="shared" si="1"/>
        <v>1284426.712</v>
      </c>
      <c r="D872" s="18">
        <f>IF(A872="","",MATCH(A872,Calculation!B$2:B9627,1))</f>
        <v>1</v>
      </c>
      <c r="E872" s="23">
        <f t="array" ref="E872">IF(D872="","",IF(D872=1,0,INDEX(Calculation!Q$2:Q9627,D872-1)))</f>
        <v>0</v>
      </c>
      <c r="F872" s="23">
        <f t="array" ref="F872">IF($A872="","",
  LET(
    r, $D872,
    startD, INDEX(Calculation!B$2:B9627, r),
    endD,   INDEX(Calculation!C$2:C9627, r),
    asOf,   MIN($A872,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1284426.712</v>
      </c>
    </row>
    <row r="873">
      <c r="A873" s="19">
        <v>43108.0</v>
      </c>
      <c r="B873" s="23">
        <v>1.0765E7</v>
      </c>
      <c r="C873" s="23">
        <f t="shared" si="1"/>
        <v>1285901.37</v>
      </c>
      <c r="D873" s="18">
        <f>IF(A873="","",MATCH(A873,Calculation!B$2:B9627,1))</f>
        <v>1</v>
      </c>
      <c r="E873" s="23">
        <f t="array" ref="E873">IF(D873="","",IF(D873=1,0,INDEX(Calculation!Q$2:Q9627,D873-1)))</f>
        <v>0</v>
      </c>
      <c r="F873" s="23">
        <f t="array" ref="F873">IF($A873="","",
  LET(
    r, $D873,
    startD, INDEX(Calculation!B$2:B9627, r),
    endD,   INDEX(Calculation!C$2:C9627, r),
    asOf,   MIN($A873,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1285901.37</v>
      </c>
    </row>
    <row r="874">
      <c r="A874" s="19">
        <v>43109.0</v>
      </c>
      <c r="B874" s="23">
        <v>1.0765E7</v>
      </c>
      <c r="C874" s="23">
        <f t="shared" si="1"/>
        <v>1287376.027</v>
      </c>
      <c r="D874" s="18">
        <f>IF(A874="","",MATCH(A874,Calculation!B$2:B9627,1))</f>
        <v>1</v>
      </c>
      <c r="E874" s="23">
        <f t="array" ref="E874">IF(D874="","",IF(D874=1,0,INDEX(Calculation!Q$2:Q9627,D874-1)))</f>
        <v>0</v>
      </c>
      <c r="F874" s="23">
        <f t="array" ref="F874">IF($A874="","",
  LET(
    r, $D874,
    startD, INDEX(Calculation!B$2:B9627, r),
    endD,   INDEX(Calculation!C$2:C9627, r),
    asOf,   MIN($A874,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1287376.027</v>
      </c>
    </row>
    <row r="875">
      <c r="A875" s="19">
        <v>43110.0</v>
      </c>
      <c r="B875" s="23">
        <v>1.0765E7</v>
      </c>
      <c r="C875" s="23">
        <f t="shared" si="1"/>
        <v>1288850.685</v>
      </c>
      <c r="D875" s="18">
        <f>IF(A875="","",MATCH(A875,Calculation!B$2:B9627,1))</f>
        <v>1</v>
      </c>
      <c r="E875" s="23">
        <f t="array" ref="E875">IF(D875="","",IF(D875=1,0,INDEX(Calculation!Q$2:Q9627,D875-1)))</f>
        <v>0</v>
      </c>
      <c r="F875" s="23">
        <f t="array" ref="F875">IF($A875="","",
  LET(
    r, $D875,
    startD, INDEX(Calculation!B$2:B9627, r),
    endD,   INDEX(Calculation!C$2:C9627, r),
    asOf,   MIN($A875,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1288850.685</v>
      </c>
    </row>
    <row r="876">
      <c r="A876" s="19">
        <v>43111.0</v>
      </c>
      <c r="B876" s="23">
        <v>1.0765E7</v>
      </c>
      <c r="C876" s="23">
        <f t="shared" si="1"/>
        <v>1290325.342</v>
      </c>
      <c r="D876" s="18">
        <f>IF(A876="","",MATCH(A876,Calculation!B$2:B9627,1))</f>
        <v>1</v>
      </c>
      <c r="E876" s="23">
        <f t="array" ref="E876">IF(D876="","",IF(D876=1,0,INDEX(Calculation!Q$2:Q9627,D876-1)))</f>
        <v>0</v>
      </c>
      <c r="F876" s="23">
        <f t="array" ref="F876">IF($A876="","",
  LET(
    r, $D876,
    startD, INDEX(Calculation!B$2:B9627, r),
    endD,   INDEX(Calculation!C$2:C9627, r),
    asOf,   MIN($A876,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1290325.342</v>
      </c>
    </row>
    <row r="877">
      <c r="A877" s="19">
        <v>43112.0</v>
      </c>
      <c r="B877" s="23">
        <v>1.0765E7</v>
      </c>
      <c r="C877" s="23">
        <f t="shared" si="1"/>
        <v>1291800</v>
      </c>
      <c r="D877" s="18">
        <f>IF(A877="","",MATCH(A877,Calculation!B$2:B9627,1))</f>
        <v>1</v>
      </c>
      <c r="E877" s="23">
        <f t="array" ref="E877">IF(D877="","",IF(D877=1,0,INDEX(Calculation!Q$2:Q9627,D877-1)))</f>
        <v>0</v>
      </c>
      <c r="F877" s="23">
        <f t="array" ref="F877">IF($A877="","",
  LET(
    r, $D877,
    startD, INDEX(Calculation!B$2:B9627, r),
    endD,   INDEX(Calculation!C$2:C9627, r),
    asOf,   MIN($A877,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1291800</v>
      </c>
    </row>
    <row r="878">
      <c r="A878" s="19">
        <v>43113.0</v>
      </c>
      <c r="B878" s="23">
        <v>1.0765E7</v>
      </c>
      <c r="C878" s="23">
        <f t="shared" si="1"/>
        <v>1293274.658</v>
      </c>
      <c r="D878" s="18">
        <f>IF(A878="","",MATCH(A878,Calculation!B$2:B9627,1))</f>
        <v>1</v>
      </c>
      <c r="E878" s="23">
        <f t="array" ref="E878">IF(D878="","",IF(D878=1,0,INDEX(Calculation!Q$2:Q9627,D878-1)))</f>
        <v>0</v>
      </c>
      <c r="F878" s="23">
        <f t="array" ref="F878">IF($A878="","",
  LET(
    r, $D878,
    startD, INDEX(Calculation!B$2:B9627, r),
    endD,   INDEX(Calculation!C$2:C9627, r),
    asOf,   MIN($A878,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1293274.658</v>
      </c>
    </row>
    <row r="879">
      <c r="A879" s="19">
        <v>43114.0</v>
      </c>
      <c r="B879" s="23">
        <v>1.0765E7</v>
      </c>
      <c r="C879" s="23">
        <f t="shared" si="1"/>
        <v>1294749.315</v>
      </c>
      <c r="D879" s="18">
        <f>IF(A879="","",MATCH(A879,Calculation!B$2:B9627,1))</f>
        <v>1</v>
      </c>
      <c r="E879" s="23">
        <f t="array" ref="E879">IF(D879="","",IF(D879=1,0,INDEX(Calculation!Q$2:Q9627,D879-1)))</f>
        <v>0</v>
      </c>
      <c r="F879" s="23">
        <f t="array" ref="F879">IF($A879="","",
  LET(
    r, $D879,
    startD, INDEX(Calculation!B$2:B9627, r),
    endD,   INDEX(Calculation!C$2:C9627, r),
    asOf,   MIN($A879,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1294749.315</v>
      </c>
    </row>
    <row r="880">
      <c r="A880" s="19">
        <v>43115.0</v>
      </c>
      <c r="B880" s="23">
        <v>1.0765E7</v>
      </c>
      <c r="C880" s="23">
        <f t="shared" si="1"/>
        <v>1296223.973</v>
      </c>
      <c r="D880" s="18">
        <f>IF(A880="","",MATCH(A880,Calculation!B$2:B9627,1))</f>
        <v>1</v>
      </c>
      <c r="E880" s="23">
        <f t="array" ref="E880">IF(D880="","",IF(D880=1,0,INDEX(Calculation!Q$2:Q9627,D880-1)))</f>
        <v>0</v>
      </c>
      <c r="F880" s="23">
        <f t="array" ref="F880">IF($A880="","",
  LET(
    r, $D880,
    startD, INDEX(Calculation!B$2:B9627, r),
    endD,   INDEX(Calculation!C$2:C9627, r),
    asOf,   MIN($A880,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1296223.973</v>
      </c>
    </row>
    <row r="881">
      <c r="A881" s="19">
        <v>43116.0</v>
      </c>
      <c r="B881" s="23">
        <v>1.0765E7</v>
      </c>
      <c r="C881" s="23">
        <f t="shared" si="1"/>
        <v>1297698.63</v>
      </c>
      <c r="D881" s="18">
        <f>IF(A881="","",MATCH(A881,Calculation!B$2:B9627,1))</f>
        <v>1</v>
      </c>
      <c r="E881" s="23">
        <f t="array" ref="E881">IF(D881="","",IF(D881=1,0,INDEX(Calculation!Q$2:Q9627,D881-1)))</f>
        <v>0</v>
      </c>
      <c r="F881" s="23">
        <f t="array" ref="F881">IF($A881="","",
  LET(
    r, $D881,
    startD, INDEX(Calculation!B$2:B9627, r),
    endD,   INDEX(Calculation!C$2:C9627, r),
    asOf,   MIN($A881,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1297698.63</v>
      </c>
    </row>
    <row r="882">
      <c r="A882" s="19">
        <v>43117.0</v>
      </c>
      <c r="B882" s="23">
        <v>1.0765E7</v>
      </c>
      <c r="C882" s="23">
        <f t="shared" si="1"/>
        <v>1299173.288</v>
      </c>
      <c r="D882" s="18">
        <f>IF(A882="","",MATCH(A882,Calculation!B$2:B9627,1))</f>
        <v>1</v>
      </c>
      <c r="E882" s="23">
        <f t="array" ref="E882">IF(D882="","",IF(D882=1,0,INDEX(Calculation!Q$2:Q9627,D882-1)))</f>
        <v>0</v>
      </c>
      <c r="F882" s="23">
        <f t="array" ref="F882">IF($A882="","",
  LET(
    r, $D882,
    startD, INDEX(Calculation!B$2:B9627, r),
    endD,   INDEX(Calculation!C$2:C9627, r),
    asOf,   MIN($A882,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1299173.288</v>
      </c>
    </row>
    <row r="883">
      <c r="A883" s="19">
        <v>43118.0</v>
      </c>
      <c r="B883" s="23">
        <v>1.0765E7</v>
      </c>
      <c r="C883" s="23">
        <f t="shared" si="1"/>
        <v>1300647.945</v>
      </c>
      <c r="D883" s="18">
        <f>IF(A883="","",MATCH(A883,Calculation!B$2:B9627,1))</f>
        <v>1</v>
      </c>
      <c r="E883" s="23">
        <f t="array" ref="E883">IF(D883="","",IF(D883=1,0,INDEX(Calculation!Q$2:Q9627,D883-1)))</f>
        <v>0</v>
      </c>
      <c r="F883" s="23">
        <f t="array" ref="F883">IF($A883="","",
  LET(
    r, $D883,
    startD, INDEX(Calculation!B$2:B9627, r),
    endD,   INDEX(Calculation!C$2:C9627, r),
    asOf,   MIN($A883,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1300647.945</v>
      </c>
    </row>
    <row r="884">
      <c r="A884" s="19">
        <v>43119.0</v>
      </c>
      <c r="B884" s="23">
        <v>1.0765E7</v>
      </c>
      <c r="C884" s="23">
        <f t="shared" si="1"/>
        <v>1302122.603</v>
      </c>
      <c r="D884" s="18">
        <f>IF(A884="","",MATCH(A884,Calculation!B$2:B9627,1))</f>
        <v>1</v>
      </c>
      <c r="E884" s="23">
        <f t="array" ref="E884">IF(D884="","",IF(D884=1,0,INDEX(Calculation!Q$2:Q9627,D884-1)))</f>
        <v>0</v>
      </c>
      <c r="F884" s="23">
        <f t="array" ref="F884">IF($A884="","",
  LET(
    r, $D884,
    startD, INDEX(Calculation!B$2:B9627, r),
    endD,   INDEX(Calculation!C$2:C9627, r),
    asOf,   MIN($A884,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1302122.603</v>
      </c>
    </row>
    <row r="885">
      <c r="A885" s="19">
        <v>43120.0</v>
      </c>
      <c r="B885" s="23">
        <v>1.0765E7</v>
      </c>
      <c r="C885" s="23">
        <f t="shared" si="1"/>
        <v>1303597.26</v>
      </c>
      <c r="D885" s="18">
        <f>IF(A885="","",MATCH(A885,Calculation!B$2:B9627,1))</f>
        <v>1</v>
      </c>
      <c r="E885" s="23">
        <f t="array" ref="E885">IF(D885="","",IF(D885=1,0,INDEX(Calculation!Q$2:Q9627,D885-1)))</f>
        <v>0</v>
      </c>
      <c r="F885" s="23">
        <f t="array" ref="F885">IF($A885="","",
  LET(
    r, $D885,
    startD, INDEX(Calculation!B$2:B9627, r),
    endD,   INDEX(Calculation!C$2:C9627, r),
    asOf,   MIN($A885,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1303597.26</v>
      </c>
    </row>
    <row r="886">
      <c r="A886" s="19">
        <v>43121.0</v>
      </c>
      <c r="B886" s="23">
        <v>1.0765E7</v>
      </c>
      <c r="C886" s="23">
        <f t="shared" si="1"/>
        <v>1305071.918</v>
      </c>
      <c r="D886" s="18">
        <f>IF(A886="","",MATCH(A886,Calculation!B$2:B9627,1))</f>
        <v>1</v>
      </c>
      <c r="E886" s="23">
        <f t="array" ref="E886">IF(D886="","",IF(D886=1,0,INDEX(Calculation!Q$2:Q9627,D886-1)))</f>
        <v>0</v>
      </c>
      <c r="F886" s="23">
        <f t="array" ref="F886">IF($A886="","",
  LET(
    r, $D886,
    startD, INDEX(Calculation!B$2:B9627, r),
    endD,   INDEX(Calculation!C$2:C9627, r),
    asOf,   MIN($A886,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1305071.918</v>
      </c>
    </row>
    <row r="887">
      <c r="A887" s="19">
        <v>43122.0</v>
      </c>
      <c r="B887" s="23">
        <v>1.0765E7</v>
      </c>
      <c r="C887" s="23">
        <f t="shared" si="1"/>
        <v>1306546.575</v>
      </c>
      <c r="D887" s="18">
        <f>IF(A887="","",MATCH(A887,Calculation!B$2:B9627,1))</f>
        <v>1</v>
      </c>
      <c r="E887" s="23">
        <f t="array" ref="E887">IF(D887="","",IF(D887=1,0,INDEX(Calculation!Q$2:Q9627,D887-1)))</f>
        <v>0</v>
      </c>
      <c r="F887" s="23">
        <f t="array" ref="F887">IF($A887="","",
  LET(
    r, $D887,
    startD, INDEX(Calculation!B$2:B9627, r),
    endD,   INDEX(Calculation!C$2:C9627, r),
    asOf,   MIN($A887,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1306546.575</v>
      </c>
    </row>
    <row r="888">
      <c r="A888" s="19">
        <v>43123.0</v>
      </c>
      <c r="B888" s="23">
        <v>1.0765E7</v>
      </c>
      <c r="C888" s="23">
        <f t="shared" si="1"/>
        <v>1308021.233</v>
      </c>
      <c r="D888" s="18">
        <f>IF(A888="","",MATCH(A888,Calculation!B$2:B9627,1))</f>
        <v>1</v>
      </c>
      <c r="E888" s="23">
        <f t="array" ref="E888">IF(D888="","",IF(D888=1,0,INDEX(Calculation!Q$2:Q9627,D888-1)))</f>
        <v>0</v>
      </c>
      <c r="F888" s="23">
        <f t="array" ref="F888">IF($A888="","",
  LET(
    r, $D888,
    startD, INDEX(Calculation!B$2:B9627, r),
    endD,   INDEX(Calculation!C$2:C9627, r),
    asOf,   MIN($A888,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1308021.233</v>
      </c>
    </row>
    <row r="889">
      <c r="A889" s="19">
        <v>43124.0</v>
      </c>
      <c r="B889" s="23">
        <v>1.0765E7</v>
      </c>
      <c r="C889" s="23">
        <f t="shared" si="1"/>
        <v>1309495.89</v>
      </c>
      <c r="D889" s="18">
        <f>IF(A889="","",MATCH(A889,Calculation!B$2:B9627,1))</f>
        <v>1</v>
      </c>
      <c r="E889" s="23">
        <f t="array" ref="E889">IF(D889="","",IF(D889=1,0,INDEX(Calculation!Q$2:Q9627,D889-1)))</f>
        <v>0</v>
      </c>
      <c r="F889" s="23">
        <f t="array" ref="F889">IF($A889="","",
  LET(
    r, $D889,
    startD, INDEX(Calculation!B$2:B9627, r),
    endD,   INDEX(Calculation!C$2:C9627, r),
    asOf,   MIN($A889,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1309495.89</v>
      </c>
    </row>
    <row r="890">
      <c r="A890" s="19">
        <v>43125.0</v>
      </c>
      <c r="B890" s="23">
        <v>1.0765E7</v>
      </c>
      <c r="C890" s="23">
        <f t="shared" si="1"/>
        <v>1310970.548</v>
      </c>
      <c r="D890" s="18">
        <f>IF(A890="","",MATCH(A890,Calculation!B$2:B9627,1))</f>
        <v>1</v>
      </c>
      <c r="E890" s="23">
        <f t="array" ref="E890">IF(D890="","",IF(D890=1,0,INDEX(Calculation!Q$2:Q9627,D890-1)))</f>
        <v>0</v>
      </c>
      <c r="F890" s="23">
        <f t="array" ref="F890">IF($A890="","",
  LET(
    r, $D890,
    startD, INDEX(Calculation!B$2:B9627, r),
    endD,   INDEX(Calculation!C$2:C9627, r),
    asOf,   MIN($A890,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1310970.548</v>
      </c>
    </row>
    <row r="891">
      <c r="A891" s="19">
        <v>43126.0</v>
      </c>
      <c r="B891" s="23">
        <v>1.0765E7</v>
      </c>
      <c r="C891" s="23">
        <f t="shared" si="1"/>
        <v>1312445.205</v>
      </c>
      <c r="D891" s="18">
        <f>IF(A891="","",MATCH(A891,Calculation!B$2:B9627,1))</f>
        <v>1</v>
      </c>
      <c r="E891" s="23">
        <f t="array" ref="E891">IF(D891="","",IF(D891=1,0,INDEX(Calculation!Q$2:Q9627,D891-1)))</f>
        <v>0</v>
      </c>
      <c r="F891" s="23">
        <f t="array" ref="F891">IF($A891="","",
  LET(
    r, $D891,
    startD, INDEX(Calculation!B$2:B9627, r),
    endD,   INDEX(Calculation!C$2:C9627, r),
    asOf,   MIN($A891,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1312445.205</v>
      </c>
    </row>
    <row r="892">
      <c r="A892" s="19">
        <v>43127.0</v>
      </c>
      <c r="B892" s="23">
        <v>1.0765E7</v>
      </c>
      <c r="C892" s="23">
        <f t="shared" si="1"/>
        <v>1313919.863</v>
      </c>
      <c r="D892" s="18">
        <f>IF(A892="","",MATCH(A892,Calculation!B$2:B9627,1))</f>
        <v>1</v>
      </c>
      <c r="E892" s="23">
        <f t="array" ref="E892">IF(D892="","",IF(D892=1,0,INDEX(Calculation!Q$2:Q9627,D892-1)))</f>
        <v>0</v>
      </c>
      <c r="F892" s="23">
        <f t="array" ref="F892">IF($A892="","",
  LET(
    r, $D892,
    startD, INDEX(Calculation!B$2:B9627, r),
    endD,   INDEX(Calculation!C$2:C9627, r),
    asOf,   MIN($A892,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1313919.863</v>
      </c>
    </row>
    <row r="893">
      <c r="A893" s="19">
        <v>43128.0</v>
      </c>
      <c r="B893" s="23">
        <v>1.0765E7</v>
      </c>
      <c r="C893" s="23">
        <f t="shared" si="1"/>
        <v>1315394.521</v>
      </c>
      <c r="D893" s="18">
        <f>IF(A893="","",MATCH(A893,Calculation!B$2:B9627,1))</f>
        <v>1</v>
      </c>
      <c r="E893" s="23">
        <f t="array" ref="E893">IF(D893="","",IF(D893=1,0,INDEX(Calculation!Q$2:Q9627,D893-1)))</f>
        <v>0</v>
      </c>
      <c r="F893" s="23">
        <f t="array" ref="F893">IF($A893="","",
  LET(
    r, $D893,
    startD, INDEX(Calculation!B$2:B9627, r),
    endD,   INDEX(Calculation!C$2:C9627, r),
    asOf,   MIN($A893,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1315394.521</v>
      </c>
    </row>
    <row r="894">
      <c r="A894" s="19">
        <v>43129.0</v>
      </c>
      <c r="B894" s="23">
        <v>1.0765E7</v>
      </c>
      <c r="C894" s="23">
        <f t="shared" si="1"/>
        <v>1316869.178</v>
      </c>
      <c r="D894" s="18">
        <f>IF(A894="","",MATCH(A894,Calculation!B$2:B9627,1))</f>
        <v>1</v>
      </c>
      <c r="E894" s="23">
        <f t="array" ref="E894">IF(D894="","",IF(D894=1,0,INDEX(Calculation!Q$2:Q9627,D894-1)))</f>
        <v>0</v>
      </c>
      <c r="F894" s="23">
        <f t="array" ref="F894">IF($A894="","",
  LET(
    r, $D894,
    startD, INDEX(Calculation!B$2:B9627, r),
    endD,   INDEX(Calculation!C$2:C9627, r),
    asOf,   MIN($A894,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1316869.178</v>
      </c>
    </row>
    <row r="895">
      <c r="A895" s="19">
        <v>43130.0</v>
      </c>
      <c r="B895" s="23">
        <v>1.0765E7</v>
      </c>
      <c r="C895" s="23">
        <f t="shared" si="1"/>
        <v>1318343.836</v>
      </c>
      <c r="D895" s="18">
        <f>IF(A895="","",MATCH(A895,Calculation!B$2:B9627,1))</f>
        <v>1</v>
      </c>
      <c r="E895" s="23">
        <f t="array" ref="E895">IF(D895="","",IF(D895=1,0,INDEX(Calculation!Q$2:Q9627,D895-1)))</f>
        <v>0</v>
      </c>
      <c r="F895" s="23">
        <f t="array" ref="F895">IF($A895="","",
  LET(
    r, $D895,
    startD, INDEX(Calculation!B$2:B9627, r),
    endD,   INDEX(Calculation!C$2:C9627, r),
    asOf,   MIN($A895,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1318343.836</v>
      </c>
    </row>
    <row r="896">
      <c r="A896" s="19">
        <v>43131.0</v>
      </c>
      <c r="B896" s="23">
        <v>1.0765E7</v>
      </c>
      <c r="C896" s="23">
        <f t="shared" si="1"/>
        <v>1319818.493</v>
      </c>
      <c r="D896" s="18">
        <f>IF(A896="","",MATCH(A896,Calculation!B$2:B9627,1))</f>
        <v>1</v>
      </c>
      <c r="E896" s="23">
        <f t="array" ref="E896">IF(D896="","",IF(D896=1,0,INDEX(Calculation!Q$2:Q9627,D896-1)))</f>
        <v>0</v>
      </c>
      <c r="F896" s="23">
        <f t="array" ref="F896">IF($A896="","",
  LET(
    r, $D896,
    startD, INDEX(Calculation!B$2:B9627, r),
    endD,   INDEX(Calculation!C$2:C9627, r),
    asOf,   MIN($A896,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1319818.493</v>
      </c>
    </row>
    <row r="897">
      <c r="A897" s="19">
        <v>43132.0</v>
      </c>
      <c r="B897" s="23">
        <v>1.0765E7</v>
      </c>
      <c r="C897" s="23">
        <f t="shared" si="1"/>
        <v>1321293.151</v>
      </c>
      <c r="D897" s="18">
        <f>IF(A897="","",MATCH(A897,Calculation!B$2:B9627,1))</f>
        <v>1</v>
      </c>
      <c r="E897" s="23">
        <f t="array" ref="E897">IF(D897="","",IF(D897=1,0,INDEX(Calculation!Q$2:Q9627,D897-1)))</f>
        <v>0</v>
      </c>
      <c r="F897" s="23">
        <f t="array" ref="F897">IF($A897="","",
  LET(
    r, $D897,
    startD, INDEX(Calculation!B$2:B9627, r),
    endD,   INDEX(Calculation!C$2:C9627, r),
    asOf,   MIN($A897,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1321293.151</v>
      </c>
    </row>
    <row r="898">
      <c r="A898" s="19">
        <v>43133.0</v>
      </c>
      <c r="B898" s="23">
        <v>1.0765E7</v>
      </c>
      <c r="C898" s="23">
        <f t="shared" si="1"/>
        <v>1322767.808</v>
      </c>
      <c r="D898" s="18">
        <f>IF(A898="","",MATCH(A898,Calculation!B$2:B9627,1))</f>
        <v>1</v>
      </c>
      <c r="E898" s="23">
        <f t="array" ref="E898">IF(D898="","",IF(D898=1,0,INDEX(Calculation!Q$2:Q9627,D898-1)))</f>
        <v>0</v>
      </c>
      <c r="F898" s="23">
        <f t="array" ref="F898">IF($A898="","",
  LET(
    r, $D898,
    startD, INDEX(Calculation!B$2:B9627, r),
    endD,   INDEX(Calculation!C$2:C9627, r),
    asOf,   MIN($A898,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1322767.808</v>
      </c>
    </row>
    <row r="899">
      <c r="A899" s="19">
        <v>43134.0</v>
      </c>
      <c r="B899" s="23">
        <v>1.0765E7</v>
      </c>
      <c r="C899" s="23">
        <f t="shared" si="1"/>
        <v>1324242.466</v>
      </c>
      <c r="D899" s="18">
        <f>IF(A899="","",MATCH(A899,Calculation!B$2:B9627,1))</f>
        <v>1</v>
      </c>
      <c r="E899" s="23">
        <f t="array" ref="E899">IF(D899="","",IF(D899=1,0,INDEX(Calculation!Q$2:Q9627,D899-1)))</f>
        <v>0</v>
      </c>
      <c r="F899" s="23">
        <f t="array" ref="F899">IF($A899="","",
  LET(
    r, $D899,
    startD, INDEX(Calculation!B$2:B9627, r),
    endD,   INDEX(Calculation!C$2:C9627, r),
    asOf,   MIN($A899,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1324242.466</v>
      </c>
    </row>
    <row r="900">
      <c r="A900" s="19">
        <v>43135.0</v>
      </c>
      <c r="B900" s="23">
        <v>1.0765E7</v>
      </c>
      <c r="C900" s="23">
        <f t="shared" si="1"/>
        <v>1325717.123</v>
      </c>
      <c r="D900" s="18">
        <f>IF(A900="","",MATCH(A900,Calculation!B$2:B9627,1))</f>
        <v>1</v>
      </c>
      <c r="E900" s="23">
        <f t="array" ref="E900">IF(D900="","",IF(D900=1,0,INDEX(Calculation!Q$2:Q9627,D900-1)))</f>
        <v>0</v>
      </c>
      <c r="F900" s="23">
        <f t="array" ref="F900">IF($A900="","",
  LET(
    r, $D900,
    startD, INDEX(Calculation!B$2:B9627, r),
    endD,   INDEX(Calculation!C$2:C9627, r),
    asOf,   MIN($A900,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1325717.123</v>
      </c>
    </row>
    <row r="901">
      <c r="A901" s="19">
        <v>43136.0</v>
      </c>
      <c r="B901" s="23">
        <v>1.0765E7</v>
      </c>
      <c r="C901" s="23">
        <f t="shared" si="1"/>
        <v>1327191.781</v>
      </c>
      <c r="D901" s="18">
        <f>IF(A901="","",MATCH(A901,Calculation!B$2:B9627,1))</f>
        <v>1</v>
      </c>
      <c r="E901" s="23">
        <f t="array" ref="E901">IF(D901="","",IF(D901=1,0,INDEX(Calculation!Q$2:Q9627,D901-1)))</f>
        <v>0</v>
      </c>
      <c r="F901" s="23">
        <f t="array" ref="F901">IF($A901="","",
  LET(
    r, $D901,
    startD, INDEX(Calculation!B$2:B9627, r),
    endD,   INDEX(Calculation!C$2:C9627, r),
    asOf,   MIN($A901,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1327191.781</v>
      </c>
    </row>
    <row r="902">
      <c r="A902" s="19">
        <v>43137.0</v>
      </c>
      <c r="B902" s="23">
        <v>1.0765E7</v>
      </c>
      <c r="C902" s="23">
        <f t="shared" si="1"/>
        <v>1328666.438</v>
      </c>
      <c r="D902" s="18">
        <f>IF(A902="","",MATCH(A902,Calculation!B$2:B9627,1))</f>
        <v>1</v>
      </c>
      <c r="E902" s="23">
        <f t="array" ref="E902">IF(D902="","",IF(D902=1,0,INDEX(Calculation!Q$2:Q9627,D902-1)))</f>
        <v>0</v>
      </c>
      <c r="F902" s="23">
        <f t="array" ref="F902">IF($A902="","",
  LET(
    r, $D902,
    startD, INDEX(Calculation!B$2:B9627, r),
    endD,   INDEX(Calculation!C$2:C9627, r),
    asOf,   MIN($A902,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1328666.438</v>
      </c>
    </row>
    <row r="903">
      <c r="A903" s="19">
        <v>43138.0</v>
      </c>
      <c r="B903" s="23">
        <v>1.0765E7</v>
      </c>
      <c r="C903" s="23">
        <f t="shared" si="1"/>
        <v>1330141.096</v>
      </c>
      <c r="D903" s="18">
        <f>IF(A903="","",MATCH(A903,Calculation!B$2:B9627,1))</f>
        <v>1</v>
      </c>
      <c r="E903" s="23">
        <f t="array" ref="E903">IF(D903="","",IF(D903=1,0,INDEX(Calculation!Q$2:Q9627,D903-1)))</f>
        <v>0</v>
      </c>
      <c r="F903" s="23">
        <f t="array" ref="F903">IF($A903="","",
  LET(
    r, $D903,
    startD, INDEX(Calculation!B$2:B9627, r),
    endD,   INDEX(Calculation!C$2:C9627, r),
    asOf,   MIN($A903,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1330141.096</v>
      </c>
    </row>
    <row r="904">
      <c r="A904" s="19">
        <v>43139.0</v>
      </c>
      <c r="B904" s="23">
        <v>1.0765E7</v>
      </c>
      <c r="C904" s="23">
        <f t="shared" si="1"/>
        <v>1331615.753</v>
      </c>
      <c r="D904" s="18">
        <f>IF(A904="","",MATCH(A904,Calculation!B$2:B9627,1))</f>
        <v>1</v>
      </c>
      <c r="E904" s="23">
        <f t="array" ref="E904">IF(D904="","",IF(D904=1,0,INDEX(Calculation!Q$2:Q9627,D904-1)))</f>
        <v>0</v>
      </c>
      <c r="F904" s="23">
        <f t="array" ref="F904">IF($A904="","",
  LET(
    r, $D904,
    startD, INDEX(Calculation!B$2:B9627, r),
    endD,   INDEX(Calculation!C$2:C9627, r),
    asOf,   MIN($A904,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1331615.753</v>
      </c>
    </row>
    <row r="905">
      <c r="A905" s="19">
        <v>43140.0</v>
      </c>
      <c r="B905" s="23">
        <v>1.0765E7</v>
      </c>
      <c r="C905" s="23">
        <f t="shared" si="1"/>
        <v>1333090.411</v>
      </c>
      <c r="D905" s="18">
        <f>IF(A905="","",MATCH(A905,Calculation!B$2:B9627,1))</f>
        <v>1</v>
      </c>
      <c r="E905" s="23">
        <f t="array" ref="E905">IF(D905="","",IF(D905=1,0,INDEX(Calculation!Q$2:Q9627,D905-1)))</f>
        <v>0</v>
      </c>
      <c r="F905" s="23">
        <f t="array" ref="F905">IF($A905="","",
  LET(
    r, $D905,
    startD, INDEX(Calculation!B$2:B9627, r),
    endD,   INDEX(Calculation!C$2:C9627, r),
    asOf,   MIN($A905,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1333090.411</v>
      </c>
    </row>
    <row r="906">
      <c r="A906" s="19">
        <v>43141.0</v>
      </c>
      <c r="B906" s="23">
        <v>1.0765E7</v>
      </c>
      <c r="C906" s="23">
        <f t="shared" si="1"/>
        <v>1334565.068</v>
      </c>
      <c r="D906" s="18">
        <f>IF(A906="","",MATCH(A906,Calculation!B$2:B9627,1))</f>
        <v>1</v>
      </c>
      <c r="E906" s="23">
        <f t="array" ref="E906">IF(D906="","",IF(D906=1,0,INDEX(Calculation!Q$2:Q9627,D906-1)))</f>
        <v>0</v>
      </c>
      <c r="F906" s="23">
        <f t="array" ref="F906">IF($A906="","",
  LET(
    r, $D906,
    startD, INDEX(Calculation!B$2:B9627, r),
    endD,   INDEX(Calculation!C$2:C9627, r),
    asOf,   MIN($A906,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1334565.068</v>
      </c>
    </row>
    <row r="907">
      <c r="A907" s="19">
        <v>43142.0</v>
      </c>
      <c r="B907" s="23">
        <v>1.0765E7</v>
      </c>
      <c r="C907" s="23">
        <f t="shared" si="1"/>
        <v>1336039.726</v>
      </c>
      <c r="D907" s="18">
        <f>IF(A907="","",MATCH(A907,Calculation!B$2:B9627,1))</f>
        <v>1</v>
      </c>
      <c r="E907" s="23">
        <f t="array" ref="E907">IF(D907="","",IF(D907=1,0,INDEX(Calculation!Q$2:Q9627,D907-1)))</f>
        <v>0</v>
      </c>
      <c r="F907" s="23">
        <f t="array" ref="F907">IF($A907="","",
  LET(
    r, $D907,
    startD, INDEX(Calculation!B$2:B9627, r),
    endD,   INDEX(Calculation!C$2:C9627, r),
    asOf,   MIN($A907,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1336039.726</v>
      </c>
    </row>
    <row r="908">
      <c r="A908" s="19">
        <v>43143.0</v>
      </c>
      <c r="B908" s="23">
        <v>1.0765E7</v>
      </c>
      <c r="C908" s="23">
        <f t="shared" si="1"/>
        <v>1337514.384</v>
      </c>
      <c r="D908" s="18">
        <f>IF(A908="","",MATCH(A908,Calculation!B$2:B9627,1))</f>
        <v>1</v>
      </c>
      <c r="E908" s="23">
        <f t="array" ref="E908">IF(D908="","",IF(D908=1,0,INDEX(Calculation!Q$2:Q9627,D908-1)))</f>
        <v>0</v>
      </c>
      <c r="F908" s="23">
        <f t="array" ref="F908">IF($A908="","",
  LET(
    r, $D908,
    startD, INDEX(Calculation!B$2:B9627, r),
    endD,   INDEX(Calculation!C$2:C9627, r),
    asOf,   MIN($A908,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1337514.384</v>
      </c>
    </row>
    <row r="909">
      <c r="A909" s="19">
        <v>43144.0</v>
      </c>
      <c r="B909" s="23">
        <v>1.0765E7</v>
      </c>
      <c r="C909" s="23">
        <f t="shared" si="1"/>
        <v>1338989.041</v>
      </c>
      <c r="D909" s="18">
        <f>IF(A909="","",MATCH(A909,Calculation!B$2:B9627,1))</f>
        <v>1</v>
      </c>
      <c r="E909" s="23">
        <f t="array" ref="E909">IF(D909="","",IF(D909=1,0,INDEX(Calculation!Q$2:Q9627,D909-1)))</f>
        <v>0</v>
      </c>
      <c r="F909" s="23">
        <f t="array" ref="F909">IF($A909="","",
  LET(
    r, $D909,
    startD, INDEX(Calculation!B$2:B9627, r),
    endD,   INDEX(Calculation!C$2:C9627, r),
    asOf,   MIN($A909,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1338989.041</v>
      </c>
    </row>
    <row r="910">
      <c r="A910" s="19">
        <v>43145.0</v>
      </c>
      <c r="B910" s="23">
        <v>1.0765E7</v>
      </c>
      <c r="C910" s="23">
        <f t="shared" si="1"/>
        <v>1340463.699</v>
      </c>
      <c r="D910" s="18">
        <f>IF(A910="","",MATCH(A910,Calculation!B$2:B9627,1))</f>
        <v>1</v>
      </c>
      <c r="E910" s="23">
        <f t="array" ref="E910">IF(D910="","",IF(D910=1,0,INDEX(Calculation!Q$2:Q9627,D910-1)))</f>
        <v>0</v>
      </c>
      <c r="F910" s="23">
        <f t="array" ref="F910">IF($A910="","",
  LET(
    r, $D910,
    startD, INDEX(Calculation!B$2:B9627, r),
    endD,   INDEX(Calculation!C$2:C9627, r),
    asOf,   MIN($A910,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1340463.699</v>
      </c>
    </row>
    <row r="911">
      <c r="A911" s="19">
        <v>43146.0</v>
      </c>
      <c r="B911" s="23">
        <v>1.0765E7</v>
      </c>
      <c r="C911" s="23">
        <f t="shared" si="1"/>
        <v>1341938.356</v>
      </c>
      <c r="D911" s="18">
        <f>IF(A911="","",MATCH(A911,Calculation!B$2:B9627,1))</f>
        <v>1</v>
      </c>
      <c r="E911" s="23">
        <f t="array" ref="E911">IF(D911="","",IF(D911=1,0,INDEX(Calculation!Q$2:Q9627,D911-1)))</f>
        <v>0</v>
      </c>
      <c r="F911" s="23">
        <f t="array" ref="F911">IF($A911="","",
  LET(
    r, $D911,
    startD, INDEX(Calculation!B$2:B9627, r),
    endD,   INDEX(Calculation!C$2:C9627, r),
    asOf,   MIN($A911,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1341938.356</v>
      </c>
    </row>
    <row r="912">
      <c r="A912" s="19">
        <v>43147.0</v>
      </c>
      <c r="B912" s="23">
        <v>1.0765E7</v>
      </c>
      <c r="C912" s="23">
        <f t="shared" si="1"/>
        <v>1343413.014</v>
      </c>
      <c r="D912" s="18">
        <f>IF(A912="","",MATCH(A912,Calculation!B$2:B9627,1))</f>
        <v>1</v>
      </c>
      <c r="E912" s="23">
        <f t="array" ref="E912">IF(D912="","",IF(D912=1,0,INDEX(Calculation!Q$2:Q9627,D912-1)))</f>
        <v>0</v>
      </c>
      <c r="F912" s="23">
        <f t="array" ref="F912">IF($A912="","",
  LET(
    r, $D912,
    startD, INDEX(Calculation!B$2:B9627, r),
    endD,   INDEX(Calculation!C$2:C9627, r),
    asOf,   MIN($A912,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1343413.014</v>
      </c>
    </row>
    <row r="913">
      <c r="A913" s="19">
        <v>43148.0</v>
      </c>
      <c r="B913" s="23">
        <v>1.0765E7</v>
      </c>
      <c r="C913" s="23">
        <f t="shared" si="1"/>
        <v>1344887.671</v>
      </c>
      <c r="D913" s="18">
        <f>IF(A913="","",MATCH(A913,Calculation!B$2:B9627,1))</f>
        <v>1</v>
      </c>
      <c r="E913" s="23">
        <f t="array" ref="E913">IF(D913="","",IF(D913=1,0,INDEX(Calculation!Q$2:Q9627,D913-1)))</f>
        <v>0</v>
      </c>
      <c r="F913" s="23">
        <f t="array" ref="F913">IF($A913="","",
  LET(
    r, $D913,
    startD, INDEX(Calculation!B$2:B9627, r),
    endD,   INDEX(Calculation!C$2:C9627, r),
    asOf,   MIN($A913,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1344887.671</v>
      </c>
    </row>
    <row r="914">
      <c r="A914" s="19">
        <v>43149.0</v>
      </c>
      <c r="B914" s="23">
        <v>1.0765E7</v>
      </c>
      <c r="C914" s="23">
        <f t="shared" si="1"/>
        <v>1346362.329</v>
      </c>
      <c r="D914" s="18">
        <f>IF(A914="","",MATCH(A914,Calculation!B$2:B9627,1))</f>
        <v>1</v>
      </c>
      <c r="E914" s="23">
        <f t="array" ref="E914">IF(D914="","",IF(D914=1,0,INDEX(Calculation!Q$2:Q9627,D914-1)))</f>
        <v>0</v>
      </c>
      <c r="F914" s="23">
        <f t="array" ref="F914">IF($A914="","",
  LET(
    r, $D914,
    startD, INDEX(Calculation!B$2:B9627, r),
    endD,   INDEX(Calculation!C$2:C9627, r),
    asOf,   MIN($A914,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1346362.329</v>
      </c>
    </row>
    <row r="915">
      <c r="A915" s="19">
        <v>43150.0</v>
      </c>
      <c r="B915" s="23">
        <v>1.0765E7</v>
      </c>
      <c r="C915" s="23">
        <f t="shared" si="1"/>
        <v>1347836.986</v>
      </c>
      <c r="D915" s="18">
        <f>IF(A915="","",MATCH(A915,Calculation!B$2:B9627,1))</f>
        <v>1</v>
      </c>
      <c r="E915" s="23">
        <f t="array" ref="E915">IF(D915="","",IF(D915=1,0,INDEX(Calculation!Q$2:Q9627,D915-1)))</f>
        <v>0</v>
      </c>
      <c r="F915" s="23">
        <f t="array" ref="F915">IF($A915="","",
  LET(
    r, $D915,
    startD, INDEX(Calculation!B$2:B9627, r),
    endD,   INDEX(Calculation!C$2:C9627, r),
    asOf,   MIN($A915,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1347836.986</v>
      </c>
    </row>
    <row r="916">
      <c r="A916" s="19">
        <v>43151.0</v>
      </c>
      <c r="B916" s="23">
        <v>1.0765E7</v>
      </c>
      <c r="C916" s="23">
        <f t="shared" si="1"/>
        <v>1349311.644</v>
      </c>
      <c r="D916" s="18">
        <f>IF(A916="","",MATCH(A916,Calculation!B$2:B9627,1))</f>
        <v>1</v>
      </c>
      <c r="E916" s="23">
        <f t="array" ref="E916">IF(D916="","",IF(D916=1,0,INDEX(Calculation!Q$2:Q9627,D916-1)))</f>
        <v>0</v>
      </c>
      <c r="F916" s="23">
        <f t="array" ref="F916">IF($A916="","",
  LET(
    r, $D916,
    startD, INDEX(Calculation!B$2:B9627, r),
    endD,   INDEX(Calculation!C$2:C9627, r),
    asOf,   MIN($A916,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1349311.644</v>
      </c>
    </row>
    <row r="917">
      <c r="A917" s="19">
        <v>43152.0</v>
      </c>
      <c r="B917" s="23">
        <v>1.0765E7</v>
      </c>
      <c r="C917" s="23">
        <f t="shared" si="1"/>
        <v>1350786.301</v>
      </c>
      <c r="D917" s="18">
        <f>IF(A917="","",MATCH(A917,Calculation!B$2:B9627,1))</f>
        <v>1</v>
      </c>
      <c r="E917" s="23">
        <f t="array" ref="E917">IF(D917="","",IF(D917=1,0,INDEX(Calculation!Q$2:Q9627,D917-1)))</f>
        <v>0</v>
      </c>
      <c r="F917" s="23">
        <f t="array" ref="F917">IF($A917="","",
  LET(
    r, $D917,
    startD, INDEX(Calculation!B$2:B9627, r),
    endD,   INDEX(Calculation!C$2:C9627, r),
    asOf,   MIN($A917,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1350786.301</v>
      </c>
    </row>
    <row r="918">
      <c r="A918" s="19">
        <v>43153.0</v>
      </c>
      <c r="B918" s="23">
        <v>1.0765E7</v>
      </c>
      <c r="C918" s="23">
        <f t="shared" si="1"/>
        <v>1352260.959</v>
      </c>
      <c r="D918" s="18">
        <f>IF(A918="","",MATCH(A918,Calculation!B$2:B9627,1))</f>
        <v>1</v>
      </c>
      <c r="E918" s="23">
        <f t="array" ref="E918">IF(D918="","",IF(D918=1,0,INDEX(Calculation!Q$2:Q9627,D918-1)))</f>
        <v>0</v>
      </c>
      <c r="F918" s="23">
        <f t="array" ref="F918">IF($A918="","",
  LET(
    r, $D918,
    startD, INDEX(Calculation!B$2:B9627, r),
    endD,   INDEX(Calculation!C$2:C9627, r),
    asOf,   MIN($A918,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1352260.959</v>
      </c>
    </row>
    <row r="919">
      <c r="A919" s="19">
        <v>43154.0</v>
      </c>
      <c r="B919" s="23">
        <v>1.0765E7</v>
      </c>
      <c r="C919" s="23">
        <f t="shared" si="1"/>
        <v>1353735.616</v>
      </c>
      <c r="D919" s="18">
        <f>IF(A919="","",MATCH(A919,Calculation!B$2:B9627,1))</f>
        <v>1</v>
      </c>
      <c r="E919" s="23">
        <f t="array" ref="E919">IF(D919="","",IF(D919=1,0,INDEX(Calculation!Q$2:Q9627,D919-1)))</f>
        <v>0</v>
      </c>
      <c r="F919" s="23">
        <f t="array" ref="F919">IF($A919="","",
  LET(
    r, $D919,
    startD, INDEX(Calculation!B$2:B9627, r),
    endD,   INDEX(Calculation!C$2:C9627, r),
    asOf,   MIN($A919,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1353735.616</v>
      </c>
    </row>
    <row r="920">
      <c r="A920" s="19">
        <v>43155.0</v>
      </c>
      <c r="B920" s="23">
        <v>1.0765E7</v>
      </c>
      <c r="C920" s="23">
        <f t="shared" si="1"/>
        <v>1355210.274</v>
      </c>
      <c r="D920" s="18">
        <f>IF(A920="","",MATCH(A920,Calculation!B$2:B9627,1))</f>
        <v>1</v>
      </c>
      <c r="E920" s="23">
        <f t="array" ref="E920">IF(D920="","",IF(D920=1,0,INDEX(Calculation!Q$2:Q9627,D920-1)))</f>
        <v>0</v>
      </c>
      <c r="F920" s="23">
        <f t="array" ref="F920">IF($A920="","",
  LET(
    r, $D920,
    startD, INDEX(Calculation!B$2:B9627, r),
    endD,   INDEX(Calculation!C$2:C9627, r),
    asOf,   MIN($A920,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1355210.274</v>
      </c>
    </row>
    <row r="921">
      <c r="A921" s="19">
        <v>43156.0</v>
      </c>
      <c r="B921" s="23">
        <v>1.0765E7</v>
      </c>
      <c r="C921" s="23">
        <f t="shared" si="1"/>
        <v>1356684.932</v>
      </c>
      <c r="D921" s="18">
        <f>IF(A921="","",MATCH(A921,Calculation!B$2:B9627,1))</f>
        <v>1</v>
      </c>
      <c r="E921" s="23">
        <f t="array" ref="E921">IF(D921="","",IF(D921=1,0,INDEX(Calculation!Q$2:Q9627,D921-1)))</f>
        <v>0</v>
      </c>
      <c r="F921" s="23">
        <f t="array" ref="F921">IF($A921="","",
  LET(
    r, $D921,
    startD, INDEX(Calculation!B$2:B9627, r),
    endD,   INDEX(Calculation!C$2:C9627, r),
    asOf,   MIN($A921,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1356684.932</v>
      </c>
    </row>
    <row r="922">
      <c r="A922" s="19">
        <v>43157.0</v>
      </c>
      <c r="B922" s="23">
        <v>1.0765E7</v>
      </c>
      <c r="C922" s="23">
        <f t="shared" si="1"/>
        <v>1358159.589</v>
      </c>
      <c r="D922" s="18">
        <f>IF(A922="","",MATCH(A922,Calculation!B$2:B9627,1))</f>
        <v>1</v>
      </c>
      <c r="E922" s="23">
        <f t="array" ref="E922">IF(D922="","",IF(D922=1,0,INDEX(Calculation!Q$2:Q9627,D922-1)))</f>
        <v>0</v>
      </c>
      <c r="F922" s="23">
        <f t="array" ref="F922">IF($A922="","",
  LET(
    r, $D922,
    startD, INDEX(Calculation!B$2:B9627, r),
    endD,   INDEX(Calculation!C$2:C9627, r),
    asOf,   MIN($A922,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1358159.589</v>
      </c>
    </row>
    <row r="923">
      <c r="A923" s="19">
        <v>43158.0</v>
      </c>
      <c r="B923" s="23">
        <v>1.0765E7</v>
      </c>
      <c r="C923" s="23">
        <f t="shared" si="1"/>
        <v>1359634.247</v>
      </c>
      <c r="D923" s="18">
        <f>IF(A923="","",MATCH(A923,Calculation!B$2:B9627,1))</f>
        <v>1</v>
      </c>
      <c r="E923" s="23">
        <f t="array" ref="E923">IF(D923="","",IF(D923=1,0,INDEX(Calculation!Q$2:Q9627,D923-1)))</f>
        <v>0</v>
      </c>
      <c r="F923" s="23">
        <f t="array" ref="F923">IF($A923="","",
  LET(
    r, $D923,
    startD, INDEX(Calculation!B$2:B9627, r),
    endD,   INDEX(Calculation!C$2:C9627, r),
    asOf,   MIN($A923,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1359634.247</v>
      </c>
    </row>
    <row r="924">
      <c r="A924" s="19">
        <v>43159.0</v>
      </c>
      <c r="B924" s="23">
        <v>1.0765E7</v>
      </c>
      <c r="C924" s="23">
        <f t="shared" si="1"/>
        <v>1361108.904</v>
      </c>
      <c r="D924" s="18">
        <f>IF(A924="","",MATCH(A924,Calculation!B$2:B9627,1))</f>
        <v>1</v>
      </c>
      <c r="E924" s="23">
        <f t="array" ref="E924">IF(D924="","",IF(D924=1,0,INDEX(Calculation!Q$2:Q9627,D924-1)))</f>
        <v>0</v>
      </c>
      <c r="F924" s="23">
        <f t="array" ref="F924">IF($A924="","",
  LET(
    r, $D924,
    startD, INDEX(Calculation!B$2:B9627, r),
    endD,   INDEX(Calculation!C$2:C9627, r),
    asOf,   MIN($A924,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1361108.904</v>
      </c>
    </row>
    <row r="925">
      <c r="A925" s="19">
        <v>43160.0</v>
      </c>
      <c r="B925" s="23">
        <v>1.0765E7</v>
      </c>
      <c r="C925" s="23">
        <f t="shared" si="1"/>
        <v>1362583.562</v>
      </c>
      <c r="D925" s="18">
        <f>IF(A925="","",MATCH(A925,Calculation!B$2:B9627,1))</f>
        <v>1</v>
      </c>
      <c r="E925" s="23">
        <f t="array" ref="E925">IF(D925="","",IF(D925=1,0,INDEX(Calculation!Q$2:Q9627,D925-1)))</f>
        <v>0</v>
      </c>
      <c r="F925" s="23">
        <f t="array" ref="F925">IF($A925="","",
  LET(
    r, $D925,
    startD, INDEX(Calculation!B$2:B9627, r),
    endD,   INDEX(Calculation!C$2:C9627, r),
    asOf,   MIN($A925,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1362583.562</v>
      </c>
    </row>
    <row r="926">
      <c r="A926" s="19">
        <v>43161.0</v>
      </c>
      <c r="B926" s="23">
        <v>1.0765E7</v>
      </c>
      <c r="C926" s="23">
        <f t="shared" si="1"/>
        <v>1364058.219</v>
      </c>
      <c r="D926" s="18">
        <f>IF(A926="","",MATCH(A926,Calculation!B$2:B9627,1))</f>
        <v>1</v>
      </c>
      <c r="E926" s="23">
        <f t="array" ref="E926">IF(D926="","",IF(D926=1,0,INDEX(Calculation!Q$2:Q9627,D926-1)))</f>
        <v>0</v>
      </c>
      <c r="F926" s="23">
        <f t="array" ref="F926">IF($A926="","",
  LET(
    r, $D926,
    startD, INDEX(Calculation!B$2:B9627, r),
    endD,   INDEX(Calculation!C$2:C9627, r),
    asOf,   MIN($A926,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1364058.219</v>
      </c>
    </row>
    <row r="927">
      <c r="A927" s="19">
        <v>43162.0</v>
      </c>
      <c r="B927" s="23">
        <v>1.0765E7</v>
      </c>
      <c r="C927" s="23">
        <f t="shared" si="1"/>
        <v>1365532.877</v>
      </c>
      <c r="D927" s="18">
        <f>IF(A927="","",MATCH(A927,Calculation!B$2:B9627,1))</f>
        <v>1</v>
      </c>
      <c r="E927" s="23">
        <f t="array" ref="E927">IF(D927="","",IF(D927=1,0,INDEX(Calculation!Q$2:Q9627,D927-1)))</f>
        <v>0</v>
      </c>
      <c r="F927" s="23">
        <f t="array" ref="F927">IF($A927="","",
  LET(
    r, $D927,
    startD, INDEX(Calculation!B$2:B9627, r),
    endD,   INDEX(Calculation!C$2:C9627, r),
    asOf,   MIN($A927,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1365532.877</v>
      </c>
    </row>
    <row r="928">
      <c r="A928" s="19">
        <v>43163.0</v>
      </c>
      <c r="B928" s="23">
        <v>1.0765E7</v>
      </c>
      <c r="C928" s="23">
        <f t="shared" si="1"/>
        <v>1367007.534</v>
      </c>
      <c r="D928" s="18">
        <f>IF(A928="","",MATCH(A928,Calculation!B$2:B9627,1))</f>
        <v>1</v>
      </c>
      <c r="E928" s="23">
        <f t="array" ref="E928">IF(D928="","",IF(D928=1,0,INDEX(Calculation!Q$2:Q9627,D928-1)))</f>
        <v>0</v>
      </c>
      <c r="F928" s="23">
        <f t="array" ref="F928">IF($A928="","",
  LET(
    r, $D928,
    startD, INDEX(Calculation!B$2:B9627, r),
    endD,   INDEX(Calculation!C$2:C9627, r),
    asOf,   MIN($A928,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1367007.534</v>
      </c>
    </row>
    <row r="929">
      <c r="A929" s="19">
        <v>43164.0</v>
      </c>
      <c r="B929" s="23">
        <v>1.0765E7</v>
      </c>
      <c r="C929" s="23">
        <f t="shared" si="1"/>
        <v>1368482.192</v>
      </c>
      <c r="D929" s="18">
        <f>IF(A929="","",MATCH(A929,Calculation!B$2:B9627,1))</f>
        <v>1</v>
      </c>
      <c r="E929" s="23">
        <f t="array" ref="E929">IF(D929="","",IF(D929=1,0,INDEX(Calculation!Q$2:Q9627,D929-1)))</f>
        <v>0</v>
      </c>
      <c r="F929" s="23">
        <f t="array" ref="F929">IF($A929="","",
  LET(
    r, $D929,
    startD, INDEX(Calculation!B$2:B9627, r),
    endD,   INDEX(Calculation!C$2:C9627, r),
    asOf,   MIN($A929,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1368482.192</v>
      </c>
    </row>
    <row r="930">
      <c r="A930" s="19">
        <v>43165.0</v>
      </c>
      <c r="B930" s="23">
        <v>1.0765E7</v>
      </c>
      <c r="C930" s="23">
        <f t="shared" si="1"/>
        <v>1369956.849</v>
      </c>
      <c r="D930" s="18">
        <f>IF(A930="","",MATCH(A930,Calculation!B$2:B9627,1))</f>
        <v>1</v>
      </c>
      <c r="E930" s="23">
        <f t="array" ref="E930">IF(D930="","",IF(D930=1,0,INDEX(Calculation!Q$2:Q9627,D930-1)))</f>
        <v>0</v>
      </c>
      <c r="F930" s="23">
        <f t="array" ref="F930">IF($A930="","",
  LET(
    r, $D930,
    startD, INDEX(Calculation!B$2:B9627, r),
    endD,   INDEX(Calculation!C$2:C9627, r),
    asOf,   MIN($A930,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1369956.849</v>
      </c>
    </row>
    <row r="931">
      <c r="A931" s="19">
        <v>43166.0</v>
      </c>
      <c r="B931" s="23">
        <v>1.0765E7</v>
      </c>
      <c r="C931" s="23">
        <f t="shared" si="1"/>
        <v>1371431.507</v>
      </c>
      <c r="D931" s="18">
        <f>IF(A931="","",MATCH(A931,Calculation!B$2:B9627,1))</f>
        <v>1</v>
      </c>
      <c r="E931" s="23">
        <f t="array" ref="E931">IF(D931="","",IF(D931=1,0,INDEX(Calculation!Q$2:Q9627,D931-1)))</f>
        <v>0</v>
      </c>
      <c r="F931" s="23">
        <f t="array" ref="F931">IF($A931="","",
  LET(
    r, $D931,
    startD, INDEX(Calculation!B$2:B9627, r),
    endD,   INDEX(Calculation!C$2:C9627, r),
    asOf,   MIN($A931,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1371431.507</v>
      </c>
    </row>
    <row r="932">
      <c r="A932" s="19">
        <v>43167.0</v>
      </c>
      <c r="B932" s="23">
        <v>1.0765E7</v>
      </c>
      <c r="C932" s="23">
        <f t="shared" si="1"/>
        <v>1372906.164</v>
      </c>
      <c r="D932" s="18">
        <f>IF(A932="","",MATCH(A932,Calculation!B$2:B9627,1))</f>
        <v>1</v>
      </c>
      <c r="E932" s="23">
        <f t="array" ref="E932">IF(D932="","",IF(D932=1,0,INDEX(Calculation!Q$2:Q9627,D932-1)))</f>
        <v>0</v>
      </c>
      <c r="F932" s="23">
        <f t="array" ref="F932">IF($A932="","",
  LET(
    r, $D932,
    startD, INDEX(Calculation!B$2:B9627, r),
    endD,   INDEX(Calculation!C$2:C9627, r),
    asOf,   MIN($A932,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1372906.164</v>
      </c>
    </row>
    <row r="933">
      <c r="A933" s="19">
        <v>43168.0</v>
      </c>
      <c r="B933" s="23">
        <v>1.0765E7</v>
      </c>
      <c r="C933" s="23">
        <f t="shared" si="1"/>
        <v>1374380.822</v>
      </c>
      <c r="D933" s="18">
        <f>IF(A933="","",MATCH(A933,Calculation!B$2:B9627,1))</f>
        <v>1</v>
      </c>
      <c r="E933" s="23">
        <f t="array" ref="E933">IF(D933="","",IF(D933=1,0,INDEX(Calculation!Q$2:Q9627,D933-1)))</f>
        <v>0</v>
      </c>
      <c r="F933" s="23">
        <f t="array" ref="F933">IF($A933="","",
  LET(
    r, $D933,
    startD, INDEX(Calculation!B$2:B9627, r),
    endD,   INDEX(Calculation!C$2:C9627, r),
    asOf,   MIN($A933,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1374380.822</v>
      </c>
    </row>
    <row r="934">
      <c r="A934" s="19">
        <v>43169.0</v>
      </c>
      <c r="B934" s="23">
        <v>1.0765E7</v>
      </c>
      <c r="C934" s="23">
        <f t="shared" si="1"/>
        <v>1375855.479</v>
      </c>
      <c r="D934" s="18">
        <f>IF(A934="","",MATCH(A934,Calculation!B$2:B9627,1))</f>
        <v>1</v>
      </c>
      <c r="E934" s="23">
        <f t="array" ref="E934">IF(D934="","",IF(D934=1,0,INDEX(Calculation!Q$2:Q9627,D934-1)))</f>
        <v>0</v>
      </c>
      <c r="F934" s="23">
        <f t="array" ref="F934">IF($A934="","",
  LET(
    r, $D934,
    startD, INDEX(Calculation!B$2:B9627, r),
    endD,   INDEX(Calculation!C$2:C9627, r),
    asOf,   MIN($A934,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1375855.479</v>
      </c>
    </row>
    <row r="935">
      <c r="A935" s="19">
        <v>43170.0</v>
      </c>
      <c r="B935" s="23">
        <v>1.0765E7</v>
      </c>
      <c r="C935" s="23">
        <f t="shared" si="1"/>
        <v>1377330.137</v>
      </c>
      <c r="D935" s="18">
        <f>IF(A935="","",MATCH(A935,Calculation!B$2:B9627,1))</f>
        <v>1</v>
      </c>
      <c r="E935" s="23">
        <f t="array" ref="E935">IF(D935="","",IF(D935=1,0,INDEX(Calculation!Q$2:Q9627,D935-1)))</f>
        <v>0</v>
      </c>
      <c r="F935" s="23">
        <f t="array" ref="F935">IF($A935="","",
  LET(
    r, $D935,
    startD, INDEX(Calculation!B$2:B9627, r),
    endD,   INDEX(Calculation!C$2:C9627, r),
    asOf,   MIN($A935,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1377330.137</v>
      </c>
    </row>
    <row r="936">
      <c r="A936" s="19">
        <v>43171.0</v>
      </c>
      <c r="B936" s="23">
        <v>1.0765E7</v>
      </c>
      <c r="C936" s="23">
        <f t="shared" si="1"/>
        <v>1378804.795</v>
      </c>
      <c r="D936" s="18">
        <f>IF(A936="","",MATCH(A936,Calculation!B$2:B9627,1))</f>
        <v>1</v>
      </c>
      <c r="E936" s="23">
        <f t="array" ref="E936">IF(D936="","",IF(D936=1,0,INDEX(Calculation!Q$2:Q9627,D936-1)))</f>
        <v>0</v>
      </c>
      <c r="F936" s="23">
        <f t="array" ref="F936">IF($A936="","",
  LET(
    r, $D936,
    startD, INDEX(Calculation!B$2:B9627, r),
    endD,   INDEX(Calculation!C$2:C9627, r),
    asOf,   MIN($A936,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1378804.795</v>
      </c>
    </row>
    <row r="937">
      <c r="A937" s="19">
        <v>43172.0</v>
      </c>
      <c r="B937" s="23">
        <v>1.0765E7</v>
      </c>
      <c r="C937" s="23">
        <f t="shared" si="1"/>
        <v>1380279.452</v>
      </c>
      <c r="D937" s="18">
        <f>IF(A937="","",MATCH(A937,Calculation!B$2:B9627,1))</f>
        <v>1</v>
      </c>
      <c r="E937" s="23">
        <f t="array" ref="E937">IF(D937="","",IF(D937=1,0,INDEX(Calculation!Q$2:Q9627,D937-1)))</f>
        <v>0</v>
      </c>
      <c r="F937" s="23">
        <f t="array" ref="F937">IF($A937="","",
  LET(
    r, $D937,
    startD, INDEX(Calculation!B$2:B9627, r),
    endD,   INDEX(Calculation!C$2:C9627, r),
    asOf,   MIN($A937,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1380279.452</v>
      </c>
    </row>
    <row r="938">
      <c r="A938" s="19">
        <v>43173.0</v>
      </c>
      <c r="B938" s="23">
        <v>1.0765E7</v>
      </c>
      <c r="C938" s="23">
        <f t="shared" si="1"/>
        <v>1381754.11</v>
      </c>
      <c r="D938" s="18">
        <f>IF(A938="","",MATCH(A938,Calculation!B$2:B9627,1))</f>
        <v>1</v>
      </c>
      <c r="E938" s="23">
        <f t="array" ref="E938">IF(D938="","",IF(D938=1,0,INDEX(Calculation!Q$2:Q9627,D938-1)))</f>
        <v>0</v>
      </c>
      <c r="F938" s="23">
        <f t="array" ref="F938">IF($A938="","",
  LET(
    r, $D938,
    startD, INDEX(Calculation!B$2:B9627, r),
    endD,   INDEX(Calculation!C$2:C9627, r),
    asOf,   MIN($A938,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1381754.11</v>
      </c>
    </row>
    <row r="939">
      <c r="A939" s="19">
        <v>43174.0</v>
      </c>
      <c r="B939" s="23">
        <v>1.0765E7</v>
      </c>
      <c r="C939" s="23">
        <f t="shared" si="1"/>
        <v>1383228.767</v>
      </c>
      <c r="D939" s="18">
        <f>IF(A939="","",MATCH(A939,Calculation!B$2:B9627,1))</f>
        <v>1</v>
      </c>
      <c r="E939" s="23">
        <f t="array" ref="E939">IF(D939="","",IF(D939=1,0,INDEX(Calculation!Q$2:Q9627,D939-1)))</f>
        <v>0</v>
      </c>
      <c r="F939" s="23">
        <f t="array" ref="F939">IF($A939="","",
  LET(
    r, $D939,
    startD, INDEX(Calculation!B$2:B9627, r),
    endD,   INDEX(Calculation!C$2:C9627, r),
    asOf,   MIN($A939,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1383228.767</v>
      </c>
    </row>
    <row r="940">
      <c r="A940" s="19">
        <v>43175.0</v>
      </c>
      <c r="B940" s="23">
        <v>1.0765E7</v>
      </c>
      <c r="C940" s="23">
        <f t="shared" si="1"/>
        <v>1384703.425</v>
      </c>
      <c r="D940" s="18">
        <f>IF(A940="","",MATCH(A940,Calculation!B$2:B9627,1))</f>
        <v>1</v>
      </c>
      <c r="E940" s="23">
        <f t="array" ref="E940">IF(D940="","",IF(D940=1,0,INDEX(Calculation!Q$2:Q9627,D940-1)))</f>
        <v>0</v>
      </c>
      <c r="F940" s="23">
        <f t="array" ref="F940">IF($A940="","",
  LET(
    r, $D940,
    startD, INDEX(Calculation!B$2:B9627, r),
    endD,   INDEX(Calculation!C$2:C9627, r),
    asOf,   MIN($A940,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1384703.425</v>
      </c>
    </row>
    <row r="941">
      <c r="A941" s="19">
        <v>43176.0</v>
      </c>
      <c r="B941" s="23">
        <v>1.0765E7</v>
      </c>
      <c r="C941" s="23">
        <f t="shared" si="1"/>
        <v>1386178.082</v>
      </c>
      <c r="D941" s="18">
        <f>IF(A941="","",MATCH(A941,Calculation!B$2:B9627,1))</f>
        <v>1</v>
      </c>
      <c r="E941" s="23">
        <f t="array" ref="E941">IF(D941="","",IF(D941=1,0,INDEX(Calculation!Q$2:Q9627,D941-1)))</f>
        <v>0</v>
      </c>
      <c r="F941" s="23">
        <f t="array" ref="F941">IF($A941="","",
  LET(
    r, $D941,
    startD, INDEX(Calculation!B$2:B9627, r),
    endD,   INDEX(Calculation!C$2:C9627, r),
    asOf,   MIN($A941,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1386178.082</v>
      </c>
    </row>
    <row r="942">
      <c r="A942" s="19">
        <v>43177.0</v>
      </c>
      <c r="B942" s="23">
        <v>1.0765E7</v>
      </c>
      <c r="C942" s="23">
        <f t="shared" si="1"/>
        <v>1387652.74</v>
      </c>
      <c r="D942" s="18">
        <f>IF(A942="","",MATCH(A942,Calculation!B$2:B9627,1))</f>
        <v>1</v>
      </c>
      <c r="E942" s="23">
        <f t="array" ref="E942">IF(D942="","",IF(D942=1,0,INDEX(Calculation!Q$2:Q9627,D942-1)))</f>
        <v>0</v>
      </c>
      <c r="F942" s="23">
        <f t="array" ref="F942">IF($A942="","",
  LET(
    r, $D942,
    startD, INDEX(Calculation!B$2:B9627, r),
    endD,   INDEX(Calculation!C$2:C9627, r),
    asOf,   MIN($A942,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1387652.74</v>
      </c>
    </row>
    <row r="943">
      <c r="A943" s="19">
        <v>43178.0</v>
      </c>
      <c r="B943" s="23">
        <v>1.0765E7</v>
      </c>
      <c r="C943" s="23">
        <f t="shared" si="1"/>
        <v>1389127.397</v>
      </c>
      <c r="D943" s="18">
        <f>IF(A943="","",MATCH(A943,Calculation!B$2:B9627,1))</f>
        <v>1</v>
      </c>
      <c r="E943" s="23">
        <f t="array" ref="E943">IF(D943="","",IF(D943=1,0,INDEX(Calculation!Q$2:Q9627,D943-1)))</f>
        <v>0</v>
      </c>
      <c r="F943" s="23">
        <f t="array" ref="F943">IF($A943="","",
  LET(
    r, $D943,
    startD, INDEX(Calculation!B$2:B9627, r),
    endD,   INDEX(Calculation!C$2:C9627, r),
    asOf,   MIN($A943,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1389127.397</v>
      </c>
    </row>
    <row r="944">
      <c r="A944" s="19">
        <v>43179.0</v>
      </c>
      <c r="B944" s="23">
        <v>1.0765E7</v>
      </c>
      <c r="C944" s="23">
        <f t="shared" si="1"/>
        <v>1390602.055</v>
      </c>
      <c r="D944" s="18">
        <f>IF(A944="","",MATCH(A944,Calculation!B$2:B9627,1))</f>
        <v>1</v>
      </c>
      <c r="E944" s="23">
        <f t="array" ref="E944">IF(D944="","",IF(D944=1,0,INDEX(Calculation!Q$2:Q9627,D944-1)))</f>
        <v>0</v>
      </c>
      <c r="F944" s="23">
        <f t="array" ref="F944">IF($A944="","",
  LET(
    r, $D944,
    startD, INDEX(Calculation!B$2:B9627, r),
    endD,   INDEX(Calculation!C$2:C9627, r),
    asOf,   MIN($A944,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1390602.055</v>
      </c>
    </row>
    <row r="945">
      <c r="A945" s="19">
        <v>43180.0</v>
      </c>
      <c r="B945" s="23">
        <v>1.0765E7</v>
      </c>
      <c r="C945" s="23">
        <f t="shared" si="1"/>
        <v>1392076.712</v>
      </c>
      <c r="D945" s="18">
        <f>IF(A945="","",MATCH(A945,Calculation!B$2:B9627,1))</f>
        <v>1</v>
      </c>
      <c r="E945" s="23">
        <f t="array" ref="E945">IF(D945="","",IF(D945=1,0,INDEX(Calculation!Q$2:Q9627,D945-1)))</f>
        <v>0</v>
      </c>
      <c r="F945" s="23">
        <f t="array" ref="F945">IF($A945="","",
  LET(
    r, $D945,
    startD, INDEX(Calculation!B$2:B9627, r),
    endD,   INDEX(Calculation!C$2:C9627, r),
    asOf,   MIN($A945,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1392076.712</v>
      </c>
    </row>
    <row r="946">
      <c r="A946" s="19">
        <v>43181.0</v>
      </c>
      <c r="B946" s="23">
        <v>1.0765E7</v>
      </c>
      <c r="C946" s="23">
        <f t="shared" si="1"/>
        <v>1393551.37</v>
      </c>
      <c r="D946" s="18">
        <f>IF(A946="","",MATCH(A946,Calculation!B$2:B9627,1))</f>
        <v>1</v>
      </c>
      <c r="E946" s="23">
        <f t="array" ref="E946">IF(D946="","",IF(D946=1,0,INDEX(Calculation!Q$2:Q9627,D946-1)))</f>
        <v>0</v>
      </c>
      <c r="F946" s="23">
        <f t="array" ref="F946">IF($A946="","",
  LET(
    r, $D946,
    startD, INDEX(Calculation!B$2:B9627, r),
    endD,   INDEX(Calculation!C$2:C9627, r),
    asOf,   MIN($A946,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1393551.37</v>
      </c>
    </row>
    <row r="947">
      <c r="A947" s="19">
        <v>43182.0</v>
      </c>
      <c r="B947" s="23">
        <v>1.0765E7</v>
      </c>
      <c r="C947" s="23">
        <f t="shared" si="1"/>
        <v>1395026.027</v>
      </c>
      <c r="D947" s="18">
        <f>IF(A947="","",MATCH(A947,Calculation!B$2:B9627,1))</f>
        <v>1</v>
      </c>
      <c r="E947" s="23">
        <f t="array" ref="E947">IF(D947="","",IF(D947=1,0,INDEX(Calculation!Q$2:Q9627,D947-1)))</f>
        <v>0</v>
      </c>
      <c r="F947" s="23">
        <f t="array" ref="F947">IF($A947="","",
  LET(
    r, $D947,
    startD, INDEX(Calculation!B$2:B9627, r),
    endD,   INDEX(Calculation!C$2:C9627, r),
    asOf,   MIN($A947,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1395026.027</v>
      </c>
    </row>
    <row r="948">
      <c r="A948" s="19">
        <v>43183.0</v>
      </c>
      <c r="B948" s="23">
        <v>1.0765E7</v>
      </c>
      <c r="C948" s="23">
        <f t="shared" si="1"/>
        <v>1396500.685</v>
      </c>
      <c r="D948" s="18">
        <f>IF(A948="","",MATCH(A948,Calculation!B$2:B9627,1))</f>
        <v>1</v>
      </c>
      <c r="E948" s="23">
        <f t="array" ref="E948">IF(D948="","",IF(D948=1,0,INDEX(Calculation!Q$2:Q9627,D948-1)))</f>
        <v>0</v>
      </c>
      <c r="F948" s="23">
        <f t="array" ref="F948">IF($A948="","",
  LET(
    r, $D948,
    startD, INDEX(Calculation!B$2:B9627, r),
    endD,   INDEX(Calculation!C$2:C9627, r),
    asOf,   MIN($A948,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1396500.685</v>
      </c>
    </row>
    <row r="949">
      <c r="A949" s="19">
        <v>43184.0</v>
      </c>
      <c r="B949" s="23">
        <v>1.0765E7</v>
      </c>
      <c r="C949" s="23">
        <f t="shared" si="1"/>
        <v>1397975.342</v>
      </c>
      <c r="D949" s="18">
        <f>IF(A949="","",MATCH(A949,Calculation!B$2:B9627,1))</f>
        <v>1</v>
      </c>
      <c r="E949" s="23">
        <f t="array" ref="E949">IF(D949="","",IF(D949=1,0,INDEX(Calculation!Q$2:Q9627,D949-1)))</f>
        <v>0</v>
      </c>
      <c r="F949" s="23">
        <f t="array" ref="F949">IF($A949="","",
  LET(
    r, $D949,
    startD, INDEX(Calculation!B$2:B9627, r),
    endD,   INDEX(Calculation!C$2:C9627, r),
    asOf,   MIN($A949,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1397975.342</v>
      </c>
    </row>
    <row r="950">
      <c r="A950" s="19">
        <v>43185.0</v>
      </c>
      <c r="B950" s="23">
        <v>1.0765E7</v>
      </c>
      <c r="C950" s="23">
        <f t="shared" si="1"/>
        <v>1399450</v>
      </c>
      <c r="D950" s="18">
        <f>IF(A950="","",MATCH(A950,Calculation!B$2:B9627,1))</f>
        <v>1</v>
      </c>
      <c r="E950" s="23">
        <f t="array" ref="E950">IF(D950="","",IF(D950=1,0,INDEX(Calculation!Q$2:Q9627,D950-1)))</f>
        <v>0</v>
      </c>
      <c r="F950" s="23">
        <f t="array" ref="F950">IF($A950="","",
  LET(
    r, $D950,
    startD, INDEX(Calculation!B$2:B9627, r),
    endD,   INDEX(Calculation!C$2:C9627, r),
    asOf,   MIN($A950,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1399450</v>
      </c>
    </row>
    <row r="951">
      <c r="A951" s="19">
        <v>43186.0</v>
      </c>
      <c r="B951" s="23">
        <v>1.0765E7</v>
      </c>
      <c r="C951" s="23">
        <f t="shared" si="1"/>
        <v>1400924.658</v>
      </c>
      <c r="D951" s="18">
        <f>IF(A951="","",MATCH(A951,Calculation!B$2:B9627,1))</f>
        <v>1</v>
      </c>
      <c r="E951" s="23">
        <f t="array" ref="E951">IF(D951="","",IF(D951=1,0,INDEX(Calculation!Q$2:Q9627,D951-1)))</f>
        <v>0</v>
      </c>
      <c r="F951" s="23">
        <f t="array" ref="F951">IF($A951="","",
  LET(
    r, $D951,
    startD, INDEX(Calculation!B$2:B9627, r),
    endD,   INDEX(Calculation!C$2:C9627, r),
    asOf,   MIN($A951,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1400924.658</v>
      </c>
    </row>
    <row r="952">
      <c r="A952" s="19">
        <v>43187.0</v>
      </c>
      <c r="B952" s="23">
        <v>1.0765E7</v>
      </c>
      <c r="C952" s="23">
        <f t="shared" si="1"/>
        <v>1402399.315</v>
      </c>
      <c r="D952" s="18">
        <f>IF(A952="","",MATCH(A952,Calculation!B$2:B9627,1))</f>
        <v>1</v>
      </c>
      <c r="E952" s="23">
        <f t="array" ref="E952">IF(D952="","",IF(D952=1,0,INDEX(Calculation!Q$2:Q9627,D952-1)))</f>
        <v>0</v>
      </c>
      <c r="F952" s="23">
        <f t="array" ref="F952">IF($A952="","",
  LET(
    r, $D952,
    startD, INDEX(Calculation!B$2:B9627, r),
    endD,   INDEX(Calculation!C$2:C9627, r),
    asOf,   MIN($A952,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1402399.315</v>
      </c>
    </row>
    <row r="953">
      <c r="A953" s="19">
        <v>43188.0</v>
      </c>
      <c r="B953" s="23">
        <v>1.0765E7</v>
      </c>
      <c r="C953" s="23">
        <f t="shared" si="1"/>
        <v>1403873.973</v>
      </c>
      <c r="D953" s="18">
        <f>IF(A953="","",MATCH(A953,Calculation!B$2:B9627,1))</f>
        <v>1</v>
      </c>
      <c r="E953" s="23">
        <f t="array" ref="E953">IF(D953="","",IF(D953=1,0,INDEX(Calculation!Q$2:Q9627,D953-1)))</f>
        <v>0</v>
      </c>
      <c r="F953" s="23">
        <f t="array" ref="F953">IF($A953="","",
  LET(
    r, $D953,
    startD, INDEX(Calculation!B$2:B9627, r),
    endD,   INDEX(Calculation!C$2:C9627, r),
    asOf,   MIN($A953,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1403873.973</v>
      </c>
    </row>
    <row r="954">
      <c r="A954" s="19">
        <v>43189.0</v>
      </c>
      <c r="B954" s="23">
        <v>1.0765E7</v>
      </c>
      <c r="C954" s="23">
        <f t="shared" si="1"/>
        <v>1405348.63</v>
      </c>
      <c r="D954" s="18">
        <f>IF(A954="","",MATCH(A954,Calculation!B$2:B9627,1))</f>
        <v>1</v>
      </c>
      <c r="E954" s="23">
        <f t="array" ref="E954">IF(D954="","",IF(D954=1,0,INDEX(Calculation!Q$2:Q9627,D954-1)))</f>
        <v>0</v>
      </c>
      <c r="F954" s="23">
        <f t="array" ref="F954">IF($A954="","",
  LET(
    r, $D954,
    startD, INDEX(Calculation!B$2:B9627, r),
    endD,   INDEX(Calculation!C$2:C9627, r),
    asOf,   MIN($A954,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1405348.63</v>
      </c>
    </row>
    <row r="955">
      <c r="A955" s="19">
        <v>43190.0</v>
      </c>
      <c r="B955" s="23">
        <v>1.0765E7</v>
      </c>
      <c r="C955" s="23">
        <f t="shared" si="1"/>
        <v>1406823.288</v>
      </c>
      <c r="D955" s="18">
        <f>IF(A955="","",MATCH(A955,Calculation!B$2:B9627,1))</f>
        <v>1</v>
      </c>
      <c r="E955" s="23">
        <f t="array" ref="E955">IF(D955="","",IF(D955=1,0,INDEX(Calculation!Q$2:Q9627,D955-1)))</f>
        <v>0</v>
      </c>
      <c r="F955" s="23">
        <f t="array" ref="F955">IF($A955="","",
  LET(
    r, $D955,
    startD, INDEX(Calculation!B$2:B9627, r),
    endD,   INDEX(Calculation!C$2:C9627, r),
    asOf,   MIN($A955,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1406823.288</v>
      </c>
    </row>
    <row r="956">
      <c r="A956" s="19">
        <v>43191.0</v>
      </c>
      <c r="B956" s="23">
        <v>1.0765E7</v>
      </c>
      <c r="C956" s="23">
        <f t="shared" si="1"/>
        <v>1408297.945</v>
      </c>
      <c r="D956" s="18">
        <f>IF(A956="","",MATCH(A956,Calculation!B$2:B9627,1))</f>
        <v>1</v>
      </c>
      <c r="E956" s="23">
        <f t="array" ref="E956">IF(D956="","",IF(D956=1,0,INDEX(Calculation!Q$2:Q9627,D956-1)))</f>
        <v>0</v>
      </c>
      <c r="F956" s="23">
        <f t="array" ref="F956">IF($A956="","",
  LET(
    r, $D956,
    startD, INDEX(Calculation!B$2:B9627, r),
    endD,   INDEX(Calculation!C$2:C9627, r),
    asOf,   MIN($A956,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1408297.945</v>
      </c>
    </row>
    <row r="957">
      <c r="A957" s="19">
        <v>43192.0</v>
      </c>
      <c r="B957" s="23">
        <v>1.0765E7</v>
      </c>
      <c r="C957" s="23">
        <f t="shared" si="1"/>
        <v>1409772.603</v>
      </c>
      <c r="D957" s="18">
        <f>IF(A957="","",MATCH(A957,Calculation!B$2:B9627,1))</f>
        <v>1</v>
      </c>
      <c r="E957" s="23">
        <f t="array" ref="E957">IF(D957="","",IF(D957=1,0,INDEX(Calculation!Q$2:Q9627,D957-1)))</f>
        <v>0</v>
      </c>
      <c r="F957" s="23">
        <f t="array" ref="F957">IF($A957="","",
  LET(
    r, $D957,
    startD, INDEX(Calculation!B$2:B9627, r),
    endD,   INDEX(Calculation!C$2:C9627, r),
    asOf,   MIN($A957,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1409772.603</v>
      </c>
    </row>
    <row r="958">
      <c r="A958" s="19">
        <v>43193.0</v>
      </c>
      <c r="B958" s="23">
        <v>1.0765E7</v>
      </c>
      <c r="C958" s="23">
        <f t="shared" si="1"/>
        <v>1411247.26</v>
      </c>
      <c r="D958" s="18">
        <f>IF(A958="","",MATCH(A958,Calculation!B$2:B9627,1))</f>
        <v>1</v>
      </c>
      <c r="E958" s="23">
        <f t="array" ref="E958">IF(D958="","",IF(D958=1,0,INDEX(Calculation!Q$2:Q9627,D958-1)))</f>
        <v>0</v>
      </c>
      <c r="F958" s="23">
        <f t="array" ref="F958">IF($A958="","",
  LET(
    r, $D958,
    startD, INDEX(Calculation!B$2:B9627, r),
    endD,   INDEX(Calculation!C$2:C9627, r),
    asOf,   MIN($A958,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1411247.26</v>
      </c>
    </row>
    <row r="959">
      <c r="A959" s="19">
        <v>43194.0</v>
      </c>
      <c r="B959" s="23">
        <v>1.0765E7</v>
      </c>
      <c r="C959" s="23">
        <f t="shared" si="1"/>
        <v>1412721.918</v>
      </c>
      <c r="D959" s="18">
        <f>IF(A959="","",MATCH(A959,Calculation!B$2:B9627,1))</f>
        <v>1</v>
      </c>
      <c r="E959" s="23">
        <f t="array" ref="E959">IF(D959="","",IF(D959=1,0,INDEX(Calculation!Q$2:Q9627,D959-1)))</f>
        <v>0</v>
      </c>
      <c r="F959" s="23">
        <f t="array" ref="F959">IF($A959="","",
  LET(
    r, $D959,
    startD, INDEX(Calculation!B$2:B9627, r),
    endD,   INDEX(Calculation!C$2:C9627, r),
    asOf,   MIN($A959,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1412721.918</v>
      </c>
    </row>
    <row r="960">
      <c r="A960" s="19">
        <v>43195.0</v>
      </c>
      <c r="B960" s="23">
        <v>1.0765E7</v>
      </c>
      <c r="C960" s="23">
        <f t="shared" si="1"/>
        <v>1414196.575</v>
      </c>
      <c r="D960" s="18">
        <f>IF(A960="","",MATCH(A960,Calculation!B$2:B9627,1))</f>
        <v>1</v>
      </c>
      <c r="E960" s="23">
        <f t="array" ref="E960">IF(D960="","",IF(D960=1,0,INDEX(Calculation!Q$2:Q9627,D960-1)))</f>
        <v>0</v>
      </c>
      <c r="F960" s="23">
        <f t="array" ref="F960">IF($A960="","",
  LET(
    r, $D960,
    startD, INDEX(Calculation!B$2:B9627, r),
    endD,   INDEX(Calculation!C$2:C9627, r),
    asOf,   MIN($A960,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1414196.575</v>
      </c>
    </row>
    <row r="961">
      <c r="A961" s="19">
        <v>43196.0</v>
      </c>
      <c r="B961" s="23">
        <v>1.0765E7</v>
      </c>
      <c r="C961" s="23">
        <f t="shared" si="1"/>
        <v>1415671.233</v>
      </c>
      <c r="D961" s="18">
        <f>IF(A961="","",MATCH(A961,Calculation!B$2:B9627,1))</f>
        <v>1</v>
      </c>
      <c r="E961" s="23">
        <f t="array" ref="E961">IF(D961="","",IF(D961=1,0,INDEX(Calculation!Q$2:Q9627,D961-1)))</f>
        <v>0</v>
      </c>
      <c r="F961" s="23">
        <f t="array" ref="F961">IF($A961="","",
  LET(
    r, $D961,
    startD, INDEX(Calculation!B$2:B9627, r),
    endD,   INDEX(Calculation!C$2:C9627, r),
    asOf,   MIN($A961,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1415671.233</v>
      </c>
    </row>
    <row r="962">
      <c r="A962" s="19">
        <v>43197.0</v>
      </c>
      <c r="B962" s="23">
        <v>1.0765E7</v>
      </c>
      <c r="C962" s="23">
        <f t="shared" si="1"/>
        <v>1417145.89</v>
      </c>
      <c r="D962" s="18">
        <f>IF(A962="","",MATCH(A962,Calculation!B$2:B9627,1))</f>
        <v>1</v>
      </c>
      <c r="E962" s="23">
        <f t="array" ref="E962">IF(D962="","",IF(D962=1,0,INDEX(Calculation!Q$2:Q9627,D962-1)))</f>
        <v>0</v>
      </c>
      <c r="F962" s="23">
        <f t="array" ref="F962">IF($A962="","",
  LET(
    r, $D962,
    startD, INDEX(Calculation!B$2:B9627, r),
    endD,   INDEX(Calculation!C$2:C9627, r),
    asOf,   MIN($A962,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1417145.89</v>
      </c>
    </row>
    <row r="963">
      <c r="A963" s="19">
        <v>43198.0</v>
      </c>
      <c r="B963" s="23">
        <v>1.0765E7</v>
      </c>
      <c r="C963" s="23">
        <f t="shared" si="1"/>
        <v>1418620.548</v>
      </c>
      <c r="D963" s="18">
        <f>IF(A963="","",MATCH(A963,Calculation!B$2:B9627,1))</f>
        <v>1</v>
      </c>
      <c r="E963" s="23">
        <f t="array" ref="E963">IF(D963="","",IF(D963=1,0,INDEX(Calculation!Q$2:Q9627,D963-1)))</f>
        <v>0</v>
      </c>
      <c r="F963" s="23">
        <f t="array" ref="F963">IF($A963="","",
  LET(
    r, $D963,
    startD, INDEX(Calculation!B$2:B9627, r),
    endD,   INDEX(Calculation!C$2:C9627, r),
    asOf,   MIN($A963,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1418620.548</v>
      </c>
    </row>
    <row r="964">
      <c r="A964" s="19">
        <v>43199.0</v>
      </c>
      <c r="B964" s="23">
        <v>1.0765E7</v>
      </c>
      <c r="C964" s="23">
        <f t="shared" si="1"/>
        <v>1420095.205</v>
      </c>
      <c r="D964" s="18">
        <f>IF(A964="","",MATCH(A964,Calculation!B$2:B9627,1))</f>
        <v>1</v>
      </c>
      <c r="E964" s="23">
        <f t="array" ref="E964">IF(D964="","",IF(D964=1,0,INDEX(Calculation!Q$2:Q9627,D964-1)))</f>
        <v>0</v>
      </c>
      <c r="F964" s="23">
        <f t="array" ref="F964">IF($A964="","",
  LET(
    r, $D964,
    startD, INDEX(Calculation!B$2:B9627, r),
    endD,   INDEX(Calculation!C$2:C9627, r),
    asOf,   MIN($A964,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1420095.205</v>
      </c>
    </row>
    <row r="965">
      <c r="A965" s="19">
        <v>43200.0</v>
      </c>
      <c r="B965" s="23">
        <v>1.0765E7</v>
      </c>
      <c r="C965" s="23">
        <f t="shared" si="1"/>
        <v>1421569.863</v>
      </c>
      <c r="D965" s="18">
        <f>IF(A965="","",MATCH(A965,Calculation!B$2:B9627,1))</f>
        <v>1</v>
      </c>
      <c r="E965" s="23">
        <f t="array" ref="E965">IF(D965="","",IF(D965=1,0,INDEX(Calculation!Q$2:Q9627,D965-1)))</f>
        <v>0</v>
      </c>
      <c r="F965" s="23">
        <f t="array" ref="F965">IF($A965="","",
  LET(
    r, $D965,
    startD, INDEX(Calculation!B$2:B9627, r),
    endD,   INDEX(Calculation!C$2:C9627, r),
    asOf,   MIN($A965,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1421569.863</v>
      </c>
    </row>
    <row r="966">
      <c r="A966" s="19">
        <v>43201.0</v>
      </c>
      <c r="B966" s="23">
        <v>1.0765E7</v>
      </c>
      <c r="C966" s="23">
        <f t="shared" si="1"/>
        <v>1423044.521</v>
      </c>
      <c r="D966" s="18">
        <f>IF(A966="","",MATCH(A966,Calculation!B$2:B9627,1))</f>
        <v>1</v>
      </c>
      <c r="E966" s="23">
        <f t="array" ref="E966">IF(D966="","",IF(D966=1,0,INDEX(Calculation!Q$2:Q9627,D966-1)))</f>
        <v>0</v>
      </c>
      <c r="F966" s="23">
        <f t="array" ref="F966">IF($A966="","",
  LET(
    r, $D966,
    startD, INDEX(Calculation!B$2:B9627, r),
    endD,   INDEX(Calculation!C$2:C9627, r),
    asOf,   MIN($A966,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1423044.521</v>
      </c>
    </row>
    <row r="967">
      <c r="A967" s="19">
        <v>43202.0</v>
      </c>
      <c r="B967" s="23">
        <v>1.0765E7</v>
      </c>
      <c r="C967" s="23">
        <f t="shared" si="1"/>
        <v>1424519.178</v>
      </c>
      <c r="D967" s="18">
        <f>IF(A967="","",MATCH(A967,Calculation!B$2:B9627,1))</f>
        <v>1</v>
      </c>
      <c r="E967" s="23">
        <f t="array" ref="E967">IF(D967="","",IF(D967=1,0,INDEX(Calculation!Q$2:Q9627,D967-1)))</f>
        <v>0</v>
      </c>
      <c r="F967" s="23">
        <f t="array" ref="F967">IF($A967="","",
  LET(
    r, $D967,
    startD, INDEX(Calculation!B$2:B9627, r),
    endD,   INDEX(Calculation!C$2:C9627, r),
    asOf,   MIN($A967,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1424519.178</v>
      </c>
    </row>
    <row r="968">
      <c r="A968" s="19">
        <v>43203.0</v>
      </c>
      <c r="B968" s="23">
        <v>1.0765E7</v>
      </c>
      <c r="C968" s="23">
        <f t="shared" si="1"/>
        <v>1425993.836</v>
      </c>
      <c r="D968" s="18">
        <f>IF(A968="","",MATCH(A968,Calculation!B$2:B9627,1))</f>
        <v>1</v>
      </c>
      <c r="E968" s="23">
        <f t="array" ref="E968">IF(D968="","",IF(D968=1,0,INDEX(Calculation!Q$2:Q9627,D968-1)))</f>
        <v>0</v>
      </c>
      <c r="F968" s="23">
        <f t="array" ref="F968">IF($A968="","",
  LET(
    r, $D968,
    startD, INDEX(Calculation!B$2:B9627, r),
    endD,   INDEX(Calculation!C$2:C9627, r),
    asOf,   MIN($A968,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1425993.836</v>
      </c>
    </row>
    <row r="969">
      <c r="A969" s="19">
        <v>43204.0</v>
      </c>
      <c r="B969" s="23">
        <v>1.0765E7</v>
      </c>
      <c r="C969" s="23">
        <f t="shared" si="1"/>
        <v>1427468.493</v>
      </c>
      <c r="D969" s="18">
        <f>IF(A969="","",MATCH(A969,Calculation!B$2:B9627,1))</f>
        <v>1</v>
      </c>
      <c r="E969" s="23">
        <f t="array" ref="E969">IF(D969="","",IF(D969=1,0,INDEX(Calculation!Q$2:Q9627,D969-1)))</f>
        <v>0</v>
      </c>
      <c r="F969" s="23">
        <f t="array" ref="F969">IF($A969="","",
  LET(
    r, $D969,
    startD, INDEX(Calculation!B$2:B9627, r),
    endD,   INDEX(Calculation!C$2:C9627, r),
    asOf,   MIN($A969,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1427468.493</v>
      </c>
    </row>
    <row r="970">
      <c r="A970" s="19">
        <v>43205.0</v>
      </c>
      <c r="B970" s="23">
        <v>1.0765E7</v>
      </c>
      <c r="C970" s="23">
        <f t="shared" si="1"/>
        <v>1428943.151</v>
      </c>
      <c r="D970" s="18">
        <f>IF(A970="","",MATCH(A970,Calculation!B$2:B9627,1))</f>
        <v>1</v>
      </c>
      <c r="E970" s="23">
        <f t="array" ref="E970">IF(D970="","",IF(D970=1,0,INDEX(Calculation!Q$2:Q9627,D970-1)))</f>
        <v>0</v>
      </c>
      <c r="F970" s="23">
        <f t="array" ref="F970">IF($A970="","",
  LET(
    r, $D970,
    startD, INDEX(Calculation!B$2:B9627, r),
    endD,   INDEX(Calculation!C$2:C9627, r),
    asOf,   MIN($A970,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1428943.151</v>
      </c>
    </row>
    <row r="971">
      <c r="A971" s="19">
        <v>43206.0</v>
      </c>
      <c r="B971" s="23">
        <v>1.0765E7</v>
      </c>
      <c r="C971" s="23">
        <f t="shared" si="1"/>
        <v>1430417.808</v>
      </c>
      <c r="D971" s="18">
        <f>IF(A971="","",MATCH(A971,Calculation!B$2:B9627,1))</f>
        <v>1</v>
      </c>
      <c r="E971" s="23">
        <f t="array" ref="E971">IF(D971="","",IF(D971=1,0,INDEX(Calculation!Q$2:Q9627,D971-1)))</f>
        <v>0</v>
      </c>
      <c r="F971" s="23">
        <f t="array" ref="F971">IF($A971="","",
  LET(
    r, $D971,
    startD, INDEX(Calculation!B$2:B9627, r),
    endD,   INDEX(Calculation!C$2:C9627, r),
    asOf,   MIN($A971,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1430417.808</v>
      </c>
    </row>
    <row r="972">
      <c r="A972" s="19">
        <v>43207.0</v>
      </c>
      <c r="B972" s="23">
        <v>1.0765E7</v>
      </c>
      <c r="C972" s="23">
        <f t="shared" si="1"/>
        <v>1431892.466</v>
      </c>
      <c r="D972" s="18">
        <f>IF(A972="","",MATCH(A972,Calculation!B$2:B9627,1))</f>
        <v>1</v>
      </c>
      <c r="E972" s="23">
        <f t="array" ref="E972">IF(D972="","",IF(D972=1,0,INDEX(Calculation!Q$2:Q9627,D972-1)))</f>
        <v>0</v>
      </c>
      <c r="F972" s="23">
        <f t="array" ref="F972">IF($A972="","",
  LET(
    r, $D972,
    startD, INDEX(Calculation!B$2:B9627, r),
    endD,   INDEX(Calculation!C$2:C9627, r),
    asOf,   MIN($A972,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1431892.466</v>
      </c>
    </row>
    <row r="973">
      <c r="A973" s="19">
        <v>43208.0</v>
      </c>
      <c r="B973" s="23">
        <v>1.0765E7</v>
      </c>
      <c r="C973" s="23">
        <f t="shared" si="1"/>
        <v>1433367.123</v>
      </c>
      <c r="D973" s="18">
        <f>IF(A973="","",MATCH(A973,Calculation!B$2:B9627,1))</f>
        <v>1</v>
      </c>
      <c r="E973" s="23">
        <f t="array" ref="E973">IF(D973="","",IF(D973=1,0,INDEX(Calculation!Q$2:Q9627,D973-1)))</f>
        <v>0</v>
      </c>
      <c r="F973" s="23">
        <f t="array" ref="F973">IF($A973="","",
  LET(
    r, $D973,
    startD, INDEX(Calculation!B$2:B9627, r),
    endD,   INDEX(Calculation!C$2:C9627, r),
    asOf,   MIN($A973,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1433367.123</v>
      </c>
    </row>
    <row r="974">
      <c r="A974" s="19">
        <v>43209.0</v>
      </c>
      <c r="B974" s="23">
        <v>1.0765E7</v>
      </c>
      <c r="C974" s="23">
        <f t="shared" si="1"/>
        <v>1434841.781</v>
      </c>
      <c r="D974" s="18">
        <f>IF(A974="","",MATCH(A974,Calculation!B$2:B9627,1))</f>
        <v>1</v>
      </c>
      <c r="E974" s="23">
        <f t="array" ref="E974">IF(D974="","",IF(D974=1,0,INDEX(Calculation!Q$2:Q9627,D974-1)))</f>
        <v>0</v>
      </c>
      <c r="F974" s="23">
        <f t="array" ref="F974">IF($A974="","",
  LET(
    r, $D974,
    startD, INDEX(Calculation!B$2:B9627, r),
    endD,   INDEX(Calculation!C$2:C9627, r),
    asOf,   MIN($A974,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1434841.781</v>
      </c>
    </row>
    <row r="975">
      <c r="A975" s="19">
        <v>43210.0</v>
      </c>
      <c r="B975" s="23">
        <v>1.0765E7</v>
      </c>
      <c r="C975" s="23">
        <f t="shared" si="1"/>
        <v>1436316.438</v>
      </c>
      <c r="D975" s="18">
        <f>IF(A975="","",MATCH(A975,Calculation!B$2:B9627,1))</f>
        <v>1</v>
      </c>
      <c r="E975" s="23">
        <f t="array" ref="E975">IF(D975="","",IF(D975=1,0,INDEX(Calculation!Q$2:Q9627,D975-1)))</f>
        <v>0</v>
      </c>
      <c r="F975" s="23">
        <f t="array" ref="F975">IF($A975="","",
  LET(
    r, $D975,
    startD, INDEX(Calculation!B$2:B9627, r),
    endD,   INDEX(Calculation!C$2:C9627, r),
    asOf,   MIN($A975,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1436316.438</v>
      </c>
    </row>
    <row r="976">
      <c r="A976" s="19">
        <v>43211.0</v>
      </c>
      <c r="B976" s="23">
        <v>1.0765E7</v>
      </c>
      <c r="C976" s="23">
        <f t="shared" si="1"/>
        <v>1437791.096</v>
      </c>
      <c r="D976" s="18">
        <f>IF(A976="","",MATCH(A976,Calculation!B$2:B9627,1))</f>
        <v>1</v>
      </c>
      <c r="E976" s="23">
        <f t="array" ref="E976">IF(D976="","",IF(D976=1,0,INDEX(Calculation!Q$2:Q9627,D976-1)))</f>
        <v>0</v>
      </c>
      <c r="F976" s="23">
        <f t="array" ref="F976">IF($A976="","",
  LET(
    r, $D976,
    startD, INDEX(Calculation!B$2:B9627, r),
    endD,   INDEX(Calculation!C$2:C9627, r),
    asOf,   MIN($A976,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1437791.096</v>
      </c>
    </row>
    <row r="977">
      <c r="A977" s="19">
        <v>43212.0</v>
      </c>
      <c r="B977" s="23">
        <v>1.0765E7</v>
      </c>
      <c r="C977" s="23">
        <f t="shared" si="1"/>
        <v>1439265.753</v>
      </c>
      <c r="D977" s="18">
        <f>IF(A977="","",MATCH(A977,Calculation!B$2:B9627,1))</f>
        <v>1</v>
      </c>
      <c r="E977" s="23">
        <f t="array" ref="E977">IF(D977="","",IF(D977=1,0,INDEX(Calculation!Q$2:Q9627,D977-1)))</f>
        <v>0</v>
      </c>
      <c r="F977" s="23">
        <f t="array" ref="F977">IF($A977="","",
  LET(
    r, $D977,
    startD, INDEX(Calculation!B$2:B9627, r),
    endD,   INDEX(Calculation!C$2:C9627, r),
    asOf,   MIN($A977,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1439265.753</v>
      </c>
    </row>
    <row r="978">
      <c r="A978" s="19">
        <v>43213.0</v>
      </c>
      <c r="B978" s="23">
        <v>1.0765E7</v>
      </c>
      <c r="C978" s="23">
        <f t="shared" si="1"/>
        <v>1440740.411</v>
      </c>
      <c r="D978" s="18">
        <f>IF(A978="","",MATCH(A978,Calculation!B$2:B9627,1))</f>
        <v>1</v>
      </c>
      <c r="E978" s="23">
        <f t="array" ref="E978">IF(D978="","",IF(D978=1,0,INDEX(Calculation!Q$2:Q9627,D978-1)))</f>
        <v>0</v>
      </c>
      <c r="F978" s="23">
        <f t="array" ref="F978">IF($A978="","",
  LET(
    r, $D978,
    startD, INDEX(Calculation!B$2:B9627, r),
    endD,   INDEX(Calculation!C$2:C9627, r),
    asOf,   MIN($A978,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1440740.411</v>
      </c>
    </row>
    <row r="979">
      <c r="A979" s="19">
        <v>43214.0</v>
      </c>
      <c r="B979" s="23">
        <v>1.0765E7</v>
      </c>
      <c r="C979" s="23">
        <f t="shared" si="1"/>
        <v>1442215.068</v>
      </c>
      <c r="D979" s="18">
        <f>IF(A979="","",MATCH(A979,Calculation!B$2:B9627,1))</f>
        <v>1</v>
      </c>
      <c r="E979" s="23">
        <f t="array" ref="E979">IF(D979="","",IF(D979=1,0,INDEX(Calculation!Q$2:Q9627,D979-1)))</f>
        <v>0</v>
      </c>
      <c r="F979" s="23">
        <f t="array" ref="F979">IF($A979="","",
  LET(
    r, $D979,
    startD, INDEX(Calculation!B$2:B9627, r),
    endD,   INDEX(Calculation!C$2:C9627, r),
    asOf,   MIN($A979,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1442215.068</v>
      </c>
    </row>
    <row r="980">
      <c r="A980" s="19">
        <v>43215.0</v>
      </c>
      <c r="B980" s="23">
        <v>1.0765E7</v>
      </c>
      <c r="C980" s="23">
        <f t="shared" si="1"/>
        <v>1443689.726</v>
      </c>
      <c r="D980" s="18">
        <f>IF(A980="","",MATCH(A980,Calculation!B$2:B9627,1))</f>
        <v>1</v>
      </c>
      <c r="E980" s="23">
        <f t="array" ref="E980">IF(D980="","",IF(D980=1,0,INDEX(Calculation!Q$2:Q9627,D980-1)))</f>
        <v>0</v>
      </c>
      <c r="F980" s="23">
        <f t="array" ref="F980">IF($A980="","",
  LET(
    r, $D980,
    startD, INDEX(Calculation!B$2:B9627, r),
    endD,   INDEX(Calculation!C$2:C9627, r),
    asOf,   MIN($A980,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1443689.726</v>
      </c>
    </row>
    <row r="981">
      <c r="A981" s="19">
        <v>43216.0</v>
      </c>
      <c r="B981" s="23">
        <v>1.0765E7</v>
      </c>
      <c r="C981" s="23">
        <f t="shared" si="1"/>
        <v>1445164.384</v>
      </c>
      <c r="D981" s="18">
        <f>IF(A981="","",MATCH(A981,Calculation!B$2:B9627,1))</f>
        <v>1</v>
      </c>
      <c r="E981" s="23">
        <f t="array" ref="E981">IF(D981="","",IF(D981=1,0,INDEX(Calculation!Q$2:Q9627,D981-1)))</f>
        <v>0</v>
      </c>
      <c r="F981" s="23">
        <f t="array" ref="F981">IF($A981="","",
  LET(
    r, $D981,
    startD, INDEX(Calculation!B$2:B9627, r),
    endD,   INDEX(Calculation!C$2:C9627, r),
    asOf,   MIN($A981,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1445164.384</v>
      </c>
    </row>
    <row r="982">
      <c r="A982" s="19">
        <v>43217.0</v>
      </c>
      <c r="B982" s="23">
        <v>1.0765E7</v>
      </c>
      <c r="C982" s="23">
        <f t="shared" si="1"/>
        <v>1446639.041</v>
      </c>
      <c r="D982" s="18">
        <f>IF(A982="","",MATCH(A982,Calculation!B$2:B9627,1))</f>
        <v>1</v>
      </c>
      <c r="E982" s="23">
        <f t="array" ref="E982">IF(D982="","",IF(D982=1,0,INDEX(Calculation!Q$2:Q9627,D982-1)))</f>
        <v>0</v>
      </c>
      <c r="F982" s="23">
        <f t="array" ref="F982">IF($A982="","",
  LET(
    r, $D982,
    startD, INDEX(Calculation!B$2:B9627, r),
    endD,   INDEX(Calculation!C$2:C9627, r),
    asOf,   MIN($A982,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1446639.041</v>
      </c>
    </row>
    <row r="983">
      <c r="A983" s="19">
        <v>43218.0</v>
      </c>
      <c r="B983" s="23">
        <v>1.0765E7</v>
      </c>
      <c r="C983" s="23">
        <f t="shared" si="1"/>
        <v>1448113.699</v>
      </c>
      <c r="D983" s="18">
        <f>IF(A983="","",MATCH(A983,Calculation!B$2:B9627,1))</f>
        <v>1</v>
      </c>
      <c r="E983" s="23">
        <f t="array" ref="E983">IF(D983="","",IF(D983=1,0,INDEX(Calculation!Q$2:Q9627,D983-1)))</f>
        <v>0</v>
      </c>
      <c r="F983" s="23">
        <f t="array" ref="F983">IF($A983="","",
  LET(
    r, $D983,
    startD, INDEX(Calculation!B$2:B9627, r),
    endD,   INDEX(Calculation!C$2:C9627, r),
    asOf,   MIN($A983,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1448113.699</v>
      </c>
    </row>
    <row r="984">
      <c r="A984" s="19">
        <v>43219.0</v>
      </c>
      <c r="B984" s="23">
        <v>1.0765E7</v>
      </c>
      <c r="C984" s="23">
        <f t="shared" si="1"/>
        <v>1449588.356</v>
      </c>
      <c r="D984" s="18">
        <f>IF(A984="","",MATCH(A984,Calculation!B$2:B9627,1))</f>
        <v>1</v>
      </c>
      <c r="E984" s="23">
        <f t="array" ref="E984">IF(D984="","",IF(D984=1,0,INDEX(Calculation!Q$2:Q9627,D984-1)))</f>
        <v>0</v>
      </c>
      <c r="F984" s="23">
        <f t="array" ref="F984">IF($A984="","",
  LET(
    r, $D984,
    startD, INDEX(Calculation!B$2:B9627, r),
    endD,   INDEX(Calculation!C$2:C9627, r),
    asOf,   MIN($A984,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1449588.356</v>
      </c>
    </row>
    <row r="985">
      <c r="A985" s="19">
        <v>43220.0</v>
      </c>
      <c r="B985" s="23">
        <v>1.0765E7</v>
      </c>
      <c r="C985" s="23">
        <f t="shared" si="1"/>
        <v>1451063.014</v>
      </c>
      <c r="D985" s="18">
        <f>IF(A985="","",MATCH(A985,Calculation!B$2:B9627,1))</f>
        <v>1</v>
      </c>
      <c r="E985" s="23">
        <f t="array" ref="E985">IF(D985="","",IF(D985=1,0,INDEX(Calculation!Q$2:Q9627,D985-1)))</f>
        <v>0</v>
      </c>
      <c r="F985" s="23">
        <f t="array" ref="F985">IF($A985="","",
  LET(
    r, $D985,
    startD, INDEX(Calculation!B$2:B9627, r),
    endD,   INDEX(Calculation!C$2:C9627, r),
    asOf,   MIN($A985,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1451063.014</v>
      </c>
    </row>
    <row r="986">
      <c r="A986" s="19">
        <v>43221.0</v>
      </c>
      <c r="B986" s="23">
        <v>1.0765E7</v>
      </c>
      <c r="C986" s="23">
        <f t="shared" si="1"/>
        <v>1452537.671</v>
      </c>
      <c r="D986" s="18">
        <f>IF(A986="","",MATCH(A986,Calculation!B$2:B9627,1))</f>
        <v>1</v>
      </c>
      <c r="E986" s="23">
        <f t="array" ref="E986">IF(D986="","",IF(D986=1,0,INDEX(Calculation!Q$2:Q9627,D986-1)))</f>
        <v>0</v>
      </c>
      <c r="F986" s="23">
        <f t="array" ref="F986">IF($A986="","",
  LET(
    r, $D986,
    startD, INDEX(Calculation!B$2:B9627, r),
    endD,   INDEX(Calculation!C$2:C9627, r),
    asOf,   MIN($A986,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1452537.671</v>
      </c>
    </row>
    <row r="987">
      <c r="A987" s="19">
        <v>43222.0</v>
      </c>
      <c r="B987" s="23">
        <v>1.0765E7</v>
      </c>
      <c r="C987" s="23">
        <f t="shared" si="1"/>
        <v>1454012.329</v>
      </c>
      <c r="D987" s="18">
        <f>IF(A987="","",MATCH(A987,Calculation!B$2:B9627,1))</f>
        <v>1</v>
      </c>
      <c r="E987" s="23">
        <f t="array" ref="E987">IF(D987="","",IF(D987=1,0,INDEX(Calculation!Q$2:Q9627,D987-1)))</f>
        <v>0</v>
      </c>
      <c r="F987" s="23">
        <f t="array" ref="F987">IF($A987="","",
  LET(
    r, $D987,
    startD, INDEX(Calculation!B$2:B9627, r),
    endD,   INDEX(Calculation!C$2:C9627, r),
    asOf,   MIN($A987,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1454012.329</v>
      </c>
    </row>
    <row r="988">
      <c r="A988" s="19">
        <v>43223.0</v>
      </c>
      <c r="B988" s="23">
        <v>1.0765E7</v>
      </c>
      <c r="C988" s="23">
        <f t="shared" si="1"/>
        <v>1455486.986</v>
      </c>
      <c r="D988" s="18">
        <f>IF(A988="","",MATCH(A988,Calculation!B$2:B9627,1))</f>
        <v>1</v>
      </c>
      <c r="E988" s="23">
        <f t="array" ref="E988">IF(D988="","",IF(D988=1,0,INDEX(Calculation!Q$2:Q9627,D988-1)))</f>
        <v>0</v>
      </c>
      <c r="F988" s="23">
        <f t="array" ref="F988">IF($A988="","",
  LET(
    r, $D988,
    startD, INDEX(Calculation!B$2:B9627, r),
    endD,   INDEX(Calculation!C$2:C9627, r),
    asOf,   MIN($A988,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1455486.986</v>
      </c>
    </row>
    <row r="989">
      <c r="A989" s="19">
        <v>43224.0</v>
      </c>
      <c r="B989" s="23">
        <v>1.0765E7</v>
      </c>
      <c r="C989" s="23">
        <f t="shared" si="1"/>
        <v>1456961.644</v>
      </c>
      <c r="D989" s="18">
        <f>IF(A989="","",MATCH(A989,Calculation!B$2:B9627,1))</f>
        <v>1</v>
      </c>
      <c r="E989" s="23">
        <f t="array" ref="E989">IF(D989="","",IF(D989=1,0,INDEX(Calculation!Q$2:Q9627,D989-1)))</f>
        <v>0</v>
      </c>
      <c r="F989" s="23">
        <f t="array" ref="F989">IF($A989="","",
  LET(
    r, $D989,
    startD, INDEX(Calculation!B$2:B9627, r),
    endD,   INDEX(Calculation!C$2:C9627, r),
    asOf,   MIN($A989,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1456961.644</v>
      </c>
    </row>
    <row r="990">
      <c r="A990" s="19">
        <v>43225.0</v>
      </c>
      <c r="B990" s="23">
        <v>1.0765E7</v>
      </c>
      <c r="C990" s="23">
        <f t="shared" si="1"/>
        <v>1458436.301</v>
      </c>
      <c r="D990" s="18">
        <f>IF(A990="","",MATCH(A990,Calculation!B$2:B9627,1))</f>
        <v>1</v>
      </c>
      <c r="E990" s="23">
        <f t="array" ref="E990">IF(D990="","",IF(D990=1,0,INDEX(Calculation!Q$2:Q9627,D990-1)))</f>
        <v>0</v>
      </c>
      <c r="F990" s="23">
        <f t="array" ref="F990">IF($A990="","",
  LET(
    r, $D990,
    startD, INDEX(Calculation!B$2:B9627, r),
    endD,   INDEX(Calculation!C$2:C9627, r),
    asOf,   MIN($A990,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1458436.301</v>
      </c>
    </row>
    <row r="991">
      <c r="A991" s="19">
        <v>43226.0</v>
      </c>
      <c r="B991" s="23">
        <v>1.0765E7</v>
      </c>
      <c r="C991" s="23">
        <f t="shared" si="1"/>
        <v>1459910.959</v>
      </c>
      <c r="D991" s="18">
        <f>IF(A991="","",MATCH(A991,Calculation!B$2:B9627,1))</f>
        <v>1</v>
      </c>
      <c r="E991" s="23">
        <f t="array" ref="E991">IF(D991="","",IF(D991=1,0,INDEX(Calculation!Q$2:Q9627,D991-1)))</f>
        <v>0</v>
      </c>
      <c r="F991" s="23">
        <f t="array" ref="F991">IF($A991="","",
  LET(
    r, $D991,
    startD, INDEX(Calculation!B$2:B9627, r),
    endD,   INDEX(Calculation!C$2:C9627, r),
    asOf,   MIN($A991,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1459910.959</v>
      </c>
    </row>
    <row r="992">
      <c r="A992" s="19">
        <v>43227.0</v>
      </c>
      <c r="B992" s="23">
        <v>1.0765E7</v>
      </c>
      <c r="C992" s="23">
        <f t="shared" si="1"/>
        <v>1461385.616</v>
      </c>
      <c r="D992" s="18">
        <f>IF(A992="","",MATCH(A992,Calculation!B$2:B9627,1))</f>
        <v>1</v>
      </c>
      <c r="E992" s="23">
        <f t="array" ref="E992">IF(D992="","",IF(D992=1,0,INDEX(Calculation!Q$2:Q9627,D992-1)))</f>
        <v>0</v>
      </c>
      <c r="F992" s="23">
        <f t="array" ref="F992">IF($A992="","",
  LET(
    r, $D992,
    startD, INDEX(Calculation!B$2:B9627, r),
    endD,   INDEX(Calculation!C$2:C9627, r),
    asOf,   MIN($A992,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1461385.616</v>
      </c>
    </row>
    <row r="993">
      <c r="A993" s="19">
        <v>43228.0</v>
      </c>
      <c r="B993" s="23">
        <v>1.0765E7</v>
      </c>
      <c r="C993" s="23">
        <f t="shared" si="1"/>
        <v>1462860.274</v>
      </c>
      <c r="D993" s="18">
        <f>IF(A993="","",MATCH(A993,Calculation!B$2:B9627,1))</f>
        <v>1</v>
      </c>
      <c r="E993" s="23">
        <f t="array" ref="E993">IF(D993="","",IF(D993=1,0,INDEX(Calculation!Q$2:Q9627,D993-1)))</f>
        <v>0</v>
      </c>
      <c r="F993" s="23">
        <f t="array" ref="F993">IF($A993="","",
  LET(
    r, $D993,
    startD, INDEX(Calculation!B$2:B9627, r),
    endD,   INDEX(Calculation!C$2:C9627, r),
    asOf,   MIN($A993,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1462860.274</v>
      </c>
    </row>
    <row r="994">
      <c r="A994" s="19">
        <v>43229.0</v>
      </c>
      <c r="B994" s="23">
        <v>1.0765E7</v>
      </c>
      <c r="C994" s="23">
        <f t="shared" si="1"/>
        <v>1464334.932</v>
      </c>
      <c r="D994" s="18">
        <f>IF(A994="","",MATCH(A994,Calculation!B$2:B9627,1))</f>
        <v>1</v>
      </c>
      <c r="E994" s="23">
        <f t="array" ref="E994">IF(D994="","",IF(D994=1,0,INDEX(Calculation!Q$2:Q9627,D994-1)))</f>
        <v>0</v>
      </c>
      <c r="F994" s="23">
        <f t="array" ref="F994">IF($A994="","",
  LET(
    r, $D994,
    startD, INDEX(Calculation!B$2:B9627, r),
    endD,   INDEX(Calculation!C$2:C9627, r),
    asOf,   MIN($A994,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1464334.932</v>
      </c>
    </row>
    <row r="995">
      <c r="A995" s="19">
        <v>43230.0</v>
      </c>
      <c r="B995" s="23">
        <v>1.0765E7</v>
      </c>
      <c r="C995" s="23">
        <f t="shared" si="1"/>
        <v>1465809.589</v>
      </c>
      <c r="D995" s="18">
        <f>IF(A995="","",MATCH(A995,Calculation!B$2:B9627,1))</f>
        <v>1</v>
      </c>
      <c r="E995" s="23">
        <f t="array" ref="E995">IF(D995="","",IF(D995=1,0,INDEX(Calculation!Q$2:Q9627,D995-1)))</f>
        <v>0</v>
      </c>
      <c r="F995" s="23">
        <f t="array" ref="F995">IF($A995="","",
  LET(
    r, $D995,
    startD, INDEX(Calculation!B$2:B9627, r),
    endD,   INDEX(Calculation!C$2:C9627, r),
    asOf,   MIN($A995,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1465809.589</v>
      </c>
    </row>
    <row r="996">
      <c r="A996" s="19">
        <v>43231.0</v>
      </c>
      <c r="B996" s="23">
        <v>1.0765E7</v>
      </c>
      <c r="C996" s="23">
        <f t="shared" si="1"/>
        <v>1467284.247</v>
      </c>
      <c r="D996" s="18">
        <f>IF(A996="","",MATCH(A996,Calculation!B$2:B9627,1))</f>
        <v>1</v>
      </c>
      <c r="E996" s="23">
        <f t="array" ref="E996">IF(D996="","",IF(D996=1,0,INDEX(Calculation!Q$2:Q9627,D996-1)))</f>
        <v>0</v>
      </c>
      <c r="F996" s="23">
        <f t="array" ref="F996">IF($A996="","",
  LET(
    r, $D996,
    startD, INDEX(Calculation!B$2:B9627, r),
    endD,   INDEX(Calculation!C$2:C9627, r),
    asOf,   MIN($A996,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1467284.247</v>
      </c>
    </row>
    <row r="997">
      <c r="A997" s="19">
        <v>43232.0</v>
      </c>
      <c r="B997" s="23">
        <v>1.0765E7</v>
      </c>
      <c r="C997" s="23">
        <f t="shared" si="1"/>
        <v>1468758.904</v>
      </c>
      <c r="D997" s="18">
        <f>IF(A997="","",MATCH(A997,Calculation!B$2:B9627,1))</f>
        <v>1</v>
      </c>
      <c r="E997" s="23">
        <f t="array" ref="E997">IF(D997="","",IF(D997=1,0,INDEX(Calculation!Q$2:Q9627,D997-1)))</f>
        <v>0</v>
      </c>
      <c r="F997" s="23">
        <f t="array" ref="F997">IF($A997="","",
  LET(
    r, $D997,
    startD, INDEX(Calculation!B$2:B9627, r),
    endD,   INDEX(Calculation!C$2:C9627, r),
    asOf,   MIN($A997,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1468758.904</v>
      </c>
    </row>
    <row r="998">
      <c r="A998" s="19">
        <v>43233.0</v>
      </c>
      <c r="B998" s="23">
        <v>1.0765E7</v>
      </c>
      <c r="C998" s="23">
        <f t="shared" si="1"/>
        <v>1470233.562</v>
      </c>
      <c r="D998" s="18">
        <f>IF(A998="","",MATCH(A998,Calculation!B$2:B9627,1))</f>
        <v>1</v>
      </c>
      <c r="E998" s="23">
        <f t="array" ref="E998">IF(D998="","",IF(D998=1,0,INDEX(Calculation!Q$2:Q9627,D998-1)))</f>
        <v>0</v>
      </c>
      <c r="F998" s="23">
        <f t="array" ref="F998">IF($A998="","",
  LET(
    r, $D998,
    startD, INDEX(Calculation!B$2:B9627, r),
    endD,   INDEX(Calculation!C$2:C9627, r),
    asOf,   MIN($A998,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1470233.562</v>
      </c>
    </row>
    <row r="999">
      <c r="A999" s="19">
        <v>43234.0</v>
      </c>
      <c r="B999" s="23">
        <v>1.0765E7</v>
      </c>
      <c r="C999" s="23">
        <f t="shared" si="1"/>
        <v>1471708.219</v>
      </c>
      <c r="D999" s="18">
        <f>IF(A999="","",MATCH(A999,Calculation!B$2:B9627,1))</f>
        <v>1</v>
      </c>
      <c r="E999" s="23">
        <f t="array" ref="E999">IF(D999="","",IF(D999=1,0,INDEX(Calculation!Q$2:Q9627,D999-1)))</f>
        <v>0</v>
      </c>
      <c r="F999" s="23">
        <f t="array" ref="F999">IF($A999="","",
  LET(
    r, $D999,
    startD, INDEX(Calculation!B$2:B9627, r),
    endD,   INDEX(Calculation!C$2:C9627, r),
    asOf,   MIN($A999,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1471708.219</v>
      </c>
    </row>
    <row r="1000">
      <c r="A1000" s="19">
        <v>43235.0</v>
      </c>
      <c r="B1000" s="23">
        <v>1.0765E7</v>
      </c>
      <c r="C1000" s="23">
        <f t="shared" si="1"/>
        <v>1473182.877</v>
      </c>
      <c r="D1000" s="18">
        <f>IF(A1000="","",MATCH(A1000,Calculation!B$2:B9627,1))</f>
        <v>1</v>
      </c>
      <c r="E1000" s="23">
        <f t="array" ref="E1000">IF(D1000="","",IF(D1000=1,0,INDEX(Calculation!Q$2:Q9627,D1000-1)))</f>
        <v>0</v>
      </c>
      <c r="F1000" s="23">
        <f t="array" ref="F1000">IF($A1000="","",
  LET(
    r, $D1000,
    startD, INDEX(Calculation!B$2:B9627, r),
    endD,   INDEX(Calculation!C$2:C9627, r),
    asOf,   MIN($A1000,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1473182.877</v>
      </c>
    </row>
    <row r="1001">
      <c r="A1001" s="19">
        <v>43236.0</v>
      </c>
      <c r="B1001" s="23">
        <v>1.0765E7</v>
      </c>
      <c r="C1001" s="23">
        <f t="shared" si="1"/>
        <v>1474657.534</v>
      </c>
      <c r="D1001" s="18">
        <f>IF(A1001="","",MATCH(A1001,Calculation!B$2:B9627,1))</f>
        <v>1</v>
      </c>
      <c r="E1001" s="23">
        <f t="array" ref="E1001">IF(D1001="","",IF(D1001=1,0,INDEX(Calculation!Q$2:Q9627,D1001-1)))</f>
        <v>0</v>
      </c>
      <c r="F1001" s="23">
        <f t="array" ref="F1001">IF($A1001="","",
  LET(
    r, $D1001,
    startD, INDEX(Calculation!B$2:B9627, r),
    endD,   INDEX(Calculation!C$2:C9627, r),
    asOf,   MIN($A1001,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1474657.534</v>
      </c>
    </row>
    <row r="1002">
      <c r="A1002" s="19">
        <v>43237.0</v>
      </c>
      <c r="B1002" s="23">
        <v>1.0765E7</v>
      </c>
      <c r="C1002" s="23">
        <f t="shared" si="1"/>
        <v>1476132.192</v>
      </c>
      <c r="D1002" s="18">
        <f>IF(A1002="","",MATCH(A1002,Calculation!B$2:B9627,1))</f>
        <v>1</v>
      </c>
      <c r="E1002" s="23">
        <f t="array" ref="E1002">IF(D1002="","",IF(D1002=1,0,INDEX(Calculation!Q$2:Q9627,D1002-1)))</f>
        <v>0</v>
      </c>
      <c r="F1002" s="23">
        <f t="array" ref="F1002">IF($A1002="","",
  LET(
    r, $D1002,
    startD, INDEX(Calculation!B$2:B9627, r),
    endD,   INDEX(Calculation!C$2:C9627, r),
    asOf,   MIN($A1002,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1476132.192</v>
      </c>
    </row>
    <row r="1003">
      <c r="A1003" s="19">
        <v>43238.0</v>
      </c>
      <c r="B1003" s="23">
        <v>1.0765E7</v>
      </c>
      <c r="C1003" s="23">
        <f t="shared" si="1"/>
        <v>1477606.849</v>
      </c>
      <c r="D1003" s="18">
        <f>IF(A1003="","",MATCH(A1003,Calculation!B$2:B9627,1))</f>
        <v>1</v>
      </c>
      <c r="E1003" s="23">
        <f t="array" ref="E1003">IF(D1003="","",IF(D1003=1,0,INDEX(Calculation!Q$2:Q9627,D1003-1)))</f>
        <v>0</v>
      </c>
      <c r="F1003" s="23">
        <f t="array" ref="F1003">IF($A1003="","",
  LET(
    r, $D1003,
    startD, INDEX(Calculation!B$2:B9627, r),
    endD,   INDEX(Calculation!C$2:C9627, r),
    asOf,   MIN($A1003,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1477606.849</v>
      </c>
    </row>
    <row r="1004">
      <c r="A1004" s="19">
        <v>43239.0</v>
      </c>
      <c r="B1004" s="23">
        <v>1.0765E7</v>
      </c>
      <c r="C1004" s="23">
        <f t="shared" si="1"/>
        <v>1479081.507</v>
      </c>
      <c r="D1004" s="18">
        <f>IF(A1004="","",MATCH(A1004,Calculation!B$2:B9627,1))</f>
        <v>1</v>
      </c>
      <c r="E1004" s="23">
        <f t="array" ref="E1004">IF(D1004="","",IF(D1004=1,0,INDEX(Calculation!Q$2:Q9627,D1004-1)))</f>
        <v>0</v>
      </c>
      <c r="F1004" s="23">
        <f t="array" ref="F1004">IF($A1004="","",
  LET(
    r, $D1004,
    startD, INDEX(Calculation!B$2:B9627, r),
    endD,   INDEX(Calculation!C$2:C9627, r),
    asOf,   MIN($A1004,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1479081.507</v>
      </c>
    </row>
    <row r="1005">
      <c r="A1005" s="19">
        <v>43240.0</v>
      </c>
      <c r="B1005" s="23">
        <v>1.0765E7</v>
      </c>
      <c r="C1005" s="23">
        <f t="shared" si="1"/>
        <v>1480556.164</v>
      </c>
      <c r="D1005" s="18">
        <f>IF(A1005="","",MATCH(A1005,Calculation!B$2:B9627,1))</f>
        <v>1</v>
      </c>
      <c r="E1005" s="23">
        <f t="array" ref="E1005">IF(D1005="","",IF(D1005=1,0,INDEX(Calculation!Q$2:Q9627,D1005-1)))</f>
        <v>0</v>
      </c>
      <c r="F1005" s="23">
        <f t="array" ref="F1005">IF($A1005="","",
  LET(
    r, $D1005,
    startD, INDEX(Calculation!B$2:B9627, r),
    endD,   INDEX(Calculation!C$2:C9627, r),
    asOf,   MIN($A1005,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1480556.164</v>
      </c>
    </row>
    <row r="1006">
      <c r="A1006" s="19">
        <v>43241.0</v>
      </c>
      <c r="B1006" s="23">
        <v>1.0765E7</v>
      </c>
      <c r="C1006" s="23">
        <f t="shared" si="1"/>
        <v>1482030.822</v>
      </c>
      <c r="D1006" s="18">
        <f>IF(A1006="","",MATCH(A1006,Calculation!B$2:B9627,1))</f>
        <v>1</v>
      </c>
      <c r="E1006" s="23">
        <f t="array" ref="E1006">IF(D1006="","",IF(D1006=1,0,INDEX(Calculation!Q$2:Q9627,D1006-1)))</f>
        <v>0</v>
      </c>
      <c r="F1006" s="23">
        <f t="array" ref="F1006">IF($A1006="","",
  LET(
    r, $D1006,
    startD, INDEX(Calculation!B$2:B9627, r),
    endD,   INDEX(Calculation!C$2:C9627, r),
    asOf,   MIN($A1006,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1482030.822</v>
      </c>
    </row>
    <row r="1007">
      <c r="A1007" s="19">
        <v>43242.0</v>
      </c>
      <c r="B1007" s="23">
        <v>1.0765E7</v>
      </c>
      <c r="C1007" s="23">
        <f t="shared" si="1"/>
        <v>1483505.479</v>
      </c>
      <c r="D1007" s="18">
        <f>IF(A1007="","",MATCH(A1007,Calculation!B$2:B9627,1))</f>
        <v>1</v>
      </c>
      <c r="E1007" s="23">
        <f t="array" ref="E1007">IF(D1007="","",IF(D1007=1,0,INDEX(Calculation!Q$2:Q9627,D1007-1)))</f>
        <v>0</v>
      </c>
      <c r="F1007" s="23">
        <f t="array" ref="F1007">IF($A1007="","",
  LET(
    r, $D1007,
    startD, INDEX(Calculation!B$2:B9627, r),
    endD,   INDEX(Calculation!C$2:C9627, r),
    asOf,   MIN($A1007,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1483505.479</v>
      </c>
    </row>
    <row r="1008">
      <c r="A1008" s="19">
        <v>43243.0</v>
      </c>
      <c r="B1008" s="23">
        <v>1.0765E7</v>
      </c>
      <c r="C1008" s="23">
        <f t="shared" si="1"/>
        <v>1484980.137</v>
      </c>
      <c r="D1008" s="18">
        <f>IF(A1008="","",MATCH(A1008,Calculation!B$2:B9627,1))</f>
        <v>1</v>
      </c>
      <c r="E1008" s="23">
        <f t="array" ref="E1008">IF(D1008="","",IF(D1008=1,0,INDEX(Calculation!Q$2:Q9627,D1008-1)))</f>
        <v>0</v>
      </c>
      <c r="F1008" s="23">
        <f t="array" ref="F1008">IF($A1008="","",
  LET(
    r, $D1008,
    startD, INDEX(Calculation!B$2:B9627, r),
    endD,   INDEX(Calculation!C$2:C9627, r),
    asOf,   MIN($A1008,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1484980.137</v>
      </c>
    </row>
    <row r="1009">
      <c r="A1009" s="19">
        <v>43244.0</v>
      </c>
      <c r="B1009" s="23">
        <v>1.0765E7</v>
      </c>
      <c r="C1009" s="23">
        <f t="shared" si="1"/>
        <v>1486454.795</v>
      </c>
      <c r="D1009" s="18">
        <f>IF(A1009="","",MATCH(A1009,Calculation!B$2:B9627,1))</f>
        <v>1</v>
      </c>
      <c r="E1009" s="23">
        <f t="array" ref="E1009">IF(D1009="","",IF(D1009=1,0,INDEX(Calculation!Q$2:Q9627,D1009-1)))</f>
        <v>0</v>
      </c>
      <c r="F1009" s="23">
        <f t="array" ref="F1009">IF($A1009="","",
  LET(
    r, $D1009,
    startD, INDEX(Calculation!B$2:B9627, r),
    endD,   INDEX(Calculation!C$2:C9627, r),
    asOf,   MIN($A1009,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1486454.795</v>
      </c>
    </row>
    <row r="1010">
      <c r="A1010" s="19">
        <v>43245.0</v>
      </c>
      <c r="B1010" s="23">
        <v>1.0765E7</v>
      </c>
      <c r="C1010" s="23">
        <f t="shared" si="1"/>
        <v>1487929.452</v>
      </c>
      <c r="D1010" s="18">
        <f>IF(A1010="","",MATCH(A1010,Calculation!B$2:B9627,1))</f>
        <v>1</v>
      </c>
      <c r="E1010" s="23">
        <f t="array" ref="E1010">IF(D1010="","",IF(D1010=1,0,INDEX(Calculation!Q$2:Q9627,D1010-1)))</f>
        <v>0</v>
      </c>
      <c r="F1010" s="23">
        <f t="array" ref="F1010">IF($A1010="","",
  LET(
    r, $D1010,
    startD, INDEX(Calculation!B$2:B9627, r),
    endD,   INDEX(Calculation!C$2:C9627, r),
    asOf,   MIN($A1010,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1487929.452</v>
      </c>
    </row>
    <row r="1011">
      <c r="A1011" s="19">
        <v>43246.0</v>
      </c>
      <c r="B1011" s="23">
        <v>1.0765E7</v>
      </c>
      <c r="C1011" s="23">
        <f t="shared" si="1"/>
        <v>1489404.11</v>
      </c>
      <c r="D1011" s="18">
        <f>IF(A1011="","",MATCH(A1011,Calculation!B$2:B9627,1))</f>
        <v>1</v>
      </c>
      <c r="E1011" s="23">
        <f t="array" ref="E1011">IF(D1011="","",IF(D1011=1,0,INDEX(Calculation!Q$2:Q9627,D1011-1)))</f>
        <v>0</v>
      </c>
      <c r="F1011" s="23">
        <f t="array" ref="F1011">IF($A1011="","",
  LET(
    r, $D1011,
    startD, INDEX(Calculation!B$2:B9627, r),
    endD,   INDEX(Calculation!C$2:C9627, r),
    asOf,   MIN($A1011,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1489404.11</v>
      </c>
    </row>
    <row r="1012">
      <c r="A1012" s="19">
        <v>43247.0</v>
      </c>
      <c r="B1012" s="23">
        <v>1.0765E7</v>
      </c>
      <c r="C1012" s="23">
        <f t="shared" si="1"/>
        <v>1490878.767</v>
      </c>
      <c r="D1012" s="18">
        <f>IF(A1012="","",MATCH(A1012,Calculation!B$2:B9627,1))</f>
        <v>1</v>
      </c>
      <c r="E1012" s="23">
        <f t="array" ref="E1012">IF(D1012="","",IF(D1012=1,0,INDEX(Calculation!Q$2:Q9627,D1012-1)))</f>
        <v>0</v>
      </c>
      <c r="F1012" s="23">
        <f t="array" ref="F1012">IF($A1012="","",
  LET(
    r, $D1012,
    startD, INDEX(Calculation!B$2:B9627, r),
    endD,   INDEX(Calculation!C$2:C9627, r),
    asOf,   MIN($A1012,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1490878.767</v>
      </c>
    </row>
    <row r="1013">
      <c r="A1013" s="19">
        <v>43248.0</v>
      </c>
      <c r="B1013" s="23">
        <v>1.0765E7</v>
      </c>
      <c r="C1013" s="23">
        <f t="shared" si="1"/>
        <v>1492353.425</v>
      </c>
      <c r="D1013" s="18">
        <f>IF(A1013="","",MATCH(A1013,Calculation!B$2:B9627,1))</f>
        <v>1</v>
      </c>
      <c r="E1013" s="23">
        <f t="array" ref="E1013">IF(D1013="","",IF(D1013=1,0,INDEX(Calculation!Q$2:Q9627,D1013-1)))</f>
        <v>0</v>
      </c>
      <c r="F1013" s="23">
        <f t="array" ref="F1013">IF($A1013="","",
  LET(
    r, $D1013,
    startD, INDEX(Calculation!B$2:B9627, r),
    endD,   INDEX(Calculation!C$2:C9627, r),
    asOf,   MIN($A1013,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1492353.425</v>
      </c>
    </row>
    <row r="1014">
      <c r="A1014" s="19">
        <v>43249.0</v>
      </c>
      <c r="B1014" s="23">
        <v>1.0765E7</v>
      </c>
      <c r="C1014" s="23">
        <f t="shared" si="1"/>
        <v>1493828.082</v>
      </c>
      <c r="D1014" s="18">
        <f>IF(A1014="","",MATCH(A1014,Calculation!B$2:B9627,1))</f>
        <v>1</v>
      </c>
      <c r="E1014" s="23">
        <f t="array" ref="E1014">IF(D1014="","",IF(D1014=1,0,INDEX(Calculation!Q$2:Q9627,D1014-1)))</f>
        <v>0</v>
      </c>
      <c r="F1014" s="23">
        <f t="array" ref="F1014">IF($A1014="","",
  LET(
    r, $D1014,
    startD, INDEX(Calculation!B$2:B9627, r),
    endD,   INDEX(Calculation!C$2:C9627, r),
    asOf,   MIN($A1014,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1493828.082</v>
      </c>
    </row>
    <row r="1015">
      <c r="A1015" s="19">
        <v>43250.0</v>
      </c>
      <c r="B1015" s="23">
        <v>1.0765E7</v>
      </c>
      <c r="C1015" s="23">
        <f t="shared" si="1"/>
        <v>1495302.74</v>
      </c>
      <c r="D1015" s="18">
        <f>IF(A1015="","",MATCH(A1015,Calculation!B$2:B9627,1))</f>
        <v>1</v>
      </c>
      <c r="E1015" s="23">
        <f t="array" ref="E1015">IF(D1015="","",IF(D1015=1,0,INDEX(Calculation!Q$2:Q9627,D1015-1)))</f>
        <v>0</v>
      </c>
      <c r="F1015" s="23">
        <f t="array" ref="F1015">IF($A1015="","",
  LET(
    r, $D1015,
    startD, INDEX(Calculation!B$2:B9627, r),
    endD,   INDEX(Calculation!C$2:C9627, r),
    asOf,   MIN($A1015,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1495302.74</v>
      </c>
    </row>
    <row r="1016">
      <c r="A1016" s="19">
        <v>43251.0</v>
      </c>
      <c r="B1016" s="23">
        <v>1.0765E7</v>
      </c>
      <c r="C1016" s="23">
        <f t="shared" si="1"/>
        <v>1496777.397</v>
      </c>
      <c r="D1016" s="18">
        <f>IF(A1016="","",MATCH(A1016,Calculation!B$2:B9627,1))</f>
        <v>1</v>
      </c>
      <c r="E1016" s="23">
        <f t="array" ref="E1016">IF(D1016="","",IF(D1016=1,0,INDEX(Calculation!Q$2:Q9627,D1016-1)))</f>
        <v>0</v>
      </c>
      <c r="F1016" s="23">
        <f t="array" ref="F1016">IF($A1016="","",
  LET(
    r, $D1016,
    startD, INDEX(Calculation!B$2:B9627, r),
    endD,   INDEX(Calculation!C$2:C9627, r),
    asOf,   MIN($A1016,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1496777.397</v>
      </c>
    </row>
    <row r="1017">
      <c r="A1017" s="19">
        <v>43252.0</v>
      </c>
      <c r="B1017" s="23">
        <v>1.0765E7</v>
      </c>
      <c r="C1017" s="23">
        <f t="shared" si="1"/>
        <v>1498252.055</v>
      </c>
      <c r="D1017" s="18">
        <f>IF(A1017="","",MATCH(A1017,Calculation!B$2:B9627,1))</f>
        <v>1</v>
      </c>
      <c r="E1017" s="23">
        <f t="array" ref="E1017">IF(D1017="","",IF(D1017=1,0,INDEX(Calculation!Q$2:Q9627,D1017-1)))</f>
        <v>0</v>
      </c>
      <c r="F1017" s="23">
        <f t="array" ref="F1017">IF($A1017="","",
  LET(
    r, $D1017,
    startD, INDEX(Calculation!B$2:B9627, r),
    endD,   INDEX(Calculation!C$2:C9627, r),
    asOf,   MIN($A1017,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1498252.055</v>
      </c>
    </row>
    <row r="1018">
      <c r="A1018" s="19">
        <v>43253.0</v>
      </c>
      <c r="B1018" s="23">
        <v>1.0765E7</v>
      </c>
      <c r="C1018" s="23">
        <f t="shared" si="1"/>
        <v>1499726.712</v>
      </c>
      <c r="D1018" s="18">
        <f>IF(A1018="","",MATCH(A1018,Calculation!B$2:B9627,1))</f>
        <v>1</v>
      </c>
      <c r="E1018" s="23">
        <f t="array" ref="E1018">IF(D1018="","",IF(D1018=1,0,INDEX(Calculation!Q$2:Q9627,D1018-1)))</f>
        <v>0</v>
      </c>
      <c r="F1018" s="23">
        <f t="array" ref="F1018">IF($A1018="","",
  LET(
    r, $D1018,
    startD, INDEX(Calculation!B$2:B9627, r),
    endD,   INDEX(Calculation!C$2:C9627, r),
    asOf,   MIN($A1018,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1499726.712</v>
      </c>
    </row>
    <row r="1019">
      <c r="A1019" s="19">
        <v>43254.0</v>
      </c>
      <c r="B1019" s="23">
        <v>1.0765E7</v>
      </c>
      <c r="C1019" s="23">
        <f t="shared" si="1"/>
        <v>1501201.37</v>
      </c>
      <c r="D1019" s="18">
        <f>IF(A1019="","",MATCH(A1019,Calculation!B$2:B9627,1))</f>
        <v>1</v>
      </c>
      <c r="E1019" s="23">
        <f t="array" ref="E1019">IF(D1019="","",IF(D1019=1,0,INDEX(Calculation!Q$2:Q9627,D1019-1)))</f>
        <v>0</v>
      </c>
      <c r="F1019" s="23">
        <f t="array" ref="F1019">IF($A1019="","",
  LET(
    r, $D1019,
    startD, INDEX(Calculation!B$2:B9627, r),
    endD,   INDEX(Calculation!C$2:C9627, r),
    asOf,   MIN($A1019,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1501201.37</v>
      </c>
    </row>
    <row r="1020">
      <c r="A1020" s="19">
        <v>43255.0</v>
      </c>
      <c r="B1020" s="23">
        <v>1.0765E7</v>
      </c>
      <c r="C1020" s="23">
        <f t="shared" si="1"/>
        <v>1502676.027</v>
      </c>
      <c r="D1020" s="18">
        <f>IF(A1020="","",MATCH(A1020,Calculation!B$2:B9627,1))</f>
        <v>1</v>
      </c>
      <c r="E1020" s="23">
        <f t="array" ref="E1020">IF(D1020="","",IF(D1020=1,0,INDEX(Calculation!Q$2:Q9627,D1020-1)))</f>
        <v>0</v>
      </c>
      <c r="F1020" s="23">
        <f t="array" ref="F1020">IF($A1020="","",
  LET(
    r, $D1020,
    startD, INDEX(Calculation!B$2:B9627, r),
    endD,   INDEX(Calculation!C$2:C9627, r),
    asOf,   MIN($A1020,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1502676.027</v>
      </c>
    </row>
    <row r="1021">
      <c r="A1021" s="19">
        <v>43256.0</v>
      </c>
      <c r="B1021" s="23">
        <v>1.0765E7</v>
      </c>
      <c r="C1021" s="23">
        <f t="shared" si="1"/>
        <v>1504150.685</v>
      </c>
      <c r="D1021" s="18">
        <f>IF(A1021="","",MATCH(A1021,Calculation!B$2:B9627,1))</f>
        <v>1</v>
      </c>
      <c r="E1021" s="23">
        <f t="array" ref="E1021">IF(D1021="","",IF(D1021=1,0,INDEX(Calculation!Q$2:Q9627,D1021-1)))</f>
        <v>0</v>
      </c>
      <c r="F1021" s="23">
        <f t="array" ref="F1021">IF($A1021="","",
  LET(
    r, $D1021,
    startD, INDEX(Calculation!B$2:B9627, r),
    endD,   INDEX(Calculation!C$2:C9627, r),
    asOf,   MIN($A1021,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1504150.685</v>
      </c>
    </row>
    <row r="1022">
      <c r="A1022" s="19">
        <v>43257.0</v>
      </c>
      <c r="B1022" s="23">
        <v>1.0765E7</v>
      </c>
      <c r="C1022" s="23">
        <f t="shared" si="1"/>
        <v>1505625.342</v>
      </c>
      <c r="D1022" s="18">
        <f>IF(A1022="","",MATCH(A1022,Calculation!B$2:B9627,1))</f>
        <v>1</v>
      </c>
      <c r="E1022" s="23">
        <f t="array" ref="E1022">IF(D1022="","",IF(D1022=1,0,INDEX(Calculation!Q$2:Q9627,D1022-1)))</f>
        <v>0</v>
      </c>
      <c r="F1022" s="23">
        <f t="array" ref="F1022">IF($A1022="","",
  LET(
    r, $D1022,
    startD, INDEX(Calculation!B$2:B9627, r),
    endD,   INDEX(Calculation!C$2:C9627, r),
    asOf,   MIN($A1022,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1505625.342</v>
      </c>
    </row>
    <row r="1023">
      <c r="A1023" s="19">
        <v>43258.0</v>
      </c>
      <c r="B1023" s="23">
        <v>1.0765E7</v>
      </c>
      <c r="C1023" s="23">
        <f t="shared" si="1"/>
        <v>1507100</v>
      </c>
      <c r="D1023" s="18">
        <f>IF(A1023="","",MATCH(A1023,Calculation!B$2:B9627,1))</f>
        <v>1</v>
      </c>
      <c r="E1023" s="23">
        <f t="array" ref="E1023">IF(D1023="","",IF(D1023=1,0,INDEX(Calculation!Q$2:Q9627,D1023-1)))</f>
        <v>0</v>
      </c>
      <c r="F1023" s="23">
        <f t="array" ref="F1023">IF($A1023="","",
  LET(
    r, $D1023,
    startD, INDEX(Calculation!B$2:B9627, r),
    endD,   INDEX(Calculation!C$2:C9627, r),
    asOf,   MIN($A1023,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1507100</v>
      </c>
    </row>
    <row r="1024">
      <c r="A1024" s="19">
        <v>43259.0</v>
      </c>
      <c r="B1024" s="23">
        <v>1.0765E7</v>
      </c>
      <c r="C1024" s="23">
        <f t="shared" si="1"/>
        <v>1508574.658</v>
      </c>
      <c r="D1024" s="18">
        <f>IF(A1024="","",MATCH(A1024,Calculation!B$2:B9627,1))</f>
        <v>1</v>
      </c>
      <c r="E1024" s="23">
        <f t="array" ref="E1024">IF(D1024="","",IF(D1024=1,0,INDEX(Calculation!Q$2:Q9627,D1024-1)))</f>
        <v>0</v>
      </c>
      <c r="F1024" s="23">
        <f t="array" ref="F1024">IF($A1024="","",
  LET(
    r, $D1024,
    startD, INDEX(Calculation!B$2:B9627, r),
    endD,   INDEX(Calculation!C$2:C9627, r),
    asOf,   MIN($A1024,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1508574.658</v>
      </c>
    </row>
    <row r="1025">
      <c r="A1025" s="19">
        <v>43260.0</v>
      </c>
      <c r="B1025" s="23">
        <v>1.0765E7</v>
      </c>
      <c r="C1025" s="23">
        <f t="shared" si="1"/>
        <v>1510049.315</v>
      </c>
      <c r="D1025" s="18">
        <f>IF(A1025="","",MATCH(A1025,Calculation!B$2:B9627,1))</f>
        <v>1</v>
      </c>
      <c r="E1025" s="23">
        <f t="array" ref="E1025">IF(D1025="","",IF(D1025=1,0,INDEX(Calculation!Q$2:Q9627,D1025-1)))</f>
        <v>0</v>
      </c>
      <c r="F1025" s="23">
        <f t="array" ref="F1025">IF($A1025="","",
  LET(
    r, $D1025,
    startD, INDEX(Calculation!B$2:B9627, r),
    endD,   INDEX(Calculation!C$2:C9627, r),
    asOf,   MIN($A1025,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1510049.315</v>
      </c>
    </row>
    <row r="1026">
      <c r="A1026" s="19">
        <v>43261.0</v>
      </c>
      <c r="B1026" s="23">
        <v>1.0765E7</v>
      </c>
      <c r="C1026" s="23">
        <f t="shared" si="1"/>
        <v>1511523.973</v>
      </c>
      <c r="D1026" s="18">
        <f>IF(A1026="","",MATCH(A1026,Calculation!B$2:B9627,1))</f>
        <v>1</v>
      </c>
      <c r="E1026" s="23">
        <f t="array" ref="E1026">IF(D1026="","",IF(D1026=1,0,INDEX(Calculation!Q$2:Q9627,D1026-1)))</f>
        <v>0</v>
      </c>
      <c r="F1026" s="23">
        <f t="array" ref="F1026">IF($A1026="","",
  LET(
    r, $D1026,
    startD, INDEX(Calculation!B$2:B9627, r),
    endD,   INDEX(Calculation!C$2:C9627, r),
    asOf,   MIN($A1026,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1511523.973</v>
      </c>
    </row>
    <row r="1027">
      <c r="A1027" s="19">
        <v>43262.0</v>
      </c>
      <c r="B1027" s="23">
        <v>1.0765E7</v>
      </c>
      <c r="C1027" s="23">
        <f t="shared" si="1"/>
        <v>1512998.63</v>
      </c>
      <c r="D1027" s="18">
        <f>IF(A1027="","",MATCH(A1027,Calculation!B$2:B9627,1))</f>
        <v>1</v>
      </c>
      <c r="E1027" s="23">
        <f t="array" ref="E1027">IF(D1027="","",IF(D1027=1,0,INDEX(Calculation!Q$2:Q9627,D1027-1)))</f>
        <v>0</v>
      </c>
      <c r="F1027" s="23">
        <f t="array" ref="F1027">IF($A1027="","",
  LET(
    r, $D1027,
    startD, INDEX(Calculation!B$2:B9627, r),
    endD,   INDEX(Calculation!C$2:C9627, r),
    asOf,   MIN($A1027,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1512998.63</v>
      </c>
    </row>
    <row r="1028">
      <c r="A1028" s="19">
        <v>43263.0</v>
      </c>
      <c r="B1028" s="23">
        <v>1.0765E7</v>
      </c>
      <c r="C1028" s="23">
        <f t="shared" si="1"/>
        <v>1514473.288</v>
      </c>
      <c r="D1028" s="18">
        <f>IF(A1028="","",MATCH(A1028,Calculation!B$2:B9627,1))</f>
        <v>1</v>
      </c>
      <c r="E1028" s="23">
        <f t="array" ref="E1028">IF(D1028="","",IF(D1028=1,0,INDEX(Calculation!Q$2:Q9627,D1028-1)))</f>
        <v>0</v>
      </c>
      <c r="F1028" s="23">
        <f t="array" ref="F1028">IF($A1028="","",
  LET(
    r, $D1028,
    startD, INDEX(Calculation!B$2:B9627, r),
    endD,   INDEX(Calculation!C$2:C9627, r),
    asOf,   MIN($A1028,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1514473.288</v>
      </c>
    </row>
    <row r="1029">
      <c r="A1029" s="19">
        <v>43264.0</v>
      </c>
      <c r="B1029" s="23">
        <v>1.0765E7</v>
      </c>
      <c r="C1029" s="23">
        <f t="shared" si="1"/>
        <v>1515947.945</v>
      </c>
      <c r="D1029" s="18">
        <f>IF(A1029="","",MATCH(A1029,Calculation!B$2:B9627,1))</f>
        <v>1</v>
      </c>
      <c r="E1029" s="23">
        <f t="array" ref="E1029">IF(D1029="","",IF(D1029=1,0,INDEX(Calculation!Q$2:Q9627,D1029-1)))</f>
        <v>0</v>
      </c>
      <c r="F1029" s="23">
        <f t="array" ref="F1029">IF($A1029="","",
  LET(
    r, $D1029,
    startD, INDEX(Calculation!B$2:B9627, r),
    endD,   INDEX(Calculation!C$2:C9627, r),
    asOf,   MIN($A1029,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1515947.945</v>
      </c>
    </row>
    <row r="1030">
      <c r="A1030" s="19">
        <v>43265.0</v>
      </c>
      <c r="B1030" s="23">
        <v>1.0765E7</v>
      </c>
      <c r="C1030" s="23">
        <f t="shared" si="1"/>
        <v>1517422.603</v>
      </c>
      <c r="D1030" s="18">
        <f>IF(A1030="","",MATCH(A1030,Calculation!B$2:B9627,1))</f>
        <v>1</v>
      </c>
      <c r="E1030" s="23">
        <f t="array" ref="E1030">IF(D1030="","",IF(D1030=1,0,INDEX(Calculation!Q$2:Q9627,D1030-1)))</f>
        <v>0</v>
      </c>
      <c r="F1030" s="23">
        <f t="array" ref="F1030">IF($A1030="","",
  LET(
    r, $D1030,
    startD, INDEX(Calculation!B$2:B9627, r),
    endD,   INDEX(Calculation!C$2:C9627, r),
    asOf,   MIN($A1030,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1517422.603</v>
      </c>
    </row>
    <row r="1031">
      <c r="A1031" s="19">
        <v>43266.0</v>
      </c>
      <c r="B1031" s="23">
        <v>1.0765E7</v>
      </c>
      <c r="C1031" s="23">
        <f t="shared" si="1"/>
        <v>1518897.26</v>
      </c>
      <c r="D1031" s="18">
        <f>IF(A1031="","",MATCH(A1031,Calculation!B$2:B9627,1))</f>
        <v>1</v>
      </c>
      <c r="E1031" s="23">
        <f t="array" ref="E1031">IF(D1031="","",IF(D1031=1,0,INDEX(Calculation!Q$2:Q9627,D1031-1)))</f>
        <v>0</v>
      </c>
      <c r="F1031" s="23">
        <f t="array" ref="F1031">IF($A1031="","",
  LET(
    r, $D1031,
    startD, INDEX(Calculation!B$2:B9627, r),
    endD,   INDEX(Calculation!C$2:C9627, r),
    asOf,   MIN($A1031,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1518897.26</v>
      </c>
    </row>
    <row r="1032">
      <c r="A1032" s="19">
        <v>43267.0</v>
      </c>
      <c r="B1032" s="23">
        <v>1.0765E7</v>
      </c>
      <c r="C1032" s="23">
        <f t="shared" si="1"/>
        <v>1520371.918</v>
      </c>
      <c r="D1032" s="18">
        <f>IF(A1032="","",MATCH(A1032,Calculation!B$2:B9627,1))</f>
        <v>1</v>
      </c>
      <c r="E1032" s="23">
        <f t="array" ref="E1032">IF(D1032="","",IF(D1032=1,0,INDEX(Calculation!Q$2:Q9627,D1032-1)))</f>
        <v>0</v>
      </c>
      <c r="F1032" s="23">
        <f t="array" ref="F1032">IF($A1032="","",
  LET(
    r, $D1032,
    startD, INDEX(Calculation!B$2:B9627, r),
    endD,   INDEX(Calculation!C$2:C9627, r),
    asOf,   MIN($A1032,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1520371.918</v>
      </c>
    </row>
    <row r="1033">
      <c r="A1033" s="19">
        <v>43268.0</v>
      </c>
      <c r="B1033" s="23">
        <v>1.0765E7</v>
      </c>
      <c r="C1033" s="23">
        <f t="shared" si="1"/>
        <v>1521846.575</v>
      </c>
      <c r="D1033" s="18">
        <f>IF(A1033="","",MATCH(A1033,Calculation!B$2:B9627,1))</f>
        <v>1</v>
      </c>
      <c r="E1033" s="23">
        <f t="array" ref="E1033">IF(D1033="","",IF(D1033=1,0,INDEX(Calculation!Q$2:Q9627,D1033-1)))</f>
        <v>0</v>
      </c>
      <c r="F1033" s="23">
        <f t="array" ref="F1033">IF($A1033="","",
  LET(
    r, $D1033,
    startD, INDEX(Calculation!B$2:B9627, r),
    endD,   INDEX(Calculation!C$2:C9627, r),
    asOf,   MIN($A1033,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1521846.575</v>
      </c>
    </row>
    <row r="1034">
      <c r="A1034" s="19">
        <v>43269.0</v>
      </c>
      <c r="B1034" s="23">
        <v>1.0765E7</v>
      </c>
      <c r="C1034" s="23">
        <f t="shared" si="1"/>
        <v>1523321.233</v>
      </c>
      <c r="D1034" s="18">
        <f>IF(A1034="","",MATCH(A1034,Calculation!B$2:B9627,1))</f>
        <v>1</v>
      </c>
      <c r="E1034" s="23">
        <f t="array" ref="E1034">IF(D1034="","",IF(D1034=1,0,INDEX(Calculation!Q$2:Q9627,D1034-1)))</f>
        <v>0</v>
      </c>
      <c r="F1034" s="23">
        <f t="array" ref="F1034">IF($A1034="","",
  LET(
    r, $D1034,
    startD, INDEX(Calculation!B$2:B9627, r),
    endD,   INDEX(Calculation!C$2:C9627, r),
    asOf,   MIN($A1034,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1523321.233</v>
      </c>
    </row>
    <row r="1035">
      <c r="A1035" s="19">
        <v>43270.0</v>
      </c>
      <c r="B1035" s="23">
        <v>1.0765E7</v>
      </c>
      <c r="C1035" s="23">
        <f t="shared" si="1"/>
        <v>1524795.89</v>
      </c>
      <c r="D1035" s="18">
        <f>IF(A1035="","",MATCH(A1035,Calculation!B$2:B9627,1))</f>
        <v>1</v>
      </c>
      <c r="E1035" s="23">
        <f t="array" ref="E1035">IF(D1035="","",IF(D1035=1,0,INDEX(Calculation!Q$2:Q9627,D1035-1)))</f>
        <v>0</v>
      </c>
      <c r="F1035" s="23">
        <f t="array" ref="F1035">IF($A1035="","",
  LET(
    r, $D1035,
    startD, INDEX(Calculation!B$2:B9627, r),
    endD,   INDEX(Calculation!C$2:C9627, r),
    asOf,   MIN($A1035,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1524795.89</v>
      </c>
    </row>
    <row r="1036">
      <c r="A1036" s="19">
        <v>43271.0</v>
      </c>
      <c r="B1036" s="23">
        <v>1.0765E7</v>
      </c>
      <c r="C1036" s="23">
        <f t="shared" si="1"/>
        <v>1526270.548</v>
      </c>
      <c r="D1036" s="18">
        <f>IF(A1036="","",MATCH(A1036,Calculation!B$2:B9627,1))</f>
        <v>1</v>
      </c>
      <c r="E1036" s="23">
        <f t="array" ref="E1036">IF(D1036="","",IF(D1036=1,0,INDEX(Calculation!Q$2:Q9627,D1036-1)))</f>
        <v>0</v>
      </c>
      <c r="F1036" s="23">
        <f t="array" ref="F1036">IF($A1036="","",
  LET(
    r, $D1036,
    startD, INDEX(Calculation!B$2:B9627, r),
    endD,   INDEX(Calculation!C$2:C9627, r),
    asOf,   MIN($A1036,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1526270.548</v>
      </c>
    </row>
    <row r="1037">
      <c r="A1037" s="19">
        <v>43272.0</v>
      </c>
      <c r="B1037" s="23">
        <v>1.0765E7</v>
      </c>
      <c r="C1037" s="23">
        <f t="shared" si="1"/>
        <v>1527745.205</v>
      </c>
      <c r="D1037" s="18">
        <f>IF(A1037="","",MATCH(A1037,Calculation!B$2:B9627,1))</f>
        <v>1</v>
      </c>
      <c r="E1037" s="23">
        <f t="array" ref="E1037">IF(D1037="","",IF(D1037=1,0,INDEX(Calculation!Q$2:Q9627,D1037-1)))</f>
        <v>0</v>
      </c>
      <c r="F1037" s="23">
        <f t="array" ref="F1037">IF($A1037="","",
  LET(
    r, $D1037,
    startD, INDEX(Calculation!B$2:B9627, r),
    endD,   INDEX(Calculation!C$2:C9627, r),
    asOf,   MIN($A1037,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1527745.205</v>
      </c>
    </row>
    <row r="1038">
      <c r="A1038" s="19">
        <v>43273.0</v>
      </c>
      <c r="B1038" s="23">
        <v>1.0765E7</v>
      </c>
      <c r="C1038" s="23">
        <f t="shared" si="1"/>
        <v>1529219.863</v>
      </c>
      <c r="D1038" s="18">
        <f>IF(A1038="","",MATCH(A1038,Calculation!B$2:B9627,1))</f>
        <v>1</v>
      </c>
      <c r="E1038" s="23">
        <f t="array" ref="E1038">IF(D1038="","",IF(D1038=1,0,INDEX(Calculation!Q$2:Q9627,D1038-1)))</f>
        <v>0</v>
      </c>
      <c r="F1038" s="23">
        <f t="array" ref="F1038">IF($A1038="","",
  LET(
    r, $D1038,
    startD, INDEX(Calculation!B$2:B9627, r),
    endD,   INDEX(Calculation!C$2:C9627, r),
    asOf,   MIN($A1038,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1529219.863</v>
      </c>
    </row>
    <row r="1039">
      <c r="A1039" s="19">
        <v>43274.0</v>
      </c>
      <c r="B1039" s="23">
        <v>1.0765E7</v>
      </c>
      <c r="C1039" s="23">
        <f t="shared" si="1"/>
        <v>1530694.521</v>
      </c>
      <c r="D1039" s="18">
        <f>IF(A1039="","",MATCH(A1039,Calculation!B$2:B9627,1))</f>
        <v>1</v>
      </c>
      <c r="E1039" s="23">
        <f t="array" ref="E1039">IF(D1039="","",IF(D1039=1,0,INDEX(Calculation!Q$2:Q9627,D1039-1)))</f>
        <v>0</v>
      </c>
      <c r="F1039" s="23">
        <f t="array" ref="F1039">IF($A1039="","",
  LET(
    r, $D1039,
    startD, INDEX(Calculation!B$2:B9627, r),
    endD,   INDEX(Calculation!C$2:C9627, r),
    asOf,   MIN($A1039,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1530694.521</v>
      </c>
    </row>
    <row r="1040">
      <c r="A1040" s="19">
        <v>43275.0</v>
      </c>
      <c r="B1040" s="23">
        <v>1.0765E7</v>
      </c>
      <c r="C1040" s="23">
        <f t="shared" si="1"/>
        <v>1532169.178</v>
      </c>
      <c r="D1040" s="18">
        <f>IF(A1040="","",MATCH(A1040,Calculation!B$2:B9627,1))</f>
        <v>1</v>
      </c>
      <c r="E1040" s="23">
        <f t="array" ref="E1040">IF(D1040="","",IF(D1040=1,0,INDEX(Calculation!Q$2:Q9627,D1040-1)))</f>
        <v>0</v>
      </c>
      <c r="F1040" s="23">
        <f t="array" ref="F1040">IF($A1040="","",
  LET(
    r, $D1040,
    startD, INDEX(Calculation!B$2:B9627, r),
    endD,   INDEX(Calculation!C$2:C9627, r),
    asOf,   MIN($A1040,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1532169.178</v>
      </c>
    </row>
    <row r="1041">
      <c r="A1041" s="19">
        <v>43276.0</v>
      </c>
      <c r="B1041" s="23">
        <v>1.0765E7</v>
      </c>
      <c r="C1041" s="23">
        <f t="shared" si="1"/>
        <v>1533643.836</v>
      </c>
      <c r="D1041" s="18">
        <f>IF(A1041="","",MATCH(A1041,Calculation!B$2:B9627,1))</f>
        <v>1</v>
      </c>
      <c r="E1041" s="23">
        <f t="array" ref="E1041">IF(D1041="","",IF(D1041=1,0,INDEX(Calculation!Q$2:Q9627,D1041-1)))</f>
        <v>0</v>
      </c>
      <c r="F1041" s="23">
        <f t="array" ref="F1041">IF($A1041="","",
  LET(
    r, $D1041,
    startD, INDEX(Calculation!B$2:B9627, r),
    endD,   INDEX(Calculation!C$2:C9627, r),
    asOf,   MIN($A1041,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1533643.836</v>
      </c>
    </row>
    <row r="1042">
      <c r="A1042" s="19">
        <v>43277.0</v>
      </c>
      <c r="B1042" s="23">
        <v>1.0765E7</v>
      </c>
      <c r="C1042" s="23">
        <f t="shared" si="1"/>
        <v>1535118.493</v>
      </c>
      <c r="D1042" s="18">
        <f>IF(A1042="","",MATCH(A1042,Calculation!B$2:B9627,1))</f>
        <v>1</v>
      </c>
      <c r="E1042" s="23">
        <f t="array" ref="E1042">IF(D1042="","",IF(D1042=1,0,INDEX(Calculation!Q$2:Q9627,D1042-1)))</f>
        <v>0</v>
      </c>
      <c r="F1042" s="23">
        <f t="array" ref="F1042">IF($A1042="","",
  LET(
    r, $D1042,
    startD, INDEX(Calculation!B$2:B9627, r),
    endD,   INDEX(Calculation!C$2:C9627, r),
    asOf,   MIN($A1042,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1535118.493</v>
      </c>
    </row>
    <row r="1043">
      <c r="A1043" s="19">
        <v>43278.0</v>
      </c>
      <c r="B1043" s="23">
        <v>1.0765E7</v>
      </c>
      <c r="C1043" s="23">
        <f t="shared" si="1"/>
        <v>1536593.151</v>
      </c>
      <c r="D1043" s="18">
        <f>IF(A1043="","",MATCH(A1043,Calculation!B$2:B9627,1))</f>
        <v>1</v>
      </c>
      <c r="E1043" s="23">
        <f t="array" ref="E1043">IF(D1043="","",IF(D1043=1,0,INDEX(Calculation!Q$2:Q9627,D1043-1)))</f>
        <v>0</v>
      </c>
      <c r="F1043" s="23">
        <f t="array" ref="F1043">IF($A1043="","",
  LET(
    r, $D1043,
    startD, INDEX(Calculation!B$2:B9627, r),
    endD,   INDEX(Calculation!C$2:C9627, r),
    asOf,   MIN($A1043,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1536593.151</v>
      </c>
    </row>
    <row r="1044">
      <c r="A1044" s="19">
        <v>43279.0</v>
      </c>
      <c r="B1044" s="23">
        <v>1.0765E7</v>
      </c>
      <c r="C1044" s="23">
        <f t="shared" si="1"/>
        <v>1538067.808</v>
      </c>
      <c r="D1044" s="18">
        <f>IF(A1044="","",MATCH(A1044,Calculation!B$2:B9627,1))</f>
        <v>1</v>
      </c>
      <c r="E1044" s="23">
        <f t="array" ref="E1044">IF(D1044="","",IF(D1044=1,0,INDEX(Calculation!Q$2:Q9627,D1044-1)))</f>
        <v>0</v>
      </c>
      <c r="F1044" s="23">
        <f t="array" ref="F1044">IF($A1044="","",
  LET(
    r, $D1044,
    startD, INDEX(Calculation!B$2:B9627, r),
    endD,   INDEX(Calculation!C$2:C9627, r),
    asOf,   MIN($A1044,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1538067.808</v>
      </c>
    </row>
    <row r="1045">
      <c r="A1045" s="19">
        <v>43280.0</v>
      </c>
      <c r="B1045" s="23">
        <v>1.0765E7</v>
      </c>
      <c r="C1045" s="23">
        <f t="shared" si="1"/>
        <v>1539542.466</v>
      </c>
      <c r="D1045" s="18">
        <f>IF(A1045="","",MATCH(A1045,Calculation!B$2:B9627,1))</f>
        <v>1</v>
      </c>
      <c r="E1045" s="23">
        <f t="array" ref="E1045">IF(D1045="","",IF(D1045=1,0,INDEX(Calculation!Q$2:Q9627,D1045-1)))</f>
        <v>0</v>
      </c>
      <c r="F1045" s="23">
        <f t="array" ref="F1045">IF($A1045="","",
  LET(
    r, $D1045,
    startD, INDEX(Calculation!B$2:B9627, r),
    endD,   INDEX(Calculation!C$2:C9627, r),
    asOf,   MIN($A1045,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1539542.466</v>
      </c>
    </row>
    <row r="1046">
      <c r="A1046" s="19">
        <v>43281.0</v>
      </c>
      <c r="B1046" s="23">
        <v>1.0765E7</v>
      </c>
      <c r="C1046" s="23">
        <f t="shared" si="1"/>
        <v>1541017.123</v>
      </c>
      <c r="D1046" s="18">
        <f>IF(A1046="","",MATCH(A1046,Calculation!B$2:B9627,1))</f>
        <v>1</v>
      </c>
      <c r="E1046" s="23">
        <f t="array" ref="E1046">IF(D1046="","",IF(D1046=1,0,INDEX(Calculation!Q$2:Q9627,D1046-1)))</f>
        <v>0</v>
      </c>
      <c r="F1046" s="23">
        <f t="array" ref="F1046">IF($A1046="","",
  LET(
    r, $D1046,
    startD, INDEX(Calculation!B$2:B9627, r),
    endD,   INDEX(Calculation!C$2:C9627, r),
    asOf,   MIN($A1046,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1541017.123</v>
      </c>
    </row>
    <row r="1047">
      <c r="A1047" s="19">
        <v>43282.0</v>
      </c>
      <c r="B1047" s="23">
        <v>1.0765E7</v>
      </c>
      <c r="C1047" s="23">
        <f t="shared" si="1"/>
        <v>1542491.781</v>
      </c>
      <c r="D1047" s="18">
        <f>IF(A1047="","",MATCH(A1047,Calculation!B$2:B9627,1))</f>
        <v>1</v>
      </c>
      <c r="E1047" s="23">
        <f t="array" ref="E1047">IF(D1047="","",IF(D1047=1,0,INDEX(Calculation!Q$2:Q9627,D1047-1)))</f>
        <v>0</v>
      </c>
      <c r="F1047" s="23">
        <f t="array" ref="F1047">IF($A1047="","",
  LET(
    r, $D1047,
    startD, INDEX(Calculation!B$2:B9627, r),
    endD,   INDEX(Calculation!C$2:C9627, r),
    asOf,   MIN($A1047,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1542491.781</v>
      </c>
    </row>
    <row r="1048">
      <c r="A1048" s="19">
        <v>43283.0</v>
      </c>
      <c r="B1048" s="23">
        <v>1.0765E7</v>
      </c>
      <c r="C1048" s="23">
        <f t="shared" si="1"/>
        <v>1543966.438</v>
      </c>
      <c r="D1048" s="18">
        <f>IF(A1048="","",MATCH(A1048,Calculation!B$2:B9627,1))</f>
        <v>1</v>
      </c>
      <c r="E1048" s="23">
        <f t="array" ref="E1048">IF(D1048="","",IF(D1048=1,0,INDEX(Calculation!Q$2:Q9627,D1048-1)))</f>
        <v>0</v>
      </c>
      <c r="F1048" s="23">
        <f t="array" ref="F1048">IF($A1048="","",
  LET(
    r, $D1048,
    startD, INDEX(Calculation!B$2:B9627, r),
    endD,   INDEX(Calculation!C$2:C9627, r),
    asOf,   MIN($A1048,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1543966.438</v>
      </c>
    </row>
    <row r="1049">
      <c r="A1049" s="19">
        <v>43284.0</v>
      </c>
      <c r="B1049" s="23">
        <v>1.0765E7</v>
      </c>
      <c r="C1049" s="23">
        <f t="shared" si="1"/>
        <v>1545441.096</v>
      </c>
      <c r="D1049" s="18">
        <f>IF(A1049="","",MATCH(A1049,Calculation!B$2:B9627,1))</f>
        <v>1</v>
      </c>
      <c r="E1049" s="23">
        <f t="array" ref="E1049">IF(D1049="","",IF(D1049=1,0,INDEX(Calculation!Q$2:Q9627,D1049-1)))</f>
        <v>0</v>
      </c>
      <c r="F1049" s="23">
        <f t="array" ref="F1049">IF($A1049="","",
  LET(
    r, $D1049,
    startD, INDEX(Calculation!B$2:B9627, r),
    endD,   INDEX(Calculation!C$2:C9627, r),
    asOf,   MIN($A1049,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1545441.096</v>
      </c>
    </row>
    <row r="1050">
      <c r="A1050" s="19">
        <v>43285.0</v>
      </c>
      <c r="B1050" s="23">
        <v>1.0765E7</v>
      </c>
      <c r="C1050" s="23">
        <f t="shared" si="1"/>
        <v>1546915.753</v>
      </c>
      <c r="D1050" s="18">
        <f>IF(A1050="","",MATCH(A1050,Calculation!B$2:B9627,1))</f>
        <v>1</v>
      </c>
      <c r="E1050" s="23">
        <f t="array" ref="E1050">IF(D1050="","",IF(D1050=1,0,INDEX(Calculation!Q$2:Q9627,D1050-1)))</f>
        <v>0</v>
      </c>
      <c r="F1050" s="23">
        <f t="array" ref="F1050">IF($A1050="","",
  LET(
    r, $D1050,
    startD, INDEX(Calculation!B$2:B9627, r),
    endD,   INDEX(Calculation!C$2:C9627, r),
    asOf,   MIN($A1050,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1546915.753</v>
      </c>
    </row>
    <row r="1051">
      <c r="A1051" s="19">
        <v>43286.0</v>
      </c>
      <c r="B1051" s="23">
        <v>1.0765E7</v>
      </c>
      <c r="C1051" s="23">
        <f t="shared" si="1"/>
        <v>1548390.411</v>
      </c>
      <c r="D1051" s="18">
        <f>IF(A1051="","",MATCH(A1051,Calculation!B$2:B9627,1))</f>
        <v>1</v>
      </c>
      <c r="E1051" s="23">
        <f t="array" ref="E1051">IF(D1051="","",IF(D1051=1,0,INDEX(Calculation!Q$2:Q9627,D1051-1)))</f>
        <v>0</v>
      </c>
      <c r="F1051" s="23">
        <f t="array" ref="F1051">IF($A1051="","",
  LET(
    r, $D1051,
    startD, INDEX(Calculation!B$2:B9627, r),
    endD,   INDEX(Calculation!C$2:C9627, r),
    asOf,   MIN($A1051,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1548390.411</v>
      </c>
    </row>
    <row r="1052">
      <c r="A1052" s="19">
        <v>43287.0</v>
      </c>
      <c r="B1052" s="23">
        <v>1.0765E7</v>
      </c>
      <c r="C1052" s="23">
        <f t="shared" si="1"/>
        <v>1549865.068</v>
      </c>
      <c r="D1052" s="18">
        <f>IF(A1052="","",MATCH(A1052,Calculation!B$2:B9627,1))</f>
        <v>1</v>
      </c>
      <c r="E1052" s="23">
        <f t="array" ref="E1052">IF(D1052="","",IF(D1052=1,0,INDEX(Calculation!Q$2:Q9627,D1052-1)))</f>
        <v>0</v>
      </c>
      <c r="F1052" s="23">
        <f t="array" ref="F1052">IF($A1052="","",
  LET(
    r, $D1052,
    startD, INDEX(Calculation!B$2:B9627, r),
    endD,   INDEX(Calculation!C$2:C9627, r),
    asOf,   MIN($A1052,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1549865.068</v>
      </c>
    </row>
    <row r="1053">
      <c r="A1053" s="19">
        <v>43288.0</v>
      </c>
      <c r="B1053" s="23">
        <v>1.0765E7</v>
      </c>
      <c r="C1053" s="23">
        <f t="shared" si="1"/>
        <v>1551339.726</v>
      </c>
      <c r="D1053" s="18">
        <f>IF(A1053="","",MATCH(A1053,Calculation!B$2:B9627,1))</f>
        <v>1</v>
      </c>
      <c r="E1053" s="23">
        <f t="array" ref="E1053">IF(D1053="","",IF(D1053=1,0,INDEX(Calculation!Q$2:Q9627,D1053-1)))</f>
        <v>0</v>
      </c>
      <c r="F1053" s="23">
        <f t="array" ref="F1053">IF($A1053="","",
  LET(
    r, $D1053,
    startD, INDEX(Calculation!B$2:B9627, r),
    endD,   INDEX(Calculation!C$2:C9627, r),
    asOf,   MIN($A1053,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1551339.726</v>
      </c>
    </row>
    <row r="1054">
      <c r="A1054" s="19">
        <v>43289.0</v>
      </c>
      <c r="B1054" s="23">
        <v>1.0765E7</v>
      </c>
      <c r="C1054" s="23">
        <f t="shared" si="1"/>
        <v>1552814.384</v>
      </c>
      <c r="D1054" s="18">
        <f>IF(A1054="","",MATCH(A1054,Calculation!B$2:B9627,1))</f>
        <v>1</v>
      </c>
      <c r="E1054" s="23">
        <f t="array" ref="E1054">IF(D1054="","",IF(D1054=1,0,INDEX(Calculation!Q$2:Q9627,D1054-1)))</f>
        <v>0</v>
      </c>
      <c r="F1054" s="23">
        <f t="array" ref="F1054">IF($A1054="","",
  LET(
    r, $D1054,
    startD, INDEX(Calculation!B$2:B9627, r),
    endD,   INDEX(Calculation!C$2:C9627, r),
    asOf,   MIN($A1054,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1552814.384</v>
      </c>
    </row>
    <row r="1055">
      <c r="A1055" s="19">
        <v>43290.0</v>
      </c>
      <c r="B1055" s="23">
        <v>1.0765E7</v>
      </c>
      <c r="C1055" s="23">
        <f t="shared" si="1"/>
        <v>1554289.041</v>
      </c>
      <c r="D1055" s="18">
        <f>IF(A1055="","",MATCH(A1055,Calculation!B$2:B9627,1))</f>
        <v>1</v>
      </c>
      <c r="E1055" s="23">
        <f t="array" ref="E1055">IF(D1055="","",IF(D1055=1,0,INDEX(Calculation!Q$2:Q9627,D1055-1)))</f>
        <v>0</v>
      </c>
      <c r="F1055" s="23">
        <f t="array" ref="F1055">IF($A1055="","",
  LET(
    r, $D1055,
    startD, INDEX(Calculation!B$2:B9627, r),
    endD,   INDEX(Calculation!C$2:C9627, r),
    asOf,   MIN($A1055,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1554289.041</v>
      </c>
    </row>
    <row r="1056">
      <c r="A1056" s="19">
        <v>43291.0</v>
      </c>
      <c r="B1056" s="23">
        <v>1.0765E7</v>
      </c>
      <c r="C1056" s="23">
        <f t="shared" si="1"/>
        <v>1555763.699</v>
      </c>
      <c r="D1056" s="18">
        <f>IF(A1056="","",MATCH(A1056,Calculation!B$2:B9627,1))</f>
        <v>1</v>
      </c>
      <c r="E1056" s="23">
        <f t="array" ref="E1056">IF(D1056="","",IF(D1056=1,0,INDEX(Calculation!Q$2:Q9627,D1056-1)))</f>
        <v>0</v>
      </c>
      <c r="F1056" s="23">
        <f t="array" ref="F1056">IF($A1056="","",
  LET(
    r, $D1056,
    startD, INDEX(Calculation!B$2:B9627, r),
    endD,   INDEX(Calculation!C$2:C9627, r),
    asOf,   MIN($A1056,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1555763.699</v>
      </c>
    </row>
    <row r="1057">
      <c r="A1057" s="19">
        <v>43292.0</v>
      </c>
      <c r="B1057" s="23">
        <v>1.0765E7</v>
      </c>
      <c r="C1057" s="23">
        <f t="shared" si="1"/>
        <v>1557238.356</v>
      </c>
      <c r="D1057" s="18">
        <f>IF(A1057="","",MATCH(A1057,Calculation!B$2:B9627,1))</f>
        <v>1</v>
      </c>
      <c r="E1057" s="23">
        <f t="array" ref="E1057">IF(D1057="","",IF(D1057=1,0,INDEX(Calculation!Q$2:Q9627,D1057-1)))</f>
        <v>0</v>
      </c>
      <c r="F1057" s="23">
        <f t="array" ref="F1057">IF($A1057="","",
  LET(
    r, $D1057,
    startD, INDEX(Calculation!B$2:B9627, r),
    endD,   INDEX(Calculation!C$2:C9627, r),
    asOf,   MIN($A1057,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1557238.356</v>
      </c>
    </row>
    <row r="1058">
      <c r="A1058" s="19">
        <v>43293.0</v>
      </c>
      <c r="B1058" s="23">
        <v>1.0765E7</v>
      </c>
      <c r="C1058" s="23">
        <f t="shared" si="1"/>
        <v>1558713.014</v>
      </c>
      <c r="D1058" s="18">
        <f>IF(A1058="","",MATCH(A1058,Calculation!B$2:B9627,1))</f>
        <v>1</v>
      </c>
      <c r="E1058" s="23">
        <f t="array" ref="E1058">IF(D1058="","",IF(D1058=1,0,INDEX(Calculation!Q$2:Q9627,D1058-1)))</f>
        <v>0</v>
      </c>
      <c r="F1058" s="23">
        <f t="array" ref="F1058">IF($A1058="","",
  LET(
    r, $D1058,
    startD, INDEX(Calculation!B$2:B9627, r),
    endD,   INDEX(Calculation!C$2:C9627, r),
    asOf,   MIN($A1058,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1558713.014</v>
      </c>
    </row>
    <row r="1059">
      <c r="A1059" s="19">
        <v>43294.0</v>
      </c>
      <c r="B1059" s="23">
        <v>1.0765E7</v>
      </c>
      <c r="C1059" s="23">
        <f t="shared" si="1"/>
        <v>1560187.671</v>
      </c>
      <c r="D1059" s="18">
        <f>IF(A1059="","",MATCH(A1059,Calculation!B$2:B9627,1))</f>
        <v>1</v>
      </c>
      <c r="E1059" s="23">
        <f t="array" ref="E1059">IF(D1059="","",IF(D1059=1,0,INDEX(Calculation!Q$2:Q9627,D1059-1)))</f>
        <v>0</v>
      </c>
      <c r="F1059" s="23">
        <f t="array" ref="F1059">IF($A1059="","",
  LET(
    r, $D1059,
    startD, INDEX(Calculation!B$2:B9627, r),
    endD,   INDEX(Calculation!C$2:C9627, r),
    asOf,   MIN($A1059,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1560187.671</v>
      </c>
    </row>
    <row r="1060">
      <c r="A1060" s="19">
        <v>43295.0</v>
      </c>
      <c r="B1060" s="23">
        <v>1.0765E7</v>
      </c>
      <c r="C1060" s="23">
        <f t="shared" si="1"/>
        <v>1561662.329</v>
      </c>
      <c r="D1060" s="18">
        <f>IF(A1060="","",MATCH(A1060,Calculation!B$2:B9627,1))</f>
        <v>1</v>
      </c>
      <c r="E1060" s="23">
        <f t="array" ref="E1060">IF(D1060="","",IF(D1060=1,0,INDEX(Calculation!Q$2:Q9627,D1060-1)))</f>
        <v>0</v>
      </c>
      <c r="F1060" s="23">
        <f t="array" ref="F1060">IF($A1060="","",
  LET(
    r, $D1060,
    startD, INDEX(Calculation!B$2:B9627, r),
    endD,   INDEX(Calculation!C$2:C9627, r),
    asOf,   MIN($A1060,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1561662.329</v>
      </c>
    </row>
    <row r="1061">
      <c r="A1061" s="19">
        <v>43296.0</v>
      </c>
      <c r="B1061" s="23">
        <v>1.0765E7</v>
      </c>
      <c r="C1061" s="23">
        <f t="shared" si="1"/>
        <v>1563136.986</v>
      </c>
      <c r="D1061" s="18">
        <f>IF(A1061="","",MATCH(A1061,Calculation!B$2:B9627,1))</f>
        <v>1</v>
      </c>
      <c r="E1061" s="23">
        <f t="array" ref="E1061">IF(D1061="","",IF(D1061=1,0,INDEX(Calculation!Q$2:Q9627,D1061-1)))</f>
        <v>0</v>
      </c>
      <c r="F1061" s="23">
        <f t="array" ref="F1061">IF($A1061="","",
  LET(
    r, $D1061,
    startD, INDEX(Calculation!B$2:B9627, r),
    endD,   INDEX(Calculation!C$2:C9627, r),
    asOf,   MIN($A1061,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1563136.986</v>
      </c>
    </row>
    <row r="1062">
      <c r="A1062" s="19">
        <v>43297.0</v>
      </c>
      <c r="B1062" s="23">
        <v>1.0765E7</v>
      </c>
      <c r="C1062" s="23">
        <f t="shared" si="1"/>
        <v>1564611.644</v>
      </c>
      <c r="D1062" s="18">
        <f>IF(A1062="","",MATCH(A1062,Calculation!B$2:B9627,1))</f>
        <v>1</v>
      </c>
      <c r="E1062" s="23">
        <f t="array" ref="E1062">IF(D1062="","",IF(D1062=1,0,INDEX(Calculation!Q$2:Q9627,D1062-1)))</f>
        <v>0</v>
      </c>
      <c r="F1062" s="23">
        <f t="array" ref="F1062">IF($A1062="","",
  LET(
    r, $D1062,
    startD, INDEX(Calculation!B$2:B9627, r),
    endD,   INDEX(Calculation!C$2:C9627, r),
    asOf,   MIN($A1062,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1564611.644</v>
      </c>
    </row>
    <row r="1063">
      <c r="A1063" s="19">
        <v>43298.0</v>
      </c>
      <c r="B1063" s="23">
        <v>1.0765E7</v>
      </c>
      <c r="C1063" s="23">
        <f t="shared" si="1"/>
        <v>1566086.301</v>
      </c>
      <c r="D1063" s="18">
        <f>IF(A1063="","",MATCH(A1063,Calculation!B$2:B9627,1))</f>
        <v>1</v>
      </c>
      <c r="E1063" s="23">
        <f t="array" ref="E1063">IF(D1063="","",IF(D1063=1,0,INDEX(Calculation!Q$2:Q9627,D1063-1)))</f>
        <v>0</v>
      </c>
      <c r="F1063" s="23">
        <f t="array" ref="F1063">IF($A1063="","",
  LET(
    r, $D1063,
    startD, INDEX(Calculation!B$2:B9627, r),
    endD,   INDEX(Calculation!C$2:C9627, r),
    asOf,   MIN($A1063,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1566086.301</v>
      </c>
    </row>
    <row r="1064">
      <c r="A1064" s="19">
        <v>43299.0</v>
      </c>
      <c r="B1064" s="23">
        <v>1.0765E7</v>
      </c>
      <c r="C1064" s="23">
        <f t="shared" si="1"/>
        <v>1567560.959</v>
      </c>
      <c r="D1064" s="18">
        <f>IF(A1064="","",MATCH(A1064,Calculation!B$2:B9627,1))</f>
        <v>1</v>
      </c>
      <c r="E1064" s="23">
        <f t="array" ref="E1064">IF(D1064="","",IF(D1064=1,0,INDEX(Calculation!Q$2:Q9627,D1064-1)))</f>
        <v>0</v>
      </c>
      <c r="F1064" s="23">
        <f t="array" ref="F1064">IF($A1064="","",
  LET(
    r, $D1064,
    startD, INDEX(Calculation!B$2:B9627, r),
    endD,   INDEX(Calculation!C$2:C9627, r),
    asOf,   MIN($A1064,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1567560.959</v>
      </c>
    </row>
    <row r="1065">
      <c r="A1065" s="19">
        <v>43300.0</v>
      </c>
      <c r="B1065" s="23">
        <v>1.0765E7</v>
      </c>
      <c r="C1065" s="23">
        <f t="shared" si="1"/>
        <v>1569035.616</v>
      </c>
      <c r="D1065" s="18">
        <f>IF(A1065="","",MATCH(A1065,Calculation!B$2:B9627,1))</f>
        <v>1</v>
      </c>
      <c r="E1065" s="23">
        <f t="array" ref="E1065">IF(D1065="","",IF(D1065=1,0,INDEX(Calculation!Q$2:Q9627,D1065-1)))</f>
        <v>0</v>
      </c>
      <c r="F1065" s="23">
        <f t="array" ref="F1065">IF($A1065="","",
  LET(
    r, $D1065,
    startD, INDEX(Calculation!B$2:B9627, r),
    endD,   INDEX(Calculation!C$2:C9627, r),
    asOf,   MIN($A1065,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1569035.616</v>
      </c>
    </row>
    <row r="1066">
      <c r="A1066" s="19">
        <v>43301.0</v>
      </c>
      <c r="B1066" s="23">
        <v>1.0765E7</v>
      </c>
      <c r="C1066" s="23">
        <f t="shared" si="1"/>
        <v>1570510.274</v>
      </c>
      <c r="D1066" s="18">
        <f>IF(A1066="","",MATCH(A1066,Calculation!B$2:B9627,1))</f>
        <v>1</v>
      </c>
      <c r="E1066" s="23">
        <f t="array" ref="E1066">IF(D1066="","",IF(D1066=1,0,INDEX(Calculation!Q$2:Q9627,D1066-1)))</f>
        <v>0</v>
      </c>
      <c r="F1066" s="23">
        <f t="array" ref="F1066">IF($A1066="","",
  LET(
    r, $D1066,
    startD, INDEX(Calculation!B$2:B9627, r),
    endD,   INDEX(Calculation!C$2:C9627, r),
    asOf,   MIN($A1066,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1570510.274</v>
      </c>
    </row>
    <row r="1067">
      <c r="A1067" s="19">
        <v>43302.0</v>
      </c>
      <c r="B1067" s="23">
        <v>1.0765E7</v>
      </c>
      <c r="C1067" s="23">
        <f t="shared" si="1"/>
        <v>1571984.932</v>
      </c>
      <c r="D1067" s="18">
        <f>IF(A1067="","",MATCH(A1067,Calculation!B$2:B9627,1))</f>
        <v>1</v>
      </c>
      <c r="E1067" s="23">
        <f t="array" ref="E1067">IF(D1067="","",IF(D1067=1,0,INDEX(Calculation!Q$2:Q9627,D1067-1)))</f>
        <v>0</v>
      </c>
      <c r="F1067" s="23">
        <f t="array" ref="F1067">IF($A1067="","",
  LET(
    r, $D1067,
    startD, INDEX(Calculation!B$2:B9627, r),
    endD,   INDEX(Calculation!C$2:C9627, r),
    asOf,   MIN($A1067,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1571984.932</v>
      </c>
    </row>
    <row r="1068">
      <c r="A1068" s="19">
        <v>43303.0</v>
      </c>
      <c r="B1068" s="23">
        <v>1.0765E7</v>
      </c>
      <c r="C1068" s="23">
        <f t="shared" si="1"/>
        <v>1573459.589</v>
      </c>
      <c r="D1068" s="18">
        <f>IF(A1068="","",MATCH(A1068,Calculation!B$2:B9627,1))</f>
        <v>1</v>
      </c>
      <c r="E1068" s="23">
        <f t="array" ref="E1068">IF(D1068="","",IF(D1068=1,0,INDEX(Calculation!Q$2:Q9627,D1068-1)))</f>
        <v>0</v>
      </c>
      <c r="F1068" s="23">
        <f t="array" ref="F1068">IF($A1068="","",
  LET(
    r, $D1068,
    startD, INDEX(Calculation!B$2:B9627, r),
    endD,   INDEX(Calculation!C$2:C9627, r),
    asOf,   MIN($A1068,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1573459.589</v>
      </c>
    </row>
    <row r="1069">
      <c r="A1069" s="19">
        <v>43304.0</v>
      </c>
      <c r="B1069" s="23">
        <v>1.0765E7</v>
      </c>
      <c r="C1069" s="23">
        <f t="shared" si="1"/>
        <v>1574934.247</v>
      </c>
      <c r="D1069" s="18">
        <f>IF(A1069="","",MATCH(A1069,Calculation!B$2:B9627,1))</f>
        <v>1</v>
      </c>
      <c r="E1069" s="23">
        <f t="array" ref="E1069">IF(D1069="","",IF(D1069=1,0,INDEX(Calculation!Q$2:Q9627,D1069-1)))</f>
        <v>0</v>
      </c>
      <c r="F1069" s="23">
        <f t="array" ref="F1069">IF($A1069="","",
  LET(
    r, $D1069,
    startD, INDEX(Calculation!B$2:B9627, r),
    endD,   INDEX(Calculation!C$2:C9627, r),
    asOf,   MIN($A1069,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1574934.247</v>
      </c>
    </row>
    <row r="1070">
      <c r="A1070" s="19">
        <v>43305.0</v>
      </c>
      <c r="B1070" s="23">
        <v>1.0765E7</v>
      </c>
      <c r="C1070" s="23">
        <f t="shared" si="1"/>
        <v>1576408.904</v>
      </c>
      <c r="D1070" s="18">
        <f>IF(A1070="","",MATCH(A1070,Calculation!B$2:B9627,1))</f>
        <v>1</v>
      </c>
      <c r="E1070" s="23">
        <f t="array" ref="E1070">IF(D1070="","",IF(D1070=1,0,INDEX(Calculation!Q$2:Q9627,D1070-1)))</f>
        <v>0</v>
      </c>
      <c r="F1070" s="23">
        <f t="array" ref="F1070">IF($A1070="","",
  LET(
    r, $D1070,
    startD, INDEX(Calculation!B$2:B9627, r),
    endD,   INDEX(Calculation!C$2:C9627, r),
    asOf,   MIN($A1070,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1576408.904</v>
      </c>
    </row>
    <row r="1071">
      <c r="A1071" s="19">
        <v>43306.0</v>
      </c>
      <c r="B1071" s="23">
        <v>1.0765E7</v>
      </c>
      <c r="C1071" s="23">
        <f t="shared" si="1"/>
        <v>1577883.562</v>
      </c>
      <c r="D1071" s="18">
        <f>IF(A1071="","",MATCH(A1071,Calculation!B$2:B9627,1))</f>
        <v>1</v>
      </c>
      <c r="E1071" s="23">
        <f t="array" ref="E1071">IF(D1071="","",IF(D1071=1,0,INDEX(Calculation!Q$2:Q9627,D1071-1)))</f>
        <v>0</v>
      </c>
      <c r="F1071" s="23">
        <f t="array" ref="F1071">IF($A1071="","",
  LET(
    r, $D1071,
    startD, INDEX(Calculation!B$2:B9627, r),
    endD,   INDEX(Calculation!C$2:C9627, r),
    asOf,   MIN($A1071,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1577883.562</v>
      </c>
    </row>
    <row r="1072">
      <c r="A1072" s="19">
        <v>43307.0</v>
      </c>
      <c r="B1072" s="23">
        <v>1.0765E7</v>
      </c>
      <c r="C1072" s="23">
        <f t="shared" si="1"/>
        <v>1579358.219</v>
      </c>
      <c r="D1072" s="18">
        <f>IF(A1072="","",MATCH(A1072,Calculation!B$2:B9627,1))</f>
        <v>1</v>
      </c>
      <c r="E1072" s="23">
        <f t="array" ref="E1072">IF(D1072="","",IF(D1072=1,0,INDEX(Calculation!Q$2:Q9627,D1072-1)))</f>
        <v>0</v>
      </c>
      <c r="F1072" s="23">
        <f t="array" ref="F1072">IF($A1072="","",
  LET(
    r, $D1072,
    startD, INDEX(Calculation!B$2:B9627, r),
    endD,   INDEX(Calculation!C$2:C9627, r),
    asOf,   MIN($A1072,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1579358.219</v>
      </c>
    </row>
    <row r="1073">
      <c r="A1073" s="19">
        <v>43308.0</v>
      </c>
      <c r="B1073" s="23">
        <v>1.0765E7</v>
      </c>
      <c r="C1073" s="23">
        <f t="shared" si="1"/>
        <v>1580832.877</v>
      </c>
      <c r="D1073" s="18">
        <f>IF(A1073="","",MATCH(A1073,Calculation!B$2:B9627,1))</f>
        <v>1</v>
      </c>
      <c r="E1073" s="23">
        <f t="array" ref="E1073">IF(D1073="","",IF(D1073=1,0,INDEX(Calculation!Q$2:Q9627,D1073-1)))</f>
        <v>0</v>
      </c>
      <c r="F1073" s="23">
        <f t="array" ref="F1073">IF($A1073="","",
  LET(
    r, $D1073,
    startD, INDEX(Calculation!B$2:B9627, r),
    endD,   INDEX(Calculation!C$2:C9627, r),
    asOf,   MIN($A1073,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1580832.877</v>
      </c>
    </row>
    <row r="1074">
      <c r="A1074" s="19">
        <v>43309.0</v>
      </c>
      <c r="B1074" s="23">
        <v>1.0765E7</v>
      </c>
      <c r="C1074" s="23">
        <f t="shared" si="1"/>
        <v>1582307.534</v>
      </c>
      <c r="D1074" s="18">
        <f>IF(A1074="","",MATCH(A1074,Calculation!B$2:B9627,1))</f>
        <v>1</v>
      </c>
      <c r="E1074" s="23">
        <f t="array" ref="E1074">IF(D1074="","",IF(D1074=1,0,INDEX(Calculation!Q$2:Q9627,D1074-1)))</f>
        <v>0</v>
      </c>
      <c r="F1074" s="23">
        <f t="array" ref="F1074">IF($A1074="","",
  LET(
    r, $D1074,
    startD, INDEX(Calculation!B$2:B9627, r),
    endD,   INDEX(Calculation!C$2:C9627, r),
    asOf,   MIN($A1074,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1582307.534</v>
      </c>
    </row>
    <row r="1075">
      <c r="A1075" s="19">
        <v>43310.0</v>
      </c>
      <c r="B1075" s="23">
        <v>1.0765E7</v>
      </c>
      <c r="C1075" s="23">
        <f t="shared" si="1"/>
        <v>1583782.192</v>
      </c>
      <c r="D1075" s="18">
        <f>IF(A1075="","",MATCH(A1075,Calculation!B$2:B9627,1))</f>
        <v>1</v>
      </c>
      <c r="E1075" s="23">
        <f t="array" ref="E1075">IF(D1075="","",IF(D1075=1,0,INDEX(Calculation!Q$2:Q9627,D1075-1)))</f>
        <v>0</v>
      </c>
      <c r="F1075" s="23">
        <f t="array" ref="F1075">IF($A1075="","",
  LET(
    r, $D1075,
    startD, INDEX(Calculation!B$2:B9627, r),
    endD,   INDEX(Calculation!C$2:C9627, r),
    asOf,   MIN($A1075,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1583782.192</v>
      </c>
    </row>
    <row r="1076">
      <c r="A1076" s="19">
        <v>43311.0</v>
      </c>
      <c r="B1076" s="23">
        <v>1.0765E7</v>
      </c>
      <c r="C1076" s="23">
        <f t="shared" si="1"/>
        <v>1585256.849</v>
      </c>
      <c r="D1076" s="18">
        <f>IF(A1076="","",MATCH(A1076,Calculation!B$2:B9627,1))</f>
        <v>1</v>
      </c>
      <c r="E1076" s="23">
        <f t="array" ref="E1076">IF(D1076="","",IF(D1076=1,0,INDEX(Calculation!Q$2:Q9627,D1076-1)))</f>
        <v>0</v>
      </c>
      <c r="F1076" s="23">
        <f t="array" ref="F1076">IF($A1076="","",
  LET(
    r, $D1076,
    startD, INDEX(Calculation!B$2:B9627, r),
    endD,   INDEX(Calculation!C$2:C9627, r),
    asOf,   MIN($A1076,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1585256.849</v>
      </c>
    </row>
    <row r="1077">
      <c r="A1077" s="19">
        <v>43312.0</v>
      </c>
      <c r="B1077" s="23">
        <v>1.0765E7</v>
      </c>
      <c r="C1077" s="23">
        <f t="shared" si="1"/>
        <v>1586731.507</v>
      </c>
      <c r="D1077" s="18">
        <f>IF(A1077="","",MATCH(A1077,Calculation!B$2:B9627,1))</f>
        <v>1</v>
      </c>
      <c r="E1077" s="23">
        <f t="array" ref="E1077">IF(D1077="","",IF(D1077=1,0,INDEX(Calculation!Q$2:Q9627,D1077-1)))</f>
        <v>0</v>
      </c>
      <c r="F1077" s="23">
        <f t="array" ref="F1077">IF($A1077="","",
  LET(
    r, $D1077,
    startD, INDEX(Calculation!B$2:B9627, r),
    endD,   INDEX(Calculation!C$2:C9627, r),
    asOf,   MIN($A1077,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1586731.507</v>
      </c>
    </row>
    <row r="1078">
      <c r="A1078" s="19">
        <v>43313.0</v>
      </c>
      <c r="B1078" s="23">
        <v>1.0765E7</v>
      </c>
      <c r="C1078" s="23">
        <f t="shared" si="1"/>
        <v>1588206.164</v>
      </c>
      <c r="D1078" s="18">
        <f>IF(A1078="","",MATCH(A1078,Calculation!B$2:B9627,1))</f>
        <v>1</v>
      </c>
      <c r="E1078" s="23">
        <f t="array" ref="E1078">IF(D1078="","",IF(D1078=1,0,INDEX(Calculation!Q$2:Q9627,D1078-1)))</f>
        <v>0</v>
      </c>
      <c r="F1078" s="23">
        <f t="array" ref="F1078">IF($A1078="","",
  LET(
    r, $D1078,
    startD, INDEX(Calculation!B$2:B9627, r),
    endD,   INDEX(Calculation!C$2:C9627, r),
    asOf,   MIN($A1078,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1588206.164</v>
      </c>
    </row>
    <row r="1079">
      <c r="A1079" s="19">
        <v>43314.0</v>
      </c>
      <c r="B1079" s="23">
        <v>1.0765E7</v>
      </c>
      <c r="C1079" s="23">
        <f t="shared" si="1"/>
        <v>1589680.822</v>
      </c>
      <c r="D1079" s="18">
        <f>IF(A1079="","",MATCH(A1079,Calculation!B$2:B9627,1))</f>
        <v>1</v>
      </c>
      <c r="E1079" s="23">
        <f t="array" ref="E1079">IF(D1079="","",IF(D1079=1,0,INDEX(Calculation!Q$2:Q9627,D1079-1)))</f>
        <v>0</v>
      </c>
      <c r="F1079" s="23">
        <f t="array" ref="F1079">IF($A1079="","",
  LET(
    r, $D1079,
    startD, INDEX(Calculation!B$2:B9627, r),
    endD,   INDEX(Calculation!C$2:C9627, r),
    asOf,   MIN($A1079,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1589680.822</v>
      </c>
    </row>
    <row r="1080">
      <c r="A1080" s="19">
        <v>43315.0</v>
      </c>
      <c r="B1080" s="23">
        <v>1.0765E7</v>
      </c>
      <c r="C1080" s="23">
        <f t="shared" si="1"/>
        <v>1591155.479</v>
      </c>
      <c r="D1080" s="18">
        <f>IF(A1080="","",MATCH(A1080,Calculation!B$2:B9627,1))</f>
        <v>1</v>
      </c>
      <c r="E1080" s="23">
        <f t="array" ref="E1080">IF(D1080="","",IF(D1080=1,0,INDEX(Calculation!Q$2:Q9627,D1080-1)))</f>
        <v>0</v>
      </c>
      <c r="F1080" s="23">
        <f t="array" ref="F1080">IF($A1080="","",
  LET(
    r, $D1080,
    startD, INDEX(Calculation!B$2:B9627, r),
    endD,   INDEX(Calculation!C$2:C9627, r),
    asOf,   MIN($A1080,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1591155.479</v>
      </c>
    </row>
    <row r="1081">
      <c r="A1081" s="19">
        <v>43316.0</v>
      </c>
      <c r="B1081" s="23">
        <v>1.0765E7</v>
      </c>
      <c r="C1081" s="23">
        <f t="shared" si="1"/>
        <v>1592630.137</v>
      </c>
      <c r="D1081" s="18">
        <f>IF(A1081="","",MATCH(A1081,Calculation!B$2:B9627,1))</f>
        <v>1</v>
      </c>
      <c r="E1081" s="23">
        <f t="array" ref="E1081">IF(D1081="","",IF(D1081=1,0,INDEX(Calculation!Q$2:Q9627,D1081-1)))</f>
        <v>0</v>
      </c>
      <c r="F1081" s="23">
        <f t="array" ref="F1081">IF($A1081="","",
  LET(
    r, $D1081,
    startD, INDEX(Calculation!B$2:B9627, r),
    endD,   INDEX(Calculation!C$2:C9627, r),
    asOf,   MIN($A1081,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1592630.137</v>
      </c>
    </row>
    <row r="1082">
      <c r="A1082" s="19">
        <v>43317.0</v>
      </c>
      <c r="B1082" s="23">
        <v>1.0765E7</v>
      </c>
      <c r="C1082" s="23">
        <f t="shared" si="1"/>
        <v>1594104.795</v>
      </c>
      <c r="D1082" s="18">
        <f>IF(A1082="","",MATCH(A1082,Calculation!B$2:B9627,1))</f>
        <v>1</v>
      </c>
      <c r="E1082" s="23">
        <f t="array" ref="E1082">IF(D1082="","",IF(D1082=1,0,INDEX(Calculation!Q$2:Q9627,D1082-1)))</f>
        <v>0</v>
      </c>
      <c r="F1082" s="23">
        <f t="array" ref="F1082">IF($A1082="","",
  LET(
    r, $D1082,
    startD, INDEX(Calculation!B$2:B9627, r),
    endD,   INDEX(Calculation!C$2:C9627, r),
    asOf,   MIN($A1082,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1594104.795</v>
      </c>
    </row>
    <row r="1083">
      <c r="A1083" s="19">
        <v>43318.0</v>
      </c>
      <c r="B1083" s="23">
        <v>1.0765E7</v>
      </c>
      <c r="C1083" s="23">
        <f t="shared" si="1"/>
        <v>1595579.452</v>
      </c>
      <c r="D1083" s="18">
        <f>IF(A1083="","",MATCH(A1083,Calculation!B$2:B9627,1))</f>
        <v>1</v>
      </c>
      <c r="E1083" s="23">
        <f t="array" ref="E1083">IF(D1083="","",IF(D1083=1,0,INDEX(Calculation!Q$2:Q9627,D1083-1)))</f>
        <v>0</v>
      </c>
      <c r="F1083" s="23">
        <f t="array" ref="F1083">IF($A1083="","",
  LET(
    r, $D1083,
    startD, INDEX(Calculation!B$2:B9627, r),
    endD,   INDEX(Calculation!C$2:C9627, r),
    asOf,   MIN($A1083,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1595579.452</v>
      </c>
    </row>
    <row r="1084">
      <c r="A1084" s="19">
        <v>43319.0</v>
      </c>
      <c r="B1084" s="23">
        <v>1.0765E7</v>
      </c>
      <c r="C1084" s="23">
        <f t="shared" si="1"/>
        <v>1597054.11</v>
      </c>
      <c r="D1084" s="18">
        <f>IF(A1084="","",MATCH(A1084,Calculation!B$2:B9627,1))</f>
        <v>1</v>
      </c>
      <c r="E1084" s="23">
        <f t="array" ref="E1084">IF(D1084="","",IF(D1084=1,0,INDEX(Calculation!Q$2:Q9627,D1084-1)))</f>
        <v>0</v>
      </c>
      <c r="F1084" s="23">
        <f t="array" ref="F1084">IF($A1084="","",
  LET(
    r, $D1084,
    startD, INDEX(Calculation!B$2:B9627, r),
    endD,   INDEX(Calculation!C$2:C9627, r),
    asOf,   MIN($A1084,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1597054.11</v>
      </c>
    </row>
    <row r="1085">
      <c r="A1085" s="19">
        <v>43320.0</v>
      </c>
      <c r="B1085" s="23">
        <v>1.0765E7</v>
      </c>
      <c r="C1085" s="23">
        <f t="shared" si="1"/>
        <v>1598528.767</v>
      </c>
      <c r="D1085" s="18">
        <f>IF(A1085="","",MATCH(A1085,Calculation!B$2:B9627,1))</f>
        <v>1</v>
      </c>
      <c r="E1085" s="23">
        <f t="array" ref="E1085">IF(D1085="","",IF(D1085=1,0,INDEX(Calculation!Q$2:Q9627,D1085-1)))</f>
        <v>0</v>
      </c>
      <c r="F1085" s="23">
        <f t="array" ref="F1085">IF($A1085="","",
  LET(
    r, $D1085,
    startD, INDEX(Calculation!B$2:B9627, r),
    endD,   INDEX(Calculation!C$2:C9627, r),
    asOf,   MIN($A1085,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1598528.767</v>
      </c>
    </row>
    <row r="1086">
      <c r="A1086" s="19">
        <v>43321.0</v>
      </c>
      <c r="B1086" s="23">
        <v>1.0765E7</v>
      </c>
      <c r="C1086" s="23">
        <f t="shared" si="1"/>
        <v>1600003.425</v>
      </c>
      <c r="D1086" s="18">
        <f>IF(A1086="","",MATCH(A1086,Calculation!B$2:B9627,1))</f>
        <v>1</v>
      </c>
      <c r="E1086" s="23">
        <f t="array" ref="E1086">IF(D1086="","",IF(D1086=1,0,INDEX(Calculation!Q$2:Q9627,D1086-1)))</f>
        <v>0</v>
      </c>
      <c r="F1086" s="23">
        <f t="array" ref="F1086">IF($A1086="","",
  LET(
    r, $D1086,
    startD, INDEX(Calculation!B$2:B9627, r),
    endD,   INDEX(Calculation!C$2:C9627, r),
    asOf,   MIN($A1086,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1600003.425</v>
      </c>
    </row>
    <row r="1087">
      <c r="A1087" s="19">
        <v>43322.0</v>
      </c>
      <c r="B1087" s="23">
        <v>1.0765E7</v>
      </c>
      <c r="C1087" s="23">
        <f t="shared" si="1"/>
        <v>1601478.082</v>
      </c>
      <c r="D1087" s="18">
        <f>IF(A1087="","",MATCH(A1087,Calculation!B$2:B9627,1))</f>
        <v>1</v>
      </c>
      <c r="E1087" s="23">
        <f t="array" ref="E1087">IF(D1087="","",IF(D1087=1,0,INDEX(Calculation!Q$2:Q9627,D1087-1)))</f>
        <v>0</v>
      </c>
      <c r="F1087" s="23">
        <f t="array" ref="F1087">IF($A1087="","",
  LET(
    r, $D1087,
    startD, INDEX(Calculation!B$2:B9627, r),
    endD,   INDEX(Calculation!C$2:C9627, r),
    asOf,   MIN($A1087,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1601478.082</v>
      </c>
    </row>
    <row r="1088">
      <c r="A1088" s="19">
        <v>43323.0</v>
      </c>
      <c r="B1088" s="23">
        <v>1.0765E7</v>
      </c>
      <c r="C1088" s="23">
        <f t="shared" si="1"/>
        <v>1602952.74</v>
      </c>
      <c r="D1088" s="18">
        <f>IF(A1088="","",MATCH(A1088,Calculation!B$2:B9627,1))</f>
        <v>1</v>
      </c>
      <c r="E1088" s="23">
        <f t="array" ref="E1088">IF(D1088="","",IF(D1088=1,0,INDEX(Calculation!Q$2:Q9627,D1088-1)))</f>
        <v>0</v>
      </c>
      <c r="F1088" s="23">
        <f t="array" ref="F1088">IF($A1088="","",
  LET(
    r, $D1088,
    startD, INDEX(Calculation!B$2:B9627, r),
    endD,   INDEX(Calculation!C$2:C9627, r),
    asOf,   MIN($A1088,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1602952.74</v>
      </c>
    </row>
    <row r="1089">
      <c r="A1089" s="19">
        <v>43324.0</v>
      </c>
      <c r="B1089" s="23">
        <v>1.0765E7</v>
      </c>
      <c r="C1089" s="23">
        <f t="shared" si="1"/>
        <v>1604427.397</v>
      </c>
      <c r="D1089" s="18">
        <f>IF(A1089="","",MATCH(A1089,Calculation!B$2:B9627,1))</f>
        <v>1</v>
      </c>
      <c r="E1089" s="23">
        <f t="array" ref="E1089">IF(D1089="","",IF(D1089=1,0,INDEX(Calculation!Q$2:Q9627,D1089-1)))</f>
        <v>0</v>
      </c>
      <c r="F1089" s="23">
        <f t="array" ref="F1089">IF($A1089="","",
  LET(
    r, $D1089,
    startD, INDEX(Calculation!B$2:B9627, r),
    endD,   INDEX(Calculation!C$2:C9627, r),
    asOf,   MIN($A1089,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1604427.397</v>
      </c>
    </row>
    <row r="1090">
      <c r="A1090" s="19">
        <v>43325.0</v>
      </c>
      <c r="B1090" s="23">
        <v>1.0765E7</v>
      </c>
      <c r="C1090" s="23">
        <f t="shared" si="1"/>
        <v>1605902.055</v>
      </c>
      <c r="D1090" s="18">
        <f>IF(A1090="","",MATCH(A1090,Calculation!B$2:B9627,1))</f>
        <v>1</v>
      </c>
      <c r="E1090" s="23">
        <f t="array" ref="E1090">IF(D1090="","",IF(D1090=1,0,INDEX(Calculation!Q$2:Q9627,D1090-1)))</f>
        <v>0</v>
      </c>
      <c r="F1090" s="23">
        <f t="array" ref="F1090">IF($A1090="","",
  LET(
    r, $D1090,
    startD, INDEX(Calculation!B$2:B9627, r),
    endD,   INDEX(Calculation!C$2:C9627, r),
    asOf,   MIN($A1090,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1605902.055</v>
      </c>
    </row>
    <row r="1091">
      <c r="A1091" s="19">
        <v>43326.0</v>
      </c>
      <c r="B1091" s="23">
        <v>1.0765E7</v>
      </c>
      <c r="C1091" s="23">
        <f t="shared" si="1"/>
        <v>1607376.712</v>
      </c>
      <c r="D1091" s="18">
        <f>IF(A1091="","",MATCH(A1091,Calculation!B$2:B9627,1))</f>
        <v>1</v>
      </c>
      <c r="E1091" s="23">
        <f t="array" ref="E1091">IF(D1091="","",IF(D1091=1,0,INDEX(Calculation!Q$2:Q9627,D1091-1)))</f>
        <v>0</v>
      </c>
      <c r="F1091" s="23">
        <f t="array" ref="F1091">IF($A1091="","",
  LET(
    r, $D1091,
    startD, INDEX(Calculation!B$2:B9627, r),
    endD,   INDEX(Calculation!C$2:C9627, r),
    asOf,   MIN($A1091,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1607376.712</v>
      </c>
    </row>
    <row r="1092">
      <c r="A1092" s="19">
        <v>43327.0</v>
      </c>
      <c r="B1092" s="23">
        <v>1.0765E7</v>
      </c>
      <c r="C1092" s="23">
        <f t="shared" si="1"/>
        <v>1608851.37</v>
      </c>
      <c r="D1092" s="18">
        <f>IF(A1092="","",MATCH(A1092,Calculation!B$2:B9627,1))</f>
        <v>1</v>
      </c>
      <c r="E1092" s="23">
        <f t="array" ref="E1092">IF(D1092="","",IF(D1092=1,0,INDEX(Calculation!Q$2:Q9627,D1092-1)))</f>
        <v>0</v>
      </c>
      <c r="F1092" s="23">
        <f t="array" ref="F1092">IF($A1092="","",
  LET(
    r, $D1092,
    startD, INDEX(Calculation!B$2:B9627, r),
    endD,   INDEX(Calculation!C$2:C9627, r),
    asOf,   MIN($A1092,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1608851.37</v>
      </c>
    </row>
    <row r="1093">
      <c r="A1093" s="19">
        <v>43328.0</v>
      </c>
      <c r="B1093" s="23">
        <v>1.0765E7</v>
      </c>
      <c r="C1093" s="23">
        <f t="shared" si="1"/>
        <v>1610326.027</v>
      </c>
      <c r="D1093" s="18">
        <f>IF(A1093="","",MATCH(A1093,Calculation!B$2:B9627,1))</f>
        <v>1</v>
      </c>
      <c r="E1093" s="23">
        <f t="array" ref="E1093">IF(D1093="","",IF(D1093=1,0,INDEX(Calculation!Q$2:Q9627,D1093-1)))</f>
        <v>0</v>
      </c>
      <c r="F1093" s="23">
        <f t="array" ref="F1093">IF($A1093="","",
  LET(
    r, $D1093,
    startD, INDEX(Calculation!B$2:B9627, r),
    endD,   INDEX(Calculation!C$2:C9627, r),
    asOf,   MIN($A1093,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1610326.027</v>
      </c>
    </row>
    <row r="1094">
      <c r="A1094" s="19">
        <v>43329.0</v>
      </c>
      <c r="B1094" s="23">
        <v>1.0765E7</v>
      </c>
      <c r="C1094" s="23">
        <f t="shared" si="1"/>
        <v>1611800.685</v>
      </c>
      <c r="D1094" s="18">
        <f>IF(A1094="","",MATCH(A1094,Calculation!B$2:B9627,1))</f>
        <v>1</v>
      </c>
      <c r="E1094" s="23">
        <f t="array" ref="E1094">IF(D1094="","",IF(D1094=1,0,INDEX(Calculation!Q$2:Q9627,D1094-1)))</f>
        <v>0</v>
      </c>
      <c r="F1094" s="23">
        <f t="array" ref="F1094">IF($A1094="","",
  LET(
    r, $D1094,
    startD, INDEX(Calculation!B$2:B9627, r),
    endD,   INDEX(Calculation!C$2:C9627, r),
    asOf,   MIN($A1094,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1611800.685</v>
      </c>
    </row>
    <row r="1095">
      <c r="A1095" s="19">
        <v>43330.0</v>
      </c>
      <c r="B1095" s="23">
        <v>1.0765E7</v>
      </c>
      <c r="C1095" s="23">
        <f t="shared" si="1"/>
        <v>1613275.342</v>
      </c>
      <c r="D1095" s="18">
        <f>IF(A1095="","",MATCH(A1095,Calculation!B$2:B9627,1))</f>
        <v>1</v>
      </c>
      <c r="E1095" s="23">
        <f t="array" ref="E1095">IF(D1095="","",IF(D1095=1,0,INDEX(Calculation!Q$2:Q9627,D1095-1)))</f>
        <v>0</v>
      </c>
      <c r="F1095" s="23">
        <f t="array" ref="F1095">IF($A1095="","",
  LET(
    r, $D1095,
    startD, INDEX(Calculation!B$2:B9627, r),
    endD,   INDEX(Calculation!C$2:C9627, r),
    asOf,   MIN($A1095,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1613275.342</v>
      </c>
    </row>
    <row r="1096">
      <c r="A1096" s="19">
        <v>43331.0</v>
      </c>
      <c r="B1096" s="23">
        <v>1.0765E7</v>
      </c>
      <c r="C1096" s="23">
        <f t="shared" si="1"/>
        <v>1614750</v>
      </c>
      <c r="D1096" s="18">
        <f>IF(A1096="","",MATCH(A1096,Calculation!B$2:B9627,1))</f>
        <v>1</v>
      </c>
      <c r="E1096" s="23">
        <f t="array" ref="E1096">IF(D1096="","",IF(D1096=1,0,INDEX(Calculation!Q$2:Q9627,D1096-1)))</f>
        <v>0</v>
      </c>
      <c r="F1096" s="23">
        <f t="array" ref="F1096">IF($A1096="","",
  LET(
    r, $D1096,
    startD, INDEX(Calculation!B$2:B9627, r),
    endD,   INDEX(Calculation!C$2:C9627, r),
    asOf,   MIN($A1096,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1614750</v>
      </c>
    </row>
    <row r="1097">
      <c r="A1097" s="19">
        <v>43332.0</v>
      </c>
      <c r="B1097" s="23">
        <v>1.0765E7</v>
      </c>
      <c r="C1097" s="23">
        <f t="shared" si="1"/>
        <v>1616224.658</v>
      </c>
      <c r="D1097" s="18">
        <f>IF(A1097="","",MATCH(A1097,Calculation!B$2:B9627,1))</f>
        <v>1</v>
      </c>
      <c r="E1097" s="23">
        <f t="array" ref="E1097">IF(D1097="","",IF(D1097=1,0,INDEX(Calculation!Q$2:Q9627,D1097-1)))</f>
        <v>0</v>
      </c>
      <c r="F1097" s="23">
        <f t="array" ref="F1097">IF($A1097="","",
  LET(
    r, $D1097,
    startD, INDEX(Calculation!B$2:B9627, r),
    endD,   INDEX(Calculation!C$2:C9627, r),
    asOf,   MIN($A1097,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1616224.658</v>
      </c>
    </row>
    <row r="1098">
      <c r="A1098" s="19">
        <v>43333.0</v>
      </c>
      <c r="B1098" s="23">
        <v>1.0765E7</v>
      </c>
      <c r="C1098" s="23">
        <f t="shared" si="1"/>
        <v>1617699.315</v>
      </c>
      <c r="D1098" s="18">
        <f>IF(A1098="","",MATCH(A1098,Calculation!B$2:B9627,1))</f>
        <v>1</v>
      </c>
      <c r="E1098" s="23">
        <f t="array" ref="E1098">IF(D1098="","",IF(D1098=1,0,INDEX(Calculation!Q$2:Q9627,D1098-1)))</f>
        <v>0</v>
      </c>
      <c r="F1098" s="23">
        <f t="array" ref="F1098">IF($A1098="","",
  LET(
    r, $D1098,
    startD, INDEX(Calculation!B$2:B9627, r),
    endD,   INDEX(Calculation!C$2:C9627, r),
    asOf,   MIN($A1098,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1617699.315</v>
      </c>
    </row>
    <row r="1099">
      <c r="A1099" s="19">
        <v>43334.0</v>
      </c>
      <c r="B1099" s="23">
        <v>1.0765E7</v>
      </c>
      <c r="C1099" s="23">
        <f t="shared" si="1"/>
        <v>1619173.973</v>
      </c>
      <c r="D1099" s="18">
        <f>IF(A1099="","",MATCH(A1099,Calculation!B$2:B9627,1))</f>
        <v>1</v>
      </c>
      <c r="E1099" s="23">
        <f t="array" ref="E1099">IF(D1099="","",IF(D1099=1,0,INDEX(Calculation!Q$2:Q9627,D1099-1)))</f>
        <v>0</v>
      </c>
      <c r="F1099" s="23">
        <f t="array" ref="F1099">IF($A1099="","",
  LET(
    r, $D1099,
    startD, INDEX(Calculation!B$2:B9627, r),
    endD,   INDEX(Calculation!C$2:C9627, r),
    asOf,   MIN($A1099,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1619173.973</v>
      </c>
    </row>
    <row r="1100">
      <c r="A1100" s="19">
        <v>43335.0</v>
      </c>
      <c r="B1100" s="23">
        <v>1.0765E7</v>
      </c>
      <c r="C1100" s="23">
        <f t="shared" si="1"/>
        <v>1620648.63</v>
      </c>
      <c r="D1100" s="18">
        <f>IF(A1100="","",MATCH(A1100,Calculation!B$2:B9627,1))</f>
        <v>1</v>
      </c>
      <c r="E1100" s="23">
        <f t="array" ref="E1100">IF(D1100="","",IF(D1100=1,0,INDEX(Calculation!Q$2:Q9627,D1100-1)))</f>
        <v>0</v>
      </c>
      <c r="F1100" s="23">
        <f t="array" ref="F1100">IF($A1100="","",
  LET(
    r, $D1100,
    startD, INDEX(Calculation!B$2:B9627, r),
    endD,   INDEX(Calculation!C$2:C9627, r),
    asOf,   MIN($A1100,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1620648.63</v>
      </c>
    </row>
    <row r="1101">
      <c r="A1101" s="19">
        <v>43336.0</v>
      </c>
      <c r="B1101" s="23">
        <v>1.0765E7</v>
      </c>
      <c r="C1101" s="23">
        <f t="shared" si="1"/>
        <v>1622123.288</v>
      </c>
      <c r="D1101" s="18">
        <f>IF(A1101="","",MATCH(A1101,Calculation!B$2:B9627,1))</f>
        <v>1</v>
      </c>
      <c r="E1101" s="23">
        <f t="array" ref="E1101">IF(D1101="","",IF(D1101=1,0,INDEX(Calculation!Q$2:Q9627,D1101-1)))</f>
        <v>0</v>
      </c>
      <c r="F1101" s="23">
        <f t="array" ref="F1101">IF($A1101="","",
  LET(
    r, $D1101,
    startD, INDEX(Calculation!B$2:B9627, r),
    endD,   INDEX(Calculation!C$2:C9627, r),
    asOf,   MIN($A1101,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1622123.288</v>
      </c>
    </row>
    <row r="1102">
      <c r="A1102" s="19">
        <v>43337.0</v>
      </c>
      <c r="B1102" s="23">
        <v>1.0765E7</v>
      </c>
      <c r="C1102" s="23">
        <f t="shared" si="1"/>
        <v>1623597.945</v>
      </c>
      <c r="D1102" s="18">
        <f>IF(A1102="","",MATCH(A1102,Calculation!B$2:B9627,1))</f>
        <v>1</v>
      </c>
      <c r="E1102" s="23">
        <f t="array" ref="E1102">IF(D1102="","",IF(D1102=1,0,INDEX(Calculation!Q$2:Q9627,D1102-1)))</f>
        <v>0</v>
      </c>
      <c r="F1102" s="23">
        <f t="array" ref="F1102">IF($A1102="","",
  LET(
    r, $D1102,
    startD, INDEX(Calculation!B$2:B9627, r),
    endD,   INDEX(Calculation!C$2:C9627, r),
    asOf,   MIN($A1102,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1623597.945</v>
      </c>
    </row>
    <row r="1103">
      <c r="A1103" s="19">
        <v>43338.0</v>
      </c>
      <c r="B1103" s="23">
        <v>1.0765E7</v>
      </c>
      <c r="C1103" s="23">
        <f t="shared" si="1"/>
        <v>1625072.603</v>
      </c>
      <c r="D1103" s="18">
        <f>IF(A1103="","",MATCH(A1103,Calculation!B$2:B9627,1))</f>
        <v>1</v>
      </c>
      <c r="E1103" s="23">
        <f t="array" ref="E1103">IF(D1103="","",IF(D1103=1,0,INDEX(Calculation!Q$2:Q9627,D1103-1)))</f>
        <v>0</v>
      </c>
      <c r="F1103" s="23">
        <f t="array" ref="F1103">IF($A1103="","",
  LET(
    r, $D1103,
    startD, INDEX(Calculation!B$2:B9627, r),
    endD,   INDEX(Calculation!C$2:C9627, r),
    asOf,   MIN($A1103,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1625072.603</v>
      </c>
    </row>
    <row r="1104">
      <c r="A1104" s="19">
        <v>43339.0</v>
      </c>
      <c r="B1104" s="23">
        <v>1.0765E7</v>
      </c>
      <c r="C1104" s="23">
        <f t="shared" si="1"/>
        <v>1626547.26</v>
      </c>
      <c r="D1104" s="18">
        <f>IF(A1104="","",MATCH(A1104,Calculation!B$2:B9627,1))</f>
        <v>1</v>
      </c>
      <c r="E1104" s="23">
        <f t="array" ref="E1104">IF(D1104="","",IF(D1104=1,0,INDEX(Calculation!Q$2:Q9627,D1104-1)))</f>
        <v>0</v>
      </c>
      <c r="F1104" s="23">
        <f t="array" ref="F1104">IF($A1104="","",
  LET(
    r, $D1104,
    startD, INDEX(Calculation!B$2:B9627, r),
    endD,   INDEX(Calculation!C$2:C9627, r),
    asOf,   MIN($A1104,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1626547.26</v>
      </c>
    </row>
    <row r="1105">
      <c r="A1105" s="19">
        <v>43340.0</v>
      </c>
      <c r="B1105" s="23">
        <v>1.0765E7</v>
      </c>
      <c r="C1105" s="23">
        <f t="shared" si="1"/>
        <v>1628021.918</v>
      </c>
      <c r="D1105" s="18">
        <f>IF(A1105="","",MATCH(A1105,Calculation!B$2:B9627,1))</f>
        <v>1</v>
      </c>
      <c r="E1105" s="23">
        <f t="array" ref="E1105">IF(D1105="","",IF(D1105=1,0,INDEX(Calculation!Q$2:Q9627,D1105-1)))</f>
        <v>0</v>
      </c>
      <c r="F1105" s="23">
        <f t="array" ref="F1105">IF($A1105="","",
  LET(
    r, $D1105,
    startD, INDEX(Calculation!B$2:B9627, r),
    endD,   INDEX(Calculation!C$2:C9627, r),
    asOf,   MIN($A1105,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1628021.918</v>
      </c>
    </row>
    <row r="1106">
      <c r="A1106" s="19">
        <v>43341.0</v>
      </c>
      <c r="B1106" s="23">
        <v>1.0765E7</v>
      </c>
      <c r="C1106" s="23">
        <f t="shared" si="1"/>
        <v>1629496.575</v>
      </c>
      <c r="D1106" s="18">
        <f>IF(A1106="","",MATCH(A1106,Calculation!B$2:B9627,1))</f>
        <v>1</v>
      </c>
      <c r="E1106" s="23">
        <f t="array" ref="E1106">IF(D1106="","",IF(D1106=1,0,INDEX(Calculation!Q$2:Q9627,D1106-1)))</f>
        <v>0</v>
      </c>
      <c r="F1106" s="23">
        <f t="array" ref="F1106">IF($A1106="","",
  LET(
    r, $D1106,
    startD, INDEX(Calculation!B$2:B9627, r),
    endD,   INDEX(Calculation!C$2:C9627, r),
    asOf,   MIN($A1106,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1629496.575</v>
      </c>
    </row>
    <row r="1107">
      <c r="A1107" s="19">
        <v>43342.0</v>
      </c>
      <c r="B1107" s="23">
        <v>1.0765E7</v>
      </c>
      <c r="C1107" s="23">
        <f t="shared" si="1"/>
        <v>1630971.233</v>
      </c>
      <c r="D1107" s="18">
        <f>IF(A1107="","",MATCH(A1107,Calculation!B$2:B9627,1))</f>
        <v>1</v>
      </c>
      <c r="E1107" s="23">
        <f t="array" ref="E1107">IF(D1107="","",IF(D1107=1,0,INDEX(Calculation!Q$2:Q9627,D1107-1)))</f>
        <v>0</v>
      </c>
      <c r="F1107" s="23">
        <f t="array" ref="F1107">IF($A1107="","",
  LET(
    r, $D1107,
    startD, INDEX(Calculation!B$2:B9627, r),
    endD,   INDEX(Calculation!C$2:C9627, r),
    asOf,   MIN($A1107,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1630971.233</v>
      </c>
    </row>
    <row r="1108">
      <c r="A1108" s="19">
        <v>43343.0</v>
      </c>
      <c r="B1108" s="23">
        <v>1.0765E7</v>
      </c>
      <c r="C1108" s="23">
        <f t="shared" si="1"/>
        <v>1632445.89</v>
      </c>
      <c r="D1108" s="18">
        <f>IF(A1108="","",MATCH(A1108,Calculation!B$2:B9627,1))</f>
        <v>1</v>
      </c>
      <c r="E1108" s="23">
        <f t="array" ref="E1108">IF(D1108="","",IF(D1108=1,0,INDEX(Calculation!Q$2:Q9627,D1108-1)))</f>
        <v>0</v>
      </c>
      <c r="F1108" s="23">
        <f t="array" ref="F1108">IF($A1108="","",
  LET(
    r, $D1108,
    startD, INDEX(Calculation!B$2:B9627, r),
    endD,   INDEX(Calculation!C$2:C9627, r),
    asOf,   MIN($A1108,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1632445.89</v>
      </c>
    </row>
    <row r="1109">
      <c r="A1109" s="19">
        <v>43344.0</v>
      </c>
      <c r="B1109" s="23">
        <v>1.0765E7</v>
      </c>
      <c r="C1109" s="23">
        <f t="shared" si="1"/>
        <v>1633920.548</v>
      </c>
      <c r="D1109" s="18">
        <f>IF(A1109="","",MATCH(A1109,Calculation!B$2:B9627,1))</f>
        <v>1</v>
      </c>
      <c r="E1109" s="23">
        <f t="array" ref="E1109">IF(D1109="","",IF(D1109=1,0,INDEX(Calculation!Q$2:Q9627,D1109-1)))</f>
        <v>0</v>
      </c>
      <c r="F1109" s="23">
        <f t="array" ref="F1109">IF($A1109="","",
  LET(
    r, $D1109,
    startD, INDEX(Calculation!B$2:B9627, r),
    endD,   INDEX(Calculation!C$2:C9627, r),
    asOf,   MIN($A1109,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1633920.548</v>
      </c>
    </row>
    <row r="1110">
      <c r="A1110" s="19">
        <v>43345.0</v>
      </c>
      <c r="B1110" s="23">
        <v>1.0765E7</v>
      </c>
      <c r="C1110" s="23">
        <f t="shared" si="1"/>
        <v>1635395.205</v>
      </c>
      <c r="D1110" s="18">
        <f>IF(A1110="","",MATCH(A1110,Calculation!B$2:B9627,1))</f>
        <v>1</v>
      </c>
      <c r="E1110" s="23">
        <f t="array" ref="E1110">IF(D1110="","",IF(D1110=1,0,INDEX(Calculation!Q$2:Q9627,D1110-1)))</f>
        <v>0</v>
      </c>
      <c r="F1110" s="23">
        <f t="array" ref="F1110">IF($A1110="","",
  LET(
    r, $D1110,
    startD, INDEX(Calculation!B$2:B9627, r),
    endD,   INDEX(Calculation!C$2:C9627, r),
    asOf,   MIN($A1110,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1635395.205</v>
      </c>
    </row>
    <row r="1111">
      <c r="A1111" s="19">
        <v>43346.0</v>
      </c>
      <c r="B1111" s="23">
        <v>1.0765E7</v>
      </c>
      <c r="C1111" s="23">
        <f t="shared" si="1"/>
        <v>1636869.863</v>
      </c>
      <c r="D1111" s="18">
        <f>IF(A1111="","",MATCH(A1111,Calculation!B$2:B9627,1))</f>
        <v>1</v>
      </c>
      <c r="E1111" s="23">
        <f t="array" ref="E1111">IF(D1111="","",IF(D1111=1,0,INDEX(Calculation!Q$2:Q9627,D1111-1)))</f>
        <v>0</v>
      </c>
      <c r="F1111" s="23">
        <f t="array" ref="F1111">IF($A1111="","",
  LET(
    r, $D1111,
    startD, INDEX(Calculation!B$2:B9627, r),
    endD,   INDEX(Calculation!C$2:C9627, r),
    asOf,   MIN($A1111,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1636869.863</v>
      </c>
    </row>
    <row r="1112">
      <c r="A1112" s="19">
        <v>43347.0</v>
      </c>
      <c r="B1112" s="23">
        <v>1.0765E7</v>
      </c>
      <c r="C1112" s="23">
        <f t="shared" si="1"/>
        <v>1638344.521</v>
      </c>
      <c r="D1112" s="18">
        <f>IF(A1112="","",MATCH(A1112,Calculation!B$2:B9627,1))</f>
        <v>1</v>
      </c>
      <c r="E1112" s="23">
        <f t="array" ref="E1112">IF(D1112="","",IF(D1112=1,0,INDEX(Calculation!Q$2:Q9627,D1112-1)))</f>
        <v>0</v>
      </c>
      <c r="F1112" s="23">
        <f t="array" ref="F1112">IF($A1112="","",
  LET(
    r, $D1112,
    startD, INDEX(Calculation!B$2:B9627, r),
    endD,   INDEX(Calculation!C$2:C9627, r),
    asOf,   MIN($A1112,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1638344.521</v>
      </c>
    </row>
    <row r="1113">
      <c r="A1113" s="19">
        <v>43348.0</v>
      </c>
      <c r="B1113" s="23">
        <v>1.0765E7</v>
      </c>
      <c r="C1113" s="23">
        <f t="shared" si="1"/>
        <v>1639819.178</v>
      </c>
      <c r="D1113" s="18">
        <f>IF(A1113="","",MATCH(A1113,Calculation!B$2:B9627,1))</f>
        <v>1</v>
      </c>
      <c r="E1113" s="23">
        <f t="array" ref="E1113">IF(D1113="","",IF(D1113=1,0,INDEX(Calculation!Q$2:Q9627,D1113-1)))</f>
        <v>0</v>
      </c>
      <c r="F1113" s="23">
        <f t="array" ref="F1113">IF($A1113="","",
  LET(
    r, $D1113,
    startD, INDEX(Calculation!B$2:B9627, r),
    endD,   INDEX(Calculation!C$2:C9627, r),
    asOf,   MIN($A1113,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1639819.178</v>
      </c>
    </row>
    <row r="1114">
      <c r="A1114" s="19">
        <v>43349.0</v>
      </c>
      <c r="B1114" s="23">
        <v>1.0765E7</v>
      </c>
      <c r="C1114" s="23">
        <f t="shared" si="1"/>
        <v>1641293.836</v>
      </c>
      <c r="D1114" s="18">
        <f>IF(A1114="","",MATCH(A1114,Calculation!B$2:B9627,1))</f>
        <v>1</v>
      </c>
      <c r="E1114" s="23">
        <f t="array" ref="E1114">IF(D1114="","",IF(D1114=1,0,INDEX(Calculation!Q$2:Q9627,D1114-1)))</f>
        <v>0</v>
      </c>
      <c r="F1114" s="23">
        <f t="array" ref="F1114">IF($A1114="","",
  LET(
    r, $D1114,
    startD, INDEX(Calculation!B$2:B9627, r),
    endD,   INDEX(Calculation!C$2:C9627, r),
    asOf,   MIN($A1114,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1641293.836</v>
      </c>
    </row>
    <row r="1115">
      <c r="A1115" s="19">
        <v>43350.0</v>
      </c>
      <c r="B1115" s="23">
        <v>1.0765E7</v>
      </c>
      <c r="C1115" s="23">
        <f t="shared" si="1"/>
        <v>1642768.493</v>
      </c>
      <c r="D1115" s="18">
        <f>IF(A1115="","",MATCH(A1115,Calculation!B$2:B9627,1))</f>
        <v>1</v>
      </c>
      <c r="E1115" s="23">
        <f t="array" ref="E1115">IF(D1115="","",IF(D1115=1,0,INDEX(Calculation!Q$2:Q9627,D1115-1)))</f>
        <v>0</v>
      </c>
      <c r="F1115" s="23">
        <f t="array" ref="F1115">IF($A1115="","",
  LET(
    r, $D1115,
    startD, INDEX(Calculation!B$2:B9627, r),
    endD,   INDEX(Calculation!C$2:C9627, r),
    asOf,   MIN($A1115,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1642768.493</v>
      </c>
    </row>
    <row r="1116">
      <c r="A1116" s="19">
        <v>43351.0</v>
      </c>
      <c r="B1116" s="23">
        <v>1.0765E7</v>
      </c>
      <c r="C1116" s="23">
        <f t="shared" si="1"/>
        <v>1644243.151</v>
      </c>
      <c r="D1116" s="18">
        <f>IF(A1116="","",MATCH(A1116,Calculation!B$2:B9627,1))</f>
        <v>1</v>
      </c>
      <c r="E1116" s="23">
        <f t="array" ref="E1116">IF(D1116="","",IF(D1116=1,0,INDEX(Calculation!Q$2:Q9627,D1116-1)))</f>
        <v>0</v>
      </c>
      <c r="F1116" s="23">
        <f t="array" ref="F1116">IF($A1116="","",
  LET(
    r, $D1116,
    startD, INDEX(Calculation!B$2:B9627, r),
    endD,   INDEX(Calculation!C$2:C9627, r),
    asOf,   MIN($A1116,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1644243.151</v>
      </c>
    </row>
    <row r="1117">
      <c r="A1117" s="19">
        <v>43352.0</v>
      </c>
      <c r="B1117" s="23">
        <v>1.0765E7</v>
      </c>
      <c r="C1117" s="23">
        <f t="shared" si="1"/>
        <v>1645717.808</v>
      </c>
      <c r="D1117" s="18">
        <f>IF(A1117="","",MATCH(A1117,Calculation!B$2:B9627,1))</f>
        <v>1</v>
      </c>
      <c r="E1117" s="23">
        <f t="array" ref="E1117">IF(D1117="","",IF(D1117=1,0,INDEX(Calculation!Q$2:Q9627,D1117-1)))</f>
        <v>0</v>
      </c>
      <c r="F1117" s="23">
        <f t="array" ref="F1117">IF($A1117="","",
  LET(
    r, $D1117,
    startD, INDEX(Calculation!B$2:B9627, r),
    endD,   INDEX(Calculation!C$2:C9627, r),
    asOf,   MIN($A1117,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1645717.808</v>
      </c>
    </row>
    <row r="1118">
      <c r="A1118" s="19">
        <v>43353.0</v>
      </c>
      <c r="B1118" s="23">
        <v>1.0765E7</v>
      </c>
      <c r="C1118" s="23">
        <f t="shared" si="1"/>
        <v>1647192.466</v>
      </c>
      <c r="D1118" s="18">
        <f>IF(A1118="","",MATCH(A1118,Calculation!B$2:B9627,1))</f>
        <v>1</v>
      </c>
      <c r="E1118" s="23">
        <f t="array" ref="E1118">IF(D1118="","",IF(D1118=1,0,INDEX(Calculation!Q$2:Q9627,D1118-1)))</f>
        <v>0</v>
      </c>
      <c r="F1118" s="23">
        <f t="array" ref="F1118">IF($A1118="","",
  LET(
    r, $D1118,
    startD, INDEX(Calculation!B$2:B9627, r),
    endD,   INDEX(Calculation!C$2:C9627, r),
    asOf,   MIN($A1118,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1647192.466</v>
      </c>
    </row>
    <row r="1119">
      <c r="A1119" s="19">
        <v>43354.0</v>
      </c>
      <c r="B1119" s="23">
        <v>1.0765E7</v>
      </c>
      <c r="C1119" s="23">
        <f t="shared" si="1"/>
        <v>1648667.123</v>
      </c>
      <c r="D1119" s="18">
        <f>IF(A1119="","",MATCH(A1119,Calculation!B$2:B9627,1))</f>
        <v>1</v>
      </c>
      <c r="E1119" s="23">
        <f t="array" ref="E1119">IF(D1119="","",IF(D1119=1,0,INDEX(Calculation!Q$2:Q9627,D1119-1)))</f>
        <v>0</v>
      </c>
      <c r="F1119" s="23">
        <f t="array" ref="F1119">IF($A1119="","",
  LET(
    r, $D1119,
    startD, INDEX(Calculation!B$2:B9627, r),
    endD,   INDEX(Calculation!C$2:C9627, r),
    asOf,   MIN($A1119,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1648667.123</v>
      </c>
    </row>
    <row r="1120">
      <c r="A1120" s="19">
        <v>43355.0</v>
      </c>
      <c r="B1120" s="23">
        <v>1.0765E7</v>
      </c>
      <c r="C1120" s="23">
        <f t="shared" si="1"/>
        <v>1650141.781</v>
      </c>
      <c r="D1120" s="18">
        <f>IF(A1120="","",MATCH(A1120,Calculation!B$2:B9627,1))</f>
        <v>1</v>
      </c>
      <c r="E1120" s="23">
        <f t="array" ref="E1120">IF(D1120="","",IF(D1120=1,0,INDEX(Calculation!Q$2:Q9627,D1120-1)))</f>
        <v>0</v>
      </c>
      <c r="F1120" s="23">
        <f t="array" ref="F1120">IF($A1120="","",
  LET(
    r, $D1120,
    startD, INDEX(Calculation!B$2:B9627, r),
    endD,   INDEX(Calculation!C$2:C9627, r),
    asOf,   MIN($A1120,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1650141.781</v>
      </c>
    </row>
    <row r="1121">
      <c r="A1121" s="19">
        <v>43356.0</v>
      </c>
      <c r="B1121" s="23">
        <v>1.0765E7</v>
      </c>
      <c r="C1121" s="23">
        <f t="shared" si="1"/>
        <v>1651616.438</v>
      </c>
      <c r="D1121" s="18">
        <f>IF(A1121="","",MATCH(A1121,Calculation!B$2:B9627,1))</f>
        <v>1</v>
      </c>
      <c r="E1121" s="23">
        <f t="array" ref="E1121">IF(D1121="","",IF(D1121=1,0,INDEX(Calculation!Q$2:Q9627,D1121-1)))</f>
        <v>0</v>
      </c>
      <c r="F1121" s="23">
        <f t="array" ref="F1121">IF($A1121="","",
  LET(
    r, $D1121,
    startD, INDEX(Calculation!B$2:B9627, r),
    endD,   INDEX(Calculation!C$2:C9627, r),
    asOf,   MIN($A1121,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1651616.438</v>
      </c>
    </row>
    <row r="1122">
      <c r="A1122" s="19">
        <v>43357.0</v>
      </c>
      <c r="B1122" s="23">
        <v>1.0765E7</v>
      </c>
      <c r="C1122" s="23">
        <f t="shared" si="1"/>
        <v>1653091.096</v>
      </c>
      <c r="D1122" s="18">
        <f>IF(A1122="","",MATCH(A1122,Calculation!B$2:B9627,1))</f>
        <v>1</v>
      </c>
      <c r="E1122" s="23">
        <f t="array" ref="E1122">IF(D1122="","",IF(D1122=1,0,INDEX(Calculation!Q$2:Q9627,D1122-1)))</f>
        <v>0</v>
      </c>
      <c r="F1122" s="23">
        <f t="array" ref="F1122">IF($A1122="","",
  LET(
    r, $D1122,
    startD, INDEX(Calculation!B$2:B9627, r),
    endD,   INDEX(Calculation!C$2:C9627, r),
    asOf,   MIN($A1122,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1653091.096</v>
      </c>
    </row>
    <row r="1123">
      <c r="A1123" s="19">
        <v>43358.0</v>
      </c>
      <c r="B1123" s="23">
        <v>1.0765E7</v>
      </c>
      <c r="C1123" s="23">
        <f t="shared" si="1"/>
        <v>1654565.753</v>
      </c>
      <c r="D1123" s="18">
        <f>IF(A1123="","",MATCH(A1123,Calculation!B$2:B9627,1))</f>
        <v>1</v>
      </c>
      <c r="E1123" s="23">
        <f t="array" ref="E1123">IF(D1123="","",IF(D1123=1,0,INDEX(Calculation!Q$2:Q9627,D1123-1)))</f>
        <v>0</v>
      </c>
      <c r="F1123" s="23">
        <f t="array" ref="F1123">IF($A1123="","",
  LET(
    r, $D1123,
    startD, INDEX(Calculation!B$2:B9627, r),
    endD,   INDEX(Calculation!C$2:C9627, r),
    asOf,   MIN($A1123,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1654565.753</v>
      </c>
    </row>
    <row r="1124">
      <c r="A1124" s="19">
        <v>43359.0</v>
      </c>
      <c r="B1124" s="23">
        <v>1.0765E7</v>
      </c>
      <c r="C1124" s="23">
        <f t="shared" si="1"/>
        <v>1656040.411</v>
      </c>
      <c r="D1124" s="18">
        <f>IF(A1124="","",MATCH(A1124,Calculation!B$2:B9627,1))</f>
        <v>1</v>
      </c>
      <c r="E1124" s="23">
        <f t="array" ref="E1124">IF(D1124="","",IF(D1124=1,0,INDEX(Calculation!Q$2:Q9627,D1124-1)))</f>
        <v>0</v>
      </c>
      <c r="F1124" s="23">
        <f t="array" ref="F1124">IF($A1124="","",
  LET(
    r, $D1124,
    startD, INDEX(Calculation!B$2:B9627, r),
    endD,   INDEX(Calculation!C$2:C9627, r),
    asOf,   MIN($A1124,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1656040.411</v>
      </c>
    </row>
    <row r="1125">
      <c r="A1125" s="19">
        <v>43360.0</v>
      </c>
      <c r="B1125" s="23">
        <v>1.0765E7</v>
      </c>
      <c r="C1125" s="23">
        <f t="shared" si="1"/>
        <v>1657515.068</v>
      </c>
      <c r="D1125" s="18">
        <f>IF(A1125="","",MATCH(A1125,Calculation!B$2:B9627,1))</f>
        <v>1</v>
      </c>
      <c r="E1125" s="23">
        <f t="array" ref="E1125">IF(D1125="","",IF(D1125=1,0,INDEX(Calculation!Q$2:Q9627,D1125-1)))</f>
        <v>0</v>
      </c>
      <c r="F1125" s="23">
        <f t="array" ref="F1125">IF($A1125="","",
  LET(
    r, $D1125,
    startD, INDEX(Calculation!B$2:B9627, r),
    endD,   INDEX(Calculation!C$2:C9627, r),
    asOf,   MIN($A1125,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1657515.068</v>
      </c>
    </row>
    <row r="1126">
      <c r="A1126" s="19">
        <v>43361.0</v>
      </c>
      <c r="B1126" s="23">
        <v>1.0765E7</v>
      </c>
      <c r="C1126" s="23">
        <f t="shared" si="1"/>
        <v>1658989.726</v>
      </c>
      <c r="D1126" s="18">
        <f>IF(A1126="","",MATCH(A1126,Calculation!B$2:B9627,1))</f>
        <v>1</v>
      </c>
      <c r="E1126" s="23">
        <f t="array" ref="E1126">IF(D1126="","",IF(D1126=1,0,INDEX(Calculation!Q$2:Q9627,D1126-1)))</f>
        <v>0</v>
      </c>
      <c r="F1126" s="23">
        <f t="array" ref="F1126">IF($A1126="","",
  LET(
    r, $D1126,
    startD, INDEX(Calculation!B$2:B9627, r),
    endD,   INDEX(Calculation!C$2:C9627, r),
    asOf,   MIN($A1126,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1658989.726</v>
      </c>
    </row>
    <row r="1127">
      <c r="A1127" s="19">
        <v>43362.0</v>
      </c>
      <c r="B1127" s="23">
        <v>1.0765E7</v>
      </c>
      <c r="C1127" s="23">
        <f t="shared" si="1"/>
        <v>1660464.384</v>
      </c>
      <c r="D1127" s="18">
        <f>IF(A1127="","",MATCH(A1127,Calculation!B$2:B9627,1))</f>
        <v>1</v>
      </c>
      <c r="E1127" s="23">
        <f t="array" ref="E1127">IF(D1127="","",IF(D1127=1,0,INDEX(Calculation!Q$2:Q9627,D1127-1)))</f>
        <v>0</v>
      </c>
      <c r="F1127" s="23">
        <f t="array" ref="F1127">IF($A1127="","",
  LET(
    r, $D1127,
    startD, INDEX(Calculation!B$2:B9627, r),
    endD,   INDEX(Calculation!C$2:C9627, r),
    asOf,   MIN($A1127,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1660464.384</v>
      </c>
    </row>
    <row r="1128">
      <c r="A1128" s="19">
        <v>43363.0</v>
      </c>
      <c r="B1128" s="23">
        <v>1.0765E7</v>
      </c>
      <c r="C1128" s="23">
        <f t="shared" si="1"/>
        <v>1661939.041</v>
      </c>
      <c r="D1128" s="18">
        <f>IF(A1128="","",MATCH(A1128,Calculation!B$2:B9627,1))</f>
        <v>1</v>
      </c>
      <c r="E1128" s="23">
        <f t="array" ref="E1128">IF(D1128="","",IF(D1128=1,0,INDEX(Calculation!Q$2:Q9627,D1128-1)))</f>
        <v>0</v>
      </c>
      <c r="F1128" s="23">
        <f t="array" ref="F1128">IF($A1128="","",
  LET(
    r, $D1128,
    startD, INDEX(Calculation!B$2:B9627, r),
    endD,   INDEX(Calculation!C$2:C9627, r),
    asOf,   MIN($A1128,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1661939.041</v>
      </c>
    </row>
    <row r="1129">
      <c r="A1129" s="19">
        <v>43364.0</v>
      </c>
      <c r="B1129" s="23">
        <v>1.0765E7</v>
      </c>
      <c r="C1129" s="23">
        <f t="shared" si="1"/>
        <v>1663413.699</v>
      </c>
      <c r="D1129" s="18">
        <f>IF(A1129="","",MATCH(A1129,Calculation!B$2:B9627,1))</f>
        <v>1</v>
      </c>
      <c r="E1129" s="23">
        <f t="array" ref="E1129">IF(D1129="","",IF(D1129=1,0,INDEX(Calculation!Q$2:Q9627,D1129-1)))</f>
        <v>0</v>
      </c>
      <c r="F1129" s="23">
        <f t="array" ref="F1129">IF($A1129="","",
  LET(
    r, $D1129,
    startD, INDEX(Calculation!B$2:B9627, r),
    endD,   INDEX(Calculation!C$2:C9627, r),
    asOf,   MIN($A1129,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1663413.699</v>
      </c>
    </row>
    <row r="1130">
      <c r="A1130" s="19">
        <v>43365.0</v>
      </c>
      <c r="B1130" s="23">
        <v>1.0765E7</v>
      </c>
      <c r="C1130" s="23">
        <f t="shared" si="1"/>
        <v>1664888.356</v>
      </c>
      <c r="D1130" s="18">
        <f>IF(A1130="","",MATCH(A1130,Calculation!B$2:B9627,1))</f>
        <v>1</v>
      </c>
      <c r="E1130" s="23">
        <f t="array" ref="E1130">IF(D1130="","",IF(D1130=1,0,INDEX(Calculation!Q$2:Q9627,D1130-1)))</f>
        <v>0</v>
      </c>
      <c r="F1130" s="23">
        <f t="array" ref="F1130">IF($A1130="","",
  LET(
    r, $D1130,
    startD, INDEX(Calculation!B$2:B9627, r),
    endD,   INDEX(Calculation!C$2:C9627, r),
    asOf,   MIN($A1130,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1664888.356</v>
      </c>
    </row>
    <row r="1131">
      <c r="A1131" s="19">
        <v>43366.0</v>
      </c>
      <c r="B1131" s="23">
        <v>1.0765E7</v>
      </c>
      <c r="C1131" s="23">
        <f t="shared" si="1"/>
        <v>1666363.014</v>
      </c>
      <c r="D1131" s="18">
        <f>IF(A1131="","",MATCH(A1131,Calculation!B$2:B9627,1))</f>
        <v>1</v>
      </c>
      <c r="E1131" s="23">
        <f t="array" ref="E1131">IF(D1131="","",IF(D1131=1,0,INDEX(Calculation!Q$2:Q9627,D1131-1)))</f>
        <v>0</v>
      </c>
      <c r="F1131" s="23">
        <f t="array" ref="F1131">IF($A1131="","",
  LET(
    r, $D1131,
    startD, INDEX(Calculation!B$2:B9627, r),
    endD,   INDEX(Calculation!C$2:C9627, r),
    asOf,   MIN($A1131,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1666363.014</v>
      </c>
    </row>
    <row r="1132">
      <c r="A1132" s="19">
        <v>43367.0</v>
      </c>
      <c r="B1132" s="23">
        <v>1.0765E7</v>
      </c>
      <c r="C1132" s="23">
        <f t="shared" si="1"/>
        <v>1667837.671</v>
      </c>
      <c r="D1132" s="18">
        <f>IF(A1132="","",MATCH(A1132,Calculation!B$2:B9627,1))</f>
        <v>1</v>
      </c>
      <c r="E1132" s="23">
        <f t="array" ref="E1132">IF(D1132="","",IF(D1132=1,0,INDEX(Calculation!Q$2:Q9627,D1132-1)))</f>
        <v>0</v>
      </c>
      <c r="F1132" s="23">
        <f t="array" ref="F1132">IF($A1132="","",
  LET(
    r, $D1132,
    startD, INDEX(Calculation!B$2:B9627, r),
    endD,   INDEX(Calculation!C$2:C9627, r),
    asOf,   MIN($A1132,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1667837.671</v>
      </c>
    </row>
    <row r="1133">
      <c r="A1133" s="19">
        <v>43368.0</v>
      </c>
      <c r="B1133" s="23">
        <v>1.0765E7</v>
      </c>
      <c r="C1133" s="23">
        <f t="shared" si="1"/>
        <v>1669312.329</v>
      </c>
      <c r="D1133" s="18">
        <f>IF(A1133="","",MATCH(A1133,Calculation!B$2:B9627,1))</f>
        <v>1</v>
      </c>
      <c r="E1133" s="23">
        <f t="array" ref="E1133">IF(D1133="","",IF(D1133=1,0,INDEX(Calculation!Q$2:Q9627,D1133-1)))</f>
        <v>0</v>
      </c>
      <c r="F1133" s="23">
        <f t="array" ref="F1133">IF($A1133="","",
  LET(
    r, $D1133,
    startD, INDEX(Calculation!B$2:B9627, r),
    endD,   INDEX(Calculation!C$2:C9627, r),
    asOf,   MIN($A1133,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1669312.329</v>
      </c>
    </row>
    <row r="1134">
      <c r="A1134" s="19">
        <v>43369.0</v>
      </c>
      <c r="B1134" s="23">
        <v>1.0765E7</v>
      </c>
      <c r="C1134" s="23">
        <f t="shared" si="1"/>
        <v>1670786.986</v>
      </c>
      <c r="D1134" s="18">
        <f>IF(A1134="","",MATCH(A1134,Calculation!B$2:B9627,1))</f>
        <v>1</v>
      </c>
      <c r="E1134" s="23">
        <f t="array" ref="E1134">IF(D1134="","",IF(D1134=1,0,INDEX(Calculation!Q$2:Q9627,D1134-1)))</f>
        <v>0</v>
      </c>
      <c r="F1134" s="23">
        <f t="array" ref="F1134">IF($A1134="","",
  LET(
    r, $D1134,
    startD, INDEX(Calculation!B$2:B9627, r),
    endD,   INDEX(Calculation!C$2:C9627, r),
    asOf,   MIN($A1134,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1670786.986</v>
      </c>
    </row>
    <row r="1135">
      <c r="A1135" s="19">
        <v>43370.0</v>
      </c>
      <c r="B1135" s="23">
        <v>1.0765E7</v>
      </c>
      <c r="C1135" s="23">
        <f t="shared" si="1"/>
        <v>1672261.644</v>
      </c>
      <c r="D1135" s="18">
        <f>IF(A1135="","",MATCH(A1135,Calculation!B$2:B9627,1))</f>
        <v>1</v>
      </c>
      <c r="E1135" s="23">
        <f t="array" ref="E1135">IF(D1135="","",IF(D1135=1,0,INDEX(Calculation!Q$2:Q9627,D1135-1)))</f>
        <v>0</v>
      </c>
      <c r="F1135" s="23">
        <f t="array" ref="F1135">IF($A1135="","",
  LET(
    r, $D1135,
    startD, INDEX(Calculation!B$2:B9627, r),
    endD,   INDEX(Calculation!C$2:C9627, r),
    asOf,   MIN($A1135,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1672261.644</v>
      </c>
    </row>
    <row r="1136">
      <c r="A1136" s="19">
        <v>43371.0</v>
      </c>
      <c r="B1136" s="23">
        <v>1.0765E7</v>
      </c>
      <c r="C1136" s="23">
        <f t="shared" si="1"/>
        <v>1673736.301</v>
      </c>
      <c r="D1136" s="18">
        <f>IF(A1136="","",MATCH(A1136,Calculation!B$2:B9627,1))</f>
        <v>1</v>
      </c>
      <c r="E1136" s="23">
        <f t="array" ref="E1136">IF(D1136="","",IF(D1136=1,0,INDEX(Calculation!Q$2:Q9627,D1136-1)))</f>
        <v>0</v>
      </c>
      <c r="F1136" s="23">
        <f t="array" ref="F1136">IF($A1136="","",
  LET(
    r, $D1136,
    startD, INDEX(Calculation!B$2:B9627, r),
    endD,   INDEX(Calculation!C$2:C9627, r),
    asOf,   MIN($A1136,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1673736.301</v>
      </c>
    </row>
    <row r="1137">
      <c r="A1137" s="19">
        <v>43372.0</v>
      </c>
      <c r="B1137" s="23">
        <v>1.0765E7</v>
      </c>
      <c r="C1137" s="23">
        <f t="shared" si="1"/>
        <v>1675210.959</v>
      </c>
      <c r="D1137" s="18">
        <f>IF(A1137="","",MATCH(A1137,Calculation!B$2:B9627,1))</f>
        <v>1</v>
      </c>
      <c r="E1137" s="23">
        <f t="array" ref="E1137">IF(D1137="","",IF(D1137=1,0,INDEX(Calculation!Q$2:Q9627,D1137-1)))</f>
        <v>0</v>
      </c>
      <c r="F1137" s="23">
        <f t="array" ref="F1137">IF($A1137="","",
  LET(
    r, $D1137,
    startD, INDEX(Calculation!B$2:B9627, r),
    endD,   INDEX(Calculation!C$2:C9627, r),
    asOf,   MIN($A1137,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1675210.959</v>
      </c>
    </row>
    <row r="1138">
      <c r="A1138" s="19">
        <v>43373.0</v>
      </c>
      <c r="B1138" s="23">
        <v>1.0765E7</v>
      </c>
      <c r="C1138" s="23">
        <f t="shared" si="1"/>
        <v>1676685.616</v>
      </c>
      <c r="D1138" s="18">
        <f>IF(A1138="","",MATCH(A1138,Calculation!B$2:B9627,1))</f>
        <v>1</v>
      </c>
      <c r="E1138" s="23">
        <f t="array" ref="E1138">IF(D1138="","",IF(D1138=1,0,INDEX(Calculation!Q$2:Q9627,D1138-1)))</f>
        <v>0</v>
      </c>
      <c r="F1138" s="23">
        <f t="array" ref="F1138">IF($A1138="","",
  LET(
    r, $D1138,
    startD, INDEX(Calculation!B$2:B9627, r),
    endD,   INDEX(Calculation!C$2:C9627, r),
    asOf,   MIN($A1138,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1676685.616</v>
      </c>
    </row>
    <row r="1139">
      <c r="A1139" s="19">
        <v>43374.0</v>
      </c>
      <c r="B1139" s="23">
        <v>1.0765E7</v>
      </c>
      <c r="C1139" s="23">
        <f t="shared" si="1"/>
        <v>1678160.274</v>
      </c>
      <c r="D1139" s="18">
        <f>IF(A1139="","",MATCH(A1139,Calculation!B$2:B9627,1))</f>
        <v>1</v>
      </c>
      <c r="E1139" s="23">
        <f t="array" ref="E1139">IF(D1139="","",IF(D1139=1,0,INDEX(Calculation!Q$2:Q9627,D1139-1)))</f>
        <v>0</v>
      </c>
      <c r="F1139" s="23">
        <f t="array" ref="F1139">IF($A1139="","",
  LET(
    r, $D1139,
    startD, INDEX(Calculation!B$2:B9627, r),
    endD,   INDEX(Calculation!C$2:C9627, r),
    asOf,   MIN($A1139,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1678160.274</v>
      </c>
    </row>
    <row r="1140">
      <c r="A1140" s="19">
        <v>43375.0</v>
      </c>
      <c r="B1140" s="23">
        <v>1.0765E7</v>
      </c>
      <c r="C1140" s="23">
        <f t="shared" si="1"/>
        <v>1679634.932</v>
      </c>
      <c r="D1140" s="18">
        <f>IF(A1140="","",MATCH(A1140,Calculation!B$2:B9627,1))</f>
        <v>1</v>
      </c>
      <c r="E1140" s="23">
        <f t="array" ref="E1140">IF(D1140="","",IF(D1140=1,0,INDEX(Calculation!Q$2:Q9627,D1140-1)))</f>
        <v>0</v>
      </c>
      <c r="F1140" s="23">
        <f t="array" ref="F1140">IF($A1140="","",
  LET(
    r, $D1140,
    startD, INDEX(Calculation!B$2:B9627, r),
    endD,   INDEX(Calculation!C$2:C9627, r),
    asOf,   MIN($A1140,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1679634.932</v>
      </c>
    </row>
    <row r="1141">
      <c r="A1141" s="19">
        <v>43376.0</v>
      </c>
      <c r="B1141" s="23">
        <v>1.0765E7</v>
      </c>
      <c r="C1141" s="23">
        <f t="shared" si="1"/>
        <v>1681109.589</v>
      </c>
      <c r="D1141" s="18">
        <f>IF(A1141="","",MATCH(A1141,Calculation!B$2:B9627,1))</f>
        <v>1</v>
      </c>
      <c r="E1141" s="23">
        <f t="array" ref="E1141">IF(D1141="","",IF(D1141=1,0,INDEX(Calculation!Q$2:Q9627,D1141-1)))</f>
        <v>0</v>
      </c>
      <c r="F1141" s="23">
        <f t="array" ref="F1141">IF($A1141="","",
  LET(
    r, $D1141,
    startD, INDEX(Calculation!B$2:B9627, r),
    endD,   INDEX(Calculation!C$2:C9627, r),
    asOf,   MIN($A1141,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1681109.589</v>
      </c>
    </row>
    <row r="1142">
      <c r="A1142" s="19">
        <v>43377.0</v>
      </c>
      <c r="B1142" s="23">
        <v>1.0765E7</v>
      </c>
      <c r="C1142" s="23">
        <f t="shared" si="1"/>
        <v>1682584.247</v>
      </c>
      <c r="D1142" s="18">
        <f>IF(A1142="","",MATCH(A1142,Calculation!B$2:B9627,1))</f>
        <v>1</v>
      </c>
      <c r="E1142" s="23">
        <f t="array" ref="E1142">IF(D1142="","",IF(D1142=1,0,INDEX(Calculation!Q$2:Q9627,D1142-1)))</f>
        <v>0</v>
      </c>
      <c r="F1142" s="23">
        <f t="array" ref="F1142">IF($A1142="","",
  LET(
    r, $D1142,
    startD, INDEX(Calculation!B$2:B9627, r),
    endD,   INDEX(Calculation!C$2:C9627, r),
    asOf,   MIN($A1142,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1682584.247</v>
      </c>
    </row>
    <row r="1143">
      <c r="A1143" s="19">
        <v>43378.0</v>
      </c>
      <c r="B1143" s="23">
        <v>1.0765E7</v>
      </c>
      <c r="C1143" s="23">
        <f t="shared" si="1"/>
        <v>1684058.904</v>
      </c>
      <c r="D1143" s="18">
        <f>IF(A1143="","",MATCH(A1143,Calculation!B$2:B9627,1))</f>
        <v>1</v>
      </c>
      <c r="E1143" s="23">
        <f t="array" ref="E1143">IF(D1143="","",IF(D1143=1,0,INDEX(Calculation!Q$2:Q9627,D1143-1)))</f>
        <v>0</v>
      </c>
      <c r="F1143" s="23">
        <f t="array" ref="F1143">IF($A1143="","",
  LET(
    r, $D1143,
    startD, INDEX(Calculation!B$2:B9627, r),
    endD,   INDEX(Calculation!C$2:C9627, r),
    asOf,   MIN($A1143,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1684058.904</v>
      </c>
    </row>
    <row r="1144">
      <c r="A1144" s="19">
        <v>43379.0</v>
      </c>
      <c r="B1144" s="23">
        <v>1.0765E7</v>
      </c>
      <c r="C1144" s="23">
        <f t="shared" si="1"/>
        <v>1685533.562</v>
      </c>
      <c r="D1144" s="18">
        <f>IF(A1144="","",MATCH(A1144,Calculation!B$2:B9627,1))</f>
        <v>1</v>
      </c>
      <c r="E1144" s="23">
        <f t="array" ref="E1144">IF(D1144="","",IF(D1144=1,0,INDEX(Calculation!Q$2:Q9627,D1144-1)))</f>
        <v>0</v>
      </c>
      <c r="F1144" s="23">
        <f t="array" ref="F1144">IF($A1144="","",
  LET(
    r, $D1144,
    startD, INDEX(Calculation!B$2:B9627, r),
    endD,   INDEX(Calculation!C$2:C9627, r),
    asOf,   MIN($A1144,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1685533.562</v>
      </c>
    </row>
    <row r="1145">
      <c r="A1145" s="19">
        <v>43380.0</v>
      </c>
      <c r="B1145" s="23">
        <v>1.0765E7</v>
      </c>
      <c r="C1145" s="23">
        <f t="shared" si="1"/>
        <v>1687008.219</v>
      </c>
      <c r="D1145" s="18">
        <f>IF(A1145="","",MATCH(A1145,Calculation!B$2:B9627,1))</f>
        <v>1</v>
      </c>
      <c r="E1145" s="23">
        <f t="array" ref="E1145">IF(D1145="","",IF(D1145=1,0,INDEX(Calculation!Q$2:Q9627,D1145-1)))</f>
        <v>0</v>
      </c>
      <c r="F1145" s="23">
        <f t="array" ref="F1145">IF($A1145="","",
  LET(
    r, $D1145,
    startD, INDEX(Calculation!B$2:B9627, r),
    endD,   INDEX(Calculation!C$2:C9627, r),
    asOf,   MIN($A1145,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1687008.219</v>
      </c>
    </row>
    <row r="1146">
      <c r="A1146" s="19">
        <v>43381.0</v>
      </c>
      <c r="B1146" s="23">
        <v>1.0765E7</v>
      </c>
      <c r="C1146" s="23">
        <f t="shared" si="1"/>
        <v>1688482.877</v>
      </c>
      <c r="D1146" s="18">
        <f>IF(A1146="","",MATCH(A1146,Calculation!B$2:B9627,1))</f>
        <v>1</v>
      </c>
      <c r="E1146" s="23">
        <f t="array" ref="E1146">IF(D1146="","",IF(D1146=1,0,INDEX(Calculation!Q$2:Q9627,D1146-1)))</f>
        <v>0</v>
      </c>
      <c r="F1146" s="23">
        <f t="array" ref="F1146">IF($A1146="","",
  LET(
    r, $D1146,
    startD, INDEX(Calculation!B$2:B9627, r),
    endD,   INDEX(Calculation!C$2:C9627, r),
    asOf,   MIN($A1146,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1688482.877</v>
      </c>
    </row>
    <row r="1147">
      <c r="A1147" s="19">
        <v>43382.0</v>
      </c>
      <c r="B1147" s="23">
        <v>1.0765E7</v>
      </c>
      <c r="C1147" s="23">
        <f t="shared" si="1"/>
        <v>1689957.534</v>
      </c>
      <c r="D1147" s="18">
        <f>IF(A1147="","",MATCH(A1147,Calculation!B$2:B9627,1))</f>
        <v>1</v>
      </c>
      <c r="E1147" s="23">
        <f t="array" ref="E1147">IF(D1147="","",IF(D1147=1,0,INDEX(Calculation!Q$2:Q9627,D1147-1)))</f>
        <v>0</v>
      </c>
      <c r="F1147" s="23">
        <f t="array" ref="F1147">IF($A1147="","",
  LET(
    r, $D1147,
    startD, INDEX(Calculation!B$2:B9627, r),
    endD,   INDEX(Calculation!C$2:C9627, r),
    asOf,   MIN($A1147,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1689957.534</v>
      </c>
    </row>
    <row r="1148">
      <c r="A1148" s="19">
        <v>43383.0</v>
      </c>
      <c r="B1148" s="23">
        <v>1.0765E7</v>
      </c>
      <c r="C1148" s="23">
        <f t="shared" si="1"/>
        <v>1691432.192</v>
      </c>
      <c r="D1148" s="18">
        <f>IF(A1148="","",MATCH(A1148,Calculation!B$2:B9627,1))</f>
        <v>1</v>
      </c>
      <c r="E1148" s="23">
        <f t="array" ref="E1148">IF(D1148="","",IF(D1148=1,0,INDEX(Calculation!Q$2:Q9627,D1148-1)))</f>
        <v>0</v>
      </c>
      <c r="F1148" s="23">
        <f t="array" ref="F1148">IF($A1148="","",
  LET(
    r, $D1148,
    startD, INDEX(Calculation!B$2:B9627, r),
    endD,   INDEX(Calculation!C$2:C9627, r),
    asOf,   MIN($A1148,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1691432.192</v>
      </c>
    </row>
    <row r="1149">
      <c r="A1149" s="19">
        <v>43384.0</v>
      </c>
      <c r="B1149" s="23">
        <v>1.0765E7</v>
      </c>
      <c r="C1149" s="23">
        <f t="shared" si="1"/>
        <v>1692906.849</v>
      </c>
      <c r="D1149" s="18">
        <f>IF(A1149="","",MATCH(A1149,Calculation!B$2:B9627,1))</f>
        <v>1</v>
      </c>
      <c r="E1149" s="23">
        <f t="array" ref="E1149">IF(D1149="","",IF(D1149=1,0,INDEX(Calculation!Q$2:Q9627,D1149-1)))</f>
        <v>0</v>
      </c>
      <c r="F1149" s="23">
        <f t="array" ref="F1149">IF($A1149="","",
  LET(
    r, $D1149,
    startD, INDEX(Calculation!B$2:B9627, r),
    endD,   INDEX(Calculation!C$2:C9627, r),
    asOf,   MIN($A1149,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1692906.849</v>
      </c>
    </row>
    <row r="1150">
      <c r="A1150" s="19">
        <v>43385.0</v>
      </c>
      <c r="B1150" s="23">
        <v>1.0765E7</v>
      </c>
      <c r="C1150" s="23">
        <f t="shared" si="1"/>
        <v>1694381.507</v>
      </c>
      <c r="D1150" s="18">
        <f>IF(A1150="","",MATCH(A1150,Calculation!B$2:B9627,1))</f>
        <v>1</v>
      </c>
      <c r="E1150" s="23">
        <f t="array" ref="E1150">IF(D1150="","",IF(D1150=1,0,INDEX(Calculation!Q$2:Q9627,D1150-1)))</f>
        <v>0</v>
      </c>
      <c r="F1150" s="23">
        <f t="array" ref="F1150">IF($A1150="","",
  LET(
    r, $D1150,
    startD, INDEX(Calculation!B$2:B9627, r),
    endD,   INDEX(Calculation!C$2:C9627, r),
    asOf,   MIN($A1150,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1694381.507</v>
      </c>
    </row>
    <row r="1151">
      <c r="A1151" s="19">
        <v>43386.0</v>
      </c>
      <c r="B1151" s="23">
        <v>1.0765E7</v>
      </c>
      <c r="C1151" s="23">
        <f t="shared" si="1"/>
        <v>1695856.164</v>
      </c>
      <c r="D1151" s="18">
        <f>IF(A1151="","",MATCH(A1151,Calculation!B$2:B9627,1))</f>
        <v>1</v>
      </c>
      <c r="E1151" s="23">
        <f t="array" ref="E1151">IF(D1151="","",IF(D1151=1,0,INDEX(Calculation!Q$2:Q9627,D1151-1)))</f>
        <v>0</v>
      </c>
      <c r="F1151" s="23">
        <f t="array" ref="F1151">IF($A1151="","",
  LET(
    r, $D1151,
    startD, INDEX(Calculation!B$2:B9627, r),
    endD,   INDEX(Calculation!C$2:C9627, r),
    asOf,   MIN($A1151,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1695856.164</v>
      </c>
    </row>
    <row r="1152">
      <c r="A1152" s="19">
        <v>43387.0</v>
      </c>
      <c r="B1152" s="23">
        <v>1.0765E7</v>
      </c>
      <c r="C1152" s="23">
        <f t="shared" si="1"/>
        <v>1697330.822</v>
      </c>
      <c r="D1152" s="18">
        <f>IF(A1152="","",MATCH(A1152,Calculation!B$2:B9627,1))</f>
        <v>1</v>
      </c>
      <c r="E1152" s="23">
        <f t="array" ref="E1152">IF(D1152="","",IF(D1152=1,0,INDEX(Calculation!Q$2:Q9627,D1152-1)))</f>
        <v>0</v>
      </c>
      <c r="F1152" s="23">
        <f t="array" ref="F1152">IF($A1152="","",
  LET(
    r, $D1152,
    startD, INDEX(Calculation!B$2:B9627, r),
    endD,   INDEX(Calculation!C$2:C9627, r),
    asOf,   MIN($A1152,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1697330.822</v>
      </c>
    </row>
    <row r="1153">
      <c r="A1153" s="19">
        <v>43388.0</v>
      </c>
      <c r="B1153" s="23">
        <v>1.0765E7</v>
      </c>
      <c r="C1153" s="23">
        <f t="shared" si="1"/>
        <v>1698805.479</v>
      </c>
      <c r="D1153" s="18">
        <f>IF(A1153="","",MATCH(A1153,Calculation!B$2:B9627,1))</f>
        <v>1</v>
      </c>
      <c r="E1153" s="23">
        <f t="array" ref="E1153">IF(D1153="","",IF(D1153=1,0,INDEX(Calculation!Q$2:Q9627,D1153-1)))</f>
        <v>0</v>
      </c>
      <c r="F1153" s="23">
        <f t="array" ref="F1153">IF($A1153="","",
  LET(
    r, $D1153,
    startD, INDEX(Calculation!B$2:B9627, r),
    endD,   INDEX(Calculation!C$2:C9627, r),
    asOf,   MIN($A1153,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1698805.479</v>
      </c>
    </row>
    <row r="1154">
      <c r="A1154" s="19">
        <v>43389.0</v>
      </c>
      <c r="B1154" s="23">
        <v>1.0765E7</v>
      </c>
      <c r="C1154" s="23">
        <f t="shared" si="1"/>
        <v>1700280.137</v>
      </c>
      <c r="D1154" s="18">
        <f>IF(A1154="","",MATCH(A1154,Calculation!B$2:B9627,1))</f>
        <v>1</v>
      </c>
      <c r="E1154" s="23">
        <f t="array" ref="E1154">IF(D1154="","",IF(D1154=1,0,INDEX(Calculation!Q$2:Q9627,D1154-1)))</f>
        <v>0</v>
      </c>
      <c r="F1154" s="23">
        <f t="array" ref="F1154">IF($A1154="","",
  LET(
    r, $D1154,
    startD, INDEX(Calculation!B$2:B9627, r),
    endD,   INDEX(Calculation!C$2:C9627, r),
    asOf,   MIN($A1154,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1700280.137</v>
      </c>
    </row>
    <row r="1155">
      <c r="A1155" s="19">
        <v>43390.0</v>
      </c>
      <c r="B1155" s="23">
        <v>1.0765E7</v>
      </c>
      <c r="C1155" s="23">
        <f t="shared" si="1"/>
        <v>1701754.795</v>
      </c>
      <c r="D1155" s="18">
        <f>IF(A1155="","",MATCH(A1155,Calculation!B$2:B9627,1))</f>
        <v>1</v>
      </c>
      <c r="E1155" s="23">
        <f t="array" ref="E1155">IF(D1155="","",IF(D1155=1,0,INDEX(Calculation!Q$2:Q9627,D1155-1)))</f>
        <v>0</v>
      </c>
      <c r="F1155" s="23">
        <f t="array" ref="F1155">IF($A1155="","",
  LET(
    r, $D1155,
    startD, INDEX(Calculation!B$2:B9627, r),
    endD,   INDEX(Calculation!C$2:C9627, r),
    asOf,   MIN($A1155,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1701754.795</v>
      </c>
    </row>
    <row r="1156">
      <c r="A1156" s="19">
        <v>43391.0</v>
      </c>
      <c r="B1156" s="23">
        <v>1.0765E7</v>
      </c>
      <c r="C1156" s="23">
        <f t="shared" si="1"/>
        <v>1703229.452</v>
      </c>
      <c r="D1156" s="18">
        <f>IF(A1156="","",MATCH(A1156,Calculation!B$2:B9627,1))</f>
        <v>1</v>
      </c>
      <c r="E1156" s="23">
        <f t="array" ref="E1156">IF(D1156="","",IF(D1156=1,0,INDEX(Calculation!Q$2:Q9627,D1156-1)))</f>
        <v>0</v>
      </c>
      <c r="F1156" s="23">
        <f t="array" ref="F1156">IF($A1156="","",
  LET(
    r, $D1156,
    startD, INDEX(Calculation!B$2:B9627, r),
    endD,   INDEX(Calculation!C$2:C9627, r),
    asOf,   MIN($A1156,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1703229.452</v>
      </c>
    </row>
    <row r="1157">
      <c r="A1157" s="19">
        <v>43392.0</v>
      </c>
      <c r="B1157" s="23">
        <v>1.0765E7</v>
      </c>
      <c r="C1157" s="23">
        <f t="shared" si="1"/>
        <v>1704704.11</v>
      </c>
      <c r="D1157" s="18">
        <f>IF(A1157="","",MATCH(A1157,Calculation!B$2:B9627,1))</f>
        <v>1</v>
      </c>
      <c r="E1157" s="23">
        <f t="array" ref="E1157">IF(D1157="","",IF(D1157=1,0,INDEX(Calculation!Q$2:Q9627,D1157-1)))</f>
        <v>0</v>
      </c>
      <c r="F1157" s="23">
        <f t="array" ref="F1157">IF($A1157="","",
  LET(
    r, $D1157,
    startD, INDEX(Calculation!B$2:B9627, r),
    endD,   INDEX(Calculation!C$2:C9627, r),
    asOf,   MIN($A1157,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1704704.11</v>
      </c>
    </row>
    <row r="1158">
      <c r="A1158" s="19">
        <v>43393.0</v>
      </c>
      <c r="B1158" s="23">
        <v>1.0765E7</v>
      </c>
      <c r="C1158" s="23">
        <f t="shared" si="1"/>
        <v>1706178.767</v>
      </c>
      <c r="D1158" s="18">
        <f>IF(A1158="","",MATCH(A1158,Calculation!B$2:B9627,1))</f>
        <v>1</v>
      </c>
      <c r="E1158" s="23">
        <f t="array" ref="E1158">IF(D1158="","",IF(D1158=1,0,INDEX(Calculation!Q$2:Q9627,D1158-1)))</f>
        <v>0</v>
      </c>
      <c r="F1158" s="23">
        <f t="array" ref="F1158">IF($A1158="","",
  LET(
    r, $D1158,
    startD, INDEX(Calculation!B$2:B9627, r),
    endD,   INDEX(Calculation!C$2:C9627, r),
    asOf,   MIN($A1158,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1706178.767</v>
      </c>
    </row>
    <row r="1159">
      <c r="A1159" s="19">
        <v>43394.0</v>
      </c>
      <c r="B1159" s="23">
        <v>1.0765E7</v>
      </c>
      <c r="C1159" s="23">
        <f t="shared" si="1"/>
        <v>1707653.425</v>
      </c>
      <c r="D1159" s="18">
        <f>IF(A1159="","",MATCH(A1159,Calculation!B$2:B9627,1))</f>
        <v>1</v>
      </c>
      <c r="E1159" s="23">
        <f t="array" ref="E1159">IF(D1159="","",IF(D1159=1,0,INDEX(Calculation!Q$2:Q9627,D1159-1)))</f>
        <v>0</v>
      </c>
      <c r="F1159" s="23">
        <f t="array" ref="F1159">IF($A1159="","",
  LET(
    r, $D1159,
    startD, INDEX(Calculation!B$2:B9627, r),
    endD,   INDEX(Calculation!C$2:C9627, r),
    asOf,   MIN($A1159,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1707653.425</v>
      </c>
    </row>
    <row r="1160">
      <c r="A1160" s="19">
        <v>43395.0</v>
      </c>
      <c r="B1160" s="23">
        <v>1.0765E7</v>
      </c>
      <c r="C1160" s="23">
        <f t="shared" si="1"/>
        <v>1709128.082</v>
      </c>
      <c r="D1160" s="18">
        <f>IF(A1160="","",MATCH(A1160,Calculation!B$2:B9627,1))</f>
        <v>1</v>
      </c>
      <c r="E1160" s="23">
        <f t="array" ref="E1160">IF(D1160="","",IF(D1160=1,0,INDEX(Calculation!Q$2:Q9627,D1160-1)))</f>
        <v>0</v>
      </c>
      <c r="F1160" s="23">
        <f t="array" ref="F1160">IF($A1160="","",
  LET(
    r, $D1160,
    startD, INDEX(Calculation!B$2:B9627, r),
    endD,   INDEX(Calculation!C$2:C9627, r),
    asOf,   MIN($A1160,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1709128.082</v>
      </c>
    </row>
    <row r="1161">
      <c r="A1161" s="19">
        <v>43396.0</v>
      </c>
      <c r="B1161" s="23">
        <v>1.0765E7</v>
      </c>
      <c r="C1161" s="23">
        <f t="shared" si="1"/>
        <v>1710602.74</v>
      </c>
      <c r="D1161" s="18">
        <f>IF(A1161="","",MATCH(A1161,Calculation!B$2:B9627,1))</f>
        <v>1</v>
      </c>
      <c r="E1161" s="23">
        <f t="array" ref="E1161">IF(D1161="","",IF(D1161=1,0,INDEX(Calculation!Q$2:Q9627,D1161-1)))</f>
        <v>0</v>
      </c>
      <c r="F1161" s="23">
        <f t="array" ref="F1161">IF($A1161="","",
  LET(
    r, $D1161,
    startD, INDEX(Calculation!B$2:B9627, r),
    endD,   INDEX(Calculation!C$2:C9627, r),
    asOf,   MIN($A1161,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1710602.74</v>
      </c>
    </row>
    <row r="1162">
      <c r="A1162" s="19">
        <v>43397.0</v>
      </c>
      <c r="B1162" s="23">
        <v>1.0765E7</v>
      </c>
      <c r="C1162" s="23">
        <f t="shared" si="1"/>
        <v>1712077.397</v>
      </c>
      <c r="D1162" s="18">
        <f>IF(A1162="","",MATCH(A1162,Calculation!B$2:B9627,1))</f>
        <v>1</v>
      </c>
      <c r="E1162" s="23">
        <f t="array" ref="E1162">IF(D1162="","",IF(D1162=1,0,INDEX(Calculation!Q$2:Q9627,D1162-1)))</f>
        <v>0</v>
      </c>
      <c r="F1162" s="23">
        <f t="array" ref="F1162">IF($A1162="","",
  LET(
    r, $D1162,
    startD, INDEX(Calculation!B$2:B9627, r),
    endD,   INDEX(Calculation!C$2:C9627, r),
    asOf,   MIN($A1162,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1712077.397</v>
      </c>
    </row>
    <row r="1163">
      <c r="A1163" s="19">
        <v>43398.0</v>
      </c>
      <c r="B1163" s="23">
        <v>1.0765E7</v>
      </c>
      <c r="C1163" s="23">
        <f t="shared" si="1"/>
        <v>1713552.055</v>
      </c>
      <c r="D1163" s="18">
        <f>IF(A1163="","",MATCH(A1163,Calculation!B$2:B9627,1))</f>
        <v>1</v>
      </c>
      <c r="E1163" s="23">
        <f t="array" ref="E1163">IF(D1163="","",IF(D1163=1,0,INDEX(Calculation!Q$2:Q9627,D1163-1)))</f>
        <v>0</v>
      </c>
      <c r="F1163" s="23">
        <f t="array" ref="F1163">IF($A1163="","",
  LET(
    r, $D1163,
    startD, INDEX(Calculation!B$2:B9627, r),
    endD,   INDEX(Calculation!C$2:C9627, r),
    asOf,   MIN($A1163,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1713552.055</v>
      </c>
    </row>
    <row r="1164">
      <c r="A1164" s="19">
        <v>43399.0</v>
      </c>
      <c r="B1164" s="23">
        <v>1.0765E7</v>
      </c>
      <c r="C1164" s="23">
        <f t="shared" si="1"/>
        <v>1715026.712</v>
      </c>
      <c r="D1164" s="18">
        <f>IF(A1164="","",MATCH(A1164,Calculation!B$2:B9627,1))</f>
        <v>1</v>
      </c>
      <c r="E1164" s="23">
        <f t="array" ref="E1164">IF(D1164="","",IF(D1164=1,0,INDEX(Calculation!Q$2:Q9627,D1164-1)))</f>
        <v>0</v>
      </c>
      <c r="F1164" s="23">
        <f t="array" ref="F1164">IF($A1164="","",
  LET(
    r, $D1164,
    startD, INDEX(Calculation!B$2:B9627, r),
    endD,   INDEX(Calculation!C$2:C9627, r),
    asOf,   MIN($A1164,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1715026.712</v>
      </c>
    </row>
    <row r="1165">
      <c r="A1165" s="19">
        <v>43400.0</v>
      </c>
      <c r="B1165" s="23">
        <v>1.0765E7</v>
      </c>
      <c r="C1165" s="23">
        <f t="shared" si="1"/>
        <v>1716501.37</v>
      </c>
      <c r="D1165" s="18">
        <f>IF(A1165="","",MATCH(A1165,Calculation!B$2:B9627,1))</f>
        <v>1</v>
      </c>
      <c r="E1165" s="23">
        <f t="array" ref="E1165">IF(D1165="","",IF(D1165=1,0,INDEX(Calculation!Q$2:Q9627,D1165-1)))</f>
        <v>0</v>
      </c>
      <c r="F1165" s="23">
        <f t="array" ref="F1165">IF($A1165="","",
  LET(
    r, $D1165,
    startD, INDEX(Calculation!B$2:B9627, r),
    endD,   INDEX(Calculation!C$2:C9627, r),
    asOf,   MIN($A1165,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1716501.37</v>
      </c>
    </row>
    <row r="1166">
      <c r="A1166" s="19">
        <v>43401.0</v>
      </c>
      <c r="B1166" s="23">
        <v>1.0765E7</v>
      </c>
      <c r="C1166" s="23">
        <f t="shared" si="1"/>
        <v>1717976.027</v>
      </c>
      <c r="D1166" s="18">
        <f>IF(A1166="","",MATCH(A1166,Calculation!B$2:B9627,1))</f>
        <v>1</v>
      </c>
      <c r="E1166" s="23">
        <f t="array" ref="E1166">IF(D1166="","",IF(D1166=1,0,INDEX(Calculation!Q$2:Q9627,D1166-1)))</f>
        <v>0</v>
      </c>
      <c r="F1166" s="23">
        <f t="array" ref="F1166">IF($A1166="","",
  LET(
    r, $D1166,
    startD, INDEX(Calculation!B$2:B9627, r),
    endD,   INDEX(Calculation!C$2:C9627, r),
    asOf,   MIN($A1166,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1717976.027</v>
      </c>
    </row>
    <row r="1167">
      <c r="A1167" s="19">
        <v>43402.0</v>
      </c>
      <c r="B1167" s="23">
        <v>1.0765E7</v>
      </c>
      <c r="C1167" s="23">
        <f t="shared" si="1"/>
        <v>1719450.685</v>
      </c>
      <c r="D1167" s="18">
        <f>IF(A1167="","",MATCH(A1167,Calculation!B$2:B9627,1))</f>
        <v>1</v>
      </c>
      <c r="E1167" s="23">
        <f t="array" ref="E1167">IF(D1167="","",IF(D1167=1,0,INDEX(Calculation!Q$2:Q9627,D1167-1)))</f>
        <v>0</v>
      </c>
      <c r="F1167" s="23">
        <f t="array" ref="F1167">IF($A1167="","",
  LET(
    r, $D1167,
    startD, INDEX(Calculation!B$2:B9627, r),
    endD,   INDEX(Calculation!C$2:C9627, r),
    asOf,   MIN($A1167,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1719450.685</v>
      </c>
    </row>
    <row r="1168">
      <c r="A1168" s="19">
        <v>43403.0</v>
      </c>
      <c r="B1168" s="23">
        <v>1.0765E7</v>
      </c>
      <c r="C1168" s="23">
        <f t="shared" si="1"/>
        <v>1720925.342</v>
      </c>
      <c r="D1168" s="18">
        <f>IF(A1168="","",MATCH(A1168,Calculation!B$2:B9627,1))</f>
        <v>1</v>
      </c>
      <c r="E1168" s="23">
        <f t="array" ref="E1168">IF(D1168="","",IF(D1168=1,0,INDEX(Calculation!Q$2:Q9627,D1168-1)))</f>
        <v>0</v>
      </c>
      <c r="F1168" s="23">
        <f t="array" ref="F1168">IF($A1168="","",
  LET(
    r, $D1168,
    startD, INDEX(Calculation!B$2:B9627, r),
    endD,   INDEX(Calculation!C$2:C9627, r),
    asOf,   MIN($A1168,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1720925.342</v>
      </c>
    </row>
    <row r="1169">
      <c r="A1169" s="19">
        <v>43404.0</v>
      </c>
      <c r="B1169" s="23">
        <v>1.0765E7</v>
      </c>
      <c r="C1169" s="23">
        <f t="shared" si="1"/>
        <v>1722400</v>
      </c>
      <c r="D1169" s="18">
        <f>IF(A1169="","",MATCH(A1169,Calculation!B$2:B9627,1))</f>
        <v>1</v>
      </c>
      <c r="E1169" s="23">
        <f t="array" ref="E1169">IF(D1169="","",IF(D1169=1,0,INDEX(Calculation!Q$2:Q9627,D1169-1)))</f>
        <v>0</v>
      </c>
      <c r="F1169" s="23">
        <f t="array" ref="F1169">IF($A1169="","",
  LET(
    r, $D1169,
    startD, INDEX(Calculation!B$2:B9627, r),
    endD,   INDEX(Calculation!C$2:C9627, r),
    asOf,   MIN($A1169,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1722400</v>
      </c>
    </row>
    <row r="1170">
      <c r="A1170" s="19">
        <v>43405.0</v>
      </c>
      <c r="B1170" s="23">
        <v>1.0765E7</v>
      </c>
      <c r="C1170" s="23">
        <f t="shared" si="1"/>
        <v>1723874.658</v>
      </c>
      <c r="D1170" s="18">
        <f>IF(A1170="","",MATCH(A1170,Calculation!B$2:B9627,1))</f>
        <v>1</v>
      </c>
      <c r="E1170" s="23">
        <f t="array" ref="E1170">IF(D1170="","",IF(D1170=1,0,INDEX(Calculation!Q$2:Q9627,D1170-1)))</f>
        <v>0</v>
      </c>
      <c r="F1170" s="23">
        <f t="array" ref="F1170">IF($A1170="","",
  LET(
    r, $D1170,
    startD, INDEX(Calculation!B$2:B9627, r),
    endD,   INDEX(Calculation!C$2:C9627, r),
    asOf,   MIN($A1170,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1723874.658</v>
      </c>
    </row>
    <row r="1171">
      <c r="A1171" s="19">
        <v>43406.0</v>
      </c>
      <c r="B1171" s="23">
        <v>1.0765E7</v>
      </c>
      <c r="C1171" s="23">
        <f t="shared" si="1"/>
        <v>1725349.315</v>
      </c>
      <c r="D1171" s="18">
        <f>IF(A1171="","",MATCH(A1171,Calculation!B$2:B9627,1))</f>
        <v>1</v>
      </c>
      <c r="E1171" s="23">
        <f t="array" ref="E1171">IF(D1171="","",IF(D1171=1,0,INDEX(Calculation!Q$2:Q9627,D1171-1)))</f>
        <v>0</v>
      </c>
      <c r="F1171" s="23">
        <f t="array" ref="F1171">IF($A1171="","",
  LET(
    r, $D1171,
    startD, INDEX(Calculation!B$2:B9627, r),
    endD,   INDEX(Calculation!C$2:C9627, r),
    asOf,   MIN($A1171,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1725349.315</v>
      </c>
    </row>
    <row r="1172">
      <c r="A1172" s="19">
        <v>43407.0</v>
      </c>
      <c r="B1172" s="23">
        <v>1.0765E7</v>
      </c>
      <c r="C1172" s="23">
        <f t="shared" si="1"/>
        <v>1726823.973</v>
      </c>
      <c r="D1172" s="18">
        <f>IF(A1172="","",MATCH(A1172,Calculation!B$2:B9627,1))</f>
        <v>1</v>
      </c>
      <c r="E1172" s="23">
        <f t="array" ref="E1172">IF(D1172="","",IF(D1172=1,0,INDEX(Calculation!Q$2:Q9627,D1172-1)))</f>
        <v>0</v>
      </c>
      <c r="F1172" s="23">
        <f t="array" ref="F1172">IF($A1172="","",
  LET(
    r, $D1172,
    startD, INDEX(Calculation!B$2:B9627, r),
    endD,   INDEX(Calculation!C$2:C9627, r),
    asOf,   MIN($A1172,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1726823.973</v>
      </c>
    </row>
    <row r="1173">
      <c r="A1173" s="19">
        <v>43408.0</v>
      </c>
      <c r="B1173" s="23">
        <v>1.0765E7</v>
      </c>
      <c r="C1173" s="23">
        <f t="shared" si="1"/>
        <v>1728298.63</v>
      </c>
      <c r="D1173" s="18">
        <f>IF(A1173="","",MATCH(A1173,Calculation!B$2:B9627,1))</f>
        <v>1</v>
      </c>
      <c r="E1173" s="23">
        <f t="array" ref="E1173">IF(D1173="","",IF(D1173=1,0,INDEX(Calculation!Q$2:Q9627,D1173-1)))</f>
        <v>0</v>
      </c>
      <c r="F1173" s="23">
        <f t="array" ref="F1173">IF($A1173="","",
  LET(
    r, $D1173,
    startD, INDEX(Calculation!B$2:B9627, r),
    endD,   INDEX(Calculation!C$2:C9627, r),
    asOf,   MIN($A1173,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1728298.63</v>
      </c>
    </row>
    <row r="1174">
      <c r="A1174" s="19">
        <v>43409.0</v>
      </c>
      <c r="B1174" s="23">
        <v>1.0765E7</v>
      </c>
      <c r="C1174" s="23">
        <f t="shared" si="1"/>
        <v>1729773.288</v>
      </c>
      <c r="D1174" s="18">
        <f>IF(A1174="","",MATCH(A1174,Calculation!B$2:B9627,1))</f>
        <v>1</v>
      </c>
      <c r="E1174" s="23">
        <f t="array" ref="E1174">IF(D1174="","",IF(D1174=1,0,INDEX(Calculation!Q$2:Q9627,D1174-1)))</f>
        <v>0</v>
      </c>
      <c r="F1174" s="23">
        <f t="array" ref="F1174">IF($A1174="","",
  LET(
    r, $D1174,
    startD, INDEX(Calculation!B$2:B9627, r),
    endD,   INDEX(Calculation!C$2:C9627, r),
    asOf,   MIN($A1174,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1729773.288</v>
      </c>
    </row>
    <row r="1175">
      <c r="A1175" s="19">
        <v>43410.0</v>
      </c>
      <c r="B1175" s="23">
        <v>1.0765E7</v>
      </c>
      <c r="C1175" s="23">
        <f t="shared" si="1"/>
        <v>1731247.945</v>
      </c>
      <c r="D1175" s="18">
        <f>IF(A1175="","",MATCH(A1175,Calculation!B$2:B9627,1))</f>
        <v>1</v>
      </c>
      <c r="E1175" s="23">
        <f t="array" ref="E1175">IF(D1175="","",IF(D1175=1,0,INDEX(Calculation!Q$2:Q9627,D1175-1)))</f>
        <v>0</v>
      </c>
      <c r="F1175" s="23">
        <f t="array" ref="F1175">IF($A1175="","",
  LET(
    r, $D1175,
    startD, INDEX(Calculation!B$2:B9627, r),
    endD,   INDEX(Calculation!C$2:C9627, r),
    asOf,   MIN($A1175,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1731247.945</v>
      </c>
    </row>
    <row r="1176">
      <c r="A1176" s="19">
        <v>43411.0</v>
      </c>
      <c r="B1176" s="23">
        <v>1.0765E7</v>
      </c>
      <c r="C1176" s="23">
        <f t="shared" si="1"/>
        <v>1732722.603</v>
      </c>
      <c r="D1176" s="18">
        <f>IF(A1176="","",MATCH(A1176,Calculation!B$2:B9627,1))</f>
        <v>1</v>
      </c>
      <c r="E1176" s="23">
        <f t="array" ref="E1176">IF(D1176="","",IF(D1176=1,0,INDEX(Calculation!Q$2:Q9627,D1176-1)))</f>
        <v>0</v>
      </c>
      <c r="F1176" s="23">
        <f t="array" ref="F1176">IF($A1176="","",
  LET(
    r, $D1176,
    startD, INDEX(Calculation!B$2:B9627, r),
    endD,   INDEX(Calculation!C$2:C9627, r),
    asOf,   MIN($A1176,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1732722.603</v>
      </c>
    </row>
    <row r="1177">
      <c r="A1177" s="19">
        <v>43412.0</v>
      </c>
      <c r="B1177" s="23">
        <v>1.0765E7</v>
      </c>
      <c r="C1177" s="23">
        <f t="shared" si="1"/>
        <v>1734197.26</v>
      </c>
      <c r="D1177" s="18">
        <f>IF(A1177="","",MATCH(A1177,Calculation!B$2:B9627,1))</f>
        <v>1</v>
      </c>
      <c r="E1177" s="23">
        <f t="array" ref="E1177">IF(D1177="","",IF(D1177=1,0,INDEX(Calculation!Q$2:Q9627,D1177-1)))</f>
        <v>0</v>
      </c>
      <c r="F1177" s="23">
        <f t="array" ref="F1177">IF($A1177="","",
  LET(
    r, $D1177,
    startD, INDEX(Calculation!B$2:B9627, r),
    endD,   INDEX(Calculation!C$2:C9627, r),
    asOf,   MIN($A1177,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1734197.26</v>
      </c>
    </row>
    <row r="1178">
      <c r="A1178" s="19">
        <v>43413.0</v>
      </c>
      <c r="B1178" s="23">
        <v>1.0765E7</v>
      </c>
      <c r="C1178" s="23">
        <f t="shared" si="1"/>
        <v>1735671.918</v>
      </c>
      <c r="D1178" s="18">
        <f>IF(A1178="","",MATCH(A1178,Calculation!B$2:B9627,1))</f>
        <v>1</v>
      </c>
      <c r="E1178" s="23">
        <f t="array" ref="E1178">IF(D1178="","",IF(D1178=1,0,INDEX(Calculation!Q$2:Q9627,D1178-1)))</f>
        <v>0</v>
      </c>
      <c r="F1178" s="23">
        <f t="array" ref="F1178">IF($A1178="","",
  LET(
    r, $D1178,
    startD, INDEX(Calculation!B$2:B9627, r),
    endD,   INDEX(Calculation!C$2:C9627, r),
    asOf,   MIN($A1178,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1735671.918</v>
      </c>
    </row>
    <row r="1179">
      <c r="A1179" s="19">
        <v>43414.0</v>
      </c>
      <c r="B1179" s="23">
        <v>1.0765E7</v>
      </c>
      <c r="C1179" s="23">
        <f t="shared" si="1"/>
        <v>1737146.575</v>
      </c>
      <c r="D1179" s="18">
        <f>IF(A1179="","",MATCH(A1179,Calculation!B$2:B9627,1))</f>
        <v>1</v>
      </c>
      <c r="E1179" s="23">
        <f t="array" ref="E1179">IF(D1179="","",IF(D1179=1,0,INDEX(Calculation!Q$2:Q9627,D1179-1)))</f>
        <v>0</v>
      </c>
      <c r="F1179" s="23">
        <f t="array" ref="F1179">IF($A1179="","",
  LET(
    r, $D1179,
    startD, INDEX(Calculation!B$2:B9627, r),
    endD,   INDEX(Calculation!C$2:C9627, r),
    asOf,   MIN($A1179,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1737146.575</v>
      </c>
    </row>
    <row r="1180">
      <c r="A1180" s="19">
        <v>43415.0</v>
      </c>
      <c r="B1180" s="23">
        <v>1.0765E7</v>
      </c>
      <c r="C1180" s="23">
        <f t="shared" si="1"/>
        <v>1738621.233</v>
      </c>
      <c r="D1180" s="18">
        <f>IF(A1180="","",MATCH(A1180,Calculation!B$2:B9627,1))</f>
        <v>1</v>
      </c>
      <c r="E1180" s="23">
        <f t="array" ref="E1180">IF(D1180="","",IF(D1180=1,0,INDEX(Calculation!Q$2:Q9627,D1180-1)))</f>
        <v>0</v>
      </c>
      <c r="F1180" s="23">
        <f t="array" ref="F1180">IF($A1180="","",
  LET(
    r, $D1180,
    startD, INDEX(Calculation!B$2:B9627, r),
    endD,   INDEX(Calculation!C$2:C9627, r),
    asOf,   MIN($A1180,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1738621.233</v>
      </c>
    </row>
    <row r="1181">
      <c r="A1181" s="19">
        <v>43416.0</v>
      </c>
      <c r="B1181" s="23">
        <v>1.0765E7</v>
      </c>
      <c r="C1181" s="23">
        <f t="shared" si="1"/>
        <v>1740095.89</v>
      </c>
      <c r="D1181" s="18">
        <f>IF(A1181="","",MATCH(A1181,Calculation!B$2:B9627,1))</f>
        <v>1</v>
      </c>
      <c r="E1181" s="23">
        <f t="array" ref="E1181">IF(D1181="","",IF(D1181=1,0,INDEX(Calculation!Q$2:Q9627,D1181-1)))</f>
        <v>0</v>
      </c>
      <c r="F1181" s="23">
        <f t="array" ref="F1181">IF($A1181="","",
  LET(
    r, $D1181,
    startD, INDEX(Calculation!B$2:B9627, r),
    endD,   INDEX(Calculation!C$2:C9627, r),
    asOf,   MIN($A1181,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1740095.89</v>
      </c>
    </row>
    <row r="1182">
      <c r="A1182" s="19">
        <v>43417.0</v>
      </c>
      <c r="B1182" s="23">
        <v>1.0765E7</v>
      </c>
      <c r="C1182" s="23">
        <f t="shared" si="1"/>
        <v>1741570.548</v>
      </c>
      <c r="D1182" s="18">
        <f>IF(A1182="","",MATCH(A1182,Calculation!B$2:B9627,1))</f>
        <v>1</v>
      </c>
      <c r="E1182" s="23">
        <f t="array" ref="E1182">IF(D1182="","",IF(D1182=1,0,INDEX(Calculation!Q$2:Q9627,D1182-1)))</f>
        <v>0</v>
      </c>
      <c r="F1182" s="23">
        <f t="array" ref="F1182">IF($A1182="","",
  LET(
    r, $D1182,
    startD, INDEX(Calculation!B$2:B9627, r),
    endD,   INDEX(Calculation!C$2:C9627, r),
    asOf,   MIN($A1182,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1741570.548</v>
      </c>
    </row>
    <row r="1183">
      <c r="A1183" s="19">
        <v>43418.0</v>
      </c>
      <c r="B1183" s="23">
        <v>1.0765E7</v>
      </c>
      <c r="C1183" s="23">
        <f t="shared" si="1"/>
        <v>1743045.205</v>
      </c>
      <c r="D1183" s="18">
        <f>IF(A1183="","",MATCH(A1183,Calculation!B$2:B9627,1))</f>
        <v>1</v>
      </c>
      <c r="E1183" s="23">
        <f t="array" ref="E1183">IF(D1183="","",IF(D1183=1,0,INDEX(Calculation!Q$2:Q9627,D1183-1)))</f>
        <v>0</v>
      </c>
      <c r="F1183" s="23">
        <f t="array" ref="F1183">IF($A1183="","",
  LET(
    r, $D1183,
    startD, INDEX(Calculation!B$2:B9627, r),
    endD,   INDEX(Calculation!C$2:C9627, r),
    asOf,   MIN($A1183,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1743045.205</v>
      </c>
    </row>
    <row r="1184">
      <c r="A1184" s="19">
        <v>43419.0</v>
      </c>
      <c r="B1184" s="23">
        <v>1.0765E7</v>
      </c>
      <c r="C1184" s="23">
        <f t="shared" si="1"/>
        <v>1744519.863</v>
      </c>
      <c r="D1184" s="18">
        <f>IF(A1184="","",MATCH(A1184,Calculation!B$2:B9627,1))</f>
        <v>1</v>
      </c>
      <c r="E1184" s="23">
        <f t="array" ref="E1184">IF(D1184="","",IF(D1184=1,0,INDEX(Calculation!Q$2:Q9627,D1184-1)))</f>
        <v>0</v>
      </c>
      <c r="F1184" s="23">
        <f t="array" ref="F1184">IF($A1184="","",
  LET(
    r, $D1184,
    startD, INDEX(Calculation!B$2:B9627, r),
    endD,   INDEX(Calculation!C$2:C9627, r),
    asOf,   MIN($A1184,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1744519.863</v>
      </c>
    </row>
    <row r="1185">
      <c r="A1185" s="19">
        <v>43420.0</v>
      </c>
      <c r="B1185" s="23">
        <v>1.0765E7</v>
      </c>
      <c r="C1185" s="23">
        <f t="shared" si="1"/>
        <v>1745994.521</v>
      </c>
      <c r="D1185" s="18">
        <f>IF(A1185="","",MATCH(A1185,Calculation!B$2:B9627,1))</f>
        <v>1</v>
      </c>
      <c r="E1185" s="23">
        <f t="array" ref="E1185">IF(D1185="","",IF(D1185=1,0,INDEX(Calculation!Q$2:Q9627,D1185-1)))</f>
        <v>0</v>
      </c>
      <c r="F1185" s="23">
        <f t="array" ref="F1185">IF($A1185="","",
  LET(
    r, $D1185,
    startD, INDEX(Calculation!B$2:B9627, r),
    endD,   INDEX(Calculation!C$2:C9627, r),
    asOf,   MIN($A1185,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1745994.521</v>
      </c>
    </row>
    <row r="1186">
      <c r="A1186" s="19">
        <v>43421.0</v>
      </c>
      <c r="B1186" s="23">
        <v>1.0765E7</v>
      </c>
      <c r="C1186" s="23">
        <f t="shared" si="1"/>
        <v>1747469.178</v>
      </c>
      <c r="D1186" s="18">
        <f>IF(A1186="","",MATCH(A1186,Calculation!B$2:B9627,1))</f>
        <v>1</v>
      </c>
      <c r="E1186" s="23">
        <f t="array" ref="E1186">IF(D1186="","",IF(D1186=1,0,INDEX(Calculation!Q$2:Q9627,D1186-1)))</f>
        <v>0</v>
      </c>
      <c r="F1186" s="23">
        <f t="array" ref="F1186">IF($A1186="","",
  LET(
    r, $D1186,
    startD, INDEX(Calculation!B$2:B9627, r),
    endD,   INDEX(Calculation!C$2:C9627, r),
    asOf,   MIN($A1186,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1747469.178</v>
      </c>
    </row>
    <row r="1187">
      <c r="A1187" s="19">
        <v>43422.0</v>
      </c>
      <c r="B1187" s="23">
        <v>1.0765E7</v>
      </c>
      <c r="C1187" s="23">
        <f t="shared" si="1"/>
        <v>1748943.836</v>
      </c>
      <c r="D1187" s="18">
        <f>IF(A1187="","",MATCH(A1187,Calculation!B$2:B9627,1))</f>
        <v>1</v>
      </c>
      <c r="E1187" s="23">
        <f t="array" ref="E1187">IF(D1187="","",IF(D1187=1,0,INDEX(Calculation!Q$2:Q9627,D1187-1)))</f>
        <v>0</v>
      </c>
      <c r="F1187" s="23">
        <f t="array" ref="F1187">IF($A1187="","",
  LET(
    r, $D1187,
    startD, INDEX(Calculation!B$2:B9627, r),
    endD,   INDEX(Calculation!C$2:C9627, r),
    asOf,   MIN($A1187,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1748943.836</v>
      </c>
    </row>
    <row r="1188">
      <c r="A1188" s="19">
        <v>43423.0</v>
      </c>
      <c r="B1188" s="23">
        <v>1.0765E7</v>
      </c>
      <c r="C1188" s="23">
        <f t="shared" si="1"/>
        <v>1750418.493</v>
      </c>
      <c r="D1188" s="18">
        <f>IF(A1188="","",MATCH(A1188,Calculation!B$2:B9627,1))</f>
        <v>1</v>
      </c>
      <c r="E1188" s="23">
        <f t="array" ref="E1188">IF(D1188="","",IF(D1188=1,0,INDEX(Calculation!Q$2:Q9627,D1188-1)))</f>
        <v>0</v>
      </c>
      <c r="F1188" s="23">
        <f t="array" ref="F1188">IF($A1188="","",
  LET(
    r, $D1188,
    startD, INDEX(Calculation!B$2:B9627, r),
    endD,   INDEX(Calculation!C$2:C9627, r),
    asOf,   MIN($A1188,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1750418.493</v>
      </c>
    </row>
    <row r="1189">
      <c r="A1189" s="19">
        <v>43424.0</v>
      </c>
      <c r="B1189" s="23">
        <v>1.0765E7</v>
      </c>
      <c r="C1189" s="23">
        <f t="shared" si="1"/>
        <v>1751893.151</v>
      </c>
      <c r="D1189" s="18">
        <f>IF(A1189="","",MATCH(A1189,Calculation!B$2:B9627,1))</f>
        <v>1</v>
      </c>
      <c r="E1189" s="23">
        <f t="array" ref="E1189">IF(D1189="","",IF(D1189=1,0,INDEX(Calculation!Q$2:Q9627,D1189-1)))</f>
        <v>0</v>
      </c>
      <c r="F1189" s="23">
        <f t="array" ref="F1189">IF($A1189="","",
  LET(
    r, $D1189,
    startD, INDEX(Calculation!B$2:B9627, r),
    endD,   INDEX(Calculation!C$2:C9627, r),
    asOf,   MIN($A1189,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1751893.151</v>
      </c>
    </row>
    <row r="1190">
      <c r="A1190" s="19">
        <v>43425.0</v>
      </c>
      <c r="B1190" s="23">
        <v>1.0765E7</v>
      </c>
      <c r="C1190" s="23">
        <f t="shared" si="1"/>
        <v>1753367.808</v>
      </c>
      <c r="D1190" s="18">
        <f>IF(A1190="","",MATCH(A1190,Calculation!B$2:B9627,1))</f>
        <v>1</v>
      </c>
      <c r="E1190" s="23">
        <f t="array" ref="E1190">IF(D1190="","",IF(D1190=1,0,INDEX(Calculation!Q$2:Q9627,D1190-1)))</f>
        <v>0</v>
      </c>
      <c r="F1190" s="23">
        <f t="array" ref="F1190">IF($A1190="","",
  LET(
    r, $D1190,
    startD, INDEX(Calculation!B$2:B9627, r),
    endD,   INDEX(Calculation!C$2:C9627, r),
    asOf,   MIN($A1190,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1753367.808</v>
      </c>
    </row>
    <row r="1191">
      <c r="A1191" s="19">
        <v>43426.0</v>
      </c>
      <c r="B1191" s="23">
        <v>1.0765E7</v>
      </c>
      <c r="C1191" s="23">
        <f t="shared" si="1"/>
        <v>1754842.466</v>
      </c>
      <c r="D1191" s="18">
        <f>IF(A1191="","",MATCH(A1191,Calculation!B$2:B9627,1))</f>
        <v>1</v>
      </c>
      <c r="E1191" s="23">
        <f t="array" ref="E1191">IF(D1191="","",IF(D1191=1,0,INDEX(Calculation!Q$2:Q9627,D1191-1)))</f>
        <v>0</v>
      </c>
      <c r="F1191" s="23">
        <f t="array" ref="F1191">IF($A1191="","",
  LET(
    r, $D1191,
    startD, INDEX(Calculation!B$2:B9627, r),
    endD,   INDEX(Calculation!C$2:C9627, r),
    asOf,   MIN($A1191,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1754842.466</v>
      </c>
    </row>
    <row r="1192">
      <c r="A1192" s="19">
        <v>43427.0</v>
      </c>
      <c r="B1192" s="23">
        <v>1.0765E7</v>
      </c>
      <c r="C1192" s="23">
        <f t="shared" si="1"/>
        <v>1756317.123</v>
      </c>
      <c r="D1192" s="18">
        <f>IF(A1192="","",MATCH(A1192,Calculation!B$2:B9627,1))</f>
        <v>1</v>
      </c>
      <c r="E1192" s="23">
        <f t="array" ref="E1192">IF(D1192="","",IF(D1192=1,0,INDEX(Calculation!Q$2:Q9627,D1192-1)))</f>
        <v>0</v>
      </c>
      <c r="F1192" s="23">
        <f t="array" ref="F1192">IF($A1192="","",
  LET(
    r, $D1192,
    startD, INDEX(Calculation!B$2:B9627, r),
    endD,   INDEX(Calculation!C$2:C9627, r),
    asOf,   MIN($A1192,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1756317.123</v>
      </c>
    </row>
    <row r="1193">
      <c r="A1193" s="19">
        <v>43428.0</v>
      </c>
      <c r="B1193" s="23">
        <v>1.0765E7</v>
      </c>
      <c r="C1193" s="23">
        <f t="shared" si="1"/>
        <v>1757791.781</v>
      </c>
      <c r="D1193" s="18">
        <f>IF(A1193="","",MATCH(A1193,Calculation!B$2:B9627,1))</f>
        <v>1</v>
      </c>
      <c r="E1193" s="23">
        <f t="array" ref="E1193">IF(D1193="","",IF(D1193=1,0,INDEX(Calculation!Q$2:Q9627,D1193-1)))</f>
        <v>0</v>
      </c>
      <c r="F1193" s="23">
        <f t="array" ref="F1193">IF($A1193="","",
  LET(
    r, $D1193,
    startD, INDEX(Calculation!B$2:B9627, r),
    endD,   INDEX(Calculation!C$2:C9627, r),
    asOf,   MIN($A1193,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1757791.781</v>
      </c>
    </row>
    <row r="1194">
      <c r="A1194" s="19">
        <v>43429.0</v>
      </c>
      <c r="B1194" s="23">
        <v>1.0765E7</v>
      </c>
      <c r="C1194" s="23">
        <f t="shared" si="1"/>
        <v>1759266.438</v>
      </c>
      <c r="D1194" s="18">
        <f>IF(A1194="","",MATCH(A1194,Calculation!B$2:B9627,1))</f>
        <v>1</v>
      </c>
      <c r="E1194" s="23">
        <f t="array" ref="E1194">IF(D1194="","",IF(D1194=1,0,INDEX(Calculation!Q$2:Q9627,D1194-1)))</f>
        <v>0</v>
      </c>
      <c r="F1194" s="23">
        <f t="array" ref="F1194">IF($A1194="","",
  LET(
    r, $D1194,
    startD, INDEX(Calculation!B$2:B9627, r),
    endD,   INDEX(Calculation!C$2:C9627, r),
    asOf,   MIN($A1194,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1759266.438</v>
      </c>
    </row>
    <row r="1195">
      <c r="A1195" s="19">
        <v>43430.0</v>
      </c>
      <c r="B1195" s="23">
        <v>1.0765E7</v>
      </c>
      <c r="C1195" s="23">
        <f t="shared" si="1"/>
        <v>1760741.096</v>
      </c>
      <c r="D1195" s="18">
        <f>IF(A1195="","",MATCH(A1195,Calculation!B$2:B9627,1))</f>
        <v>1</v>
      </c>
      <c r="E1195" s="23">
        <f t="array" ref="E1195">IF(D1195="","",IF(D1195=1,0,INDEX(Calculation!Q$2:Q9627,D1195-1)))</f>
        <v>0</v>
      </c>
      <c r="F1195" s="23">
        <f t="array" ref="F1195">IF($A1195="","",
  LET(
    r, $D1195,
    startD, INDEX(Calculation!B$2:B9627, r),
    endD,   INDEX(Calculation!C$2:C9627, r),
    asOf,   MIN($A1195,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1760741.096</v>
      </c>
    </row>
    <row r="1196">
      <c r="A1196" s="19">
        <v>43431.0</v>
      </c>
      <c r="B1196" s="23">
        <v>1.0765E7</v>
      </c>
      <c r="C1196" s="23">
        <f t="shared" si="1"/>
        <v>1762215.753</v>
      </c>
      <c r="D1196" s="18">
        <f>IF(A1196="","",MATCH(A1196,Calculation!B$2:B9627,1))</f>
        <v>1</v>
      </c>
      <c r="E1196" s="23">
        <f t="array" ref="E1196">IF(D1196="","",IF(D1196=1,0,INDEX(Calculation!Q$2:Q9627,D1196-1)))</f>
        <v>0</v>
      </c>
      <c r="F1196" s="23">
        <f t="array" ref="F1196">IF($A1196="","",
  LET(
    r, $D1196,
    startD, INDEX(Calculation!B$2:B9627, r),
    endD,   INDEX(Calculation!C$2:C9627, r),
    asOf,   MIN($A1196,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1762215.753</v>
      </c>
    </row>
    <row r="1197">
      <c r="A1197" s="19">
        <v>43432.0</v>
      </c>
      <c r="B1197" s="23">
        <v>1.0765E7</v>
      </c>
      <c r="C1197" s="23">
        <f t="shared" si="1"/>
        <v>1763690.411</v>
      </c>
      <c r="D1197" s="18">
        <f>IF(A1197="","",MATCH(A1197,Calculation!B$2:B9627,1))</f>
        <v>1</v>
      </c>
      <c r="E1197" s="23">
        <f t="array" ref="E1197">IF(D1197="","",IF(D1197=1,0,INDEX(Calculation!Q$2:Q9627,D1197-1)))</f>
        <v>0</v>
      </c>
      <c r="F1197" s="23">
        <f t="array" ref="F1197">IF($A1197="","",
  LET(
    r, $D1197,
    startD, INDEX(Calculation!B$2:B9627, r),
    endD,   INDEX(Calculation!C$2:C9627, r),
    asOf,   MIN($A1197,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1763690.411</v>
      </c>
    </row>
    <row r="1198">
      <c r="A1198" s="19">
        <v>43433.0</v>
      </c>
      <c r="B1198" s="23">
        <v>1.0765E7</v>
      </c>
      <c r="C1198" s="23">
        <f t="shared" si="1"/>
        <v>1765165.068</v>
      </c>
      <c r="D1198" s="18">
        <f>IF(A1198="","",MATCH(A1198,Calculation!B$2:B9627,1))</f>
        <v>1</v>
      </c>
      <c r="E1198" s="23">
        <f t="array" ref="E1198">IF(D1198="","",IF(D1198=1,0,INDEX(Calculation!Q$2:Q9627,D1198-1)))</f>
        <v>0</v>
      </c>
      <c r="F1198" s="23">
        <f t="array" ref="F1198">IF($A1198="","",
  LET(
    r, $D1198,
    startD, INDEX(Calculation!B$2:B9627, r),
    endD,   INDEX(Calculation!C$2:C9627, r),
    asOf,   MIN($A1198,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1765165.068</v>
      </c>
    </row>
    <row r="1199">
      <c r="A1199" s="19">
        <v>43434.0</v>
      </c>
      <c r="B1199" s="23">
        <v>1.0765E7</v>
      </c>
      <c r="C1199" s="23">
        <f t="shared" si="1"/>
        <v>1766639.726</v>
      </c>
      <c r="D1199" s="18">
        <f>IF(A1199="","",MATCH(A1199,Calculation!B$2:B9627,1))</f>
        <v>1</v>
      </c>
      <c r="E1199" s="23">
        <f t="array" ref="E1199">IF(D1199="","",IF(D1199=1,0,INDEX(Calculation!Q$2:Q9627,D1199-1)))</f>
        <v>0</v>
      </c>
      <c r="F1199" s="23">
        <f t="array" ref="F1199">IF($A1199="","",
  LET(
    r, $D1199,
    startD, INDEX(Calculation!B$2:B9627, r),
    endD,   INDEX(Calculation!C$2:C9627, r),
    asOf,   MIN($A1199,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1766639.726</v>
      </c>
    </row>
    <row r="1200">
      <c r="A1200" s="19">
        <v>43435.0</v>
      </c>
      <c r="B1200" s="23">
        <v>1.0765E7</v>
      </c>
      <c r="C1200" s="23">
        <f t="shared" si="1"/>
        <v>1768114.384</v>
      </c>
      <c r="D1200" s="18">
        <f>IF(A1200="","",MATCH(A1200,Calculation!B$2:B9627,1))</f>
        <v>1</v>
      </c>
      <c r="E1200" s="23">
        <f t="array" ref="E1200">IF(D1200="","",IF(D1200=1,0,INDEX(Calculation!Q$2:Q9627,D1200-1)))</f>
        <v>0</v>
      </c>
      <c r="F1200" s="23">
        <f t="array" ref="F1200">IF($A1200="","",
  LET(
    r, $D1200,
    startD, INDEX(Calculation!B$2:B9627, r),
    endD,   INDEX(Calculation!C$2:C9627, r),
    asOf,   MIN($A1200,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1768114.384</v>
      </c>
    </row>
    <row r="1201">
      <c r="A1201" s="19">
        <v>43436.0</v>
      </c>
      <c r="B1201" s="23">
        <v>1.0765E7</v>
      </c>
      <c r="C1201" s="23">
        <f t="shared" si="1"/>
        <v>1769589.041</v>
      </c>
      <c r="D1201" s="18">
        <f>IF(A1201="","",MATCH(A1201,Calculation!B$2:B9627,1))</f>
        <v>1</v>
      </c>
      <c r="E1201" s="23">
        <f t="array" ref="E1201">IF(D1201="","",IF(D1201=1,0,INDEX(Calculation!Q$2:Q9627,D1201-1)))</f>
        <v>0</v>
      </c>
      <c r="F1201" s="23">
        <f t="array" ref="F1201">IF($A1201="","",
  LET(
    r, $D1201,
    startD, INDEX(Calculation!B$2:B9627, r),
    endD,   INDEX(Calculation!C$2:C9627, r),
    asOf,   MIN($A1201,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1769589.041</v>
      </c>
    </row>
    <row r="1202">
      <c r="A1202" s="19">
        <v>43437.0</v>
      </c>
      <c r="B1202" s="23">
        <v>1.0765E7</v>
      </c>
      <c r="C1202" s="23">
        <f t="shared" si="1"/>
        <v>1771063.699</v>
      </c>
      <c r="D1202" s="18">
        <f>IF(A1202="","",MATCH(A1202,Calculation!B$2:B9627,1))</f>
        <v>1</v>
      </c>
      <c r="E1202" s="23">
        <f t="array" ref="E1202">IF(D1202="","",IF(D1202=1,0,INDEX(Calculation!Q$2:Q9627,D1202-1)))</f>
        <v>0</v>
      </c>
      <c r="F1202" s="23">
        <f t="array" ref="F1202">IF($A1202="","",
  LET(
    r, $D1202,
    startD, INDEX(Calculation!B$2:B9627, r),
    endD,   INDEX(Calculation!C$2:C9627, r),
    asOf,   MIN($A1202,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1771063.699</v>
      </c>
    </row>
    <row r="1203">
      <c r="A1203" s="19">
        <v>43438.0</v>
      </c>
      <c r="B1203" s="23">
        <v>1.0765E7</v>
      </c>
      <c r="C1203" s="23">
        <f t="shared" si="1"/>
        <v>1772538.356</v>
      </c>
      <c r="D1203" s="18">
        <f>IF(A1203="","",MATCH(A1203,Calculation!B$2:B9627,1))</f>
        <v>1</v>
      </c>
      <c r="E1203" s="23">
        <f t="array" ref="E1203">IF(D1203="","",IF(D1203=1,0,INDEX(Calculation!Q$2:Q9627,D1203-1)))</f>
        <v>0</v>
      </c>
      <c r="F1203" s="23">
        <f t="array" ref="F1203">IF($A1203="","",
  LET(
    r, $D1203,
    startD, INDEX(Calculation!B$2:B9627, r),
    endD,   INDEX(Calculation!C$2:C9627, r),
    asOf,   MIN($A1203,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1772538.356</v>
      </c>
    </row>
    <row r="1204">
      <c r="A1204" s="19">
        <v>43439.0</v>
      </c>
      <c r="B1204" s="23">
        <v>1.0765E7</v>
      </c>
      <c r="C1204" s="23">
        <f t="shared" si="1"/>
        <v>1774013.014</v>
      </c>
      <c r="D1204" s="18">
        <f>IF(A1204="","",MATCH(A1204,Calculation!B$2:B9627,1))</f>
        <v>1</v>
      </c>
      <c r="E1204" s="23">
        <f t="array" ref="E1204">IF(D1204="","",IF(D1204=1,0,INDEX(Calculation!Q$2:Q9627,D1204-1)))</f>
        <v>0</v>
      </c>
      <c r="F1204" s="23">
        <f t="array" ref="F1204">IF($A1204="","",
  LET(
    r, $D1204,
    startD, INDEX(Calculation!B$2:B9627, r),
    endD,   INDEX(Calculation!C$2:C9627, r),
    asOf,   MIN($A1204,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1774013.014</v>
      </c>
    </row>
    <row r="1205">
      <c r="A1205" s="19">
        <v>43440.0</v>
      </c>
      <c r="B1205" s="23">
        <v>1.0765E7</v>
      </c>
      <c r="C1205" s="23">
        <f t="shared" si="1"/>
        <v>1775487.671</v>
      </c>
      <c r="D1205" s="18">
        <f>IF(A1205="","",MATCH(A1205,Calculation!B$2:B9627,1))</f>
        <v>1</v>
      </c>
      <c r="E1205" s="23">
        <f t="array" ref="E1205">IF(D1205="","",IF(D1205=1,0,INDEX(Calculation!Q$2:Q9627,D1205-1)))</f>
        <v>0</v>
      </c>
      <c r="F1205" s="23">
        <f t="array" ref="F1205">IF($A1205="","",
  LET(
    r, $D1205,
    startD, INDEX(Calculation!B$2:B9627, r),
    endD,   INDEX(Calculation!C$2:C9627, r),
    asOf,   MIN($A1205,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1775487.671</v>
      </c>
    </row>
    <row r="1206">
      <c r="A1206" s="19">
        <v>43441.0</v>
      </c>
      <c r="B1206" s="23">
        <v>1.0765E7</v>
      </c>
      <c r="C1206" s="23">
        <f t="shared" si="1"/>
        <v>1776962.329</v>
      </c>
      <c r="D1206" s="18">
        <f>IF(A1206="","",MATCH(A1206,Calculation!B$2:B9627,1))</f>
        <v>1</v>
      </c>
      <c r="E1206" s="23">
        <f t="array" ref="E1206">IF(D1206="","",IF(D1206=1,0,INDEX(Calculation!Q$2:Q9627,D1206-1)))</f>
        <v>0</v>
      </c>
      <c r="F1206" s="23">
        <f t="array" ref="F1206">IF($A1206="","",
  LET(
    r, $D1206,
    startD, INDEX(Calculation!B$2:B9627, r),
    endD,   INDEX(Calculation!C$2:C9627, r),
    asOf,   MIN($A1206,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1776962.329</v>
      </c>
    </row>
    <row r="1207">
      <c r="A1207" s="19">
        <v>43442.0</v>
      </c>
      <c r="B1207" s="23">
        <v>1.0765E7</v>
      </c>
      <c r="C1207" s="23">
        <f t="shared" si="1"/>
        <v>1778436.986</v>
      </c>
      <c r="D1207" s="18">
        <f>IF(A1207="","",MATCH(A1207,Calculation!B$2:B9627,1))</f>
        <v>1</v>
      </c>
      <c r="E1207" s="23">
        <f t="array" ref="E1207">IF(D1207="","",IF(D1207=1,0,INDEX(Calculation!Q$2:Q9627,D1207-1)))</f>
        <v>0</v>
      </c>
      <c r="F1207" s="23">
        <f t="array" ref="F1207">IF($A1207="","",
  LET(
    r, $D1207,
    startD, INDEX(Calculation!B$2:B9627, r),
    endD,   INDEX(Calculation!C$2:C9627, r),
    asOf,   MIN($A1207,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1778436.986</v>
      </c>
    </row>
    <row r="1208">
      <c r="A1208" s="19">
        <v>43443.0</v>
      </c>
      <c r="B1208" s="23">
        <v>1.0765E7</v>
      </c>
      <c r="C1208" s="23">
        <f t="shared" si="1"/>
        <v>1779911.644</v>
      </c>
      <c r="D1208" s="18">
        <f>IF(A1208="","",MATCH(A1208,Calculation!B$2:B9627,1))</f>
        <v>1</v>
      </c>
      <c r="E1208" s="23">
        <f t="array" ref="E1208">IF(D1208="","",IF(D1208=1,0,INDEX(Calculation!Q$2:Q9627,D1208-1)))</f>
        <v>0</v>
      </c>
      <c r="F1208" s="23">
        <f t="array" ref="F1208">IF($A1208="","",
  LET(
    r, $D1208,
    startD, INDEX(Calculation!B$2:B9627, r),
    endD,   INDEX(Calculation!C$2:C9627, r),
    asOf,   MIN($A1208,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1779911.644</v>
      </c>
    </row>
    <row r="1209">
      <c r="A1209" s="19">
        <v>43444.0</v>
      </c>
      <c r="B1209" s="23">
        <v>1.0765E7</v>
      </c>
      <c r="C1209" s="23">
        <f t="shared" si="1"/>
        <v>1781386.301</v>
      </c>
      <c r="D1209" s="18">
        <f>IF(A1209="","",MATCH(A1209,Calculation!B$2:B9627,1))</f>
        <v>1</v>
      </c>
      <c r="E1209" s="23">
        <f t="array" ref="E1209">IF(D1209="","",IF(D1209=1,0,INDEX(Calculation!Q$2:Q9627,D1209-1)))</f>
        <v>0</v>
      </c>
      <c r="F1209" s="23">
        <f t="array" ref="F1209">IF($A1209="","",
  LET(
    r, $D1209,
    startD, INDEX(Calculation!B$2:B9627, r),
    endD,   INDEX(Calculation!C$2:C9627, r),
    asOf,   MIN($A1209,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1781386.301</v>
      </c>
    </row>
    <row r="1210">
      <c r="A1210" s="19">
        <v>43445.0</v>
      </c>
      <c r="B1210" s="23">
        <v>1.0765E7</v>
      </c>
      <c r="C1210" s="23">
        <f t="shared" si="1"/>
        <v>1782860.959</v>
      </c>
      <c r="D1210" s="18">
        <f>IF(A1210="","",MATCH(A1210,Calculation!B$2:B9627,1))</f>
        <v>1</v>
      </c>
      <c r="E1210" s="23">
        <f t="array" ref="E1210">IF(D1210="","",IF(D1210=1,0,INDEX(Calculation!Q$2:Q9627,D1210-1)))</f>
        <v>0</v>
      </c>
      <c r="F1210" s="23">
        <f t="array" ref="F1210">IF($A1210="","",
  LET(
    r, $D1210,
    startD, INDEX(Calculation!B$2:B9627, r),
    endD,   INDEX(Calculation!C$2:C9627, r),
    asOf,   MIN($A1210,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1782860.959</v>
      </c>
    </row>
    <row r="1211">
      <c r="A1211" s="19">
        <v>43446.0</v>
      </c>
      <c r="B1211" s="23">
        <v>1.0765E7</v>
      </c>
      <c r="C1211" s="23">
        <f t="shared" si="1"/>
        <v>1784335.616</v>
      </c>
      <c r="D1211" s="18">
        <f>IF(A1211="","",MATCH(A1211,Calculation!B$2:B9627,1))</f>
        <v>1</v>
      </c>
      <c r="E1211" s="23">
        <f t="array" ref="E1211">IF(D1211="","",IF(D1211=1,0,INDEX(Calculation!Q$2:Q9627,D1211-1)))</f>
        <v>0</v>
      </c>
      <c r="F1211" s="23">
        <f t="array" ref="F1211">IF($A1211="","",
  LET(
    r, $D1211,
    startD, INDEX(Calculation!B$2:B9627, r),
    endD,   INDEX(Calculation!C$2:C9627, r),
    asOf,   MIN($A1211,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1784335.616</v>
      </c>
    </row>
    <row r="1212">
      <c r="A1212" s="19">
        <v>43447.0</v>
      </c>
      <c r="B1212" s="23">
        <v>1.0765E7</v>
      </c>
      <c r="C1212" s="23">
        <f t="shared" si="1"/>
        <v>1785810.274</v>
      </c>
      <c r="D1212" s="18">
        <f>IF(A1212="","",MATCH(A1212,Calculation!B$2:B9627,1))</f>
        <v>1</v>
      </c>
      <c r="E1212" s="23">
        <f t="array" ref="E1212">IF(D1212="","",IF(D1212=1,0,INDEX(Calculation!Q$2:Q9627,D1212-1)))</f>
        <v>0</v>
      </c>
      <c r="F1212" s="23">
        <f t="array" ref="F1212">IF($A1212="","",
  LET(
    r, $D1212,
    startD, INDEX(Calculation!B$2:B9627, r),
    endD,   INDEX(Calculation!C$2:C9627, r),
    asOf,   MIN($A1212,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1785810.274</v>
      </c>
    </row>
    <row r="1213">
      <c r="A1213" s="19">
        <v>43448.0</v>
      </c>
      <c r="B1213" s="23">
        <v>1.0765E7</v>
      </c>
      <c r="C1213" s="23">
        <f t="shared" si="1"/>
        <v>1787284.932</v>
      </c>
      <c r="D1213" s="18">
        <f>IF(A1213="","",MATCH(A1213,Calculation!B$2:B9627,1))</f>
        <v>1</v>
      </c>
      <c r="E1213" s="23">
        <f t="array" ref="E1213">IF(D1213="","",IF(D1213=1,0,INDEX(Calculation!Q$2:Q9627,D1213-1)))</f>
        <v>0</v>
      </c>
      <c r="F1213" s="23">
        <f t="array" ref="F1213">IF($A1213="","",
  LET(
    r, $D1213,
    startD, INDEX(Calculation!B$2:B9627, r),
    endD,   INDEX(Calculation!C$2:C9627, r),
    asOf,   MIN($A1213,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1787284.932</v>
      </c>
    </row>
    <row r="1214">
      <c r="A1214" s="19">
        <v>43449.0</v>
      </c>
      <c r="B1214" s="23">
        <v>1.0765E7</v>
      </c>
      <c r="C1214" s="23">
        <f t="shared" si="1"/>
        <v>1788759.589</v>
      </c>
      <c r="D1214" s="18">
        <f>IF(A1214="","",MATCH(A1214,Calculation!B$2:B9627,1))</f>
        <v>1</v>
      </c>
      <c r="E1214" s="23">
        <f t="array" ref="E1214">IF(D1214="","",IF(D1214=1,0,INDEX(Calculation!Q$2:Q9627,D1214-1)))</f>
        <v>0</v>
      </c>
      <c r="F1214" s="23">
        <f t="array" ref="F1214">IF($A1214="","",
  LET(
    r, $D1214,
    startD, INDEX(Calculation!B$2:B9627, r),
    endD,   INDEX(Calculation!C$2:C9627, r),
    asOf,   MIN($A1214,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1788759.589</v>
      </c>
    </row>
    <row r="1215">
      <c r="A1215" s="19">
        <v>43450.0</v>
      </c>
      <c r="B1215" s="23">
        <v>1.0765E7</v>
      </c>
      <c r="C1215" s="23">
        <f t="shared" si="1"/>
        <v>1790234.247</v>
      </c>
      <c r="D1215" s="18">
        <f>IF(A1215="","",MATCH(A1215,Calculation!B$2:B9627,1))</f>
        <v>1</v>
      </c>
      <c r="E1215" s="23">
        <f t="array" ref="E1215">IF(D1215="","",IF(D1215=1,0,INDEX(Calculation!Q$2:Q9627,D1215-1)))</f>
        <v>0</v>
      </c>
      <c r="F1215" s="23">
        <f t="array" ref="F1215">IF($A1215="","",
  LET(
    r, $D1215,
    startD, INDEX(Calculation!B$2:B9627, r),
    endD,   INDEX(Calculation!C$2:C9627, r),
    asOf,   MIN($A1215,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1790234.247</v>
      </c>
    </row>
    <row r="1216">
      <c r="A1216" s="19">
        <v>43451.0</v>
      </c>
      <c r="B1216" s="23">
        <v>1.0765E7</v>
      </c>
      <c r="C1216" s="23">
        <f t="shared" si="1"/>
        <v>1791708.904</v>
      </c>
      <c r="D1216" s="18">
        <f>IF(A1216="","",MATCH(A1216,Calculation!B$2:B9627,1))</f>
        <v>1</v>
      </c>
      <c r="E1216" s="23">
        <f t="array" ref="E1216">IF(D1216="","",IF(D1216=1,0,INDEX(Calculation!Q$2:Q9627,D1216-1)))</f>
        <v>0</v>
      </c>
      <c r="F1216" s="23">
        <f t="array" ref="F1216">IF($A1216="","",
  LET(
    r, $D1216,
    startD, INDEX(Calculation!B$2:B9627, r),
    endD,   INDEX(Calculation!C$2:C9627, r),
    asOf,   MIN($A1216,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1791708.904</v>
      </c>
    </row>
    <row r="1217">
      <c r="A1217" s="19">
        <v>43452.0</v>
      </c>
      <c r="B1217" s="23">
        <v>1.0765E7</v>
      </c>
      <c r="C1217" s="23">
        <f t="shared" si="1"/>
        <v>1793183.562</v>
      </c>
      <c r="D1217" s="18">
        <f>IF(A1217="","",MATCH(A1217,Calculation!B$2:B9627,1))</f>
        <v>1</v>
      </c>
      <c r="E1217" s="23">
        <f t="array" ref="E1217">IF(D1217="","",IF(D1217=1,0,INDEX(Calculation!Q$2:Q9627,D1217-1)))</f>
        <v>0</v>
      </c>
      <c r="F1217" s="23">
        <f t="array" ref="F1217">IF($A1217="","",
  LET(
    r, $D1217,
    startD, INDEX(Calculation!B$2:B9627, r),
    endD,   INDEX(Calculation!C$2:C9627, r),
    asOf,   MIN($A1217,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1793183.562</v>
      </c>
    </row>
    <row r="1218">
      <c r="A1218" s="19">
        <v>43453.0</v>
      </c>
      <c r="B1218" s="23">
        <v>1.0765E7</v>
      </c>
      <c r="C1218" s="23">
        <f t="shared" si="1"/>
        <v>1794658.219</v>
      </c>
      <c r="D1218" s="18">
        <f>IF(A1218="","",MATCH(A1218,Calculation!B$2:B9627,1))</f>
        <v>1</v>
      </c>
      <c r="E1218" s="23">
        <f t="array" ref="E1218">IF(D1218="","",IF(D1218=1,0,INDEX(Calculation!Q$2:Q9627,D1218-1)))</f>
        <v>0</v>
      </c>
      <c r="F1218" s="23">
        <f t="array" ref="F1218">IF($A1218="","",
  LET(
    r, $D1218,
    startD, INDEX(Calculation!B$2:B9627, r),
    endD,   INDEX(Calculation!C$2:C9627, r),
    asOf,   MIN($A1218,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1794658.219</v>
      </c>
    </row>
    <row r="1219">
      <c r="A1219" s="19">
        <v>43454.0</v>
      </c>
      <c r="B1219" s="23">
        <v>1.0765E7</v>
      </c>
      <c r="C1219" s="23">
        <f t="shared" si="1"/>
        <v>1796132.877</v>
      </c>
      <c r="D1219" s="18">
        <f>IF(A1219="","",MATCH(A1219,Calculation!B$2:B9627,1))</f>
        <v>1</v>
      </c>
      <c r="E1219" s="23">
        <f t="array" ref="E1219">IF(D1219="","",IF(D1219=1,0,INDEX(Calculation!Q$2:Q9627,D1219-1)))</f>
        <v>0</v>
      </c>
      <c r="F1219" s="23">
        <f t="array" ref="F1219">IF($A1219="","",
  LET(
    r, $D1219,
    startD, INDEX(Calculation!B$2:B9627, r),
    endD,   INDEX(Calculation!C$2:C9627, r),
    asOf,   MIN($A1219,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1796132.877</v>
      </c>
    </row>
    <row r="1220">
      <c r="A1220" s="19">
        <v>43455.0</v>
      </c>
      <c r="B1220" s="23">
        <v>1.0765E7</v>
      </c>
      <c r="C1220" s="23">
        <f t="shared" si="1"/>
        <v>1797607.534</v>
      </c>
      <c r="D1220" s="18">
        <f>IF(A1220="","",MATCH(A1220,Calculation!B$2:B9627,1))</f>
        <v>1</v>
      </c>
      <c r="E1220" s="23">
        <f t="array" ref="E1220">IF(D1220="","",IF(D1220=1,0,INDEX(Calculation!Q$2:Q9627,D1220-1)))</f>
        <v>0</v>
      </c>
      <c r="F1220" s="23">
        <f t="array" ref="F1220">IF($A1220="","",
  LET(
    r, $D1220,
    startD, INDEX(Calculation!B$2:B9627, r),
    endD,   INDEX(Calculation!C$2:C9627, r),
    asOf,   MIN($A1220,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1797607.534</v>
      </c>
    </row>
    <row r="1221">
      <c r="A1221" s="19">
        <v>43456.0</v>
      </c>
      <c r="B1221" s="23">
        <v>1.0765E7</v>
      </c>
      <c r="C1221" s="23">
        <f t="shared" si="1"/>
        <v>1799082.192</v>
      </c>
      <c r="D1221" s="18">
        <f>IF(A1221="","",MATCH(A1221,Calculation!B$2:B9627,1))</f>
        <v>1</v>
      </c>
      <c r="E1221" s="23">
        <f t="array" ref="E1221">IF(D1221="","",IF(D1221=1,0,INDEX(Calculation!Q$2:Q9627,D1221-1)))</f>
        <v>0</v>
      </c>
      <c r="F1221" s="23">
        <f t="array" ref="F1221">IF($A1221="","",
  LET(
    r, $D1221,
    startD, INDEX(Calculation!B$2:B9627, r),
    endD,   INDEX(Calculation!C$2:C9627, r),
    asOf,   MIN($A1221,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1799082.192</v>
      </c>
    </row>
    <row r="1222">
      <c r="A1222" s="19">
        <v>43457.0</v>
      </c>
      <c r="B1222" s="23">
        <v>1.0765E7</v>
      </c>
      <c r="C1222" s="23">
        <f t="shared" si="1"/>
        <v>1800556.849</v>
      </c>
      <c r="D1222" s="18">
        <f>IF(A1222="","",MATCH(A1222,Calculation!B$2:B9627,1))</f>
        <v>1</v>
      </c>
      <c r="E1222" s="23">
        <f t="array" ref="E1222">IF(D1222="","",IF(D1222=1,0,INDEX(Calculation!Q$2:Q9627,D1222-1)))</f>
        <v>0</v>
      </c>
      <c r="F1222" s="23">
        <f t="array" ref="F1222">IF($A1222="","",
  LET(
    r, $D1222,
    startD, INDEX(Calculation!B$2:B9627, r),
    endD,   INDEX(Calculation!C$2:C9627, r),
    asOf,   MIN($A1222,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1800556.849</v>
      </c>
    </row>
    <row r="1223">
      <c r="A1223" s="19">
        <v>43458.0</v>
      </c>
      <c r="B1223" s="23">
        <v>1.0765E7</v>
      </c>
      <c r="C1223" s="23">
        <f t="shared" si="1"/>
        <v>1802031.507</v>
      </c>
      <c r="D1223" s="18">
        <f>IF(A1223="","",MATCH(A1223,Calculation!B$2:B9627,1))</f>
        <v>1</v>
      </c>
      <c r="E1223" s="23">
        <f t="array" ref="E1223">IF(D1223="","",IF(D1223=1,0,INDEX(Calculation!Q$2:Q9627,D1223-1)))</f>
        <v>0</v>
      </c>
      <c r="F1223" s="23">
        <f t="array" ref="F1223">IF($A1223="","",
  LET(
    r, $D1223,
    startD, INDEX(Calculation!B$2:B9627, r),
    endD,   INDEX(Calculation!C$2:C9627, r),
    asOf,   MIN($A1223,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1802031.507</v>
      </c>
    </row>
    <row r="1224">
      <c r="A1224" s="19">
        <v>43459.0</v>
      </c>
      <c r="B1224" s="23">
        <v>1.0765E7</v>
      </c>
      <c r="C1224" s="23">
        <f t="shared" si="1"/>
        <v>1803506.164</v>
      </c>
      <c r="D1224" s="18">
        <f>IF(A1224="","",MATCH(A1224,Calculation!B$2:B9627,1))</f>
        <v>1</v>
      </c>
      <c r="E1224" s="23">
        <f t="array" ref="E1224">IF(D1224="","",IF(D1224=1,0,INDEX(Calculation!Q$2:Q9627,D1224-1)))</f>
        <v>0</v>
      </c>
      <c r="F1224" s="23">
        <f t="array" ref="F1224">IF($A1224="","",
  LET(
    r, $D1224,
    startD, INDEX(Calculation!B$2:B9627, r),
    endD,   INDEX(Calculation!C$2:C9627, r),
    asOf,   MIN($A1224,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1803506.164</v>
      </c>
    </row>
    <row r="1225">
      <c r="A1225" s="19">
        <v>43460.0</v>
      </c>
      <c r="B1225" s="23">
        <v>1.0765E7</v>
      </c>
      <c r="C1225" s="23">
        <f t="shared" si="1"/>
        <v>1804980.822</v>
      </c>
      <c r="D1225" s="18">
        <f>IF(A1225="","",MATCH(A1225,Calculation!B$2:B9627,1))</f>
        <v>1</v>
      </c>
      <c r="E1225" s="23">
        <f t="array" ref="E1225">IF(D1225="","",IF(D1225=1,0,INDEX(Calculation!Q$2:Q9627,D1225-1)))</f>
        <v>0</v>
      </c>
      <c r="F1225" s="23">
        <f t="array" ref="F1225">IF($A1225="","",
  LET(
    r, $D1225,
    startD, INDEX(Calculation!B$2:B9627, r),
    endD,   INDEX(Calculation!C$2:C9627, r),
    asOf,   MIN($A1225,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1804980.822</v>
      </c>
    </row>
    <row r="1226">
      <c r="A1226" s="19">
        <v>43461.0</v>
      </c>
      <c r="B1226" s="23">
        <v>1.0765E7</v>
      </c>
      <c r="C1226" s="23">
        <f t="shared" si="1"/>
        <v>1806455.479</v>
      </c>
      <c r="D1226" s="18">
        <f>IF(A1226="","",MATCH(A1226,Calculation!B$2:B9627,1))</f>
        <v>1</v>
      </c>
      <c r="E1226" s="23">
        <f t="array" ref="E1226">IF(D1226="","",IF(D1226=1,0,INDEX(Calculation!Q$2:Q9627,D1226-1)))</f>
        <v>0</v>
      </c>
      <c r="F1226" s="23">
        <f t="array" ref="F1226">IF($A1226="","",
  LET(
    r, $D1226,
    startD, INDEX(Calculation!B$2:B9627, r),
    endD,   INDEX(Calculation!C$2:C9627, r),
    asOf,   MIN($A1226,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1806455.479</v>
      </c>
    </row>
    <row r="1227">
      <c r="A1227" s="19">
        <v>43462.0</v>
      </c>
      <c r="B1227" s="23">
        <v>1.0765E7</v>
      </c>
      <c r="C1227" s="23">
        <f t="shared" si="1"/>
        <v>1807930.137</v>
      </c>
      <c r="D1227" s="18">
        <f>IF(A1227="","",MATCH(A1227,Calculation!B$2:B9627,1))</f>
        <v>1</v>
      </c>
      <c r="E1227" s="23">
        <f t="array" ref="E1227">IF(D1227="","",IF(D1227=1,0,INDEX(Calculation!Q$2:Q9627,D1227-1)))</f>
        <v>0</v>
      </c>
      <c r="F1227" s="23">
        <f t="array" ref="F1227">IF($A1227="","",
  LET(
    r, $D1227,
    startD, INDEX(Calculation!B$2:B9627, r),
    endD,   INDEX(Calculation!C$2:C9627, r),
    asOf,   MIN($A1227,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1807930.137</v>
      </c>
    </row>
    <row r="1228">
      <c r="A1228" s="19">
        <v>43463.0</v>
      </c>
      <c r="B1228" s="23">
        <v>1.0765E7</v>
      </c>
      <c r="C1228" s="23">
        <f t="shared" si="1"/>
        <v>1809404.795</v>
      </c>
      <c r="D1228" s="18">
        <f>IF(A1228="","",MATCH(A1228,Calculation!B$2:B9627,1))</f>
        <v>1</v>
      </c>
      <c r="E1228" s="23">
        <f t="array" ref="E1228">IF(D1228="","",IF(D1228=1,0,INDEX(Calculation!Q$2:Q9627,D1228-1)))</f>
        <v>0</v>
      </c>
      <c r="F1228" s="23">
        <f t="array" ref="F1228">IF($A1228="","",
  LET(
    r, $D1228,
    startD, INDEX(Calculation!B$2:B9627, r),
    endD,   INDEX(Calculation!C$2:C9627, r),
    asOf,   MIN($A1228,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1809404.795</v>
      </c>
    </row>
    <row r="1229">
      <c r="A1229" s="19">
        <v>43464.0</v>
      </c>
      <c r="B1229" s="23">
        <v>1.0765E7</v>
      </c>
      <c r="C1229" s="23">
        <f t="shared" si="1"/>
        <v>1810879.452</v>
      </c>
      <c r="D1229" s="18">
        <f>IF(A1229="","",MATCH(A1229,Calculation!B$2:B9627,1))</f>
        <v>1</v>
      </c>
      <c r="E1229" s="23">
        <f t="array" ref="E1229">IF(D1229="","",IF(D1229=1,0,INDEX(Calculation!Q$2:Q9627,D1229-1)))</f>
        <v>0</v>
      </c>
      <c r="F1229" s="23">
        <f t="array" ref="F1229">IF($A1229="","",
  LET(
    r, $D1229,
    startD, INDEX(Calculation!B$2:B9627, r),
    endD,   INDEX(Calculation!C$2:C9627, r),
    asOf,   MIN($A1229,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1810879.452</v>
      </c>
    </row>
    <row r="1230">
      <c r="A1230" s="19">
        <v>43465.0</v>
      </c>
      <c r="B1230" s="23">
        <v>1.0765E7</v>
      </c>
      <c r="C1230" s="23">
        <f t="shared" si="1"/>
        <v>1812354.11</v>
      </c>
      <c r="D1230" s="18">
        <f>IF(A1230="","",MATCH(A1230,Calculation!B$2:B9627,1))</f>
        <v>1</v>
      </c>
      <c r="E1230" s="23">
        <f t="array" ref="E1230">IF(D1230="","",IF(D1230=1,0,INDEX(Calculation!Q$2:Q9627,D1230-1)))</f>
        <v>0</v>
      </c>
      <c r="F1230" s="23">
        <f t="array" ref="F1230">IF($A1230="","",
  LET(
    r, $D1230,
    startD, INDEX(Calculation!B$2:B9627, r),
    endD,   INDEX(Calculation!C$2:C9627, r),
    asOf,   MIN($A1230,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1812354.11</v>
      </c>
    </row>
    <row r="1231">
      <c r="A1231" s="19">
        <v>43466.0</v>
      </c>
      <c r="B1231" s="23">
        <v>1.0765E7</v>
      </c>
      <c r="C1231" s="23">
        <f t="shared" si="1"/>
        <v>1813828.767</v>
      </c>
      <c r="D1231" s="18">
        <f>IF(A1231="","",MATCH(A1231,Calculation!B$2:B9627,1))</f>
        <v>1</v>
      </c>
      <c r="E1231" s="23">
        <f t="array" ref="E1231">IF(D1231="","",IF(D1231=1,0,INDEX(Calculation!Q$2:Q9627,D1231-1)))</f>
        <v>0</v>
      </c>
      <c r="F1231" s="23">
        <f t="array" ref="F1231">IF($A1231="","",
  LET(
    r, $D1231,
    startD, INDEX(Calculation!B$2:B9627, r),
    endD,   INDEX(Calculation!C$2:C9627, r),
    asOf,   MIN($A1231,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1813828.767</v>
      </c>
    </row>
    <row r="1232">
      <c r="A1232" s="19">
        <v>43467.0</v>
      </c>
      <c r="B1232" s="23">
        <v>1.0765E7</v>
      </c>
      <c r="C1232" s="23">
        <f t="shared" si="1"/>
        <v>1815303.425</v>
      </c>
      <c r="D1232" s="18">
        <f>IF(A1232="","",MATCH(A1232,Calculation!B$2:B9627,1))</f>
        <v>1</v>
      </c>
      <c r="E1232" s="23">
        <f t="array" ref="E1232">IF(D1232="","",IF(D1232=1,0,INDEX(Calculation!Q$2:Q9627,D1232-1)))</f>
        <v>0</v>
      </c>
      <c r="F1232" s="23">
        <f t="array" ref="F1232">IF($A1232="","",
  LET(
    r, $D1232,
    startD, INDEX(Calculation!B$2:B9627, r),
    endD,   INDEX(Calculation!C$2:C9627, r),
    asOf,   MIN($A1232,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1815303.425</v>
      </c>
    </row>
    <row r="1233">
      <c r="A1233" s="19">
        <v>43468.0</v>
      </c>
      <c r="B1233" s="23">
        <v>1.0765E7</v>
      </c>
      <c r="C1233" s="23">
        <f t="shared" si="1"/>
        <v>1816778.082</v>
      </c>
      <c r="D1233" s="18">
        <f>IF(A1233="","",MATCH(A1233,Calculation!B$2:B9627,1))</f>
        <v>1</v>
      </c>
      <c r="E1233" s="23">
        <f t="array" ref="E1233">IF(D1233="","",IF(D1233=1,0,INDEX(Calculation!Q$2:Q9627,D1233-1)))</f>
        <v>0</v>
      </c>
      <c r="F1233" s="23">
        <f t="array" ref="F1233">IF($A1233="","",
  LET(
    r, $D1233,
    startD, INDEX(Calculation!B$2:B9627, r),
    endD,   INDEX(Calculation!C$2:C9627, r),
    asOf,   MIN($A1233,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1816778.082</v>
      </c>
    </row>
    <row r="1234">
      <c r="A1234" s="19">
        <v>43469.0</v>
      </c>
      <c r="B1234" s="23">
        <v>1.0765E7</v>
      </c>
      <c r="C1234" s="23">
        <f t="shared" si="1"/>
        <v>1818252.74</v>
      </c>
      <c r="D1234" s="18">
        <f>IF(A1234="","",MATCH(A1234,Calculation!B$2:B9627,1))</f>
        <v>1</v>
      </c>
      <c r="E1234" s="23">
        <f t="array" ref="E1234">IF(D1234="","",IF(D1234=1,0,INDEX(Calculation!Q$2:Q9627,D1234-1)))</f>
        <v>0</v>
      </c>
      <c r="F1234" s="23">
        <f t="array" ref="F1234">IF($A1234="","",
  LET(
    r, $D1234,
    startD, INDEX(Calculation!B$2:B9627, r),
    endD,   INDEX(Calculation!C$2:C9627, r),
    asOf,   MIN($A1234,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1818252.74</v>
      </c>
    </row>
    <row r="1235">
      <c r="A1235" s="19">
        <v>43470.0</v>
      </c>
      <c r="B1235" s="23">
        <v>1.0765E7</v>
      </c>
      <c r="C1235" s="23">
        <f t="shared" si="1"/>
        <v>1819727.397</v>
      </c>
      <c r="D1235" s="18">
        <f>IF(A1235="","",MATCH(A1235,Calculation!B$2:B9627,1))</f>
        <v>1</v>
      </c>
      <c r="E1235" s="23">
        <f t="array" ref="E1235">IF(D1235="","",IF(D1235=1,0,INDEX(Calculation!Q$2:Q9627,D1235-1)))</f>
        <v>0</v>
      </c>
      <c r="F1235" s="23">
        <f t="array" ref="F1235">IF($A1235="","",
  LET(
    r, $D1235,
    startD, INDEX(Calculation!B$2:B9627, r),
    endD,   INDEX(Calculation!C$2:C9627, r),
    asOf,   MIN($A1235,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1819727.397</v>
      </c>
    </row>
    <row r="1236">
      <c r="A1236" s="19">
        <v>43471.0</v>
      </c>
      <c r="B1236" s="23">
        <v>1.0765E7</v>
      </c>
      <c r="C1236" s="23">
        <f t="shared" si="1"/>
        <v>1821202.055</v>
      </c>
      <c r="D1236" s="18">
        <f>IF(A1236="","",MATCH(A1236,Calculation!B$2:B9627,1))</f>
        <v>1</v>
      </c>
      <c r="E1236" s="23">
        <f t="array" ref="E1236">IF(D1236="","",IF(D1236=1,0,INDEX(Calculation!Q$2:Q9627,D1236-1)))</f>
        <v>0</v>
      </c>
      <c r="F1236" s="23">
        <f t="array" ref="F1236">IF($A1236="","",
  LET(
    r, $D1236,
    startD, INDEX(Calculation!B$2:B9627, r),
    endD,   INDEX(Calculation!C$2:C9627, r),
    asOf,   MIN($A1236,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1821202.055</v>
      </c>
    </row>
    <row r="1237">
      <c r="A1237" s="19">
        <v>43472.0</v>
      </c>
      <c r="B1237" s="23">
        <v>1.0765E7</v>
      </c>
      <c r="C1237" s="23">
        <f t="shared" si="1"/>
        <v>1822676.712</v>
      </c>
      <c r="D1237" s="18">
        <f>IF(A1237="","",MATCH(A1237,Calculation!B$2:B9627,1))</f>
        <v>1</v>
      </c>
      <c r="E1237" s="23">
        <f t="array" ref="E1237">IF(D1237="","",IF(D1237=1,0,INDEX(Calculation!Q$2:Q9627,D1237-1)))</f>
        <v>0</v>
      </c>
      <c r="F1237" s="23">
        <f t="array" ref="F1237">IF($A1237="","",
  LET(
    r, $D1237,
    startD, INDEX(Calculation!B$2:B9627, r),
    endD,   INDEX(Calculation!C$2:C9627, r),
    asOf,   MIN($A1237,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1822676.712</v>
      </c>
    </row>
    <row r="1238">
      <c r="A1238" s="19">
        <v>43473.0</v>
      </c>
      <c r="B1238" s="23">
        <v>1.0765E7</v>
      </c>
      <c r="C1238" s="23">
        <f t="shared" si="1"/>
        <v>1824151.37</v>
      </c>
      <c r="D1238" s="18">
        <f>IF(A1238="","",MATCH(A1238,Calculation!B$2:B9627,1))</f>
        <v>1</v>
      </c>
      <c r="E1238" s="23">
        <f t="array" ref="E1238">IF(D1238="","",IF(D1238=1,0,INDEX(Calculation!Q$2:Q9627,D1238-1)))</f>
        <v>0</v>
      </c>
      <c r="F1238" s="23">
        <f t="array" ref="F1238">IF($A1238="","",
  LET(
    r, $D1238,
    startD, INDEX(Calculation!B$2:B9627, r),
    endD,   INDEX(Calculation!C$2:C9627, r),
    asOf,   MIN($A1238,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1824151.37</v>
      </c>
    </row>
    <row r="1239">
      <c r="A1239" s="19">
        <v>43474.0</v>
      </c>
      <c r="B1239" s="23">
        <v>1.0765E7</v>
      </c>
      <c r="C1239" s="23">
        <f t="shared" si="1"/>
        <v>1825626.027</v>
      </c>
      <c r="D1239" s="18">
        <f>IF(A1239="","",MATCH(A1239,Calculation!B$2:B9627,1))</f>
        <v>1</v>
      </c>
      <c r="E1239" s="23">
        <f t="array" ref="E1239">IF(D1239="","",IF(D1239=1,0,INDEX(Calculation!Q$2:Q9627,D1239-1)))</f>
        <v>0</v>
      </c>
      <c r="F1239" s="23">
        <f t="array" ref="F1239">IF($A1239="","",
  LET(
    r, $D1239,
    startD, INDEX(Calculation!B$2:B9627, r),
    endD,   INDEX(Calculation!C$2:C9627, r),
    asOf,   MIN($A1239,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1825626.027</v>
      </c>
    </row>
    <row r="1240">
      <c r="A1240" s="19">
        <v>43475.0</v>
      </c>
      <c r="B1240" s="23">
        <v>1.0765E7</v>
      </c>
      <c r="C1240" s="23">
        <f t="shared" si="1"/>
        <v>1827100.685</v>
      </c>
      <c r="D1240" s="18">
        <f>IF(A1240="","",MATCH(A1240,Calculation!B$2:B9627,1))</f>
        <v>1</v>
      </c>
      <c r="E1240" s="23">
        <f t="array" ref="E1240">IF(D1240="","",IF(D1240=1,0,INDEX(Calculation!Q$2:Q9627,D1240-1)))</f>
        <v>0</v>
      </c>
      <c r="F1240" s="23">
        <f t="array" ref="F1240">IF($A1240="","",
  LET(
    r, $D1240,
    startD, INDEX(Calculation!B$2:B9627, r),
    endD,   INDEX(Calculation!C$2:C9627, r),
    asOf,   MIN($A1240,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1827100.685</v>
      </c>
    </row>
    <row r="1241">
      <c r="A1241" s="19">
        <v>43476.0</v>
      </c>
      <c r="B1241" s="23">
        <v>1.0765E7</v>
      </c>
      <c r="C1241" s="23">
        <f t="shared" si="1"/>
        <v>1828575.342</v>
      </c>
      <c r="D1241" s="18">
        <f>IF(A1241="","",MATCH(A1241,Calculation!B$2:B9627,1))</f>
        <v>1</v>
      </c>
      <c r="E1241" s="23">
        <f t="array" ref="E1241">IF(D1241="","",IF(D1241=1,0,INDEX(Calculation!Q$2:Q9627,D1241-1)))</f>
        <v>0</v>
      </c>
      <c r="F1241" s="23">
        <f t="array" ref="F1241">IF($A1241="","",
  LET(
    r, $D1241,
    startD, INDEX(Calculation!B$2:B9627, r),
    endD,   INDEX(Calculation!C$2:C9627, r),
    asOf,   MIN($A1241,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1828575.342</v>
      </c>
    </row>
    <row r="1242">
      <c r="A1242" s="19">
        <v>43477.0</v>
      </c>
      <c r="B1242" s="23">
        <v>1.0765E7</v>
      </c>
      <c r="C1242" s="23">
        <f t="shared" si="1"/>
        <v>1830050</v>
      </c>
      <c r="D1242" s="18">
        <f>IF(A1242="","",MATCH(A1242,Calculation!B$2:B9627,1))</f>
        <v>1</v>
      </c>
      <c r="E1242" s="23">
        <f t="array" ref="E1242">IF(D1242="","",IF(D1242=1,0,INDEX(Calculation!Q$2:Q9627,D1242-1)))</f>
        <v>0</v>
      </c>
      <c r="F1242" s="23">
        <f t="array" ref="F1242">IF($A1242="","",
  LET(
    r, $D1242,
    startD, INDEX(Calculation!B$2:B9627, r),
    endD,   INDEX(Calculation!C$2:C9627, r),
    asOf,   MIN($A1242,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1830050</v>
      </c>
    </row>
    <row r="1243">
      <c r="A1243" s="19">
        <v>43478.0</v>
      </c>
      <c r="B1243" s="23">
        <v>1.0765E7</v>
      </c>
      <c r="C1243" s="23">
        <f t="shared" si="1"/>
        <v>1831524.658</v>
      </c>
      <c r="D1243" s="18">
        <f>IF(A1243="","",MATCH(A1243,Calculation!B$2:B9627,1))</f>
        <v>1</v>
      </c>
      <c r="E1243" s="23">
        <f t="array" ref="E1243">IF(D1243="","",IF(D1243=1,0,INDEX(Calculation!Q$2:Q9627,D1243-1)))</f>
        <v>0</v>
      </c>
      <c r="F1243" s="23">
        <f t="array" ref="F1243">IF($A1243="","",
  LET(
    r, $D1243,
    startD, INDEX(Calculation!B$2:B9627, r),
    endD,   INDEX(Calculation!C$2:C9627, r),
    asOf,   MIN($A1243,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1831524.658</v>
      </c>
    </row>
    <row r="1244">
      <c r="A1244" s="19">
        <v>43479.0</v>
      </c>
      <c r="B1244" s="23">
        <v>1.0765E7</v>
      </c>
      <c r="C1244" s="23">
        <f t="shared" si="1"/>
        <v>1832999.315</v>
      </c>
      <c r="D1244" s="18">
        <f>IF(A1244="","",MATCH(A1244,Calculation!B$2:B9627,1))</f>
        <v>1</v>
      </c>
      <c r="E1244" s="23">
        <f t="array" ref="E1244">IF(D1244="","",IF(D1244=1,0,INDEX(Calculation!Q$2:Q9627,D1244-1)))</f>
        <v>0</v>
      </c>
      <c r="F1244" s="23">
        <f t="array" ref="F1244">IF($A1244="","",
  LET(
    r, $D1244,
    startD, INDEX(Calculation!B$2:B9627, r),
    endD,   INDEX(Calculation!C$2:C9627, r),
    asOf,   MIN($A1244,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1832999.315</v>
      </c>
    </row>
    <row r="1245">
      <c r="A1245" s="19">
        <v>43480.0</v>
      </c>
      <c r="B1245" s="23">
        <v>1.0765E7</v>
      </c>
      <c r="C1245" s="23">
        <f t="shared" si="1"/>
        <v>1834473.973</v>
      </c>
      <c r="D1245" s="18">
        <f>IF(A1245="","",MATCH(A1245,Calculation!B$2:B9627,1))</f>
        <v>1</v>
      </c>
      <c r="E1245" s="23">
        <f t="array" ref="E1245">IF(D1245="","",IF(D1245=1,0,INDEX(Calculation!Q$2:Q9627,D1245-1)))</f>
        <v>0</v>
      </c>
      <c r="F1245" s="23">
        <f t="array" ref="F1245">IF($A1245="","",
  LET(
    r, $D1245,
    startD, INDEX(Calculation!B$2:B9627, r),
    endD,   INDEX(Calculation!C$2:C9627, r),
    asOf,   MIN($A1245,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1834473.973</v>
      </c>
    </row>
    <row r="1246">
      <c r="A1246" s="19">
        <v>43481.0</v>
      </c>
      <c r="B1246" s="23">
        <v>1.0765E7</v>
      </c>
      <c r="C1246" s="23">
        <f t="shared" si="1"/>
        <v>1835948.63</v>
      </c>
      <c r="D1246" s="18">
        <f>IF(A1246="","",MATCH(A1246,Calculation!B$2:B9627,1))</f>
        <v>1</v>
      </c>
      <c r="E1246" s="23">
        <f t="array" ref="E1246">IF(D1246="","",IF(D1246=1,0,INDEX(Calculation!Q$2:Q9627,D1246-1)))</f>
        <v>0</v>
      </c>
      <c r="F1246" s="23">
        <f t="array" ref="F1246">IF($A1246="","",
  LET(
    r, $D1246,
    startD, INDEX(Calculation!B$2:B9627, r),
    endD,   INDEX(Calculation!C$2:C9627, r),
    asOf,   MIN($A1246,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1835948.63</v>
      </c>
    </row>
    <row r="1247">
      <c r="A1247" s="19">
        <v>43482.0</v>
      </c>
      <c r="B1247" s="23">
        <v>1.0765E7</v>
      </c>
      <c r="C1247" s="23">
        <f t="shared" si="1"/>
        <v>1837423.288</v>
      </c>
      <c r="D1247" s="18">
        <f>IF(A1247="","",MATCH(A1247,Calculation!B$2:B9627,1))</f>
        <v>1</v>
      </c>
      <c r="E1247" s="23">
        <f t="array" ref="E1247">IF(D1247="","",IF(D1247=1,0,INDEX(Calculation!Q$2:Q9627,D1247-1)))</f>
        <v>0</v>
      </c>
      <c r="F1247" s="23">
        <f t="array" ref="F1247">IF($A1247="","",
  LET(
    r, $D1247,
    startD, INDEX(Calculation!B$2:B9627, r),
    endD,   INDEX(Calculation!C$2:C9627, r),
    asOf,   MIN($A1247,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1837423.288</v>
      </c>
    </row>
    <row r="1248">
      <c r="A1248" s="19">
        <v>43483.0</v>
      </c>
      <c r="B1248" s="23">
        <v>1.0765E7</v>
      </c>
      <c r="C1248" s="23">
        <f t="shared" si="1"/>
        <v>1838897.945</v>
      </c>
      <c r="D1248" s="18">
        <f>IF(A1248="","",MATCH(A1248,Calculation!B$2:B9627,1))</f>
        <v>1</v>
      </c>
      <c r="E1248" s="23">
        <f t="array" ref="E1248">IF(D1248="","",IF(D1248=1,0,INDEX(Calculation!Q$2:Q9627,D1248-1)))</f>
        <v>0</v>
      </c>
      <c r="F1248" s="23">
        <f t="array" ref="F1248">IF($A1248="","",
  LET(
    r, $D1248,
    startD, INDEX(Calculation!B$2:B9627, r),
    endD,   INDEX(Calculation!C$2:C9627, r),
    asOf,   MIN($A1248,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1838897.945</v>
      </c>
    </row>
    <row r="1249">
      <c r="A1249" s="19">
        <v>43484.0</v>
      </c>
      <c r="B1249" s="23">
        <v>1.0765E7</v>
      </c>
      <c r="C1249" s="23">
        <f t="shared" si="1"/>
        <v>1840372.603</v>
      </c>
      <c r="D1249" s="18">
        <f>IF(A1249="","",MATCH(A1249,Calculation!B$2:B9627,1))</f>
        <v>1</v>
      </c>
      <c r="E1249" s="23">
        <f t="array" ref="E1249">IF(D1249="","",IF(D1249=1,0,INDEX(Calculation!Q$2:Q9627,D1249-1)))</f>
        <v>0</v>
      </c>
      <c r="F1249" s="23">
        <f t="array" ref="F1249">IF($A1249="","",
  LET(
    r, $D1249,
    startD, INDEX(Calculation!B$2:B9627, r),
    endD,   INDEX(Calculation!C$2:C9627, r),
    asOf,   MIN($A1249,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1840372.603</v>
      </c>
    </row>
    <row r="1250">
      <c r="A1250" s="19">
        <v>43485.0</v>
      </c>
      <c r="B1250" s="23">
        <v>1.0765E7</v>
      </c>
      <c r="C1250" s="23">
        <f t="shared" si="1"/>
        <v>1841847.26</v>
      </c>
      <c r="D1250" s="18">
        <f>IF(A1250="","",MATCH(A1250,Calculation!B$2:B9627,1))</f>
        <v>1</v>
      </c>
      <c r="E1250" s="23">
        <f t="array" ref="E1250">IF(D1250="","",IF(D1250=1,0,INDEX(Calculation!Q$2:Q9627,D1250-1)))</f>
        <v>0</v>
      </c>
      <c r="F1250" s="23">
        <f t="array" ref="F1250">IF($A1250="","",
  LET(
    r, $D1250,
    startD, INDEX(Calculation!B$2:B9627, r),
    endD,   INDEX(Calculation!C$2:C9627, r),
    asOf,   MIN($A1250,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1841847.26</v>
      </c>
    </row>
    <row r="1251">
      <c r="A1251" s="19">
        <v>43486.0</v>
      </c>
      <c r="B1251" s="23">
        <v>1.0765E7</v>
      </c>
      <c r="C1251" s="23">
        <f t="shared" si="1"/>
        <v>1843321.918</v>
      </c>
      <c r="D1251" s="18">
        <f>IF(A1251="","",MATCH(A1251,Calculation!B$2:B9627,1))</f>
        <v>1</v>
      </c>
      <c r="E1251" s="23">
        <f t="array" ref="E1251">IF(D1251="","",IF(D1251=1,0,INDEX(Calculation!Q$2:Q9627,D1251-1)))</f>
        <v>0</v>
      </c>
      <c r="F1251" s="23">
        <f t="array" ref="F1251">IF($A1251="","",
  LET(
    r, $D1251,
    startD, INDEX(Calculation!B$2:B9627, r),
    endD,   INDEX(Calculation!C$2:C9627, r),
    asOf,   MIN($A1251,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1843321.918</v>
      </c>
    </row>
    <row r="1252">
      <c r="A1252" s="19">
        <v>43487.0</v>
      </c>
      <c r="B1252" s="23">
        <v>1.0765E7</v>
      </c>
      <c r="C1252" s="23">
        <f t="shared" si="1"/>
        <v>1844796.575</v>
      </c>
      <c r="D1252" s="18">
        <f>IF(A1252="","",MATCH(A1252,Calculation!B$2:B9627,1))</f>
        <v>1</v>
      </c>
      <c r="E1252" s="23">
        <f t="array" ref="E1252">IF(D1252="","",IF(D1252=1,0,INDEX(Calculation!Q$2:Q9627,D1252-1)))</f>
        <v>0</v>
      </c>
      <c r="F1252" s="23">
        <f t="array" ref="F1252">IF($A1252="","",
  LET(
    r, $D1252,
    startD, INDEX(Calculation!B$2:B9627, r),
    endD,   INDEX(Calculation!C$2:C9627, r),
    asOf,   MIN($A1252,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1844796.575</v>
      </c>
    </row>
    <row r="1253">
      <c r="A1253" s="19">
        <v>43488.0</v>
      </c>
      <c r="B1253" s="23">
        <v>1.0765E7</v>
      </c>
      <c r="C1253" s="23">
        <f t="shared" si="1"/>
        <v>1846271.233</v>
      </c>
      <c r="D1253" s="18">
        <f>IF(A1253="","",MATCH(A1253,Calculation!B$2:B9627,1))</f>
        <v>1</v>
      </c>
      <c r="E1253" s="23">
        <f t="array" ref="E1253">IF(D1253="","",IF(D1253=1,0,INDEX(Calculation!Q$2:Q9627,D1253-1)))</f>
        <v>0</v>
      </c>
      <c r="F1253" s="23">
        <f t="array" ref="F1253">IF($A1253="","",
  LET(
    r, $D1253,
    startD, INDEX(Calculation!B$2:B9627, r),
    endD,   INDEX(Calculation!C$2:C9627, r),
    asOf,   MIN($A1253,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1846271.233</v>
      </c>
    </row>
    <row r="1254">
      <c r="A1254" s="19">
        <v>43489.0</v>
      </c>
      <c r="B1254" s="23">
        <v>1.0765E7</v>
      </c>
      <c r="C1254" s="23">
        <f t="shared" si="1"/>
        <v>1847745.89</v>
      </c>
      <c r="D1254" s="18">
        <f>IF(A1254="","",MATCH(A1254,Calculation!B$2:B9627,1))</f>
        <v>1</v>
      </c>
      <c r="E1254" s="23">
        <f t="array" ref="E1254">IF(D1254="","",IF(D1254=1,0,INDEX(Calculation!Q$2:Q9627,D1254-1)))</f>
        <v>0</v>
      </c>
      <c r="F1254" s="23">
        <f t="array" ref="F1254">IF($A1254="","",
  LET(
    r, $D1254,
    startD, INDEX(Calculation!B$2:B9627, r),
    endD,   INDEX(Calculation!C$2:C9627, r),
    asOf,   MIN($A1254,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1847745.89</v>
      </c>
    </row>
    <row r="1255">
      <c r="A1255" s="19">
        <v>43490.0</v>
      </c>
      <c r="B1255" s="23">
        <v>1.0765E7</v>
      </c>
      <c r="C1255" s="23">
        <f t="shared" si="1"/>
        <v>1849220.548</v>
      </c>
      <c r="D1255" s="18">
        <f>IF(A1255="","",MATCH(A1255,Calculation!B$2:B9627,1))</f>
        <v>1</v>
      </c>
      <c r="E1255" s="23">
        <f t="array" ref="E1255">IF(D1255="","",IF(D1255=1,0,INDEX(Calculation!Q$2:Q9627,D1255-1)))</f>
        <v>0</v>
      </c>
      <c r="F1255" s="23">
        <f t="array" ref="F1255">IF($A1255="","",
  LET(
    r, $D1255,
    startD, INDEX(Calculation!B$2:B9627, r),
    endD,   INDEX(Calculation!C$2:C9627, r),
    asOf,   MIN($A1255,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1849220.548</v>
      </c>
    </row>
    <row r="1256">
      <c r="A1256" s="19">
        <v>43491.0</v>
      </c>
      <c r="B1256" s="23">
        <v>1.0765E7</v>
      </c>
      <c r="C1256" s="23">
        <f t="shared" si="1"/>
        <v>1850695.205</v>
      </c>
      <c r="D1256" s="18">
        <f>IF(A1256="","",MATCH(A1256,Calculation!B$2:B9627,1))</f>
        <v>1</v>
      </c>
      <c r="E1256" s="23">
        <f t="array" ref="E1256">IF(D1256="","",IF(D1256=1,0,INDEX(Calculation!Q$2:Q9627,D1256-1)))</f>
        <v>0</v>
      </c>
      <c r="F1256" s="23">
        <f t="array" ref="F1256">IF($A1256="","",
  LET(
    r, $D1256,
    startD, INDEX(Calculation!B$2:B9627, r),
    endD,   INDEX(Calculation!C$2:C9627, r),
    asOf,   MIN($A1256,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1850695.205</v>
      </c>
    </row>
    <row r="1257">
      <c r="A1257" s="19">
        <v>43492.0</v>
      </c>
      <c r="B1257" s="23">
        <v>1.0765E7</v>
      </c>
      <c r="C1257" s="23">
        <f t="shared" si="1"/>
        <v>1852169.863</v>
      </c>
      <c r="D1257" s="18">
        <f>IF(A1257="","",MATCH(A1257,Calculation!B$2:B9627,1))</f>
        <v>1</v>
      </c>
      <c r="E1257" s="23">
        <f t="array" ref="E1257">IF(D1257="","",IF(D1257=1,0,INDEX(Calculation!Q$2:Q9627,D1257-1)))</f>
        <v>0</v>
      </c>
      <c r="F1257" s="23">
        <f t="array" ref="F1257">IF($A1257="","",
  LET(
    r, $D1257,
    startD, INDEX(Calculation!B$2:B9627, r),
    endD,   INDEX(Calculation!C$2:C9627, r),
    asOf,   MIN($A1257,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1852169.863</v>
      </c>
    </row>
    <row r="1258">
      <c r="A1258" s="19">
        <v>43493.0</v>
      </c>
      <c r="B1258" s="23">
        <v>1.0765E7</v>
      </c>
      <c r="C1258" s="23">
        <f t="shared" si="1"/>
        <v>1853644.521</v>
      </c>
      <c r="D1258" s="18">
        <f>IF(A1258="","",MATCH(A1258,Calculation!B$2:B9627,1))</f>
        <v>1</v>
      </c>
      <c r="E1258" s="23">
        <f t="array" ref="E1258">IF(D1258="","",IF(D1258=1,0,INDEX(Calculation!Q$2:Q9627,D1258-1)))</f>
        <v>0</v>
      </c>
      <c r="F1258" s="23">
        <f t="array" ref="F1258">IF($A1258="","",
  LET(
    r, $D1258,
    startD, INDEX(Calculation!B$2:B9627, r),
    endD,   INDEX(Calculation!C$2:C9627, r),
    asOf,   MIN($A1258,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1853644.521</v>
      </c>
    </row>
    <row r="1259">
      <c r="A1259" s="19">
        <v>43494.0</v>
      </c>
      <c r="B1259" s="23">
        <v>1.0765E7</v>
      </c>
      <c r="C1259" s="23">
        <f t="shared" si="1"/>
        <v>1855119.178</v>
      </c>
      <c r="D1259" s="18">
        <f>IF(A1259="","",MATCH(A1259,Calculation!B$2:B9627,1))</f>
        <v>1</v>
      </c>
      <c r="E1259" s="23">
        <f t="array" ref="E1259">IF(D1259="","",IF(D1259=1,0,INDEX(Calculation!Q$2:Q9627,D1259-1)))</f>
        <v>0</v>
      </c>
      <c r="F1259" s="23">
        <f t="array" ref="F1259">IF($A1259="","",
  LET(
    r, $D1259,
    startD, INDEX(Calculation!B$2:B9627, r),
    endD,   INDEX(Calculation!C$2:C9627, r),
    asOf,   MIN($A1259,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1855119.178</v>
      </c>
    </row>
    <row r="1260">
      <c r="A1260" s="19">
        <v>43495.0</v>
      </c>
      <c r="B1260" s="23">
        <v>1.0765E7</v>
      </c>
      <c r="C1260" s="23">
        <f t="shared" si="1"/>
        <v>1856593.836</v>
      </c>
      <c r="D1260" s="18">
        <f>IF(A1260="","",MATCH(A1260,Calculation!B$2:B9627,1))</f>
        <v>1</v>
      </c>
      <c r="E1260" s="23">
        <f t="array" ref="E1260">IF(D1260="","",IF(D1260=1,0,INDEX(Calculation!Q$2:Q9627,D1260-1)))</f>
        <v>0</v>
      </c>
      <c r="F1260" s="23">
        <f t="array" ref="F1260">IF($A1260="","",
  LET(
    r, $D1260,
    startD, INDEX(Calculation!B$2:B9627, r),
    endD,   INDEX(Calculation!C$2:C9627, r),
    asOf,   MIN($A1260,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1856593.836</v>
      </c>
    </row>
    <row r="1261">
      <c r="A1261" s="19">
        <v>43496.0</v>
      </c>
      <c r="B1261" s="23">
        <v>1.0765E7</v>
      </c>
      <c r="C1261" s="23">
        <f t="shared" si="1"/>
        <v>1858068.493</v>
      </c>
      <c r="D1261" s="18">
        <f>IF(A1261="","",MATCH(A1261,Calculation!B$2:B9627,1))</f>
        <v>1</v>
      </c>
      <c r="E1261" s="23">
        <f t="array" ref="E1261">IF(D1261="","",IF(D1261=1,0,INDEX(Calculation!Q$2:Q9627,D1261-1)))</f>
        <v>0</v>
      </c>
      <c r="F1261" s="23">
        <f t="array" ref="F1261">IF($A1261="","",
  LET(
    r, $D1261,
    startD, INDEX(Calculation!B$2:B9627, r),
    endD,   INDEX(Calculation!C$2:C9627, r),
    asOf,   MIN($A1261,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1858068.493</v>
      </c>
    </row>
    <row r="1262">
      <c r="A1262" s="19">
        <v>43497.0</v>
      </c>
      <c r="B1262" s="23">
        <v>1.0765E7</v>
      </c>
      <c r="C1262" s="23">
        <f t="shared" si="1"/>
        <v>1859543.151</v>
      </c>
      <c r="D1262" s="18">
        <f>IF(A1262="","",MATCH(A1262,Calculation!B$2:B9627,1))</f>
        <v>1</v>
      </c>
      <c r="E1262" s="23">
        <f t="array" ref="E1262">IF(D1262="","",IF(D1262=1,0,INDEX(Calculation!Q$2:Q9627,D1262-1)))</f>
        <v>0</v>
      </c>
      <c r="F1262" s="23">
        <f t="array" ref="F1262">IF($A1262="","",
  LET(
    r, $D1262,
    startD, INDEX(Calculation!B$2:B9627, r),
    endD,   INDEX(Calculation!C$2:C9627, r),
    asOf,   MIN($A1262,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1859543.151</v>
      </c>
    </row>
    <row r="1263">
      <c r="A1263" s="19">
        <v>43498.0</v>
      </c>
      <c r="B1263" s="23">
        <v>1.0765E7</v>
      </c>
      <c r="C1263" s="23">
        <f t="shared" si="1"/>
        <v>1861017.808</v>
      </c>
      <c r="D1263" s="18">
        <f>IF(A1263="","",MATCH(A1263,Calculation!B$2:B9627,1))</f>
        <v>1</v>
      </c>
      <c r="E1263" s="23">
        <f t="array" ref="E1263">IF(D1263="","",IF(D1263=1,0,INDEX(Calculation!Q$2:Q9627,D1263-1)))</f>
        <v>0</v>
      </c>
      <c r="F1263" s="23">
        <f t="array" ref="F1263">IF($A1263="","",
  LET(
    r, $D1263,
    startD, INDEX(Calculation!B$2:B9627, r),
    endD,   INDEX(Calculation!C$2:C9627, r),
    asOf,   MIN($A1263,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1861017.808</v>
      </c>
    </row>
    <row r="1264">
      <c r="A1264" s="19">
        <v>43499.0</v>
      </c>
      <c r="B1264" s="23">
        <v>1.0765E7</v>
      </c>
      <c r="C1264" s="23">
        <f t="shared" si="1"/>
        <v>1862492.466</v>
      </c>
      <c r="D1264" s="18">
        <f>IF(A1264="","",MATCH(A1264,Calculation!B$2:B9627,1))</f>
        <v>1</v>
      </c>
      <c r="E1264" s="23">
        <f t="array" ref="E1264">IF(D1264="","",IF(D1264=1,0,INDEX(Calculation!Q$2:Q9627,D1264-1)))</f>
        <v>0</v>
      </c>
      <c r="F1264" s="23">
        <f t="array" ref="F1264">IF($A1264="","",
  LET(
    r, $D1264,
    startD, INDEX(Calculation!B$2:B9627, r),
    endD,   INDEX(Calculation!C$2:C9627, r),
    asOf,   MIN($A1264,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1862492.466</v>
      </c>
    </row>
    <row r="1265">
      <c r="A1265" s="19">
        <v>43500.0</v>
      </c>
      <c r="B1265" s="23">
        <v>1.0765E7</v>
      </c>
      <c r="C1265" s="23">
        <f t="shared" si="1"/>
        <v>1863967.123</v>
      </c>
      <c r="D1265" s="18">
        <f>IF(A1265="","",MATCH(A1265,Calculation!B$2:B9627,1))</f>
        <v>1</v>
      </c>
      <c r="E1265" s="23">
        <f t="array" ref="E1265">IF(D1265="","",IF(D1265=1,0,INDEX(Calculation!Q$2:Q9627,D1265-1)))</f>
        <v>0</v>
      </c>
      <c r="F1265" s="23">
        <f t="array" ref="F1265">IF($A1265="","",
  LET(
    r, $D1265,
    startD, INDEX(Calculation!B$2:B9627, r),
    endD,   INDEX(Calculation!C$2:C9627, r),
    asOf,   MIN($A1265,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1863967.123</v>
      </c>
    </row>
    <row r="1266">
      <c r="A1266" s="19">
        <v>43501.0</v>
      </c>
      <c r="B1266" s="23">
        <v>1.0765E7</v>
      </c>
      <c r="C1266" s="23">
        <f t="shared" si="1"/>
        <v>1865441.781</v>
      </c>
      <c r="D1266" s="18">
        <f>IF(A1266="","",MATCH(A1266,Calculation!B$2:B9627,1))</f>
        <v>1</v>
      </c>
      <c r="E1266" s="23">
        <f t="array" ref="E1266">IF(D1266="","",IF(D1266=1,0,INDEX(Calculation!Q$2:Q9627,D1266-1)))</f>
        <v>0</v>
      </c>
      <c r="F1266" s="23">
        <f t="array" ref="F1266">IF($A1266="","",
  LET(
    r, $D1266,
    startD, INDEX(Calculation!B$2:B9627, r),
    endD,   INDEX(Calculation!C$2:C9627, r),
    asOf,   MIN($A1266,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1865441.781</v>
      </c>
    </row>
    <row r="1267">
      <c r="A1267" s="19">
        <v>43502.0</v>
      </c>
      <c r="B1267" s="23">
        <v>1.0765E7</v>
      </c>
      <c r="C1267" s="23">
        <f t="shared" si="1"/>
        <v>1866916.438</v>
      </c>
      <c r="D1267" s="18">
        <f>IF(A1267="","",MATCH(A1267,Calculation!B$2:B9627,1))</f>
        <v>1</v>
      </c>
      <c r="E1267" s="23">
        <f t="array" ref="E1267">IF(D1267="","",IF(D1267=1,0,INDEX(Calculation!Q$2:Q9627,D1267-1)))</f>
        <v>0</v>
      </c>
      <c r="F1267" s="23">
        <f t="array" ref="F1267">IF($A1267="","",
  LET(
    r, $D1267,
    startD, INDEX(Calculation!B$2:B9627, r),
    endD,   INDEX(Calculation!C$2:C9627, r),
    asOf,   MIN($A1267,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1866916.438</v>
      </c>
    </row>
    <row r="1268">
      <c r="A1268" s="19">
        <v>43503.0</v>
      </c>
      <c r="B1268" s="23">
        <v>1.0765E7</v>
      </c>
      <c r="C1268" s="23">
        <f t="shared" si="1"/>
        <v>1868391.096</v>
      </c>
      <c r="D1268" s="18">
        <f>IF(A1268="","",MATCH(A1268,Calculation!B$2:B9627,1))</f>
        <v>1</v>
      </c>
      <c r="E1268" s="23">
        <f t="array" ref="E1268">IF(D1268="","",IF(D1268=1,0,INDEX(Calculation!Q$2:Q9627,D1268-1)))</f>
        <v>0</v>
      </c>
      <c r="F1268" s="23">
        <f t="array" ref="F1268">IF($A1268="","",
  LET(
    r, $D1268,
    startD, INDEX(Calculation!B$2:B9627, r),
    endD,   INDEX(Calculation!C$2:C9627, r),
    asOf,   MIN($A1268,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1868391.096</v>
      </c>
    </row>
    <row r="1269">
      <c r="A1269" s="19">
        <v>43504.0</v>
      </c>
      <c r="B1269" s="23">
        <v>1.0765E7</v>
      </c>
      <c r="C1269" s="23">
        <f t="shared" si="1"/>
        <v>1869865.753</v>
      </c>
      <c r="D1269" s="18">
        <f>IF(A1269="","",MATCH(A1269,Calculation!B$2:B9627,1))</f>
        <v>1</v>
      </c>
      <c r="E1269" s="23">
        <f t="array" ref="E1269">IF(D1269="","",IF(D1269=1,0,INDEX(Calculation!Q$2:Q9627,D1269-1)))</f>
        <v>0</v>
      </c>
      <c r="F1269" s="23">
        <f t="array" ref="F1269">IF($A1269="","",
  LET(
    r, $D1269,
    startD, INDEX(Calculation!B$2:B9627, r),
    endD,   INDEX(Calculation!C$2:C9627, r),
    asOf,   MIN($A1269,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1869865.753</v>
      </c>
    </row>
    <row r="1270">
      <c r="A1270" s="19">
        <v>43505.0</v>
      </c>
      <c r="B1270" s="23">
        <v>1.0765E7</v>
      </c>
      <c r="C1270" s="23">
        <f t="shared" si="1"/>
        <v>1871340.411</v>
      </c>
      <c r="D1270" s="18">
        <f>IF(A1270="","",MATCH(A1270,Calculation!B$2:B9627,1))</f>
        <v>1</v>
      </c>
      <c r="E1270" s="23">
        <f t="array" ref="E1270">IF(D1270="","",IF(D1270=1,0,INDEX(Calculation!Q$2:Q9627,D1270-1)))</f>
        <v>0</v>
      </c>
      <c r="F1270" s="23">
        <f t="array" ref="F1270">IF($A1270="","",
  LET(
    r, $D1270,
    startD, INDEX(Calculation!B$2:B9627, r),
    endD,   INDEX(Calculation!C$2:C9627, r),
    asOf,   MIN($A1270,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1871340.411</v>
      </c>
    </row>
    <row r="1271">
      <c r="A1271" s="19">
        <v>43506.0</v>
      </c>
      <c r="B1271" s="23">
        <v>1.0765E7</v>
      </c>
      <c r="C1271" s="23">
        <f t="shared" si="1"/>
        <v>1872815.068</v>
      </c>
      <c r="D1271" s="18">
        <f>IF(A1271="","",MATCH(A1271,Calculation!B$2:B9627,1))</f>
        <v>1</v>
      </c>
      <c r="E1271" s="23">
        <f t="array" ref="E1271">IF(D1271="","",IF(D1271=1,0,INDEX(Calculation!Q$2:Q9627,D1271-1)))</f>
        <v>0</v>
      </c>
      <c r="F1271" s="23">
        <f t="array" ref="F1271">IF($A1271="","",
  LET(
    r, $D1271,
    startD, INDEX(Calculation!B$2:B9627, r),
    endD,   INDEX(Calculation!C$2:C9627, r),
    asOf,   MIN($A1271,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1872815.068</v>
      </c>
    </row>
    <row r="1272">
      <c r="A1272" s="19">
        <v>43507.0</v>
      </c>
      <c r="B1272" s="23">
        <v>1.0765E7</v>
      </c>
      <c r="C1272" s="23">
        <f t="shared" si="1"/>
        <v>1874289.726</v>
      </c>
      <c r="D1272" s="18">
        <f>IF(A1272="","",MATCH(A1272,Calculation!B$2:B9627,1))</f>
        <v>1</v>
      </c>
      <c r="E1272" s="23">
        <f t="array" ref="E1272">IF(D1272="","",IF(D1272=1,0,INDEX(Calculation!Q$2:Q9627,D1272-1)))</f>
        <v>0</v>
      </c>
      <c r="F1272" s="23">
        <f t="array" ref="F1272">IF($A1272="","",
  LET(
    r, $D1272,
    startD, INDEX(Calculation!B$2:B9627, r),
    endD,   INDEX(Calculation!C$2:C9627, r),
    asOf,   MIN($A1272,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1874289.726</v>
      </c>
    </row>
    <row r="1273">
      <c r="A1273" s="19">
        <v>43508.0</v>
      </c>
      <c r="B1273" s="23">
        <v>1.0765E7</v>
      </c>
      <c r="C1273" s="23">
        <f t="shared" si="1"/>
        <v>1875764.384</v>
      </c>
      <c r="D1273" s="18">
        <f>IF(A1273="","",MATCH(A1273,Calculation!B$2:B9627,1))</f>
        <v>1</v>
      </c>
      <c r="E1273" s="23">
        <f t="array" ref="E1273">IF(D1273="","",IF(D1273=1,0,INDEX(Calculation!Q$2:Q9627,D1273-1)))</f>
        <v>0</v>
      </c>
      <c r="F1273" s="23">
        <f t="array" ref="F1273">IF($A1273="","",
  LET(
    r, $D1273,
    startD, INDEX(Calculation!B$2:B9627, r),
    endD,   INDEX(Calculation!C$2:C9627, r),
    asOf,   MIN($A1273,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1875764.384</v>
      </c>
    </row>
    <row r="1274">
      <c r="A1274" s="19">
        <v>43509.0</v>
      </c>
      <c r="B1274" s="23">
        <v>1.0765E7</v>
      </c>
      <c r="C1274" s="23">
        <f t="shared" si="1"/>
        <v>1877239.041</v>
      </c>
      <c r="D1274" s="18">
        <f>IF(A1274="","",MATCH(A1274,Calculation!B$2:B9627,1))</f>
        <v>1</v>
      </c>
      <c r="E1274" s="23">
        <f t="array" ref="E1274">IF(D1274="","",IF(D1274=1,0,INDEX(Calculation!Q$2:Q9627,D1274-1)))</f>
        <v>0</v>
      </c>
      <c r="F1274" s="23">
        <f t="array" ref="F1274">IF($A1274="","",
  LET(
    r, $D1274,
    startD, INDEX(Calculation!B$2:B9627, r),
    endD,   INDEX(Calculation!C$2:C9627, r),
    asOf,   MIN($A1274,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1877239.041</v>
      </c>
    </row>
    <row r="1275">
      <c r="A1275" s="19">
        <v>43510.0</v>
      </c>
      <c r="B1275" s="23">
        <v>1.0765E7</v>
      </c>
      <c r="C1275" s="23">
        <f t="shared" si="1"/>
        <v>1878713.699</v>
      </c>
      <c r="D1275" s="18">
        <f>IF(A1275="","",MATCH(A1275,Calculation!B$2:B9627,1))</f>
        <v>1</v>
      </c>
      <c r="E1275" s="23">
        <f t="array" ref="E1275">IF(D1275="","",IF(D1275=1,0,INDEX(Calculation!Q$2:Q9627,D1275-1)))</f>
        <v>0</v>
      </c>
      <c r="F1275" s="23">
        <f t="array" ref="F1275">IF($A1275="","",
  LET(
    r, $D1275,
    startD, INDEX(Calculation!B$2:B9627, r),
    endD,   INDEX(Calculation!C$2:C9627, r),
    asOf,   MIN($A1275,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1878713.699</v>
      </c>
    </row>
    <row r="1276">
      <c r="A1276" s="19">
        <v>43511.0</v>
      </c>
      <c r="B1276" s="23">
        <v>1.0765E7</v>
      </c>
      <c r="C1276" s="23">
        <f t="shared" si="1"/>
        <v>1880188.356</v>
      </c>
      <c r="D1276" s="18">
        <f>IF(A1276="","",MATCH(A1276,Calculation!B$2:B9627,1))</f>
        <v>1</v>
      </c>
      <c r="E1276" s="23">
        <f t="array" ref="E1276">IF(D1276="","",IF(D1276=1,0,INDEX(Calculation!Q$2:Q9627,D1276-1)))</f>
        <v>0</v>
      </c>
      <c r="F1276" s="23">
        <f t="array" ref="F1276">IF($A1276="","",
  LET(
    r, $D1276,
    startD, INDEX(Calculation!B$2:B9627, r),
    endD,   INDEX(Calculation!C$2:C9627, r),
    asOf,   MIN($A1276,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1880188.356</v>
      </c>
    </row>
    <row r="1277">
      <c r="A1277" s="19">
        <v>43512.0</v>
      </c>
      <c r="B1277" s="23">
        <v>1.0765E7</v>
      </c>
      <c r="C1277" s="23">
        <f t="shared" si="1"/>
        <v>1881663.014</v>
      </c>
      <c r="D1277" s="18">
        <f>IF(A1277="","",MATCH(A1277,Calculation!B$2:B9627,1))</f>
        <v>1</v>
      </c>
      <c r="E1277" s="23">
        <f t="array" ref="E1277">IF(D1277="","",IF(D1277=1,0,INDEX(Calculation!Q$2:Q9627,D1277-1)))</f>
        <v>0</v>
      </c>
      <c r="F1277" s="23">
        <f t="array" ref="F1277">IF($A1277="","",
  LET(
    r, $D1277,
    startD, INDEX(Calculation!B$2:B9627, r),
    endD,   INDEX(Calculation!C$2:C9627, r),
    asOf,   MIN($A1277,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1881663.014</v>
      </c>
    </row>
    <row r="1278">
      <c r="A1278" s="19">
        <v>43513.0</v>
      </c>
      <c r="B1278" s="23">
        <v>1.0765E7</v>
      </c>
      <c r="C1278" s="23">
        <f t="shared" si="1"/>
        <v>1883137.671</v>
      </c>
      <c r="D1278" s="18">
        <f>IF(A1278="","",MATCH(A1278,Calculation!B$2:B9627,1))</f>
        <v>1</v>
      </c>
      <c r="E1278" s="23">
        <f t="array" ref="E1278">IF(D1278="","",IF(D1278=1,0,INDEX(Calculation!Q$2:Q9627,D1278-1)))</f>
        <v>0</v>
      </c>
      <c r="F1278" s="23">
        <f t="array" ref="F1278">IF($A1278="","",
  LET(
    r, $D1278,
    startD, INDEX(Calculation!B$2:B9627, r),
    endD,   INDEX(Calculation!C$2:C9627, r),
    asOf,   MIN($A1278,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1883137.671</v>
      </c>
    </row>
    <row r="1279">
      <c r="A1279" s="19">
        <v>43514.0</v>
      </c>
      <c r="B1279" s="23">
        <v>1.0765E7</v>
      </c>
      <c r="C1279" s="23">
        <f t="shared" si="1"/>
        <v>1884612.329</v>
      </c>
      <c r="D1279" s="18">
        <f>IF(A1279="","",MATCH(A1279,Calculation!B$2:B9627,1))</f>
        <v>1</v>
      </c>
      <c r="E1279" s="23">
        <f t="array" ref="E1279">IF(D1279="","",IF(D1279=1,0,INDEX(Calculation!Q$2:Q9627,D1279-1)))</f>
        <v>0</v>
      </c>
      <c r="F1279" s="23">
        <f t="array" ref="F1279">IF($A1279="","",
  LET(
    r, $D1279,
    startD, INDEX(Calculation!B$2:B9627, r),
    endD,   INDEX(Calculation!C$2:C9627, r),
    asOf,   MIN($A1279,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1884612.329</v>
      </c>
    </row>
    <row r="1280">
      <c r="A1280" s="19">
        <v>43515.0</v>
      </c>
      <c r="B1280" s="23">
        <v>1.0765E7</v>
      </c>
      <c r="C1280" s="23">
        <f t="shared" si="1"/>
        <v>1886086.986</v>
      </c>
      <c r="D1280" s="18">
        <f>IF(A1280="","",MATCH(A1280,Calculation!B$2:B9627,1))</f>
        <v>1</v>
      </c>
      <c r="E1280" s="23">
        <f t="array" ref="E1280">IF(D1280="","",IF(D1280=1,0,INDEX(Calculation!Q$2:Q9627,D1280-1)))</f>
        <v>0</v>
      </c>
      <c r="F1280" s="23">
        <f t="array" ref="F1280">IF($A1280="","",
  LET(
    r, $D1280,
    startD, INDEX(Calculation!B$2:B9627, r),
    endD,   INDEX(Calculation!C$2:C9627, r),
    asOf,   MIN($A1280,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1886086.986</v>
      </c>
    </row>
    <row r="1281">
      <c r="A1281" s="19">
        <v>43516.0</v>
      </c>
      <c r="B1281" s="23">
        <v>1.0765E7</v>
      </c>
      <c r="C1281" s="23">
        <f t="shared" si="1"/>
        <v>1887561.644</v>
      </c>
      <c r="D1281" s="18">
        <f>IF(A1281="","",MATCH(A1281,Calculation!B$2:B9627,1))</f>
        <v>1</v>
      </c>
      <c r="E1281" s="23">
        <f t="array" ref="E1281">IF(D1281="","",IF(D1281=1,0,INDEX(Calculation!Q$2:Q9627,D1281-1)))</f>
        <v>0</v>
      </c>
      <c r="F1281" s="23">
        <f t="array" ref="F1281">IF($A1281="","",
  LET(
    r, $D1281,
    startD, INDEX(Calculation!B$2:B9627, r),
    endD,   INDEX(Calculation!C$2:C9627, r),
    asOf,   MIN($A1281,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1887561.644</v>
      </c>
    </row>
    <row r="1282">
      <c r="A1282" s="19">
        <v>43517.0</v>
      </c>
      <c r="B1282" s="23">
        <v>1.0765E7</v>
      </c>
      <c r="C1282" s="23">
        <f t="shared" si="1"/>
        <v>1889036.301</v>
      </c>
      <c r="D1282" s="18">
        <f>IF(A1282="","",MATCH(A1282,Calculation!B$2:B9627,1))</f>
        <v>1</v>
      </c>
      <c r="E1282" s="23">
        <f t="array" ref="E1282">IF(D1282="","",IF(D1282=1,0,INDEX(Calculation!Q$2:Q9627,D1282-1)))</f>
        <v>0</v>
      </c>
      <c r="F1282" s="23">
        <f t="array" ref="F1282">IF($A1282="","",
  LET(
    r, $D1282,
    startD, INDEX(Calculation!B$2:B9627, r),
    endD,   INDEX(Calculation!C$2:C9627, r),
    asOf,   MIN($A1282,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1889036.301</v>
      </c>
    </row>
    <row r="1283">
      <c r="A1283" s="19">
        <v>43518.0</v>
      </c>
      <c r="B1283" s="23">
        <v>1.0765E7</v>
      </c>
      <c r="C1283" s="23">
        <f t="shared" si="1"/>
        <v>1890510.959</v>
      </c>
      <c r="D1283" s="18">
        <f>IF(A1283="","",MATCH(A1283,Calculation!B$2:B9627,1))</f>
        <v>1</v>
      </c>
      <c r="E1283" s="23">
        <f t="array" ref="E1283">IF(D1283="","",IF(D1283=1,0,INDEX(Calculation!Q$2:Q9627,D1283-1)))</f>
        <v>0</v>
      </c>
      <c r="F1283" s="23">
        <f t="array" ref="F1283">IF($A1283="","",
  LET(
    r, $D1283,
    startD, INDEX(Calculation!B$2:B9627, r),
    endD,   INDEX(Calculation!C$2:C9627, r),
    asOf,   MIN($A1283,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1890510.959</v>
      </c>
    </row>
    <row r="1284">
      <c r="A1284" s="19">
        <v>43519.0</v>
      </c>
      <c r="B1284" s="23">
        <v>1.0765E7</v>
      </c>
      <c r="C1284" s="23">
        <f t="shared" si="1"/>
        <v>1891985.616</v>
      </c>
      <c r="D1284" s="18">
        <f>IF(A1284="","",MATCH(A1284,Calculation!B$2:B9627,1))</f>
        <v>1</v>
      </c>
      <c r="E1284" s="23">
        <f t="array" ref="E1284">IF(D1284="","",IF(D1284=1,0,INDEX(Calculation!Q$2:Q9627,D1284-1)))</f>
        <v>0</v>
      </c>
      <c r="F1284" s="23">
        <f t="array" ref="F1284">IF($A1284="","",
  LET(
    r, $D1284,
    startD, INDEX(Calculation!B$2:B9627, r),
    endD,   INDEX(Calculation!C$2:C9627, r),
    asOf,   MIN($A1284,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1891985.616</v>
      </c>
    </row>
    <row r="1285">
      <c r="A1285" s="19">
        <v>43520.0</v>
      </c>
      <c r="B1285" s="23">
        <v>1.0765E7</v>
      </c>
      <c r="C1285" s="23">
        <f t="shared" si="1"/>
        <v>1893460.274</v>
      </c>
      <c r="D1285" s="18">
        <f>IF(A1285="","",MATCH(A1285,Calculation!B$2:B9627,1))</f>
        <v>1</v>
      </c>
      <c r="E1285" s="23">
        <f t="array" ref="E1285">IF(D1285="","",IF(D1285=1,0,INDEX(Calculation!Q$2:Q9627,D1285-1)))</f>
        <v>0</v>
      </c>
      <c r="F1285" s="23">
        <f t="array" ref="F1285">IF($A1285="","",
  LET(
    r, $D1285,
    startD, INDEX(Calculation!B$2:B9627, r),
    endD,   INDEX(Calculation!C$2:C9627, r),
    asOf,   MIN($A1285,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1893460.274</v>
      </c>
    </row>
    <row r="1286">
      <c r="A1286" s="19">
        <v>43521.0</v>
      </c>
      <c r="B1286" s="23">
        <v>1.0765E7</v>
      </c>
      <c r="C1286" s="23">
        <f t="shared" si="1"/>
        <v>1894934.932</v>
      </c>
      <c r="D1286" s="18">
        <f>IF(A1286="","",MATCH(A1286,Calculation!B$2:B9627,1))</f>
        <v>1</v>
      </c>
      <c r="E1286" s="23">
        <f t="array" ref="E1286">IF(D1286="","",IF(D1286=1,0,INDEX(Calculation!Q$2:Q9627,D1286-1)))</f>
        <v>0</v>
      </c>
      <c r="F1286" s="23">
        <f t="array" ref="F1286">IF($A1286="","",
  LET(
    r, $D1286,
    startD, INDEX(Calculation!B$2:B9627, r),
    endD,   INDEX(Calculation!C$2:C9627, r),
    asOf,   MIN($A1286,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1894934.932</v>
      </c>
    </row>
    <row r="1287">
      <c r="A1287" s="19">
        <v>43522.0</v>
      </c>
      <c r="B1287" s="23">
        <v>1.0765E7</v>
      </c>
      <c r="C1287" s="23">
        <f t="shared" si="1"/>
        <v>1896409.589</v>
      </c>
      <c r="D1287" s="18">
        <f>IF(A1287="","",MATCH(A1287,Calculation!B$2:B9627,1))</f>
        <v>1</v>
      </c>
      <c r="E1287" s="23">
        <f t="array" ref="E1287">IF(D1287="","",IF(D1287=1,0,INDEX(Calculation!Q$2:Q9627,D1287-1)))</f>
        <v>0</v>
      </c>
      <c r="F1287" s="23">
        <f t="array" ref="F1287">IF($A1287="","",
  LET(
    r, $D1287,
    startD, INDEX(Calculation!B$2:B9627, r),
    endD,   INDEX(Calculation!C$2:C9627, r),
    asOf,   MIN($A1287,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1896409.589</v>
      </c>
    </row>
    <row r="1288">
      <c r="A1288" s="19">
        <v>43523.0</v>
      </c>
      <c r="B1288" s="23">
        <v>1.0765E7</v>
      </c>
      <c r="C1288" s="23">
        <f t="shared" si="1"/>
        <v>1897884.247</v>
      </c>
      <c r="D1288" s="18">
        <f>IF(A1288="","",MATCH(A1288,Calculation!B$2:B9627,1))</f>
        <v>1</v>
      </c>
      <c r="E1288" s="23">
        <f t="array" ref="E1288">IF(D1288="","",IF(D1288=1,0,INDEX(Calculation!Q$2:Q9627,D1288-1)))</f>
        <v>0</v>
      </c>
      <c r="F1288" s="23">
        <f t="array" ref="F1288">IF($A1288="","",
  LET(
    r, $D1288,
    startD, INDEX(Calculation!B$2:B9627, r),
    endD,   INDEX(Calculation!C$2:C9627, r),
    asOf,   MIN($A1288,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1897884.247</v>
      </c>
    </row>
    <row r="1289">
      <c r="A1289" s="19">
        <v>43524.0</v>
      </c>
      <c r="B1289" s="23">
        <v>1.0765E7</v>
      </c>
      <c r="C1289" s="23">
        <f t="shared" si="1"/>
        <v>1899358.904</v>
      </c>
      <c r="D1289" s="18">
        <f>IF(A1289="","",MATCH(A1289,Calculation!B$2:B9627,1))</f>
        <v>1</v>
      </c>
      <c r="E1289" s="23">
        <f t="array" ref="E1289">IF(D1289="","",IF(D1289=1,0,INDEX(Calculation!Q$2:Q9627,D1289-1)))</f>
        <v>0</v>
      </c>
      <c r="F1289" s="23">
        <f t="array" ref="F1289">IF($A1289="","",
  LET(
    r, $D1289,
    startD, INDEX(Calculation!B$2:B9627, r),
    endD,   INDEX(Calculation!C$2:C9627, r),
    asOf,   MIN($A1289,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1899358.904</v>
      </c>
    </row>
    <row r="1290">
      <c r="A1290" s="19">
        <v>43525.0</v>
      </c>
      <c r="B1290" s="23">
        <v>1.0765E7</v>
      </c>
      <c r="C1290" s="23">
        <f t="shared" si="1"/>
        <v>1900833.562</v>
      </c>
      <c r="D1290" s="18">
        <f>IF(A1290="","",MATCH(A1290,Calculation!B$2:B9627,1))</f>
        <v>1</v>
      </c>
      <c r="E1290" s="23">
        <f t="array" ref="E1290">IF(D1290="","",IF(D1290=1,0,INDEX(Calculation!Q$2:Q9627,D1290-1)))</f>
        <v>0</v>
      </c>
      <c r="F1290" s="23">
        <f t="array" ref="F1290">IF($A1290="","",
  LET(
    r, $D1290,
    startD, INDEX(Calculation!B$2:B9627, r),
    endD,   INDEX(Calculation!C$2:C9627, r),
    asOf,   MIN($A1290,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1900833.562</v>
      </c>
    </row>
    <row r="1291">
      <c r="A1291" s="19">
        <v>43526.0</v>
      </c>
      <c r="B1291" s="23">
        <v>1.0765E7</v>
      </c>
      <c r="C1291" s="23">
        <f t="shared" si="1"/>
        <v>1902308.219</v>
      </c>
      <c r="D1291" s="18">
        <f>IF(A1291="","",MATCH(A1291,Calculation!B$2:B9627,1))</f>
        <v>1</v>
      </c>
      <c r="E1291" s="23">
        <f t="array" ref="E1291">IF(D1291="","",IF(D1291=1,0,INDEX(Calculation!Q$2:Q9627,D1291-1)))</f>
        <v>0</v>
      </c>
      <c r="F1291" s="23">
        <f t="array" ref="F1291">IF($A1291="","",
  LET(
    r, $D1291,
    startD, INDEX(Calculation!B$2:B9627, r),
    endD,   INDEX(Calculation!C$2:C9627, r),
    asOf,   MIN($A1291,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1902308.219</v>
      </c>
    </row>
    <row r="1292">
      <c r="A1292" s="19">
        <v>43527.0</v>
      </c>
      <c r="B1292" s="23">
        <v>1.0765E7</v>
      </c>
      <c r="C1292" s="23">
        <f t="shared" si="1"/>
        <v>1903782.877</v>
      </c>
      <c r="D1292" s="18">
        <f>IF(A1292="","",MATCH(A1292,Calculation!B$2:B9627,1))</f>
        <v>1</v>
      </c>
      <c r="E1292" s="23">
        <f t="array" ref="E1292">IF(D1292="","",IF(D1292=1,0,INDEX(Calculation!Q$2:Q9627,D1292-1)))</f>
        <v>0</v>
      </c>
      <c r="F1292" s="23">
        <f t="array" ref="F1292">IF($A1292="","",
  LET(
    r, $D1292,
    startD, INDEX(Calculation!B$2:B9627, r),
    endD,   INDEX(Calculation!C$2:C9627, r),
    asOf,   MIN($A1292,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1903782.877</v>
      </c>
    </row>
    <row r="1293">
      <c r="A1293" s="19">
        <v>43528.0</v>
      </c>
      <c r="B1293" s="23">
        <v>1.0765E7</v>
      </c>
      <c r="C1293" s="23">
        <f t="shared" si="1"/>
        <v>1905257.534</v>
      </c>
      <c r="D1293" s="18">
        <f>IF(A1293="","",MATCH(A1293,Calculation!B$2:B9627,1))</f>
        <v>1</v>
      </c>
      <c r="E1293" s="23">
        <f t="array" ref="E1293">IF(D1293="","",IF(D1293=1,0,INDEX(Calculation!Q$2:Q9627,D1293-1)))</f>
        <v>0</v>
      </c>
      <c r="F1293" s="23">
        <f t="array" ref="F1293">IF($A1293="","",
  LET(
    r, $D1293,
    startD, INDEX(Calculation!B$2:B9627, r),
    endD,   INDEX(Calculation!C$2:C9627, r),
    asOf,   MIN($A1293,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1905257.534</v>
      </c>
    </row>
    <row r="1294">
      <c r="A1294" s="19">
        <v>43529.0</v>
      </c>
      <c r="B1294" s="23">
        <v>1.0765E7</v>
      </c>
      <c r="C1294" s="23">
        <f t="shared" si="1"/>
        <v>1906732.192</v>
      </c>
      <c r="D1294" s="18">
        <f>IF(A1294="","",MATCH(A1294,Calculation!B$2:B9627,1))</f>
        <v>1</v>
      </c>
      <c r="E1294" s="23">
        <f t="array" ref="E1294">IF(D1294="","",IF(D1294=1,0,INDEX(Calculation!Q$2:Q9627,D1294-1)))</f>
        <v>0</v>
      </c>
      <c r="F1294" s="23">
        <f t="array" ref="F1294">IF($A1294="","",
  LET(
    r, $D1294,
    startD, INDEX(Calculation!B$2:B9627, r),
    endD,   INDEX(Calculation!C$2:C9627, r),
    asOf,   MIN($A1294,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1906732.192</v>
      </c>
    </row>
    <row r="1295">
      <c r="A1295" s="19">
        <v>43530.0</v>
      </c>
      <c r="B1295" s="23">
        <v>1.0765E7</v>
      </c>
      <c r="C1295" s="23">
        <f t="shared" si="1"/>
        <v>1908206.849</v>
      </c>
      <c r="D1295" s="18">
        <f>IF(A1295="","",MATCH(A1295,Calculation!B$2:B9627,1))</f>
        <v>1</v>
      </c>
      <c r="E1295" s="23">
        <f t="array" ref="E1295">IF(D1295="","",IF(D1295=1,0,INDEX(Calculation!Q$2:Q9627,D1295-1)))</f>
        <v>0</v>
      </c>
      <c r="F1295" s="23">
        <f t="array" ref="F1295">IF($A1295="","",
  LET(
    r, $D1295,
    startD, INDEX(Calculation!B$2:B9627, r),
    endD,   INDEX(Calculation!C$2:C9627, r),
    asOf,   MIN($A1295,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1908206.849</v>
      </c>
    </row>
    <row r="1296">
      <c r="A1296" s="19">
        <v>43531.0</v>
      </c>
      <c r="B1296" s="23">
        <v>1.0765E7</v>
      </c>
      <c r="C1296" s="23">
        <f t="shared" si="1"/>
        <v>1909681.507</v>
      </c>
      <c r="D1296" s="18">
        <f>IF(A1296="","",MATCH(A1296,Calculation!B$2:B9627,1))</f>
        <v>1</v>
      </c>
      <c r="E1296" s="23">
        <f t="array" ref="E1296">IF(D1296="","",IF(D1296=1,0,INDEX(Calculation!Q$2:Q9627,D1296-1)))</f>
        <v>0</v>
      </c>
      <c r="F1296" s="23">
        <f t="array" ref="F1296">IF($A1296="","",
  LET(
    r, $D1296,
    startD, INDEX(Calculation!B$2:B9627, r),
    endD,   INDEX(Calculation!C$2:C9627, r),
    asOf,   MIN($A1296,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1909681.507</v>
      </c>
    </row>
    <row r="1297">
      <c r="A1297" s="19">
        <v>43532.0</v>
      </c>
      <c r="B1297" s="23">
        <v>1.0765E7</v>
      </c>
      <c r="C1297" s="23">
        <f t="shared" si="1"/>
        <v>1911156.164</v>
      </c>
      <c r="D1297" s="18">
        <f>IF(A1297="","",MATCH(A1297,Calculation!B$2:B9627,1))</f>
        <v>1</v>
      </c>
      <c r="E1297" s="23">
        <f t="array" ref="E1297">IF(D1297="","",IF(D1297=1,0,INDEX(Calculation!Q$2:Q9627,D1297-1)))</f>
        <v>0</v>
      </c>
      <c r="F1297" s="23">
        <f t="array" ref="F1297">IF($A1297="","",
  LET(
    r, $D1297,
    startD, INDEX(Calculation!B$2:B9627, r),
    endD,   INDEX(Calculation!C$2:C9627, r),
    asOf,   MIN($A1297,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1911156.164</v>
      </c>
    </row>
    <row r="1298">
      <c r="A1298" s="19">
        <v>43533.0</v>
      </c>
      <c r="B1298" s="23">
        <v>1.0765E7</v>
      </c>
      <c r="C1298" s="23">
        <f t="shared" si="1"/>
        <v>1912630.822</v>
      </c>
      <c r="D1298" s="18">
        <f>IF(A1298="","",MATCH(A1298,Calculation!B$2:B9627,1))</f>
        <v>1</v>
      </c>
      <c r="E1298" s="23">
        <f t="array" ref="E1298">IF(D1298="","",IF(D1298=1,0,INDEX(Calculation!Q$2:Q9627,D1298-1)))</f>
        <v>0</v>
      </c>
      <c r="F1298" s="23">
        <f t="array" ref="F1298">IF($A1298="","",
  LET(
    r, $D1298,
    startD, INDEX(Calculation!B$2:B9627, r),
    endD,   INDEX(Calculation!C$2:C9627, r),
    asOf,   MIN($A1298,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1912630.822</v>
      </c>
    </row>
    <row r="1299">
      <c r="A1299" s="19">
        <v>43534.0</v>
      </c>
      <c r="B1299" s="23">
        <v>1.0765E7</v>
      </c>
      <c r="C1299" s="23">
        <f t="shared" si="1"/>
        <v>1914105.479</v>
      </c>
      <c r="D1299" s="18">
        <f>IF(A1299="","",MATCH(A1299,Calculation!B$2:B9627,1))</f>
        <v>1</v>
      </c>
      <c r="E1299" s="23">
        <f t="array" ref="E1299">IF(D1299="","",IF(D1299=1,0,INDEX(Calculation!Q$2:Q9627,D1299-1)))</f>
        <v>0</v>
      </c>
      <c r="F1299" s="23">
        <f t="array" ref="F1299">IF($A1299="","",
  LET(
    r, $D1299,
    startD, INDEX(Calculation!B$2:B9627, r),
    endD,   INDEX(Calculation!C$2:C9627, r),
    asOf,   MIN($A1299,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1914105.479</v>
      </c>
    </row>
    <row r="1300">
      <c r="A1300" s="19">
        <v>43535.0</v>
      </c>
      <c r="B1300" s="23">
        <v>1.0765E7</v>
      </c>
      <c r="C1300" s="23">
        <f t="shared" si="1"/>
        <v>1915580.137</v>
      </c>
      <c r="D1300" s="18">
        <f>IF(A1300="","",MATCH(A1300,Calculation!B$2:B9627,1))</f>
        <v>1</v>
      </c>
      <c r="E1300" s="23">
        <f t="array" ref="E1300">IF(D1300="","",IF(D1300=1,0,INDEX(Calculation!Q$2:Q9627,D1300-1)))</f>
        <v>0</v>
      </c>
      <c r="F1300" s="23">
        <f t="array" ref="F1300">IF($A1300="","",
  LET(
    r, $D1300,
    startD, INDEX(Calculation!B$2:B9627, r),
    endD,   INDEX(Calculation!C$2:C9627, r),
    asOf,   MIN($A1300,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1915580.137</v>
      </c>
    </row>
    <row r="1301">
      <c r="A1301" s="19">
        <v>43536.0</v>
      </c>
      <c r="B1301" s="23">
        <v>1.0765E7</v>
      </c>
      <c r="C1301" s="23">
        <f t="shared" si="1"/>
        <v>1917054.795</v>
      </c>
      <c r="D1301" s="18">
        <f>IF(A1301="","",MATCH(A1301,Calculation!B$2:B9627,1))</f>
        <v>1</v>
      </c>
      <c r="E1301" s="23">
        <f t="array" ref="E1301">IF(D1301="","",IF(D1301=1,0,INDEX(Calculation!Q$2:Q9627,D1301-1)))</f>
        <v>0</v>
      </c>
      <c r="F1301" s="23">
        <f t="array" ref="F1301">IF($A1301="","",
  LET(
    r, $D1301,
    startD, INDEX(Calculation!B$2:B9627, r),
    endD,   INDEX(Calculation!C$2:C9627, r),
    asOf,   MIN($A1301,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1917054.795</v>
      </c>
    </row>
    <row r="1302">
      <c r="A1302" s="19">
        <v>43537.0</v>
      </c>
      <c r="B1302" s="23">
        <v>1.0765E7</v>
      </c>
      <c r="C1302" s="23">
        <f t="shared" si="1"/>
        <v>1918529.452</v>
      </c>
      <c r="D1302" s="18">
        <f>IF(A1302="","",MATCH(A1302,Calculation!B$2:B9627,1))</f>
        <v>1</v>
      </c>
      <c r="E1302" s="23">
        <f t="array" ref="E1302">IF(D1302="","",IF(D1302=1,0,INDEX(Calculation!Q$2:Q9627,D1302-1)))</f>
        <v>0</v>
      </c>
      <c r="F1302" s="23">
        <f t="array" ref="F1302">IF($A1302="","",
  LET(
    r, $D1302,
    startD, INDEX(Calculation!B$2:B9627, r),
    endD,   INDEX(Calculation!C$2:C9627, r),
    asOf,   MIN($A1302,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1918529.452</v>
      </c>
    </row>
    <row r="1303">
      <c r="A1303" s="19">
        <v>43538.0</v>
      </c>
      <c r="B1303" s="23">
        <v>1.0765E7</v>
      </c>
      <c r="C1303" s="23">
        <f t="shared" si="1"/>
        <v>1920004.11</v>
      </c>
      <c r="D1303" s="18">
        <f>IF(A1303="","",MATCH(A1303,Calculation!B$2:B9627,1))</f>
        <v>1</v>
      </c>
      <c r="E1303" s="23">
        <f t="array" ref="E1303">IF(D1303="","",IF(D1303=1,0,INDEX(Calculation!Q$2:Q9627,D1303-1)))</f>
        <v>0</v>
      </c>
      <c r="F1303" s="23">
        <f t="array" ref="F1303">IF($A1303="","",
  LET(
    r, $D1303,
    startD, INDEX(Calculation!B$2:B9627, r),
    endD,   INDEX(Calculation!C$2:C9627, r),
    asOf,   MIN($A1303,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1920004.11</v>
      </c>
    </row>
    <row r="1304">
      <c r="A1304" s="19">
        <v>43539.0</v>
      </c>
      <c r="B1304" s="23">
        <v>1.0765E7</v>
      </c>
      <c r="C1304" s="23">
        <f t="shared" si="1"/>
        <v>1921478.767</v>
      </c>
      <c r="D1304" s="18">
        <f>IF(A1304="","",MATCH(A1304,Calculation!B$2:B9627,1))</f>
        <v>1</v>
      </c>
      <c r="E1304" s="23">
        <f t="array" ref="E1304">IF(D1304="","",IF(D1304=1,0,INDEX(Calculation!Q$2:Q9627,D1304-1)))</f>
        <v>0</v>
      </c>
      <c r="F1304" s="23">
        <f t="array" ref="F1304">IF($A1304="","",
  LET(
    r, $D1304,
    startD, INDEX(Calculation!B$2:B9627, r),
    endD,   INDEX(Calculation!C$2:C9627, r),
    asOf,   MIN($A1304,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1921478.767</v>
      </c>
    </row>
    <row r="1305">
      <c r="A1305" s="19">
        <v>43540.0</v>
      </c>
      <c r="B1305" s="23">
        <v>1.0765E7</v>
      </c>
      <c r="C1305" s="23">
        <f t="shared" si="1"/>
        <v>1922953.425</v>
      </c>
      <c r="D1305" s="18">
        <f>IF(A1305="","",MATCH(A1305,Calculation!B$2:B9627,1))</f>
        <v>1</v>
      </c>
      <c r="E1305" s="23">
        <f t="array" ref="E1305">IF(D1305="","",IF(D1305=1,0,INDEX(Calculation!Q$2:Q9627,D1305-1)))</f>
        <v>0</v>
      </c>
      <c r="F1305" s="23">
        <f t="array" ref="F1305">IF($A1305="","",
  LET(
    r, $D1305,
    startD, INDEX(Calculation!B$2:B9627, r),
    endD,   INDEX(Calculation!C$2:C9627, r),
    asOf,   MIN($A1305,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1922953.425</v>
      </c>
    </row>
    <row r="1306">
      <c r="A1306" s="19">
        <v>43541.0</v>
      </c>
      <c r="B1306" s="23">
        <v>1.0765E7</v>
      </c>
      <c r="C1306" s="23">
        <f t="shared" si="1"/>
        <v>1924428.082</v>
      </c>
      <c r="D1306" s="18">
        <f>IF(A1306="","",MATCH(A1306,Calculation!B$2:B9627,1))</f>
        <v>1</v>
      </c>
      <c r="E1306" s="23">
        <f t="array" ref="E1306">IF(D1306="","",IF(D1306=1,0,INDEX(Calculation!Q$2:Q9627,D1306-1)))</f>
        <v>0</v>
      </c>
      <c r="F1306" s="23">
        <f t="array" ref="F1306">IF($A1306="","",
  LET(
    r, $D1306,
    startD, INDEX(Calculation!B$2:B9627, r),
    endD,   INDEX(Calculation!C$2:C9627, r),
    asOf,   MIN($A1306,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1924428.082</v>
      </c>
    </row>
    <row r="1307">
      <c r="A1307" s="19">
        <v>43542.0</v>
      </c>
      <c r="B1307" s="23">
        <v>1.0765E7</v>
      </c>
      <c r="C1307" s="23">
        <f t="shared" si="1"/>
        <v>1925902.74</v>
      </c>
      <c r="D1307" s="18">
        <f>IF(A1307="","",MATCH(A1307,Calculation!B$2:B9627,1))</f>
        <v>1</v>
      </c>
      <c r="E1307" s="23">
        <f t="array" ref="E1307">IF(D1307="","",IF(D1307=1,0,INDEX(Calculation!Q$2:Q9627,D1307-1)))</f>
        <v>0</v>
      </c>
      <c r="F1307" s="23">
        <f t="array" ref="F1307">IF($A1307="","",
  LET(
    r, $D1307,
    startD, INDEX(Calculation!B$2:B9627, r),
    endD,   INDEX(Calculation!C$2:C9627, r),
    asOf,   MIN($A1307,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1925902.74</v>
      </c>
    </row>
    <row r="1308">
      <c r="A1308" s="19">
        <v>43543.0</v>
      </c>
      <c r="B1308" s="23">
        <v>1.0765E7</v>
      </c>
      <c r="C1308" s="23">
        <f t="shared" si="1"/>
        <v>1927377.397</v>
      </c>
      <c r="D1308" s="18">
        <f>IF(A1308="","",MATCH(A1308,Calculation!B$2:B9627,1))</f>
        <v>1</v>
      </c>
      <c r="E1308" s="23">
        <f t="array" ref="E1308">IF(D1308="","",IF(D1308=1,0,INDEX(Calculation!Q$2:Q9627,D1308-1)))</f>
        <v>0</v>
      </c>
      <c r="F1308" s="23">
        <f t="array" ref="F1308">IF($A1308="","",
  LET(
    r, $D1308,
    startD, INDEX(Calculation!B$2:B9627, r),
    endD,   INDEX(Calculation!C$2:C9627, r),
    asOf,   MIN($A1308,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1927377.397</v>
      </c>
    </row>
    <row r="1309">
      <c r="A1309" s="19">
        <v>43544.0</v>
      </c>
      <c r="B1309" s="23">
        <v>1.0765E7</v>
      </c>
      <c r="C1309" s="23">
        <f t="shared" si="1"/>
        <v>1928852.055</v>
      </c>
      <c r="D1309" s="18">
        <f>IF(A1309="","",MATCH(A1309,Calculation!B$2:B9627,1))</f>
        <v>1</v>
      </c>
      <c r="E1309" s="23">
        <f t="array" ref="E1309">IF(D1309="","",IF(D1309=1,0,INDEX(Calculation!Q$2:Q9627,D1309-1)))</f>
        <v>0</v>
      </c>
      <c r="F1309" s="23">
        <f t="array" ref="F1309">IF($A1309="","",
  LET(
    r, $D1309,
    startD, INDEX(Calculation!B$2:B9627, r),
    endD,   INDEX(Calculation!C$2:C9627, r),
    asOf,   MIN($A1309,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1928852.055</v>
      </c>
    </row>
    <row r="1310">
      <c r="A1310" s="19">
        <v>43545.0</v>
      </c>
      <c r="B1310" s="23">
        <v>1.0765E7</v>
      </c>
      <c r="C1310" s="23">
        <f t="shared" si="1"/>
        <v>1930326.712</v>
      </c>
      <c r="D1310" s="18">
        <f>IF(A1310="","",MATCH(A1310,Calculation!B$2:B9627,1))</f>
        <v>1</v>
      </c>
      <c r="E1310" s="23">
        <f t="array" ref="E1310">IF(D1310="","",IF(D1310=1,0,INDEX(Calculation!Q$2:Q9627,D1310-1)))</f>
        <v>0</v>
      </c>
      <c r="F1310" s="23">
        <f t="array" ref="F1310">IF($A1310="","",
  LET(
    r, $D1310,
    startD, INDEX(Calculation!B$2:B9627, r),
    endD,   INDEX(Calculation!C$2:C9627, r),
    asOf,   MIN($A1310,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1930326.712</v>
      </c>
    </row>
    <row r="1311">
      <c r="A1311" s="19">
        <v>43546.0</v>
      </c>
      <c r="B1311" s="23">
        <v>1.0765E7</v>
      </c>
      <c r="C1311" s="23">
        <f t="shared" si="1"/>
        <v>1931801.37</v>
      </c>
      <c r="D1311" s="18">
        <f>IF(A1311="","",MATCH(A1311,Calculation!B$2:B9627,1))</f>
        <v>1</v>
      </c>
      <c r="E1311" s="23">
        <f t="array" ref="E1311">IF(D1311="","",IF(D1311=1,0,INDEX(Calculation!Q$2:Q9627,D1311-1)))</f>
        <v>0</v>
      </c>
      <c r="F1311" s="23">
        <f t="array" ref="F1311">IF($A1311="","",
  LET(
    r, $D1311,
    startD, INDEX(Calculation!B$2:B9627, r),
    endD,   INDEX(Calculation!C$2:C9627, r),
    asOf,   MIN($A1311,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1931801.37</v>
      </c>
    </row>
    <row r="1312">
      <c r="A1312" s="19">
        <v>43547.0</v>
      </c>
      <c r="B1312" s="23">
        <v>1.0765E7</v>
      </c>
      <c r="C1312" s="23">
        <f t="shared" si="1"/>
        <v>1933276.027</v>
      </c>
      <c r="D1312" s="18">
        <f>IF(A1312="","",MATCH(A1312,Calculation!B$2:B9627,1))</f>
        <v>1</v>
      </c>
      <c r="E1312" s="23">
        <f t="array" ref="E1312">IF(D1312="","",IF(D1312=1,0,INDEX(Calculation!Q$2:Q9627,D1312-1)))</f>
        <v>0</v>
      </c>
      <c r="F1312" s="23">
        <f t="array" ref="F1312">IF($A1312="","",
  LET(
    r, $D1312,
    startD, INDEX(Calculation!B$2:B9627, r),
    endD,   INDEX(Calculation!C$2:C9627, r),
    asOf,   MIN($A1312,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1933276.027</v>
      </c>
    </row>
    <row r="1313">
      <c r="A1313" s="19">
        <v>43548.0</v>
      </c>
      <c r="B1313" s="23">
        <v>1.0765E7</v>
      </c>
      <c r="C1313" s="23">
        <f t="shared" si="1"/>
        <v>1934750.685</v>
      </c>
      <c r="D1313" s="18">
        <f>IF(A1313="","",MATCH(A1313,Calculation!B$2:B9627,1))</f>
        <v>1</v>
      </c>
      <c r="E1313" s="23">
        <f t="array" ref="E1313">IF(D1313="","",IF(D1313=1,0,INDEX(Calculation!Q$2:Q9627,D1313-1)))</f>
        <v>0</v>
      </c>
      <c r="F1313" s="23">
        <f t="array" ref="F1313">IF($A1313="","",
  LET(
    r, $D1313,
    startD, INDEX(Calculation!B$2:B9627, r),
    endD,   INDEX(Calculation!C$2:C9627, r),
    asOf,   MIN($A1313,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1934750.685</v>
      </c>
    </row>
    <row r="1314">
      <c r="A1314" s="19">
        <v>43549.0</v>
      </c>
      <c r="B1314" s="23">
        <v>1.0765E7</v>
      </c>
      <c r="C1314" s="23">
        <f t="shared" si="1"/>
        <v>1936225.342</v>
      </c>
      <c r="D1314" s="18">
        <f>IF(A1314="","",MATCH(A1314,Calculation!B$2:B9627,1))</f>
        <v>1</v>
      </c>
      <c r="E1314" s="23">
        <f t="array" ref="E1314">IF(D1314="","",IF(D1314=1,0,INDEX(Calculation!Q$2:Q9627,D1314-1)))</f>
        <v>0</v>
      </c>
      <c r="F1314" s="23">
        <f t="array" ref="F1314">IF($A1314="","",
  LET(
    r, $D1314,
    startD, INDEX(Calculation!B$2:B9627, r),
    endD,   INDEX(Calculation!C$2:C9627, r),
    asOf,   MIN($A1314,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1936225.342</v>
      </c>
    </row>
    <row r="1315">
      <c r="A1315" s="19">
        <v>43550.0</v>
      </c>
      <c r="B1315" s="23">
        <v>1.0765E7</v>
      </c>
      <c r="C1315" s="23">
        <f t="shared" si="1"/>
        <v>1937700</v>
      </c>
      <c r="D1315" s="18">
        <f>IF(A1315="","",MATCH(A1315,Calculation!B$2:B9627,1))</f>
        <v>1</v>
      </c>
      <c r="E1315" s="23">
        <f t="array" ref="E1315">IF(D1315="","",IF(D1315=1,0,INDEX(Calculation!Q$2:Q9627,D1315-1)))</f>
        <v>0</v>
      </c>
      <c r="F1315" s="23">
        <f t="array" ref="F1315">IF($A1315="","",
  LET(
    r, $D1315,
    startD, INDEX(Calculation!B$2:B9627, r),
    endD,   INDEX(Calculation!C$2:C9627, r),
    asOf,   MIN($A1315,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1937700</v>
      </c>
    </row>
    <row r="1316">
      <c r="A1316" s="19">
        <v>43551.0</v>
      </c>
      <c r="B1316" s="23">
        <v>1.0765E7</v>
      </c>
      <c r="C1316" s="23">
        <f t="shared" si="1"/>
        <v>1939174.658</v>
      </c>
      <c r="D1316" s="18">
        <f>IF(A1316="","",MATCH(A1316,Calculation!B$2:B9627,1))</f>
        <v>1</v>
      </c>
      <c r="E1316" s="23">
        <f t="array" ref="E1316">IF(D1316="","",IF(D1316=1,0,INDEX(Calculation!Q$2:Q9627,D1316-1)))</f>
        <v>0</v>
      </c>
      <c r="F1316" s="23">
        <f t="array" ref="F1316">IF($A1316="","",
  LET(
    r, $D1316,
    startD, INDEX(Calculation!B$2:B9627, r),
    endD,   INDEX(Calculation!C$2:C9627, r),
    asOf,   MIN($A1316,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1939174.658</v>
      </c>
    </row>
    <row r="1317">
      <c r="A1317" s="19">
        <v>43552.0</v>
      </c>
      <c r="B1317" s="23">
        <v>1.0765E7</v>
      </c>
      <c r="C1317" s="23">
        <f t="shared" si="1"/>
        <v>1940649.315</v>
      </c>
      <c r="D1317" s="18">
        <f>IF(A1317="","",MATCH(A1317,Calculation!B$2:B9627,1))</f>
        <v>1</v>
      </c>
      <c r="E1317" s="23">
        <f t="array" ref="E1317">IF(D1317="","",IF(D1317=1,0,INDEX(Calculation!Q$2:Q9627,D1317-1)))</f>
        <v>0</v>
      </c>
      <c r="F1317" s="23">
        <f t="array" ref="F1317">IF($A1317="","",
  LET(
    r, $D1317,
    startD, INDEX(Calculation!B$2:B9627, r),
    endD,   INDEX(Calculation!C$2:C9627, r),
    asOf,   MIN($A1317,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1940649.315</v>
      </c>
    </row>
    <row r="1318">
      <c r="A1318" s="19">
        <v>43553.0</v>
      </c>
      <c r="B1318" s="23">
        <v>1.0765E7</v>
      </c>
      <c r="C1318" s="23">
        <f t="shared" si="1"/>
        <v>1942123.973</v>
      </c>
      <c r="D1318" s="18">
        <f>IF(A1318="","",MATCH(A1318,Calculation!B$2:B9627,1))</f>
        <v>1</v>
      </c>
      <c r="E1318" s="23">
        <f t="array" ref="E1318">IF(D1318="","",IF(D1318=1,0,INDEX(Calculation!Q$2:Q9627,D1318-1)))</f>
        <v>0</v>
      </c>
      <c r="F1318" s="23">
        <f t="array" ref="F1318">IF($A1318="","",
  LET(
    r, $D1318,
    startD, INDEX(Calculation!B$2:B9627, r),
    endD,   INDEX(Calculation!C$2:C9627, r),
    asOf,   MIN($A1318,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1942123.973</v>
      </c>
    </row>
    <row r="1319">
      <c r="A1319" s="19">
        <v>43554.0</v>
      </c>
      <c r="B1319" s="23">
        <v>1.0765E7</v>
      </c>
      <c r="C1319" s="23">
        <f t="shared" si="1"/>
        <v>1943598.63</v>
      </c>
      <c r="D1319" s="18">
        <f>IF(A1319="","",MATCH(A1319,Calculation!B$2:B9627,1))</f>
        <v>1</v>
      </c>
      <c r="E1319" s="23">
        <f t="array" ref="E1319">IF(D1319="","",IF(D1319=1,0,INDEX(Calculation!Q$2:Q9627,D1319-1)))</f>
        <v>0</v>
      </c>
      <c r="F1319" s="23">
        <f t="array" ref="F1319">IF($A1319="","",
  LET(
    r, $D1319,
    startD, INDEX(Calculation!B$2:B9627, r),
    endD,   INDEX(Calculation!C$2:C9627, r),
    asOf,   MIN($A1319,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1943598.63</v>
      </c>
    </row>
    <row r="1320">
      <c r="A1320" s="19">
        <v>43555.0</v>
      </c>
      <c r="B1320" s="23">
        <v>1.0765E7</v>
      </c>
      <c r="C1320" s="23">
        <f t="shared" si="1"/>
        <v>1945073.288</v>
      </c>
      <c r="D1320" s="18">
        <f>IF(A1320="","",MATCH(A1320,Calculation!B$2:B9627,1))</f>
        <v>1</v>
      </c>
      <c r="E1320" s="23">
        <f t="array" ref="E1320">IF(D1320="","",IF(D1320=1,0,INDEX(Calculation!Q$2:Q9627,D1320-1)))</f>
        <v>0</v>
      </c>
      <c r="F1320" s="23">
        <f t="array" ref="F1320">IF($A1320="","",
  LET(
    r, $D1320,
    startD, INDEX(Calculation!B$2:B9627, r),
    endD,   INDEX(Calculation!C$2:C9627, r),
    asOf,   MIN($A1320,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1945073.288</v>
      </c>
    </row>
    <row r="1321">
      <c r="A1321" s="19">
        <v>43556.0</v>
      </c>
      <c r="B1321" s="23">
        <v>1.0765E7</v>
      </c>
      <c r="C1321" s="23">
        <f t="shared" si="1"/>
        <v>1946547.945</v>
      </c>
      <c r="D1321" s="18">
        <f>IF(A1321="","",MATCH(A1321,Calculation!B$2:B9627,1))</f>
        <v>1</v>
      </c>
      <c r="E1321" s="23">
        <f t="array" ref="E1321">IF(D1321="","",IF(D1321=1,0,INDEX(Calculation!Q$2:Q9627,D1321-1)))</f>
        <v>0</v>
      </c>
      <c r="F1321" s="23">
        <f t="array" ref="F1321">IF($A1321="","",
  LET(
    r, $D1321,
    startD, INDEX(Calculation!B$2:B9627, r),
    endD,   INDEX(Calculation!C$2:C9627, r),
    asOf,   MIN($A1321,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1946547.945</v>
      </c>
    </row>
    <row r="1322">
      <c r="A1322" s="19">
        <v>43557.0</v>
      </c>
      <c r="B1322" s="23">
        <v>1.0765E7</v>
      </c>
      <c r="C1322" s="23">
        <f t="shared" si="1"/>
        <v>1948022.603</v>
      </c>
      <c r="D1322" s="18">
        <f>IF(A1322="","",MATCH(A1322,Calculation!B$2:B9627,1))</f>
        <v>1</v>
      </c>
      <c r="E1322" s="23">
        <f t="array" ref="E1322">IF(D1322="","",IF(D1322=1,0,INDEX(Calculation!Q$2:Q9627,D1322-1)))</f>
        <v>0</v>
      </c>
      <c r="F1322" s="23">
        <f t="array" ref="F1322">IF($A1322="","",
  LET(
    r, $D1322,
    startD, INDEX(Calculation!B$2:B9627, r),
    endD,   INDEX(Calculation!C$2:C9627, r),
    asOf,   MIN($A1322,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1948022.603</v>
      </c>
    </row>
    <row r="1323">
      <c r="A1323" s="19">
        <v>43558.0</v>
      </c>
      <c r="B1323" s="23">
        <v>1.0765E7</v>
      </c>
      <c r="C1323" s="23">
        <f t="shared" si="1"/>
        <v>1949497.26</v>
      </c>
      <c r="D1323" s="18">
        <f>IF(A1323="","",MATCH(A1323,Calculation!B$2:B9627,1))</f>
        <v>1</v>
      </c>
      <c r="E1323" s="23">
        <f t="array" ref="E1323">IF(D1323="","",IF(D1323=1,0,INDEX(Calculation!Q$2:Q9627,D1323-1)))</f>
        <v>0</v>
      </c>
      <c r="F1323" s="23">
        <f t="array" ref="F1323">IF($A1323="","",
  LET(
    r, $D1323,
    startD, INDEX(Calculation!B$2:B9627, r),
    endD,   INDEX(Calculation!C$2:C9627, r),
    asOf,   MIN($A1323,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1949497.26</v>
      </c>
    </row>
    <row r="1324">
      <c r="A1324" s="19">
        <v>43559.0</v>
      </c>
      <c r="B1324" s="23">
        <v>1.0765E7</v>
      </c>
      <c r="C1324" s="23">
        <f t="shared" si="1"/>
        <v>1950971.918</v>
      </c>
      <c r="D1324" s="18">
        <f>IF(A1324="","",MATCH(A1324,Calculation!B$2:B9627,1))</f>
        <v>1</v>
      </c>
      <c r="E1324" s="23">
        <f t="array" ref="E1324">IF(D1324="","",IF(D1324=1,0,INDEX(Calculation!Q$2:Q9627,D1324-1)))</f>
        <v>0</v>
      </c>
      <c r="F1324" s="23">
        <f t="array" ref="F1324">IF($A1324="","",
  LET(
    r, $D1324,
    startD, INDEX(Calculation!B$2:B9627, r),
    endD,   INDEX(Calculation!C$2:C9627, r),
    asOf,   MIN($A1324,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1950971.918</v>
      </c>
    </row>
    <row r="1325">
      <c r="A1325" s="19">
        <v>43560.0</v>
      </c>
      <c r="B1325" s="23">
        <v>1.0765E7</v>
      </c>
      <c r="C1325" s="23">
        <f t="shared" si="1"/>
        <v>1952446.575</v>
      </c>
      <c r="D1325" s="18">
        <f>IF(A1325="","",MATCH(A1325,Calculation!B$2:B9627,1))</f>
        <v>1</v>
      </c>
      <c r="E1325" s="23">
        <f t="array" ref="E1325">IF(D1325="","",IF(D1325=1,0,INDEX(Calculation!Q$2:Q9627,D1325-1)))</f>
        <v>0</v>
      </c>
      <c r="F1325" s="23">
        <f t="array" ref="F1325">IF($A1325="","",
  LET(
    r, $D1325,
    startD, INDEX(Calculation!B$2:B9627, r),
    endD,   INDEX(Calculation!C$2:C9627, r),
    asOf,   MIN($A1325,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1952446.575</v>
      </c>
    </row>
    <row r="1326">
      <c r="A1326" s="19">
        <v>43561.0</v>
      </c>
      <c r="B1326" s="23">
        <v>1.0765E7</v>
      </c>
      <c r="C1326" s="23">
        <f t="shared" si="1"/>
        <v>1953921.233</v>
      </c>
      <c r="D1326" s="18">
        <f>IF(A1326="","",MATCH(A1326,Calculation!B$2:B9627,1))</f>
        <v>1</v>
      </c>
      <c r="E1326" s="23">
        <f t="array" ref="E1326">IF(D1326="","",IF(D1326=1,0,INDEX(Calculation!Q$2:Q9627,D1326-1)))</f>
        <v>0</v>
      </c>
      <c r="F1326" s="23">
        <f t="array" ref="F1326">IF($A1326="","",
  LET(
    r, $D1326,
    startD, INDEX(Calculation!B$2:B9627, r),
    endD,   INDEX(Calculation!C$2:C9627, r),
    asOf,   MIN($A1326,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1953921.233</v>
      </c>
    </row>
    <row r="1327">
      <c r="A1327" s="19">
        <v>43562.0</v>
      </c>
      <c r="B1327" s="23">
        <v>1.0765E7</v>
      </c>
      <c r="C1327" s="23">
        <f t="shared" si="1"/>
        <v>1955395.89</v>
      </c>
      <c r="D1327" s="18">
        <f>IF(A1327="","",MATCH(A1327,Calculation!B$2:B9627,1))</f>
        <v>1</v>
      </c>
      <c r="E1327" s="23">
        <f t="array" ref="E1327">IF(D1327="","",IF(D1327=1,0,INDEX(Calculation!Q$2:Q9627,D1327-1)))</f>
        <v>0</v>
      </c>
      <c r="F1327" s="23">
        <f t="array" ref="F1327">IF($A1327="","",
  LET(
    r, $D1327,
    startD, INDEX(Calculation!B$2:B9627, r),
    endD,   INDEX(Calculation!C$2:C9627, r),
    asOf,   MIN($A1327,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1955395.89</v>
      </c>
    </row>
    <row r="1328">
      <c r="A1328" s="19">
        <v>43563.0</v>
      </c>
      <c r="B1328" s="23">
        <v>1.0765E7</v>
      </c>
      <c r="C1328" s="23">
        <f t="shared" si="1"/>
        <v>1956870.548</v>
      </c>
      <c r="D1328" s="18">
        <f>IF(A1328="","",MATCH(A1328,Calculation!B$2:B9627,1))</f>
        <v>1</v>
      </c>
      <c r="E1328" s="23">
        <f t="array" ref="E1328">IF(D1328="","",IF(D1328=1,0,INDEX(Calculation!Q$2:Q9627,D1328-1)))</f>
        <v>0</v>
      </c>
      <c r="F1328" s="23">
        <f t="array" ref="F1328">IF($A1328="","",
  LET(
    r, $D1328,
    startD, INDEX(Calculation!B$2:B9627, r),
    endD,   INDEX(Calculation!C$2:C9627, r),
    asOf,   MIN($A1328,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1956870.548</v>
      </c>
    </row>
    <row r="1329">
      <c r="A1329" s="19">
        <v>43564.0</v>
      </c>
      <c r="B1329" s="23">
        <v>1.0765E7</v>
      </c>
      <c r="C1329" s="23">
        <f t="shared" si="1"/>
        <v>1958345.205</v>
      </c>
      <c r="D1329" s="18">
        <f>IF(A1329="","",MATCH(A1329,Calculation!B$2:B9627,1))</f>
        <v>1</v>
      </c>
      <c r="E1329" s="23">
        <f t="array" ref="E1329">IF(D1329="","",IF(D1329=1,0,INDEX(Calculation!Q$2:Q9627,D1329-1)))</f>
        <v>0</v>
      </c>
      <c r="F1329" s="23">
        <f t="array" ref="F1329">IF($A1329="","",
  LET(
    r, $D1329,
    startD, INDEX(Calculation!B$2:B9627, r),
    endD,   INDEX(Calculation!C$2:C9627, r),
    asOf,   MIN($A1329,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1958345.205</v>
      </c>
    </row>
    <row r="1330">
      <c r="A1330" s="19">
        <v>43565.0</v>
      </c>
      <c r="B1330" s="23">
        <v>1.0765E7</v>
      </c>
      <c r="C1330" s="23">
        <f t="shared" si="1"/>
        <v>1959819.863</v>
      </c>
      <c r="D1330" s="18">
        <f>IF(A1330="","",MATCH(A1330,Calculation!B$2:B9627,1))</f>
        <v>1</v>
      </c>
      <c r="E1330" s="23">
        <f t="array" ref="E1330">IF(D1330="","",IF(D1330=1,0,INDEX(Calculation!Q$2:Q9627,D1330-1)))</f>
        <v>0</v>
      </c>
      <c r="F1330" s="23">
        <f t="array" ref="F1330">IF($A1330="","",
  LET(
    r, $D1330,
    startD, INDEX(Calculation!B$2:B9627, r),
    endD,   INDEX(Calculation!C$2:C9627, r),
    asOf,   MIN($A1330,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1959819.863</v>
      </c>
    </row>
    <row r="1331">
      <c r="A1331" s="19">
        <v>43566.0</v>
      </c>
      <c r="B1331" s="23">
        <v>1.0765E7</v>
      </c>
      <c r="C1331" s="23">
        <f t="shared" si="1"/>
        <v>1961294.521</v>
      </c>
      <c r="D1331" s="18">
        <f>IF(A1331="","",MATCH(A1331,Calculation!B$2:B9627,1))</f>
        <v>1</v>
      </c>
      <c r="E1331" s="23">
        <f t="array" ref="E1331">IF(D1331="","",IF(D1331=1,0,INDEX(Calculation!Q$2:Q9627,D1331-1)))</f>
        <v>0</v>
      </c>
      <c r="F1331" s="23">
        <f t="array" ref="F1331">IF($A1331="","",
  LET(
    r, $D1331,
    startD, INDEX(Calculation!B$2:B9627, r),
    endD,   INDEX(Calculation!C$2:C9627, r),
    asOf,   MIN($A1331,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1961294.521</v>
      </c>
    </row>
    <row r="1332">
      <c r="A1332" s="19">
        <v>43567.0</v>
      </c>
      <c r="B1332" s="23">
        <v>1.0765E7</v>
      </c>
      <c r="C1332" s="23">
        <f t="shared" si="1"/>
        <v>1962769.178</v>
      </c>
      <c r="D1332" s="18">
        <f>IF(A1332="","",MATCH(A1332,Calculation!B$2:B9627,1))</f>
        <v>1</v>
      </c>
      <c r="E1332" s="23">
        <f t="array" ref="E1332">IF(D1332="","",IF(D1332=1,0,INDEX(Calculation!Q$2:Q9627,D1332-1)))</f>
        <v>0</v>
      </c>
      <c r="F1332" s="23">
        <f t="array" ref="F1332">IF($A1332="","",
  LET(
    r, $D1332,
    startD, INDEX(Calculation!B$2:B9627, r),
    endD,   INDEX(Calculation!C$2:C9627, r),
    asOf,   MIN($A1332,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1962769.178</v>
      </c>
    </row>
    <row r="1333">
      <c r="A1333" s="19">
        <v>43568.0</v>
      </c>
      <c r="B1333" s="23">
        <v>1.0765E7</v>
      </c>
      <c r="C1333" s="23">
        <f t="shared" si="1"/>
        <v>1964243.836</v>
      </c>
      <c r="D1333" s="18">
        <f>IF(A1333="","",MATCH(A1333,Calculation!B$2:B9627,1))</f>
        <v>1</v>
      </c>
      <c r="E1333" s="23">
        <f t="array" ref="E1333">IF(D1333="","",IF(D1333=1,0,INDEX(Calculation!Q$2:Q9627,D1333-1)))</f>
        <v>0</v>
      </c>
      <c r="F1333" s="23">
        <f t="array" ref="F1333">IF($A1333="","",
  LET(
    r, $D1333,
    startD, INDEX(Calculation!B$2:B9627, r),
    endD,   INDEX(Calculation!C$2:C9627, r),
    asOf,   MIN($A1333,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1964243.836</v>
      </c>
    </row>
    <row r="1334">
      <c r="A1334" s="19">
        <v>43569.0</v>
      </c>
      <c r="B1334" s="23">
        <v>1.0765E7</v>
      </c>
      <c r="C1334" s="23">
        <f t="shared" si="1"/>
        <v>1965718.493</v>
      </c>
      <c r="D1334" s="18">
        <f>IF(A1334="","",MATCH(A1334,Calculation!B$2:B9627,1))</f>
        <v>1</v>
      </c>
      <c r="E1334" s="23">
        <f t="array" ref="E1334">IF(D1334="","",IF(D1334=1,0,INDEX(Calculation!Q$2:Q9627,D1334-1)))</f>
        <v>0</v>
      </c>
      <c r="F1334" s="23">
        <f t="array" ref="F1334">IF($A1334="","",
  LET(
    r, $D1334,
    startD, INDEX(Calculation!B$2:B9627, r),
    endD,   INDEX(Calculation!C$2:C9627, r),
    asOf,   MIN($A1334,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1965718.493</v>
      </c>
    </row>
    <row r="1335">
      <c r="A1335" s="19">
        <v>43570.0</v>
      </c>
      <c r="B1335" s="23">
        <v>1.0765E7</v>
      </c>
      <c r="C1335" s="23">
        <f t="shared" si="1"/>
        <v>1967193.151</v>
      </c>
      <c r="D1335" s="18">
        <f>IF(A1335="","",MATCH(A1335,Calculation!B$2:B9627,1))</f>
        <v>1</v>
      </c>
      <c r="E1335" s="23">
        <f t="array" ref="E1335">IF(D1335="","",IF(D1335=1,0,INDEX(Calculation!Q$2:Q9627,D1335-1)))</f>
        <v>0</v>
      </c>
      <c r="F1335" s="23">
        <f t="array" ref="F1335">IF($A1335="","",
  LET(
    r, $D1335,
    startD, INDEX(Calculation!B$2:B9627, r),
    endD,   INDEX(Calculation!C$2:C9627, r),
    asOf,   MIN($A1335,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1967193.151</v>
      </c>
    </row>
    <row r="1336">
      <c r="A1336" s="19">
        <v>43571.0</v>
      </c>
      <c r="B1336" s="23">
        <v>1.0765E7</v>
      </c>
      <c r="C1336" s="23">
        <f t="shared" si="1"/>
        <v>1968667.808</v>
      </c>
      <c r="D1336" s="18">
        <f>IF(A1336="","",MATCH(A1336,Calculation!B$2:B9627,1))</f>
        <v>1</v>
      </c>
      <c r="E1336" s="23">
        <f t="array" ref="E1336">IF(D1336="","",IF(D1336=1,0,INDEX(Calculation!Q$2:Q9627,D1336-1)))</f>
        <v>0</v>
      </c>
      <c r="F1336" s="23">
        <f t="array" ref="F1336">IF($A1336="","",
  LET(
    r, $D1336,
    startD, INDEX(Calculation!B$2:B9627, r),
    endD,   INDEX(Calculation!C$2:C9627, r),
    asOf,   MIN($A1336,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1968667.808</v>
      </c>
    </row>
    <row r="1337">
      <c r="A1337" s="19">
        <v>43572.0</v>
      </c>
      <c r="B1337" s="23">
        <v>1.0765E7</v>
      </c>
      <c r="C1337" s="23">
        <f t="shared" si="1"/>
        <v>1970142.466</v>
      </c>
      <c r="D1337" s="18">
        <f>IF(A1337="","",MATCH(A1337,Calculation!B$2:B9627,1))</f>
        <v>1</v>
      </c>
      <c r="E1337" s="23">
        <f t="array" ref="E1337">IF(D1337="","",IF(D1337=1,0,INDEX(Calculation!Q$2:Q9627,D1337-1)))</f>
        <v>0</v>
      </c>
      <c r="F1337" s="23">
        <f t="array" ref="F1337">IF($A1337="","",
  LET(
    r, $D1337,
    startD, INDEX(Calculation!B$2:B9627, r),
    endD,   INDEX(Calculation!C$2:C9627, r),
    asOf,   MIN($A1337,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1970142.466</v>
      </c>
    </row>
    <row r="1338">
      <c r="A1338" s="19">
        <v>43573.0</v>
      </c>
      <c r="B1338" s="23">
        <v>1.0765E7</v>
      </c>
      <c r="C1338" s="23">
        <f t="shared" si="1"/>
        <v>1971617.123</v>
      </c>
      <c r="D1338" s="18">
        <f>IF(A1338="","",MATCH(A1338,Calculation!B$2:B9627,1))</f>
        <v>1</v>
      </c>
      <c r="E1338" s="23">
        <f t="array" ref="E1338">IF(D1338="","",IF(D1338=1,0,INDEX(Calculation!Q$2:Q9627,D1338-1)))</f>
        <v>0</v>
      </c>
      <c r="F1338" s="23">
        <f t="array" ref="F1338">IF($A1338="","",
  LET(
    r, $D1338,
    startD, INDEX(Calculation!B$2:B9627, r),
    endD,   INDEX(Calculation!C$2:C9627, r),
    asOf,   MIN($A1338,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1971617.123</v>
      </c>
    </row>
    <row r="1339">
      <c r="A1339" s="19">
        <v>43574.0</v>
      </c>
      <c r="B1339" s="23">
        <v>1.0765E7</v>
      </c>
      <c r="C1339" s="23">
        <f t="shared" si="1"/>
        <v>1973091.781</v>
      </c>
      <c r="D1339" s="18">
        <f>IF(A1339="","",MATCH(A1339,Calculation!B$2:B9627,1))</f>
        <v>1</v>
      </c>
      <c r="E1339" s="23">
        <f t="array" ref="E1339">IF(D1339="","",IF(D1339=1,0,INDEX(Calculation!Q$2:Q9627,D1339-1)))</f>
        <v>0</v>
      </c>
      <c r="F1339" s="23">
        <f t="array" ref="F1339">IF($A1339="","",
  LET(
    r, $D1339,
    startD, INDEX(Calculation!B$2:B9627, r),
    endD,   INDEX(Calculation!C$2:C9627, r),
    asOf,   MIN($A1339,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1973091.781</v>
      </c>
    </row>
    <row r="1340">
      <c r="A1340" s="19">
        <v>43575.0</v>
      </c>
      <c r="B1340" s="23">
        <v>1.0765E7</v>
      </c>
      <c r="C1340" s="23">
        <f t="shared" si="1"/>
        <v>1974566.438</v>
      </c>
      <c r="D1340" s="18">
        <f>IF(A1340="","",MATCH(A1340,Calculation!B$2:B9627,1))</f>
        <v>1</v>
      </c>
      <c r="E1340" s="23">
        <f t="array" ref="E1340">IF(D1340="","",IF(D1340=1,0,INDEX(Calculation!Q$2:Q9627,D1340-1)))</f>
        <v>0</v>
      </c>
      <c r="F1340" s="23">
        <f t="array" ref="F1340">IF($A1340="","",
  LET(
    r, $D1340,
    startD, INDEX(Calculation!B$2:B9627, r),
    endD,   INDEX(Calculation!C$2:C9627, r),
    asOf,   MIN($A1340,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1974566.438</v>
      </c>
    </row>
    <row r="1341">
      <c r="A1341" s="19">
        <v>43576.0</v>
      </c>
      <c r="B1341" s="23">
        <v>1.0765E7</v>
      </c>
      <c r="C1341" s="23">
        <f t="shared" si="1"/>
        <v>1976041.096</v>
      </c>
      <c r="D1341" s="18">
        <f>IF(A1341="","",MATCH(A1341,Calculation!B$2:B9627,1))</f>
        <v>1</v>
      </c>
      <c r="E1341" s="23">
        <f t="array" ref="E1341">IF(D1341="","",IF(D1341=1,0,INDEX(Calculation!Q$2:Q9627,D1341-1)))</f>
        <v>0</v>
      </c>
      <c r="F1341" s="23">
        <f t="array" ref="F1341">IF($A1341="","",
  LET(
    r, $D1341,
    startD, INDEX(Calculation!B$2:B9627, r),
    endD,   INDEX(Calculation!C$2:C9627, r),
    asOf,   MIN($A1341,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1976041.096</v>
      </c>
    </row>
    <row r="1342">
      <c r="A1342" s="19">
        <v>43577.0</v>
      </c>
      <c r="B1342" s="23">
        <v>1.0765E7</v>
      </c>
      <c r="C1342" s="23">
        <f t="shared" si="1"/>
        <v>1977515.753</v>
      </c>
      <c r="D1342" s="18">
        <f>IF(A1342="","",MATCH(A1342,Calculation!B$2:B9627,1))</f>
        <v>1</v>
      </c>
      <c r="E1342" s="23">
        <f t="array" ref="E1342">IF(D1342="","",IF(D1342=1,0,INDEX(Calculation!Q$2:Q9627,D1342-1)))</f>
        <v>0</v>
      </c>
      <c r="F1342" s="23">
        <f t="array" ref="F1342">IF($A1342="","",
  LET(
    r, $D1342,
    startD, INDEX(Calculation!B$2:B9627, r),
    endD,   INDEX(Calculation!C$2:C9627, r),
    asOf,   MIN($A1342,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1977515.753</v>
      </c>
    </row>
    <row r="1343">
      <c r="A1343" s="19">
        <v>43578.0</v>
      </c>
      <c r="B1343" s="23">
        <v>1.0765E7</v>
      </c>
      <c r="C1343" s="23">
        <f t="shared" si="1"/>
        <v>1978990.411</v>
      </c>
      <c r="D1343" s="18">
        <f>IF(A1343="","",MATCH(A1343,Calculation!B$2:B9627,1))</f>
        <v>1</v>
      </c>
      <c r="E1343" s="23">
        <f t="array" ref="E1343">IF(D1343="","",IF(D1343=1,0,INDEX(Calculation!Q$2:Q9627,D1343-1)))</f>
        <v>0</v>
      </c>
      <c r="F1343" s="23">
        <f t="array" ref="F1343">IF($A1343="","",
  LET(
    r, $D1343,
    startD, INDEX(Calculation!B$2:B9627, r),
    endD,   INDEX(Calculation!C$2:C9627, r),
    asOf,   MIN($A1343,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1978990.411</v>
      </c>
    </row>
    <row r="1344">
      <c r="A1344" s="19">
        <v>43579.0</v>
      </c>
      <c r="B1344" s="23">
        <v>1.0765E7</v>
      </c>
      <c r="C1344" s="23">
        <f t="shared" si="1"/>
        <v>1980465.068</v>
      </c>
      <c r="D1344" s="18">
        <f>IF(A1344="","",MATCH(A1344,Calculation!B$2:B9627,1))</f>
        <v>1</v>
      </c>
      <c r="E1344" s="23">
        <f t="array" ref="E1344">IF(D1344="","",IF(D1344=1,0,INDEX(Calculation!Q$2:Q9627,D1344-1)))</f>
        <v>0</v>
      </c>
      <c r="F1344" s="23">
        <f t="array" ref="F1344">IF($A1344="","",
  LET(
    r, $D1344,
    startD, INDEX(Calculation!B$2:B9627, r),
    endD,   INDEX(Calculation!C$2:C9627, r),
    asOf,   MIN($A1344,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1980465.068</v>
      </c>
    </row>
    <row r="1345">
      <c r="A1345" s="19">
        <v>43580.0</v>
      </c>
      <c r="B1345" s="23">
        <v>1.0765E7</v>
      </c>
      <c r="C1345" s="23">
        <f t="shared" si="1"/>
        <v>1981939.726</v>
      </c>
      <c r="D1345" s="18">
        <f>IF(A1345="","",MATCH(A1345,Calculation!B$2:B9627,1))</f>
        <v>1</v>
      </c>
      <c r="E1345" s="23">
        <f t="array" ref="E1345">IF(D1345="","",IF(D1345=1,0,INDEX(Calculation!Q$2:Q9627,D1345-1)))</f>
        <v>0</v>
      </c>
      <c r="F1345" s="23">
        <f t="array" ref="F1345">IF($A1345="","",
  LET(
    r, $D1345,
    startD, INDEX(Calculation!B$2:B9627, r),
    endD,   INDEX(Calculation!C$2:C9627, r),
    asOf,   MIN($A1345,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1981939.726</v>
      </c>
    </row>
    <row r="1346">
      <c r="A1346" s="19">
        <v>43581.0</v>
      </c>
      <c r="B1346" s="23">
        <v>1.0765E7</v>
      </c>
      <c r="C1346" s="23">
        <f t="shared" si="1"/>
        <v>1983414.384</v>
      </c>
      <c r="D1346" s="18">
        <f>IF(A1346="","",MATCH(A1346,Calculation!B$2:B9627,1))</f>
        <v>1</v>
      </c>
      <c r="E1346" s="23">
        <f t="array" ref="E1346">IF(D1346="","",IF(D1346=1,0,INDEX(Calculation!Q$2:Q9627,D1346-1)))</f>
        <v>0</v>
      </c>
      <c r="F1346" s="23">
        <f t="array" ref="F1346">IF($A1346="","",
  LET(
    r, $D1346,
    startD, INDEX(Calculation!B$2:B9627, r),
    endD,   INDEX(Calculation!C$2:C9627, r),
    asOf,   MIN($A1346,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1983414.384</v>
      </c>
    </row>
    <row r="1347">
      <c r="A1347" s="19">
        <v>43582.0</v>
      </c>
      <c r="B1347" s="23">
        <v>1.0765E7</v>
      </c>
      <c r="C1347" s="23">
        <f t="shared" si="1"/>
        <v>1984889.041</v>
      </c>
      <c r="D1347" s="18">
        <f>IF(A1347="","",MATCH(A1347,Calculation!B$2:B9627,1))</f>
        <v>1</v>
      </c>
      <c r="E1347" s="23">
        <f t="array" ref="E1347">IF(D1347="","",IF(D1347=1,0,INDEX(Calculation!Q$2:Q9627,D1347-1)))</f>
        <v>0</v>
      </c>
      <c r="F1347" s="23">
        <f t="array" ref="F1347">IF($A1347="","",
  LET(
    r, $D1347,
    startD, INDEX(Calculation!B$2:B9627, r),
    endD,   INDEX(Calculation!C$2:C9627, r),
    asOf,   MIN($A1347,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1984889.041</v>
      </c>
    </row>
    <row r="1348">
      <c r="A1348" s="19">
        <v>43583.0</v>
      </c>
      <c r="B1348" s="23">
        <v>1.0765E7</v>
      </c>
      <c r="C1348" s="23">
        <f t="shared" si="1"/>
        <v>1986363.699</v>
      </c>
      <c r="D1348" s="18">
        <f>IF(A1348="","",MATCH(A1348,Calculation!B$2:B9627,1))</f>
        <v>1</v>
      </c>
      <c r="E1348" s="23">
        <f t="array" ref="E1348">IF(D1348="","",IF(D1348=1,0,INDEX(Calculation!Q$2:Q9627,D1348-1)))</f>
        <v>0</v>
      </c>
      <c r="F1348" s="23">
        <f t="array" ref="F1348">IF($A1348="","",
  LET(
    r, $D1348,
    startD, INDEX(Calculation!B$2:B9627, r),
    endD,   INDEX(Calculation!C$2:C9627, r),
    asOf,   MIN($A1348,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1986363.699</v>
      </c>
    </row>
    <row r="1349">
      <c r="A1349" s="19">
        <v>43584.0</v>
      </c>
      <c r="B1349" s="23">
        <v>1.0765E7</v>
      </c>
      <c r="C1349" s="23">
        <f t="shared" si="1"/>
        <v>1987838.356</v>
      </c>
      <c r="D1349" s="18">
        <f>IF(A1349="","",MATCH(A1349,Calculation!B$2:B9627,1))</f>
        <v>1</v>
      </c>
      <c r="E1349" s="23">
        <f t="array" ref="E1349">IF(D1349="","",IF(D1349=1,0,INDEX(Calculation!Q$2:Q9627,D1349-1)))</f>
        <v>0</v>
      </c>
      <c r="F1349" s="23">
        <f t="array" ref="F1349">IF($A1349="","",
  LET(
    r, $D1349,
    startD, INDEX(Calculation!B$2:B9627, r),
    endD,   INDEX(Calculation!C$2:C9627, r),
    asOf,   MIN($A1349,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1987838.356</v>
      </c>
    </row>
    <row r="1350">
      <c r="A1350" s="19">
        <v>43585.0</v>
      </c>
      <c r="B1350" s="23">
        <v>1.0765E7</v>
      </c>
      <c r="C1350" s="23">
        <f t="shared" si="1"/>
        <v>1989313.014</v>
      </c>
      <c r="D1350" s="18">
        <f>IF(A1350="","",MATCH(A1350,Calculation!B$2:B9627,1))</f>
        <v>1</v>
      </c>
      <c r="E1350" s="23">
        <f t="array" ref="E1350">IF(D1350="","",IF(D1350=1,0,INDEX(Calculation!Q$2:Q9627,D1350-1)))</f>
        <v>0</v>
      </c>
      <c r="F1350" s="23">
        <f t="array" ref="F1350">IF($A1350="","",
  LET(
    r, $D1350,
    startD, INDEX(Calculation!B$2:B9627, r),
    endD,   INDEX(Calculation!C$2:C9627, r),
    asOf,   MIN($A1350,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1989313.014</v>
      </c>
    </row>
    <row r="1351">
      <c r="A1351" s="19">
        <v>43586.0</v>
      </c>
      <c r="B1351" s="23">
        <v>1.0765E7</v>
      </c>
      <c r="C1351" s="23">
        <f t="shared" si="1"/>
        <v>1990787.671</v>
      </c>
      <c r="D1351" s="18">
        <f>IF(A1351="","",MATCH(A1351,Calculation!B$2:B9627,1))</f>
        <v>1</v>
      </c>
      <c r="E1351" s="23">
        <f t="array" ref="E1351">IF(D1351="","",IF(D1351=1,0,INDEX(Calculation!Q$2:Q9627,D1351-1)))</f>
        <v>0</v>
      </c>
      <c r="F1351" s="23">
        <f t="array" ref="F1351">IF($A1351="","",
  LET(
    r, $D1351,
    startD, INDEX(Calculation!B$2:B9627, r),
    endD,   INDEX(Calculation!C$2:C9627, r),
    asOf,   MIN($A1351,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1990787.671</v>
      </c>
    </row>
    <row r="1352">
      <c r="A1352" s="19">
        <v>43587.0</v>
      </c>
      <c r="B1352" s="23">
        <v>1.0765E7</v>
      </c>
      <c r="C1352" s="23">
        <f t="shared" si="1"/>
        <v>1992262.329</v>
      </c>
      <c r="D1352" s="18">
        <f>IF(A1352="","",MATCH(A1352,Calculation!B$2:B9627,1))</f>
        <v>1</v>
      </c>
      <c r="E1352" s="23">
        <f t="array" ref="E1352">IF(D1352="","",IF(D1352=1,0,INDEX(Calculation!Q$2:Q9627,D1352-1)))</f>
        <v>0</v>
      </c>
      <c r="F1352" s="23">
        <f t="array" ref="F1352">IF($A1352="","",
  LET(
    r, $D1352,
    startD, INDEX(Calculation!B$2:B9627, r),
    endD,   INDEX(Calculation!C$2:C9627, r),
    asOf,   MIN($A1352,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1992262.329</v>
      </c>
    </row>
    <row r="1353">
      <c r="A1353" s="19">
        <v>43588.0</v>
      </c>
      <c r="B1353" s="23">
        <v>1.0765E7</v>
      </c>
      <c r="C1353" s="23">
        <f t="shared" si="1"/>
        <v>1993736.986</v>
      </c>
      <c r="D1353" s="18">
        <f>IF(A1353="","",MATCH(A1353,Calculation!B$2:B9627,1))</f>
        <v>1</v>
      </c>
      <c r="E1353" s="23">
        <f t="array" ref="E1353">IF(D1353="","",IF(D1353=1,0,INDEX(Calculation!Q$2:Q9627,D1353-1)))</f>
        <v>0</v>
      </c>
      <c r="F1353" s="23">
        <f t="array" ref="F1353">IF($A1353="","",
  LET(
    r, $D1353,
    startD, INDEX(Calculation!B$2:B9627, r),
    endD,   INDEX(Calculation!C$2:C9627, r),
    asOf,   MIN($A1353,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1993736.986</v>
      </c>
    </row>
    <row r="1354">
      <c r="A1354" s="19">
        <v>43589.0</v>
      </c>
      <c r="B1354" s="23">
        <v>1.0765E7</v>
      </c>
      <c r="C1354" s="23">
        <f t="shared" si="1"/>
        <v>1995211.644</v>
      </c>
      <c r="D1354" s="18">
        <f>IF(A1354="","",MATCH(A1354,Calculation!B$2:B9627,1))</f>
        <v>1</v>
      </c>
      <c r="E1354" s="23">
        <f t="array" ref="E1354">IF(D1354="","",IF(D1354=1,0,INDEX(Calculation!Q$2:Q9627,D1354-1)))</f>
        <v>0</v>
      </c>
      <c r="F1354" s="23">
        <f t="array" ref="F1354">IF($A1354="","",
  LET(
    r, $D1354,
    startD, INDEX(Calculation!B$2:B9627, r),
    endD,   INDEX(Calculation!C$2:C9627, r),
    asOf,   MIN($A1354,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1995211.644</v>
      </c>
    </row>
    <row r="1355">
      <c r="A1355" s="19">
        <v>43590.0</v>
      </c>
      <c r="B1355" s="23">
        <v>1.0765E7</v>
      </c>
      <c r="C1355" s="23">
        <f t="shared" si="1"/>
        <v>1996686.301</v>
      </c>
      <c r="D1355" s="18">
        <f>IF(A1355="","",MATCH(A1355,Calculation!B$2:B9627,1))</f>
        <v>1</v>
      </c>
      <c r="E1355" s="23">
        <f t="array" ref="E1355">IF(D1355="","",IF(D1355=1,0,INDEX(Calculation!Q$2:Q9627,D1355-1)))</f>
        <v>0</v>
      </c>
      <c r="F1355" s="23">
        <f t="array" ref="F1355">IF($A1355="","",
  LET(
    r, $D1355,
    startD, INDEX(Calculation!B$2:B9627, r),
    endD,   INDEX(Calculation!C$2:C9627, r),
    asOf,   MIN($A1355,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1996686.301</v>
      </c>
    </row>
    <row r="1356">
      <c r="A1356" s="19">
        <v>43591.0</v>
      </c>
      <c r="B1356" s="23">
        <v>1.0765E7</v>
      </c>
      <c r="C1356" s="23">
        <f t="shared" si="1"/>
        <v>1998160.959</v>
      </c>
      <c r="D1356" s="18">
        <f>IF(A1356="","",MATCH(A1356,Calculation!B$2:B9627,1))</f>
        <v>1</v>
      </c>
      <c r="E1356" s="23">
        <f t="array" ref="E1356">IF(D1356="","",IF(D1356=1,0,INDEX(Calculation!Q$2:Q9627,D1356-1)))</f>
        <v>0</v>
      </c>
      <c r="F1356" s="23">
        <f t="array" ref="F1356">IF($A1356="","",
  LET(
    r, $D1356,
    startD, INDEX(Calculation!B$2:B9627, r),
    endD,   INDEX(Calculation!C$2:C9627, r),
    asOf,   MIN($A1356,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1998160.959</v>
      </c>
    </row>
    <row r="1357">
      <c r="A1357" s="19">
        <v>43592.0</v>
      </c>
      <c r="B1357" s="23">
        <v>1.0765E7</v>
      </c>
      <c r="C1357" s="23">
        <f t="shared" si="1"/>
        <v>1999635.616</v>
      </c>
      <c r="D1357" s="18">
        <f>IF(A1357="","",MATCH(A1357,Calculation!B$2:B9627,1))</f>
        <v>1</v>
      </c>
      <c r="E1357" s="23">
        <f t="array" ref="E1357">IF(D1357="","",IF(D1357=1,0,INDEX(Calculation!Q$2:Q9627,D1357-1)))</f>
        <v>0</v>
      </c>
      <c r="F1357" s="23">
        <f t="array" ref="F1357">IF($A1357="","",
  LET(
    r, $D1357,
    startD, INDEX(Calculation!B$2:B9627, r),
    endD,   INDEX(Calculation!C$2:C9627, r),
    asOf,   MIN($A1357,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1999635.616</v>
      </c>
    </row>
    <row r="1358">
      <c r="A1358" s="19">
        <v>43593.0</v>
      </c>
      <c r="B1358" s="23">
        <v>1.0765E7</v>
      </c>
      <c r="C1358" s="23">
        <f t="shared" si="1"/>
        <v>2001110.274</v>
      </c>
      <c r="D1358" s="18">
        <f>IF(A1358="","",MATCH(A1358,Calculation!B$2:B9627,1))</f>
        <v>1</v>
      </c>
      <c r="E1358" s="23">
        <f t="array" ref="E1358">IF(D1358="","",IF(D1358=1,0,INDEX(Calculation!Q$2:Q9627,D1358-1)))</f>
        <v>0</v>
      </c>
      <c r="F1358" s="23">
        <f t="array" ref="F1358">IF($A1358="","",
  LET(
    r, $D1358,
    startD, INDEX(Calculation!B$2:B9627, r),
    endD,   INDEX(Calculation!C$2:C9627, r),
    asOf,   MIN($A1358,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2001110.274</v>
      </c>
    </row>
    <row r="1359">
      <c r="A1359" s="19">
        <v>43594.0</v>
      </c>
      <c r="B1359" s="23">
        <v>1.0765E7</v>
      </c>
      <c r="C1359" s="23">
        <f t="shared" si="1"/>
        <v>2002584.932</v>
      </c>
      <c r="D1359" s="18">
        <f>IF(A1359="","",MATCH(A1359,Calculation!B$2:B9627,1))</f>
        <v>1</v>
      </c>
      <c r="E1359" s="23">
        <f t="array" ref="E1359">IF(D1359="","",IF(D1359=1,0,INDEX(Calculation!Q$2:Q9627,D1359-1)))</f>
        <v>0</v>
      </c>
      <c r="F1359" s="23">
        <f t="array" ref="F1359">IF($A1359="","",
  LET(
    r, $D1359,
    startD, INDEX(Calculation!B$2:B9627, r),
    endD,   INDEX(Calculation!C$2:C9627, r),
    asOf,   MIN($A1359,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2002584.932</v>
      </c>
    </row>
    <row r="1360">
      <c r="A1360" s="19">
        <v>43595.0</v>
      </c>
      <c r="B1360" s="23">
        <v>1.0765E7</v>
      </c>
      <c r="C1360" s="23">
        <f t="shared" si="1"/>
        <v>2004059.589</v>
      </c>
      <c r="D1360" s="18">
        <f>IF(A1360="","",MATCH(A1360,Calculation!B$2:B9627,1))</f>
        <v>1</v>
      </c>
      <c r="E1360" s="23">
        <f t="array" ref="E1360">IF(D1360="","",IF(D1360=1,0,INDEX(Calculation!Q$2:Q9627,D1360-1)))</f>
        <v>0</v>
      </c>
      <c r="F1360" s="23">
        <f t="array" ref="F1360">IF($A1360="","",
  LET(
    r, $D1360,
    startD, INDEX(Calculation!B$2:B9627, r),
    endD,   INDEX(Calculation!C$2:C9627, r),
    asOf,   MIN($A1360,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2004059.589</v>
      </c>
    </row>
    <row r="1361">
      <c r="A1361" s="19">
        <v>43596.0</v>
      </c>
      <c r="B1361" s="23">
        <v>1.0765E7</v>
      </c>
      <c r="C1361" s="23">
        <f t="shared" si="1"/>
        <v>2005534.247</v>
      </c>
      <c r="D1361" s="18">
        <f>IF(A1361="","",MATCH(A1361,Calculation!B$2:B9627,1))</f>
        <v>1</v>
      </c>
      <c r="E1361" s="23">
        <f t="array" ref="E1361">IF(D1361="","",IF(D1361=1,0,INDEX(Calculation!Q$2:Q9627,D1361-1)))</f>
        <v>0</v>
      </c>
      <c r="F1361" s="23">
        <f t="array" ref="F1361">IF($A1361="","",
  LET(
    r, $D1361,
    startD, INDEX(Calculation!B$2:B9627, r),
    endD,   INDEX(Calculation!C$2:C9627, r),
    asOf,   MIN($A1361,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2005534.247</v>
      </c>
    </row>
    <row r="1362">
      <c r="A1362" s="19">
        <v>43597.0</v>
      </c>
      <c r="B1362" s="23">
        <v>1.0765E7</v>
      </c>
      <c r="C1362" s="23">
        <f t="shared" si="1"/>
        <v>2007008.904</v>
      </c>
      <c r="D1362" s="18">
        <f>IF(A1362="","",MATCH(A1362,Calculation!B$2:B9627,1))</f>
        <v>1</v>
      </c>
      <c r="E1362" s="23">
        <f t="array" ref="E1362">IF(D1362="","",IF(D1362=1,0,INDEX(Calculation!Q$2:Q9627,D1362-1)))</f>
        <v>0</v>
      </c>
      <c r="F1362" s="23">
        <f t="array" ref="F1362">IF($A1362="","",
  LET(
    r, $D1362,
    startD, INDEX(Calculation!B$2:B9627, r),
    endD,   INDEX(Calculation!C$2:C9627, r),
    asOf,   MIN($A1362,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2007008.904</v>
      </c>
    </row>
    <row r="1363">
      <c r="A1363" s="19">
        <v>43598.0</v>
      </c>
      <c r="B1363" s="23">
        <v>1.0765E7</v>
      </c>
      <c r="C1363" s="23">
        <f t="shared" si="1"/>
        <v>2008483.562</v>
      </c>
      <c r="D1363" s="18">
        <f>IF(A1363="","",MATCH(A1363,Calculation!B$2:B9627,1))</f>
        <v>1</v>
      </c>
      <c r="E1363" s="23">
        <f t="array" ref="E1363">IF(D1363="","",IF(D1363=1,0,INDEX(Calculation!Q$2:Q9627,D1363-1)))</f>
        <v>0</v>
      </c>
      <c r="F1363" s="23">
        <f t="array" ref="F1363">IF($A1363="","",
  LET(
    r, $D1363,
    startD, INDEX(Calculation!B$2:B9627, r),
    endD,   INDEX(Calculation!C$2:C9627, r),
    asOf,   MIN($A1363,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2008483.562</v>
      </c>
    </row>
    <row r="1364">
      <c r="A1364" s="19">
        <v>43599.0</v>
      </c>
      <c r="B1364" s="23">
        <v>1.0765E7</v>
      </c>
      <c r="C1364" s="23">
        <f t="shared" si="1"/>
        <v>2009958.219</v>
      </c>
      <c r="D1364" s="18">
        <f>IF(A1364="","",MATCH(A1364,Calculation!B$2:B9627,1))</f>
        <v>1</v>
      </c>
      <c r="E1364" s="23">
        <f t="array" ref="E1364">IF(D1364="","",IF(D1364=1,0,INDEX(Calculation!Q$2:Q9627,D1364-1)))</f>
        <v>0</v>
      </c>
      <c r="F1364" s="23">
        <f t="array" ref="F1364">IF($A1364="","",
  LET(
    r, $D1364,
    startD, INDEX(Calculation!B$2:B9627, r),
    endD,   INDEX(Calculation!C$2:C9627, r),
    asOf,   MIN($A1364,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2009958.219</v>
      </c>
    </row>
    <row r="1365">
      <c r="A1365" s="19">
        <v>43600.0</v>
      </c>
      <c r="B1365" s="23">
        <v>1.0765E7</v>
      </c>
      <c r="C1365" s="23">
        <f t="shared" si="1"/>
        <v>2011432.877</v>
      </c>
      <c r="D1365" s="18">
        <f>IF(A1365="","",MATCH(A1365,Calculation!B$2:B9627,1))</f>
        <v>1</v>
      </c>
      <c r="E1365" s="23">
        <f t="array" ref="E1365">IF(D1365="","",IF(D1365=1,0,INDEX(Calculation!Q$2:Q9627,D1365-1)))</f>
        <v>0</v>
      </c>
      <c r="F1365" s="23">
        <f t="array" ref="F1365">IF($A1365="","",
  LET(
    r, $D1365,
    startD, INDEX(Calculation!B$2:B9627, r),
    endD,   INDEX(Calculation!C$2:C9627, r),
    asOf,   MIN($A1365,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2011432.877</v>
      </c>
    </row>
    <row r="1366">
      <c r="A1366" s="19">
        <v>43601.0</v>
      </c>
      <c r="B1366" s="23">
        <v>1.0765E7</v>
      </c>
      <c r="C1366" s="23">
        <f t="shared" si="1"/>
        <v>2012907.534</v>
      </c>
      <c r="D1366" s="18">
        <f>IF(A1366="","",MATCH(A1366,Calculation!B$2:B9627,1))</f>
        <v>1</v>
      </c>
      <c r="E1366" s="23">
        <f t="array" ref="E1366">IF(D1366="","",IF(D1366=1,0,INDEX(Calculation!Q$2:Q9627,D1366-1)))</f>
        <v>0</v>
      </c>
      <c r="F1366" s="23">
        <f t="array" ref="F1366">IF($A1366="","",
  LET(
    r, $D1366,
    startD, INDEX(Calculation!B$2:B9627, r),
    endD,   INDEX(Calculation!C$2:C9627, r),
    asOf,   MIN($A1366,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2012907.534</v>
      </c>
    </row>
    <row r="1367">
      <c r="A1367" s="19">
        <v>43602.0</v>
      </c>
      <c r="B1367" s="23">
        <v>1.0765E7</v>
      </c>
      <c r="C1367" s="23">
        <f t="shared" si="1"/>
        <v>2014382.192</v>
      </c>
      <c r="D1367" s="18">
        <f>IF(A1367="","",MATCH(A1367,Calculation!B$2:B9627,1))</f>
        <v>1</v>
      </c>
      <c r="E1367" s="23">
        <f t="array" ref="E1367">IF(D1367="","",IF(D1367=1,0,INDEX(Calculation!Q$2:Q9627,D1367-1)))</f>
        <v>0</v>
      </c>
      <c r="F1367" s="23">
        <f t="array" ref="F1367">IF($A1367="","",
  LET(
    r, $D1367,
    startD, INDEX(Calculation!B$2:B9627, r),
    endD,   INDEX(Calculation!C$2:C9627, r),
    asOf,   MIN($A1367,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2014382.192</v>
      </c>
    </row>
    <row r="1368">
      <c r="A1368" s="19">
        <v>43603.0</v>
      </c>
      <c r="B1368" s="23">
        <v>1.0765E7</v>
      </c>
      <c r="C1368" s="23">
        <f t="shared" si="1"/>
        <v>2015856.849</v>
      </c>
      <c r="D1368" s="18">
        <f>IF(A1368="","",MATCH(A1368,Calculation!B$2:B9627,1))</f>
        <v>1</v>
      </c>
      <c r="E1368" s="23">
        <f t="array" ref="E1368">IF(D1368="","",IF(D1368=1,0,INDEX(Calculation!Q$2:Q9627,D1368-1)))</f>
        <v>0</v>
      </c>
      <c r="F1368" s="23">
        <f t="array" ref="F1368">IF($A1368="","",
  LET(
    r, $D1368,
    startD, INDEX(Calculation!B$2:B9627, r),
    endD,   INDEX(Calculation!C$2:C9627, r),
    asOf,   MIN($A1368,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2015856.849</v>
      </c>
    </row>
    <row r="1369">
      <c r="A1369" s="19">
        <v>43604.0</v>
      </c>
      <c r="B1369" s="23">
        <v>1.0765E7</v>
      </c>
      <c r="C1369" s="23">
        <f t="shared" si="1"/>
        <v>2017331.507</v>
      </c>
      <c r="D1369" s="18">
        <f>IF(A1369="","",MATCH(A1369,Calculation!B$2:B9627,1))</f>
        <v>1</v>
      </c>
      <c r="E1369" s="23">
        <f t="array" ref="E1369">IF(D1369="","",IF(D1369=1,0,INDEX(Calculation!Q$2:Q9627,D1369-1)))</f>
        <v>0</v>
      </c>
      <c r="F1369" s="23">
        <f t="array" ref="F1369">IF($A1369="","",
  LET(
    r, $D1369,
    startD, INDEX(Calculation!B$2:B9627, r),
    endD,   INDEX(Calculation!C$2:C9627, r),
    asOf,   MIN($A1369,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2017331.507</v>
      </c>
    </row>
    <row r="1370">
      <c r="A1370" s="19">
        <v>43605.0</v>
      </c>
      <c r="B1370" s="23">
        <v>1.0765E7</v>
      </c>
      <c r="C1370" s="23">
        <f t="shared" si="1"/>
        <v>2018806.164</v>
      </c>
      <c r="D1370" s="18">
        <f>IF(A1370="","",MATCH(A1370,Calculation!B$2:B9627,1))</f>
        <v>1</v>
      </c>
      <c r="E1370" s="23">
        <f t="array" ref="E1370">IF(D1370="","",IF(D1370=1,0,INDEX(Calculation!Q$2:Q9627,D1370-1)))</f>
        <v>0</v>
      </c>
      <c r="F1370" s="23">
        <f t="array" ref="F1370">IF($A1370="","",
  LET(
    r, $D1370,
    startD, INDEX(Calculation!B$2:B9627, r),
    endD,   INDEX(Calculation!C$2:C9627, r),
    asOf,   MIN($A1370,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2018806.164</v>
      </c>
    </row>
    <row r="1371">
      <c r="A1371" s="19">
        <v>43606.0</v>
      </c>
      <c r="B1371" s="23">
        <v>1.0765E7</v>
      </c>
      <c r="C1371" s="23">
        <f t="shared" si="1"/>
        <v>2020280.822</v>
      </c>
      <c r="D1371" s="18">
        <f>IF(A1371="","",MATCH(A1371,Calculation!B$2:B9627,1))</f>
        <v>1</v>
      </c>
      <c r="E1371" s="23">
        <f t="array" ref="E1371">IF(D1371="","",IF(D1371=1,0,INDEX(Calculation!Q$2:Q9627,D1371-1)))</f>
        <v>0</v>
      </c>
      <c r="F1371" s="23">
        <f t="array" ref="F1371">IF($A1371="","",
  LET(
    r, $D1371,
    startD, INDEX(Calculation!B$2:B9627, r),
    endD,   INDEX(Calculation!C$2:C9627, r),
    asOf,   MIN($A1371,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2020280.822</v>
      </c>
    </row>
    <row r="1372">
      <c r="A1372" s="19">
        <v>43607.0</v>
      </c>
      <c r="B1372" s="23">
        <v>1.0765E7</v>
      </c>
      <c r="C1372" s="23">
        <f t="shared" si="1"/>
        <v>2021755.479</v>
      </c>
      <c r="D1372" s="18">
        <f>IF(A1372="","",MATCH(A1372,Calculation!B$2:B9627,1))</f>
        <v>1</v>
      </c>
      <c r="E1372" s="23">
        <f t="array" ref="E1372">IF(D1372="","",IF(D1372=1,0,INDEX(Calculation!Q$2:Q9627,D1372-1)))</f>
        <v>0</v>
      </c>
      <c r="F1372" s="23">
        <f t="array" ref="F1372">IF($A1372="","",
  LET(
    r, $D1372,
    startD, INDEX(Calculation!B$2:B9627, r),
    endD,   INDEX(Calculation!C$2:C9627, r),
    asOf,   MIN($A1372,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2021755.479</v>
      </c>
    </row>
    <row r="1373">
      <c r="A1373" s="19">
        <v>43608.0</v>
      </c>
      <c r="B1373" s="23">
        <v>1.0765E7</v>
      </c>
      <c r="C1373" s="23">
        <f t="shared" si="1"/>
        <v>2023230.137</v>
      </c>
      <c r="D1373" s="18">
        <f>IF(A1373="","",MATCH(A1373,Calculation!B$2:B9627,1))</f>
        <v>1</v>
      </c>
      <c r="E1373" s="23">
        <f t="array" ref="E1373">IF(D1373="","",IF(D1373=1,0,INDEX(Calculation!Q$2:Q9627,D1373-1)))</f>
        <v>0</v>
      </c>
      <c r="F1373" s="23">
        <f t="array" ref="F1373">IF($A1373="","",
  LET(
    r, $D1373,
    startD, INDEX(Calculation!B$2:B9627, r),
    endD,   INDEX(Calculation!C$2:C9627, r),
    asOf,   MIN($A1373,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2023230.137</v>
      </c>
    </row>
    <row r="1374">
      <c r="A1374" s="19">
        <v>43609.0</v>
      </c>
      <c r="B1374" s="23">
        <v>1.0765E7</v>
      </c>
      <c r="C1374" s="23">
        <f t="shared" si="1"/>
        <v>2024704.795</v>
      </c>
      <c r="D1374" s="18">
        <f>IF(A1374="","",MATCH(A1374,Calculation!B$2:B9627,1))</f>
        <v>1</v>
      </c>
      <c r="E1374" s="23">
        <f t="array" ref="E1374">IF(D1374="","",IF(D1374=1,0,INDEX(Calculation!Q$2:Q9627,D1374-1)))</f>
        <v>0</v>
      </c>
      <c r="F1374" s="23">
        <f t="array" ref="F1374">IF($A1374="","",
  LET(
    r, $D1374,
    startD, INDEX(Calculation!B$2:B9627, r),
    endD,   INDEX(Calculation!C$2:C9627, r),
    asOf,   MIN($A1374,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2024704.795</v>
      </c>
    </row>
    <row r="1375">
      <c r="A1375" s="19">
        <v>43610.0</v>
      </c>
      <c r="B1375" s="23">
        <v>1.0765E7</v>
      </c>
      <c r="C1375" s="23">
        <f t="shared" si="1"/>
        <v>2026179.452</v>
      </c>
      <c r="D1375" s="18">
        <f>IF(A1375="","",MATCH(A1375,Calculation!B$2:B9627,1))</f>
        <v>1</v>
      </c>
      <c r="E1375" s="23">
        <f t="array" ref="E1375">IF(D1375="","",IF(D1375=1,0,INDEX(Calculation!Q$2:Q9627,D1375-1)))</f>
        <v>0</v>
      </c>
      <c r="F1375" s="23">
        <f t="array" ref="F1375">IF($A1375="","",
  LET(
    r, $D1375,
    startD, INDEX(Calculation!B$2:B9627, r),
    endD,   INDEX(Calculation!C$2:C9627, r),
    asOf,   MIN($A1375,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2026179.452</v>
      </c>
    </row>
    <row r="1376">
      <c r="A1376" s="19">
        <v>43611.0</v>
      </c>
      <c r="B1376" s="23">
        <v>1.0765E7</v>
      </c>
      <c r="C1376" s="23">
        <f t="shared" si="1"/>
        <v>2027654.11</v>
      </c>
      <c r="D1376" s="18">
        <f>IF(A1376="","",MATCH(A1376,Calculation!B$2:B9627,1))</f>
        <v>1</v>
      </c>
      <c r="E1376" s="23">
        <f t="array" ref="E1376">IF(D1376="","",IF(D1376=1,0,INDEX(Calculation!Q$2:Q9627,D1376-1)))</f>
        <v>0</v>
      </c>
      <c r="F1376" s="23">
        <f t="array" ref="F1376">IF($A1376="","",
  LET(
    r, $D1376,
    startD, INDEX(Calculation!B$2:B9627, r),
    endD,   INDEX(Calculation!C$2:C9627, r),
    asOf,   MIN($A1376,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2027654.11</v>
      </c>
    </row>
    <row r="1377">
      <c r="A1377" s="19">
        <v>43612.0</v>
      </c>
      <c r="B1377" s="23">
        <v>1.0765E7</v>
      </c>
      <c r="C1377" s="23">
        <f t="shared" si="1"/>
        <v>2029128.767</v>
      </c>
      <c r="D1377" s="18">
        <f>IF(A1377="","",MATCH(A1377,Calculation!B$2:B9627,1))</f>
        <v>1</v>
      </c>
      <c r="E1377" s="23">
        <f t="array" ref="E1377">IF(D1377="","",IF(D1377=1,0,INDEX(Calculation!Q$2:Q9627,D1377-1)))</f>
        <v>0</v>
      </c>
      <c r="F1377" s="23">
        <f t="array" ref="F1377">IF($A1377="","",
  LET(
    r, $D1377,
    startD, INDEX(Calculation!B$2:B9627, r),
    endD,   INDEX(Calculation!C$2:C9627, r),
    asOf,   MIN($A1377,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2029128.767</v>
      </c>
    </row>
    <row r="1378">
      <c r="A1378" s="19">
        <v>43613.0</v>
      </c>
      <c r="B1378" s="23">
        <v>1.0765E7</v>
      </c>
      <c r="C1378" s="23">
        <f t="shared" si="1"/>
        <v>2030603.425</v>
      </c>
      <c r="D1378" s="18">
        <f>IF(A1378="","",MATCH(A1378,Calculation!B$2:B9627,1))</f>
        <v>1</v>
      </c>
      <c r="E1378" s="23">
        <f t="array" ref="E1378">IF(D1378="","",IF(D1378=1,0,INDEX(Calculation!Q$2:Q9627,D1378-1)))</f>
        <v>0</v>
      </c>
      <c r="F1378" s="23">
        <f t="array" ref="F1378">IF($A1378="","",
  LET(
    r, $D1378,
    startD, INDEX(Calculation!B$2:B9627, r),
    endD,   INDEX(Calculation!C$2:C9627, r),
    asOf,   MIN($A1378,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2030603.425</v>
      </c>
    </row>
    <row r="1379">
      <c r="A1379" s="19">
        <v>43614.0</v>
      </c>
      <c r="B1379" s="23">
        <v>1.0765E7</v>
      </c>
      <c r="C1379" s="23">
        <f t="shared" si="1"/>
        <v>2032078.082</v>
      </c>
      <c r="D1379" s="18">
        <f>IF(A1379="","",MATCH(A1379,Calculation!B$2:B9627,1))</f>
        <v>1</v>
      </c>
      <c r="E1379" s="23">
        <f t="array" ref="E1379">IF(D1379="","",IF(D1379=1,0,INDEX(Calculation!Q$2:Q9627,D1379-1)))</f>
        <v>0</v>
      </c>
      <c r="F1379" s="23">
        <f t="array" ref="F1379">IF($A1379="","",
  LET(
    r, $D1379,
    startD, INDEX(Calculation!B$2:B9627, r),
    endD,   INDEX(Calculation!C$2:C9627, r),
    asOf,   MIN($A1379,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2032078.082</v>
      </c>
    </row>
    <row r="1380">
      <c r="A1380" s="19">
        <v>43615.0</v>
      </c>
      <c r="B1380" s="23">
        <v>1.0765E7</v>
      </c>
      <c r="C1380" s="23">
        <f t="shared" si="1"/>
        <v>2033552.74</v>
      </c>
      <c r="D1380" s="18">
        <f>IF(A1380="","",MATCH(A1380,Calculation!B$2:B9627,1))</f>
        <v>1</v>
      </c>
      <c r="E1380" s="23">
        <f t="array" ref="E1380">IF(D1380="","",IF(D1380=1,0,INDEX(Calculation!Q$2:Q9627,D1380-1)))</f>
        <v>0</v>
      </c>
      <c r="F1380" s="23">
        <f t="array" ref="F1380">IF($A1380="","",
  LET(
    r, $D1380,
    startD, INDEX(Calculation!B$2:B9627, r),
    endD,   INDEX(Calculation!C$2:C9627, r),
    asOf,   MIN($A1380,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2033552.74</v>
      </c>
    </row>
    <row r="1381">
      <c r="A1381" s="19">
        <v>43616.0</v>
      </c>
      <c r="B1381" s="23">
        <v>1.0765E7</v>
      </c>
      <c r="C1381" s="23">
        <f t="shared" si="1"/>
        <v>2035027.397</v>
      </c>
      <c r="D1381" s="18">
        <f>IF(A1381="","",MATCH(A1381,Calculation!B$2:B9627,1))</f>
        <v>1</v>
      </c>
      <c r="E1381" s="23">
        <f t="array" ref="E1381">IF(D1381="","",IF(D1381=1,0,INDEX(Calculation!Q$2:Q9627,D1381-1)))</f>
        <v>0</v>
      </c>
      <c r="F1381" s="23">
        <f t="array" ref="F1381">IF($A1381="","",
  LET(
    r, $D1381,
    startD, INDEX(Calculation!B$2:B9627, r),
    endD,   INDEX(Calculation!C$2:C9627, r),
    asOf,   MIN($A1381,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2035027.397</v>
      </c>
    </row>
    <row r="1382">
      <c r="A1382" s="19">
        <v>43617.0</v>
      </c>
      <c r="B1382" s="23">
        <v>1.0765E7</v>
      </c>
      <c r="C1382" s="23">
        <f t="shared" si="1"/>
        <v>2036502.055</v>
      </c>
      <c r="D1382" s="18">
        <f>IF(A1382="","",MATCH(A1382,Calculation!B$2:B9627,1))</f>
        <v>1</v>
      </c>
      <c r="E1382" s="23">
        <f t="array" ref="E1382">IF(D1382="","",IF(D1382=1,0,INDEX(Calculation!Q$2:Q9627,D1382-1)))</f>
        <v>0</v>
      </c>
      <c r="F1382" s="23">
        <f t="array" ref="F1382">IF($A1382="","",
  LET(
    r, $D1382,
    startD, INDEX(Calculation!B$2:B9627, r),
    endD,   INDEX(Calculation!C$2:C9627, r),
    asOf,   MIN($A1382,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2036502.055</v>
      </c>
    </row>
    <row r="1383">
      <c r="A1383" s="19">
        <v>43618.0</v>
      </c>
      <c r="B1383" s="23">
        <v>1.0765E7</v>
      </c>
      <c r="C1383" s="23">
        <f t="shared" si="1"/>
        <v>2037976.712</v>
      </c>
      <c r="D1383" s="18">
        <f>IF(A1383="","",MATCH(A1383,Calculation!B$2:B9627,1))</f>
        <v>1</v>
      </c>
      <c r="E1383" s="23">
        <f t="array" ref="E1383">IF(D1383="","",IF(D1383=1,0,INDEX(Calculation!Q$2:Q9627,D1383-1)))</f>
        <v>0</v>
      </c>
      <c r="F1383" s="23">
        <f t="array" ref="F1383">IF($A1383="","",
  LET(
    r, $D1383,
    startD, INDEX(Calculation!B$2:B9627, r),
    endD,   INDEX(Calculation!C$2:C9627, r),
    asOf,   MIN($A1383,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2037976.712</v>
      </c>
    </row>
    <row r="1384">
      <c r="A1384" s="19">
        <v>43619.0</v>
      </c>
      <c r="B1384" s="23">
        <v>1.0765E7</v>
      </c>
      <c r="C1384" s="23">
        <f t="shared" si="1"/>
        <v>2039451.37</v>
      </c>
      <c r="D1384" s="18">
        <f>IF(A1384="","",MATCH(A1384,Calculation!B$2:B9627,1))</f>
        <v>1</v>
      </c>
      <c r="E1384" s="23">
        <f t="array" ref="E1384">IF(D1384="","",IF(D1384=1,0,INDEX(Calculation!Q$2:Q9627,D1384-1)))</f>
        <v>0</v>
      </c>
      <c r="F1384" s="23">
        <f t="array" ref="F1384">IF($A1384="","",
  LET(
    r, $D1384,
    startD, INDEX(Calculation!B$2:B9627, r),
    endD,   INDEX(Calculation!C$2:C9627, r),
    asOf,   MIN($A1384,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2039451.37</v>
      </c>
    </row>
    <row r="1385">
      <c r="A1385" s="19">
        <v>43620.0</v>
      </c>
      <c r="B1385" s="23">
        <v>1.0765E7</v>
      </c>
      <c r="C1385" s="23">
        <f t="shared" si="1"/>
        <v>2040926.027</v>
      </c>
      <c r="D1385" s="18">
        <f>IF(A1385="","",MATCH(A1385,Calculation!B$2:B9627,1))</f>
        <v>1</v>
      </c>
      <c r="E1385" s="23">
        <f t="array" ref="E1385">IF(D1385="","",IF(D1385=1,0,INDEX(Calculation!Q$2:Q9627,D1385-1)))</f>
        <v>0</v>
      </c>
      <c r="F1385" s="23">
        <f t="array" ref="F1385">IF($A1385="","",
  LET(
    r, $D1385,
    startD, INDEX(Calculation!B$2:B9627, r),
    endD,   INDEX(Calculation!C$2:C9627, r),
    asOf,   MIN($A1385,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2040926.027</v>
      </c>
    </row>
    <row r="1386">
      <c r="A1386" s="19">
        <v>43621.0</v>
      </c>
      <c r="B1386" s="23">
        <v>1.0765E7</v>
      </c>
      <c r="C1386" s="23">
        <f t="shared" si="1"/>
        <v>2042400.685</v>
      </c>
      <c r="D1386" s="18">
        <f>IF(A1386="","",MATCH(A1386,Calculation!B$2:B9627,1))</f>
        <v>1</v>
      </c>
      <c r="E1386" s="23">
        <f t="array" ref="E1386">IF(D1386="","",IF(D1386=1,0,INDEX(Calculation!Q$2:Q9627,D1386-1)))</f>
        <v>0</v>
      </c>
      <c r="F1386" s="23">
        <f t="array" ref="F1386">IF($A1386="","",
  LET(
    r, $D1386,
    startD, INDEX(Calculation!B$2:B9627, r),
    endD,   INDEX(Calculation!C$2:C9627, r),
    asOf,   MIN($A1386,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2042400.685</v>
      </c>
    </row>
    <row r="1387">
      <c r="A1387" s="19">
        <v>43622.0</v>
      </c>
      <c r="B1387" s="23">
        <v>1.0765E7</v>
      </c>
      <c r="C1387" s="23">
        <f t="shared" si="1"/>
        <v>2043875.342</v>
      </c>
      <c r="D1387" s="18">
        <f>IF(A1387="","",MATCH(A1387,Calculation!B$2:B9627,1))</f>
        <v>1</v>
      </c>
      <c r="E1387" s="23">
        <f t="array" ref="E1387">IF(D1387="","",IF(D1387=1,0,INDEX(Calculation!Q$2:Q9627,D1387-1)))</f>
        <v>0</v>
      </c>
      <c r="F1387" s="23">
        <f t="array" ref="F1387">IF($A1387="","",
  LET(
    r, $D1387,
    startD, INDEX(Calculation!B$2:B9627, r),
    endD,   INDEX(Calculation!C$2:C9627, r),
    asOf,   MIN($A1387,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2043875.342</v>
      </c>
    </row>
    <row r="1388">
      <c r="A1388" s="19">
        <v>43623.0</v>
      </c>
      <c r="B1388" s="23">
        <v>1.0765E7</v>
      </c>
      <c r="C1388" s="23">
        <f t="shared" si="1"/>
        <v>2045350</v>
      </c>
      <c r="D1388" s="18">
        <f>IF(A1388="","",MATCH(A1388,Calculation!B$2:B9627,1))</f>
        <v>1</v>
      </c>
      <c r="E1388" s="23">
        <f t="array" ref="E1388">IF(D1388="","",IF(D1388=1,0,INDEX(Calculation!Q$2:Q9627,D1388-1)))</f>
        <v>0</v>
      </c>
      <c r="F1388" s="23">
        <f t="array" ref="F1388">IF($A1388="","",
  LET(
    r, $D1388,
    startD, INDEX(Calculation!B$2:B9627, r),
    endD,   INDEX(Calculation!C$2:C9627, r),
    asOf,   MIN($A1388,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2045350</v>
      </c>
    </row>
    <row r="1389">
      <c r="A1389" s="19">
        <v>43624.0</v>
      </c>
      <c r="B1389" s="23">
        <v>1.0765E7</v>
      </c>
      <c r="C1389" s="23">
        <f t="shared" si="1"/>
        <v>2046824.658</v>
      </c>
      <c r="D1389" s="18">
        <f>IF(A1389="","",MATCH(A1389,Calculation!B$2:B9627,1))</f>
        <v>1</v>
      </c>
      <c r="E1389" s="23">
        <f t="array" ref="E1389">IF(D1389="","",IF(D1389=1,0,INDEX(Calculation!Q$2:Q9627,D1389-1)))</f>
        <v>0</v>
      </c>
      <c r="F1389" s="23">
        <f t="array" ref="F1389">IF($A1389="","",
  LET(
    r, $D1389,
    startD, INDEX(Calculation!B$2:B9627, r),
    endD,   INDEX(Calculation!C$2:C9627, r),
    asOf,   MIN($A1389,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2046824.658</v>
      </c>
    </row>
    <row r="1390">
      <c r="A1390" s="19">
        <v>43625.0</v>
      </c>
      <c r="B1390" s="23">
        <v>1.0765E7</v>
      </c>
      <c r="C1390" s="23">
        <f t="shared" si="1"/>
        <v>2048299.315</v>
      </c>
      <c r="D1390" s="18">
        <f>IF(A1390="","",MATCH(A1390,Calculation!B$2:B9627,1))</f>
        <v>1</v>
      </c>
      <c r="E1390" s="23">
        <f t="array" ref="E1390">IF(D1390="","",IF(D1390=1,0,INDEX(Calculation!Q$2:Q9627,D1390-1)))</f>
        <v>0</v>
      </c>
      <c r="F1390" s="23">
        <f t="array" ref="F1390">IF($A1390="","",
  LET(
    r, $D1390,
    startD, INDEX(Calculation!B$2:B9627, r),
    endD,   INDEX(Calculation!C$2:C9627, r),
    asOf,   MIN($A1390,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2048299.315</v>
      </c>
    </row>
    <row r="1391">
      <c r="A1391" s="19">
        <v>43626.0</v>
      </c>
      <c r="B1391" s="23">
        <v>1.0765E7</v>
      </c>
      <c r="C1391" s="23">
        <f t="shared" si="1"/>
        <v>2049773.973</v>
      </c>
      <c r="D1391" s="18">
        <f>IF(A1391="","",MATCH(A1391,Calculation!B$2:B9627,1))</f>
        <v>1</v>
      </c>
      <c r="E1391" s="23">
        <f t="array" ref="E1391">IF(D1391="","",IF(D1391=1,0,INDEX(Calculation!Q$2:Q9627,D1391-1)))</f>
        <v>0</v>
      </c>
      <c r="F1391" s="23">
        <f t="array" ref="F1391">IF($A1391="","",
  LET(
    r, $D1391,
    startD, INDEX(Calculation!B$2:B9627, r),
    endD,   INDEX(Calculation!C$2:C9627, r),
    asOf,   MIN($A1391,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2049773.973</v>
      </c>
    </row>
    <row r="1392">
      <c r="A1392" s="19">
        <v>43627.0</v>
      </c>
      <c r="B1392" s="23">
        <v>1.0765E7</v>
      </c>
      <c r="C1392" s="23">
        <f t="shared" si="1"/>
        <v>2051248.63</v>
      </c>
      <c r="D1392" s="18">
        <f>IF(A1392="","",MATCH(A1392,Calculation!B$2:B9627,1))</f>
        <v>1</v>
      </c>
      <c r="E1392" s="23">
        <f t="array" ref="E1392">IF(D1392="","",IF(D1392=1,0,INDEX(Calculation!Q$2:Q9627,D1392-1)))</f>
        <v>0</v>
      </c>
      <c r="F1392" s="23">
        <f t="array" ref="F1392">IF($A1392="","",
  LET(
    r, $D1392,
    startD, INDEX(Calculation!B$2:B9627, r),
    endD,   INDEX(Calculation!C$2:C9627, r),
    asOf,   MIN($A1392,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2051248.63</v>
      </c>
    </row>
    <row r="1393">
      <c r="A1393" s="19">
        <v>43628.0</v>
      </c>
      <c r="B1393" s="23">
        <v>1.0765E7</v>
      </c>
      <c r="C1393" s="23">
        <f t="shared" si="1"/>
        <v>2052723.288</v>
      </c>
      <c r="D1393" s="18">
        <f>IF(A1393="","",MATCH(A1393,Calculation!B$2:B9627,1))</f>
        <v>1</v>
      </c>
      <c r="E1393" s="23">
        <f t="array" ref="E1393">IF(D1393="","",IF(D1393=1,0,INDEX(Calculation!Q$2:Q9627,D1393-1)))</f>
        <v>0</v>
      </c>
      <c r="F1393" s="23">
        <f t="array" ref="F1393">IF($A1393="","",
  LET(
    r, $D1393,
    startD, INDEX(Calculation!B$2:B9627, r),
    endD,   INDEX(Calculation!C$2:C9627, r),
    asOf,   MIN($A1393,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2052723.288</v>
      </c>
    </row>
    <row r="1394">
      <c r="A1394" s="19">
        <v>43629.0</v>
      </c>
      <c r="B1394" s="23">
        <v>1.0765E7</v>
      </c>
      <c r="C1394" s="23">
        <f t="shared" si="1"/>
        <v>2054197.945</v>
      </c>
      <c r="D1394" s="18">
        <f>IF(A1394="","",MATCH(A1394,Calculation!B$2:B9627,1))</f>
        <v>1</v>
      </c>
      <c r="E1394" s="23">
        <f t="array" ref="E1394">IF(D1394="","",IF(D1394=1,0,INDEX(Calculation!Q$2:Q9627,D1394-1)))</f>
        <v>0</v>
      </c>
      <c r="F1394" s="23">
        <f t="array" ref="F1394">IF($A1394="","",
  LET(
    r, $D1394,
    startD, INDEX(Calculation!B$2:B9627, r),
    endD,   INDEX(Calculation!C$2:C9627, r),
    asOf,   MIN($A1394,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2054197.945</v>
      </c>
    </row>
    <row r="1395">
      <c r="A1395" s="19">
        <v>43630.0</v>
      </c>
      <c r="B1395" s="23">
        <v>1.0765E7</v>
      </c>
      <c r="C1395" s="23">
        <f t="shared" si="1"/>
        <v>2055672.603</v>
      </c>
      <c r="D1395" s="18">
        <f>IF(A1395="","",MATCH(A1395,Calculation!B$2:B9627,1))</f>
        <v>1</v>
      </c>
      <c r="E1395" s="23">
        <f t="array" ref="E1395">IF(D1395="","",IF(D1395=1,0,INDEX(Calculation!Q$2:Q9627,D1395-1)))</f>
        <v>0</v>
      </c>
      <c r="F1395" s="23">
        <f t="array" ref="F1395">IF($A1395="","",
  LET(
    r, $D1395,
    startD, INDEX(Calculation!B$2:B9627, r),
    endD,   INDEX(Calculation!C$2:C9627, r),
    asOf,   MIN($A1395,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2055672.603</v>
      </c>
    </row>
    <row r="1396">
      <c r="A1396" s="19">
        <v>43631.0</v>
      </c>
      <c r="B1396" s="23">
        <v>1.0765E7</v>
      </c>
      <c r="C1396" s="23">
        <f t="shared" si="1"/>
        <v>2057147.26</v>
      </c>
      <c r="D1396" s="18">
        <f>IF(A1396="","",MATCH(A1396,Calculation!B$2:B9627,1))</f>
        <v>1</v>
      </c>
      <c r="E1396" s="23">
        <f t="array" ref="E1396">IF(D1396="","",IF(D1396=1,0,INDEX(Calculation!Q$2:Q9627,D1396-1)))</f>
        <v>0</v>
      </c>
      <c r="F1396" s="23">
        <f t="array" ref="F1396">IF($A1396="","",
  LET(
    r, $D1396,
    startD, INDEX(Calculation!B$2:B9627, r),
    endD,   INDEX(Calculation!C$2:C9627, r),
    asOf,   MIN($A1396,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2057147.26</v>
      </c>
    </row>
    <row r="1397">
      <c r="A1397" s="19">
        <v>43632.0</v>
      </c>
      <c r="B1397" s="23">
        <v>1.0765E7</v>
      </c>
      <c r="C1397" s="23">
        <f t="shared" si="1"/>
        <v>2058621.918</v>
      </c>
      <c r="D1397" s="18">
        <f>IF(A1397="","",MATCH(A1397,Calculation!B$2:B9627,1))</f>
        <v>1</v>
      </c>
      <c r="E1397" s="23">
        <f t="array" ref="E1397">IF(D1397="","",IF(D1397=1,0,INDEX(Calculation!Q$2:Q9627,D1397-1)))</f>
        <v>0</v>
      </c>
      <c r="F1397" s="23">
        <f t="array" ref="F1397">IF($A1397="","",
  LET(
    r, $D1397,
    startD, INDEX(Calculation!B$2:B9627, r),
    endD,   INDEX(Calculation!C$2:C9627, r),
    asOf,   MIN($A1397,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2058621.918</v>
      </c>
    </row>
    <row r="1398">
      <c r="A1398" s="19">
        <v>43633.0</v>
      </c>
      <c r="B1398" s="23">
        <v>1.0765E7</v>
      </c>
      <c r="C1398" s="23">
        <f t="shared" si="1"/>
        <v>2060096.575</v>
      </c>
      <c r="D1398" s="18">
        <f>IF(A1398="","",MATCH(A1398,Calculation!B$2:B9627,1))</f>
        <v>1</v>
      </c>
      <c r="E1398" s="23">
        <f t="array" ref="E1398">IF(D1398="","",IF(D1398=1,0,INDEX(Calculation!Q$2:Q9627,D1398-1)))</f>
        <v>0</v>
      </c>
      <c r="F1398" s="23">
        <f t="array" ref="F1398">IF($A1398="","",
  LET(
    r, $D1398,
    startD, INDEX(Calculation!B$2:B9627, r),
    endD,   INDEX(Calculation!C$2:C9627, r),
    asOf,   MIN($A1398,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2060096.575</v>
      </c>
    </row>
    <row r="1399">
      <c r="A1399" s="19">
        <v>43634.0</v>
      </c>
      <c r="B1399" s="23">
        <v>1.0765E7</v>
      </c>
      <c r="C1399" s="23">
        <f t="shared" si="1"/>
        <v>2061571.233</v>
      </c>
      <c r="D1399" s="18">
        <f>IF(A1399="","",MATCH(A1399,Calculation!B$2:B9627,1))</f>
        <v>1</v>
      </c>
      <c r="E1399" s="23">
        <f t="array" ref="E1399">IF(D1399="","",IF(D1399=1,0,INDEX(Calculation!Q$2:Q9627,D1399-1)))</f>
        <v>0</v>
      </c>
      <c r="F1399" s="23">
        <f t="array" ref="F1399">IF($A1399="","",
  LET(
    r, $D1399,
    startD, INDEX(Calculation!B$2:B9627, r),
    endD,   INDEX(Calculation!C$2:C9627, r),
    asOf,   MIN($A1399,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2061571.233</v>
      </c>
    </row>
    <row r="1400">
      <c r="A1400" s="19">
        <v>43635.0</v>
      </c>
      <c r="B1400" s="23">
        <v>1.0765E7</v>
      </c>
      <c r="C1400" s="23">
        <f t="shared" si="1"/>
        <v>2063045.89</v>
      </c>
      <c r="D1400" s="18">
        <f>IF(A1400="","",MATCH(A1400,Calculation!B$2:B9627,1))</f>
        <v>1</v>
      </c>
      <c r="E1400" s="23">
        <f t="array" ref="E1400">IF(D1400="","",IF(D1400=1,0,INDEX(Calculation!Q$2:Q9627,D1400-1)))</f>
        <v>0</v>
      </c>
      <c r="F1400" s="23">
        <f t="array" ref="F1400">IF($A1400="","",
  LET(
    r, $D1400,
    startD, INDEX(Calculation!B$2:B9627, r),
    endD,   INDEX(Calculation!C$2:C9627, r),
    asOf,   MIN($A1400,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2063045.89</v>
      </c>
    </row>
    <row r="1401">
      <c r="A1401" s="19">
        <v>43636.0</v>
      </c>
      <c r="B1401" s="23">
        <v>1.0765E7</v>
      </c>
      <c r="C1401" s="23">
        <f t="shared" si="1"/>
        <v>2064520.548</v>
      </c>
      <c r="D1401" s="18">
        <f>IF(A1401="","",MATCH(A1401,Calculation!B$2:B9627,1))</f>
        <v>1</v>
      </c>
      <c r="E1401" s="23">
        <f t="array" ref="E1401">IF(D1401="","",IF(D1401=1,0,INDEX(Calculation!Q$2:Q9627,D1401-1)))</f>
        <v>0</v>
      </c>
      <c r="F1401" s="23">
        <f t="array" ref="F1401">IF($A1401="","",
  LET(
    r, $D1401,
    startD, INDEX(Calculation!B$2:B9627, r),
    endD,   INDEX(Calculation!C$2:C9627, r),
    asOf,   MIN($A1401,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2064520.548</v>
      </c>
    </row>
    <row r="1402">
      <c r="A1402" s="19">
        <v>43637.0</v>
      </c>
      <c r="B1402" s="23">
        <v>1.0765E7</v>
      </c>
      <c r="C1402" s="23">
        <f t="shared" si="1"/>
        <v>2065995.205</v>
      </c>
      <c r="D1402" s="18">
        <f>IF(A1402="","",MATCH(A1402,Calculation!B$2:B9627,1))</f>
        <v>1</v>
      </c>
      <c r="E1402" s="23">
        <f t="array" ref="E1402">IF(D1402="","",IF(D1402=1,0,INDEX(Calculation!Q$2:Q9627,D1402-1)))</f>
        <v>0</v>
      </c>
      <c r="F1402" s="23">
        <f t="array" ref="F1402">IF($A1402="","",
  LET(
    r, $D1402,
    startD, INDEX(Calculation!B$2:B9627, r),
    endD,   INDEX(Calculation!C$2:C9627, r),
    asOf,   MIN($A1402,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2065995.205</v>
      </c>
    </row>
    <row r="1403">
      <c r="A1403" s="19">
        <v>43638.0</v>
      </c>
      <c r="B1403" s="23">
        <v>1.0765E7</v>
      </c>
      <c r="C1403" s="23">
        <f t="shared" si="1"/>
        <v>2067469.863</v>
      </c>
      <c r="D1403" s="18">
        <f>IF(A1403="","",MATCH(A1403,Calculation!B$2:B9627,1))</f>
        <v>1</v>
      </c>
      <c r="E1403" s="23">
        <f t="array" ref="E1403">IF(D1403="","",IF(D1403=1,0,INDEX(Calculation!Q$2:Q9627,D1403-1)))</f>
        <v>0</v>
      </c>
      <c r="F1403" s="23">
        <f t="array" ref="F1403">IF($A1403="","",
  LET(
    r, $D1403,
    startD, INDEX(Calculation!B$2:B9627, r),
    endD,   INDEX(Calculation!C$2:C9627, r),
    asOf,   MIN($A1403,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2067469.863</v>
      </c>
    </row>
    <row r="1404">
      <c r="A1404" s="19">
        <v>43639.0</v>
      </c>
      <c r="B1404" s="23">
        <v>1.0765E7</v>
      </c>
      <c r="C1404" s="23">
        <f t="shared" si="1"/>
        <v>2068944.521</v>
      </c>
      <c r="D1404" s="18">
        <f>IF(A1404="","",MATCH(A1404,Calculation!B$2:B9627,1))</f>
        <v>1</v>
      </c>
      <c r="E1404" s="23">
        <f t="array" ref="E1404">IF(D1404="","",IF(D1404=1,0,INDEX(Calculation!Q$2:Q9627,D1404-1)))</f>
        <v>0</v>
      </c>
      <c r="F1404" s="23">
        <f t="array" ref="F1404">IF($A1404="","",
  LET(
    r, $D1404,
    startD, INDEX(Calculation!B$2:B9627, r),
    endD,   INDEX(Calculation!C$2:C9627, r),
    asOf,   MIN($A1404,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2068944.521</v>
      </c>
    </row>
    <row r="1405">
      <c r="A1405" s="19">
        <v>43640.0</v>
      </c>
      <c r="B1405" s="23">
        <v>1.0765E7</v>
      </c>
      <c r="C1405" s="23">
        <f t="shared" si="1"/>
        <v>2070419.178</v>
      </c>
      <c r="D1405" s="18">
        <f>IF(A1405="","",MATCH(A1405,Calculation!B$2:B9627,1))</f>
        <v>1</v>
      </c>
      <c r="E1405" s="23">
        <f t="array" ref="E1405">IF(D1405="","",IF(D1405=1,0,INDEX(Calculation!Q$2:Q9627,D1405-1)))</f>
        <v>0</v>
      </c>
      <c r="F1405" s="23">
        <f t="array" ref="F1405">IF($A1405="","",
  LET(
    r, $D1405,
    startD, INDEX(Calculation!B$2:B9627, r),
    endD,   INDEX(Calculation!C$2:C9627, r),
    asOf,   MIN($A1405,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2070419.178</v>
      </c>
    </row>
    <row r="1406">
      <c r="A1406" s="19">
        <v>43641.0</v>
      </c>
      <c r="B1406" s="23">
        <v>1.0765E7</v>
      </c>
      <c r="C1406" s="23">
        <f t="shared" si="1"/>
        <v>2071893.836</v>
      </c>
      <c r="D1406" s="18">
        <f>IF(A1406="","",MATCH(A1406,Calculation!B$2:B9627,1))</f>
        <v>1</v>
      </c>
      <c r="E1406" s="23">
        <f t="array" ref="E1406">IF(D1406="","",IF(D1406=1,0,INDEX(Calculation!Q$2:Q9627,D1406-1)))</f>
        <v>0</v>
      </c>
      <c r="F1406" s="23">
        <f t="array" ref="F1406">IF($A1406="","",
  LET(
    r, $D1406,
    startD, INDEX(Calculation!B$2:B9627, r),
    endD,   INDEX(Calculation!C$2:C9627, r),
    asOf,   MIN($A1406,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2071893.836</v>
      </c>
    </row>
    <row r="1407">
      <c r="A1407" s="19">
        <v>43642.0</v>
      </c>
      <c r="B1407" s="23">
        <v>1.0765E7</v>
      </c>
      <c r="C1407" s="23">
        <f t="shared" si="1"/>
        <v>2073368.493</v>
      </c>
      <c r="D1407" s="18">
        <f>IF(A1407="","",MATCH(A1407,Calculation!B$2:B9627,1))</f>
        <v>1</v>
      </c>
      <c r="E1407" s="23">
        <f t="array" ref="E1407">IF(D1407="","",IF(D1407=1,0,INDEX(Calculation!Q$2:Q9627,D1407-1)))</f>
        <v>0</v>
      </c>
      <c r="F1407" s="23">
        <f t="array" ref="F1407">IF($A1407="","",
  LET(
    r, $D1407,
    startD, INDEX(Calculation!B$2:B9627, r),
    endD,   INDEX(Calculation!C$2:C9627, r),
    asOf,   MIN($A1407,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2073368.493</v>
      </c>
    </row>
    <row r="1408">
      <c r="A1408" s="19">
        <v>43643.0</v>
      </c>
      <c r="B1408" s="23">
        <v>1.0765E7</v>
      </c>
      <c r="C1408" s="23">
        <f t="shared" si="1"/>
        <v>2074843.151</v>
      </c>
      <c r="D1408" s="18">
        <f>IF(A1408="","",MATCH(A1408,Calculation!B$2:B9627,1))</f>
        <v>1</v>
      </c>
      <c r="E1408" s="23">
        <f t="array" ref="E1408">IF(D1408="","",IF(D1408=1,0,INDEX(Calculation!Q$2:Q9627,D1408-1)))</f>
        <v>0</v>
      </c>
      <c r="F1408" s="23">
        <f t="array" ref="F1408">IF($A1408="","",
  LET(
    r, $D1408,
    startD, INDEX(Calculation!B$2:B9627, r),
    endD,   INDEX(Calculation!C$2:C9627, r),
    asOf,   MIN($A1408,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2074843.151</v>
      </c>
    </row>
    <row r="1409">
      <c r="A1409" s="19">
        <v>43644.0</v>
      </c>
      <c r="B1409" s="23">
        <v>1.0765E7</v>
      </c>
      <c r="C1409" s="23">
        <f t="shared" si="1"/>
        <v>2076317.808</v>
      </c>
      <c r="D1409" s="18">
        <f>IF(A1409="","",MATCH(A1409,Calculation!B$2:B9627,1))</f>
        <v>1</v>
      </c>
      <c r="E1409" s="23">
        <f t="array" ref="E1409">IF(D1409="","",IF(D1409=1,0,INDEX(Calculation!Q$2:Q9627,D1409-1)))</f>
        <v>0</v>
      </c>
      <c r="F1409" s="23">
        <f t="array" ref="F1409">IF($A1409="","",
  LET(
    r, $D1409,
    startD, INDEX(Calculation!B$2:B9627, r),
    endD,   INDEX(Calculation!C$2:C9627, r),
    asOf,   MIN($A1409,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2076317.808</v>
      </c>
    </row>
    <row r="1410">
      <c r="A1410" s="19">
        <v>43645.0</v>
      </c>
      <c r="B1410" s="23">
        <v>1.0765E7</v>
      </c>
      <c r="C1410" s="23">
        <f t="shared" si="1"/>
        <v>2077792.466</v>
      </c>
      <c r="D1410" s="18">
        <f>IF(A1410="","",MATCH(A1410,Calculation!B$2:B9627,1))</f>
        <v>1</v>
      </c>
      <c r="E1410" s="23">
        <f t="array" ref="E1410">IF(D1410="","",IF(D1410=1,0,INDEX(Calculation!Q$2:Q9627,D1410-1)))</f>
        <v>0</v>
      </c>
      <c r="F1410" s="23">
        <f t="array" ref="F1410">IF($A1410="","",
  LET(
    r, $D1410,
    startD, INDEX(Calculation!B$2:B9627, r),
    endD,   INDEX(Calculation!C$2:C9627, r),
    asOf,   MIN($A1410,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2077792.466</v>
      </c>
    </row>
    <row r="1411">
      <c r="A1411" s="19">
        <v>43646.0</v>
      </c>
      <c r="B1411" s="23">
        <v>1.0765E7</v>
      </c>
      <c r="C1411" s="23">
        <f t="shared" si="1"/>
        <v>2079267.123</v>
      </c>
      <c r="D1411" s="18">
        <f>IF(A1411="","",MATCH(A1411,Calculation!B$2:B9627,1))</f>
        <v>1</v>
      </c>
      <c r="E1411" s="23">
        <f t="array" ref="E1411">IF(D1411="","",IF(D1411=1,0,INDEX(Calculation!Q$2:Q9627,D1411-1)))</f>
        <v>0</v>
      </c>
      <c r="F1411" s="23">
        <f t="array" ref="F1411">IF($A1411="","",
  LET(
    r, $D1411,
    startD, INDEX(Calculation!B$2:B9627, r),
    endD,   INDEX(Calculation!C$2:C9627, r),
    asOf,   MIN($A1411,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2079267.123</v>
      </c>
    </row>
    <row r="1412">
      <c r="A1412" s="19">
        <v>43647.0</v>
      </c>
      <c r="B1412" s="23">
        <v>1.0765E7</v>
      </c>
      <c r="C1412" s="23">
        <f t="shared" si="1"/>
        <v>2080741.781</v>
      </c>
      <c r="D1412" s="18">
        <f>IF(A1412="","",MATCH(A1412,Calculation!B$2:B9627,1))</f>
        <v>1</v>
      </c>
      <c r="E1412" s="23">
        <f t="array" ref="E1412">IF(D1412="","",IF(D1412=1,0,INDEX(Calculation!Q$2:Q9627,D1412-1)))</f>
        <v>0</v>
      </c>
      <c r="F1412" s="23">
        <f t="array" ref="F1412">IF($A1412="","",
  LET(
    r, $D1412,
    startD, INDEX(Calculation!B$2:B9627, r),
    endD,   INDEX(Calculation!C$2:C9627, r),
    asOf,   MIN($A1412,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2080741.781</v>
      </c>
    </row>
    <row r="1413">
      <c r="A1413" s="19">
        <v>43648.0</v>
      </c>
      <c r="B1413" s="23">
        <v>1.0765E7</v>
      </c>
      <c r="C1413" s="23">
        <f t="shared" si="1"/>
        <v>2082216.438</v>
      </c>
      <c r="D1413" s="18">
        <f>IF(A1413="","",MATCH(A1413,Calculation!B$2:B9627,1))</f>
        <v>1</v>
      </c>
      <c r="E1413" s="23">
        <f t="array" ref="E1413">IF(D1413="","",IF(D1413=1,0,INDEX(Calculation!Q$2:Q9627,D1413-1)))</f>
        <v>0</v>
      </c>
      <c r="F1413" s="23">
        <f t="array" ref="F1413">IF($A1413="","",
  LET(
    r, $D1413,
    startD, INDEX(Calculation!B$2:B9627, r),
    endD,   INDEX(Calculation!C$2:C9627, r),
    asOf,   MIN($A1413,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2082216.438</v>
      </c>
    </row>
    <row r="1414">
      <c r="A1414" s="19">
        <v>43649.0</v>
      </c>
      <c r="B1414" s="23">
        <v>1.0765E7</v>
      </c>
      <c r="C1414" s="23">
        <f t="shared" si="1"/>
        <v>2083691.096</v>
      </c>
      <c r="D1414" s="18">
        <f>IF(A1414="","",MATCH(A1414,Calculation!B$2:B9627,1))</f>
        <v>1</v>
      </c>
      <c r="E1414" s="23">
        <f t="array" ref="E1414">IF(D1414="","",IF(D1414=1,0,INDEX(Calculation!Q$2:Q9627,D1414-1)))</f>
        <v>0</v>
      </c>
      <c r="F1414" s="23">
        <f t="array" ref="F1414">IF($A1414="","",
  LET(
    r, $D1414,
    startD, INDEX(Calculation!B$2:B9627, r),
    endD,   INDEX(Calculation!C$2:C9627, r),
    asOf,   MIN($A1414,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2083691.096</v>
      </c>
    </row>
    <row r="1415">
      <c r="A1415" s="19">
        <v>43650.0</v>
      </c>
      <c r="B1415" s="23">
        <v>1.0765E7</v>
      </c>
      <c r="C1415" s="23">
        <f t="shared" si="1"/>
        <v>2085165.753</v>
      </c>
      <c r="D1415" s="18">
        <f>IF(A1415="","",MATCH(A1415,Calculation!B$2:B9627,1))</f>
        <v>1</v>
      </c>
      <c r="E1415" s="23">
        <f t="array" ref="E1415">IF(D1415="","",IF(D1415=1,0,INDEX(Calculation!Q$2:Q9627,D1415-1)))</f>
        <v>0</v>
      </c>
      <c r="F1415" s="23">
        <f t="array" ref="F1415">IF($A1415="","",
  LET(
    r, $D1415,
    startD, INDEX(Calculation!B$2:B9627, r),
    endD,   INDEX(Calculation!C$2:C9627, r),
    asOf,   MIN($A1415,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2085165.753</v>
      </c>
    </row>
    <row r="1416">
      <c r="A1416" s="19">
        <v>43651.0</v>
      </c>
      <c r="B1416" s="23">
        <v>1.0765E7</v>
      </c>
      <c r="C1416" s="23">
        <f t="shared" si="1"/>
        <v>2086640.411</v>
      </c>
      <c r="D1416" s="18">
        <f>IF(A1416="","",MATCH(A1416,Calculation!B$2:B9627,1))</f>
        <v>1</v>
      </c>
      <c r="E1416" s="23">
        <f t="array" ref="E1416">IF(D1416="","",IF(D1416=1,0,INDEX(Calculation!Q$2:Q9627,D1416-1)))</f>
        <v>0</v>
      </c>
      <c r="F1416" s="23">
        <f t="array" ref="F1416">IF($A1416="","",
  LET(
    r, $D1416,
    startD, INDEX(Calculation!B$2:B9627, r),
    endD,   INDEX(Calculation!C$2:C9627, r),
    asOf,   MIN($A1416,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2086640.411</v>
      </c>
    </row>
    <row r="1417">
      <c r="A1417" s="19">
        <v>43652.0</v>
      </c>
      <c r="B1417" s="23">
        <v>1.0765E7</v>
      </c>
      <c r="C1417" s="23">
        <f t="shared" si="1"/>
        <v>2088115.068</v>
      </c>
      <c r="D1417" s="18">
        <f>IF(A1417="","",MATCH(A1417,Calculation!B$2:B9627,1))</f>
        <v>1</v>
      </c>
      <c r="E1417" s="23">
        <f t="array" ref="E1417">IF(D1417="","",IF(D1417=1,0,INDEX(Calculation!Q$2:Q9627,D1417-1)))</f>
        <v>0</v>
      </c>
      <c r="F1417" s="23">
        <f t="array" ref="F1417">IF($A1417="","",
  LET(
    r, $D1417,
    startD, INDEX(Calculation!B$2:B9627, r),
    endD,   INDEX(Calculation!C$2:C9627, r),
    asOf,   MIN($A1417,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2088115.068</v>
      </c>
    </row>
    <row r="1418">
      <c r="A1418" s="19">
        <v>43653.0</v>
      </c>
      <c r="B1418" s="23">
        <v>1.0765E7</v>
      </c>
      <c r="C1418" s="23">
        <f t="shared" si="1"/>
        <v>2089589.726</v>
      </c>
      <c r="D1418" s="18">
        <f>IF(A1418="","",MATCH(A1418,Calculation!B$2:B9627,1))</f>
        <v>1</v>
      </c>
      <c r="E1418" s="23">
        <f t="array" ref="E1418">IF(D1418="","",IF(D1418=1,0,INDEX(Calculation!Q$2:Q9627,D1418-1)))</f>
        <v>0</v>
      </c>
      <c r="F1418" s="23">
        <f t="array" ref="F1418">IF($A1418="","",
  LET(
    r, $D1418,
    startD, INDEX(Calculation!B$2:B9627, r),
    endD,   INDEX(Calculation!C$2:C9627, r),
    asOf,   MIN($A1418,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2089589.726</v>
      </c>
    </row>
    <row r="1419">
      <c r="A1419" s="19">
        <v>43654.0</v>
      </c>
      <c r="B1419" s="23">
        <v>1.0765E7</v>
      </c>
      <c r="C1419" s="23">
        <f t="shared" si="1"/>
        <v>2091064.384</v>
      </c>
      <c r="D1419" s="18">
        <f>IF(A1419="","",MATCH(A1419,Calculation!B$2:B9627,1))</f>
        <v>1</v>
      </c>
      <c r="E1419" s="23">
        <f t="array" ref="E1419">IF(D1419="","",IF(D1419=1,0,INDEX(Calculation!Q$2:Q9627,D1419-1)))</f>
        <v>0</v>
      </c>
      <c r="F1419" s="23">
        <f t="array" ref="F1419">IF($A1419="","",
  LET(
    r, $D1419,
    startD, INDEX(Calculation!B$2:B9627, r),
    endD,   INDEX(Calculation!C$2:C9627, r),
    asOf,   MIN($A1419,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2091064.384</v>
      </c>
    </row>
    <row r="1420">
      <c r="A1420" s="19">
        <v>43655.0</v>
      </c>
      <c r="B1420" s="23">
        <v>1.0765E7</v>
      </c>
      <c r="C1420" s="23">
        <f t="shared" si="1"/>
        <v>2092539.041</v>
      </c>
      <c r="D1420" s="18">
        <f>IF(A1420="","",MATCH(A1420,Calculation!B$2:B9627,1))</f>
        <v>1</v>
      </c>
      <c r="E1420" s="23">
        <f t="array" ref="E1420">IF(D1420="","",IF(D1420=1,0,INDEX(Calculation!Q$2:Q9627,D1420-1)))</f>
        <v>0</v>
      </c>
      <c r="F1420" s="23">
        <f t="array" ref="F1420">IF($A1420="","",
  LET(
    r, $D1420,
    startD, INDEX(Calculation!B$2:B9627, r),
    endD,   INDEX(Calculation!C$2:C9627, r),
    asOf,   MIN($A1420,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2092539.041</v>
      </c>
    </row>
    <row r="1421">
      <c r="A1421" s="19">
        <v>43656.0</v>
      </c>
      <c r="B1421" s="23">
        <v>1.0765E7</v>
      </c>
      <c r="C1421" s="23">
        <f t="shared" si="1"/>
        <v>2094013.699</v>
      </c>
      <c r="D1421" s="18">
        <f>IF(A1421="","",MATCH(A1421,Calculation!B$2:B9627,1))</f>
        <v>1</v>
      </c>
      <c r="E1421" s="23">
        <f t="array" ref="E1421">IF(D1421="","",IF(D1421=1,0,INDEX(Calculation!Q$2:Q9627,D1421-1)))</f>
        <v>0</v>
      </c>
      <c r="F1421" s="23">
        <f t="array" ref="F1421">IF($A1421="","",
  LET(
    r, $D1421,
    startD, INDEX(Calculation!B$2:B9627, r),
    endD,   INDEX(Calculation!C$2:C9627, r),
    asOf,   MIN($A1421,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2094013.699</v>
      </c>
    </row>
    <row r="1422">
      <c r="A1422" s="19">
        <v>43657.0</v>
      </c>
      <c r="B1422" s="23">
        <v>1.0765E7</v>
      </c>
      <c r="C1422" s="23">
        <f t="shared" si="1"/>
        <v>2095488.356</v>
      </c>
      <c r="D1422" s="18">
        <f>IF(A1422="","",MATCH(A1422,Calculation!B$2:B9627,1))</f>
        <v>1</v>
      </c>
      <c r="E1422" s="23">
        <f t="array" ref="E1422">IF(D1422="","",IF(D1422=1,0,INDEX(Calculation!Q$2:Q9627,D1422-1)))</f>
        <v>0</v>
      </c>
      <c r="F1422" s="23">
        <f t="array" ref="F1422">IF($A1422="","",
  LET(
    r, $D1422,
    startD, INDEX(Calculation!B$2:B9627, r),
    endD,   INDEX(Calculation!C$2:C9627, r),
    asOf,   MIN($A1422,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2095488.356</v>
      </c>
    </row>
    <row r="1423">
      <c r="A1423" s="19">
        <v>43658.0</v>
      </c>
      <c r="B1423" s="23">
        <v>1.0765E7</v>
      </c>
      <c r="C1423" s="23">
        <f t="shared" si="1"/>
        <v>2096963.014</v>
      </c>
      <c r="D1423" s="18">
        <f>IF(A1423="","",MATCH(A1423,Calculation!B$2:B9627,1))</f>
        <v>1</v>
      </c>
      <c r="E1423" s="23">
        <f t="array" ref="E1423">IF(D1423="","",IF(D1423=1,0,INDEX(Calculation!Q$2:Q9627,D1423-1)))</f>
        <v>0</v>
      </c>
      <c r="F1423" s="23">
        <f t="array" ref="F1423">IF($A1423="","",
  LET(
    r, $D1423,
    startD, INDEX(Calculation!B$2:B9627, r),
    endD,   INDEX(Calculation!C$2:C9627, r),
    asOf,   MIN($A1423,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2096963.014</v>
      </c>
    </row>
    <row r="1424">
      <c r="A1424" s="19">
        <v>43659.0</v>
      </c>
      <c r="B1424" s="23">
        <v>1.0765E7</v>
      </c>
      <c r="C1424" s="23">
        <f t="shared" si="1"/>
        <v>2098437.671</v>
      </c>
      <c r="D1424" s="18">
        <f>IF(A1424="","",MATCH(A1424,Calculation!B$2:B9627,1))</f>
        <v>1</v>
      </c>
      <c r="E1424" s="23">
        <f t="array" ref="E1424">IF(D1424="","",IF(D1424=1,0,INDEX(Calculation!Q$2:Q9627,D1424-1)))</f>
        <v>0</v>
      </c>
      <c r="F1424" s="23">
        <f t="array" ref="F1424">IF($A1424="","",
  LET(
    r, $D1424,
    startD, INDEX(Calculation!B$2:B9627, r),
    endD,   INDEX(Calculation!C$2:C9627, r),
    asOf,   MIN($A1424,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2098437.671</v>
      </c>
    </row>
    <row r="1425">
      <c r="A1425" s="19">
        <v>43660.0</v>
      </c>
      <c r="B1425" s="23">
        <v>1.0765E7</v>
      </c>
      <c r="C1425" s="23">
        <f t="shared" si="1"/>
        <v>2099912.329</v>
      </c>
      <c r="D1425" s="18">
        <f>IF(A1425="","",MATCH(A1425,Calculation!B$2:B9627,1))</f>
        <v>1</v>
      </c>
      <c r="E1425" s="23">
        <f t="array" ref="E1425">IF(D1425="","",IF(D1425=1,0,INDEX(Calculation!Q$2:Q9627,D1425-1)))</f>
        <v>0</v>
      </c>
      <c r="F1425" s="23">
        <f t="array" ref="F1425">IF($A1425="","",
  LET(
    r, $D1425,
    startD, INDEX(Calculation!B$2:B9627, r),
    endD,   INDEX(Calculation!C$2:C9627, r),
    asOf,   MIN($A1425,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2099912.329</v>
      </c>
    </row>
    <row r="1426">
      <c r="A1426" s="19">
        <v>43661.0</v>
      </c>
      <c r="B1426" s="23">
        <v>1.0765E7</v>
      </c>
      <c r="C1426" s="23">
        <f t="shared" si="1"/>
        <v>2101386.986</v>
      </c>
      <c r="D1426" s="18">
        <f>IF(A1426="","",MATCH(A1426,Calculation!B$2:B9627,1))</f>
        <v>1</v>
      </c>
      <c r="E1426" s="23">
        <f t="array" ref="E1426">IF(D1426="","",IF(D1426=1,0,INDEX(Calculation!Q$2:Q9627,D1426-1)))</f>
        <v>0</v>
      </c>
      <c r="F1426" s="23">
        <f t="array" ref="F1426">IF($A1426="","",
  LET(
    r, $D1426,
    startD, INDEX(Calculation!B$2:B9627, r),
    endD,   INDEX(Calculation!C$2:C9627, r),
    asOf,   MIN($A1426,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2101386.986</v>
      </c>
    </row>
    <row r="1427">
      <c r="A1427" s="19">
        <v>43662.0</v>
      </c>
      <c r="B1427" s="23">
        <v>1.0765E7</v>
      </c>
      <c r="C1427" s="23">
        <f t="shared" si="1"/>
        <v>2102861.644</v>
      </c>
      <c r="D1427" s="18">
        <f>IF(A1427="","",MATCH(A1427,Calculation!B$2:B9627,1))</f>
        <v>1</v>
      </c>
      <c r="E1427" s="23">
        <f t="array" ref="E1427">IF(D1427="","",IF(D1427=1,0,INDEX(Calculation!Q$2:Q9627,D1427-1)))</f>
        <v>0</v>
      </c>
      <c r="F1427" s="23">
        <f t="array" ref="F1427">IF($A1427="","",
  LET(
    r, $D1427,
    startD, INDEX(Calculation!B$2:B9627, r),
    endD,   INDEX(Calculation!C$2:C9627, r),
    asOf,   MIN($A1427,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2102861.644</v>
      </c>
    </row>
    <row r="1428">
      <c r="A1428" s="19">
        <v>43663.0</v>
      </c>
      <c r="B1428" s="23">
        <v>1.0765E7</v>
      </c>
      <c r="C1428" s="23">
        <f t="shared" si="1"/>
        <v>2104336.301</v>
      </c>
      <c r="D1428" s="18">
        <f>IF(A1428="","",MATCH(A1428,Calculation!B$2:B9627,1))</f>
        <v>1</v>
      </c>
      <c r="E1428" s="23">
        <f t="array" ref="E1428">IF(D1428="","",IF(D1428=1,0,INDEX(Calculation!Q$2:Q9627,D1428-1)))</f>
        <v>0</v>
      </c>
      <c r="F1428" s="23">
        <f t="array" ref="F1428">IF($A1428="","",
  LET(
    r, $D1428,
    startD, INDEX(Calculation!B$2:B9627, r),
    endD,   INDEX(Calculation!C$2:C9627, r),
    asOf,   MIN($A1428,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2104336.301</v>
      </c>
    </row>
    <row r="1429">
      <c r="A1429" s="19">
        <v>43664.0</v>
      </c>
      <c r="B1429" s="23">
        <v>1.0765E7</v>
      </c>
      <c r="C1429" s="23">
        <f t="shared" si="1"/>
        <v>2105810.959</v>
      </c>
      <c r="D1429" s="18">
        <f>IF(A1429="","",MATCH(A1429,Calculation!B$2:B9627,1))</f>
        <v>1</v>
      </c>
      <c r="E1429" s="23">
        <f t="array" ref="E1429">IF(D1429="","",IF(D1429=1,0,INDEX(Calculation!Q$2:Q9627,D1429-1)))</f>
        <v>0</v>
      </c>
      <c r="F1429" s="23">
        <f t="array" ref="F1429">IF($A1429="","",
  LET(
    r, $D1429,
    startD, INDEX(Calculation!B$2:B9627, r),
    endD,   INDEX(Calculation!C$2:C9627, r),
    asOf,   MIN($A1429,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2105810.959</v>
      </c>
    </row>
    <row r="1430">
      <c r="A1430" s="19">
        <v>43665.0</v>
      </c>
      <c r="B1430" s="23">
        <v>1.0765E7</v>
      </c>
      <c r="C1430" s="23">
        <f t="shared" si="1"/>
        <v>2107285.616</v>
      </c>
      <c r="D1430" s="18">
        <f>IF(A1430="","",MATCH(A1430,Calculation!B$2:B9627,1))</f>
        <v>1</v>
      </c>
      <c r="E1430" s="23">
        <f t="array" ref="E1430">IF(D1430="","",IF(D1430=1,0,INDEX(Calculation!Q$2:Q9627,D1430-1)))</f>
        <v>0</v>
      </c>
      <c r="F1430" s="23">
        <f t="array" ref="F1430">IF($A1430="","",
  LET(
    r, $D1430,
    startD, INDEX(Calculation!B$2:B9627, r),
    endD,   INDEX(Calculation!C$2:C9627, r),
    asOf,   MIN($A1430,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2107285.616</v>
      </c>
    </row>
    <row r="1431">
      <c r="A1431" s="19">
        <v>43666.0</v>
      </c>
      <c r="B1431" s="23">
        <v>1.0765E7</v>
      </c>
      <c r="C1431" s="23">
        <f t="shared" si="1"/>
        <v>2108760.274</v>
      </c>
      <c r="D1431" s="18">
        <f>IF(A1431="","",MATCH(A1431,Calculation!B$2:B9627,1))</f>
        <v>1</v>
      </c>
      <c r="E1431" s="23">
        <f t="array" ref="E1431">IF(D1431="","",IF(D1431=1,0,INDEX(Calculation!Q$2:Q9627,D1431-1)))</f>
        <v>0</v>
      </c>
      <c r="F1431" s="23">
        <f t="array" ref="F1431">IF($A1431="","",
  LET(
    r, $D1431,
    startD, INDEX(Calculation!B$2:B9627, r),
    endD,   INDEX(Calculation!C$2:C9627, r),
    asOf,   MIN($A1431,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2108760.274</v>
      </c>
    </row>
    <row r="1432">
      <c r="A1432" s="19">
        <v>43667.0</v>
      </c>
      <c r="B1432" s="23">
        <v>1.0765E7</v>
      </c>
      <c r="C1432" s="23">
        <f t="shared" si="1"/>
        <v>2110234.932</v>
      </c>
      <c r="D1432" s="18">
        <f>IF(A1432="","",MATCH(A1432,Calculation!B$2:B9627,1))</f>
        <v>1</v>
      </c>
      <c r="E1432" s="23">
        <f t="array" ref="E1432">IF(D1432="","",IF(D1432=1,0,INDEX(Calculation!Q$2:Q9627,D1432-1)))</f>
        <v>0</v>
      </c>
      <c r="F1432" s="23">
        <f t="array" ref="F1432">IF($A1432="","",
  LET(
    r, $D1432,
    startD, INDEX(Calculation!B$2:B9627, r),
    endD,   INDEX(Calculation!C$2:C9627, r),
    asOf,   MIN($A1432,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2110234.932</v>
      </c>
    </row>
    <row r="1433">
      <c r="A1433" s="19">
        <v>43668.0</v>
      </c>
      <c r="B1433" s="23">
        <v>1.0765E7</v>
      </c>
      <c r="C1433" s="23">
        <f t="shared" si="1"/>
        <v>2111709.589</v>
      </c>
      <c r="D1433" s="18">
        <f>IF(A1433="","",MATCH(A1433,Calculation!B$2:B9627,1))</f>
        <v>1</v>
      </c>
      <c r="E1433" s="23">
        <f t="array" ref="E1433">IF(D1433="","",IF(D1433=1,0,INDEX(Calculation!Q$2:Q9627,D1433-1)))</f>
        <v>0</v>
      </c>
      <c r="F1433" s="23">
        <f t="array" ref="F1433">IF($A1433="","",
  LET(
    r, $D1433,
    startD, INDEX(Calculation!B$2:B9627, r),
    endD,   INDEX(Calculation!C$2:C9627, r),
    asOf,   MIN($A1433,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2111709.589</v>
      </c>
    </row>
    <row r="1434">
      <c r="A1434" s="19">
        <v>43669.0</v>
      </c>
      <c r="B1434" s="23">
        <v>1.0765E7</v>
      </c>
      <c r="C1434" s="23">
        <f t="shared" si="1"/>
        <v>2113184.247</v>
      </c>
      <c r="D1434" s="18">
        <f>IF(A1434="","",MATCH(A1434,Calculation!B$2:B9627,1))</f>
        <v>1</v>
      </c>
      <c r="E1434" s="23">
        <f t="array" ref="E1434">IF(D1434="","",IF(D1434=1,0,INDEX(Calculation!Q$2:Q9627,D1434-1)))</f>
        <v>0</v>
      </c>
      <c r="F1434" s="23">
        <f t="array" ref="F1434">IF($A1434="","",
  LET(
    r, $D1434,
    startD, INDEX(Calculation!B$2:B9627, r),
    endD,   INDEX(Calculation!C$2:C9627, r),
    asOf,   MIN($A1434,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2113184.247</v>
      </c>
    </row>
    <row r="1435">
      <c r="A1435" s="19">
        <v>43670.0</v>
      </c>
      <c r="B1435" s="23">
        <v>1.0765E7</v>
      </c>
      <c r="C1435" s="23">
        <f t="shared" si="1"/>
        <v>2114658.904</v>
      </c>
      <c r="D1435" s="18">
        <f>IF(A1435="","",MATCH(A1435,Calculation!B$2:B9627,1))</f>
        <v>1</v>
      </c>
      <c r="E1435" s="23">
        <f t="array" ref="E1435">IF(D1435="","",IF(D1435=1,0,INDEX(Calculation!Q$2:Q9627,D1435-1)))</f>
        <v>0</v>
      </c>
      <c r="F1435" s="23">
        <f t="array" ref="F1435">IF($A1435="","",
  LET(
    r, $D1435,
    startD, INDEX(Calculation!B$2:B9627, r),
    endD,   INDEX(Calculation!C$2:C9627, r),
    asOf,   MIN($A1435,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2114658.904</v>
      </c>
    </row>
    <row r="1436">
      <c r="A1436" s="19">
        <v>43671.0</v>
      </c>
      <c r="B1436" s="23">
        <v>1.0765E7</v>
      </c>
      <c r="C1436" s="23">
        <f t="shared" si="1"/>
        <v>2116133.562</v>
      </c>
      <c r="D1436" s="18">
        <f>IF(A1436="","",MATCH(A1436,Calculation!B$2:B9627,1))</f>
        <v>1</v>
      </c>
      <c r="E1436" s="23">
        <f t="array" ref="E1436">IF(D1436="","",IF(D1436=1,0,INDEX(Calculation!Q$2:Q9627,D1436-1)))</f>
        <v>0</v>
      </c>
      <c r="F1436" s="23">
        <f t="array" ref="F1436">IF($A1436="","",
  LET(
    r, $D1436,
    startD, INDEX(Calculation!B$2:B9627, r),
    endD,   INDEX(Calculation!C$2:C9627, r),
    asOf,   MIN($A1436,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2116133.562</v>
      </c>
    </row>
    <row r="1437">
      <c r="A1437" s="19">
        <v>43672.0</v>
      </c>
      <c r="B1437" s="23">
        <v>1.0765E7</v>
      </c>
      <c r="C1437" s="23">
        <f t="shared" si="1"/>
        <v>2117608.219</v>
      </c>
      <c r="D1437" s="18">
        <f>IF(A1437="","",MATCH(A1437,Calculation!B$2:B9627,1))</f>
        <v>1</v>
      </c>
      <c r="E1437" s="23">
        <f t="array" ref="E1437">IF(D1437="","",IF(D1437=1,0,INDEX(Calculation!Q$2:Q9627,D1437-1)))</f>
        <v>0</v>
      </c>
      <c r="F1437" s="23">
        <f t="array" ref="F1437">IF($A1437="","",
  LET(
    r, $D1437,
    startD, INDEX(Calculation!B$2:B9627, r),
    endD,   INDEX(Calculation!C$2:C9627, r),
    asOf,   MIN($A1437,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2117608.219</v>
      </c>
    </row>
    <row r="1438">
      <c r="A1438" s="19">
        <v>43673.0</v>
      </c>
      <c r="B1438" s="23">
        <v>1.0765E7</v>
      </c>
      <c r="C1438" s="23">
        <f t="shared" si="1"/>
        <v>2119082.877</v>
      </c>
      <c r="D1438" s="18">
        <f>IF(A1438="","",MATCH(A1438,Calculation!B$2:B9627,1))</f>
        <v>1</v>
      </c>
      <c r="E1438" s="23">
        <f t="array" ref="E1438">IF(D1438="","",IF(D1438=1,0,INDEX(Calculation!Q$2:Q9627,D1438-1)))</f>
        <v>0</v>
      </c>
      <c r="F1438" s="23">
        <f t="array" ref="F1438">IF($A1438="","",
  LET(
    r, $D1438,
    startD, INDEX(Calculation!B$2:B9627, r),
    endD,   INDEX(Calculation!C$2:C9627, r),
    asOf,   MIN($A1438,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2119082.877</v>
      </c>
    </row>
    <row r="1439">
      <c r="A1439" s="19">
        <v>43674.0</v>
      </c>
      <c r="B1439" s="23">
        <v>1.0765E7</v>
      </c>
      <c r="C1439" s="23">
        <f t="shared" si="1"/>
        <v>2120557.534</v>
      </c>
      <c r="D1439" s="18">
        <f>IF(A1439="","",MATCH(A1439,Calculation!B$2:B9627,1))</f>
        <v>1</v>
      </c>
      <c r="E1439" s="23">
        <f t="array" ref="E1439">IF(D1439="","",IF(D1439=1,0,INDEX(Calculation!Q$2:Q9627,D1439-1)))</f>
        <v>0</v>
      </c>
      <c r="F1439" s="23">
        <f t="array" ref="F1439">IF($A1439="","",
  LET(
    r, $D1439,
    startD, INDEX(Calculation!B$2:B9627, r),
    endD,   INDEX(Calculation!C$2:C9627, r),
    asOf,   MIN($A1439,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2120557.534</v>
      </c>
    </row>
    <row r="1440">
      <c r="A1440" s="19">
        <v>43675.0</v>
      </c>
      <c r="B1440" s="23">
        <v>1.0765E7</v>
      </c>
      <c r="C1440" s="23">
        <f t="shared" si="1"/>
        <v>2122032.192</v>
      </c>
      <c r="D1440" s="18">
        <f>IF(A1440="","",MATCH(A1440,Calculation!B$2:B9627,1))</f>
        <v>1</v>
      </c>
      <c r="E1440" s="23">
        <f t="array" ref="E1440">IF(D1440="","",IF(D1440=1,0,INDEX(Calculation!Q$2:Q9627,D1440-1)))</f>
        <v>0</v>
      </c>
      <c r="F1440" s="23">
        <f t="array" ref="F1440">IF($A1440="","",
  LET(
    r, $D1440,
    startD, INDEX(Calculation!B$2:B9627, r),
    endD,   INDEX(Calculation!C$2:C9627, r),
    asOf,   MIN($A1440,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2122032.192</v>
      </c>
    </row>
    <row r="1441">
      <c r="A1441" s="19">
        <v>43676.0</v>
      </c>
      <c r="B1441" s="23">
        <v>1.0765E7</v>
      </c>
      <c r="C1441" s="23">
        <f t="shared" si="1"/>
        <v>2123506.849</v>
      </c>
      <c r="D1441" s="18">
        <f>IF(A1441="","",MATCH(A1441,Calculation!B$2:B9627,1))</f>
        <v>1</v>
      </c>
      <c r="E1441" s="23">
        <f t="array" ref="E1441">IF(D1441="","",IF(D1441=1,0,INDEX(Calculation!Q$2:Q9627,D1441-1)))</f>
        <v>0</v>
      </c>
      <c r="F1441" s="23">
        <f t="array" ref="F1441">IF($A1441="","",
  LET(
    r, $D1441,
    startD, INDEX(Calculation!B$2:B9627, r),
    endD,   INDEX(Calculation!C$2:C9627, r),
    asOf,   MIN($A1441,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2123506.849</v>
      </c>
    </row>
    <row r="1442">
      <c r="A1442" s="19">
        <v>43677.0</v>
      </c>
      <c r="B1442" s="23">
        <v>1.0765E7</v>
      </c>
      <c r="C1442" s="23">
        <f t="shared" si="1"/>
        <v>2124981.507</v>
      </c>
      <c r="D1442" s="18">
        <f>IF(A1442="","",MATCH(A1442,Calculation!B$2:B9627,1))</f>
        <v>1</v>
      </c>
      <c r="E1442" s="23">
        <f t="array" ref="E1442">IF(D1442="","",IF(D1442=1,0,INDEX(Calculation!Q$2:Q9627,D1442-1)))</f>
        <v>0</v>
      </c>
      <c r="F1442" s="23">
        <f t="array" ref="F1442">IF($A1442="","",
  LET(
    r, $D1442,
    startD, INDEX(Calculation!B$2:B9627, r),
    endD,   INDEX(Calculation!C$2:C9627, r),
    asOf,   MIN($A1442,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2124981.507</v>
      </c>
    </row>
    <row r="1443">
      <c r="A1443" s="19">
        <v>43678.0</v>
      </c>
      <c r="B1443" s="23">
        <v>1.0765E7</v>
      </c>
      <c r="C1443" s="23">
        <f t="shared" si="1"/>
        <v>2126456.164</v>
      </c>
      <c r="D1443" s="18">
        <f>IF(A1443="","",MATCH(A1443,Calculation!B$2:B9627,1))</f>
        <v>1</v>
      </c>
      <c r="E1443" s="23">
        <f t="array" ref="E1443">IF(D1443="","",IF(D1443=1,0,INDEX(Calculation!Q$2:Q9627,D1443-1)))</f>
        <v>0</v>
      </c>
      <c r="F1443" s="23">
        <f t="array" ref="F1443">IF($A1443="","",
  LET(
    r, $D1443,
    startD, INDEX(Calculation!B$2:B9627, r),
    endD,   INDEX(Calculation!C$2:C9627, r),
    asOf,   MIN($A1443,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2126456.164</v>
      </c>
    </row>
    <row r="1444">
      <c r="A1444" s="19">
        <v>43679.0</v>
      </c>
      <c r="B1444" s="23">
        <v>1.0765E7</v>
      </c>
      <c r="C1444" s="23">
        <f t="shared" si="1"/>
        <v>2127930.822</v>
      </c>
      <c r="D1444" s="18">
        <f>IF(A1444="","",MATCH(A1444,Calculation!B$2:B9627,1))</f>
        <v>1</v>
      </c>
      <c r="E1444" s="23">
        <f t="array" ref="E1444">IF(D1444="","",IF(D1444=1,0,INDEX(Calculation!Q$2:Q9627,D1444-1)))</f>
        <v>0</v>
      </c>
      <c r="F1444" s="23">
        <f t="array" ref="F1444">IF($A1444="","",
  LET(
    r, $D1444,
    startD, INDEX(Calculation!B$2:B9627, r),
    endD,   INDEX(Calculation!C$2:C9627, r),
    asOf,   MIN($A1444,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2127930.822</v>
      </c>
    </row>
    <row r="1445">
      <c r="A1445" s="19">
        <v>43680.0</v>
      </c>
      <c r="B1445" s="23">
        <v>1.0765E7</v>
      </c>
      <c r="C1445" s="23">
        <f t="shared" si="1"/>
        <v>2129405.479</v>
      </c>
      <c r="D1445" s="18">
        <f>IF(A1445="","",MATCH(A1445,Calculation!B$2:B9627,1))</f>
        <v>1</v>
      </c>
      <c r="E1445" s="23">
        <f t="array" ref="E1445">IF(D1445="","",IF(D1445=1,0,INDEX(Calculation!Q$2:Q9627,D1445-1)))</f>
        <v>0</v>
      </c>
      <c r="F1445" s="23">
        <f t="array" ref="F1445">IF($A1445="","",
  LET(
    r, $D1445,
    startD, INDEX(Calculation!B$2:B9627, r),
    endD,   INDEX(Calculation!C$2:C9627, r),
    asOf,   MIN($A1445,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2129405.479</v>
      </c>
    </row>
    <row r="1446">
      <c r="A1446" s="19">
        <v>43681.0</v>
      </c>
      <c r="B1446" s="23">
        <v>1.0765E7</v>
      </c>
      <c r="C1446" s="23">
        <f t="shared" si="1"/>
        <v>2130880.137</v>
      </c>
      <c r="D1446" s="18">
        <f>IF(A1446="","",MATCH(A1446,Calculation!B$2:B9627,1))</f>
        <v>1</v>
      </c>
      <c r="E1446" s="23">
        <f t="array" ref="E1446">IF(D1446="","",IF(D1446=1,0,INDEX(Calculation!Q$2:Q9627,D1446-1)))</f>
        <v>0</v>
      </c>
      <c r="F1446" s="23">
        <f t="array" ref="F1446">IF($A1446="","",
  LET(
    r, $D1446,
    startD, INDEX(Calculation!B$2:B9627, r),
    endD,   INDEX(Calculation!C$2:C9627, r),
    asOf,   MIN($A1446,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2130880.137</v>
      </c>
    </row>
    <row r="1447">
      <c r="A1447" s="19">
        <v>43682.0</v>
      </c>
      <c r="B1447" s="23">
        <v>1.0765E7</v>
      </c>
      <c r="C1447" s="23">
        <f t="shared" si="1"/>
        <v>2132354.795</v>
      </c>
      <c r="D1447" s="18">
        <f>IF(A1447="","",MATCH(A1447,Calculation!B$2:B9627,1))</f>
        <v>1</v>
      </c>
      <c r="E1447" s="23">
        <f t="array" ref="E1447">IF(D1447="","",IF(D1447=1,0,INDEX(Calculation!Q$2:Q9627,D1447-1)))</f>
        <v>0</v>
      </c>
      <c r="F1447" s="23">
        <f t="array" ref="F1447">IF($A1447="","",
  LET(
    r, $D1447,
    startD, INDEX(Calculation!B$2:B9627, r),
    endD,   INDEX(Calculation!C$2:C9627, r),
    asOf,   MIN($A1447,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2132354.795</v>
      </c>
    </row>
    <row r="1448">
      <c r="A1448" s="19">
        <v>43683.0</v>
      </c>
      <c r="B1448" s="23">
        <v>1.0765E7</v>
      </c>
      <c r="C1448" s="23">
        <f t="shared" si="1"/>
        <v>2133829.452</v>
      </c>
      <c r="D1448" s="18">
        <f>IF(A1448="","",MATCH(A1448,Calculation!B$2:B9627,1))</f>
        <v>1</v>
      </c>
      <c r="E1448" s="23">
        <f t="array" ref="E1448">IF(D1448="","",IF(D1448=1,0,INDEX(Calculation!Q$2:Q9627,D1448-1)))</f>
        <v>0</v>
      </c>
      <c r="F1448" s="23">
        <f t="array" ref="F1448">IF($A1448="","",
  LET(
    r, $D1448,
    startD, INDEX(Calculation!B$2:B9627, r),
    endD,   INDEX(Calculation!C$2:C9627, r),
    asOf,   MIN($A1448,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2133829.452</v>
      </c>
    </row>
    <row r="1449">
      <c r="A1449" s="19">
        <v>43684.0</v>
      </c>
      <c r="B1449" s="23">
        <v>1.0765E7</v>
      </c>
      <c r="C1449" s="23">
        <f t="shared" si="1"/>
        <v>2135304.11</v>
      </c>
      <c r="D1449" s="18">
        <f>IF(A1449="","",MATCH(A1449,Calculation!B$2:B9627,1))</f>
        <v>1</v>
      </c>
      <c r="E1449" s="23">
        <f t="array" ref="E1449">IF(D1449="","",IF(D1449=1,0,INDEX(Calculation!Q$2:Q9627,D1449-1)))</f>
        <v>0</v>
      </c>
      <c r="F1449" s="23">
        <f t="array" ref="F1449">IF($A1449="","",
  LET(
    r, $D1449,
    startD, INDEX(Calculation!B$2:B9627, r),
    endD,   INDEX(Calculation!C$2:C9627, r),
    asOf,   MIN($A1449,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2135304.11</v>
      </c>
    </row>
    <row r="1450">
      <c r="A1450" s="19">
        <v>43685.0</v>
      </c>
      <c r="B1450" s="23">
        <v>1.0765E7</v>
      </c>
      <c r="C1450" s="23">
        <f t="shared" si="1"/>
        <v>2136778.767</v>
      </c>
      <c r="D1450" s="18">
        <f>IF(A1450="","",MATCH(A1450,Calculation!B$2:B9627,1))</f>
        <v>1</v>
      </c>
      <c r="E1450" s="23">
        <f t="array" ref="E1450">IF(D1450="","",IF(D1450=1,0,INDEX(Calculation!Q$2:Q9627,D1450-1)))</f>
        <v>0</v>
      </c>
      <c r="F1450" s="23">
        <f t="array" ref="F1450">IF($A1450="","",
  LET(
    r, $D1450,
    startD, INDEX(Calculation!B$2:B9627, r),
    endD,   INDEX(Calculation!C$2:C9627, r),
    asOf,   MIN($A1450,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2136778.767</v>
      </c>
    </row>
    <row r="1451">
      <c r="A1451" s="19">
        <v>43686.0</v>
      </c>
      <c r="B1451" s="23">
        <v>1.0765E7</v>
      </c>
      <c r="C1451" s="23">
        <f t="shared" si="1"/>
        <v>2138253.425</v>
      </c>
      <c r="D1451" s="18">
        <f>IF(A1451="","",MATCH(A1451,Calculation!B$2:B9627,1))</f>
        <v>1</v>
      </c>
      <c r="E1451" s="23">
        <f t="array" ref="E1451">IF(D1451="","",IF(D1451=1,0,INDEX(Calculation!Q$2:Q9627,D1451-1)))</f>
        <v>0</v>
      </c>
      <c r="F1451" s="23">
        <f t="array" ref="F1451">IF($A1451="","",
  LET(
    r, $D1451,
    startD, INDEX(Calculation!B$2:B9627, r),
    endD,   INDEX(Calculation!C$2:C9627, r),
    asOf,   MIN($A1451,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2138253.425</v>
      </c>
    </row>
    <row r="1452">
      <c r="A1452" s="19">
        <v>43687.0</v>
      </c>
      <c r="B1452" s="23">
        <v>1.0765E7</v>
      </c>
      <c r="C1452" s="23">
        <f t="shared" si="1"/>
        <v>2139728.082</v>
      </c>
      <c r="D1452" s="18">
        <f>IF(A1452="","",MATCH(A1452,Calculation!B$2:B9627,1))</f>
        <v>1</v>
      </c>
      <c r="E1452" s="23">
        <f t="array" ref="E1452">IF(D1452="","",IF(D1452=1,0,INDEX(Calculation!Q$2:Q9627,D1452-1)))</f>
        <v>0</v>
      </c>
      <c r="F1452" s="23">
        <f t="array" ref="F1452">IF($A1452="","",
  LET(
    r, $D1452,
    startD, INDEX(Calculation!B$2:B9627, r),
    endD,   INDEX(Calculation!C$2:C9627, r),
    asOf,   MIN($A1452,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2139728.082</v>
      </c>
    </row>
    <row r="1453">
      <c r="A1453" s="19">
        <v>43688.0</v>
      </c>
      <c r="B1453" s="23">
        <v>1.0765E7</v>
      </c>
      <c r="C1453" s="23">
        <f t="shared" si="1"/>
        <v>2141202.74</v>
      </c>
      <c r="D1453" s="18">
        <f>IF(A1453="","",MATCH(A1453,Calculation!B$2:B9627,1))</f>
        <v>1</v>
      </c>
      <c r="E1453" s="23">
        <f t="array" ref="E1453">IF(D1453="","",IF(D1453=1,0,INDEX(Calculation!Q$2:Q9627,D1453-1)))</f>
        <v>0</v>
      </c>
      <c r="F1453" s="23">
        <f t="array" ref="F1453">IF($A1453="","",
  LET(
    r, $D1453,
    startD, INDEX(Calculation!B$2:B9627, r),
    endD,   INDEX(Calculation!C$2:C9627, r),
    asOf,   MIN($A1453,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2141202.74</v>
      </c>
    </row>
    <row r="1454">
      <c r="A1454" s="19">
        <v>43689.0</v>
      </c>
      <c r="B1454" s="23">
        <v>1.0765E7</v>
      </c>
      <c r="C1454" s="23">
        <f t="shared" si="1"/>
        <v>2142677.397</v>
      </c>
      <c r="D1454" s="18">
        <f>IF(A1454="","",MATCH(A1454,Calculation!B$2:B9627,1))</f>
        <v>1</v>
      </c>
      <c r="E1454" s="23">
        <f t="array" ref="E1454">IF(D1454="","",IF(D1454=1,0,INDEX(Calculation!Q$2:Q9627,D1454-1)))</f>
        <v>0</v>
      </c>
      <c r="F1454" s="23">
        <f t="array" ref="F1454">IF($A1454="","",
  LET(
    r, $D1454,
    startD, INDEX(Calculation!B$2:B9627, r),
    endD,   INDEX(Calculation!C$2:C9627, r),
    asOf,   MIN($A1454,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2142677.397</v>
      </c>
    </row>
    <row r="1455">
      <c r="A1455" s="19">
        <v>43690.0</v>
      </c>
      <c r="B1455" s="23">
        <v>1.0765E7</v>
      </c>
      <c r="C1455" s="23">
        <f t="shared" si="1"/>
        <v>2144152.055</v>
      </c>
      <c r="D1455" s="18">
        <f>IF(A1455="","",MATCH(A1455,Calculation!B$2:B9627,1))</f>
        <v>1</v>
      </c>
      <c r="E1455" s="23">
        <f t="array" ref="E1455">IF(D1455="","",IF(D1455=1,0,INDEX(Calculation!Q$2:Q9627,D1455-1)))</f>
        <v>0</v>
      </c>
      <c r="F1455" s="23">
        <f t="array" ref="F1455">IF($A1455="","",
  LET(
    r, $D1455,
    startD, INDEX(Calculation!B$2:B9627, r),
    endD,   INDEX(Calculation!C$2:C9627, r),
    asOf,   MIN($A1455,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2144152.055</v>
      </c>
    </row>
    <row r="1456">
      <c r="A1456" s="19">
        <v>43691.0</v>
      </c>
      <c r="B1456" s="23">
        <v>1.0765E7</v>
      </c>
      <c r="C1456" s="23">
        <f t="shared" si="1"/>
        <v>2145626.712</v>
      </c>
      <c r="D1456" s="18">
        <f>IF(A1456="","",MATCH(A1456,Calculation!B$2:B9627,1))</f>
        <v>1</v>
      </c>
      <c r="E1456" s="23">
        <f t="array" ref="E1456">IF(D1456="","",IF(D1456=1,0,INDEX(Calculation!Q$2:Q9627,D1456-1)))</f>
        <v>0</v>
      </c>
      <c r="F1456" s="23">
        <f t="array" ref="F1456">IF($A1456="","",
  LET(
    r, $D1456,
    startD, INDEX(Calculation!B$2:B9627, r),
    endD,   INDEX(Calculation!C$2:C9627, r),
    asOf,   MIN($A1456,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2145626.712</v>
      </c>
    </row>
    <row r="1457">
      <c r="A1457" s="19">
        <v>43692.0</v>
      </c>
      <c r="B1457" s="23">
        <v>1.0765E7</v>
      </c>
      <c r="C1457" s="23">
        <f t="shared" si="1"/>
        <v>2147101.37</v>
      </c>
      <c r="D1457" s="18">
        <f>IF(A1457="","",MATCH(A1457,Calculation!B$2:B9627,1))</f>
        <v>1</v>
      </c>
      <c r="E1457" s="23">
        <f t="array" ref="E1457">IF(D1457="","",IF(D1457=1,0,INDEX(Calculation!Q$2:Q9627,D1457-1)))</f>
        <v>0</v>
      </c>
      <c r="F1457" s="23">
        <f t="array" ref="F1457">IF($A1457="","",
  LET(
    r, $D1457,
    startD, INDEX(Calculation!B$2:B9627, r),
    endD,   INDEX(Calculation!C$2:C9627, r),
    asOf,   MIN($A1457,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2147101.37</v>
      </c>
    </row>
    <row r="1458">
      <c r="A1458" s="19">
        <v>43693.0</v>
      </c>
      <c r="B1458" s="23">
        <v>1.0765E7</v>
      </c>
      <c r="C1458" s="23">
        <f t="shared" si="1"/>
        <v>2148576.027</v>
      </c>
      <c r="D1458" s="18">
        <f>IF(A1458="","",MATCH(A1458,Calculation!B$2:B9627,1))</f>
        <v>1</v>
      </c>
      <c r="E1458" s="23">
        <f t="array" ref="E1458">IF(D1458="","",IF(D1458=1,0,INDEX(Calculation!Q$2:Q9627,D1458-1)))</f>
        <v>0</v>
      </c>
      <c r="F1458" s="23">
        <f t="array" ref="F1458">IF($A1458="","",
  LET(
    r, $D1458,
    startD, INDEX(Calculation!B$2:B9627, r),
    endD,   INDEX(Calculation!C$2:C9627, r),
    asOf,   MIN($A1458,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2148576.027</v>
      </c>
    </row>
    <row r="1459">
      <c r="A1459" s="19">
        <v>43694.0</v>
      </c>
      <c r="B1459" s="23">
        <v>1.0765E7</v>
      </c>
      <c r="C1459" s="23">
        <f t="shared" si="1"/>
        <v>2150050.685</v>
      </c>
      <c r="D1459" s="18">
        <f>IF(A1459="","",MATCH(A1459,Calculation!B$2:B9627,1))</f>
        <v>1</v>
      </c>
      <c r="E1459" s="23">
        <f t="array" ref="E1459">IF(D1459="","",IF(D1459=1,0,INDEX(Calculation!Q$2:Q9627,D1459-1)))</f>
        <v>0</v>
      </c>
      <c r="F1459" s="23">
        <f t="array" ref="F1459">IF($A1459="","",
  LET(
    r, $D1459,
    startD, INDEX(Calculation!B$2:B9627, r),
    endD,   INDEX(Calculation!C$2:C9627, r),
    asOf,   MIN($A1459,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2150050.685</v>
      </c>
    </row>
    <row r="1460">
      <c r="A1460" s="19">
        <v>43695.0</v>
      </c>
      <c r="B1460" s="23">
        <v>1.0765E7</v>
      </c>
      <c r="C1460" s="23">
        <f t="shared" si="1"/>
        <v>2151525.342</v>
      </c>
      <c r="D1460" s="18">
        <f>IF(A1460="","",MATCH(A1460,Calculation!B$2:B9627,1))</f>
        <v>1</v>
      </c>
      <c r="E1460" s="23">
        <f t="array" ref="E1460">IF(D1460="","",IF(D1460=1,0,INDEX(Calculation!Q$2:Q9627,D1460-1)))</f>
        <v>0</v>
      </c>
      <c r="F1460" s="23">
        <f t="array" ref="F1460">IF($A1460="","",
  LET(
    r, $D1460,
    startD, INDEX(Calculation!B$2:B9627, r),
    endD,   INDEX(Calculation!C$2:C9627, r),
    asOf,   MIN($A1460,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2151525.342</v>
      </c>
    </row>
    <row r="1461">
      <c r="A1461" s="19">
        <v>43696.0</v>
      </c>
      <c r="B1461" s="23">
        <v>1.0765E7</v>
      </c>
      <c r="C1461" s="23">
        <f t="shared" si="1"/>
        <v>2153000</v>
      </c>
      <c r="D1461" s="18">
        <f>IF(A1461="","",MATCH(A1461,Calculation!B$2:B9627,1))</f>
        <v>1</v>
      </c>
      <c r="E1461" s="23">
        <f t="array" ref="E1461">IF(D1461="","",IF(D1461=1,0,INDEX(Calculation!Q$2:Q9627,D1461-1)))</f>
        <v>0</v>
      </c>
      <c r="F1461" s="23">
        <f t="array" ref="F1461">IF($A1461="","",
  LET(
    r, $D1461,
    startD, INDEX(Calculation!B$2:B9627, r),
    endD,   INDEX(Calculation!C$2:C9627, r),
    asOf,   MIN($A1461,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2153000</v>
      </c>
    </row>
    <row r="1462">
      <c r="A1462" s="19">
        <v>43697.0</v>
      </c>
      <c r="B1462" s="23">
        <v>1.0765E7</v>
      </c>
      <c r="C1462" s="23">
        <f t="shared" si="1"/>
        <v>2154474.658</v>
      </c>
      <c r="D1462" s="18">
        <f>IF(A1462="","",MATCH(A1462,Calculation!B$2:B9627,1))</f>
        <v>1</v>
      </c>
      <c r="E1462" s="23">
        <f t="array" ref="E1462">IF(D1462="","",IF(D1462=1,0,INDEX(Calculation!Q$2:Q9627,D1462-1)))</f>
        <v>0</v>
      </c>
      <c r="F1462" s="23">
        <f t="array" ref="F1462">IF($A1462="","",
  LET(
    r, $D1462,
    startD, INDEX(Calculation!B$2:B9627, r),
    endD,   INDEX(Calculation!C$2:C9627, r),
    asOf,   MIN($A1462,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2154474.658</v>
      </c>
    </row>
    <row r="1463">
      <c r="A1463" s="19">
        <v>43698.0</v>
      </c>
      <c r="B1463" s="23">
        <v>1.0765E7</v>
      </c>
      <c r="C1463" s="23">
        <f t="shared" si="1"/>
        <v>2155949.315</v>
      </c>
      <c r="D1463" s="18">
        <f>IF(A1463="","",MATCH(A1463,Calculation!B$2:B9627,1))</f>
        <v>1</v>
      </c>
      <c r="E1463" s="23">
        <f t="array" ref="E1463">IF(D1463="","",IF(D1463=1,0,INDEX(Calculation!Q$2:Q9627,D1463-1)))</f>
        <v>0</v>
      </c>
      <c r="F1463" s="23">
        <f t="array" ref="F1463">IF($A1463="","",
  LET(
    r, $D1463,
    startD, INDEX(Calculation!B$2:B9627, r),
    endD,   INDEX(Calculation!C$2:C9627, r),
    asOf,   MIN($A1463,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2155949.315</v>
      </c>
    </row>
    <row r="1464">
      <c r="A1464" s="19">
        <v>43699.0</v>
      </c>
      <c r="B1464" s="23">
        <v>1.0765E7</v>
      </c>
      <c r="C1464" s="23">
        <f t="shared" si="1"/>
        <v>2157423.973</v>
      </c>
      <c r="D1464" s="18">
        <f>IF(A1464="","",MATCH(A1464,Calculation!B$2:B9627,1))</f>
        <v>1</v>
      </c>
      <c r="E1464" s="23">
        <f t="array" ref="E1464">IF(D1464="","",IF(D1464=1,0,INDEX(Calculation!Q$2:Q9627,D1464-1)))</f>
        <v>0</v>
      </c>
      <c r="F1464" s="23">
        <f t="array" ref="F1464">IF($A1464="","",
  LET(
    r, $D1464,
    startD, INDEX(Calculation!B$2:B9627, r),
    endD,   INDEX(Calculation!C$2:C9627, r),
    asOf,   MIN($A1464,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2157423.973</v>
      </c>
    </row>
    <row r="1465">
      <c r="A1465" s="19">
        <v>43700.0</v>
      </c>
      <c r="B1465" s="23">
        <v>1.0765E7</v>
      </c>
      <c r="C1465" s="23">
        <f t="shared" si="1"/>
        <v>2158898.63</v>
      </c>
      <c r="D1465" s="18">
        <f>IF(A1465="","",MATCH(A1465,Calculation!B$2:B9627,1))</f>
        <v>1</v>
      </c>
      <c r="E1465" s="23">
        <f t="array" ref="E1465">IF(D1465="","",IF(D1465=1,0,INDEX(Calculation!Q$2:Q9627,D1465-1)))</f>
        <v>0</v>
      </c>
      <c r="F1465" s="23">
        <f t="array" ref="F1465">IF($A1465="","",
  LET(
    r, $D1465,
    startD, INDEX(Calculation!B$2:B9627, r),
    endD,   INDEX(Calculation!C$2:C9627, r),
    asOf,   MIN($A1465,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2158898.63</v>
      </c>
    </row>
    <row r="1466">
      <c r="A1466" s="19">
        <v>43701.0</v>
      </c>
      <c r="B1466" s="23">
        <v>1.0765E7</v>
      </c>
      <c r="C1466" s="23">
        <f t="shared" si="1"/>
        <v>2160373.288</v>
      </c>
      <c r="D1466" s="18">
        <f>IF(A1466="","",MATCH(A1466,Calculation!B$2:B9627,1))</f>
        <v>1</v>
      </c>
      <c r="E1466" s="23">
        <f t="array" ref="E1466">IF(D1466="","",IF(D1466=1,0,INDEX(Calculation!Q$2:Q9627,D1466-1)))</f>
        <v>0</v>
      </c>
      <c r="F1466" s="23">
        <f t="array" ref="F1466">IF($A1466="","",
  LET(
    r, $D1466,
    startD, INDEX(Calculation!B$2:B9627, r),
    endD,   INDEX(Calculation!C$2:C9627, r),
    asOf,   MIN($A1466,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2160373.288</v>
      </c>
    </row>
    <row r="1467">
      <c r="A1467" s="19">
        <v>43702.0</v>
      </c>
      <c r="B1467" s="23">
        <v>1.0765E7</v>
      </c>
      <c r="C1467" s="23">
        <f t="shared" si="1"/>
        <v>2161847.945</v>
      </c>
      <c r="D1467" s="18">
        <f>IF(A1467="","",MATCH(A1467,Calculation!B$2:B9627,1))</f>
        <v>1</v>
      </c>
      <c r="E1467" s="23">
        <f t="array" ref="E1467">IF(D1467="","",IF(D1467=1,0,INDEX(Calculation!Q$2:Q9627,D1467-1)))</f>
        <v>0</v>
      </c>
      <c r="F1467" s="23">
        <f t="array" ref="F1467">IF($A1467="","",
  LET(
    r, $D1467,
    startD, INDEX(Calculation!B$2:B9627, r),
    endD,   INDEX(Calculation!C$2:C9627, r),
    asOf,   MIN($A1467,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2161847.945</v>
      </c>
    </row>
    <row r="1468">
      <c r="A1468" s="19">
        <v>43703.0</v>
      </c>
      <c r="B1468" s="23">
        <v>1.0765E7</v>
      </c>
      <c r="C1468" s="23">
        <f t="shared" si="1"/>
        <v>2163322.603</v>
      </c>
      <c r="D1468" s="18">
        <f>IF(A1468="","",MATCH(A1468,Calculation!B$2:B9627,1))</f>
        <v>1</v>
      </c>
      <c r="E1468" s="23">
        <f t="array" ref="E1468">IF(D1468="","",IF(D1468=1,0,INDEX(Calculation!Q$2:Q9627,D1468-1)))</f>
        <v>0</v>
      </c>
      <c r="F1468" s="23">
        <f t="array" ref="F1468">IF($A1468="","",
  LET(
    r, $D1468,
    startD, INDEX(Calculation!B$2:B9627, r),
    endD,   INDEX(Calculation!C$2:C9627, r),
    asOf,   MIN($A1468,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2163322.603</v>
      </c>
    </row>
    <row r="1469">
      <c r="A1469" s="19">
        <v>43704.0</v>
      </c>
      <c r="B1469" s="23">
        <v>1.0765E7</v>
      </c>
      <c r="C1469" s="23">
        <f t="shared" si="1"/>
        <v>2164797.26</v>
      </c>
      <c r="D1469" s="18">
        <f>IF(A1469="","",MATCH(A1469,Calculation!B$2:B9627,1))</f>
        <v>1</v>
      </c>
      <c r="E1469" s="23">
        <f t="array" ref="E1469">IF(D1469="","",IF(D1469=1,0,INDEX(Calculation!Q$2:Q9627,D1469-1)))</f>
        <v>0</v>
      </c>
      <c r="F1469" s="23">
        <f t="array" ref="F1469">IF($A1469="","",
  LET(
    r, $D1469,
    startD, INDEX(Calculation!B$2:B9627, r),
    endD,   INDEX(Calculation!C$2:C9627, r),
    asOf,   MIN($A1469,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2164797.26</v>
      </c>
    </row>
    <row r="1470">
      <c r="A1470" s="19">
        <v>43705.0</v>
      </c>
      <c r="B1470" s="23">
        <v>1.0765E7</v>
      </c>
      <c r="C1470" s="23">
        <f t="shared" si="1"/>
        <v>2166271.918</v>
      </c>
      <c r="D1470" s="18">
        <f>IF(A1470="","",MATCH(A1470,Calculation!B$2:B9627,1))</f>
        <v>1</v>
      </c>
      <c r="E1470" s="23">
        <f t="array" ref="E1470">IF(D1470="","",IF(D1470=1,0,INDEX(Calculation!Q$2:Q9627,D1470-1)))</f>
        <v>0</v>
      </c>
      <c r="F1470" s="23">
        <f t="array" ref="F1470">IF($A1470="","",
  LET(
    r, $D1470,
    startD, INDEX(Calculation!B$2:B9627, r),
    endD,   INDEX(Calculation!C$2:C9627, r),
    asOf,   MIN($A1470,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2166271.918</v>
      </c>
    </row>
    <row r="1471">
      <c r="A1471" s="19">
        <v>43706.0</v>
      </c>
      <c r="B1471" s="23">
        <v>1.0765E7</v>
      </c>
      <c r="C1471" s="23">
        <f t="shared" si="1"/>
        <v>2167746.575</v>
      </c>
      <c r="D1471" s="18">
        <f>IF(A1471="","",MATCH(A1471,Calculation!B$2:B9627,1))</f>
        <v>1</v>
      </c>
      <c r="E1471" s="23">
        <f t="array" ref="E1471">IF(D1471="","",IF(D1471=1,0,INDEX(Calculation!Q$2:Q9627,D1471-1)))</f>
        <v>0</v>
      </c>
      <c r="F1471" s="23">
        <f t="array" ref="F1471">IF($A1471="","",
  LET(
    r, $D1471,
    startD, INDEX(Calculation!B$2:B9627, r),
    endD,   INDEX(Calculation!C$2:C9627, r),
    asOf,   MIN($A1471,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2167746.575</v>
      </c>
    </row>
    <row r="1472">
      <c r="A1472" s="19">
        <v>43707.0</v>
      </c>
      <c r="B1472" s="23">
        <v>1.0765E7</v>
      </c>
      <c r="C1472" s="23">
        <f t="shared" si="1"/>
        <v>2169221.233</v>
      </c>
      <c r="D1472" s="18">
        <f>IF(A1472="","",MATCH(A1472,Calculation!B$2:B9627,1))</f>
        <v>1</v>
      </c>
      <c r="E1472" s="23">
        <f t="array" ref="E1472">IF(D1472="","",IF(D1472=1,0,INDEX(Calculation!Q$2:Q9627,D1472-1)))</f>
        <v>0</v>
      </c>
      <c r="F1472" s="23">
        <f t="array" ref="F1472">IF($A1472="","",
  LET(
    r, $D1472,
    startD, INDEX(Calculation!B$2:B9627, r),
    endD,   INDEX(Calculation!C$2:C9627, r),
    asOf,   MIN($A1472,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2169221.233</v>
      </c>
    </row>
    <row r="1473">
      <c r="A1473" s="19">
        <v>43708.0</v>
      </c>
      <c r="B1473" s="23">
        <v>1.0765E7</v>
      </c>
      <c r="C1473" s="23">
        <f t="shared" si="1"/>
        <v>2170695.89</v>
      </c>
      <c r="D1473" s="18">
        <f>IF(A1473="","",MATCH(A1473,Calculation!B$2:B9627,1))</f>
        <v>1</v>
      </c>
      <c r="E1473" s="23">
        <f t="array" ref="E1473">IF(D1473="","",IF(D1473=1,0,INDEX(Calculation!Q$2:Q9627,D1473-1)))</f>
        <v>0</v>
      </c>
      <c r="F1473" s="23">
        <f t="array" ref="F1473">IF($A1473="","",
  LET(
    r, $D1473,
    startD, INDEX(Calculation!B$2:B9627, r),
    endD,   INDEX(Calculation!C$2:C9627, r),
    asOf,   MIN($A1473,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2170695.89</v>
      </c>
    </row>
    <row r="1474">
      <c r="A1474" s="19">
        <v>43709.0</v>
      </c>
      <c r="B1474" s="23">
        <v>1.0765E7</v>
      </c>
      <c r="C1474" s="23">
        <f t="shared" si="1"/>
        <v>2172170.548</v>
      </c>
      <c r="D1474" s="18">
        <f>IF(A1474="","",MATCH(A1474,Calculation!B$2:B9627,1))</f>
        <v>1</v>
      </c>
      <c r="E1474" s="23">
        <f t="array" ref="E1474">IF(D1474="","",IF(D1474=1,0,INDEX(Calculation!Q$2:Q9627,D1474-1)))</f>
        <v>0</v>
      </c>
      <c r="F1474" s="23">
        <f t="array" ref="F1474">IF($A1474="","",
  LET(
    r, $D1474,
    startD, INDEX(Calculation!B$2:B9627, r),
    endD,   INDEX(Calculation!C$2:C9627, r),
    asOf,   MIN($A1474,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2172170.548</v>
      </c>
    </row>
    <row r="1475">
      <c r="A1475" s="19">
        <v>43710.0</v>
      </c>
      <c r="B1475" s="23">
        <v>1.0765E7</v>
      </c>
      <c r="C1475" s="23">
        <f t="shared" si="1"/>
        <v>2173645.205</v>
      </c>
      <c r="D1475" s="18">
        <f>IF(A1475="","",MATCH(A1475,Calculation!B$2:B9627,1))</f>
        <v>1</v>
      </c>
      <c r="E1475" s="23">
        <f t="array" ref="E1475">IF(D1475="","",IF(D1475=1,0,INDEX(Calculation!Q$2:Q9627,D1475-1)))</f>
        <v>0</v>
      </c>
      <c r="F1475" s="23">
        <f t="array" ref="F1475">IF($A1475="","",
  LET(
    r, $D1475,
    startD, INDEX(Calculation!B$2:B9627, r),
    endD,   INDEX(Calculation!C$2:C9627, r),
    asOf,   MIN($A1475,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2173645.205</v>
      </c>
    </row>
    <row r="1476">
      <c r="A1476" s="19">
        <v>43711.0</v>
      </c>
      <c r="B1476" s="23">
        <v>1.0765E7</v>
      </c>
      <c r="C1476" s="23">
        <f t="shared" si="1"/>
        <v>2175119.863</v>
      </c>
      <c r="D1476" s="18">
        <f>IF(A1476="","",MATCH(A1476,Calculation!B$2:B9627,1))</f>
        <v>1</v>
      </c>
      <c r="E1476" s="23">
        <f t="array" ref="E1476">IF(D1476="","",IF(D1476=1,0,INDEX(Calculation!Q$2:Q9627,D1476-1)))</f>
        <v>0</v>
      </c>
      <c r="F1476" s="23">
        <f t="array" ref="F1476">IF($A1476="","",
  LET(
    r, $D1476,
    startD, INDEX(Calculation!B$2:B9627, r),
    endD,   INDEX(Calculation!C$2:C9627, r),
    asOf,   MIN($A1476,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2175119.863</v>
      </c>
    </row>
    <row r="1477">
      <c r="A1477" s="19">
        <v>43712.0</v>
      </c>
      <c r="B1477" s="23">
        <v>1.0765E7</v>
      </c>
      <c r="C1477" s="23">
        <f t="shared" si="1"/>
        <v>2176594.521</v>
      </c>
      <c r="D1477" s="18">
        <f>IF(A1477="","",MATCH(A1477,Calculation!B$2:B9627,1))</f>
        <v>1</v>
      </c>
      <c r="E1477" s="23">
        <f t="array" ref="E1477">IF(D1477="","",IF(D1477=1,0,INDEX(Calculation!Q$2:Q9627,D1477-1)))</f>
        <v>0</v>
      </c>
      <c r="F1477" s="23">
        <f t="array" ref="F1477">IF($A1477="","",
  LET(
    r, $D1477,
    startD, INDEX(Calculation!B$2:B9627, r),
    endD,   INDEX(Calculation!C$2:C9627, r),
    asOf,   MIN($A1477,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2176594.521</v>
      </c>
    </row>
    <row r="1478">
      <c r="A1478" s="19">
        <v>43713.0</v>
      </c>
      <c r="B1478" s="23">
        <v>1.0765E7</v>
      </c>
      <c r="C1478" s="23">
        <f t="shared" si="1"/>
        <v>2178069.178</v>
      </c>
      <c r="D1478" s="18">
        <f>IF(A1478="","",MATCH(A1478,Calculation!B$2:B9627,1))</f>
        <v>1</v>
      </c>
      <c r="E1478" s="23">
        <f t="array" ref="E1478">IF(D1478="","",IF(D1478=1,0,INDEX(Calculation!Q$2:Q9627,D1478-1)))</f>
        <v>0</v>
      </c>
      <c r="F1478" s="23">
        <f t="array" ref="F1478">IF($A1478="","",
  LET(
    r, $D1478,
    startD, INDEX(Calculation!B$2:B9627, r),
    endD,   INDEX(Calculation!C$2:C9627, r),
    asOf,   MIN($A1478,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2178069.178</v>
      </c>
    </row>
    <row r="1479">
      <c r="A1479" s="19">
        <v>43714.0</v>
      </c>
      <c r="B1479" s="23">
        <v>1.0765E7</v>
      </c>
      <c r="C1479" s="23">
        <f t="shared" si="1"/>
        <v>2179543.836</v>
      </c>
      <c r="D1479" s="18">
        <f>IF(A1479="","",MATCH(A1479,Calculation!B$2:B9627,1))</f>
        <v>1</v>
      </c>
      <c r="E1479" s="23">
        <f t="array" ref="E1479">IF(D1479="","",IF(D1479=1,0,INDEX(Calculation!Q$2:Q9627,D1479-1)))</f>
        <v>0</v>
      </c>
      <c r="F1479" s="23">
        <f t="array" ref="F1479">IF($A1479="","",
  LET(
    r, $D1479,
    startD, INDEX(Calculation!B$2:B9627, r),
    endD,   INDEX(Calculation!C$2:C9627, r),
    asOf,   MIN($A1479,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2179543.836</v>
      </c>
    </row>
    <row r="1480">
      <c r="A1480" s="19">
        <v>43715.0</v>
      </c>
      <c r="B1480" s="23">
        <v>1.0765E7</v>
      </c>
      <c r="C1480" s="23">
        <f t="shared" si="1"/>
        <v>2181018.493</v>
      </c>
      <c r="D1480" s="18">
        <f>IF(A1480="","",MATCH(A1480,Calculation!B$2:B9627,1))</f>
        <v>1</v>
      </c>
      <c r="E1480" s="23">
        <f t="array" ref="E1480">IF(D1480="","",IF(D1480=1,0,INDEX(Calculation!Q$2:Q9627,D1480-1)))</f>
        <v>0</v>
      </c>
      <c r="F1480" s="23">
        <f t="array" ref="F1480">IF($A1480="","",
  LET(
    r, $D1480,
    startD, INDEX(Calculation!B$2:B9627, r),
    endD,   INDEX(Calculation!C$2:C9627, r),
    asOf,   MIN($A1480,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2181018.493</v>
      </c>
    </row>
    <row r="1481">
      <c r="A1481" s="19">
        <v>43716.0</v>
      </c>
      <c r="B1481" s="23">
        <v>1.0765E7</v>
      </c>
      <c r="C1481" s="23">
        <f t="shared" si="1"/>
        <v>2182493.151</v>
      </c>
      <c r="D1481" s="18">
        <f>IF(A1481="","",MATCH(A1481,Calculation!B$2:B9627,1))</f>
        <v>1</v>
      </c>
      <c r="E1481" s="23">
        <f t="array" ref="E1481">IF(D1481="","",IF(D1481=1,0,INDEX(Calculation!Q$2:Q9627,D1481-1)))</f>
        <v>0</v>
      </c>
      <c r="F1481" s="23">
        <f t="array" ref="F1481">IF($A1481="","",
  LET(
    r, $D1481,
    startD, INDEX(Calculation!B$2:B9627, r),
    endD,   INDEX(Calculation!C$2:C9627, r),
    asOf,   MIN($A1481,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2182493.151</v>
      </c>
    </row>
    <row r="1482">
      <c r="A1482" s="19">
        <v>43717.0</v>
      </c>
      <c r="B1482" s="23">
        <v>1.0765E7</v>
      </c>
      <c r="C1482" s="23">
        <f t="shared" si="1"/>
        <v>2183967.808</v>
      </c>
      <c r="D1482" s="18">
        <f>IF(A1482="","",MATCH(A1482,Calculation!B$2:B9627,1))</f>
        <v>1</v>
      </c>
      <c r="E1482" s="23">
        <f t="array" ref="E1482">IF(D1482="","",IF(D1482=1,0,INDEX(Calculation!Q$2:Q9627,D1482-1)))</f>
        <v>0</v>
      </c>
      <c r="F1482" s="23">
        <f t="array" ref="F1482">IF($A1482="","",
  LET(
    r, $D1482,
    startD, INDEX(Calculation!B$2:B9627, r),
    endD,   INDEX(Calculation!C$2:C9627, r),
    asOf,   MIN($A1482,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2183967.808</v>
      </c>
    </row>
    <row r="1483">
      <c r="A1483" s="19">
        <v>43718.0</v>
      </c>
      <c r="B1483" s="23">
        <v>1.0765E7</v>
      </c>
      <c r="C1483" s="23">
        <f t="shared" si="1"/>
        <v>2185442.466</v>
      </c>
      <c r="D1483" s="18">
        <f>IF(A1483="","",MATCH(A1483,Calculation!B$2:B9627,1))</f>
        <v>1</v>
      </c>
      <c r="E1483" s="23">
        <f t="array" ref="E1483">IF(D1483="","",IF(D1483=1,0,INDEX(Calculation!Q$2:Q9627,D1483-1)))</f>
        <v>0</v>
      </c>
      <c r="F1483" s="23">
        <f t="array" ref="F1483">IF($A1483="","",
  LET(
    r, $D1483,
    startD, INDEX(Calculation!B$2:B9627, r),
    endD,   INDEX(Calculation!C$2:C9627, r),
    asOf,   MIN($A1483,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2185442.466</v>
      </c>
    </row>
    <row r="1484">
      <c r="A1484" s="19">
        <v>43719.0</v>
      </c>
      <c r="B1484" s="23">
        <v>1.0765E7</v>
      </c>
      <c r="C1484" s="23">
        <f t="shared" si="1"/>
        <v>2186917.123</v>
      </c>
      <c r="D1484" s="18">
        <f>IF(A1484="","",MATCH(A1484,Calculation!B$2:B9627,1))</f>
        <v>1</v>
      </c>
      <c r="E1484" s="23">
        <f t="array" ref="E1484">IF(D1484="","",IF(D1484=1,0,INDEX(Calculation!Q$2:Q9627,D1484-1)))</f>
        <v>0</v>
      </c>
      <c r="F1484" s="23">
        <f t="array" ref="F1484">IF($A1484="","",
  LET(
    r, $D1484,
    startD, INDEX(Calculation!B$2:B9627, r),
    endD,   INDEX(Calculation!C$2:C9627, r),
    asOf,   MIN($A1484,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2186917.123</v>
      </c>
    </row>
    <row r="1485">
      <c r="A1485" s="19">
        <v>43720.0</v>
      </c>
      <c r="B1485" s="23">
        <v>1.0765E7</v>
      </c>
      <c r="C1485" s="23">
        <f t="shared" si="1"/>
        <v>2188391.781</v>
      </c>
      <c r="D1485" s="18">
        <f>IF(A1485="","",MATCH(A1485,Calculation!B$2:B9627,1))</f>
        <v>1</v>
      </c>
      <c r="E1485" s="23">
        <f t="array" ref="E1485">IF(D1485="","",IF(D1485=1,0,INDEX(Calculation!Q$2:Q9627,D1485-1)))</f>
        <v>0</v>
      </c>
      <c r="F1485" s="23">
        <f t="array" ref="F1485">IF($A1485="","",
  LET(
    r, $D1485,
    startD, INDEX(Calculation!B$2:B9627, r),
    endD,   INDEX(Calculation!C$2:C9627, r),
    asOf,   MIN($A1485,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2188391.781</v>
      </c>
    </row>
    <row r="1486">
      <c r="A1486" s="19">
        <v>43721.0</v>
      </c>
      <c r="B1486" s="23">
        <v>1.0765E7</v>
      </c>
      <c r="C1486" s="23">
        <f t="shared" si="1"/>
        <v>2189866.438</v>
      </c>
      <c r="D1486" s="18">
        <f>IF(A1486="","",MATCH(A1486,Calculation!B$2:B9627,1))</f>
        <v>1</v>
      </c>
      <c r="E1486" s="23">
        <f t="array" ref="E1486">IF(D1486="","",IF(D1486=1,0,INDEX(Calculation!Q$2:Q9627,D1486-1)))</f>
        <v>0</v>
      </c>
      <c r="F1486" s="23">
        <f t="array" ref="F1486">IF($A1486="","",
  LET(
    r, $D1486,
    startD, INDEX(Calculation!B$2:B9627, r),
    endD,   INDEX(Calculation!C$2:C9627, r),
    asOf,   MIN($A1486,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2189866.438</v>
      </c>
    </row>
    <row r="1487">
      <c r="A1487" s="19">
        <v>43722.0</v>
      </c>
      <c r="B1487" s="23">
        <v>1.0765E7</v>
      </c>
      <c r="C1487" s="23">
        <f t="shared" si="1"/>
        <v>2191341.096</v>
      </c>
      <c r="D1487" s="18">
        <f>IF(A1487="","",MATCH(A1487,Calculation!B$2:B9627,1))</f>
        <v>1</v>
      </c>
      <c r="E1487" s="23">
        <f t="array" ref="E1487">IF(D1487="","",IF(D1487=1,0,INDEX(Calculation!Q$2:Q9627,D1487-1)))</f>
        <v>0</v>
      </c>
      <c r="F1487" s="23">
        <f t="array" ref="F1487">IF($A1487="","",
  LET(
    r, $D1487,
    startD, INDEX(Calculation!B$2:B9627, r),
    endD,   INDEX(Calculation!C$2:C9627, r),
    asOf,   MIN($A1487,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2191341.096</v>
      </c>
    </row>
    <row r="1488">
      <c r="A1488" s="19">
        <v>43723.0</v>
      </c>
      <c r="B1488" s="23">
        <v>1.0765E7</v>
      </c>
      <c r="C1488" s="23">
        <f t="shared" si="1"/>
        <v>2192815.753</v>
      </c>
      <c r="D1488" s="18">
        <f>IF(A1488="","",MATCH(A1488,Calculation!B$2:B9627,1))</f>
        <v>1</v>
      </c>
      <c r="E1488" s="23">
        <f t="array" ref="E1488">IF(D1488="","",IF(D1488=1,0,INDEX(Calculation!Q$2:Q9627,D1488-1)))</f>
        <v>0</v>
      </c>
      <c r="F1488" s="23">
        <f t="array" ref="F1488">IF($A1488="","",
  LET(
    r, $D1488,
    startD, INDEX(Calculation!B$2:B9627, r),
    endD,   INDEX(Calculation!C$2:C9627, r),
    asOf,   MIN($A1488,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2192815.753</v>
      </c>
    </row>
    <row r="1489">
      <c r="A1489" s="19">
        <v>43724.0</v>
      </c>
      <c r="B1489" s="23">
        <v>1.0765E7</v>
      </c>
      <c r="C1489" s="23">
        <f t="shared" si="1"/>
        <v>2194290.411</v>
      </c>
      <c r="D1489" s="18">
        <f>IF(A1489="","",MATCH(A1489,Calculation!B$2:B9627,1))</f>
        <v>1</v>
      </c>
      <c r="E1489" s="23">
        <f t="array" ref="E1489">IF(D1489="","",IF(D1489=1,0,INDEX(Calculation!Q$2:Q9627,D1489-1)))</f>
        <v>0</v>
      </c>
      <c r="F1489" s="23">
        <f t="array" ref="F1489">IF($A1489="","",
  LET(
    r, $D1489,
    startD, INDEX(Calculation!B$2:B9627, r),
    endD,   INDEX(Calculation!C$2:C9627, r),
    asOf,   MIN($A1489,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2194290.411</v>
      </c>
    </row>
    <row r="1490">
      <c r="A1490" s="19">
        <v>43725.0</v>
      </c>
      <c r="B1490" s="23">
        <v>1.0765E7</v>
      </c>
      <c r="C1490" s="23">
        <f t="shared" si="1"/>
        <v>2195765.068</v>
      </c>
      <c r="D1490" s="18">
        <f>IF(A1490="","",MATCH(A1490,Calculation!B$2:B9627,1))</f>
        <v>1</v>
      </c>
      <c r="E1490" s="23">
        <f t="array" ref="E1490">IF(D1490="","",IF(D1490=1,0,INDEX(Calculation!Q$2:Q9627,D1490-1)))</f>
        <v>0</v>
      </c>
      <c r="F1490" s="23">
        <f t="array" ref="F1490">IF($A1490="","",
  LET(
    r, $D1490,
    startD, INDEX(Calculation!B$2:B9627, r),
    endD,   INDEX(Calculation!C$2:C9627, r),
    asOf,   MIN($A1490,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2195765.068</v>
      </c>
    </row>
    <row r="1491">
      <c r="A1491" s="19">
        <v>43726.0</v>
      </c>
      <c r="B1491" s="23">
        <v>1.0765E7</v>
      </c>
      <c r="C1491" s="23">
        <f t="shared" si="1"/>
        <v>2197239.726</v>
      </c>
      <c r="D1491" s="18">
        <f>IF(A1491="","",MATCH(A1491,Calculation!B$2:B9627,1))</f>
        <v>1</v>
      </c>
      <c r="E1491" s="23">
        <f t="array" ref="E1491">IF(D1491="","",IF(D1491=1,0,INDEX(Calculation!Q$2:Q9627,D1491-1)))</f>
        <v>0</v>
      </c>
      <c r="F1491" s="23">
        <f t="array" ref="F1491">IF($A1491="","",
  LET(
    r, $D1491,
    startD, INDEX(Calculation!B$2:B9627, r),
    endD,   INDEX(Calculation!C$2:C9627, r),
    asOf,   MIN($A1491,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2197239.726</v>
      </c>
    </row>
    <row r="1492">
      <c r="A1492" s="19">
        <v>43727.0</v>
      </c>
      <c r="B1492" s="23">
        <v>1.0765E7</v>
      </c>
      <c r="C1492" s="23">
        <f t="shared" si="1"/>
        <v>2198714.384</v>
      </c>
      <c r="D1492" s="18">
        <f>IF(A1492="","",MATCH(A1492,Calculation!B$2:B9627,1))</f>
        <v>1</v>
      </c>
      <c r="E1492" s="23">
        <f t="array" ref="E1492">IF(D1492="","",IF(D1492=1,0,INDEX(Calculation!Q$2:Q9627,D1492-1)))</f>
        <v>0</v>
      </c>
      <c r="F1492" s="23">
        <f t="array" ref="F1492">IF($A1492="","",
  LET(
    r, $D1492,
    startD, INDEX(Calculation!B$2:B9627, r),
    endD,   INDEX(Calculation!C$2:C9627, r),
    asOf,   MIN($A1492,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2198714.384</v>
      </c>
    </row>
    <row r="1493">
      <c r="A1493" s="19">
        <v>43728.0</v>
      </c>
      <c r="B1493" s="23">
        <v>1.0765E7</v>
      </c>
      <c r="C1493" s="23">
        <f t="shared" si="1"/>
        <v>2200189.041</v>
      </c>
      <c r="D1493" s="18">
        <f>IF(A1493="","",MATCH(A1493,Calculation!B$2:B9627,1))</f>
        <v>1</v>
      </c>
      <c r="E1493" s="23">
        <f t="array" ref="E1493">IF(D1493="","",IF(D1493=1,0,INDEX(Calculation!Q$2:Q9627,D1493-1)))</f>
        <v>0</v>
      </c>
      <c r="F1493" s="23">
        <f t="array" ref="F1493">IF($A1493="","",
  LET(
    r, $D1493,
    startD, INDEX(Calculation!B$2:B9627, r),
    endD,   INDEX(Calculation!C$2:C9627, r),
    asOf,   MIN($A1493,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2200189.041</v>
      </c>
    </row>
    <row r="1494">
      <c r="A1494" s="19">
        <v>43729.0</v>
      </c>
      <c r="B1494" s="23">
        <v>1.0765E7</v>
      </c>
      <c r="C1494" s="23">
        <f t="shared" si="1"/>
        <v>2201663.699</v>
      </c>
      <c r="D1494" s="18">
        <f>IF(A1494="","",MATCH(A1494,Calculation!B$2:B9627,1))</f>
        <v>1</v>
      </c>
      <c r="E1494" s="23">
        <f t="array" ref="E1494">IF(D1494="","",IF(D1494=1,0,INDEX(Calculation!Q$2:Q9627,D1494-1)))</f>
        <v>0</v>
      </c>
      <c r="F1494" s="23">
        <f t="array" ref="F1494">IF($A1494="","",
  LET(
    r, $D1494,
    startD, INDEX(Calculation!B$2:B9627, r),
    endD,   INDEX(Calculation!C$2:C9627, r),
    asOf,   MIN($A1494,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2201663.699</v>
      </c>
    </row>
    <row r="1495">
      <c r="A1495" s="19">
        <v>43730.0</v>
      </c>
      <c r="B1495" s="23">
        <v>1.0765E7</v>
      </c>
      <c r="C1495" s="23">
        <f t="shared" si="1"/>
        <v>2203138.356</v>
      </c>
      <c r="D1495" s="18">
        <f>IF(A1495="","",MATCH(A1495,Calculation!B$2:B9627,1))</f>
        <v>1</v>
      </c>
      <c r="E1495" s="23">
        <f t="array" ref="E1495">IF(D1495="","",IF(D1495=1,0,INDEX(Calculation!Q$2:Q9627,D1495-1)))</f>
        <v>0</v>
      </c>
      <c r="F1495" s="23">
        <f t="array" ref="F1495">IF($A1495="","",
  LET(
    r, $D1495,
    startD, INDEX(Calculation!B$2:B9627, r),
    endD,   INDEX(Calculation!C$2:C9627, r),
    asOf,   MIN($A1495,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2203138.356</v>
      </c>
    </row>
    <row r="1496">
      <c r="A1496" s="19">
        <v>43731.0</v>
      </c>
      <c r="B1496" s="23">
        <v>1.0765E7</v>
      </c>
      <c r="C1496" s="23">
        <f t="shared" si="1"/>
        <v>2204613.014</v>
      </c>
      <c r="D1496" s="18">
        <f>IF(A1496="","",MATCH(A1496,Calculation!B$2:B9627,1))</f>
        <v>1</v>
      </c>
      <c r="E1496" s="23">
        <f t="array" ref="E1496">IF(D1496="","",IF(D1496=1,0,INDEX(Calculation!Q$2:Q9627,D1496-1)))</f>
        <v>0</v>
      </c>
      <c r="F1496" s="23">
        <f t="array" ref="F1496">IF($A1496="","",
  LET(
    r, $D1496,
    startD, INDEX(Calculation!B$2:B9627, r),
    endD,   INDEX(Calculation!C$2:C9627, r),
    asOf,   MIN($A1496,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2204613.014</v>
      </c>
    </row>
    <row r="1497">
      <c r="A1497" s="19">
        <v>43732.0</v>
      </c>
      <c r="B1497" s="23">
        <v>1.0765E7</v>
      </c>
      <c r="C1497" s="23">
        <f t="shared" si="1"/>
        <v>2206087.671</v>
      </c>
      <c r="D1497" s="18">
        <f>IF(A1497="","",MATCH(A1497,Calculation!B$2:B9627,1))</f>
        <v>1</v>
      </c>
      <c r="E1497" s="23">
        <f t="array" ref="E1497">IF(D1497="","",IF(D1497=1,0,INDEX(Calculation!Q$2:Q9627,D1497-1)))</f>
        <v>0</v>
      </c>
      <c r="F1497" s="23">
        <f t="array" ref="F1497">IF($A1497="","",
  LET(
    r, $D1497,
    startD, INDEX(Calculation!B$2:B9627, r),
    endD,   INDEX(Calculation!C$2:C9627, r),
    asOf,   MIN($A1497,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2206087.671</v>
      </c>
    </row>
    <row r="1498">
      <c r="A1498" s="19">
        <v>43733.0</v>
      </c>
      <c r="B1498" s="23">
        <v>1.0765E7</v>
      </c>
      <c r="C1498" s="23">
        <f t="shared" si="1"/>
        <v>2207562.329</v>
      </c>
      <c r="D1498" s="18">
        <f>IF(A1498="","",MATCH(A1498,Calculation!B$2:B9627,1))</f>
        <v>1</v>
      </c>
      <c r="E1498" s="23">
        <f t="array" ref="E1498">IF(D1498="","",IF(D1498=1,0,INDEX(Calculation!Q$2:Q9627,D1498-1)))</f>
        <v>0</v>
      </c>
      <c r="F1498" s="23">
        <f t="array" ref="F1498">IF($A1498="","",
  LET(
    r, $D1498,
    startD, INDEX(Calculation!B$2:B9627, r),
    endD,   INDEX(Calculation!C$2:C9627, r),
    asOf,   MIN($A1498,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2207562.329</v>
      </c>
    </row>
    <row r="1499">
      <c r="A1499" s="19">
        <v>43734.0</v>
      </c>
      <c r="B1499" s="23">
        <v>1.0765E7</v>
      </c>
      <c r="C1499" s="23">
        <f t="shared" si="1"/>
        <v>2209036.986</v>
      </c>
      <c r="D1499" s="18">
        <f>IF(A1499="","",MATCH(A1499,Calculation!B$2:B9627,1))</f>
        <v>1</v>
      </c>
      <c r="E1499" s="23">
        <f t="array" ref="E1499">IF(D1499="","",IF(D1499=1,0,INDEX(Calculation!Q$2:Q9627,D1499-1)))</f>
        <v>0</v>
      </c>
      <c r="F1499" s="23">
        <f t="array" ref="F1499">IF($A1499="","",
  LET(
    r, $D1499,
    startD, INDEX(Calculation!B$2:B9627, r),
    endD,   INDEX(Calculation!C$2:C9627, r),
    asOf,   MIN($A1499,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2209036.986</v>
      </c>
    </row>
    <row r="1500">
      <c r="A1500" s="19">
        <v>43735.0</v>
      </c>
      <c r="B1500" s="23">
        <v>1.0765E7</v>
      </c>
      <c r="C1500" s="23">
        <f t="shared" si="1"/>
        <v>2210511.644</v>
      </c>
      <c r="D1500" s="18">
        <f>IF(A1500="","",MATCH(A1500,Calculation!B$2:B9627,1))</f>
        <v>1</v>
      </c>
      <c r="E1500" s="23">
        <f t="array" ref="E1500">IF(D1500="","",IF(D1500=1,0,INDEX(Calculation!Q$2:Q9627,D1500-1)))</f>
        <v>0</v>
      </c>
      <c r="F1500" s="23">
        <f t="array" ref="F1500">IF($A1500="","",
  LET(
    r, $D1500,
    startD, INDEX(Calculation!B$2:B9627, r),
    endD,   INDEX(Calculation!C$2:C9627, r),
    asOf,   MIN($A1500,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2210511.644</v>
      </c>
    </row>
    <row r="1501">
      <c r="A1501" s="19">
        <v>43736.0</v>
      </c>
      <c r="B1501" s="23">
        <v>1.0765E7</v>
      </c>
      <c r="C1501" s="23">
        <f t="shared" si="1"/>
        <v>2211986.301</v>
      </c>
      <c r="D1501" s="18">
        <f>IF(A1501="","",MATCH(A1501,Calculation!B$2:B9627,1))</f>
        <v>1</v>
      </c>
      <c r="E1501" s="23">
        <f t="array" ref="E1501">IF(D1501="","",IF(D1501=1,0,INDEX(Calculation!Q$2:Q9627,D1501-1)))</f>
        <v>0</v>
      </c>
      <c r="F1501" s="23">
        <f t="array" ref="F1501">IF($A1501="","",
  LET(
    r, $D1501,
    startD, INDEX(Calculation!B$2:B9627, r),
    endD,   INDEX(Calculation!C$2:C9627, r),
    asOf,   MIN($A1501,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2211986.301</v>
      </c>
    </row>
    <row r="1502">
      <c r="A1502" s="19">
        <v>43737.0</v>
      </c>
      <c r="B1502" s="23">
        <v>1.0765E7</v>
      </c>
      <c r="C1502" s="23">
        <f t="shared" si="1"/>
        <v>2213460.959</v>
      </c>
      <c r="D1502" s="18">
        <f>IF(A1502="","",MATCH(A1502,Calculation!B$2:B9627,1))</f>
        <v>1</v>
      </c>
      <c r="E1502" s="23">
        <f t="array" ref="E1502">IF(D1502="","",IF(D1502=1,0,INDEX(Calculation!Q$2:Q9627,D1502-1)))</f>
        <v>0</v>
      </c>
      <c r="F1502" s="23">
        <f t="array" ref="F1502">IF($A1502="","",
  LET(
    r, $D1502,
    startD, INDEX(Calculation!B$2:B9627, r),
    endD,   INDEX(Calculation!C$2:C9627, r),
    asOf,   MIN($A1502,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2213460.959</v>
      </c>
    </row>
    <row r="1503">
      <c r="A1503" s="19">
        <v>43738.0</v>
      </c>
      <c r="B1503" s="23">
        <v>1.0765E7</v>
      </c>
      <c r="C1503" s="23">
        <f t="shared" si="1"/>
        <v>2214935.616</v>
      </c>
      <c r="D1503" s="18">
        <f>IF(A1503="","",MATCH(A1503,Calculation!B$2:B9627,1))</f>
        <v>1</v>
      </c>
      <c r="E1503" s="23">
        <f t="array" ref="E1503">IF(D1503="","",IF(D1503=1,0,INDEX(Calculation!Q$2:Q9627,D1503-1)))</f>
        <v>0</v>
      </c>
      <c r="F1503" s="23">
        <f t="array" ref="F1503">IF($A1503="","",
  LET(
    r, $D1503,
    startD, INDEX(Calculation!B$2:B9627, r),
    endD,   INDEX(Calculation!C$2:C9627, r),
    asOf,   MIN($A1503,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2214935.616</v>
      </c>
    </row>
    <row r="1504">
      <c r="A1504" s="19">
        <v>43739.0</v>
      </c>
      <c r="B1504" s="23">
        <v>1.0765E7</v>
      </c>
      <c r="C1504" s="23">
        <f t="shared" si="1"/>
        <v>2216410.274</v>
      </c>
      <c r="D1504" s="18">
        <f>IF(A1504="","",MATCH(A1504,Calculation!B$2:B9627,1))</f>
        <v>1</v>
      </c>
      <c r="E1504" s="23">
        <f t="array" ref="E1504">IF(D1504="","",IF(D1504=1,0,INDEX(Calculation!Q$2:Q9627,D1504-1)))</f>
        <v>0</v>
      </c>
      <c r="F1504" s="23">
        <f t="array" ref="F1504">IF($A1504="","",
  LET(
    r, $D1504,
    startD, INDEX(Calculation!B$2:B9627, r),
    endD,   INDEX(Calculation!C$2:C9627, r),
    asOf,   MIN($A1504,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2216410.274</v>
      </c>
    </row>
    <row r="1505">
      <c r="A1505" s="19">
        <v>43740.0</v>
      </c>
      <c r="B1505" s="23">
        <v>1.0765E7</v>
      </c>
      <c r="C1505" s="23">
        <f t="shared" si="1"/>
        <v>2217884.932</v>
      </c>
      <c r="D1505" s="18">
        <f>IF(A1505="","",MATCH(A1505,Calculation!B$2:B9627,1))</f>
        <v>1</v>
      </c>
      <c r="E1505" s="23">
        <f t="array" ref="E1505">IF(D1505="","",IF(D1505=1,0,INDEX(Calculation!Q$2:Q9627,D1505-1)))</f>
        <v>0</v>
      </c>
      <c r="F1505" s="23">
        <f t="array" ref="F1505">IF($A1505="","",
  LET(
    r, $D1505,
    startD, INDEX(Calculation!B$2:B9627, r),
    endD,   INDEX(Calculation!C$2:C9627, r),
    asOf,   MIN($A1505,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2217884.932</v>
      </c>
    </row>
    <row r="1506">
      <c r="A1506" s="19">
        <v>43741.0</v>
      </c>
      <c r="B1506" s="23">
        <v>1.0765E7</v>
      </c>
      <c r="C1506" s="23">
        <f t="shared" si="1"/>
        <v>2219359.589</v>
      </c>
      <c r="D1506" s="18">
        <f>IF(A1506="","",MATCH(A1506,Calculation!B$2:B9627,1))</f>
        <v>1</v>
      </c>
      <c r="E1506" s="23">
        <f t="array" ref="E1506">IF(D1506="","",IF(D1506=1,0,INDEX(Calculation!Q$2:Q9627,D1506-1)))</f>
        <v>0</v>
      </c>
      <c r="F1506" s="23">
        <f t="array" ref="F1506">IF($A1506="","",
  LET(
    r, $D1506,
    startD, INDEX(Calculation!B$2:B9627, r),
    endD,   INDEX(Calculation!C$2:C9627, r),
    asOf,   MIN($A1506,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2219359.589</v>
      </c>
    </row>
    <row r="1507">
      <c r="A1507" s="19">
        <v>43742.0</v>
      </c>
      <c r="B1507" s="23">
        <v>1.0765E7</v>
      </c>
      <c r="C1507" s="23">
        <f t="shared" si="1"/>
        <v>2220834.247</v>
      </c>
      <c r="D1507" s="18">
        <f>IF(A1507="","",MATCH(A1507,Calculation!B$2:B9627,1))</f>
        <v>1</v>
      </c>
      <c r="E1507" s="23">
        <f t="array" ref="E1507">IF(D1507="","",IF(D1507=1,0,INDEX(Calculation!Q$2:Q9627,D1507-1)))</f>
        <v>0</v>
      </c>
      <c r="F1507" s="23">
        <f t="array" ref="F1507">IF($A1507="","",
  LET(
    r, $D1507,
    startD, INDEX(Calculation!B$2:B9627, r),
    endD,   INDEX(Calculation!C$2:C9627, r),
    asOf,   MIN($A1507,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2220834.247</v>
      </c>
    </row>
    <row r="1508">
      <c r="A1508" s="19">
        <v>43743.0</v>
      </c>
      <c r="B1508" s="23">
        <v>1.0765E7</v>
      </c>
      <c r="C1508" s="23">
        <f t="shared" si="1"/>
        <v>2222308.904</v>
      </c>
      <c r="D1508" s="18">
        <f>IF(A1508="","",MATCH(A1508,Calculation!B$2:B9627,1))</f>
        <v>1</v>
      </c>
      <c r="E1508" s="23">
        <f t="array" ref="E1508">IF(D1508="","",IF(D1508=1,0,INDEX(Calculation!Q$2:Q9627,D1508-1)))</f>
        <v>0</v>
      </c>
      <c r="F1508" s="23">
        <f t="array" ref="F1508">IF($A1508="","",
  LET(
    r, $D1508,
    startD, INDEX(Calculation!B$2:B9627, r),
    endD,   INDEX(Calculation!C$2:C9627, r),
    asOf,   MIN($A1508,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2222308.904</v>
      </c>
    </row>
    <row r="1509">
      <c r="A1509" s="19">
        <v>43744.0</v>
      </c>
      <c r="B1509" s="23">
        <v>1.0765E7</v>
      </c>
      <c r="C1509" s="23">
        <f t="shared" si="1"/>
        <v>2223783.562</v>
      </c>
      <c r="D1509" s="18">
        <f>IF(A1509="","",MATCH(A1509,Calculation!B$2:B9627,1))</f>
        <v>1</v>
      </c>
      <c r="E1509" s="23">
        <f t="array" ref="E1509">IF(D1509="","",IF(D1509=1,0,INDEX(Calculation!Q$2:Q9627,D1509-1)))</f>
        <v>0</v>
      </c>
      <c r="F1509" s="23">
        <f t="array" ref="F1509">IF($A1509="","",
  LET(
    r, $D1509,
    startD, INDEX(Calculation!B$2:B9627, r),
    endD,   INDEX(Calculation!C$2:C9627, r),
    asOf,   MIN($A1509,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2223783.562</v>
      </c>
    </row>
    <row r="1510">
      <c r="A1510" s="19">
        <v>43745.0</v>
      </c>
      <c r="B1510" s="23">
        <v>1.0765E7</v>
      </c>
      <c r="C1510" s="23">
        <f t="shared" si="1"/>
        <v>2225258.219</v>
      </c>
      <c r="D1510" s="18">
        <f>IF(A1510="","",MATCH(A1510,Calculation!B$2:B9627,1))</f>
        <v>1</v>
      </c>
      <c r="E1510" s="23">
        <f t="array" ref="E1510">IF(D1510="","",IF(D1510=1,0,INDEX(Calculation!Q$2:Q9627,D1510-1)))</f>
        <v>0</v>
      </c>
      <c r="F1510" s="23">
        <f t="array" ref="F1510">IF($A1510="","",
  LET(
    r, $D1510,
    startD, INDEX(Calculation!B$2:B9627, r),
    endD,   INDEX(Calculation!C$2:C9627, r),
    asOf,   MIN($A1510,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2225258.219</v>
      </c>
    </row>
    <row r="1511">
      <c r="A1511" s="19">
        <v>43746.0</v>
      </c>
      <c r="B1511" s="23">
        <v>1.0765E7</v>
      </c>
      <c r="C1511" s="23">
        <f t="shared" si="1"/>
        <v>2226732.877</v>
      </c>
      <c r="D1511" s="18">
        <f>IF(A1511="","",MATCH(A1511,Calculation!B$2:B9627,1))</f>
        <v>1</v>
      </c>
      <c r="E1511" s="23">
        <f t="array" ref="E1511">IF(D1511="","",IF(D1511=1,0,INDEX(Calculation!Q$2:Q9627,D1511-1)))</f>
        <v>0</v>
      </c>
      <c r="F1511" s="23">
        <f t="array" ref="F1511">IF($A1511="","",
  LET(
    r, $D1511,
    startD, INDEX(Calculation!B$2:B9627, r),
    endD,   INDEX(Calculation!C$2:C9627, r),
    asOf,   MIN($A1511,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2226732.877</v>
      </c>
    </row>
    <row r="1512">
      <c r="A1512" s="19">
        <v>43747.0</v>
      </c>
      <c r="B1512" s="23">
        <v>1.0765E7</v>
      </c>
      <c r="C1512" s="23">
        <f t="shared" si="1"/>
        <v>2228207.534</v>
      </c>
      <c r="D1512" s="18">
        <f>IF(A1512="","",MATCH(A1512,Calculation!B$2:B9627,1))</f>
        <v>1</v>
      </c>
      <c r="E1512" s="23">
        <f t="array" ref="E1512">IF(D1512="","",IF(D1512=1,0,INDEX(Calculation!Q$2:Q9627,D1512-1)))</f>
        <v>0</v>
      </c>
      <c r="F1512" s="23">
        <f t="array" ref="F1512">IF($A1512="","",
  LET(
    r, $D1512,
    startD, INDEX(Calculation!B$2:B9627, r),
    endD,   INDEX(Calculation!C$2:C9627, r),
    asOf,   MIN($A1512,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2228207.534</v>
      </c>
    </row>
    <row r="1513">
      <c r="A1513" s="19">
        <v>43748.0</v>
      </c>
      <c r="B1513" s="23">
        <v>1.0765E7</v>
      </c>
      <c r="C1513" s="23">
        <f t="shared" si="1"/>
        <v>2229682.192</v>
      </c>
      <c r="D1513" s="18">
        <f>IF(A1513="","",MATCH(A1513,Calculation!B$2:B9627,1))</f>
        <v>1</v>
      </c>
      <c r="E1513" s="23">
        <f t="array" ref="E1513">IF(D1513="","",IF(D1513=1,0,INDEX(Calculation!Q$2:Q9627,D1513-1)))</f>
        <v>0</v>
      </c>
      <c r="F1513" s="23">
        <f t="array" ref="F1513">IF($A1513="","",
  LET(
    r, $D1513,
    startD, INDEX(Calculation!B$2:B9627, r),
    endD,   INDEX(Calculation!C$2:C9627, r),
    asOf,   MIN($A1513,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2229682.192</v>
      </c>
    </row>
    <row r="1514">
      <c r="A1514" s="19">
        <v>43749.0</v>
      </c>
      <c r="B1514" s="23">
        <v>1.0765E7</v>
      </c>
      <c r="C1514" s="23">
        <f t="shared" si="1"/>
        <v>2231156.849</v>
      </c>
      <c r="D1514" s="18">
        <f>IF(A1514="","",MATCH(A1514,Calculation!B$2:B9627,1))</f>
        <v>1</v>
      </c>
      <c r="E1514" s="23">
        <f t="array" ref="E1514">IF(D1514="","",IF(D1514=1,0,INDEX(Calculation!Q$2:Q9627,D1514-1)))</f>
        <v>0</v>
      </c>
      <c r="F1514" s="23">
        <f t="array" ref="F1514">IF($A1514="","",
  LET(
    r, $D1514,
    startD, INDEX(Calculation!B$2:B9627, r),
    endD,   INDEX(Calculation!C$2:C9627, r),
    asOf,   MIN($A1514,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2231156.849</v>
      </c>
    </row>
    <row r="1515">
      <c r="A1515" s="19">
        <v>43750.0</v>
      </c>
      <c r="B1515" s="23">
        <v>1.0765E7</v>
      </c>
      <c r="C1515" s="23">
        <f t="shared" si="1"/>
        <v>2232631.507</v>
      </c>
      <c r="D1515" s="18">
        <f>IF(A1515="","",MATCH(A1515,Calculation!B$2:B9627,1))</f>
        <v>1</v>
      </c>
      <c r="E1515" s="23">
        <f t="array" ref="E1515">IF(D1515="","",IF(D1515=1,0,INDEX(Calculation!Q$2:Q9627,D1515-1)))</f>
        <v>0</v>
      </c>
      <c r="F1515" s="23">
        <f t="array" ref="F1515">IF($A1515="","",
  LET(
    r, $D1515,
    startD, INDEX(Calculation!B$2:B9627, r),
    endD,   INDEX(Calculation!C$2:C9627, r),
    asOf,   MIN($A1515,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2232631.507</v>
      </c>
    </row>
    <row r="1516">
      <c r="A1516" s="19">
        <v>43751.0</v>
      </c>
      <c r="B1516" s="23">
        <v>1.0765E7</v>
      </c>
      <c r="C1516" s="23">
        <f t="shared" si="1"/>
        <v>2234106.164</v>
      </c>
      <c r="D1516" s="18">
        <f>IF(A1516="","",MATCH(A1516,Calculation!B$2:B9627,1))</f>
        <v>1</v>
      </c>
      <c r="E1516" s="23">
        <f t="array" ref="E1516">IF(D1516="","",IF(D1516=1,0,INDEX(Calculation!Q$2:Q9627,D1516-1)))</f>
        <v>0</v>
      </c>
      <c r="F1516" s="23">
        <f t="array" ref="F1516">IF($A1516="","",
  LET(
    r, $D1516,
    startD, INDEX(Calculation!B$2:B9627, r),
    endD,   INDEX(Calculation!C$2:C9627, r),
    asOf,   MIN($A1516,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2234106.164</v>
      </c>
    </row>
    <row r="1517">
      <c r="A1517" s="19">
        <v>43752.0</v>
      </c>
      <c r="B1517" s="23">
        <v>1.0765E7</v>
      </c>
      <c r="C1517" s="23">
        <f t="shared" si="1"/>
        <v>2235580.822</v>
      </c>
      <c r="D1517" s="18">
        <f>IF(A1517="","",MATCH(A1517,Calculation!B$2:B9627,1))</f>
        <v>1</v>
      </c>
      <c r="E1517" s="23">
        <f t="array" ref="E1517">IF(D1517="","",IF(D1517=1,0,INDEX(Calculation!Q$2:Q9627,D1517-1)))</f>
        <v>0</v>
      </c>
      <c r="F1517" s="23">
        <f t="array" ref="F1517">IF($A1517="","",
  LET(
    r, $D1517,
    startD, INDEX(Calculation!B$2:B9627, r),
    endD,   INDEX(Calculation!C$2:C9627, r),
    asOf,   MIN($A1517,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2235580.822</v>
      </c>
    </row>
    <row r="1518">
      <c r="A1518" s="19">
        <v>43753.0</v>
      </c>
      <c r="B1518" s="23">
        <v>1.0765E7</v>
      </c>
      <c r="C1518" s="23">
        <f t="shared" si="1"/>
        <v>2237055.479</v>
      </c>
      <c r="D1518" s="18">
        <f>IF(A1518="","",MATCH(A1518,Calculation!B$2:B9627,1))</f>
        <v>1</v>
      </c>
      <c r="E1518" s="23">
        <f t="array" ref="E1518">IF(D1518="","",IF(D1518=1,0,INDEX(Calculation!Q$2:Q9627,D1518-1)))</f>
        <v>0</v>
      </c>
      <c r="F1518" s="23">
        <f t="array" ref="F1518">IF($A1518="","",
  LET(
    r, $D1518,
    startD, INDEX(Calculation!B$2:B9627, r),
    endD,   INDEX(Calculation!C$2:C9627, r),
    asOf,   MIN($A1518,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2237055.479</v>
      </c>
    </row>
    <row r="1519">
      <c r="A1519" s="19">
        <v>43754.0</v>
      </c>
      <c r="B1519" s="23">
        <v>1.0765E7</v>
      </c>
      <c r="C1519" s="23">
        <f t="shared" si="1"/>
        <v>2238530.137</v>
      </c>
      <c r="D1519" s="18">
        <f>IF(A1519="","",MATCH(A1519,Calculation!B$2:B9627,1))</f>
        <v>1</v>
      </c>
      <c r="E1519" s="23">
        <f t="array" ref="E1519">IF(D1519="","",IF(D1519=1,0,INDEX(Calculation!Q$2:Q9627,D1519-1)))</f>
        <v>0</v>
      </c>
      <c r="F1519" s="23">
        <f t="array" ref="F1519">IF($A1519="","",
  LET(
    r, $D1519,
    startD, INDEX(Calculation!B$2:B9627, r),
    endD,   INDEX(Calculation!C$2:C9627, r),
    asOf,   MIN($A1519,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2238530.137</v>
      </c>
    </row>
    <row r="1520">
      <c r="A1520" s="19">
        <v>43755.0</v>
      </c>
      <c r="B1520" s="23">
        <v>1.0765E7</v>
      </c>
      <c r="C1520" s="23">
        <f t="shared" si="1"/>
        <v>2240004.795</v>
      </c>
      <c r="D1520" s="18">
        <f>IF(A1520="","",MATCH(A1520,Calculation!B$2:B9627,1))</f>
        <v>1</v>
      </c>
      <c r="E1520" s="23">
        <f t="array" ref="E1520">IF(D1520="","",IF(D1520=1,0,INDEX(Calculation!Q$2:Q9627,D1520-1)))</f>
        <v>0</v>
      </c>
      <c r="F1520" s="23">
        <f t="array" ref="F1520">IF($A1520="","",
  LET(
    r, $D1520,
    startD, INDEX(Calculation!B$2:B9627, r),
    endD,   INDEX(Calculation!C$2:C9627, r),
    asOf,   MIN($A1520,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2240004.795</v>
      </c>
    </row>
    <row r="1521">
      <c r="A1521" s="19">
        <v>43756.0</v>
      </c>
      <c r="B1521" s="23">
        <v>1.0765E7</v>
      </c>
      <c r="C1521" s="23">
        <f t="shared" si="1"/>
        <v>2241479.452</v>
      </c>
      <c r="D1521" s="18">
        <f>IF(A1521="","",MATCH(A1521,Calculation!B$2:B9627,1))</f>
        <v>1</v>
      </c>
      <c r="E1521" s="23">
        <f t="array" ref="E1521">IF(D1521="","",IF(D1521=1,0,INDEX(Calculation!Q$2:Q9627,D1521-1)))</f>
        <v>0</v>
      </c>
      <c r="F1521" s="23">
        <f t="array" ref="F1521">IF($A1521="","",
  LET(
    r, $D1521,
    startD, INDEX(Calculation!B$2:B9627, r),
    endD,   INDEX(Calculation!C$2:C9627, r),
    asOf,   MIN($A1521,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2241479.452</v>
      </c>
    </row>
    <row r="1522">
      <c r="A1522" s="19">
        <v>43757.0</v>
      </c>
      <c r="B1522" s="23">
        <v>1.0765E7</v>
      </c>
      <c r="C1522" s="23">
        <f t="shared" si="1"/>
        <v>2242954.11</v>
      </c>
      <c r="D1522" s="18">
        <f>IF(A1522="","",MATCH(A1522,Calculation!B$2:B9627,1))</f>
        <v>1</v>
      </c>
      <c r="E1522" s="23">
        <f t="array" ref="E1522">IF(D1522="","",IF(D1522=1,0,INDEX(Calculation!Q$2:Q9627,D1522-1)))</f>
        <v>0</v>
      </c>
      <c r="F1522" s="23">
        <f t="array" ref="F1522">IF($A1522="","",
  LET(
    r, $D1522,
    startD, INDEX(Calculation!B$2:B9627, r),
    endD,   INDEX(Calculation!C$2:C9627, r),
    asOf,   MIN($A1522,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2242954.11</v>
      </c>
    </row>
    <row r="1523">
      <c r="A1523" s="19">
        <v>43758.0</v>
      </c>
      <c r="B1523" s="23">
        <v>1.0765E7</v>
      </c>
      <c r="C1523" s="23">
        <f t="shared" si="1"/>
        <v>2244428.767</v>
      </c>
      <c r="D1523" s="18">
        <f>IF(A1523="","",MATCH(A1523,Calculation!B$2:B9627,1))</f>
        <v>1</v>
      </c>
      <c r="E1523" s="23">
        <f t="array" ref="E1523">IF(D1523="","",IF(D1523=1,0,INDEX(Calculation!Q$2:Q9627,D1523-1)))</f>
        <v>0</v>
      </c>
      <c r="F1523" s="23">
        <f t="array" ref="F1523">IF($A1523="","",
  LET(
    r, $D1523,
    startD, INDEX(Calculation!B$2:B9627, r),
    endD,   INDEX(Calculation!C$2:C9627, r),
    asOf,   MIN($A1523,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2244428.767</v>
      </c>
    </row>
    <row r="1524">
      <c r="A1524" s="19">
        <v>43759.0</v>
      </c>
      <c r="B1524" s="23">
        <v>1.0765E7</v>
      </c>
      <c r="C1524" s="23">
        <f t="shared" si="1"/>
        <v>2245903.425</v>
      </c>
      <c r="D1524" s="18">
        <f>IF(A1524="","",MATCH(A1524,Calculation!B$2:B9627,1))</f>
        <v>1</v>
      </c>
      <c r="E1524" s="23">
        <f t="array" ref="E1524">IF(D1524="","",IF(D1524=1,0,INDEX(Calculation!Q$2:Q9627,D1524-1)))</f>
        <v>0</v>
      </c>
      <c r="F1524" s="23">
        <f t="array" ref="F1524">IF($A1524="","",
  LET(
    r, $D1524,
    startD, INDEX(Calculation!B$2:B9627, r),
    endD,   INDEX(Calculation!C$2:C9627, r),
    asOf,   MIN($A1524,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2245903.425</v>
      </c>
    </row>
    <row r="1525">
      <c r="A1525" s="19">
        <v>43760.0</v>
      </c>
      <c r="B1525" s="23">
        <v>1.0765E7</v>
      </c>
      <c r="C1525" s="23">
        <f t="shared" si="1"/>
        <v>2247378.082</v>
      </c>
      <c r="D1525" s="18">
        <f>IF(A1525="","",MATCH(A1525,Calculation!B$2:B9627,1))</f>
        <v>1</v>
      </c>
      <c r="E1525" s="23">
        <f t="array" ref="E1525">IF(D1525="","",IF(D1525=1,0,INDEX(Calculation!Q$2:Q9627,D1525-1)))</f>
        <v>0</v>
      </c>
      <c r="F1525" s="23">
        <f t="array" ref="F1525">IF($A1525="","",
  LET(
    r, $D1525,
    startD, INDEX(Calculation!B$2:B9627, r),
    endD,   INDEX(Calculation!C$2:C9627, r),
    asOf,   MIN($A1525,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2247378.082</v>
      </c>
    </row>
    <row r="1526">
      <c r="A1526" s="19">
        <v>43761.0</v>
      </c>
      <c r="B1526" s="23">
        <v>1.0765E7</v>
      </c>
      <c r="C1526" s="23">
        <f t="shared" si="1"/>
        <v>2248852.74</v>
      </c>
      <c r="D1526" s="18">
        <f>IF(A1526="","",MATCH(A1526,Calculation!B$2:B9627,1))</f>
        <v>1</v>
      </c>
      <c r="E1526" s="23">
        <f t="array" ref="E1526">IF(D1526="","",IF(D1526=1,0,INDEX(Calculation!Q$2:Q9627,D1526-1)))</f>
        <v>0</v>
      </c>
      <c r="F1526" s="23">
        <f t="array" ref="F1526">IF($A1526="","",
  LET(
    r, $D1526,
    startD, INDEX(Calculation!B$2:B9627, r),
    endD,   INDEX(Calculation!C$2:C9627, r),
    asOf,   MIN($A1526,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2248852.74</v>
      </c>
    </row>
    <row r="1527">
      <c r="A1527" s="19">
        <v>43762.0</v>
      </c>
      <c r="B1527" s="23">
        <v>1.0765E7</v>
      </c>
      <c r="C1527" s="23">
        <f t="shared" si="1"/>
        <v>2250327.397</v>
      </c>
      <c r="D1527" s="18">
        <f>IF(A1527="","",MATCH(A1527,Calculation!B$2:B9627,1))</f>
        <v>1</v>
      </c>
      <c r="E1527" s="23">
        <f t="array" ref="E1527">IF(D1527="","",IF(D1527=1,0,INDEX(Calculation!Q$2:Q9627,D1527-1)))</f>
        <v>0</v>
      </c>
      <c r="F1527" s="23">
        <f t="array" ref="F1527">IF($A1527="","",
  LET(
    r, $D1527,
    startD, INDEX(Calculation!B$2:B9627, r),
    endD,   INDEX(Calculation!C$2:C9627, r),
    asOf,   MIN($A1527,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2250327.397</v>
      </c>
    </row>
    <row r="1528">
      <c r="A1528" s="19">
        <v>43763.0</v>
      </c>
      <c r="B1528" s="23">
        <v>1.0765E7</v>
      </c>
      <c r="C1528" s="23">
        <f t="shared" si="1"/>
        <v>2251802.055</v>
      </c>
      <c r="D1528" s="18">
        <f>IF(A1528="","",MATCH(A1528,Calculation!B$2:B9627,1))</f>
        <v>1</v>
      </c>
      <c r="E1528" s="23">
        <f t="array" ref="E1528">IF(D1528="","",IF(D1528=1,0,INDEX(Calculation!Q$2:Q9627,D1528-1)))</f>
        <v>0</v>
      </c>
      <c r="F1528" s="23">
        <f t="array" ref="F1528">IF($A1528="","",
  LET(
    r, $D1528,
    startD, INDEX(Calculation!B$2:B9627, r),
    endD,   INDEX(Calculation!C$2:C9627, r),
    asOf,   MIN($A1528,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2251802.055</v>
      </c>
    </row>
    <row r="1529">
      <c r="A1529" s="19">
        <v>43764.0</v>
      </c>
      <c r="B1529" s="23">
        <v>1.0765E7</v>
      </c>
      <c r="C1529" s="23">
        <f t="shared" si="1"/>
        <v>2253276.712</v>
      </c>
      <c r="D1529" s="18">
        <f>IF(A1529="","",MATCH(A1529,Calculation!B$2:B9627,1))</f>
        <v>1</v>
      </c>
      <c r="E1529" s="23">
        <f t="array" ref="E1529">IF(D1529="","",IF(D1529=1,0,INDEX(Calculation!Q$2:Q9627,D1529-1)))</f>
        <v>0</v>
      </c>
      <c r="F1529" s="23">
        <f t="array" ref="F1529">IF($A1529="","",
  LET(
    r, $D1529,
    startD, INDEX(Calculation!B$2:B9627, r),
    endD,   INDEX(Calculation!C$2:C9627, r),
    asOf,   MIN($A1529,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2253276.712</v>
      </c>
    </row>
    <row r="1530">
      <c r="A1530" s="19">
        <v>43765.0</v>
      </c>
      <c r="B1530" s="23">
        <v>1.0765E7</v>
      </c>
      <c r="C1530" s="23">
        <f t="shared" si="1"/>
        <v>2254751.37</v>
      </c>
      <c r="D1530" s="18">
        <f>IF(A1530="","",MATCH(A1530,Calculation!B$2:B9627,1))</f>
        <v>1</v>
      </c>
      <c r="E1530" s="23">
        <f t="array" ref="E1530">IF(D1530="","",IF(D1530=1,0,INDEX(Calculation!Q$2:Q9627,D1530-1)))</f>
        <v>0</v>
      </c>
      <c r="F1530" s="23">
        <f t="array" ref="F1530">IF($A1530="","",
  LET(
    r, $D1530,
    startD, INDEX(Calculation!B$2:B9627, r),
    endD,   INDEX(Calculation!C$2:C9627, r),
    asOf,   MIN($A1530,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2254751.37</v>
      </c>
    </row>
    <row r="1531">
      <c r="A1531" s="19">
        <v>43766.0</v>
      </c>
      <c r="B1531" s="23">
        <v>1.0765E7</v>
      </c>
      <c r="C1531" s="23">
        <f t="shared" si="1"/>
        <v>2256226.027</v>
      </c>
      <c r="D1531" s="18">
        <f>IF(A1531="","",MATCH(A1531,Calculation!B$2:B9627,1))</f>
        <v>1</v>
      </c>
      <c r="E1531" s="23">
        <f t="array" ref="E1531">IF(D1531="","",IF(D1531=1,0,INDEX(Calculation!Q$2:Q9627,D1531-1)))</f>
        <v>0</v>
      </c>
      <c r="F1531" s="23">
        <f t="array" ref="F1531">IF($A1531="","",
  LET(
    r, $D1531,
    startD, INDEX(Calculation!B$2:B9627, r),
    endD,   INDEX(Calculation!C$2:C9627, r),
    asOf,   MIN($A1531,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2256226.027</v>
      </c>
    </row>
    <row r="1532">
      <c r="A1532" s="19">
        <v>43767.0</v>
      </c>
      <c r="B1532" s="23">
        <v>1.0765E7</v>
      </c>
      <c r="C1532" s="23">
        <f t="shared" si="1"/>
        <v>2257700.685</v>
      </c>
      <c r="D1532" s="18">
        <f>IF(A1532="","",MATCH(A1532,Calculation!B$2:B9627,1))</f>
        <v>1</v>
      </c>
      <c r="E1532" s="23">
        <f t="array" ref="E1532">IF(D1532="","",IF(D1532=1,0,INDEX(Calculation!Q$2:Q9627,D1532-1)))</f>
        <v>0</v>
      </c>
      <c r="F1532" s="23">
        <f t="array" ref="F1532">IF($A1532="","",
  LET(
    r, $D1532,
    startD, INDEX(Calculation!B$2:B9627, r),
    endD,   INDEX(Calculation!C$2:C9627, r),
    asOf,   MIN($A1532,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2257700.685</v>
      </c>
    </row>
    <row r="1533">
      <c r="A1533" s="19">
        <v>43768.0</v>
      </c>
      <c r="B1533" s="23">
        <v>1.0765E7</v>
      </c>
      <c r="C1533" s="23">
        <f t="shared" si="1"/>
        <v>2259175.342</v>
      </c>
      <c r="D1533" s="18">
        <f>IF(A1533="","",MATCH(A1533,Calculation!B$2:B9627,1))</f>
        <v>1</v>
      </c>
      <c r="E1533" s="23">
        <f t="array" ref="E1533">IF(D1533="","",IF(D1533=1,0,INDEX(Calculation!Q$2:Q9627,D1533-1)))</f>
        <v>0</v>
      </c>
      <c r="F1533" s="23">
        <f t="array" ref="F1533">IF($A1533="","",
  LET(
    r, $D1533,
    startD, INDEX(Calculation!B$2:B9627, r),
    endD,   INDEX(Calculation!C$2:C9627, r),
    asOf,   MIN($A1533,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2259175.342</v>
      </c>
    </row>
    <row r="1534">
      <c r="A1534" s="19">
        <v>43769.0</v>
      </c>
      <c r="B1534" s="23">
        <v>1.0765E7</v>
      </c>
      <c r="C1534" s="23">
        <f t="shared" si="1"/>
        <v>2260650</v>
      </c>
      <c r="D1534" s="18">
        <f>IF(A1534="","",MATCH(A1534,Calculation!B$2:B9627,1))</f>
        <v>1</v>
      </c>
      <c r="E1534" s="23">
        <f t="array" ref="E1534">IF(D1534="","",IF(D1534=1,0,INDEX(Calculation!Q$2:Q9627,D1534-1)))</f>
        <v>0</v>
      </c>
      <c r="F1534" s="23">
        <f t="array" ref="F1534">IF($A1534="","",
  LET(
    r, $D1534,
    startD, INDEX(Calculation!B$2:B9627, r),
    endD,   INDEX(Calculation!C$2:C9627, r),
    asOf,   MIN($A1534,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2260650</v>
      </c>
    </row>
    <row r="1535">
      <c r="A1535" s="19">
        <v>43770.0</v>
      </c>
      <c r="B1535" s="23">
        <v>1.0765E7</v>
      </c>
      <c r="C1535" s="23">
        <f t="shared" si="1"/>
        <v>2262124.658</v>
      </c>
      <c r="D1535" s="18">
        <f>IF(A1535="","",MATCH(A1535,Calculation!B$2:B9627,1))</f>
        <v>1</v>
      </c>
      <c r="E1535" s="23">
        <f t="array" ref="E1535">IF(D1535="","",IF(D1535=1,0,INDEX(Calculation!Q$2:Q9627,D1535-1)))</f>
        <v>0</v>
      </c>
      <c r="F1535" s="23">
        <f t="array" ref="F1535">IF($A1535="","",
  LET(
    r, $D1535,
    startD, INDEX(Calculation!B$2:B9627, r),
    endD,   INDEX(Calculation!C$2:C9627, r),
    asOf,   MIN($A1535,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2262124.658</v>
      </c>
    </row>
    <row r="1536">
      <c r="A1536" s="19">
        <v>43771.0</v>
      </c>
      <c r="B1536" s="23">
        <v>1.0765E7</v>
      </c>
      <c r="C1536" s="23">
        <f t="shared" si="1"/>
        <v>2263599.315</v>
      </c>
      <c r="D1536" s="18">
        <f>IF(A1536="","",MATCH(A1536,Calculation!B$2:B9627,1))</f>
        <v>1</v>
      </c>
      <c r="E1536" s="23">
        <f t="array" ref="E1536">IF(D1536="","",IF(D1536=1,0,INDEX(Calculation!Q$2:Q9627,D1536-1)))</f>
        <v>0</v>
      </c>
      <c r="F1536" s="23">
        <f t="array" ref="F1536">IF($A1536="","",
  LET(
    r, $D1536,
    startD, INDEX(Calculation!B$2:B9627, r),
    endD,   INDEX(Calculation!C$2:C9627, r),
    asOf,   MIN($A1536,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2263599.315</v>
      </c>
    </row>
    <row r="1537">
      <c r="A1537" s="19">
        <v>43772.0</v>
      </c>
      <c r="B1537" s="23">
        <v>1.0765E7</v>
      </c>
      <c r="C1537" s="23">
        <f t="shared" si="1"/>
        <v>2265073.973</v>
      </c>
      <c r="D1537" s="18">
        <f>IF(A1537="","",MATCH(A1537,Calculation!B$2:B9627,1))</f>
        <v>1</v>
      </c>
      <c r="E1537" s="23">
        <f t="array" ref="E1537">IF(D1537="","",IF(D1537=1,0,INDEX(Calculation!Q$2:Q9627,D1537-1)))</f>
        <v>0</v>
      </c>
      <c r="F1537" s="23">
        <f t="array" ref="F1537">IF($A1537="","",
  LET(
    r, $D1537,
    startD, INDEX(Calculation!B$2:B9627, r),
    endD,   INDEX(Calculation!C$2:C9627, r),
    asOf,   MIN($A1537,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2265073.973</v>
      </c>
    </row>
    <row r="1538">
      <c r="A1538" s="19">
        <v>43773.0</v>
      </c>
      <c r="B1538" s="23">
        <v>1.0765E7</v>
      </c>
      <c r="C1538" s="23">
        <f t="shared" si="1"/>
        <v>2266548.63</v>
      </c>
      <c r="D1538" s="18">
        <f>IF(A1538="","",MATCH(A1538,Calculation!B$2:B9627,1))</f>
        <v>1</v>
      </c>
      <c r="E1538" s="23">
        <f t="array" ref="E1538">IF(D1538="","",IF(D1538=1,0,INDEX(Calculation!Q$2:Q9627,D1538-1)))</f>
        <v>0</v>
      </c>
      <c r="F1538" s="23">
        <f t="array" ref="F1538">IF($A1538="","",
  LET(
    r, $D1538,
    startD, INDEX(Calculation!B$2:B9627, r),
    endD,   INDEX(Calculation!C$2:C9627, r),
    asOf,   MIN($A1538,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2266548.63</v>
      </c>
    </row>
    <row r="1539">
      <c r="A1539" s="19">
        <v>43774.0</v>
      </c>
      <c r="B1539" s="23">
        <v>1.0765E7</v>
      </c>
      <c r="C1539" s="23">
        <f t="shared" si="1"/>
        <v>2268023.288</v>
      </c>
      <c r="D1539" s="18">
        <f>IF(A1539="","",MATCH(A1539,Calculation!B$2:B9627,1))</f>
        <v>1</v>
      </c>
      <c r="E1539" s="23">
        <f t="array" ref="E1539">IF(D1539="","",IF(D1539=1,0,INDEX(Calculation!Q$2:Q9627,D1539-1)))</f>
        <v>0</v>
      </c>
      <c r="F1539" s="23">
        <f t="array" ref="F1539">IF($A1539="","",
  LET(
    r, $D1539,
    startD, INDEX(Calculation!B$2:B9627, r),
    endD,   INDEX(Calculation!C$2:C9627, r),
    asOf,   MIN($A1539,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2268023.288</v>
      </c>
    </row>
    <row r="1540">
      <c r="A1540" s="19">
        <v>43775.0</v>
      </c>
      <c r="B1540" s="23">
        <v>1.0765E7</v>
      </c>
      <c r="C1540" s="23">
        <f t="shared" si="1"/>
        <v>2269497.945</v>
      </c>
      <c r="D1540" s="18">
        <f>IF(A1540="","",MATCH(A1540,Calculation!B$2:B9627,1))</f>
        <v>1</v>
      </c>
      <c r="E1540" s="23">
        <f t="array" ref="E1540">IF(D1540="","",IF(D1540=1,0,INDEX(Calculation!Q$2:Q9627,D1540-1)))</f>
        <v>0</v>
      </c>
      <c r="F1540" s="23">
        <f t="array" ref="F1540">IF($A1540="","",
  LET(
    r, $D1540,
    startD, INDEX(Calculation!B$2:B9627, r),
    endD,   INDEX(Calculation!C$2:C9627, r),
    asOf,   MIN($A1540,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2269497.945</v>
      </c>
    </row>
    <row r="1541">
      <c r="A1541" s="19">
        <v>43776.0</v>
      </c>
      <c r="B1541" s="23">
        <v>1.0765E7</v>
      </c>
      <c r="C1541" s="23">
        <f t="shared" si="1"/>
        <v>2270972.603</v>
      </c>
      <c r="D1541" s="18">
        <f>IF(A1541="","",MATCH(A1541,Calculation!B$2:B9627,1))</f>
        <v>1</v>
      </c>
      <c r="E1541" s="23">
        <f t="array" ref="E1541">IF(D1541="","",IF(D1541=1,0,INDEX(Calculation!Q$2:Q9627,D1541-1)))</f>
        <v>0</v>
      </c>
      <c r="F1541" s="23">
        <f t="array" ref="F1541">IF($A1541="","",
  LET(
    r, $D1541,
    startD, INDEX(Calculation!B$2:B9627, r),
    endD,   INDEX(Calculation!C$2:C9627, r),
    asOf,   MIN($A1541,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2270972.603</v>
      </c>
    </row>
    <row r="1542">
      <c r="A1542" s="19">
        <v>43777.0</v>
      </c>
      <c r="B1542" s="23">
        <v>1.0765E7</v>
      </c>
      <c r="C1542" s="23">
        <f t="shared" si="1"/>
        <v>2272447.26</v>
      </c>
      <c r="D1542" s="18">
        <f>IF(A1542="","",MATCH(A1542,Calculation!B$2:B9627,1))</f>
        <v>1</v>
      </c>
      <c r="E1542" s="23">
        <f t="array" ref="E1542">IF(D1542="","",IF(D1542=1,0,INDEX(Calculation!Q$2:Q9627,D1542-1)))</f>
        <v>0</v>
      </c>
      <c r="F1542" s="23">
        <f t="array" ref="F1542">IF($A1542="","",
  LET(
    r, $D1542,
    startD, INDEX(Calculation!B$2:B9627, r),
    endD,   INDEX(Calculation!C$2:C9627, r),
    asOf,   MIN($A1542,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2272447.26</v>
      </c>
    </row>
    <row r="1543">
      <c r="A1543" s="19">
        <v>43778.0</v>
      </c>
      <c r="B1543" s="23">
        <v>1.0765E7</v>
      </c>
      <c r="C1543" s="23">
        <f t="shared" si="1"/>
        <v>2273921.918</v>
      </c>
      <c r="D1543" s="18">
        <f>IF(A1543="","",MATCH(A1543,Calculation!B$2:B9627,1))</f>
        <v>1</v>
      </c>
      <c r="E1543" s="23">
        <f t="array" ref="E1543">IF(D1543="","",IF(D1543=1,0,INDEX(Calculation!Q$2:Q9627,D1543-1)))</f>
        <v>0</v>
      </c>
      <c r="F1543" s="23">
        <f t="array" ref="F1543">IF($A1543="","",
  LET(
    r, $D1543,
    startD, INDEX(Calculation!B$2:B9627, r),
    endD,   INDEX(Calculation!C$2:C9627, r),
    asOf,   MIN($A1543,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2273921.918</v>
      </c>
    </row>
    <row r="1544">
      <c r="A1544" s="19">
        <v>43779.0</v>
      </c>
      <c r="B1544" s="23">
        <v>1.0765E7</v>
      </c>
      <c r="C1544" s="23">
        <f t="shared" si="1"/>
        <v>2275396.575</v>
      </c>
      <c r="D1544" s="18">
        <f>IF(A1544="","",MATCH(A1544,Calculation!B$2:B9627,1))</f>
        <v>1</v>
      </c>
      <c r="E1544" s="23">
        <f t="array" ref="E1544">IF(D1544="","",IF(D1544=1,0,INDEX(Calculation!Q$2:Q9627,D1544-1)))</f>
        <v>0</v>
      </c>
      <c r="F1544" s="23">
        <f t="array" ref="F1544">IF($A1544="","",
  LET(
    r, $D1544,
    startD, INDEX(Calculation!B$2:B9627, r),
    endD,   INDEX(Calculation!C$2:C9627, r),
    asOf,   MIN($A1544,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2275396.575</v>
      </c>
    </row>
    <row r="1545">
      <c r="A1545" s="19">
        <v>43780.0</v>
      </c>
      <c r="B1545" s="23">
        <v>1.0765E7</v>
      </c>
      <c r="C1545" s="23">
        <f t="shared" si="1"/>
        <v>2276871.233</v>
      </c>
      <c r="D1545" s="18">
        <f>IF(A1545="","",MATCH(A1545,Calculation!B$2:B9627,1))</f>
        <v>1</v>
      </c>
      <c r="E1545" s="23">
        <f t="array" ref="E1545">IF(D1545="","",IF(D1545=1,0,INDEX(Calculation!Q$2:Q9627,D1545-1)))</f>
        <v>0</v>
      </c>
      <c r="F1545" s="23">
        <f t="array" ref="F1545">IF($A1545="","",
  LET(
    r, $D1545,
    startD, INDEX(Calculation!B$2:B9627, r),
    endD,   INDEX(Calculation!C$2:C9627, r),
    asOf,   MIN($A1545,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2276871.233</v>
      </c>
    </row>
    <row r="1546">
      <c r="A1546" s="19">
        <v>43781.0</v>
      </c>
      <c r="B1546" s="23">
        <v>1.0765E7</v>
      </c>
      <c r="C1546" s="23">
        <f t="shared" si="1"/>
        <v>2278345.89</v>
      </c>
      <c r="D1546" s="18">
        <f>IF(A1546="","",MATCH(A1546,Calculation!B$2:B9627,1))</f>
        <v>1</v>
      </c>
      <c r="E1546" s="23">
        <f t="array" ref="E1546">IF(D1546="","",IF(D1546=1,0,INDEX(Calculation!Q$2:Q9627,D1546-1)))</f>
        <v>0</v>
      </c>
      <c r="F1546" s="23">
        <f t="array" ref="F1546">IF($A1546="","",
  LET(
    r, $D1546,
    startD, INDEX(Calculation!B$2:B9627, r),
    endD,   INDEX(Calculation!C$2:C9627, r),
    asOf,   MIN($A1546,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2278345.89</v>
      </c>
    </row>
    <row r="1547">
      <c r="A1547" s="19">
        <v>43782.0</v>
      </c>
      <c r="B1547" s="23">
        <v>1.0765E7</v>
      </c>
      <c r="C1547" s="23">
        <f t="shared" si="1"/>
        <v>2279820.548</v>
      </c>
      <c r="D1547" s="18">
        <f>IF(A1547="","",MATCH(A1547,Calculation!B$2:B9627,1))</f>
        <v>1</v>
      </c>
      <c r="E1547" s="23">
        <f t="array" ref="E1547">IF(D1547="","",IF(D1547=1,0,INDEX(Calculation!Q$2:Q9627,D1547-1)))</f>
        <v>0</v>
      </c>
      <c r="F1547" s="23">
        <f t="array" ref="F1547">IF($A1547="","",
  LET(
    r, $D1547,
    startD, INDEX(Calculation!B$2:B9627, r),
    endD,   INDEX(Calculation!C$2:C9627, r),
    asOf,   MIN($A1547,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2279820.548</v>
      </c>
    </row>
    <row r="1548">
      <c r="A1548" s="19">
        <v>43783.0</v>
      </c>
      <c r="B1548" s="23">
        <v>1.0765E7</v>
      </c>
      <c r="C1548" s="23">
        <f t="shared" si="1"/>
        <v>2281295.205</v>
      </c>
      <c r="D1548" s="18">
        <f>IF(A1548="","",MATCH(A1548,Calculation!B$2:B9627,1))</f>
        <v>1</v>
      </c>
      <c r="E1548" s="23">
        <f t="array" ref="E1548">IF(D1548="","",IF(D1548=1,0,INDEX(Calculation!Q$2:Q9627,D1548-1)))</f>
        <v>0</v>
      </c>
      <c r="F1548" s="23">
        <f t="array" ref="F1548">IF($A1548="","",
  LET(
    r, $D1548,
    startD, INDEX(Calculation!B$2:B9627, r),
    endD,   INDEX(Calculation!C$2:C9627, r),
    asOf,   MIN($A1548,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2281295.205</v>
      </c>
    </row>
    <row r="1549">
      <c r="A1549" s="19">
        <v>43784.0</v>
      </c>
      <c r="B1549" s="23">
        <v>1.0765E7</v>
      </c>
      <c r="C1549" s="23">
        <f t="shared" si="1"/>
        <v>2282769.863</v>
      </c>
      <c r="D1549" s="18">
        <f>IF(A1549="","",MATCH(A1549,Calculation!B$2:B9627,1))</f>
        <v>1</v>
      </c>
      <c r="E1549" s="23">
        <f t="array" ref="E1549">IF(D1549="","",IF(D1549=1,0,INDEX(Calculation!Q$2:Q9627,D1549-1)))</f>
        <v>0</v>
      </c>
      <c r="F1549" s="23">
        <f t="array" ref="F1549">IF($A1549="","",
  LET(
    r, $D1549,
    startD, INDEX(Calculation!B$2:B9627, r),
    endD,   INDEX(Calculation!C$2:C9627, r),
    asOf,   MIN($A1549,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2282769.863</v>
      </c>
    </row>
    <row r="1550">
      <c r="A1550" s="19">
        <v>43785.0</v>
      </c>
      <c r="B1550" s="23">
        <v>1.0765E7</v>
      </c>
      <c r="C1550" s="23">
        <f t="shared" si="1"/>
        <v>2284244.521</v>
      </c>
      <c r="D1550" s="18">
        <f>IF(A1550="","",MATCH(A1550,Calculation!B$2:B9627,1))</f>
        <v>1</v>
      </c>
      <c r="E1550" s="23">
        <f t="array" ref="E1550">IF(D1550="","",IF(D1550=1,0,INDEX(Calculation!Q$2:Q9627,D1550-1)))</f>
        <v>0</v>
      </c>
      <c r="F1550" s="23">
        <f t="array" ref="F1550">IF($A1550="","",
  LET(
    r, $D1550,
    startD, INDEX(Calculation!B$2:B9627, r),
    endD,   INDEX(Calculation!C$2:C9627, r),
    asOf,   MIN($A1550,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2284244.521</v>
      </c>
    </row>
    <row r="1551">
      <c r="A1551" s="19">
        <v>43786.0</v>
      </c>
      <c r="B1551" s="23">
        <v>1.0765E7</v>
      </c>
      <c r="C1551" s="23">
        <f t="shared" si="1"/>
        <v>2285719.178</v>
      </c>
      <c r="D1551" s="18">
        <f>IF(A1551="","",MATCH(A1551,Calculation!B$2:B9627,1))</f>
        <v>1</v>
      </c>
      <c r="E1551" s="23">
        <f t="array" ref="E1551">IF(D1551="","",IF(D1551=1,0,INDEX(Calculation!Q$2:Q9627,D1551-1)))</f>
        <v>0</v>
      </c>
      <c r="F1551" s="23">
        <f t="array" ref="F1551">IF($A1551="","",
  LET(
    r, $D1551,
    startD, INDEX(Calculation!B$2:B9627, r),
    endD,   INDEX(Calculation!C$2:C9627, r),
    asOf,   MIN($A1551,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2285719.178</v>
      </c>
    </row>
    <row r="1552">
      <c r="A1552" s="19">
        <v>43787.0</v>
      </c>
      <c r="B1552" s="23">
        <v>1.0765E7</v>
      </c>
      <c r="C1552" s="23">
        <f t="shared" si="1"/>
        <v>2287193.836</v>
      </c>
      <c r="D1552" s="18">
        <f>IF(A1552="","",MATCH(A1552,Calculation!B$2:B9627,1))</f>
        <v>1</v>
      </c>
      <c r="E1552" s="23">
        <f t="array" ref="E1552">IF(D1552="","",IF(D1552=1,0,INDEX(Calculation!Q$2:Q9627,D1552-1)))</f>
        <v>0</v>
      </c>
      <c r="F1552" s="23">
        <f t="array" ref="F1552">IF($A1552="","",
  LET(
    r, $D1552,
    startD, INDEX(Calculation!B$2:B9627, r),
    endD,   INDEX(Calculation!C$2:C9627, r),
    asOf,   MIN($A1552,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2287193.836</v>
      </c>
    </row>
    <row r="1553">
      <c r="A1553" s="19">
        <v>43788.0</v>
      </c>
      <c r="B1553" s="23">
        <v>1.0765E7</v>
      </c>
      <c r="C1553" s="23">
        <f t="shared" si="1"/>
        <v>2288668.493</v>
      </c>
      <c r="D1553" s="18">
        <f>IF(A1553="","",MATCH(A1553,Calculation!B$2:B9627,1))</f>
        <v>1</v>
      </c>
      <c r="E1553" s="23">
        <f t="array" ref="E1553">IF(D1553="","",IF(D1553=1,0,INDEX(Calculation!Q$2:Q9627,D1553-1)))</f>
        <v>0</v>
      </c>
      <c r="F1553" s="23">
        <f t="array" ref="F1553">IF($A1553="","",
  LET(
    r, $D1553,
    startD, INDEX(Calculation!B$2:B9627, r),
    endD,   INDEX(Calculation!C$2:C9627, r),
    asOf,   MIN($A1553,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2288668.493</v>
      </c>
    </row>
    <row r="1554">
      <c r="A1554" s="19">
        <v>43789.0</v>
      </c>
      <c r="B1554" s="23">
        <v>1.0765E7</v>
      </c>
      <c r="C1554" s="23">
        <f t="shared" si="1"/>
        <v>2290143.151</v>
      </c>
      <c r="D1554" s="18">
        <f>IF(A1554="","",MATCH(A1554,Calculation!B$2:B9627,1))</f>
        <v>1</v>
      </c>
      <c r="E1554" s="23">
        <f t="array" ref="E1554">IF(D1554="","",IF(D1554=1,0,INDEX(Calculation!Q$2:Q9627,D1554-1)))</f>
        <v>0</v>
      </c>
      <c r="F1554" s="23">
        <f t="array" ref="F1554">IF($A1554="","",
  LET(
    r, $D1554,
    startD, INDEX(Calculation!B$2:B9627, r),
    endD,   INDEX(Calculation!C$2:C9627, r),
    asOf,   MIN($A1554,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2290143.151</v>
      </c>
    </row>
    <row r="1555">
      <c r="A1555" s="19">
        <v>43790.0</v>
      </c>
      <c r="B1555" s="23">
        <v>1.0765E7</v>
      </c>
      <c r="C1555" s="23">
        <f t="shared" si="1"/>
        <v>2291617.808</v>
      </c>
      <c r="D1555" s="18">
        <f>IF(A1555="","",MATCH(A1555,Calculation!B$2:B9627,1))</f>
        <v>1</v>
      </c>
      <c r="E1555" s="23">
        <f t="array" ref="E1555">IF(D1555="","",IF(D1555=1,0,INDEX(Calculation!Q$2:Q9627,D1555-1)))</f>
        <v>0</v>
      </c>
      <c r="F1555" s="23">
        <f t="array" ref="F1555">IF($A1555="","",
  LET(
    r, $D1555,
    startD, INDEX(Calculation!B$2:B9627, r),
    endD,   INDEX(Calculation!C$2:C9627, r),
    asOf,   MIN($A1555,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2291617.808</v>
      </c>
    </row>
    <row r="1556">
      <c r="A1556" s="19">
        <v>43791.0</v>
      </c>
      <c r="B1556" s="23">
        <v>1.0765E7</v>
      </c>
      <c r="C1556" s="23">
        <f t="shared" si="1"/>
        <v>2293092.466</v>
      </c>
      <c r="D1556" s="18">
        <f>IF(A1556="","",MATCH(A1556,Calculation!B$2:B9627,1))</f>
        <v>1</v>
      </c>
      <c r="E1556" s="23">
        <f t="array" ref="E1556">IF(D1556="","",IF(D1556=1,0,INDEX(Calculation!Q$2:Q9627,D1556-1)))</f>
        <v>0</v>
      </c>
      <c r="F1556" s="23">
        <f t="array" ref="F1556">IF($A1556="","",
  LET(
    r, $D1556,
    startD, INDEX(Calculation!B$2:B9627, r),
    endD,   INDEX(Calculation!C$2:C9627, r),
    asOf,   MIN($A1556,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2293092.466</v>
      </c>
    </row>
    <row r="1557">
      <c r="A1557" s="19">
        <v>43792.0</v>
      </c>
      <c r="B1557" s="23">
        <v>1.0765E7</v>
      </c>
      <c r="C1557" s="23">
        <f t="shared" si="1"/>
        <v>2294567.123</v>
      </c>
      <c r="D1557" s="18">
        <f>IF(A1557="","",MATCH(A1557,Calculation!B$2:B9627,1))</f>
        <v>1</v>
      </c>
      <c r="E1557" s="23">
        <f t="array" ref="E1557">IF(D1557="","",IF(D1557=1,0,INDEX(Calculation!Q$2:Q9627,D1557-1)))</f>
        <v>0</v>
      </c>
      <c r="F1557" s="23">
        <f t="array" ref="F1557">IF($A1557="","",
  LET(
    r, $D1557,
    startD, INDEX(Calculation!B$2:B9627, r),
    endD,   INDEX(Calculation!C$2:C9627, r),
    asOf,   MIN($A1557,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2294567.123</v>
      </c>
    </row>
    <row r="1558">
      <c r="A1558" s="19">
        <v>43793.0</v>
      </c>
      <c r="B1558" s="23">
        <v>1.0765E7</v>
      </c>
      <c r="C1558" s="23">
        <f t="shared" si="1"/>
        <v>2296041.781</v>
      </c>
      <c r="D1558" s="18">
        <f>IF(A1558="","",MATCH(A1558,Calculation!B$2:B9627,1))</f>
        <v>1</v>
      </c>
      <c r="E1558" s="23">
        <f t="array" ref="E1558">IF(D1558="","",IF(D1558=1,0,INDEX(Calculation!Q$2:Q9627,D1558-1)))</f>
        <v>0</v>
      </c>
      <c r="F1558" s="23">
        <f t="array" ref="F1558">IF($A1558="","",
  LET(
    r, $D1558,
    startD, INDEX(Calculation!B$2:B9627, r),
    endD,   INDEX(Calculation!C$2:C9627, r),
    asOf,   MIN($A1558,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2296041.781</v>
      </c>
    </row>
    <row r="1559">
      <c r="A1559" s="19">
        <v>43794.0</v>
      </c>
      <c r="B1559" s="23">
        <v>1.0765E7</v>
      </c>
      <c r="C1559" s="23">
        <f t="shared" si="1"/>
        <v>2297516.438</v>
      </c>
      <c r="D1559" s="18">
        <f>IF(A1559="","",MATCH(A1559,Calculation!B$2:B9627,1))</f>
        <v>1</v>
      </c>
      <c r="E1559" s="23">
        <f t="array" ref="E1559">IF(D1559="","",IF(D1559=1,0,INDEX(Calculation!Q$2:Q9627,D1559-1)))</f>
        <v>0</v>
      </c>
      <c r="F1559" s="23">
        <f t="array" ref="F1559">IF($A1559="","",
  LET(
    r, $D1559,
    startD, INDEX(Calculation!B$2:B9627, r),
    endD,   INDEX(Calculation!C$2:C9627, r),
    asOf,   MIN($A1559,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2297516.438</v>
      </c>
    </row>
    <row r="1560">
      <c r="A1560" s="19">
        <v>43795.0</v>
      </c>
      <c r="B1560" s="23">
        <v>1.0765E7</v>
      </c>
      <c r="C1560" s="23">
        <f t="shared" si="1"/>
        <v>2298991.096</v>
      </c>
      <c r="D1560" s="18">
        <f>IF(A1560="","",MATCH(A1560,Calculation!B$2:B9627,1))</f>
        <v>1</v>
      </c>
      <c r="E1560" s="23">
        <f t="array" ref="E1560">IF(D1560="","",IF(D1560=1,0,INDEX(Calculation!Q$2:Q9627,D1560-1)))</f>
        <v>0</v>
      </c>
      <c r="F1560" s="23">
        <f t="array" ref="F1560">IF($A1560="","",
  LET(
    r, $D1560,
    startD, INDEX(Calculation!B$2:B9627, r),
    endD,   INDEX(Calculation!C$2:C9627, r),
    asOf,   MIN($A1560,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2298991.096</v>
      </c>
    </row>
    <row r="1561">
      <c r="A1561" s="19">
        <v>43796.0</v>
      </c>
      <c r="B1561" s="23">
        <v>1.0765E7</v>
      </c>
      <c r="C1561" s="23">
        <f t="shared" si="1"/>
        <v>2300465.753</v>
      </c>
      <c r="D1561" s="18">
        <f>IF(A1561="","",MATCH(A1561,Calculation!B$2:B9627,1))</f>
        <v>1</v>
      </c>
      <c r="E1561" s="23">
        <f t="array" ref="E1561">IF(D1561="","",IF(D1561=1,0,INDEX(Calculation!Q$2:Q9627,D1561-1)))</f>
        <v>0</v>
      </c>
      <c r="F1561" s="23">
        <f t="array" ref="F1561">IF($A1561="","",
  LET(
    r, $D1561,
    startD, INDEX(Calculation!B$2:B9627, r),
    endD,   INDEX(Calculation!C$2:C9627, r),
    asOf,   MIN($A1561,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2300465.753</v>
      </c>
    </row>
    <row r="1562">
      <c r="A1562" s="19">
        <v>43797.0</v>
      </c>
      <c r="B1562" s="23">
        <v>1.0765E7</v>
      </c>
      <c r="C1562" s="23">
        <f t="shared" si="1"/>
        <v>2301940.411</v>
      </c>
      <c r="D1562" s="18">
        <f>IF(A1562="","",MATCH(A1562,Calculation!B$2:B9627,1))</f>
        <v>1</v>
      </c>
      <c r="E1562" s="23">
        <f t="array" ref="E1562">IF(D1562="","",IF(D1562=1,0,INDEX(Calculation!Q$2:Q9627,D1562-1)))</f>
        <v>0</v>
      </c>
      <c r="F1562" s="23">
        <f t="array" ref="F1562">IF($A1562="","",
  LET(
    r, $D1562,
    startD, INDEX(Calculation!B$2:B9627, r),
    endD,   INDEX(Calculation!C$2:C9627, r),
    asOf,   MIN($A1562,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2301940.411</v>
      </c>
    </row>
    <row r="1563">
      <c r="A1563" s="19">
        <v>43798.0</v>
      </c>
      <c r="B1563" s="23">
        <v>1.0765E7</v>
      </c>
      <c r="C1563" s="23">
        <f t="shared" si="1"/>
        <v>2303415.068</v>
      </c>
      <c r="D1563" s="18">
        <f>IF(A1563="","",MATCH(A1563,Calculation!B$2:B9627,1))</f>
        <v>1</v>
      </c>
      <c r="E1563" s="23">
        <f t="array" ref="E1563">IF(D1563="","",IF(D1563=1,0,INDEX(Calculation!Q$2:Q9627,D1563-1)))</f>
        <v>0</v>
      </c>
      <c r="F1563" s="23">
        <f t="array" ref="F1563">IF($A1563="","",
  LET(
    r, $D1563,
    startD, INDEX(Calculation!B$2:B9627, r),
    endD,   INDEX(Calculation!C$2:C9627, r),
    asOf,   MIN($A1563,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2303415.068</v>
      </c>
    </row>
    <row r="1564">
      <c r="A1564" s="19">
        <v>43799.0</v>
      </c>
      <c r="B1564" s="23">
        <v>1.0765E7</v>
      </c>
      <c r="C1564" s="23">
        <f t="shared" si="1"/>
        <v>2304889.726</v>
      </c>
      <c r="D1564" s="18">
        <f>IF(A1564="","",MATCH(A1564,Calculation!B$2:B9627,1))</f>
        <v>1</v>
      </c>
      <c r="E1564" s="23">
        <f t="array" ref="E1564">IF(D1564="","",IF(D1564=1,0,INDEX(Calculation!Q$2:Q9627,D1564-1)))</f>
        <v>0</v>
      </c>
      <c r="F1564" s="23">
        <f t="array" ref="F1564">IF($A1564="","",
  LET(
    r, $D1564,
    startD, INDEX(Calculation!B$2:B9627, r),
    endD,   INDEX(Calculation!C$2:C9627, r),
    asOf,   MIN($A1564,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2304889.726</v>
      </c>
    </row>
    <row r="1565">
      <c r="A1565" s="19">
        <v>43800.0</v>
      </c>
      <c r="B1565" s="23">
        <v>1.0765E7</v>
      </c>
      <c r="C1565" s="23">
        <f t="shared" si="1"/>
        <v>2306364.384</v>
      </c>
      <c r="D1565" s="18">
        <f>IF(A1565="","",MATCH(A1565,Calculation!B$2:B9627,1))</f>
        <v>1</v>
      </c>
      <c r="E1565" s="23">
        <f t="array" ref="E1565">IF(D1565="","",IF(D1565=1,0,INDEX(Calculation!Q$2:Q9627,D1565-1)))</f>
        <v>0</v>
      </c>
      <c r="F1565" s="23">
        <f t="array" ref="F1565">IF($A1565="","",
  LET(
    r, $D1565,
    startD, INDEX(Calculation!B$2:B9627, r),
    endD,   INDEX(Calculation!C$2:C9627, r),
    asOf,   MIN($A1565,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2306364.384</v>
      </c>
    </row>
    <row r="1566">
      <c r="A1566" s="19">
        <v>43801.0</v>
      </c>
      <c r="B1566" s="23">
        <v>1.0765E7</v>
      </c>
      <c r="C1566" s="23">
        <f t="shared" si="1"/>
        <v>2307839.041</v>
      </c>
      <c r="D1566" s="18">
        <f>IF(A1566="","",MATCH(A1566,Calculation!B$2:B9627,1))</f>
        <v>1</v>
      </c>
      <c r="E1566" s="23">
        <f t="array" ref="E1566">IF(D1566="","",IF(D1566=1,0,INDEX(Calculation!Q$2:Q9627,D1566-1)))</f>
        <v>0</v>
      </c>
      <c r="F1566" s="23">
        <f t="array" ref="F1566">IF($A1566="","",
  LET(
    r, $D1566,
    startD, INDEX(Calculation!B$2:B9627, r),
    endD,   INDEX(Calculation!C$2:C9627, r),
    asOf,   MIN($A1566,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2307839.041</v>
      </c>
    </row>
    <row r="1567">
      <c r="A1567" s="19">
        <v>43802.0</v>
      </c>
      <c r="B1567" s="23">
        <v>1.0765E7</v>
      </c>
      <c r="C1567" s="23">
        <f t="shared" si="1"/>
        <v>2309313.699</v>
      </c>
      <c r="D1567" s="18">
        <f>IF(A1567="","",MATCH(A1567,Calculation!B$2:B9627,1))</f>
        <v>1</v>
      </c>
      <c r="E1567" s="23">
        <f t="array" ref="E1567">IF(D1567="","",IF(D1567=1,0,INDEX(Calculation!Q$2:Q9627,D1567-1)))</f>
        <v>0</v>
      </c>
      <c r="F1567" s="23">
        <f t="array" ref="F1567">IF($A1567="","",
  LET(
    r, $D1567,
    startD, INDEX(Calculation!B$2:B9627, r),
    endD,   INDEX(Calculation!C$2:C9627, r),
    asOf,   MIN($A1567,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2309313.699</v>
      </c>
    </row>
    <row r="1568">
      <c r="A1568" s="19">
        <v>43803.0</v>
      </c>
      <c r="B1568" s="23">
        <v>1.0765E7</v>
      </c>
      <c r="C1568" s="23">
        <f t="shared" si="1"/>
        <v>2310788.356</v>
      </c>
      <c r="D1568" s="18">
        <f>IF(A1568="","",MATCH(A1568,Calculation!B$2:B9627,1))</f>
        <v>1</v>
      </c>
      <c r="E1568" s="23">
        <f t="array" ref="E1568">IF(D1568="","",IF(D1568=1,0,INDEX(Calculation!Q$2:Q9627,D1568-1)))</f>
        <v>0</v>
      </c>
      <c r="F1568" s="23">
        <f t="array" ref="F1568">IF($A1568="","",
  LET(
    r, $D1568,
    startD, INDEX(Calculation!B$2:B9627, r),
    endD,   INDEX(Calculation!C$2:C9627, r),
    asOf,   MIN($A1568,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2310788.356</v>
      </c>
    </row>
    <row r="1569">
      <c r="A1569" s="19">
        <v>43804.0</v>
      </c>
      <c r="B1569" s="23">
        <v>1.0765E7</v>
      </c>
      <c r="C1569" s="23">
        <f t="shared" si="1"/>
        <v>2312263.014</v>
      </c>
      <c r="D1569" s="18">
        <f>IF(A1569="","",MATCH(A1569,Calculation!B$2:B9627,1))</f>
        <v>1</v>
      </c>
      <c r="E1569" s="23">
        <f t="array" ref="E1569">IF(D1569="","",IF(D1569=1,0,INDEX(Calculation!Q$2:Q9627,D1569-1)))</f>
        <v>0</v>
      </c>
      <c r="F1569" s="23">
        <f t="array" ref="F1569">IF($A1569="","",
  LET(
    r, $D1569,
    startD, INDEX(Calculation!B$2:B9627, r),
    endD,   INDEX(Calculation!C$2:C9627, r),
    asOf,   MIN($A1569,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2312263.014</v>
      </c>
    </row>
    <row r="1570">
      <c r="A1570" s="19">
        <v>43805.0</v>
      </c>
      <c r="B1570" s="23">
        <v>1.0765E7</v>
      </c>
      <c r="C1570" s="23">
        <f t="shared" si="1"/>
        <v>2313737.671</v>
      </c>
      <c r="D1570" s="18">
        <f>IF(A1570="","",MATCH(A1570,Calculation!B$2:B9627,1))</f>
        <v>1</v>
      </c>
      <c r="E1570" s="23">
        <f t="array" ref="E1570">IF(D1570="","",IF(D1570=1,0,INDEX(Calculation!Q$2:Q9627,D1570-1)))</f>
        <v>0</v>
      </c>
      <c r="F1570" s="23">
        <f t="array" ref="F1570">IF($A1570="","",
  LET(
    r, $D1570,
    startD, INDEX(Calculation!B$2:B9627, r),
    endD,   INDEX(Calculation!C$2:C9627, r),
    asOf,   MIN($A1570,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2313737.671</v>
      </c>
    </row>
    <row r="1571">
      <c r="A1571" s="19">
        <v>43806.0</v>
      </c>
      <c r="B1571" s="23">
        <v>1.0765E7</v>
      </c>
      <c r="C1571" s="23">
        <f t="shared" si="1"/>
        <v>2315212.329</v>
      </c>
      <c r="D1571" s="18">
        <f>IF(A1571="","",MATCH(A1571,Calculation!B$2:B9627,1))</f>
        <v>1</v>
      </c>
      <c r="E1571" s="23">
        <f t="array" ref="E1571">IF(D1571="","",IF(D1571=1,0,INDEX(Calculation!Q$2:Q9627,D1571-1)))</f>
        <v>0</v>
      </c>
      <c r="F1571" s="23">
        <f t="array" ref="F1571">IF($A1571="","",
  LET(
    r, $D1571,
    startD, INDEX(Calculation!B$2:B9627, r),
    endD,   INDEX(Calculation!C$2:C9627, r),
    asOf,   MIN($A1571,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2315212.329</v>
      </c>
    </row>
    <row r="1572">
      <c r="A1572" s="19">
        <v>43807.0</v>
      </c>
      <c r="B1572" s="23">
        <v>1.0765E7</v>
      </c>
      <c r="C1572" s="23">
        <f t="shared" si="1"/>
        <v>2316686.986</v>
      </c>
      <c r="D1572" s="18">
        <f>IF(A1572="","",MATCH(A1572,Calculation!B$2:B9627,1))</f>
        <v>1</v>
      </c>
      <c r="E1572" s="23">
        <f t="array" ref="E1572">IF(D1572="","",IF(D1572=1,0,INDEX(Calculation!Q$2:Q9627,D1572-1)))</f>
        <v>0</v>
      </c>
      <c r="F1572" s="23">
        <f t="array" ref="F1572">IF($A1572="","",
  LET(
    r, $D1572,
    startD, INDEX(Calculation!B$2:B9627, r),
    endD,   INDEX(Calculation!C$2:C9627, r),
    asOf,   MIN($A1572,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2316686.986</v>
      </c>
    </row>
    <row r="1573">
      <c r="A1573" s="19">
        <v>43808.0</v>
      </c>
      <c r="B1573" s="23">
        <v>1.0765E7</v>
      </c>
      <c r="C1573" s="23">
        <f t="shared" si="1"/>
        <v>2318161.644</v>
      </c>
      <c r="D1573" s="18">
        <f>IF(A1573="","",MATCH(A1573,Calculation!B$2:B9627,1))</f>
        <v>1</v>
      </c>
      <c r="E1573" s="23">
        <f t="array" ref="E1573">IF(D1573="","",IF(D1573=1,0,INDEX(Calculation!Q$2:Q9627,D1573-1)))</f>
        <v>0</v>
      </c>
      <c r="F1573" s="23">
        <f t="array" ref="F1573">IF($A1573="","",
  LET(
    r, $D1573,
    startD, INDEX(Calculation!B$2:B9627, r),
    endD,   INDEX(Calculation!C$2:C9627, r),
    asOf,   MIN($A1573,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2318161.644</v>
      </c>
    </row>
    <row r="1574">
      <c r="A1574" s="19">
        <v>43809.0</v>
      </c>
      <c r="B1574" s="23">
        <v>1.0765E7</v>
      </c>
      <c r="C1574" s="23">
        <f t="shared" si="1"/>
        <v>2319636.301</v>
      </c>
      <c r="D1574" s="18">
        <f>IF(A1574="","",MATCH(A1574,Calculation!B$2:B9627,1))</f>
        <v>1</v>
      </c>
      <c r="E1574" s="23">
        <f t="array" ref="E1574">IF(D1574="","",IF(D1574=1,0,INDEX(Calculation!Q$2:Q9627,D1574-1)))</f>
        <v>0</v>
      </c>
      <c r="F1574" s="23">
        <f t="array" ref="F1574">IF($A1574="","",
  LET(
    r, $D1574,
    startD, INDEX(Calculation!B$2:B9627, r),
    endD,   INDEX(Calculation!C$2:C9627, r),
    asOf,   MIN($A1574,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2319636.301</v>
      </c>
    </row>
    <row r="1575">
      <c r="A1575" s="19">
        <v>43810.0</v>
      </c>
      <c r="B1575" s="23">
        <v>1.0765E7</v>
      </c>
      <c r="C1575" s="23">
        <f t="shared" si="1"/>
        <v>2321110.959</v>
      </c>
      <c r="D1575" s="18">
        <f>IF(A1575="","",MATCH(A1575,Calculation!B$2:B9627,1))</f>
        <v>1</v>
      </c>
      <c r="E1575" s="23">
        <f t="array" ref="E1575">IF(D1575="","",IF(D1575=1,0,INDEX(Calculation!Q$2:Q9627,D1575-1)))</f>
        <v>0</v>
      </c>
      <c r="F1575" s="23">
        <f t="array" ref="F1575">IF($A1575="","",
  LET(
    r, $D1575,
    startD, INDEX(Calculation!B$2:B9627, r),
    endD,   INDEX(Calculation!C$2:C9627, r),
    asOf,   MIN($A1575,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2321110.959</v>
      </c>
    </row>
    <row r="1576">
      <c r="A1576" s="19">
        <v>43811.0</v>
      </c>
      <c r="B1576" s="23">
        <v>1.0765E7</v>
      </c>
      <c r="C1576" s="23">
        <f t="shared" si="1"/>
        <v>2322585.616</v>
      </c>
      <c r="D1576" s="18">
        <f>IF(A1576="","",MATCH(A1576,Calculation!B$2:B9627,1))</f>
        <v>1</v>
      </c>
      <c r="E1576" s="23">
        <f t="array" ref="E1576">IF(D1576="","",IF(D1576=1,0,INDEX(Calculation!Q$2:Q9627,D1576-1)))</f>
        <v>0</v>
      </c>
      <c r="F1576" s="23">
        <f t="array" ref="F1576">IF($A1576="","",
  LET(
    r, $D1576,
    startD, INDEX(Calculation!B$2:B9627, r),
    endD,   INDEX(Calculation!C$2:C9627, r),
    asOf,   MIN($A1576,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2322585.616</v>
      </c>
    </row>
    <row r="1577">
      <c r="A1577" s="19">
        <v>43812.0</v>
      </c>
      <c r="B1577" s="23">
        <v>1.0765E7</v>
      </c>
      <c r="C1577" s="23">
        <f t="shared" si="1"/>
        <v>2324060.274</v>
      </c>
      <c r="D1577" s="18">
        <f>IF(A1577="","",MATCH(A1577,Calculation!B$2:B9627,1))</f>
        <v>1</v>
      </c>
      <c r="E1577" s="23">
        <f t="array" ref="E1577">IF(D1577="","",IF(D1577=1,0,INDEX(Calculation!Q$2:Q9627,D1577-1)))</f>
        <v>0</v>
      </c>
      <c r="F1577" s="23">
        <f t="array" ref="F1577">IF($A1577="","",
  LET(
    r, $D1577,
    startD, INDEX(Calculation!B$2:B9627, r),
    endD,   INDEX(Calculation!C$2:C9627, r),
    asOf,   MIN($A1577,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2324060.274</v>
      </c>
    </row>
    <row r="1578">
      <c r="A1578" s="19">
        <v>43813.0</v>
      </c>
      <c r="B1578" s="23">
        <v>1.0765E7</v>
      </c>
      <c r="C1578" s="23">
        <f t="shared" si="1"/>
        <v>2325534.932</v>
      </c>
      <c r="D1578" s="18">
        <f>IF(A1578="","",MATCH(A1578,Calculation!B$2:B9627,1))</f>
        <v>1</v>
      </c>
      <c r="E1578" s="23">
        <f t="array" ref="E1578">IF(D1578="","",IF(D1578=1,0,INDEX(Calculation!Q$2:Q9627,D1578-1)))</f>
        <v>0</v>
      </c>
      <c r="F1578" s="23">
        <f t="array" ref="F1578">IF($A1578="","",
  LET(
    r, $D1578,
    startD, INDEX(Calculation!B$2:B9627, r),
    endD,   INDEX(Calculation!C$2:C9627, r),
    asOf,   MIN($A1578,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2325534.932</v>
      </c>
    </row>
    <row r="1579">
      <c r="A1579" s="19">
        <v>43814.0</v>
      </c>
      <c r="B1579" s="23">
        <v>1.0765E7</v>
      </c>
      <c r="C1579" s="23">
        <f t="shared" si="1"/>
        <v>2327009.589</v>
      </c>
      <c r="D1579" s="18">
        <f>IF(A1579="","",MATCH(A1579,Calculation!B$2:B9627,1))</f>
        <v>1</v>
      </c>
      <c r="E1579" s="23">
        <f t="array" ref="E1579">IF(D1579="","",IF(D1579=1,0,INDEX(Calculation!Q$2:Q9627,D1579-1)))</f>
        <v>0</v>
      </c>
      <c r="F1579" s="23">
        <f t="array" ref="F1579">IF($A1579="","",
  LET(
    r, $D1579,
    startD, INDEX(Calculation!B$2:B9627, r),
    endD,   INDEX(Calculation!C$2:C9627, r),
    asOf,   MIN($A1579,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2327009.589</v>
      </c>
    </row>
    <row r="1580">
      <c r="A1580" s="19">
        <v>43815.0</v>
      </c>
      <c r="B1580" s="23">
        <v>1.0765E7</v>
      </c>
      <c r="C1580" s="23">
        <f t="shared" si="1"/>
        <v>2328484.247</v>
      </c>
      <c r="D1580" s="18">
        <f>IF(A1580="","",MATCH(A1580,Calculation!B$2:B9627,1))</f>
        <v>1</v>
      </c>
      <c r="E1580" s="23">
        <f t="array" ref="E1580">IF(D1580="","",IF(D1580=1,0,INDEX(Calculation!Q$2:Q9627,D1580-1)))</f>
        <v>0</v>
      </c>
      <c r="F1580" s="23">
        <f t="array" ref="F1580">IF($A1580="","",
  LET(
    r, $D1580,
    startD, INDEX(Calculation!B$2:B9627, r),
    endD,   INDEX(Calculation!C$2:C9627, r),
    asOf,   MIN($A1580,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2328484.247</v>
      </c>
    </row>
    <row r="1581">
      <c r="A1581" s="19">
        <v>43816.0</v>
      </c>
      <c r="B1581" s="23">
        <v>1.0765E7</v>
      </c>
      <c r="C1581" s="23">
        <f t="shared" si="1"/>
        <v>2329958.904</v>
      </c>
      <c r="D1581" s="18">
        <f>IF(A1581="","",MATCH(A1581,Calculation!B$2:B9627,1))</f>
        <v>1</v>
      </c>
      <c r="E1581" s="23">
        <f t="array" ref="E1581">IF(D1581="","",IF(D1581=1,0,INDEX(Calculation!Q$2:Q9627,D1581-1)))</f>
        <v>0</v>
      </c>
      <c r="F1581" s="23">
        <f t="array" ref="F1581">IF($A1581="","",
  LET(
    r, $D1581,
    startD, INDEX(Calculation!B$2:B9627, r),
    endD,   INDEX(Calculation!C$2:C9627, r),
    asOf,   MIN($A1581,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2329958.904</v>
      </c>
    </row>
    <row r="1582">
      <c r="A1582" s="19">
        <v>43817.0</v>
      </c>
      <c r="B1582" s="23">
        <v>1.0765E7</v>
      </c>
      <c r="C1582" s="23">
        <f t="shared" si="1"/>
        <v>2331433.562</v>
      </c>
      <c r="D1582" s="18">
        <f>IF(A1582="","",MATCH(A1582,Calculation!B$2:B9627,1))</f>
        <v>1</v>
      </c>
      <c r="E1582" s="23">
        <f t="array" ref="E1582">IF(D1582="","",IF(D1582=1,0,INDEX(Calculation!Q$2:Q9627,D1582-1)))</f>
        <v>0</v>
      </c>
      <c r="F1582" s="23">
        <f t="array" ref="F1582">IF($A1582="","",
  LET(
    r, $D1582,
    startD, INDEX(Calculation!B$2:B9627, r),
    endD,   INDEX(Calculation!C$2:C9627, r),
    asOf,   MIN($A1582,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2331433.562</v>
      </c>
    </row>
    <row r="1583">
      <c r="A1583" s="19">
        <v>43818.0</v>
      </c>
      <c r="B1583" s="23">
        <v>1.0765E7</v>
      </c>
      <c r="C1583" s="23">
        <f t="shared" si="1"/>
        <v>2332908.219</v>
      </c>
      <c r="D1583" s="18">
        <f>IF(A1583="","",MATCH(A1583,Calculation!B$2:B9627,1))</f>
        <v>1</v>
      </c>
      <c r="E1583" s="23">
        <f t="array" ref="E1583">IF(D1583="","",IF(D1583=1,0,INDEX(Calculation!Q$2:Q9627,D1583-1)))</f>
        <v>0</v>
      </c>
      <c r="F1583" s="23">
        <f t="array" ref="F1583">IF($A1583="","",
  LET(
    r, $D1583,
    startD, INDEX(Calculation!B$2:B9627, r),
    endD,   INDEX(Calculation!C$2:C9627, r),
    asOf,   MIN($A1583,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2332908.219</v>
      </c>
    </row>
    <row r="1584">
      <c r="A1584" s="19">
        <v>43819.0</v>
      </c>
      <c r="B1584" s="23">
        <v>1.0765E7</v>
      </c>
      <c r="C1584" s="23">
        <f t="shared" si="1"/>
        <v>2334382.877</v>
      </c>
      <c r="D1584" s="18">
        <f>IF(A1584="","",MATCH(A1584,Calculation!B$2:B9627,1))</f>
        <v>1</v>
      </c>
      <c r="E1584" s="23">
        <f t="array" ref="E1584">IF(D1584="","",IF(D1584=1,0,INDEX(Calculation!Q$2:Q9627,D1584-1)))</f>
        <v>0</v>
      </c>
      <c r="F1584" s="23">
        <f t="array" ref="F1584">IF($A1584="","",
  LET(
    r, $D1584,
    startD, INDEX(Calculation!B$2:B9627, r),
    endD,   INDEX(Calculation!C$2:C9627, r),
    asOf,   MIN($A1584,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2334382.877</v>
      </c>
    </row>
    <row r="1585">
      <c r="A1585" s="19">
        <v>43820.0</v>
      </c>
      <c r="B1585" s="23">
        <v>1.0765E7</v>
      </c>
      <c r="C1585" s="23">
        <f t="shared" si="1"/>
        <v>2335857.534</v>
      </c>
      <c r="D1585" s="18">
        <f>IF(A1585="","",MATCH(A1585,Calculation!B$2:B9627,1))</f>
        <v>1</v>
      </c>
      <c r="E1585" s="23">
        <f t="array" ref="E1585">IF(D1585="","",IF(D1585=1,0,INDEX(Calculation!Q$2:Q9627,D1585-1)))</f>
        <v>0</v>
      </c>
      <c r="F1585" s="23">
        <f t="array" ref="F1585">IF($A1585="","",
  LET(
    r, $D1585,
    startD, INDEX(Calculation!B$2:B9627, r),
    endD,   INDEX(Calculation!C$2:C9627, r),
    asOf,   MIN($A1585,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2335857.534</v>
      </c>
    </row>
    <row r="1586">
      <c r="A1586" s="19">
        <v>43821.0</v>
      </c>
      <c r="B1586" s="23">
        <v>1.0765E7</v>
      </c>
      <c r="C1586" s="23">
        <f t="shared" si="1"/>
        <v>2337332.192</v>
      </c>
      <c r="D1586" s="18">
        <f>IF(A1586="","",MATCH(A1586,Calculation!B$2:B9627,1))</f>
        <v>1</v>
      </c>
      <c r="E1586" s="23">
        <f t="array" ref="E1586">IF(D1586="","",IF(D1586=1,0,INDEX(Calculation!Q$2:Q9627,D1586-1)))</f>
        <v>0</v>
      </c>
      <c r="F1586" s="23">
        <f t="array" ref="F1586">IF($A1586="","",
  LET(
    r, $D1586,
    startD, INDEX(Calculation!B$2:B9627, r),
    endD,   INDEX(Calculation!C$2:C9627, r),
    asOf,   MIN($A1586,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2337332.192</v>
      </c>
    </row>
    <row r="1587">
      <c r="A1587" s="19">
        <v>43822.0</v>
      </c>
      <c r="B1587" s="23">
        <v>1.0765E7</v>
      </c>
      <c r="C1587" s="23">
        <f t="shared" si="1"/>
        <v>2338806.849</v>
      </c>
      <c r="D1587" s="18">
        <f>IF(A1587="","",MATCH(A1587,Calculation!B$2:B9627,1))</f>
        <v>1</v>
      </c>
      <c r="E1587" s="23">
        <f t="array" ref="E1587">IF(D1587="","",IF(D1587=1,0,INDEX(Calculation!Q$2:Q9627,D1587-1)))</f>
        <v>0</v>
      </c>
      <c r="F1587" s="23">
        <f t="array" ref="F1587">IF($A1587="","",
  LET(
    r, $D1587,
    startD, INDEX(Calculation!B$2:B9627, r),
    endD,   INDEX(Calculation!C$2:C9627, r),
    asOf,   MIN($A1587,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2338806.849</v>
      </c>
    </row>
    <row r="1588">
      <c r="A1588" s="19">
        <v>43823.0</v>
      </c>
      <c r="B1588" s="23">
        <v>1.0765E7</v>
      </c>
      <c r="C1588" s="23">
        <f t="shared" si="1"/>
        <v>2340281.507</v>
      </c>
      <c r="D1588" s="18">
        <f>IF(A1588="","",MATCH(A1588,Calculation!B$2:B9627,1))</f>
        <v>1</v>
      </c>
      <c r="E1588" s="23">
        <f t="array" ref="E1588">IF(D1588="","",IF(D1588=1,0,INDEX(Calculation!Q$2:Q9627,D1588-1)))</f>
        <v>0</v>
      </c>
      <c r="F1588" s="23">
        <f t="array" ref="F1588">IF($A1588="","",
  LET(
    r, $D1588,
    startD, INDEX(Calculation!B$2:B9627, r),
    endD,   INDEX(Calculation!C$2:C9627, r),
    asOf,   MIN($A1588,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2340281.507</v>
      </c>
    </row>
    <row r="1589">
      <c r="A1589" s="19">
        <v>43824.0</v>
      </c>
      <c r="B1589" s="23">
        <v>1.0765E7</v>
      </c>
      <c r="C1589" s="23">
        <f t="shared" si="1"/>
        <v>2341756.164</v>
      </c>
      <c r="D1589" s="18">
        <f>IF(A1589="","",MATCH(A1589,Calculation!B$2:B9627,1))</f>
        <v>1</v>
      </c>
      <c r="E1589" s="23">
        <f t="array" ref="E1589">IF(D1589="","",IF(D1589=1,0,INDEX(Calculation!Q$2:Q9627,D1589-1)))</f>
        <v>0</v>
      </c>
      <c r="F1589" s="23">
        <f t="array" ref="F1589">IF($A1589="","",
  LET(
    r, $D1589,
    startD, INDEX(Calculation!B$2:B9627, r),
    endD,   INDEX(Calculation!C$2:C9627, r),
    asOf,   MIN($A1589,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2341756.164</v>
      </c>
    </row>
    <row r="1590">
      <c r="A1590" s="19">
        <v>43825.0</v>
      </c>
      <c r="B1590" s="23">
        <v>1.0765E7</v>
      </c>
      <c r="C1590" s="23">
        <f t="shared" si="1"/>
        <v>2343230.822</v>
      </c>
      <c r="D1590" s="18">
        <f>IF(A1590="","",MATCH(A1590,Calculation!B$2:B9627,1))</f>
        <v>1</v>
      </c>
      <c r="E1590" s="23">
        <f t="array" ref="E1590">IF(D1590="","",IF(D1590=1,0,INDEX(Calculation!Q$2:Q9627,D1590-1)))</f>
        <v>0</v>
      </c>
      <c r="F1590" s="23">
        <f t="array" ref="F1590">IF($A1590="","",
  LET(
    r, $D1590,
    startD, INDEX(Calculation!B$2:B9627, r),
    endD,   INDEX(Calculation!C$2:C9627, r),
    asOf,   MIN($A1590,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2343230.822</v>
      </c>
    </row>
    <row r="1591">
      <c r="A1591" s="19">
        <v>43826.0</v>
      </c>
      <c r="B1591" s="23">
        <v>1.0765E7</v>
      </c>
      <c r="C1591" s="23">
        <f t="shared" si="1"/>
        <v>2344705.479</v>
      </c>
      <c r="D1591" s="18">
        <f>IF(A1591="","",MATCH(A1591,Calculation!B$2:B9627,1))</f>
        <v>1</v>
      </c>
      <c r="E1591" s="23">
        <f t="array" ref="E1591">IF(D1591="","",IF(D1591=1,0,INDEX(Calculation!Q$2:Q9627,D1591-1)))</f>
        <v>0</v>
      </c>
      <c r="F1591" s="23">
        <f t="array" ref="F1591">IF($A1591="","",
  LET(
    r, $D1591,
    startD, INDEX(Calculation!B$2:B9627, r),
    endD,   INDEX(Calculation!C$2:C9627, r),
    asOf,   MIN($A1591,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2344705.479</v>
      </c>
    </row>
    <row r="1592">
      <c r="A1592" s="19">
        <v>43827.0</v>
      </c>
      <c r="B1592" s="23">
        <v>1.0765E7</v>
      </c>
      <c r="C1592" s="23">
        <f t="shared" si="1"/>
        <v>2346180.137</v>
      </c>
      <c r="D1592" s="18">
        <f>IF(A1592="","",MATCH(A1592,Calculation!B$2:B9627,1))</f>
        <v>1</v>
      </c>
      <c r="E1592" s="23">
        <f t="array" ref="E1592">IF(D1592="","",IF(D1592=1,0,INDEX(Calculation!Q$2:Q9627,D1592-1)))</f>
        <v>0</v>
      </c>
      <c r="F1592" s="23">
        <f t="array" ref="F1592">IF($A1592="","",
  LET(
    r, $D1592,
    startD, INDEX(Calculation!B$2:B9627, r),
    endD,   INDEX(Calculation!C$2:C9627, r),
    asOf,   MIN($A1592,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2346180.137</v>
      </c>
    </row>
    <row r="1593">
      <c r="A1593" s="19">
        <v>43828.0</v>
      </c>
      <c r="B1593" s="23">
        <v>1.0765E7</v>
      </c>
      <c r="C1593" s="23">
        <f t="shared" si="1"/>
        <v>2347654.795</v>
      </c>
      <c r="D1593" s="18">
        <f>IF(A1593="","",MATCH(A1593,Calculation!B$2:B9627,1))</f>
        <v>1</v>
      </c>
      <c r="E1593" s="23">
        <f t="array" ref="E1593">IF(D1593="","",IF(D1593=1,0,INDEX(Calculation!Q$2:Q9627,D1593-1)))</f>
        <v>0</v>
      </c>
      <c r="F1593" s="23">
        <f t="array" ref="F1593">IF($A1593="","",
  LET(
    r, $D1593,
    startD, INDEX(Calculation!B$2:B9627, r),
    endD,   INDEX(Calculation!C$2:C9627, r),
    asOf,   MIN($A1593,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2347654.795</v>
      </c>
    </row>
    <row r="1594">
      <c r="A1594" s="19">
        <v>43829.0</v>
      </c>
      <c r="B1594" s="23">
        <v>1.0765E7</v>
      </c>
      <c r="C1594" s="23">
        <f t="shared" si="1"/>
        <v>2349129.452</v>
      </c>
      <c r="D1594" s="18">
        <f>IF(A1594="","",MATCH(A1594,Calculation!B$2:B9627,1))</f>
        <v>1</v>
      </c>
      <c r="E1594" s="23">
        <f t="array" ref="E1594">IF(D1594="","",IF(D1594=1,0,INDEX(Calculation!Q$2:Q9627,D1594-1)))</f>
        <v>0</v>
      </c>
      <c r="F1594" s="23">
        <f t="array" ref="F1594">IF($A1594="","",
  LET(
    r, $D1594,
    startD, INDEX(Calculation!B$2:B9627, r),
    endD,   INDEX(Calculation!C$2:C9627, r),
    asOf,   MIN($A1594,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2349129.452</v>
      </c>
    </row>
    <row r="1595">
      <c r="A1595" s="19">
        <v>43830.0</v>
      </c>
      <c r="B1595" s="23">
        <v>1.0765E7</v>
      </c>
      <c r="C1595" s="23">
        <f t="shared" si="1"/>
        <v>2350604.11</v>
      </c>
      <c r="D1595" s="18">
        <f>IF(A1595="","",MATCH(A1595,Calculation!B$2:B9627,1))</f>
        <v>1</v>
      </c>
      <c r="E1595" s="23">
        <f t="array" ref="E1595">IF(D1595="","",IF(D1595=1,0,INDEX(Calculation!Q$2:Q9627,D1595-1)))</f>
        <v>0</v>
      </c>
      <c r="F1595" s="23">
        <f t="array" ref="F1595">IF($A1595="","",
  LET(
    r, $D1595,
    startD, INDEX(Calculation!B$2:B9627, r),
    endD,   INDEX(Calculation!C$2:C9627, r),
    asOf,   MIN($A1595,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2350604.11</v>
      </c>
    </row>
    <row r="1596">
      <c r="A1596" s="19">
        <v>43831.0</v>
      </c>
      <c r="B1596" s="23">
        <v>1.0765E7</v>
      </c>
      <c r="C1596" s="23">
        <f t="shared" si="1"/>
        <v>2352078.767</v>
      </c>
      <c r="D1596" s="18">
        <f>IF(A1596="","",MATCH(A1596,Calculation!B$2:B9627,1))</f>
        <v>1</v>
      </c>
      <c r="E1596" s="23">
        <f t="array" ref="E1596">IF(D1596="","",IF(D1596=1,0,INDEX(Calculation!Q$2:Q9627,D1596-1)))</f>
        <v>0</v>
      </c>
      <c r="F1596" s="23">
        <f t="array" ref="F1596">IF($A1596="","",
  LET(
    r, $D1596,
    startD, INDEX(Calculation!B$2:B9627, r),
    endD,   INDEX(Calculation!C$2:C9627, r),
    asOf,   MIN($A1596,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2352078.767</v>
      </c>
    </row>
    <row r="1597">
      <c r="A1597" s="19">
        <v>43832.0</v>
      </c>
      <c r="B1597" s="23">
        <v>1.0765E7</v>
      </c>
      <c r="C1597" s="23">
        <f t="shared" si="1"/>
        <v>2353553.425</v>
      </c>
      <c r="D1597" s="18">
        <f>IF(A1597="","",MATCH(A1597,Calculation!B$2:B9627,1))</f>
        <v>1</v>
      </c>
      <c r="E1597" s="23">
        <f t="array" ref="E1597">IF(D1597="","",IF(D1597=1,0,INDEX(Calculation!Q$2:Q9627,D1597-1)))</f>
        <v>0</v>
      </c>
      <c r="F1597" s="23">
        <f t="array" ref="F1597">IF($A1597="","",
  LET(
    r, $D1597,
    startD, INDEX(Calculation!B$2:B9627, r),
    endD,   INDEX(Calculation!C$2:C9627, r),
    asOf,   MIN($A1597,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2353553.425</v>
      </c>
    </row>
    <row r="1598">
      <c r="A1598" s="19">
        <v>43833.0</v>
      </c>
      <c r="B1598" s="23">
        <v>1.0765E7</v>
      </c>
      <c r="C1598" s="23">
        <f t="shared" si="1"/>
        <v>2355028.082</v>
      </c>
      <c r="D1598" s="18">
        <f>IF(A1598="","",MATCH(A1598,Calculation!B$2:B9627,1))</f>
        <v>1</v>
      </c>
      <c r="E1598" s="23">
        <f t="array" ref="E1598">IF(D1598="","",IF(D1598=1,0,INDEX(Calculation!Q$2:Q9627,D1598-1)))</f>
        <v>0</v>
      </c>
      <c r="F1598" s="23">
        <f t="array" ref="F1598">IF($A1598="","",
  LET(
    r, $D1598,
    startD, INDEX(Calculation!B$2:B9627, r),
    endD,   INDEX(Calculation!C$2:C9627, r),
    asOf,   MIN($A1598,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2355028.082</v>
      </c>
    </row>
    <row r="1599">
      <c r="A1599" s="19">
        <v>43834.0</v>
      </c>
      <c r="B1599" s="23">
        <v>1.0765E7</v>
      </c>
      <c r="C1599" s="23">
        <f t="shared" si="1"/>
        <v>2356502.74</v>
      </c>
      <c r="D1599" s="18">
        <f>IF(A1599="","",MATCH(A1599,Calculation!B$2:B9627,1))</f>
        <v>1</v>
      </c>
      <c r="E1599" s="23">
        <f t="array" ref="E1599">IF(D1599="","",IF(D1599=1,0,INDEX(Calculation!Q$2:Q9627,D1599-1)))</f>
        <v>0</v>
      </c>
      <c r="F1599" s="23">
        <f t="array" ref="F1599">IF($A1599="","",
  LET(
    r, $D1599,
    startD, INDEX(Calculation!B$2:B9627, r),
    endD,   INDEX(Calculation!C$2:C9627, r),
    asOf,   MIN($A1599,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2356502.74</v>
      </c>
    </row>
    <row r="1600">
      <c r="A1600" s="19">
        <v>43835.0</v>
      </c>
      <c r="B1600" s="23">
        <v>1.0765E7</v>
      </c>
      <c r="C1600" s="23">
        <f t="shared" si="1"/>
        <v>2357977.397</v>
      </c>
      <c r="D1600" s="18">
        <f>IF(A1600="","",MATCH(A1600,Calculation!B$2:B9627,1))</f>
        <v>1</v>
      </c>
      <c r="E1600" s="23">
        <f t="array" ref="E1600">IF(D1600="","",IF(D1600=1,0,INDEX(Calculation!Q$2:Q9627,D1600-1)))</f>
        <v>0</v>
      </c>
      <c r="F1600" s="23">
        <f t="array" ref="F1600">IF($A1600="","",
  LET(
    r, $D1600,
    startD, INDEX(Calculation!B$2:B9627, r),
    endD,   INDEX(Calculation!C$2:C9627, r),
    asOf,   MIN($A1600,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2357977.397</v>
      </c>
    </row>
    <row r="1601">
      <c r="A1601" s="19">
        <v>43836.0</v>
      </c>
      <c r="B1601" s="23">
        <v>1.0765E7</v>
      </c>
      <c r="C1601" s="23">
        <f t="shared" si="1"/>
        <v>2359452.055</v>
      </c>
      <c r="D1601" s="18">
        <f>IF(A1601="","",MATCH(A1601,Calculation!B$2:B9627,1))</f>
        <v>1</v>
      </c>
      <c r="E1601" s="23">
        <f t="array" ref="E1601">IF(D1601="","",IF(D1601=1,0,INDEX(Calculation!Q$2:Q9627,D1601-1)))</f>
        <v>0</v>
      </c>
      <c r="F1601" s="23">
        <f t="array" ref="F1601">IF($A1601="","",
  LET(
    r, $D1601,
    startD, INDEX(Calculation!B$2:B9627, r),
    endD,   INDEX(Calculation!C$2:C9627, r),
    asOf,   MIN($A1601,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2359452.055</v>
      </c>
    </row>
    <row r="1602">
      <c r="A1602" s="19">
        <v>43837.0</v>
      </c>
      <c r="B1602" s="23">
        <v>1.0765E7</v>
      </c>
      <c r="C1602" s="23">
        <f t="shared" si="1"/>
        <v>2360926.712</v>
      </c>
      <c r="D1602" s="18">
        <f>IF(A1602="","",MATCH(A1602,Calculation!B$2:B9627,1))</f>
        <v>1</v>
      </c>
      <c r="E1602" s="23">
        <f t="array" ref="E1602">IF(D1602="","",IF(D1602=1,0,INDEX(Calculation!Q$2:Q9627,D1602-1)))</f>
        <v>0</v>
      </c>
      <c r="F1602" s="23">
        <f t="array" ref="F1602">IF($A1602="","",
  LET(
    r, $D1602,
    startD, INDEX(Calculation!B$2:B9627, r),
    endD,   INDEX(Calculation!C$2:C9627, r),
    asOf,   MIN($A1602,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2360926.712</v>
      </c>
    </row>
    <row r="1603">
      <c r="A1603" s="19">
        <v>43838.0</v>
      </c>
      <c r="B1603" s="23">
        <v>1.0765E7</v>
      </c>
      <c r="C1603" s="23">
        <f t="shared" si="1"/>
        <v>2362401.37</v>
      </c>
      <c r="D1603" s="18">
        <f>IF(A1603="","",MATCH(A1603,Calculation!B$2:B9627,1))</f>
        <v>1</v>
      </c>
      <c r="E1603" s="23">
        <f t="array" ref="E1603">IF(D1603="","",IF(D1603=1,0,INDEX(Calculation!Q$2:Q9627,D1603-1)))</f>
        <v>0</v>
      </c>
      <c r="F1603" s="23">
        <f t="array" ref="F1603">IF($A1603="","",
  LET(
    r, $D1603,
    startD, INDEX(Calculation!B$2:B9627, r),
    endD,   INDEX(Calculation!C$2:C9627, r),
    asOf,   MIN($A1603,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2362401.37</v>
      </c>
    </row>
    <row r="1604">
      <c r="A1604" s="19">
        <v>43839.0</v>
      </c>
      <c r="B1604" s="23">
        <v>1.0765E7</v>
      </c>
      <c r="C1604" s="23">
        <f t="shared" si="1"/>
        <v>2363876.027</v>
      </c>
      <c r="D1604" s="18">
        <f>IF(A1604="","",MATCH(A1604,Calculation!B$2:B9627,1))</f>
        <v>1</v>
      </c>
      <c r="E1604" s="23">
        <f t="array" ref="E1604">IF(D1604="","",IF(D1604=1,0,INDEX(Calculation!Q$2:Q9627,D1604-1)))</f>
        <v>0</v>
      </c>
      <c r="F1604" s="23">
        <f t="array" ref="F1604">IF($A1604="","",
  LET(
    r, $D1604,
    startD, INDEX(Calculation!B$2:B9627, r),
    endD,   INDEX(Calculation!C$2:C9627, r),
    asOf,   MIN($A1604,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2363876.027</v>
      </c>
    </row>
    <row r="1605">
      <c r="A1605" s="19">
        <v>43840.0</v>
      </c>
      <c r="B1605" s="23">
        <v>1.0765E7</v>
      </c>
      <c r="C1605" s="23">
        <f t="shared" si="1"/>
        <v>2365350.685</v>
      </c>
      <c r="D1605" s="18">
        <f>IF(A1605="","",MATCH(A1605,Calculation!B$2:B9627,1))</f>
        <v>1</v>
      </c>
      <c r="E1605" s="23">
        <f t="array" ref="E1605">IF(D1605="","",IF(D1605=1,0,INDEX(Calculation!Q$2:Q9627,D1605-1)))</f>
        <v>0</v>
      </c>
      <c r="F1605" s="23">
        <f t="array" ref="F1605">IF($A1605="","",
  LET(
    r, $D1605,
    startD, INDEX(Calculation!B$2:B9627, r),
    endD,   INDEX(Calculation!C$2:C9627, r),
    asOf,   MIN($A1605,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2365350.685</v>
      </c>
    </row>
    <row r="1606">
      <c r="A1606" s="19">
        <v>43841.0</v>
      </c>
      <c r="B1606" s="23">
        <v>1.0765E7</v>
      </c>
      <c r="C1606" s="23">
        <f t="shared" si="1"/>
        <v>2366825.342</v>
      </c>
      <c r="D1606" s="18">
        <f>IF(A1606="","",MATCH(A1606,Calculation!B$2:B9627,1))</f>
        <v>1</v>
      </c>
      <c r="E1606" s="23">
        <f t="array" ref="E1606">IF(D1606="","",IF(D1606=1,0,INDEX(Calculation!Q$2:Q9627,D1606-1)))</f>
        <v>0</v>
      </c>
      <c r="F1606" s="23">
        <f t="array" ref="F1606">IF($A1606="","",
  LET(
    r, $D1606,
    startD, INDEX(Calculation!B$2:B9627, r),
    endD,   INDEX(Calculation!C$2:C9627, r),
    asOf,   MIN($A1606,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2366825.342</v>
      </c>
    </row>
    <row r="1607">
      <c r="A1607" s="19">
        <v>43842.0</v>
      </c>
      <c r="B1607" s="23">
        <v>1.0765E7</v>
      </c>
      <c r="C1607" s="23">
        <f t="shared" si="1"/>
        <v>2368300</v>
      </c>
      <c r="D1607" s="18">
        <f>IF(A1607="","",MATCH(A1607,Calculation!B$2:B9627,1))</f>
        <v>1</v>
      </c>
      <c r="E1607" s="23">
        <f t="array" ref="E1607">IF(D1607="","",IF(D1607=1,0,INDEX(Calculation!Q$2:Q9627,D1607-1)))</f>
        <v>0</v>
      </c>
      <c r="F1607" s="23">
        <f t="array" ref="F1607">IF($A1607="","",
  LET(
    r, $D1607,
    startD, INDEX(Calculation!B$2:B9627, r),
    endD,   INDEX(Calculation!C$2:C9627, r),
    asOf,   MIN($A1607,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2368300</v>
      </c>
    </row>
    <row r="1608">
      <c r="A1608" s="19">
        <v>43843.0</v>
      </c>
      <c r="B1608" s="23">
        <v>1.0765E7</v>
      </c>
      <c r="C1608" s="23">
        <f t="shared" si="1"/>
        <v>2369774.658</v>
      </c>
      <c r="D1608" s="18">
        <f>IF(A1608="","",MATCH(A1608,Calculation!B$2:B9627,1))</f>
        <v>1</v>
      </c>
      <c r="E1608" s="23">
        <f t="array" ref="E1608">IF(D1608="","",IF(D1608=1,0,INDEX(Calculation!Q$2:Q9627,D1608-1)))</f>
        <v>0</v>
      </c>
      <c r="F1608" s="23">
        <f t="array" ref="F1608">IF($A1608="","",
  LET(
    r, $D1608,
    startD, INDEX(Calculation!B$2:B9627, r),
    endD,   INDEX(Calculation!C$2:C9627, r),
    asOf,   MIN($A1608,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2369774.658</v>
      </c>
    </row>
    <row r="1609">
      <c r="A1609" s="19">
        <v>43844.0</v>
      </c>
      <c r="B1609" s="23">
        <v>1.0765E7</v>
      </c>
      <c r="C1609" s="23">
        <f t="shared" si="1"/>
        <v>2371249.315</v>
      </c>
      <c r="D1609" s="18">
        <f>IF(A1609="","",MATCH(A1609,Calculation!B$2:B9627,1))</f>
        <v>1</v>
      </c>
      <c r="E1609" s="23">
        <f t="array" ref="E1609">IF(D1609="","",IF(D1609=1,0,INDEX(Calculation!Q$2:Q9627,D1609-1)))</f>
        <v>0</v>
      </c>
      <c r="F1609" s="23">
        <f t="array" ref="F1609">IF($A1609="","",
  LET(
    r, $D1609,
    startD, INDEX(Calculation!B$2:B9627, r),
    endD,   INDEX(Calculation!C$2:C9627, r),
    asOf,   MIN($A1609,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2371249.315</v>
      </c>
    </row>
    <row r="1610">
      <c r="A1610" s="19">
        <v>43845.0</v>
      </c>
      <c r="B1610" s="23">
        <v>1.0765E7</v>
      </c>
      <c r="C1610" s="23">
        <f t="shared" si="1"/>
        <v>2372723.973</v>
      </c>
      <c r="D1610" s="18">
        <f>IF(A1610="","",MATCH(A1610,Calculation!B$2:B9627,1))</f>
        <v>1</v>
      </c>
      <c r="E1610" s="23">
        <f t="array" ref="E1610">IF(D1610="","",IF(D1610=1,0,INDEX(Calculation!Q$2:Q9627,D1610-1)))</f>
        <v>0</v>
      </c>
      <c r="F1610" s="23">
        <f t="array" ref="F1610">IF($A1610="","",
  LET(
    r, $D1610,
    startD, INDEX(Calculation!B$2:B9627, r),
    endD,   INDEX(Calculation!C$2:C9627, r),
    asOf,   MIN($A1610,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2372723.973</v>
      </c>
    </row>
    <row r="1611">
      <c r="A1611" s="19">
        <v>43846.0</v>
      </c>
      <c r="B1611" s="23">
        <v>1.0765E7</v>
      </c>
      <c r="C1611" s="23">
        <f t="shared" si="1"/>
        <v>2374198.63</v>
      </c>
      <c r="D1611" s="18">
        <f>IF(A1611="","",MATCH(A1611,Calculation!B$2:B9627,1))</f>
        <v>1</v>
      </c>
      <c r="E1611" s="23">
        <f t="array" ref="E1611">IF(D1611="","",IF(D1611=1,0,INDEX(Calculation!Q$2:Q9627,D1611-1)))</f>
        <v>0</v>
      </c>
      <c r="F1611" s="23">
        <f t="array" ref="F1611">IF($A1611="","",
  LET(
    r, $D1611,
    startD, INDEX(Calculation!B$2:B9627, r),
    endD,   INDEX(Calculation!C$2:C9627, r),
    asOf,   MIN($A1611,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2374198.63</v>
      </c>
    </row>
    <row r="1612">
      <c r="A1612" s="19">
        <v>43847.0</v>
      </c>
      <c r="B1612" s="23">
        <v>1.0765E7</v>
      </c>
      <c r="C1612" s="23">
        <f t="shared" si="1"/>
        <v>2375673.288</v>
      </c>
      <c r="D1612" s="18">
        <f>IF(A1612="","",MATCH(A1612,Calculation!B$2:B9627,1))</f>
        <v>1</v>
      </c>
      <c r="E1612" s="23">
        <f t="array" ref="E1612">IF(D1612="","",IF(D1612=1,0,INDEX(Calculation!Q$2:Q9627,D1612-1)))</f>
        <v>0</v>
      </c>
      <c r="F1612" s="23">
        <f t="array" ref="F1612">IF($A1612="","",
  LET(
    r, $D1612,
    startD, INDEX(Calculation!B$2:B9627, r),
    endD,   INDEX(Calculation!C$2:C9627, r),
    asOf,   MIN($A1612,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2375673.288</v>
      </c>
    </row>
    <row r="1613">
      <c r="A1613" s="19">
        <v>43848.0</v>
      </c>
      <c r="B1613" s="23">
        <v>1.0765E7</v>
      </c>
      <c r="C1613" s="23">
        <f t="shared" si="1"/>
        <v>2377147.945</v>
      </c>
      <c r="D1613" s="18">
        <f>IF(A1613="","",MATCH(A1613,Calculation!B$2:B9627,1))</f>
        <v>1</v>
      </c>
      <c r="E1613" s="23">
        <f t="array" ref="E1613">IF(D1613="","",IF(D1613=1,0,INDEX(Calculation!Q$2:Q9627,D1613-1)))</f>
        <v>0</v>
      </c>
      <c r="F1613" s="23">
        <f t="array" ref="F1613">IF($A1613="","",
  LET(
    r, $D1613,
    startD, INDEX(Calculation!B$2:B9627, r),
    endD,   INDEX(Calculation!C$2:C9627, r),
    asOf,   MIN($A1613,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2377147.945</v>
      </c>
    </row>
    <row r="1614">
      <c r="A1614" s="19">
        <v>43849.0</v>
      </c>
      <c r="B1614" s="23">
        <v>1.0765E7</v>
      </c>
      <c r="C1614" s="23">
        <f t="shared" si="1"/>
        <v>2378622.603</v>
      </c>
      <c r="D1614" s="18">
        <f>IF(A1614="","",MATCH(A1614,Calculation!B$2:B9627,1))</f>
        <v>1</v>
      </c>
      <c r="E1614" s="23">
        <f t="array" ref="E1614">IF(D1614="","",IF(D1614=1,0,INDEX(Calculation!Q$2:Q9627,D1614-1)))</f>
        <v>0</v>
      </c>
      <c r="F1614" s="23">
        <f t="array" ref="F1614">IF($A1614="","",
  LET(
    r, $D1614,
    startD, INDEX(Calculation!B$2:B9627, r),
    endD,   INDEX(Calculation!C$2:C9627, r),
    asOf,   MIN($A1614,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2378622.603</v>
      </c>
    </row>
    <row r="1615">
      <c r="A1615" s="19">
        <v>43850.0</v>
      </c>
      <c r="B1615" s="23">
        <v>1.0765E7</v>
      </c>
      <c r="C1615" s="23">
        <f t="shared" si="1"/>
        <v>2380097.26</v>
      </c>
      <c r="D1615" s="18">
        <f>IF(A1615="","",MATCH(A1615,Calculation!B$2:B9627,1))</f>
        <v>1</v>
      </c>
      <c r="E1615" s="23">
        <f t="array" ref="E1615">IF(D1615="","",IF(D1615=1,0,INDEX(Calculation!Q$2:Q9627,D1615-1)))</f>
        <v>0</v>
      </c>
      <c r="F1615" s="23">
        <f t="array" ref="F1615">IF($A1615="","",
  LET(
    r, $D1615,
    startD, INDEX(Calculation!B$2:B9627, r),
    endD,   INDEX(Calculation!C$2:C9627, r),
    asOf,   MIN($A1615,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2380097.26</v>
      </c>
    </row>
    <row r="1616">
      <c r="A1616" s="19">
        <v>43851.0</v>
      </c>
      <c r="B1616" s="23">
        <v>1.0765E7</v>
      </c>
      <c r="C1616" s="23">
        <f t="shared" si="1"/>
        <v>2381571.918</v>
      </c>
      <c r="D1616" s="18">
        <f>IF(A1616="","",MATCH(A1616,Calculation!B$2:B9627,1))</f>
        <v>1</v>
      </c>
      <c r="E1616" s="23">
        <f t="array" ref="E1616">IF(D1616="","",IF(D1616=1,0,INDEX(Calculation!Q$2:Q9627,D1616-1)))</f>
        <v>0</v>
      </c>
      <c r="F1616" s="23">
        <f t="array" ref="F1616">IF($A1616="","",
  LET(
    r, $D1616,
    startD, INDEX(Calculation!B$2:B9627, r),
    endD,   INDEX(Calculation!C$2:C9627, r),
    asOf,   MIN($A1616,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2381571.918</v>
      </c>
    </row>
    <row r="1617">
      <c r="A1617" s="19">
        <v>43852.0</v>
      </c>
      <c r="B1617" s="23">
        <v>1.0765E7</v>
      </c>
      <c r="C1617" s="23">
        <f t="shared" si="1"/>
        <v>2383046.575</v>
      </c>
      <c r="D1617" s="18">
        <f>IF(A1617="","",MATCH(A1617,Calculation!B$2:B9627,1))</f>
        <v>1</v>
      </c>
      <c r="E1617" s="23">
        <f t="array" ref="E1617">IF(D1617="","",IF(D1617=1,0,INDEX(Calculation!Q$2:Q9627,D1617-1)))</f>
        <v>0</v>
      </c>
      <c r="F1617" s="23">
        <f t="array" ref="F1617">IF($A1617="","",
  LET(
    r, $D1617,
    startD, INDEX(Calculation!B$2:B9627, r),
    endD,   INDEX(Calculation!C$2:C9627, r),
    asOf,   MIN($A1617,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2383046.575</v>
      </c>
    </row>
    <row r="1618">
      <c r="A1618" s="19">
        <v>43853.0</v>
      </c>
      <c r="B1618" s="23">
        <v>1.0765E7</v>
      </c>
      <c r="C1618" s="23">
        <f t="shared" si="1"/>
        <v>2384521.233</v>
      </c>
      <c r="D1618" s="18">
        <f>IF(A1618="","",MATCH(A1618,Calculation!B$2:B9627,1))</f>
        <v>1</v>
      </c>
      <c r="E1618" s="23">
        <f t="array" ref="E1618">IF(D1618="","",IF(D1618=1,0,INDEX(Calculation!Q$2:Q9627,D1618-1)))</f>
        <v>0</v>
      </c>
      <c r="F1618" s="23">
        <f t="array" ref="F1618">IF($A1618="","",
  LET(
    r, $D1618,
    startD, INDEX(Calculation!B$2:B9627, r),
    endD,   INDEX(Calculation!C$2:C9627, r),
    asOf,   MIN($A1618,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2384521.233</v>
      </c>
    </row>
    <row r="1619">
      <c r="A1619" s="19">
        <v>43854.0</v>
      </c>
      <c r="B1619" s="23">
        <v>1.0765E7</v>
      </c>
      <c r="C1619" s="23">
        <f t="shared" si="1"/>
        <v>2385995.89</v>
      </c>
      <c r="D1619" s="18">
        <f>IF(A1619="","",MATCH(A1619,Calculation!B$2:B9627,1))</f>
        <v>1</v>
      </c>
      <c r="E1619" s="23">
        <f t="array" ref="E1619">IF(D1619="","",IF(D1619=1,0,INDEX(Calculation!Q$2:Q9627,D1619-1)))</f>
        <v>0</v>
      </c>
      <c r="F1619" s="23">
        <f t="array" ref="F1619">IF($A1619="","",
  LET(
    r, $D1619,
    startD, INDEX(Calculation!B$2:B9627, r),
    endD,   INDEX(Calculation!C$2:C9627, r),
    asOf,   MIN($A1619,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2385995.89</v>
      </c>
    </row>
    <row r="1620">
      <c r="A1620" s="19">
        <v>43855.0</v>
      </c>
      <c r="B1620" s="23">
        <v>1.0765E7</v>
      </c>
      <c r="C1620" s="23">
        <f t="shared" si="1"/>
        <v>2387470.548</v>
      </c>
      <c r="D1620" s="18">
        <f>IF(A1620="","",MATCH(A1620,Calculation!B$2:B9627,1))</f>
        <v>1</v>
      </c>
      <c r="E1620" s="23">
        <f t="array" ref="E1620">IF(D1620="","",IF(D1620=1,0,INDEX(Calculation!Q$2:Q9627,D1620-1)))</f>
        <v>0</v>
      </c>
      <c r="F1620" s="23">
        <f t="array" ref="F1620">IF($A1620="","",
  LET(
    r, $D1620,
    startD, INDEX(Calculation!B$2:B9627, r),
    endD,   INDEX(Calculation!C$2:C9627, r),
    asOf,   MIN($A1620,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2387470.548</v>
      </c>
    </row>
    <row r="1621">
      <c r="A1621" s="19">
        <v>43856.0</v>
      </c>
      <c r="B1621" s="23">
        <v>1.0765E7</v>
      </c>
      <c r="C1621" s="23">
        <f t="shared" si="1"/>
        <v>2388945.205</v>
      </c>
      <c r="D1621" s="18">
        <f>IF(A1621="","",MATCH(A1621,Calculation!B$2:B9627,1))</f>
        <v>1</v>
      </c>
      <c r="E1621" s="23">
        <f t="array" ref="E1621">IF(D1621="","",IF(D1621=1,0,INDEX(Calculation!Q$2:Q9627,D1621-1)))</f>
        <v>0</v>
      </c>
      <c r="F1621" s="23">
        <f t="array" ref="F1621">IF($A1621="","",
  LET(
    r, $D1621,
    startD, INDEX(Calculation!B$2:B9627, r),
    endD,   INDEX(Calculation!C$2:C9627, r),
    asOf,   MIN($A1621,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2388945.205</v>
      </c>
    </row>
    <row r="1622">
      <c r="A1622" s="19">
        <v>43857.0</v>
      </c>
      <c r="B1622" s="23">
        <v>1.0765E7</v>
      </c>
      <c r="C1622" s="23">
        <f t="shared" si="1"/>
        <v>2390419.863</v>
      </c>
      <c r="D1622" s="18">
        <f>IF(A1622="","",MATCH(A1622,Calculation!B$2:B9627,1))</f>
        <v>1</v>
      </c>
      <c r="E1622" s="23">
        <f t="array" ref="E1622">IF(D1622="","",IF(D1622=1,0,INDEX(Calculation!Q$2:Q9627,D1622-1)))</f>
        <v>0</v>
      </c>
      <c r="F1622" s="23">
        <f t="array" ref="F1622">IF($A1622="","",
  LET(
    r, $D1622,
    startD, INDEX(Calculation!B$2:B9627, r),
    endD,   INDEX(Calculation!C$2:C9627, r),
    asOf,   MIN($A1622,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2390419.863</v>
      </c>
    </row>
    <row r="1623">
      <c r="A1623" s="19">
        <v>43858.0</v>
      </c>
      <c r="B1623" s="23">
        <v>1.0765E7</v>
      </c>
      <c r="C1623" s="23">
        <f t="shared" si="1"/>
        <v>2391894.521</v>
      </c>
      <c r="D1623" s="18">
        <f>IF(A1623="","",MATCH(A1623,Calculation!B$2:B9627,1))</f>
        <v>1</v>
      </c>
      <c r="E1623" s="23">
        <f t="array" ref="E1623">IF(D1623="","",IF(D1623=1,0,INDEX(Calculation!Q$2:Q9627,D1623-1)))</f>
        <v>0</v>
      </c>
      <c r="F1623" s="23">
        <f t="array" ref="F1623">IF($A1623="","",
  LET(
    r, $D1623,
    startD, INDEX(Calculation!B$2:B9627, r),
    endD,   INDEX(Calculation!C$2:C9627, r),
    asOf,   MIN($A1623,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2391894.521</v>
      </c>
    </row>
    <row r="1624">
      <c r="A1624" s="19">
        <v>43859.0</v>
      </c>
      <c r="B1624" s="23">
        <v>1.0765E7</v>
      </c>
      <c r="C1624" s="23">
        <f t="shared" si="1"/>
        <v>2393369.178</v>
      </c>
      <c r="D1624" s="18">
        <f>IF(A1624="","",MATCH(A1624,Calculation!B$2:B9627,1))</f>
        <v>1</v>
      </c>
      <c r="E1624" s="23">
        <f t="array" ref="E1624">IF(D1624="","",IF(D1624=1,0,INDEX(Calculation!Q$2:Q9627,D1624-1)))</f>
        <v>0</v>
      </c>
      <c r="F1624" s="23">
        <f t="array" ref="F1624">IF($A1624="","",
  LET(
    r, $D1624,
    startD, INDEX(Calculation!B$2:B9627, r),
    endD,   INDEX(Calculation!C$2:C9627, r),
    asOf,   MIN($A1624,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2393369.178</v>
      </c>
    </row>
    <row r="1625">
      <c r="A1625" s="19">
        <v>43860.0</v>
      </c>
      <c r="B1625" s="23">
        <v>1.0765E7</v>
      </c>
      <c r="C1625" s="23">
        <f t="shared" si="1"/>
        <v>2394843.836</v>
      </c>
      <c r="D1625" s="18">
        <f>IF(A1625="","",MATCH(A1625,Calculation!B$2:B9627,1))</f>
        <v>1</v>
      </c>
      <c r="E1625" s="23">
        <f t="array" ref="E1625">IF(D1625="","",IF(D1625=1,0,INDEX(Calculation!Q$2:Q9627,D1625-1)))</f>
        <v>0</v>
      </c>
      <c r="F1625" s="23">
        <f t="array" ref="F1625">IF($A1625="","",
  LET(
    r, $D1625,
    startD, INDEX(Calculation!B$2:B9627, r),
    endD,   INDEX(Calculation!C$2:C9627, r),
    asOf,   MIN($A1625,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2394843.836</v>
      </c>
    </row>
    <row r="1626">
      <c r="A1626" s="19">
        <v>43861.0</v>
      </c>
      <c r="B1626" s="23">
        <v>1.0765E7</v>
      </c>
      <c r="C1626" s="23">
        <f t="shared" si="1"/>
        <v>2396318.493</v>
      </c>
      <c r="D1626" s="18">
        <f>IF(A1626="","",MATCH(A1626,Calculation!B$2:B9627,1))</f>
        <v>1</v>
      </c>
      <c r="E1626" s="23">
        <f t="array" ref="E1626">IF(D1626="","",IF(D1626=1,0,INDEX(Calculation!Q$2:Q9627,D1626-1)))</f>
        <v>0</v>
      </c>
      <c r="F1626" s="23">
        <f t="array" ref="F1626">IF($A1626="","",
  LET(
    r, $D1626,
    startD, INDEX(Calculation!B$2:B9627, r),
    endD,   INDEX(Calculation!C$2:C9627, r),
    asOf,   MIN($A1626,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2396318.493</v>
      </c>
    </row>
    <row r="1627">
      <c r="A1627" s="19">
        <v>43862.0</v>
      </c>
      <c r="B1627" s="23">
        <v>1.0765E7</v>
      </c>
      <c r="C1627" s="23">
        <f t="shared" si="1"/>
        <v>2397793.151</v>
      </c>
      <c r="D1627" s="18">
        <f>IF(A1627="","",MATCH(A1627,Calculation!B$2:B9627,1))</f>
        <v>1</v>
      </c>
      <c r="E1627" s="23">
        <f t="array" ref="E1627">IF(D1627="","",IF(D1627=1,0,INDEX(Calculation!Q$2:Q9627,D1627-1)))</f>
        <v>0</v>
      </c>
      <c r="F1627" s="23">
        <f t="array" ref="F1627">IF($A1627="","",
  LET(
    r, $D1627,
    startD, INDEX(Calculation!B$2:B9627, r),
    endD,   INDEX(Calculation!C$2:C9627, r),
    asOf,   MIN($A1627,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2397793.151</v>
      </c>
    </row>
    <row r="1628">
      <c r="A1628" s="19">
        <v>43863.0</v>
      </c>
      <c r="B1628" s="23">
        <v>1.0765E7</v>
      </c>
      <c r="C1628" s="23">
        <f t="shared" si="1"/>
        <v>2399267.808</v>
      </c>
      <c r="D1628" s="18">
        <f>IF(A1628="","",MATCH(A1628,Calculation!B$2:B9627,1))</f>
        <v>1</v>
      </c>
      <c r="E1628" s="23">
        <f t="array" ref="E1628">IF(D1628="","",IF(D1628=1,0,INDEX(Calculation!Q$2:Q9627,D1628-1)))</f>
        <v>0</v>
      </c>
      <c r="F1628" s="23">
        <f t="array" ref="F1628">IF($A1628="","",
  LET(
    r, $D1628,
    startD, INDEX(Calculation!B$2:B9627, r),
    endD,   INDEX(Calculation!C$2:C9627, r),
    asOf,   MIN($A1628,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2399267.808</v>
      </c>
    </row>
    <row r="1629">
      <c r="A1629" s="19">
        <v>43864.0</v>
      </c>
      <c r="B1629" s="23">
        <v>1.0765E7</v>
      </c>
      <c r="C1629" s="23">
        <f t="shared" si="1"/>
        <v>2400742.466</v>
      </c>
      <c r="D1629" s="18">
        <f>IF(A1629="","",MATCH(A1629,Calculation!B$2:B9627,1))</f>
        <v>1</v>
      </c>
      <c r="E1629" s="23">
        <f t="array" ref="E1629">IF(D1629="","",IF(D1629=1,0,INDEX(Calculation!Q$2:Q9627,D1629-1)))</f>
        <v>0</v>
      </c>
      <c r="F1629" s="23">
        <f t="array" ref="F1629">IF($A1629="","",
  LET(
    r, $D1629,
    startD, INDEX(Calculation!B$2:B9627, r),
    endD,   INDEX(Calculation!C$2:C9627, r),
    asOf,   MIN($A1629,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2400742.466</v>
      </c>
    </row>
    <row r="1630">
      <c r="A1630" s="19">
        <v>43865.0</v>
      </c>
      <c r="B1630" s="23">
        <v>1.0765E7</v>
      </c>
      <c r="C1630" s="23">
        <f t="shared" si="1"/>
        <v>2402217.123</v>
      </c>
      <c r="D1630" s="18">
        <f>IF(A1630="","",MATCH(A1630,Calculation!B$2:B9627,1))</f>
        <v>1</v>
      </c>
      <c r="E1630" s="23">
        <f t="array" ref="E1630">IF(D1630="","",IF(D1630=1,0,INDEX(Calculation!Q$2:Q9627,D1630-1)))</f>
        <v>0</v>
      </c>
      <c r="F1630" s="23">
        <f t="array" ref="F1630">IF($A1630="","",
  LET(
    r, $D1630,
    startD, INDEX(Calculation!B$2:B9627, r),
    endD,   INDEX(Calculation!C$2:C9627, r),
    asOf,   MIN($A1630,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2402217.123</v>
      </c>
    </row>
    <row r="1631">
      <c r="A1631" s="19">
        <v>43866.0</v>
      </c>
      <c r="B1631" s="23">
        <v>1.0765E7</v>
      </c>
      <c r="C1631" s="23">
        <f t="shared" si="1"/>
        <v>2403691.781</v>
      </c>
      <c r="D1631" s="18">
        <f>IF(A1631="","",MATCH(A1631,Calculation!B$2:B9627,1))</f>
        <v>1</v>
      </c>
      <c r="E1631" s="23">
        <f t="array" ref="E1631">IF(D1631="","",IF(D1631=1,0,INDEX(Calculation!Q$2:Q9627,D1631-1)))</f>
        <v>0</v>
      </c>
      <c r="F1631" s="23">
        <f t="array" ref="F1631">IF($A1631="","",
  LET(
    r, $D1631,
    startD, INDEX(Calculation!B$2:B9627, r),
    endD,   INDEX(Calculation!C$2:C9627, r),
    asOf,   MIN($A1631,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2403691.781</v>
      </c>
    </row>
    <row r="1632">
      <c r="A1632" s="19">
        <v>43867.0</v>
      </c>
      <c r="B1632" s="23">
        <v>1.0765E7</v>
      </c>
      <c r="C1632" s="23">
        <f t="shared" si="1"/>
        <v>2405166.438</v>
      </c>
      <c r="D1632" s="18">
        <f>IF(A1632="","",MATCH(A1632,Calculation!B$2:B9627,1))</f>
        <v>1</v>
      </c>
      <c r="E1632" s="23">
        <f t="array" ref="E1632">IF(D1632="","",IF(D1632=1,0,INDEX(Calculation!Q$2:Q9627,D1632-1)))</f>
        <v>0</v>
      </c>
      <c r="F1632" s="23">
        <f t="array" ref="F1632">IF($A1632="","",
  LET(
    r, $D1632,
    startD, INDEX(Calculation!B$2:B9627, r),
    endD,   INDEX(Calculation!C$2:C9627, r),
    asOf,   MIN($A1632,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2405166.438</v>
      </c>
    </row>
    <row r="1633">
      <c r="A1633" s="19">
        <v>43868.0</v>
      </c>
      <c r="B1633" s="23">
        <v>1.0765E7</v>
      </c>
      <c r="C1633" s="23">
        <f t="shared" si="1"/>
        <v>2406641.096</v>
      </c>
      <c r="D1633" s="18">
        <f>IF(A1633="","",MATCH(A1633,Calculation!B$2:B9627,1))</f>
        <v>1</v>
      </c>
      <c r="E1633" s="23">
        <f t="array" ref="E1633">IF(D1633="","",IF(D1633=1,0,INDEX(Calculation!Q$2:Q9627,D1633-1)))</f>
        <v>0</v>
      </c>
      <c r="F1633" s="23">
        <f t="array" ref="F1633">IF($A1633="","",
  LET(
    r, $D1633,
    startD, INDEX(Calculation!B$2:B9627, r),
    endD,   INDEX(Calculation!C$2:C9627, r),
    asOf,   MIN($A1633,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2406641.096</v>
      </c>
    </row>
    <row r="1634">
      <c r="A1634" s="19">
        <v>43869.0</v>
      </c>
      <c r="B1634" s="23">
        <v>1.0765E7</v>
      </c>
      <c r="C1634" s="23">
        <f t="shared" si="1"/>
        <v>2408115.753</v>
      </c>
      <c r="D1634" s="18">
        <f>IF(A1634="","",MATCH(A1634,Calculation!B$2:B9627,1))</f>
        <v>1</v>
      </c>
      <c r="E1634" s="23">
        <f t="array" ref="E1634">IF(D1634="","",IF(D1634=1,0,INDEX(Calculation!Q$2:Q9627,D1634-1)))</f>
        <v>0</v>
      </c>
      <c r="F1634" s="23">
        <f t="array" ref="F1634">IF($A1634="","",
  LET(
    r, $D1634,
    startD, INDEX(Calculation!B$2:B9627, r),
    endD,   INDEX(Calculation!C$2:C9627, r),
    asOf,   MIN($A1634,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2408115.753</v>
      </c>
    </row>
    <row r="1635">
      <c r="A1635" s="19">
        <v>43870.0</v>
      </c>
      <c r="B1635" s="23">
        <v>1.0765E7</v>
      </c>
      <c r="C1635" s="23">
        <f t="shared" si="1"/>
        <v>2409590.411</v>
      </c>
      <c r="D1635" s="18">
        <f>IF(A1635="","",MATCH(A1635,Calculation!B$2:B9627,1))</f>
        <v>1</v>
      </c>
      <c r="E1635" s="23">
        <f t="array" ref="E1635">IF(D1635="","",IF(D1635=1,0,INDEX(Calculation!Q$2:Q9627,D1635-1)))</f>
        <v>0</v>
      </c>
      <c r="F1635" s="23">
        <f t="array" ref="F1635">IF($A1635="","",
  LET(
    r, $D1635,
    startD, INDEX(Calculation!B$2:B9627, r),
    endD,   INDEX(Calculation!C$2:C9627, r),
    asOf,   MIN($A1635,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2409590.411</v>
      </c>
    </row>
    <row r="1636">
      <c r="A1636" s="19">
        <v>43871.0</v>
      </c>
      <c r="B1636" s="23">
        <v>1.0765E7</v>
      </c>
      <c r="C1636" s="23">
        <f t="shared" si="1"/>
        <v>2411065.068</v>
      </c>
      <c r="D1636" s="18">
        <f>IF(A1636="","",MATCH(A1636,Calculation!B$2:B9627,1))</f>
        <v>1</v>
      </c>
      <c r="E1636" s="23">
        <f t="array" ref="E1636">IF(D1636="","",IF(D1636=1,0,INDEX(Calculation!Q$2:Q9627,D1636-1)))</f>
        <v>0</v>
      </c>
      <c r="F1636" s="23">
        <f t="array" ref="F1636">IF($A1636="","",
  LET(
    r, $D1636,
    startD, INDEX(Calculation!B$2:B9627, r),
    endD,   INDEX(Calculation!C$2:C9627, r),
    asOf,   MIN($A1636,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2411065.068</v>
      </c>
    </row>
    <row r="1637">
      <c r="A1637" s="19">
        <v>43872.0</v>
      </c>
      <c r="B1637" s="23">
        <v>1.0765E7</v>
      </c>
      <c r="C1637" s="23">
        <f t="shared" si="1"/>
        <v>2412539.726</v>
      </c>
      <c r="D1637" s="18">
        <f>IF(A1637="","",MATCH(A1637,Calculation!B$2:B9627,1))</f>
        <v>1</v>
      </c>
      <c r="E1637" s="23">
        <f t="array" ref="E1637">IF(D1637="","",IF(D1637=1,0,INDEX(Calculation!Q$2:Q9627,D1637-1)))</f>
        <v>0</v>
      </c>
      <c r="F1637" s="23">
        <f t="array" ref="F1637">IF($A1637="","",
  LET(
    r, $D1637,
    startD, INDEX(Calculation!B$2:B9627, r),
    endD,   INDEX(Calculation!C$2:C9627, r),
    asOf,   MIN($A1637,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2412539.726</v>
      </c>
    </row>
    <row r="1638">
      <c r="A1638" s="19">
        <v>43873.0</v>
      </c>
      <c r="B1638" s="23">
        <v>1.0765E7</v>
      </c>
      <c r="C1638" s="23">
        <f t="shared" si="1"/>
        <v>2414014.384</v>
      </c>
      <c r="D1638" s="18">
        <f>IF(A1638="","",MATCH(A1638,Calculation!B$2:B9627,1))</f>
        <v>1</v>
      </c>
      <c r="E1638" s="23">
        <f t="array" ref="E1638">IF(D1638="","",IF(D1638=1,0,INDEX(Calculation!Q$2:Q9627,D1638-1)))</f>
        <v>0</v>
      </c>
      <c r="F1638" s="23">
        <f t="array" ref="F1638">IF($A1638="","",
  LET(
    r, $D1638,
    startD, INDEX(Calculation!B$2:B9627, r),
    endD,   INDEX(Calculation!C$2:C9627, r),
    asOf,   MIN($A1638,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2414014.384</v>
      </c>
    </row>
    <row r="1639">
      <c r="A1639" s="19">
        <v>43874.0</v>
      </c>
      <c r="B1639" s="23">
        <v>1.0765E7</v>
      </c>
      <c r="C1639" s="23">
        <f t="shared" si="1"/>
        <v>2415489.041</v>
      </c>
      <c r="D1639" s="18">
        <f>IF(A1639="","",MATCH(A1639,Calculation!B$2:B9627,1))</f>
        <v>1</v>
      </c>
      <c r="E1639" s="23">
        <f t="array" ref="E1639">IF(D1639="","",IF(D1639=1,0,INDEX(Calculation!Q$2:Q9627,D1639-1)))</f>
        <v>0</v>
      </c>
      <c r="F1639" s="23">
        <f t="array" ref="F1639">IF($A1639="","",
  LET(
    r, $D1639,
    startD, INDEX(Calculation!B$2:B9627, r),
    endD,   INDEX(Calculation!C$2:C9627, r),
    asOf,   MIN($A1639,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2415489.041</v>
      </c>
    </row>
    <row r="1640">
      <c r="A1640" s="19">
        <v>43875.0</v>
      </c>
      <c r="B1640" s="23">
        <v>1.0765E7</v>
      </c>
      <c r="C1640" s="23">
        <f t="shared" si="1"/>
        <v>2416963.699</v>
      </c>
      <c r="D1640" s="18">
        <f>IF(A1640="","",MATCH(A1640,Calculation!B$2:B9627,1))</f>
        <v>1</v>
      </c>
      <c r="E1640" s="23">
        <f t="array" ref="E1640">IF(D1640="","",IF(D1640=1,0,INDEX(Calculation!Q$2:Q9627,D1640-1)))</f>
        <v>0</v>
      </c>
      <c r="F1640" s="23">
        <f t="array" ref="F1640">IF($A1640="","",
  LET(
    r, $D1640,
    startD, INDEX(Calculation!B$2:B9627, r),
    endD,   INDEX(Calculation!C$2:C9627, r),
    asOf,   MIN($A1640,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2416963.699</v>
      </c>
    </row>
    <row r="1641">
      <c r="A1641" s="19">
        <v>43876.0</v>
      </c>
      <c r="B1641" s="23">
        <v>1.0765E7</v>
      </c>
      <c r="C1641" s="23">
        <f t="shared" si="1"/>
        <v>2418438.356</v>
      </c>
      <c r="D1641" s="18">
        <f>IF(A1641="","",MATCH(A1641,Calculation!B$2:B9627,1))</f>
        <v>1</v>
      </c>
      <c r="E1641" s="23">
        <f t="array" ref="E1641">IF(D1641="","",IF(D1641=1,0,INDEX(Calculation!Q$2:Q9627,D1641-1)))</f>
        <v>0</v>
      </c>
      <c r="F1641" s="23">
        <f t="array" ref="F1641">IF($A1641="","",
  LET(
    r, $D1641,
    startD, INDEX(Calculation!B$2:B9627, r),
    endD,   INDEX(Calculation!C$2:C9627, r),
    asOf,   MIN($A1641,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2418438.356</v>
      </c>
    </row>
    <row r="1642">
      <c r="A1642" s="19">
        <v>43877.0</v>
      </c>
      <c r="B1642" s="23">
        <v>1.0765E7</v>
      </c>
      <c r="C1642" s="23">
        <f t="shared" si="1"/>
        <v>2419913.014</v>
      </c>
      <c r="D1642" s="18">
        <f>IF(A1642="","",MATCH(A1642,Calculation!B$2:B9627,1))</f>
        <v>1</v>
      </c>
      <c r="E1642" s="23">
        <f t="array" ref="E1642">IF(D1642="","",IF(D1642=1,0,INDEX(Calculation!Q$2:Q9627,D1642-1)))</f>
        <v>0</v>
      </c>
      <c r="F1642" s="23">
        <f t="array" ref="F1642">IF($A1642="","",
  LET(
    r, $D1642,
    startD, INDEX(Calculation!B$2:B9627, r),
    endD,   INDEX(Calculation!C$2:C9627, r),
    asOf,   MIN($A1642,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2419913.014</v>
      </c>
    </row>
    <row r="1643">
      <c r="A1643" s="19">
        <v>43878.0</v>
      </c>
      <c r="B1643" s="23">
        <v>1.0765E7</v>
      </c>
      <c r="C1643" s="23">
        <f t="shared" si="1"/>
        <v>2421387.671</v>
      </c>
      <c r="D1643" s="18">
        <f>IF(A1643="","",MATCH(A1643,Calculation!B$2:B9627,1))</f>
        <v>1</v>
      </c>
      <c r="E1643" s="23">
        <f t="array" ref="E1643">IF(D1643="","",IF(D1643=1,0,INDEX(Calculation!Q$2:Q9627,D1643-1)))</f>
        <v>0</v>
      </c>
      <c r="F1643" s="23">
        <f t="array" ref="F1643">IF($A1643="","",
  LET(
    r, $D1643,
    startD, INDEX(Calculation!B$2:B9627, r),
    endD,   INDEX(Calculation!C$2:C9627, r),
    asOf,   MIN($A1643,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2421387.671</v>
      </c>
    </row>
    <row r="1644">
      <c r="A1644" s="19">
        <v>43879.0</v>
      </c>
      <c r="B1644" s="23">
        <v>1.0765E7</v>
      </c>
      <c r="C1644" s="23">
        <f t="shared" si="1"/>
        <v>2422862.329</v>
      </c>
      <c r="D1644" s="18">
        <f>IF(A1644="","",MATCH(A1644,Calculation!B$2:B9627,1))</f>
        <v>1</v>
      </c>
      <c r="E1644" s="23">
        <f t="array" ref="E1644">IF(D1644="","",IF(D1644=1,0,INDEX(Calculation!Q$2:Q9627,D1644-1)))</f>
        <v>0</v>
      </c>
      <c r="F1644" s="23">
        <f t="array" ref="F1644">IF($A1644="","",
  LET(
    r, $D1644,
    startD, INDEX(Calculation!B$2:B9627, r),
    endD,   INDEX(Calculation!C$2:C9627, r),
    asOf,   MIN($A1644,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2422862.329</v>
      </c>
    </row>
    <row r="1645">
      <c r="A1645" s="19">
        <v>43880.0</v>
      </c>
      <c r="B1645" s="23">
        <v>1.0765E7</v>
      </c>
      <c r="C1645" s="23">
        <f t="shared" si="1"/>
        <v>2424336.986</v>
      </c>
      <c r="D1645" s="18">
        <f>IF(A1645="","",MATCH(A1645,Calculation!B$2:B9627,1))</f>
        <v>1</v>
      </c>
      <c r="E1645" s="23">
        <f t="array" ref="E1645">IF(D1645="","",IF(D1645=1,0,INDEX(Calculation!Q$2:Q9627,D1645-1)))</f>
        <v>0</v>
      </c>
      <c r="F1645" s="23">
        <f t="array" ref="F1645">IF($A1645="","",
  LET(
    r, $D1645,
    startD, INDEX(Calculation!B$2:B9627, r),
    endD,   INDEX(Calculation!C$2:C9627, r),
    asOf,   MIN($A1645,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2424336.986</v>
      </c>
    </row>
    <row r="1646">
      <c r="A1646" s="19">
        <v>43881.0</v>
      </c>
      <c r="B1646" s="23">
        <v>1.0765E7</v>
      </c>
      <c r="C1646" s="23">
        <f t="shared" si="1"/>
        <v>2425811.644</v>
      </c>
      <c r="D1646" s="18">
        <f>IF(A1646="","",MATCH(A1646,Calculation!B$2:B9627,1))</f>
        <v>1</v>
      </c>
      <c r="E1646" s="23">
        <f t="array" ref="E1646">IF(D1646="","",IF(D1646=1,0,INDEX(Calculation!Q$2:Q9627,D1646-1)))</f>
        <v>0</v>
      </c>
      <c r="F1646" s="23">
        <f t="array" ref="F1646">IF($A1646="","",
  LET(
    r, $D1646,
    startD, INDEX(Calculation!B$2:B9627, r),
    endD,   INDEX(Calculation!C$2:C9627, r),
    asOf,   MIN($A1646,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2425811.644</v>
      </c>
    </row>
    <row r="1647">
      <c r="A1647" s="19">
        <v>43882.0</v>
      </c>
      <c r="B1647" s="23">
        <v>1.0765E7</v>
      </c>
      <c r="C1647" s="23">
        <f t="shared" si="1"/>
        <v>2427286.301</v>
      </c>
      <c r="D1647" s="18">
        <f>IF(A1647="","",MATCH(A1647,Calculation!B$2:B9627,1))</f>
        <v>1</v>
      </c>
      <c r="E1647" s="23">
        <f t="array" ref="E1647">IF(D1647="","",IF(D1647=1,0,INDEX(Calculation!Q$2:Q9627,D1647-1)))</f>
        <v>0</v>
      </c>
      <c r="F1647" s="23">
        <f t="array" ref="F1647">IF($A1647="","",
  LET(
    r, $D1647,
    startD, INDEX(Calculation!B$2:B9627, r),
    endD,   INDEX(Calculation!C$2:C9627, r),
    asOf,   MIN($A1647,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2427286.301</v>
      </c>
    </row>
    <row r="1648">
      <c r="A1648" s="19">
        <v>43883.0</v>
      </c>
      <c r="B1648" s="23">
        <v>1.0765E7</v>
      </c>
      <c r="C1648" s="23">
        <f t="shared" si="1"/>
        <v>2428760.959</v>
      </c>
      <c r="D1648" s="18">
        <f>IF(A1648="","",MATCH(A1648,Calculation!B$2:B9627,1))</f>
        <v>1</v>
      </c>
      <c r="E1648" s="23">
        <f t="array" ref="E1648">IF(D1648="","",IF(D1648=1,0,INDEX(Calculation!Q$2:Q9627,D1648-1)))</f>
        <v>0</v>
      </c>
      <c r="F1648" s="23">
        <f t="array" ref="F1648">IF($A1648="","",
  LET(
    r, $D1648,
    startD, INDEX(Calculation!B$2:B9627, r),
    endD,   INDEX(Calculation!C$2:C9627, r),
    asOf,   MIN($A1648,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2428760.959</v>
      </c>
    </row>
    <row r="1649">
      <c r="A1649" s="19">
        <v>43884.0</v>
      </c>
      <c r="B1649" s="23">
        <v>1.0765E7</v>
      </c>
      <c r="C1649" s="23">
        <f t="shared" si="1"/>
        <v>2430235.616</v>
      </c>
      <c r="D1649" s="18">
        <f>IF(A1649="","",MATCH(A1649,Calculation!B$2:B9627,1))</f>
        <v>1</v>
      </c>
      <c r="E1649" s="23">
        <f t="array" ref="E1649">IF(D1649="","",IF(D1649=1,0,INDEX(Calculation!Q$2:Q9627,D1649-1)))</f>
        <v>0</v>
      </c>
      <c r="F1649" s="23">
        <f t="array" ref="F1649">IF($A1649="","",
  LET(
    r, $D1649,
    startD, INDEX(Calculation!B$2:B9627, r),
    endD,   INDEX(Calculation!C$2:C9627, r),
    asOf,   MIN($A1649,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2430235.616</v>
      </c>
    </row>
    <row r="1650">
      <c r="A1650" s="19">
        <v>43885.0</v>
      </c>
      <c r="B1650" s="23">
        <v>1.0765E7</v>
      </c>
      <c r="C1650" s="23">
        <f t="shared" si="1"/>
        <v>2431710.274</v>
      </c>
      <c r="D1650" s="18">
        <f>IF(A1650="","",MATCH(A1650,Calculation!B$2:B9627,1))</f>
        <v>1</v>
      </c>
      <c r="E1650" s="23">
        <f t="array" ref="E1650">IF(D1650="","",IF(D1650=1,0,INDEX(Calculation!Q$2:Q9627,D1650-1)))</f>
        <v>0</v>
      </c>
      <c r="F1650" s="23">
        <f t="array" ref="F1650">IF($A1650="","",
  LET(
    r, $D1650,
    startD, INDEX(Calculation!B$2:B9627, r),
    endD,   INDEX(Calculation!C$2:C9627, r),
    asOf,   MIN($A1650,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2431710.274</v>
      </c>
    </row>
    <row r="1651">
      <c r="A1651" s="19">
        <v>43886.0</v>
      </c>
      <c r="B1651" s="23">
        <v>1.0765E7</v>
      </c>
      <c r="C1651" s="23">
        <f t="shared" si="1"/>
        <v>2433184.932</v>
      </c>
      <c r="D1651" s="18">
        <f>IF(A1651="","",MATCH(A1651,Calculation!B$2:B9627,1))</f>
        <v>1</v>
      </c>
      <c r="E1651" s="23">
        <f t="array" ref="E1651">IF(D1651="","",IF(D1651=1,0,INDEX(Calculation!Q$2:Q9627,D1651-1)))</f>
        <v>0</v>
      </c>
      <c r="F1651" s="23">
        <f t="array" ref="F1651">IF($A1651="","",
  LET(
    r, $D1651,
    startD, INDEX(Calculation!B$2:B9627, r),
    endD,   INDEX(Calculation!C$2:C9627, r),
    asOf,   MIN($A1651,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2433184.932</v>
      </c>
    </row>
    <row r="1652">
      <c r="A1652" s="19">
        <v>43887.0</v>
      </c>
      <c r="B1652" s="23">
        <v>1.0765E7</v>
      </c>
      <c r="C1652" s="23">
        <f t="shared" si="1"/>
        <v>2434659.589</v>
      </c>
      <c r="D1652" s="18">
        <f>IF(A1652="","",MATCH(A1652,Calculation!B$2:B9627,1))</f>
        <v>1</v>
      </c>
      <c r="E1652" s="23">
        <f t="array" ref="E1652">IF(D1652="","",IF(D1652=1,0,INDEX(Calculation!Q$2:Q9627,D1652-1)))</f>
        <v>0</v>
      </c>
      <c r="F1652" s="23">
        <f t="array" ref="F1652">IF($A1652="","",
  LET(
    r, $D1652,
    startD, INDEX(Calculation!B$2:B9627, r),
    endD,   INDEX(Calculation!C$2:C9627, r),
    asOf,   MIN($A1652,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2434659.589</v>
      </c>
    </row>
    <row r="1653">
      <c r="A1653" s="19">
        <v>43888.0</v>
      </c>
      <c r="B1653" s="23">
        <v>1.0765E7</v>
      </c>
      <c r="C1653" s="23">
        <f t="shared" si="1"/>
        <v>2436134.247</v>
      </c>
      <c r="D1653" s="18">
        <f>IF(A1653="","",MATCH(A1653,Calculation!B$2:B9627,1))</f>
        <v>1</v>
      </c>
      <c r="E1653" s="23">
        <f t="array" ref="E1653">IF(D1653="","",IF(D1653=1,0,INDEX(Calculation!Q$2:Q9627,D1653-1)))</f>
        <v>0</v>
      </c>
      <c r="F1653" s="23">
        <f t="array" ref="F1653">IF($A1653="","",
  LET(
    r, $D1653,
    startD, INDEX(Calculation!B$2:B9627, r),
    endD,   INDEX(Calculation!C$2:C9627, r),
    asOf,   MIN($A1653,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2436134.247</v>
      </c>
    </row>
    <row r="1654">
      <c r="A1654" s="19">
        <v>43889.0</v>
      </c>
      <c r="B1654" s="23">
        <v>1.0765E7</v>
      </c>
      <c r="C1654" s="23">
        <f t="shared" si="1"/>
        <v>2437608.904</v>
      </c>
      <c r="D1654" s="18">
        <f>IF(A1654="","",MATCH(A1654,Calculation!B$2:B9627,1))</f>
        <v>1</v>
      </c>
      <c r="E1654" s="23">
        <f t="array" ref="E1654">IF(D1654="","",IF(D1654=1,0,INDEX(Calculation!Q$2:Q9627,D1654-1)))</f>
        <v>0</v>
      </c>
      <c r="F1654" s="23">
        <f t="array" ref="F1654">IF($A1654="","",
  LET(
    r, $D1654,
    startD, INDEX(Calculation!B$2:B9627, r),
    endD,   INDEX(Calculation!C$2:C9627, r),
    asOf,   MIN($A1654,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2437608.904</v>
      </c>
    </row>
    <row r="1655">
      <c r="A1655" s="19">
        <v>43890.0</v>
      </c>
      <c r="B1655" s="23">
        <v>1.0765E7</v>
      </c>
      <c r="C1655" s="23">
        <f t="shared" si="1"/>
        <v>2439083.562</v>
      </c>
      <c r="D1655" s="18">
        <f>IF(A1655="","",MATCH(A1655,Calculation!B$2:B9627,1))</f>
        <v>1</v>
      </c>
      <c r="E1655" s="23">
        <f t="array" ref="E1655">IF(D1655="","",IF(D1655=1,0,INDEX(Calculation!Q$2:Q9627,D1655-1)))</f>
        <v>0</v>
      </c>
      <c r="F1655" s="23">
        <f t="array" ref="F1655">IF($A1655="","",
  LET(
    r, $D1655,
    startD, INDEX(Calculation!B$2:B9627, r),
    endD,   INDEX(Calculation!C$2:C9627, r),
    asOf,   MIN($A1655,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2439083.562</v>
      </c>
    </row>
    <row r="1656">
      <c r="A1656" s="19">
        <v>43891.0</v>
      </c>
      <c r="B1656" s="23">
        <v>1.0765E7</v>
      </c>
      <c r="C1656" s="23">
        <f t="shared" si="1"/>
        <v>2440558.219</v>
      </c>
      <c r="D1656" s="18">
        <f>IF(A1656="","",MATCH(A1656,Calculation!B$2:B9627,1))</f>
        <v>1</v>
      </c>
      <c r="E1656" s="23">
        <f t="array" ref="E1656">IF(D1656="","",IF(D1656=1,0,INDEX(Calculation!Q$2:Q9627,D1656-1)))</f>
        <v>0</v>
      </c>
      <c r="F1656" s="23">
        <f t="array" ref="F1656">IF($A1656="","",
  LET(
    r, $D1656,
    startD, INDEX(Calculation!B$2:B9627, r),
    endD,   INDEX(Calculation!C$2:C9627, r),
    asOf,   MIN($A1656,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2440558.219</v>
      </c>
    </row>
    <row r="1657">
      <c r="A1657" s="19">
        <v>43892.0</v>
      </c>
      <c r="B1657" s="23">
        <v>1.0765E7</v>
      </c>
      <c r="C1657" s="23">
        <f t="shared" si="1"/>
        <v>2442032.877</v>
      </c>
      <c r="D1657" s="18">
        <f>IF(A1657="","",MATCH(A1657,Calculation!B$2:B9627,1))</f>
        <v>1</v>
      </c>
      <c r="E1657" s="23">
        <f t="array" ref="E1657">IF(D1657="","",IF(D1657=1,0,INDEX(Calculation!Q$2:Q9627,D1657-1)))</f>
        <v>0</v>
      </c>
      <c r="F1657" s="23">
        <f t="array" ref="F1657">IF($A1657="","",
  LET(
    r, $D1657,
    startD, INDEX(Calculation!B$2:B9627, r),
    endD,   INDEX(Calculation!C$2:C9627, r),
    asOf,   MIN($A1657,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2442032.877</v>
      </c>
    </row>
    <row r="1658">
      <c r="A1658" s="19">
        <v>43893.0</v>
      </c>
      <c r="B1658" s="23">
        <v>1.0765E7</v>
      </c>
      <c r="C1658" s="23">
        <f t="shared" si="1"/>
        <v>2443507.534</v>
      </c>
      <c r="D1658" s="18">
        <f>IF(A1658="","",MATCH(A1658,Calculation!B$2:B9627,1))</f>
        <v>1</v>
      </c>
      <c r="E1658" s="23">
        <f t="array" ref="E1658">IF(D1658="","",IF(D1658=1,0,INDEX(Calculation!Q$2:Q9627,D1658-1)))</f>
        <v>0</v>
      </c>
      <c r="F1658" s="23">
        <f t="array" ref="F1658">IF($A1658="","",
  LET(
    r, $D1658,
    startD, INDEX(Calculation!B$2:B9627, r),
    endD,   INDEX(Calculation!C$2:C9627, r),
    asOf,   MIN($A1658,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2443507.534</v>
      </c>
    </row>
    <row r="1659">
      <c r="A1659" s="19">
        <v>43894.0</v>
      </c>
      <c r="B1659" s="23">
        <v>1.0765E7</v>
      </c>
      <c r="C1659" s="23">
        <f t="shared" si="1"/>
        <v>2444982.192</v>
      </c>
      <c r="D1659" s="18">
        <f>IF(A1659="","",MATCH(A1659,Calculation!B$2:B9627,1))</f>
        <v>1</v>
      </c>
      <c r="E1659" s="23">
        <f t="array" ref="E1659">IF(D1659="","",IF(D1659=1,0,INDEX(Calculation!Q$2:Q9627,D1659-1)))</f>
        <v>0</v>
      </c>
      <c r="F1659" s="23">
        <f t="array" ref="F1659">IF($A1659="","",
  LET(
    r, $D1659,
    startD, INDEX(Calculation!B$2:B9627, r),
    endD,   INDEX(Calculation!C$2:C9627, r),
    asOf,   MIN($A1659,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2444982.192</v>
      </c>
    </row>
    <row r="1660">
      <c r="A1660" s="19">
        <v>43895.0</v>
      </c>
      <c r="B1660" s="23">
        <v>1.0765E7</v>
      </c>
      <c r="C1660" s="23">
        <f t="shared" si="1"/>
        <v>2446456.849</v>
      </c>
      <c r="D1660" s="18">
        <f>IF(A1660="","",MATCH(A1660,Calculation!B$2:B9627,1))</f>
        <v>1</v>
      </c>
      <c r="E1660" s="23">
        <f t="array" ref="E1660">IF(D1660="","",IF(D1660=1,0,INDEX(Calculation!Q$2:Q9627,D1660-1)))</f>
        <v>0</v>
      </c>
      <c r="F1660" s="23">
        <f t="array" ref="F1660">IF($A1660="","",
  LET(
    r, $D1660,
    startD, INDEX(Calculation!B$2:B9627, r),
    endD,   INDEX(Calculation!C$2:C9627, r),
    asOf,   MIN($A1660,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2446456.849</v>
      </c>
    </row>
    <row r="1661">
      <c r="A1661" s="19">
        <v>43896.0</v>
      </c>
      <c r="B1661" s="23">
        <v>1.0765E7</v>
      </c>
      <c r="C1661" s="23">
        <f t="shared" si="1"/>
        <v>2447931.507</v>
      </c>
      <c r="D1661" s="18">
        <f>IF(A1661="","",MATCH(A1661,Calculation!B$2:B9627,1))</f>
        <v>1</v>
      </c>
      <c r="E1661" s="23">
        <f t="array" ref="E1661">IF(D1661="","",IF(D1661=1,0,INDEX(Calculation!Q$2:Q9627,D1661-1)))</f>
        <v>0</v>
      </c>
      <c r="F1661" s="23">
        <f t="array" ref="F1661">IF($A1661="","",
  LET(
    r, $D1661,
    startD, INDEX(Calculation!B$2:B9627, r),
    endD,   INDEX(Calculation!C$2:C9627, r),
    asOf,   MIN($A1661,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2447931.507</v>
      </c>
    </row>
    <row r="1662">
      <c r="A1662" s="19">
        <v>43897.0</v>
      </c>
      <c r="B1662" s="23">
        <v>1.0765E7</v>
      </c>
      <c r="C1662" s="23">
        <f t="shared" si="1"/>
        <v>2449406.164</v>
      </c>
      <c r="D1662" s="18">
        <f>IF(A1662="","",MATCH(A1662,Calculation!B$2:B9627,1))</f>
        <v>1</v>
      </c>
      <c r="E1662" s="23">
        <f t="array" ref="E1662">IF(D1662="","",IF(D1662=1,0,INDEX(Calculation!Q$2:Q9627,D1662-1)))</f>
        <v>0</v>
      </c>
      <c r="F1662" s="23">
        <f t="array" ref="F1662">IF($A1662="","",
  LET(
    r, $D1662,
    startD, INDEX(Calculation!B$2:B9627, r),
    endD,   INDEX(Calculation!C$2:C9627, r),
    asOf,   MIN($A1662,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2449406.164</v>
      </c>
    </row>
    <row r="1663">
      <c r="A1663" s="19">
        <v>43898.0</v>
      </c>
      <c r="B1663" s="23">
        <v>1.0765E7</v>
      </c>
      <c r="C1663" s="23">
        <f t="shared" si="1"/>
        <v>2450880.822</v>
      </c>
      <c r="D1663" s="18">
        <f>IF(A1663="","",MATCH(A1663,Calculation!B$2:B9627,1))</f>
        <v>1</v>
      </c>
      <c r="E1663" s="23">
        <f t="array" ref="E1663">IF(D1663="","",IF(D1663=1,0,INDEX(Calculation!Q$2:Q9627,D1663-1)))</f>
        <v>0</v>
      </c>
      <c r="F1663" s="23">
        <f t="array" ref="F1663">IF($A1663="","",
  LET(
    r, $D1663,
    startD, INDEX(Calculation!B$2:B9627, r),
    endD,   INDEX(Calculation!C$2:C9627, r),
    asOf,   MIN($A1663,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2450880.822</v>
      </c>
    </row>
    <row r="1664">
      <c r="A1664" s="19">
        <v>43899.0</v>
      </c>
      <c r="B1664" s="23">
        <v>1.0765E7</v>
      </c>
      <c r="C1664" s="23">
        <f t="shared" si="1"/>
        <v>2452355.479</v>
      </c>
      <c r="D1664" s="18">
        <f>IF(A1664="","",MATCH(A1664,Calculation!B$2:B9627,1))</f>
        <v>1</v>
      </c>
      <c r="E1664" s="23">
        <f t="array" ref="E1664">IF(D1664="","",IF(D1664=1,0,INDEX(Calculation!Q$2:Q9627,D1664-1)))</f>
        <v>0</v>
      </c>
      <c r="F1664" s="23">
        <f t="array" ref="F1664">IF($A1664="","",
  LET(
    r, $D1664,
    startD, INDEX(Calculation!B$2:B9627, r),
    endD,   INDEX(Calculation!C$2:C9627, r),
    asOf,   MIN($A1664,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2452355.479</v>
      </c>
    </row>
    <row r="1665">
      <c r="A1665" s="19">
        <v>43900.0</v>
      </c>
      <c r="B1665" s="23">
        <v>1.0765E7</v>
      </c>
      <c r="C1665" s="23">
        <f t="shared" si="1"/>
        <v>2453830.137</v>
      </c>
      <c r="D1665" s="18">
        <f>IF(A1665="","",MATCH(A1665,Calculation!B$2:B9627,1))</f>
        <v>1</v>
      </c>
      <c r="E1665" s="23">
        <f t="array" ref="E1665">IF(D1665="","",IF(D1665=1,0,INDEX(Calculation!Q$2:Q9627,D1665-1)))</f>
        <v>0</v>
      </c>
      <c r="F1665" s="23">
        <f t="array" ref="F1665">IF($A1665="","",
  LET(
    r, $D1665,
    startD, INDEX(Calculation!B$2:B9627, r),
    endD,   INDEX(Calculation!C$2:C9627, r),
    asOf,   MIN($A1665,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2453830.137</v>
      </c>
    </row>
    <row r="1666">
      <c r="A1666" s="19">
        <v>43901.0</v>
      </c>
      <c r="B1666" s="23">
        <v>1.0765E7</v>
      </c>
      <c r="C1666" s="23">
        <f t="shared" si="1"/>
        <v>2455304.795</v>
      </c>
      <c r="D1666" s="18">
        <f>IF(A1666="","",MATCH(A1666,Calculation!B$2:B9627,1))</f>
        <v>1</v>
      </c>
      <c r="E1666" s="23">
        <f t="array" ref="E1666">IF(D1666="","",IF(D1666=1,0,INDEX(Calculation!Q$2:Q9627,D1666-1)))</f>
        <v>0</v>
      </c>
      <c r="F1666" s="23">
        <f t="array" ref="F1666">IF($A1666="","",
  LET(
    r, $D1666,
    startD, INDEX(Calculation!B$2:B9627, r),
    endD,   INDEX(Calculation!C$2:C9627, r),
    asOf,   MIN($A1666,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2455304.795</v>
      </c>
    </row>
    <row r="1667">
      <c r="A1667" s="19">
        <v>43902.0</v>
      </c>
      <c r="B1667" s="23">
        <v>1.0765E7</v>
      </c>
      <c r="C1667" s="23">
        <f t="shared" si="1"/>
        <v>2456779.452</v>
      </c>
      <c r="D1667" s="18">
        <f>IF(A1667="","",MATCH(A1667,Calculation!B$2:B9627,1))</f>
        <v>1</v>
      </c>
      <c r="E1667" s="23">
        <f t="array" ref="E1667">IF(D1667="","",IF(D1667=1,0,INDEX(Calculation!Q$2:Q9627,D1667-1)))</f>
        <v>0</v>
      </c>
      <c r="F1667" s="23">
        <f t="array" ref="F1667">IF($A1667="","",
  LET(
    r, $D1667,
    startD, INDEX(Calculation!B$2:B9627, r),
    endD,   INDEX(Calculation!C$2:C9627, r),
    asOf,   MIN($A1667,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2456779.452</v>
      </c>
    </row>
    <row r="1668">
      <c r="A1668" s="19">
        <v>43903.0</v>
      </c>
      <c r="B1668" s="23">
        <v>1.0765E7</v>
      </c>
      <c r="C1668" s="23">
        <f t="shared" si="1"/>
        <v>2458254.11</v>
      </c>
      <c r="D1668" s="18">
        <f>IF(A1668="","",MATCH(A1668,Calculation!B$2:B9627,1))</f>
        <v>1</v>
      </c>
      <c r="E1668" s="23">
        <f t="array" ref="E1668">IF(D1668="","",IF(D1668=1,0,INDEX(Calculation!Q$2:Q9627,D1668-1)))</f>
        <v>0</v>
      </c>
      <c r="F1668" s="23">
        <f t="array" ref="F1668">IF($A1668="","",
  LET(
    r, $D1668,
    startD, INDEX(Calculation!B$2:B9627, r),
    endD,   INDEX(Calculation!C$2:C9627, r),
    asOf,   MIN($A1668,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2458254.11</v>
      </c>
    </row>
    <row r="1669">
      <c r="A1669" s="19">
        <v>43904.0</v>
      </c>
      <c r="B1669" s="23">
        <v>1.0765E7</v>
      </c>
      <c r="C1669" s="23">
        <f t="shared" si="1"/>
        <v>2459728.767</v>
      </c>
      <c r="D1669" s="18">
        <f>IF(A1669="","",MATCH(A1669,Calculation!B$2:B9627,1))</f>
        <v>1</v>
      </c>
      <c r="E1669" s="23">
        <f t="array" ref="E1669">IF(D1669="","",IF(D1669=1,0,INDEX(Calculation!Q$2:Q9627,D1669-1)))</f>
        <v>0</v>
      </c>
      <c r="F1669" s="23">
        <f t="array" ref="F1669">IF($A1669="","",
  LET(
    r, $D1669,
    startD, INDEX(Calculation!B$2:B9627, r),
    endD,   INDEX(Calculation!C$2:C9627, r),
    asOf,   MIN($A1669,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2459728.767</v>
      </c>
    </row>
    <row r="1670">
      <c r="A1670" s="19">
        <v>43905.0</v>
      </c>
      <c r="B1670" s="23">
        <v>1.0765E7</v>
      </c>
      <c r="C1670" s="23">
        <f t="shared" si="1"/>
        <v>2461203.425</v>
      </c>
      <c r="D1670" s="18">
        <f>IF(A1670="","",MATCH(A1670,Calculation!B$2:B9627,1))</f>
        <v>1</v>
      </c>
      <c r="E1670" s="23">
        <f t="array" ref="E1670">IF(D1670="","",IF(D1670=1,0,INDEX(Calculation!Q$2:Q9627,D1670-1)))</f>
        <v>0</v>
      </c>
      <c r="F1670" s="23">
        <f t="array" ref="F1670">IF($A1670="","",
  LET(
    r, $D1670,
    startD, INDEX(Calculation!B$2:B9627, r),
    endD,   INDEX(Calculation!C$2:C9627, r),
    asOf,   MIN($A1670,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2461203.425</v>
      </c>
    </row>
    <row r="1671">
      <c r="A1671" s="19">
        <v>43906.0</v>
      </c>
      <c r="B1671" s="23">
        <v>1.0765E7</v>
      </c>
      <c r="C1671" s="23">
        <f t="shared" si="1"/>
        <v>2462678.082</v>
      </c>
      <c r="D1671" s="18">
        <f>IF(A1671="","",MATCH(A1671,Calculation!B$2:B9627,1))</f>
        <v>1</v>
      </c>
      <c r="E1671" s="23">
        <f t="array" ref="E1671">IF(D1671="","",IF(D1671=1,0,INDEX(Calculation!Q$2:Q9627,D1671-1)))</f>
        <v>0</v>
      </c>
      <c r="F1671" s="23">
        <f t="array" ref="F1671">IF($A1671="","",
  LET(
    r, $D1671,
    startD, INDEX(Calculation!B$2:B9627, r),
    endD,   INDEX(Calculation!C$2:C9627, r),
    asOf,   MIN($A1671,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2462678.082</v>
      </c>
    </row>
    <row r="1672">
      <c r="A1672" s="19">
        <v>43907.0</v>
      </c>
      <c r="B1672" s="23">
        <v>1.0765E7</v>
      </c>
      <c r="C1672" s="23">
        <f t="shared" si="1"/>
        <v>2464152.74</v>
      </c>
      <c r="D1672" s="18">
        <f>IF(A1672="","",MATCH(A1672,Calculation!B$2:B9627,1))</f>
        <v>1</v>
      </c>
      <c r="E1672" s="23">
        <f t="array" ref="E1672">IF(D1672="","",IF(D1672=1,0,INDEX(Calculation!Q$2:Q9627,D1672-1)))</f>
        <v>0</v>
      </c>
      <c r="F1672" s="23">
        <f t="array" ref="F1672">IF($A1672="","",
  LET(
    r, $D1672,
    startD, INDEX(Calculation!B$2:B9627, r),
    endD,   INDEX(Calculation!C$2:C9627, r),
    asOf,   MIN($A1672,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2464152.74</v>
      </c>
    </row>
    <row r="1673">
      <c r="A1673" s="19">
        <v>43908.0</v>
      </c>
      <c r="B1673" s="23">
        <v>1.0765E7</v>
      </c>
      <c r="C1673" s="23">
        <f t="shared" si="1"/>
        <v>2465627.397</v>
      </c>
      <c r="D1673" s="18">
        <f>IF(A1673="","",MATCH(A1673,Calculation!B$2:B9627,1))</f>
        <v>1</v>
      </c>
      <c r="E1673" s="23">
        <f t="array" ref="E1673">IF(D1673="","",IF(D1673=1,0,INDEX(Calculation!Q$2:Q9627,D1673-1)))</f>
        <v>0</v>
      </c>
      <c r="F1673" s="23">
        <f t="array" ref="F1673">IF($A1673="","",
  LET(
    r, $D1673,
    startD, INDEX(Calculation!B$2:B9627, r),
    endD,   INDEX(Calculation!C$2:C9627, r),
    asOf,   MIN($A1673,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2465627.397</v>
      </c>
    </row>
    <row r="1674">
      <c r="A1674" s="19">
        <v>43909.0</v>
      </c>
      <c r="B1674" s="23">
        <v>1.0765E7</v>
      </c>
      <c r="C1674" s="23">
        <f t="shared" si="1"/>
        <v>2467102.055</v>
      </c>
      <c r="D1674" s="18">
        <f>IF(A1674="","",MATCH(A1674,Calculation!B$2:B9627,1))</f>
        <v>1</v>
      </c>
      <c r="E1674" s="23">
        <f t="array" ref="E1674">IF(D1674="","",IF(D1674=1,0,INDEX(Calculation!Q$2:Q9627,D1674-1)))</f>
        <v>0</v>
      </c>
      <c r="F1674" s="23">
        <f t="array" ref="F1674">IF($A1674="","",
  LET(
    r, $D1674,
    startD, INDEX(Calculation!B$2:B9627, r),
    endD,   INDEX(Calculation!C$2:C9627, r),
    asOf,   MIN($A1674,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2467102.055</v>
      </c>
    </row>
    <row r="1675">
      <c r="A1675" s="19">
        <v>43910.0</v>
      </c>
      <c r="B1675" s="23">
        <v>1.0765E7</v>
      </c>
      <c r="C1675" s="23">
        <f t="shared" si="1"/>
        <v>2468576.712</v>
      </c>
      <c r="D1675" s="18">
        <f>IF(A1675="","",MATCH(A1675,Calculation!B$2:B9627,1))</f>
        <v>1</v>
      </c>
      <c r="E1675" s="23">
        <f t="array" ref="E1675">IF(D1675="","",IF(D1675=1,0,INDEX(Calculation!Q$2:Q9627,D1675-1)))</f>
        <v>0</v>
      </c>
      <c r="F1675" s="23">
        <f t="array" ref="F1675">IF($A1675="","",
  LET(
    r, $D1675,
    startD, INDEX(Calculation!B$2:B9627, r),
    endD,   INDEX(Calculation!C$2:C9627, r),
    asOf,   MIN($A1675,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2468576.712</v>
      </c>
    </row>
    <row r="1676">
      <c r="A1676" s="19">
        <v>43911.0</v>
      </c>
      <c r="B1676" s="23">
        <v>1.0765E7</v>
      </c>
      <c r="C1676" s="23">
        <f t="shared" si="1"/>
        <v>2470051.37</v>
      </c>
      <c r="D1676" s="18">
        <f>IF(A1676="","",MATCH(A1676,Calculation!B$2:B9627,1))</f>
        <v>1</v>
      </c>
      <c r="E1676" s="23">
        <f t="array" ref="E1676">IF(D1676="","",IF(D1676=1,0,INDEX(Calculation!Q$2:Q9627,D1676-1)))</f>
        <v>0</v>
      </c>
      <c r="F1676" s="23">
        <f t="array" ref="F1676">IF($A1676="","",
  LET(
    r, $D1676,
    startD, INDEX(Calculation!B$2:B9627, r),
    endD,   INDEX(Calculation!C$2:C9627, r),
    asOf,   MIN($A1676,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2470051.37</v>
      </c>
    </row>
    <row r="1677">
      <c r="A1677" s="19">
        <v>43912.0</v>
      </c>
      <c r="B1677" s="23">
        <v>1.0765E7</v>
      </c>
      <c r="C1677" s="23">
        <f t="shared" si="1"/>
        <v>2471526.027</v>
      </c>
      <c r="D1677" s="18">
        <f>IF(A1677="","",MATCH(A1677,Calculation!B$2:B9627,1))</f>
        <v>1</v>
      </c>
      <c r="E1677" s="23">
        <f t="array" ref="E1677">IF(D1677="","",IF(D1677=1,0,INDEX(Calculation!Q$2:Q9627,D1677-1)))</f>
        <v>0</v>
      </c>
      <c r="F1677" s="23">
        <f t="array" ref="F1677">IF($A1677="","",
  LET(
    r, $D1677,
    startD, INDEX(Calculation!B$2:B9627, r),
    endD,   INDEX(Calculation!C$2:C9627, r),
    asOf,   MIN($A1677,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2471526.027</v>
      </c>
    </row>
    <row r="1678">
      <c r="A1678" s="19">
        <v>43913.0</v>
      </c>
      <c r="B1678" s="23">
        <v>1.0765E7</v>
      </c>
      <c r="C1678" s="23">
        <f t="shared" si="1"/>
        <v>2473000.685</v>
      </c>
      <c r="D1678" s="18">
        <f>IF(A1678="","",MATCH(A1678,Calculation!B$2:B9627,1))</f>
        <v>1</v>
      </c>
      <c r="E1678" s="23">
        <f t="array" ref="E1678">IF(D1678="","",IF(D1678=1,0,INDEX(Calculation!Q$2:Q9627,D1678-1)))</f>
        <v>0</v>
      </c>
      <c r="F1678" s="23">
        <f t="array" ref="F1678">IF($A1678="","",
  LET(
    r, $D1678,
    startD, INDEX(Calculation!B$2:B9627, r),
    endD,   INDEX(Calculation!C$2:C9627, r),
    asOf,   MIN($A1678,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2473000.685</v>
      </c>
    </row>
    <row r="1679">
      <c r="A1679" s="19">
        <v>43914.0</v>
      </c>
      <c r="B1679" s="23">
        <v>1.0765E7</v>
      </c>
      <c r="C1679" s="23">
        <f t="shared" si="1"/>
        <v>2474475.342</v>
      </c>
      <c r="D1679" s="18">
        <f>IF(A1679="","",MATCH(A1679,Calculation!B$2:B9627,1))</f>
        <v>1</v>
      </c>
      <c r="E1679" s="23">
        <f t="array" ref="E1679">IF(D1679="","",IF(D1679=1,0,INDEX(Calculation!Q$2:Q9627,D1679-1)))</f>
        <v>0</v>
      </c>
      <c r="F1679" s="23">
        <f t="array" ref="F1679">IF($A1679="","",
  LET(
    r, $D1679,
    startD, INDEX(Calculation!B$2:B9627, r),
    endD,   INDEX(Calculation!C$2:C9627, r),
    asOf,   MIN($A1679,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2474475.342</v>
      </c>
    </row>
    <row r="1680">
      <c r="A1680" s="19">
        <v>43915.0</v>
      </c>
      <c r="B1680" s="23">
        <v>1.0765E7</v>
      </c>
      <c r="C1680" s="23">
        <f t="shared" si="1"/>
        <v>2475950</v>
      </c>
      <c r="D1680" s="18">
        <f>IF(A1680="","",MATCH(A1680,Calculation!B$2:B9627,1))</f>
        <v>1</v>
      </c>
      <c r="E1680" s="23">
        <f t="array" ref="E1680">IF(D1680="","",IF(D1680=1,0,INDEX(Calculation!Q$2:Q9627,D1680-1)))</f>
        <v>0</v>
      </c>
      <c r="F1680" s="23">
        <f t="array" ref="F1680">IF($A1680="","",
  LET(
    r, $D1680,
    startD, INDEX(Calculation!B$2:B9627, r),
    endD,   INDEX(Calculation!C$2:C9627, r),
    asOf,   MIN($A1680,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2475950</v>
      </c>
    </row>
    <row r="1681">
      <c r="A1681" s="19">
        <v>43916.0</v>
      </c>
      <c r="B1681" s="23">
        <v>1.0765E7</v>
      </c>
      <c r="C1681" s="23">
        <f t="shared" si="1"/>
        <v>2477424.658</v>
      </c>
      <c r="D1681" s="18">
        <f>IF(A1681="","",MATCH(A1681,Calculation!B$2:B9627,1))</f>
        <v>1</v>
      </c>
      <c r="E1681" s="23">
        <f t="array" ref="E1681">IF(D1681="","",IF(D1681=1,0,INDEX(Calculation!Q$2:Q9627,D1681-1)))</f>
        <v>0</v>
      </c>
      <c r="F1681" s="23">
        <f t="array" ref="F1681">IF($A1681="","",
  LET(
    r, $D1681,
    startD, INDEX(Calculation!B$2:B9627, r),
    endD,   INDEX(Calculation!C$2:C9627, r),
    asOf,   MIN($A1681,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2477424.658</v>
      </c>
    </row>
    <row r="1682">
      <c r="A1682" s="19">
        <v>43917.0</v>
      </c>
      <c r="B1682" s="23">
        <v>1.0765E7</v>
      </c>
      <c r="C1682" s="23">
        <f t="shared" si="1"/>
        <v>2478899.315</v>
      </c>
      <c r="D1682" s="18">
        <f>IF(A1682="","",MATCH(A1682,Calculation!B$2:B9627,1))</f>
        <v>1</v>
      </c>
      <c r="E1682" s="23">
        <f t="array" ref="E1682">IF(D1682="","",IF(D1682=1,0,INDEX(Calculation!Q$2:Q9627,D1682-1)))</f>
        <v>0</v>
      </c>
      <c r="F1682" s="23">
        <f t="array" ref="F1682">IF($A1682="","",
  LET(
    r, $D1682,
    startD, INDEX(Calculation!B$2:B9627, r),
    endD,   INDEX(Calculation!C$2:C9627, r),
    asOf,   MIN($A1682,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2478899.315</v>
      </c>
    </row>
    <row r="1683">
      <c r="A1683" s="19">
        <v>43918.0</v>
      </c>
      <c r="B1683" s="23">
        <v>1.0765E7</v>
      </c>
      <c r="C1683" s="23">
        <f t="shared" si="1"/>
        <v>2480373.973</v>
      </c>
      <c r="D1683" s="18">
        <f>IF(A1683="","",MATCH(A1683,Calculation!B$2:B9627,1))</f>
        <v>1</v>
      </c>
      <c r="E1683" s="23">
        <f t="array" ref="E1683">IF(D1683="","",IF(D1683=1,0,INDEX(Calculation!Q$2:Q9627,D1683-1)))</f>
        <v>0</v>
      </c>
      <c r="F1683" s="23">
        <f t="array" ref="F1683">IF($A1683="","",
  LET(
    r, $D1683,
    startD, INDEX(Calculation!B$2:B9627, r),
    endD,   INDEX(Calculation!C$2:C9627, r),
    asOf,   MIN($A1683,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2480373.973</v>
      </c>
    </row>
    <row r="1684">
      <c r="A1684" s="19">
        <v>43919.0</v>
      </c>
      <c r="B1684" s="23">
        <v>1.0765E7</v>
      </c>
      <c r="C1684" s="23">
        <f t="shared" si="1"/>
        <v>2481848.63</v>
      </c>
      <c r="D1684" s="18">
        <f>IF(A1684="","",MATCH(A1684,Calculation!B$2:B9627,1))</f>
        <v>1</v>
      </c>
      <c r="E1684" s="23">
        <f t="array" ref="E1684">IF(D1684="","",IF(D1684=1,0,INDEX(Calculation!Q$2:Q9627,D1684-1)))</f>
        <v>0</v>
      </c>
      <c r="F1684" s="23">
        <f t="array" ref="F1684">IF($A1684="","",
  LET(
    r, $D1684,
    startD, INDEX(Calculation!B$2:B9627, r),
    endD,   INDEX(Calculation!C$2:C9627, r),
    asOf,   MIN($A1684,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2481848.63</v>
      </c>
    </row>
    <row r="1685">
      <c r="A1685" s="19">
        <v>43920.0</v>
      </c>
      <c r="B1685" s="23">
        <v>1.0765E7</v>
      </c>
      <c r="C1685" s="23">
        <f t="shared" si="1"/>
        <v>2483323.288</v>
      </c>
      <c r="D1685" s="18">
        <f>IF(A1685="","",MATCH(A1685,Calculation!B$2:B9627,1))</f>
        <v>1</v>
      </c>
      <c r="E1685" s="23">
        <f t="array" ref="E1685">IF(D1685="","",IF(D1685=1,0,INDEX(Calculation!Q$2:Q9627,D1685-1)))</f>
        <v>0</v>
      </c>
      <c r="F1685" s="23">
        <f t="array" ref="F1685">IF($A1685="","",
  LET(
    r, $D1685,
    startD, INDEX(Calculation!B$2:B9627, r),
    endD,   INDEX(Calculation!C$2:C9627, r),
    asOf,   MIN($A1685,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2483323.288</v>
      </c>
    </row>
    <row r="1686">
      <c r="A1686" s="19">
        <v>43921.0</v>
      </c>
      <c r="B1686" s="23">
        <v>1.0765E7</v>
      </c>
      <c r="C1686" s="23">
        <f t="shared" si="1"/>
        <v>2484797.945</v>
      </c>
      <c r="D1686" s="18">
        <f>IF(A1686="","",MATCH(A1686,Calculation!B$2:B9627,1))</f>
        <v>1</v>
      </c>
      <c r="E1686" s="23">
        <f t="array" ref="E1686">IF(D1686="","",IF(D1686=1,0,INDEX(Calculation!Q$2:Q9627,D1686-1)))</f>
        <v>0</v>
      </c>
      <c r="F1686" s="23">
        <f t="array" ref="F1686">IF($A1686="","",
  LET(
    r, $D1686,
    startD, INDEX(Calculation!B$2:B9627, r),
    endD,   INDEX(Calculation!C$2:C9627, r),
    asOf,   MIN($A1686,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2484797.945</v>
      </c>
    </row>
    <row r="1687">
      <c r="A1687" s="19">
        <v>43922.0</v>
      </c>
      <c r="B1687" s="23">
        <v>1.0765E7</v>
      </c>
      <c r="C1687" s="23">
        <f t="shared" si="1"/>
        <v>2486272.603</v>
      </c>
      <c r="D1687" s="18">
        <f>IF(A1687="","",MATCH(A1687,Calculation!B$2:B9627,1))</f>
        <v>1</v>
      </c>
      <c r="E1687" s="23">
        <f t="array" ref="E1687">IF(D1687="","",IF(D1687=1,0,INDEX(Calculation!Q$2:Q9627,D1687-1)))</f>
        <v>0</v>
      </c>
      <c r="F1687" s="23">
        <f t="array" ref="F1687">IF($A1687="","",
  LET(
    r, $D1687,
    startD, INDEX(Calculation!B$2:B9627, r),
    endD,   INDEX(Calculation!C$2:C9627, r),
    asOf,   MIN($A1687,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2486272.603</v>
      </c>
    </row>
    <row r="1688">
      <c r="A1688" s="19">
        <v>43923.0</v>
      </c>
      <c r="B1688" s="23">
        <v>1.0765E7</v>
      </c>
      <c r="C1688" s="23">
        <f t="shared" si="1"/>
        <v>2487747.26</v>
      </c>
      <c r="D1688" s="18">
        <f>IF(A1688="","",MATCH(A1688,Calculation!B$2:B9627,1))</f>
        <v>1</v>
      </c>
      <c r="E1688" s="23">
        <f t="array" ref="E1688">IF(D1688="","",IF(D1688=1,0,INDEX(Calculation!Q$2:Q9627,D1688-1)))</f>
        <v>0</v>
      </c>
      <c r="F1688" s="23">
        <f t="array" ref="F1688">IF($A1688="","",
  LET(
    r, $D1688,
    startD, INDEX(Calculation!B$2:B9627, r),
    endD,   INDEX(Calculation!C$2:C9627, r),
    asOf,   MIN($A1688,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2487747.26</v>
      </c>
    </row>
    <row r="1689">
      <c r="A1689" s="19">
        <v>43924.0</v>
      </c>
      <c r="B1689" s="23">
        <v>1.0765E7</v>
      </c>
      <c r="C1689" s="23">
        <f t="shared" si="1"/>
        <v>2489221.918</v>
      </c>
      <c r="D1689" s="18">
        <f>IF(A1689="","",MATCH(A1689,Calculation!B$2:B9627,1))</f>
        <v>1</v>
      </c>
      <c r="E1689" s="23">
        <f t="array" ref="E1689">IF(D1689="","",IF(D1689=1,0,INDEX(Calculation!Q$2:Q9627,D1689-1)))</f>
        <v>0</v>
      </c>
      <c r="F1689" s="23">
        <f t="array" ref="F1689">IF($A1689="","",
  LET(
    r, $D1689,
    startD, INDEX(Calculation!B$2:B9627, r),
    endD,   INDEX(Calculation!C$2:C9627, r),
    asOf,   MIN($A1689,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2489221.918</v>
      </c>
    </row>
    <row r="1690">
      <c r="A1690" s="19">
        <v>43925.0</v>
      </c>
      <c r="B1690" s="23">
        <v>1.0765E7</v>
      </c>
      <c r="C1690" s="23">
        <f t="shared" si="1"/>
        <v>2490696.575</v>
      </c>
      <c r="D1690" s="18">
        <f>IF(A1690="","",MATCH(A1690,Calculation!B$2:B9627,1))</f>
        <v>1</v>
      </c>
      <c r="E1690" s="23">
        <f t="array" ref="E1690">IF(D1690="","",IF(D1690=1,0,INDEX(Calculation!Q$2:Q9627,D1690-1)))</f>
        <v>0</v>
      </c>
      <c r="F1690" s="23">
        <f t="array" ref="F1690">IF($A1690="","",
  LET(
    r, $D1690,
    startD, INDEX(Calculation!B$2:B9627, r),
    endD,   INDEX(Calculation!C$2:C9627, r),
    asOf,   MIN($A1690,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2490696.575</v>
      </c>
    </row>
    <row r="1691">
      <c r="A1691" s="19">
        <v>43926.0</v>
      </c>
      <c r="B1691" s="23">
        <v>1.0765E7</v>
      </c>
      <c r="C1691" s="23">
        <f t="shared" si="1"/>
        <v>2492171.233</v>
      </c>
      <c r="D1691" s="18">
        <f>IF(A1691="","",MATCH(A1691,Calculation!B$2:B9627,1))</f>
        <v>1</v>
      </c>
      <c r="E1691" s="23">
        <f t="array" ref="E1691">IF(D1691="","",IF(D1691=1,0,INDEX(Calculation!Q$2:Q9627,D1691-1)))</f>
        <v>0</v>
      </c>
      <c r="F1691" s="23">
        <f t="array" ref="F1691">IF($A1691="","",
  LET(
    r, $D1691,
    startD, INDEX(Calculation!B$2:B9627, r),
    endD,   INDEX(Calculation!C$2:C9627, r),
    asOf,   MIN($A1691,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2492171.233</v>
      </c>
    </row>
    <row r="1692">
      <c r="A1692" s="19">
        <v>43927.0</v>
      </c>
      <c r="B1692" s="23">
        <v>1.0765E7</v>
      </c>
      <c r="C1692" s="23">
        <f t="shared" si="1"/>
        <v>2493645.89</v>
      </c>
      <c r="D1692" s="18">
        <f>IF(A1692="","",MATCH(A1692,Calculation!B$2:B9627,1))</f>
        <v>1</v>
      </c>
      <c r="E1692" s="23">
        <f t="array" ref="E1692">IF(D1692="","",IF(D1692=1,0,INDEX(Calculation!Q$2:Q9627,D1692-1)))</f>
        <v>0</v>
      </c>
      <c r="F1692" s="23">
        <f t="array" ref="F1692">IF($A1692="","",
  LET(
    r, $D1692,
    startD, INDEX(Calculation!B$2:B9627, r),
    endD,   INDEX(Calculation!C$2:C9627, r),
    asOf,   MIN($A1692,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2493645.89</v>
      </c>
    </row>
    <row r="1693">
      <c r="A1693" s="19">
        <v>43928.0</v>
      </c>
      <c r="B1693" s="23">
        <v>1.0765E7</v>
      </c>
      <c r="C1693" s="23">
        <f t="shared" si="1"/>
        <v>2495120.548</v>
      </c>
      <c r="D1693" s="18">
        <f>IF(A1693="","",MATCH(A1693,Calculation!B$2:B9627,1))</f>
        <v>1</v>
      </c>
      <c r="E1693" s="23">
        <f t="array" ref="E1693">IF(D1693="","",IF(D1693=1,0,INDEX(Calculation!Q$2:Q9627,D1693-1)))</f>
        <v>0</v>
      </c>
      <c r="F1693" s="23">
        <f t="array" ref="F1693">IF($A1693="","",
  LET(
    r, $D1693,
    startD, INDEX(Calculation!B$2:B9627, r),
    endD,   INDEX(Calculation!C$2:C9627, r),
    asOf,   MIN($A1693,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2495120.548</v>
      </c>
    </row>
    <row r="1694">
      <c r="A1694" s="19">
        <v>43929.0</v>
      </c>
      <c r="B1694" s="23">
        <v>1.0765E7</v>
      </c>
      <c r="C1694" s="23">
        <f t="shared" si="1"/>
        <v>2496595.205</v>
      </c>
      <c r="D1694" s="18">
        <f>IF(A1694="","",MATCH(A1694,Calculation!B$2:B9627,1))</f>
        <v>1</v>
      </c>
      <c r="E1694" s="23">
        <f t="array" ref="E1694">IF(D1694="","",IF(D1694=1,0,INDEX(Calculation!Q$2:Q9627,D1694-1)))</f>
        <v>0</v>
      </c>
      <c r="F1694" s="23">
        <f t="array" ref="F1694">IF($A1694="","",
  LET(
    r, $D1694,
    startD, INDEX(Calculation!B$2:B9627, r),
    endD,   INDEX(Calculation!C$2:C9627, r),
    asOf,   MIN($A1694,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2496595.205</v>
      </c>
    </row>
    <row r="1695">
      <c r="A1695" s="19">
        <v>43930.0</v>
      </c>
      <c r="B1695" s="23">
        <v>1.0765E7</v>
      </c>
      <c r="C1695" s="23">
        <f t="shared" si="1"/>
        <v>2498069.863</v>
      </c>
      <c r="D1695" s="18">
        <f>IF(A1695="","",MATCH(A1695,Calculation!B$2:B9627,1))</f>
        <v>1</v>
      </c>
      <c r="E1695" s="23">
        <f t="array" ref="E1695">IF(D1695="","",IF(D1695=1,0,INDEX(Calculation!Q$2:Q9627,D1695-1)))</f>
        <v>0</v>
      </c>
      <c r="F1695" s="23">
        <f t="array" ref="F1695">IF($A1695="","",
  LET(
    r, $D1695,
    startD, INDEX(Calculation!B$2:B9627, r),
    endD,   INDEX(Calculation!C$2:C9627, r),
    asOf,   MIN($A1695,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2498069.863</v>
      </c>
    </row>
    <row r="1696">
      <c r="A1696" s="19">
        <v>43931.0</v>
      </c>
      <c r="B1696" s="23">
        <v>1.0765E7</v>
      </c>
      <c r="C1696" s="23">
        <f t="shared" si="1"/>
        <v>2499544.521</v>
      </c>
      <c r="D1696" s="18">
        <f>IF(A1696="","",MATCH(A1696,Calculation!B$2:B9627,1))</f>
        <v>1</v>
      </c>
      <c r="E1696" s="23">
        <f t="array" ref="E1696">IF(D1696="","",IF(D1696=1,0,INDEX(Calculation!Q$2:Q9627,D1696-1)))</f>
        <v>0</v>
      </c>
      <c r="F1696" s="23">
        <f t="array" ref="F1696">IF($A1696="","",
  LET(
    r, $D1696,
    startD, INDEX(Calculation!B$2:B9627, r),
    endD,   INDEX(Calculation!C$2:C9627, r),
    asOf,   MIN($A1696,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2499544.521</v>
      </c>
    </row>
    <row r="1697">
      <c r="A1697" s="19">
        <v>43932.0</v>
      </c>
      <c r="B1697" s="23">
        <v>1.0765E7</v>
      </c>
      <c r="C1697" s="23">
        <f t="shared" si="1"/>
        <v>2501019.178</v>
      </c>
      <c r="D1697" s="18">
        <f>IF(A1697="","",MATCH(A1697,Calculation!B$2:B9627,1))</f>
        <v>1</v>
      </c>
      <c r="E1697" s="23">
        <f t="array" ref="E1697">IF(D1697="","",IF(D1697=1,0,INDEX(Calculation!Q$2:Q9627,D1697-1)))</f>
        <v>0</v>
      </c>
      <c r="F1697" s="23">
        <f t="array" ref="F1697">IF($A1697="","",
  LET(
    r, $D1697,
    startD, INDEX(Calculation!B$2:B9627, r),
    endD,   INDEX(Calculation!C$2:C9627, r),
    asOf,   MIN($A1697,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2501019.178</v>
      </c>
    </row>
    <row r="1698">
      <c r="A1698" s="19">
        <v>43933.0</v>
      </c>
      <c r="B1698" s="23">
        <v>1.0765E7</v>
      </c>
      <c r="C1698" s="23">
        <f t="shared" si="1"/>
        <v>2502493.836</v>
      </c>
      <c r="D1698" s="18">
        <f>IF(A1698="","",MATCH(A1698,Calculation!B$2:B9627,1))</f>
        <v>1</v>
      </c>
      <c r="E1698" s="23">
        <f t="array" ref="E1698">IF(D1698="","",IF(D1698=1,0,INDEX(Calculation!Q$2:Q9627,D1698-1)))</f>
        <v>0</v>
      </c>
      <c r="F1698" s="23">
        <f t="array" ref="F1698">IF($A1698="","",
  LET(
    r, $D1698,
    startD, INDEX(Calculation!B$2:B9627, r),
    endD,   INDEX(Calculation!C$2:C9627, r),
    asOf,   MIN($A1698,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2502493.836</v>
      </c>
    </row>
    <row r="1699">
      <c r="A1699" s="19">
        <v>43934.0</v>
      </c>
      <c r="B1699" s="23">
        <v>1.0765E7</v>
      </c>
      <c r="C1699" s="23">
        <f t="shared" si="1"/>
        <v>2503968.493</v>
      </c>
      <c r="D1699" s="18">
        <f>IF(A1699="","",MATCH(A1699,Calculation!B$2:B9627,1))</f>
        <v>1</v>
      </c>
      <c r="E1699" s="23">
        <f t="array" ref="E1699">IF(D1699="","",IF(D1699=1,0,INDEX(Calculation!Q$2:Q9627,D1699-1)))</f>
        <v>0</v>
      </c>
      <c r="F1699" s="23">
        <f t="array" ref="F1699">IF($A1699="","",
  LET(
    r, $D1699,
    startD, INDEX(Calculation!B$2:B9627, r),
    endD,   INDEX(Calculation!C$2:C9627, r),
    asOf,   MIN($A1699,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2503968.493</v>
      </c>
    </row>
    <row r="1700">
      <c r="A1700" s="19">
        <v>43935.0</v>
      </c>
      <c r="B1700" s="23">
        <v>1.0765E7</v>
      </c>
      <c r="C1700" s="23">
        <f t="shared" si="1"/>
        <v>2505443.151</v>
      </c>
      <c r="D1700" s="18">
        <f>IF(A1700="","",MATCH(A1700,Calculation!B$2:B9627,1))</f>
        <v>1</v>
      </c>
      <c r="E1700" s="23">
        <f t="array" ref="E1700">IF(D1700="","",IF(D1700=1,0,INDEX(Calculation!Q$2:Q9627,D1700-1)))</f>
        <v>0</v>
      </c>
      <c r="F1700" s="23">
        <f t="array" ref="F1700">IF($A1700="","",
  LET(
    r, $D1700,
    startD, INDEX(Calculation!B$2:B9627, r),
    endD,   INDEX(Calculation!C$2:C9627, r),
    asOf,   MIN($A1700,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2505443.151</v>
      </c>
    </row>
    <row r="1701">
      <c r="A1701" s="19">
        <v>43936.0</v>
      </c>
      <c r="B1701" s="23">
        <v>1.0765E7</v>
      </c>
      <c r="C1701" s="23">
        <f t="shared" si="1"/>
        <v>2506917.808</v>
      </c>
      <c r="D1701" s="18">
        <f>IF(A1701="","",MATCH(A1701,Calculation!B$2:B9627,1))</f>
        <v>1</v>
      </c>
      <c r="E1701" s="23">
        <f t="array" ref="E1701">IF(D1701="","",IF(D1701=1,0,INDEX(Calculation!Q$2:Q9627,D1701-1)))</f>
        <v>0</v>
      </c>
      <c r="F1701" s="23">
        <f t="array" ref="F1701">IF($A1701="","",
  LET(
    r, $D1701,
    startD, INDEX(Calculation!B$2:B9627, r),
    endD,   INDEX(Calculation!C$2:C9627, r),
    asOf,   MIN($A1701,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2506917.808</v>
      </c>
    </row>
    <row r="1702">
      <c r="A1702" s="19">
        <v>43937.0</v>
      </c>
      <c r="B1702" s="23">
        <v>1.0765E7</v>
      </c>
      <c r="C1702" s="23">
        <f t="shared" si="1"/>
        <v>2508392.466</v>
      </c>
      <c r="D1702" s="18">
        <f>IF(A1702="","",MATCH(A1702,Calculation!B$2:B9627,1))</f>
        <v>1</v>
      </c>
      <c r="E1702" s="23">
        <f t="array" ref="E1702">IF(D1702="","",IF(D1702=1,0,INDEX(Calculation!Q$2:Q9627,D1702-1)))</f>
        <v>0</v>
      </c>
      <c r="F1702" s="23">
        <f t="array" ref="F1702">IF($A1702="","",
  LET(
    r, $D1702,
    startD, INDEX(Calculation!B$2:B9627, r),
    endD,   INDEX(Calculation!C$2:C9627, r),
    asOf,   MIN($A1702,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2508392.466</v>
      </c>
    </row>
    <row r="1703">
      <c r="A1703" s="19">
        <v>43938.0</v>
      </c>
      <c r="B1703" s="23">
        <v>1.0765E7</v>
      </c>
      <c r="C1703" s="23">
        <f t="shared" si="1"/>
        <v>2509867.123</v>
      </c>
      <c r="D1703" s="18">
        <f>IF(A1703="","",MATCH(A1703,Calculation!B$2:B9627,1))</f>
        <v>1</v>
      </c>
      <c r="E1703" s="23">
        <f t="array" ref="E1703">IF(D1703="","",IF(D1703=1,0,INDEX(Calculation!Q$2:Q9627,D1703-1)))</f>
        <v>0</v>
      </c>
      <c r="F1703" s="23">
        <f t="array" ref="F1703">IF($A1703="","",
  LET(
    r, $D1703,
    startD, INDEX(Calculation!B$2:B9627, r),
    endD,   INDEX(Calculation!C$2:C9627, r),
    asOf,   MIN($A1703,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2509867.123</v>
      </c>
    </row>
    <row r="1704">
      <c r="A1704" s="19">
        <v>43939.0</v>
      </c>
      <c r="B1704" s="23">
        <v>1.0765E7</v>
      </c>
      <c r="C1704" s="23">
        <f t="shared" si="1"/>
        <v>2511341.781</v>
      </c>
      <c r="D1704" s="18">
        <f>IF(A1704="","",MATCH(A1704,Calculation!B$2:B9627,1))</f>
        <v>1</v>
      </c>
      <c r="E1704" s="23">
        <f t="array" ref="E1704">IF(D1704="","",IF(D1704=1,0,INDEX(Calculation!Q$2:Q9627,D1704-1)))</f>
        <v>0</v>
      </c>
      <c r="F1704" s="23">
        <f t="array" ref="F1704">IF($A1704="","",
  LET(
    r, $D1704,
    startD, INDEX(Calculation!B$2:B9627, r),
    endD,   INDEX(Calculation!C$2:C9627, r),
    asOf,   MIN($A1704,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2511341.781</v>
      </c>
    </row>
    <row r="1705">
      <c r="A1705" s="19">
        <v>43940.0</v>
      </c>
      <c r="B1705" s="23">
        <v>1.0765E7</v>
      </c>
      <c r="C1705" s="23">
        <f t="shared" si="1"/>
        <v>2512816.438</v>
      </c>
      <c r="D1705" s="18">
        <f>IF(A1705="","",MATCH(A1705,Calculation!B$2:B9627,1))</f>
        <v>1</v>
      </c>
      <c r="E1705" s="23">
        <f t="array" ref="E1705">IF(D1705="","",IF(D1705=1,0,INDEX(Calculation!Q$2:Q9627,D1705-1)))</f>
        <v>0</v>
      </c>
      <c r="F1705" s="23">
        <f t="array" ref="F1705">IF($A1705="","",
  LET(
    r, $D1705,
    startD, INDEX(Calculation!B$2:B9627, r),
    endD,   INDEX(Calculation!C$2:C9627, r),
    asOf,   MIN($A1705,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2512816.438</v>
      </c>
    </row>
    <row r="1706">
      <c r="A1706" s="19">
        <v>43941.0</v>
      </c>
      <c r="B1706" s="23">
        <v>1.0765E7</v>
      </c>
      <c r="C1706" s="23">
        <f t="shared" si="1"/>
        <v>2514291.096</v>
      </c>
      <c r="D1706" s="18">
        <f>IF(A1706="","",MATCH(A1706,Calculation!B$2:B9627,1))</f>
        <v>1</v>
      </c>
      <c r="E1706" s="23">
        <f t="array" ref="E1706">IF(D1706="","",IF(D1706=1,0,INDEX(Calculation!Q$2:Q9627,D1706-1)))</f>
        <v>0</v>
      </c>
      <c r="F1706" s="23">
        <f t="array" ref="F1706">IF($A1706="","",
  LET(
    r, $D1706,
    startD, INDEX(Calculation!B$2:B9627, r),
    endD,   INDEX(Calculation!C$2:C9627, r),
    asOf,   MIN($A1706,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2514291.096</v>
      </c>
    </row>
    <row r="1707">
      <c r="A1707" s="19">
        <v>43942.0</v>
      </c>
      <c r="B1707" s="23">
        <v>1.0765E7</v>
      </c>
      <c r="C1707" s="23">
        <f t="shared" si="1"/>
        <v>2515765.753</v>
      </c>
      <c r="D1707" s="18">
        <f>IF(A1707="","",MATCH(A1707,Calculation!B$2:B9627,1))</f>
        <v>1</v>
      </c>
      <c r="E1707" s="23">
        <f t="array" ref="E1707">IF(D1707="","",IF(D1707=1,0,INDEX(Calculation!Q$2:Q9627,D1707-1)))</f>
        <v>0</v>
      </c>
      <c r="F1707" s="23">
        <f t="array" ref="F1707">IF($A1707="","",
  LET(
    r, $D1707,
    startD, INDEX(Calculation!B$2:B9627, r),
    endD,   INDEX(Calculation!C$2:C9627, r),
    asOf,   MIN($A1707,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2515765.753</v>
      </c>
    </row>
    <row r="1708">
      <c r="A1708" s="19">
        <v>43943.0</v>
      </c>
      <c r="B1708" s="23">
        <v>1.0765E7</v>
      </c>
      <c r="C1708" s="23">
        <f t="shared" si="1"/>
        <v>2517240.411</v>
      </c>
      <c r="D1708" s="18">
        <f>IF(A1708="","",MATCH(A1708,Calculation!B$2:B9627,1))</f>
        <v>1</v>
      </c>
      <c r="E1708" s="23">
        <f t="array" ref="E1708">IF(D1708="","",IF(D1708=1,0,INDEX(Calculation!Q$2:Q9627,D1708-1)))</f>
        <v>0</v>
      </c>
      <c r="F1708" s="23">
        <f t="array" ref="F1708">IF($A1708="","",
  LET(
    r, $D1708,
    startD, INDEX(Calculation!B$2:B9627, r),
    endD,   INDEX(Calculation!C$2:C9627, r),
    asOf,   MIN($A1708,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2517240.411</v>
      </c>
    </row>
    <row r="1709">
      <c r="A1709" s="19">
        <v>43944.0</v>
      </c>
      <c r="B1709" s="23">
        <v>1.0765E7</v>
      </c>
      <c r="C1709" s="23">
        <f t="shared" si="1"/>
        <v>2518715.068</v>
      </c>
      <c r="D1709" s="18">
        <f>IF(A1709="","",MATCH(A1709,Calculation!B$2:B9627,1))</f>
        <v>1</v>
      </c>
      <c r="E1709" s="23">
        <f t="array" ref="E1709">IF(D1709="","",IF(D1709=1,0,INDEX(Calculation!Q$2:Q9627,D1709-1)))</f>
        <v>0</v>
      </c>
      <c r="F1709" s="23">
        <f t="array" ref="F1709">IF($A1709="","",
  LET(
    r, $D1709,
    startD, INDEX(Calculation!B$2:B9627, r),
    endD,   INDEX(Calculation!C$2:C9627, r),
    asOf,   MIN($A1709,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2518715.068</v>
      </c>
    </row>
    <row r="1710">
      <c r="A1710" s="19">
        <v>43945.0</v>
      </c>
      <c r="B1710" s="23">
        <v>1.0765E7</v>
      </c>
      <c r="C1710" s="23">
        <f t="shared" si="1"/>
        <v>2520189.726</v>
      </c>
      <c r="D1710" s="18">
        <f>IF(A1710="","",MATCH(A1710,Calculation!B$2:B9627,1))</f>
        <v>1</v>
      </c>
      <c r="E1710" s="23">
        <f t="array" ref="E1710">IF(D1710="","",IF(D1710=1,0,INDEX(Calculation!Q$2:Q9627,D1710-1)))</f>
        <v>0</v>
      </c>
      <c r="F1710" s="23">
        <f t="array" ref="F1710">IF($A1710="","",
  LET(
    r, $D1710,
    startD, INDEX(Calculation!B$2:B9627, r),
    endD,   INDEX(Calculation!C$2:C9627, r),
    asOf,   MIN($A1710,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2520189.726</v>
      </c>
    </row>
    <row r="1711">
      <c r="A1711" s="19">
        <v>43946.0</v>
      </c>
      <c r="B1711" s="23">
        <v>1.0765E7</v>
      </c>
      <c r="C1711" s="23">
        <f t="shared" si="1"/>
        <v>2521664.384</v>
      </c>
      <c r="D1711" s="18">
        <f>IF(A1711="","",MATCH(A1711,Calculation!B$2:B9627,1))</f>
        <v>1</v>
      </c>
      <c r="E1711" s="23">
        <f t="array" ref="E1711">IF(D1711="","",IF(D1711=1,0,INDEX(Calculation!Q$2:Q9627,D1711-1)))</f>
        <v>0</v>
      </c>
      <c r="F1711" s="23">
        <f t="array" ref="F1711">IF($A1711="","",
  LET(
    r, $D1711,
    startD, INDEX(Calculation!B$2:B9627, r),
    endD,   INDEX(Calculation!C$2:C9627, r),
    asOf,   MIN($A1711,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2521664.384</v>
      </c>
    </row>
    <row r="1712">
      <c r="A1712" s="19">
        <v>43947.0</v>
      </c>
      <c r="B1712" s="23">
        <v>1.0765E7</v>
      </c>
      <c r="C1712" s="23">
        <f t="shared" si="1"/>
        <v>2523139.041</v>
      </c>
      <c r="D1712" s="18">
        <f>IF(A1712="","",MATCH(A1712,Calculation!B$2:B9627,1))</f>
        <v>1</v>
      </c>
      <c r="E1712" s="23">
        <f t="array" ref="E1712">IF(D1712="","",IF(D1712=1,0,INDEX(Calculation!Q$2:Q9627,D1712-1)))</f>
        <v>0</v>
      </c>
      <c r="F1712" s="23">
        <f t="array" ref="F1712">IF($A1712="","",
  LET(
    r, $D1712,
    startD, INDEX(Calculation!B$2:B9627, r),
    endD,   INDEX(Calculation!C$2:C9627, r),
    asOf,   MIN($A1712,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2523139.041</v>
      </c>
    </row>
    <row r="1713">
      <c r="A1713" s="19">
        <v>43948.0</v>
      </c>
      <c r="B1713" s="23">
        <v>1.0765E7</v>
      </c>
      <c r="C1713" s="23">
        <f t="shared" si="1"/>
        <v>2524613.699</v>
      </c>
      <c r="D1713" s="18">
        <f>IF(A1713="","",MATCH(A1713,Calculation!B$2:B9627,1))</f>
        <v>1</v>
      </c>
      <c r="E1713" s="23">
        <f t="array" ref="E1713">IF(D1713="","",IF(D1713=1,0,INDEX(Calculation!Q$2:Q9627,D1713-1)))</f>
        <v>0</v>
      </c>
      <c r="F1713" s="23">
        <f t="array" ref="F1713">IF($A1713="","",
  LET(
    r, $D1713,
    startD, INDEX(Calculation!B$2:B9627, r),
    endD,   INDEX(Calculation!C$2:C9627, r),
    asOf,   MIN($A1713,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2524613.699</v>
      </c>
    </row>
    <row r="1714">
      <c r="A1714" s="19">
        <v>43949.0</v>
      </c>
      <c r="B1714" s="23">
        <v>1.0765E7</v>
      </c>
      <c r="C1714" s="23">
        <f t="shared" si="1"/>
        <v>2526088.356</v>
      </c>
      <c r="D1714" s="18">
        <f>IF(A1714="","",MATCH(A1714,Calculation!B$2:B9627,1))</f>
        <v>1</v>
      </c>
      <c r="E1714" s="23">
        <f t="array" ref="E1714">IF(D1714="","",IF(D1714=1,0,INDEX(Calculation!Q$2:Q9627,D1714-1)))</f>
        <v>0</v>
      </c>
      <c r="F1714" s="23">
        <f t="array" ref="F1714">IF($A1714="","",
  LET(
    r, $D1714,
    startD, INDEX(Calculation!B$2:B9627, r),
    endD,   INDEX(Calculation!C$2:C9627, r),
    asOf,   MIN($A1714,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2526088.356</v>
      </c>
    </row>
    <row r="1715">
      <c r="A1715" s="19">
        <v>43950.0</v>
      </c>
      <c r="B1715" s="23">
        <v>1.0765E7</v>
      </c>
      <c r="C1715" s="23">
        <f t="shared" si="1"/>
        <v>2527563.014</v>
      </c>
      <c r="D1715" s="18">
        <f>IF(A1715="","",MATCH(A1715,Calculation!B$2:B9627,1))</f>
        <v>1</v>
      </c>
      <c r="E1715" s="23">
        <f t="array" ref="E1715">IF(D1715="","",IF(D1715=1,0,INDEX(Calculation!Q$2:Q9627,D1715-1)))</f>
        <v>0</v>
      </c>
      <c r="F1715" s="23">
        <f t="array" ref="F1715">IF($A1715="","",
  LET(
    r, $D1715,
    startD, INDEX(Calculation!B$2:B9627, r),
    endD,   INDEX(Calculation!C$2:C9627, r),
    asOf,   MIN($A1715,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2527563.014</v>
      </c>
    </row>
    <row r="1716">
      <c r="A1716" s="19">
        <v>43951.0</v>
      </c>
      <c r="B1716" s="23">
        <v>1.0765E7</v>
      </c>
      <c r="C1716" s="23">
        <f t="shared" si="1"/>
        <v>2529037.671</v>
      </c>
      <c r="D1716" s="18">
        <f>IF(A1716="","",MATCH(A1716,Calculation!B$2:B9627,1))</f>
        <v>1</v>
      </c>
      <c r="E1716" s="23">
        <f t="array" ref="E1716">IF(D1716="","",IF(D1716=1,0,INDEX(Calculation!Q$2:Q9627,D1716-1)))</f>
        <v>0</v>
      </c>
      <c r="F1716" s="23">
        <f t="array" ref="F1716">IF($A1716="","",
  LET(
    r, $D1716,
    startD, INDEX(Calculation!B$2:B9627, r),
    endD,   INDEX(Calculation!C$2:C9627, r),
    asOf,   MIN($A1716,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2529037.671</v>
      </c>
    </row>
    <row r="1717">
      <c r="A1717" s="19">
        <v>43952.0</v>
      </c>
      <c r="B1717" s="23">
        <v>1.0765E7</v>
      </c>
      <c r="C1717" s="23">
        <f t="shared" si="1"/>
        <v>2530512.329</v>
      </c>
      <c r="D1717" s="18">
        <f>IF(A1717="","",MATCH(A1717,Calculation!B$2:B9627,1))</f>
        <v>1</v>
      </c>
      <c r="E1717" s="23">
        <f t="array" ref="E1717">IF(D1717="","",IF(D1717=1,0,INDEX(Calculation!Q$2:Q9627,D1717-1)))</f>
        <v>0</v>
      </c>
      <c r="F1717" s="23">
        <f t="array" ref="F1717">IF($A1717="","",
  LET(
    r, $D1717,
    startD, INDEX(Calculation!B$2:B9627, r),
    endD,   INDEX(Calculation!C$2:C9627, r),
    asOf,   MIN($A1717,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2530512.329</v>
      </c>
    </row>
    <row r="1718">
      <c r="A1718" s="19">
        <v>43953.0</v>
      </c>
      <c r="B1718" s="23">
        <v>1.0765E7</v>
      </c>
      <c r="C1718" s="23">
        <f t="shared" si="1"/>
        <v>2531986.986</v>
      </c>
      <c r="D1718" s="18">
        <f>IF(A1718="","",MATCH(A1718,Calculation!B$2:B9627,1))</f>
        <v>1</v>
      </c>
      <c r="E1718" s="23">
        <f t="array" ref="E1718">IF(D1718="","",IF(D1718=1,0,INDEX(Calculation!Q$2:Q9627,D1718-1)))</f>
        <v>0</v>
      </c>
      <c r="F1718" s="23">
        <f t="array" ref="F1718">IF($A1718="","",
  LET(
    r, $D1718,
    startD, INDEX(Calculation!B$2:B9627, r),
    endD,   INDEX(Calculation!C$2:C9627, r),
    asOf,   MIN($A1718,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2531986.986</v>
      </c>
    </row>
    <row r="1719">
      <c r="A1719" s="19">
        <v>43954.0</v>
      </c>
      <c r="B1719" s="23">
        <v>1.0765E7</v>
      </c>
      <c r="C1719" s="23">
        <f t="shared" si="1"/>
        <v>2533461.644</v>
      </c>
      <c r="D1719" s="18">
        <f>IF(A1719="","",MATCH(A1719,Calculation!B$2:B9627,1))</f>
        <v>1</v>
      </c>
      <c r="E1719" s="23">
        <f t="array" ref="E1719">IF(D1719="","",IF(D1719=1,0,INDEX(Calculation!Q$2:Q9627,D1719-1)))</f>
        <v>0</v>
      </c>
      <c r="F1719" s="23">
        <f t="array" ref="F1719">IF($A1719="","",
  LET(
    r, $D1719,
    startD, INDEX(Calculation!B$2:B9627, r),
    endD,   INDEX(Calculation!C$2:C9627, r),
    asOf,   MIN($A1719,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2533461.644</v>
      </c>
    </row>
    <row r="1720">
      <c r="A1720" s="19">
        <v>43955.0</v>
      </c>
      <c r="B1720" s="23">
        <v>1.0765E7</v>
      </c>
      <c r="C1720" s="23">
        <f t="shared" si="1"/>
        <v>2534936.301</v>
      </c>
      <c r="D1720" s="18">
        <f>IF(A1720="","",MATCH(A1720,Calculation!B$2:B9627,1))</f>
        <v>1</v>
      </c>
      <c r="E1720" s="23">
        <f t="array" ref="E1720">IF(D1720="","",IF(D1720=1,0,INDEX(Calculation!Q$2:Q9627,D1720-1)))</f>
        <v>0</v>
      </c>
      <c r="F1720" s="23">
        <f t="array" ref="F1720">IF($A1720="","",
  LET(
    r, $D1720,
    startD, INDEX(Calculation!B$2:B9627, r),
    endD,   INDEX(Calculation!C$2:C9627, r),
    asOf,   MIN($A1720,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2534936.301</v>
      </c>
    </row>
    <row r="1721">
      <c r="A1721" s="19">
        <v>43956.0</v>
      </c>
      <c r="B1721" s="23">
        <v>1.0765E7</v>
      </c>
      <c r="C1721" s="23">
        <f t="shared" si="1"/>
        <v>2536410.959</v>
      </c>
      <c r="D1721" s="18">
        <f>IF(A1721="","",MATCH(A1721,Calculation!B$2:B9627,1))</f>
        <v>1</v>
      </c>
      <c r="E1721" s="23">
        <f t="array" ref="E1721">IF(D1721="","",IF(D1721=1,0,INDEX(Calculation!Q$2:Q9627,D1721-1)))</f>
        <v>0</v>
      </c>
      <c r="F1721" s="23">
        <f t="array" ref="F1721">IF($A1721="","",
  LET(
    r, $D1721,
    startD, INDEX(Calculation!B$2:B9627, r),
    endD,   INDEX(Calculation!C$2:C9627, r),
    asOf,   MIN($A1721,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2536410.959</v>
      </c>
    </row>
    <row r="1722">
      <c r="A1722" s="19">
        <v>43957.0</v>
      </c>
      <c r="B1722" s="23">
        <v>1.0765E7</v>
      </c>
      <c r="C1722" s="23">
        <f t="shared" si="1"/>
        <v>2537885.616</v>
      </c>
      <c r="D1722" s="18">
        <f>IF(A1722="","",MATCH(A1722,Calculation!B$2:B9627,1))</f>
        <v>1</v>
      </c>
      <c r="E1722" s="23">
        <f t="array" ref="E1722">IF(D1722="","",IF(D1722=1,0,INDEX(Calculation!Q$2:Q9627,D1722-1)))</f>
        <v>0</v>
      </c>
      <c r="F1722" s="23">
        <f t="array" ref="F1722">IF($A1722="","",
  LET(
    r, $D1722,
    startD, INDEX(Calculation!B$2:B9627, r),
    endD,   INDEX(Calculation!C$2:C9627, r),
    asOf,   MIN($A1722,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2537885.616</v>
      </c>
    </row>
    <row r="1723">
      <c r="A1723" s="19">
        <v>43958.0</v>
      </c>
      <c r="B1723" s="23">
        <v>1.0765E7</v>
      </c>
      <c r="C1723" s="23">
        <f t="shared" si="1"/>
        <v>2539360.274</v>
      </c>
      <c r="D1723" s="18">
        <f>IF(A1723="","",MATCH(A1723,Calculation!B$2:B9627,1))</f>
        <v>1</v>
      </c>
      <c r="E1723" s="23">
        <f t="array" ref="E1723">IF(D1723="","",IF(D1723=1,0,INDEX(Calculation!Q$2:Q9627,D1723-1)))</f>
        <v>0</v>
      </c>
      <c r="F1723" s="23">
        <f t="array" ref="F1723">IF($A1723="","",
  LET(
    r, $D1723,
    startD, INDEX(Calculation!B$2:B9627, r),
    endD,   INDEX(Calculation!C$2:C9627, r),
    asOf,   MIN($A1723,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2539360.274</v>
      </c>
    </row>
    <row r="1724">
      <c r="A1724" s="19">
        <v>43959.0</v>
      </c>
      <c r="B1724" s="23">
        <v>1.0765E7</v>
      </c>
      <c r="C1724" s="23">
        <f t="shared" si="1"/>
        <v>2540834.932</v>
      </c>
      <c r="D1724" s="18">
        <f>IF(A1724="","",MATCH(A1724,Calculation!B$2:B9627,1))</f>
        <v>1</v>
      </c>
      <c r="E1724" s="23">
        <f t="array" ref="E1724">IF(D1724="","",IF(D1724=1,0,INDEX(Calculation!Q$2:Q9627,D1724-1)))</f>
        <v>0</v>
      </c>
      <c r="F1724" s="23">
        <f t="array" ref="F1724">IF($A1724="","",
  LET(
    r, $D1724,
    startD, INDEX(Calculation!B$2:B9627, r),
    endD,   INDEX(Calculation!C$2:C9627, r),
    asOf,   MIN($A1724,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2540834.932</v>
      </c>
    </row>
    <row r="1725">
      <c r="A1725" s="19">
        <v>43960.0</v>
      </c>
      <c r="B1725" s="23">
        <v>1.0765E7</v>
      </c>
      <c r="C1725" s="23">
        <f t="shared" si="1"/>
        <v>2542309.589</v>
      </c>
      <c r="D1725" s="18">
        <f>IF(A1725="","",MATCH(A1725,Calculation!B$2:B9627,1))</f>
        <v>1</v>
      </c>
      <c r="E1725" s="23">
        <f t="array" ref="E1725">IF(D1725="","",IF(D1725=1,0,INDEX(Calculation!Q$2:Q9627,D1725-1)))</f>
        <v>0</v>
      </c>
      <c r="F1725" s="23">
        <f t="array" ref="F1725">IF($A1725="","",
  LET(
    r, $D1725,
    startD, INDEX(Calculation!B$2:B9627, r),
    endD,   INDEX(Calculation!C$2:C9627, r),
    asOf,   MIN($A1725,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2542309.589</v>
      </c>
    </row>
    <row r="1726">
      <c r="A1726" s="19">
        <v>43961.0</v>
      </c>
      <c r="B1726" s="23">
        <v>1.0765E7</v>
      </c>
      <c r="C1726" s="23">
        <f t="shared" si="1"/>
        <v>2543784.247</v>
      </c>
      <c r="D1726" s="18">
        <f>IF(A1726="","",MATCH(A1726,Calculation!B$2:B9627,1))</f>
        <v>1</v>
      </c>
      <c r="E1726" s="23">
        <f t="array" ref="E1726">IF(D1726="","",IF(D1726=1,0,INDEX(Calculation!Q$2:Q9627,D1726-1)))</f>
        <v>0</v>
      </c>
      <c r="F1726" s="23">
        <f t="array" ref="F1726">IF($A1726="","",
  LET(
    r, $D1726,
    startD, INDEX(Calculation!B$2:B9627, r),
    endD,   INDEX(Calculation!C$2:C9627, r),
    asOf,   MIN($A1726,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2543784.247</v>
      </c>
    </row>
    <row r="1727">
      <c r="A1727" s="19">
        <v>43962.0</v>
      </c>
      <c r="B1727" s="23">
        <v>1.0765E7</v>
      </c>
      <c r="C1727" s="23">
        <f t="shared" si="1"/>
        <v>2545258.904</v>
      </c>
      <c r="D1727" s="18">
        <f>IF(A1727="","",MATCH(A1727,Calculation!B$2:B9627,1))</f>
        <v>1</v>
      </c>
      <c r="E1727" s="23">
        <f t="array" ref="E1727">IF(D1727="","",IF(D1727=1,0,INDEX(Calculation!Q$2:Q9627,D1727-1)))</f>
        <v>0</v>
      </c>
      <c r="F1727" s="23">
        <f t="array" ref="F1727">IF($A1727="","",
  LET(
    r, $D1727,
    startD, INDEX(Calculation!B$2:B9627, r),
    endD,   INDEX(Calculation!C$2:C9627, r),
    asOf,   MIN($A1727,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2545258.904</v>
      </c>
    </row>
    <row r="1728">
      <c r="A1728" s="19">
        <v>43963.0</v>
      </c>
      <c r="B1728" s="23">
        <v>1.0765E7</v>
      </c>
      <c r="C1728" s="23">
        <f t="shared" si="1"/>
        <v>2546733.562</v>
      </c>
      <c r="D1728" s="18">
        <f>IF(A1728="","",MATCH(A1728,Calculation!B$2:B9627,1))</f>
        <v>1</v>
      </c>
      <c r="E1728" s="23">
        <f t="array" ref="E1728">IF(D1728="","",IF(D1728=1,0,INDEX(Calculation!Q$2:Q9627,D1728-1)))</f>
        <v>0</v>
      </c>
      <c r="F1728" s="23">
        <f t="array" ref="F1728">IF($A1728="","",
  LET(
    r, $D1728,
    startD, INDEX(Calculation!B$2:B9627, r),
    endD,   INDEX(Calculation!C$2:C9627, r),
    asOf,   MIN($A1728,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2546733.562</v>
      </c>
    </row>
    <row r="1729">
      <c r="A1729" s="19">
        <v>43964.0</v>
      </c>
      <c r="B1729" s="23">
        <v>1.0765E7</v>
      </c>
      <c r="C1729" s="23">
        <f t="shared" si="1"/>
        <v>2548208.219</v>
      </c>
      <c r="D1729" s="18">
        <f>IF(A1729="","",MATCH(A1729,Calculation!B$2:B9627,1))</f>
        <v>1</v>
      </c>
      <c r="E1729" s="23">
        <f t="array" ref="E1729">IF(D1729="","",IF(D1729=1,0,INDEX(Calculation!Q$2:Q9627,D1729-1)))</f>
        <v>0</v>
      </c>
      <c r="F1729" s="23">
        <f t="array" ref="F1729">IF($A1729="","",
  LET(
    r, $D1729,
    startD, INDEX(Calculation!B$2:B9627, r),
    endD,   INDEX(Calculation!C$2:C9627, r),
    asOf,   MIN($A1729,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2548208.219</v>
      </c>
    </row>
    <row r="1730">
      <c r="A1730" s="19">
        <v>43965.0</v>
      </c>
      <c r="B1730" s="23">
        <v>1.0765E7</v>
      </c>
      <c r="C1730" s="23">
        <f t="shared" si="1"/>
        <v>2549682.877</v>
      </c>
      <c r="D1730" s="18">
        <f>IF(A1730="","",MATCH(A1730,Calculation!B$2:B9627,1))</f>
        <v>1</v>
      </c>
      <c r="E1730" s="23">
        <f t="array" ref="E1730">IF(D1730="","",IF(D1730=1,0,INDEX(Calculation!Q$2:Q9627,D1730-1)))</f>
        <v>0</v>
      </c>
      <c r="F1730" s="23">
        <f t="array" ref="F1730">IF($A1730="","",
  LET(
    r, $D1730,
    startD, INDEX(Calculation!B$2:B9627, r),
    endD,   INDEX(Calculation!C$2:C9627, r),
    asOf,   MIN($A1730,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2549682.877</v>
      </c>
    </row>
    <row r="1731">
      <c r="A1731" s="19">
        <v>43966.0</v>
      </c>
      <c r="B1731" s="23">
        <v>1.0765E7</v>
      </c>
      <c r="C1731" s="23">
        <f t="shared" si="1"/>
        <v>2551157.534</v>
      </c>
      <c r="D1731" s="18">
        <f>IF(A1731="","",MATCH(A1731,Calculation!B$2:B9627,1))</f>
        <v>1</v>
      </c>
      <c r="E1731" s="23">
        <f t="array" ref="E1731">IF(D1731="","",IF(D1731=1,0,INDEX(Calculation!Q$2:Q9627,D1731-1)))</f>
        <v>0</v>
      </c>
      <c r="F1731" s="23">
        <f t="array" ref="F1731">IF($A1731="","",
  LET(
    r, $D1731,
    startD, INDEX(Calculation!B$2:B9627, r),
    endD,   INDEX(Calculation!C$2:C9627, r),
    asOf,   MIN($A1731,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2551157.534</v>
      </c>
    </row>
    <row r="1732">
      <c r="A1732" s="19">
        <v>43967.0</v>
      </c>
      <c r="B1732" s="23">
        <v>1.0765E7</v>
      </c>
      <c r="C1732" s="23">
        <f t="shared" si="1"/>
        <v>2552632.192</v>
      </c>
      <c r="D1732" s="18">
        <f>IF(A1732="","",MATCH(A1732,Calculation!B$2:B9627,1))</f>
        <v>1</v>
      </c>
      <c r="E1732" s="23">
        <f t="array" ref="E1732">IF(D1732="","",IF(D1732=1,0,INDEX(Calculation!Q$2:Q9627,D1732-1)))</f>
        <v>0</v>
      </c>
      <c r="F1732" s="23">
        <f t="array" ref="F1732">IF($A1732="","",
  LET(
    r, $D1732,
    startD, INDEX(Calculation!B$2:B9627, r),
    endD,   INDEX(Calculation!C$2:C9627, r),
    asOf,   MIN($A1732,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2552632.192</v>
      </c>
    </row>
    <row r="1733">
      <c r="A1733" s="19">
        <v>43968.0</v>
      </c>
      <c r="B1733" s="23">
        <v>1.0765E7</v>
      </c>
      <c r="C1733" s="23">
        <f t="shared" si="1"/>
        <v>2554106.849</v>
      </c>
      <c r="D1733" s="18">
        <f>IF(A1733="","",MATCH(A1733,Calculation!B$2:B9627,1))</f>
        <v>1</v>
      </c>
      <c r="E1733" s="23">
        <f t="array" ref="E1733">IF(D1733="","",IF(D1733=1,0,INDEX(Calculation!Q$2:Q9627,D1733-1)))</f>
        <v>0</v>
      </c>
      <c r="F1733" s="23">
        <f t="array" ref="F1733">IF($A1733="","",
  LET(
    r, $D1733,
    startD, INDEX(Calculation!B$2:B9627, r),
    endD,   INDEX(Calculation!C$2:C9627, r),
    asOf,   MIN($A1733,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2554106.849</v>
      </c>
    </row>
    <row r="1734">
      <c r="A1734" s="19">
        <v>43969.0</v>
      </c>
      <c r="B1734" s="23">
        <v>1.0765E7</v>
      </c>
      <c r="C1734" s="23">
        <f t="shared" si="1"/>
        <v>2555581.507</v>
      </c>
      <c r="D1734" s="18">
        <f>IF(A1734="","",MATCH(A1734,Calculation!B$2:B9627,1))</f>
        <v>1</v>
      </c>
      <c r="E1734" s="23">
        <f t="array" ref="E1734">IF(D1734="","",IF(D1734=1,0,INDEX(Calculation!Q$2:Q9627,D1734-1)))</f>
        <v>0</v>
      </c>
      <c r="F1734" s="23">
        <f t="array" ref="F1734">IF($A1734="","",
  LET(
    r, $D1734,
    startD, INDEX(Calculation!B$2:B9627, r),
    endD,   INDEX(Calculation!C$2:C9627, r),
    asOf,   MIN($A1734,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2555581.507</v>
      </c>
    </row>
    <row r="1735">
      <c r="A1735" s="19">
        <v>43970.0</v>
      </c>
      <c r="B1735" s="23">
        <v>1.0765E7</v>
      </c>
      <c r="C1735" s="23">
        <f t="shared" si="1"/>
        <v>2557056.164</v>
      </c>
      <c r="D1735" s="18">
        <f>IF(A1735="","",MATCH(A1735,Calculation!B$2:B9627,1))</f>
        <v>1</v>
      </c>
      <c r="E1735" s="23">
        <f t="array" ref="E1735">IF(D1735="","",IF(D1735=1,0,INDEX(Calculation!Q$2:Q9627,D1735-1)))</f>
        <v>0</v>
      </c>
      <c r="F1735" s="23">
        <f t="array" ref="F1735">IF($A1735="","",
  LET(
    r, $D1735,
    startD, INDEX(Calculation!B$2:B9627, r),
    endD,   INDEX(Calculation!C$2:C9627, r),
    asOf,   MIN($A1735,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2557056.164</v>
      </c>
    </row>
    <row r="1736">
      <c r="A1736" s="19">
        <v>43971.0</v>
      </c>
      <c r="B1736" s="23">
        <v>1.0765E7</v>
      </c>
      <c r="C1736" s="23">
        <f t="shared" si="1"/>
        <v>2558530.822</v>
      </c>
      <c r="D1736" s="18">
        <f>IF(A1736="","",MATCH(A1736,Calculation!B$2:B9627,1))</f>
        <v>1</v>
      </c>
      <c r="E1736" s="23">
        <f t="array" ref="E1736">IF(D1736="","",IF(D1736=1,0,INDEX(Calculation!Q$2:Q9627,D1736-1)))</f>
        <v>0</v>
      </c>
      <c r="F1736" s="23">
        <f t="array" ref="F1736">IF($A1736="","",
  LET(
    r, $D1736,
    startD, INDEX(Calculation!B$2:B9627, r),
    endD,   INDEX(Calculation!C$2:C9627, r),
    asOf,   MIN($A1736,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2558530.822</v>
      </c>
    </row>
    <row r="1737">
      <c r="A1737" s="19">
        <v>43972.0</v>
      </c>
      <c r="B1737" s="23">
        <v>1.0765E7</v>
      </c>
      <c r="C1737" s="23">
        <f t="shared" si="1"/>
        <v>2560005.479</v>
      </c>
      <c r="D1737" s="18">
        <f>IF(A1737="","",MATCH(A1737,Calculation!B$2:B9627,1))</f>
        <v>1</v>
      </c>
      <c r="E1737" s="23">
        <f t="array" ref="E1737">IF(D1737="","",IF(D1737=1,0,INDEX(Calculation!Q$2:Q9627,D1737-1)))</f>
        <v>0</v>
      </c>
      <c r="F1737" s="23">
        <f t="array" ref="F1737">IF($A1737="","",
  LET(
    r, $D1737,
    startD, INDEX(Calculation!B$2:B9627, r),
    endD,   INDEX(Calculation!C$2:C9627, r),
    asOf,   MIN($A1737,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2560005.479</v>
      </c>
    </row>
    <row r="1738">
      <c r="A1738" s="19">
        <v>43973.0</v>
      </c>
      <c r="B1738" s="23">
        <v>1.0765E7</v>
      </c>
      <c r="C1738" s="23">
        <f t="shared" si="1"/>
        <v>2561480.137</v>
      </c>
      <c r="D1738" s="18">
        <f>IF(A1738="","",MATCH(A1738,Calculation!B$2:B9627,1))</f>
        <v>1</v>
      </c>
      <c r="E1738" s="23">
        <f t="array" ref="E1738">IF(D1738="","",IF(D1738=1,0,INDEX(Calculation!Q$2:Q9627,D1738-1)))</f>
        <v>0</v>
      </c>
      <c r="F1738" s="23">
        <f t="array" ref="F1738">IF($A1738="","",
  LET(
    r, $D1738,
    startD, INDEX(Calculation!B$2:B9627, r),
    endD,   INDEX(Calculation!C$2:C9627, r),
    asOf,   MIN($A1738,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2561480.137</v>
      </c>
    </row>
    <row r="1739">
      <c r="A1739" s="19">
        <v>43974.0</v>
      </c>
      <c r="B1739" s="23">
        <v>1.0765E7</v>
      </c>
      <c r="C1739" s="23">
        <f t="shared" si="1"/>
        <v>2562954.795</v>
      </c>
      <c r="D1739" s="18">
        <f>IF(A1739="","",MATCH(A1739,Calculation!B$2:B9627,1))</f>
        <v>1</v>
      </c>
      <c r="E1739" s="23">
        <f t="array" ref="E1739">IF(D1739="","",IF(D1739=1,0,INDEX(Calculation!Q$2:Q9627,D1739-1)))</f>
        <v>0</v>
      </c>
      <c r="F1739" s="23">
        <f t="array" ref="F1739">IF($A1739="","",
  LET(
    r, $D1739,
    startD, INDEX(Calculation!B$2:B9627, r),
    endD,   INDEX(Calculation!C$2:C9627, r),
    asOf,   MIN($A1739,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2562954.795</v>
      </c>
    </row>
    <row r="1740">
      <c r="A1740" s="19">
        <v>43975.0</v>
      </c>
      <c r="B1740" s="23">
        <v>1.0765E7</v>
      </c>
      <c r="C1740" s="23">
        <f t="shared" si="1"/>
        <v>2564429.452</v>
      </c>
      <c r="D1740" s="18">
        <f>IF(A1740="","",MATCH(A1740,Calculation!B$2:B9627,1))</f>
        <v>1</v>
      </c>
      <c r="E1740" s="23">
        <f t="array" ref="E1740">IF(D1740="","",IF(D1740=1,0,INDEX(Calculation!Q$2:Q9627,D1740-1)))</f>
        <v>0</v>
      </c>
      <c r="F1740" s="23">
        <f t="array" ref="F1740">IF($A1740="","",
  LET(
    r, $D1740,
    startD, INDEX(Calculation!B$2:B9627, r),
    endD,   INDEX(Calculation!C$2:C9627, r),
    asOf,   MIN($A1740,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2564429.452</v>
      </c>
    </row>
    <row r="1741">
      <c r="A1741" s="19">
        <v>43976.0</v>
      </c>
      <c r="B1741" s="23">
        <v>1.0765E7</v>
      </c>
      <c r="C1741" s="23">
        <f t="shared" si="1"/>
        <v>2565904.11</v>
      </c>
      <c r="D1741" s="18">
        <f>IF(A1741="","",MATCH(A1741,Calculation!B$2:B9627,1))</f>
        <v>1</v>
      </c>
      <c r="E1741" s="23">
        <f t="array" ref="E1741">IF(D1741="","",IF(D1741=1,0,INDEX(Calculation!Q$2:Q9627,D1741-1)))</f>
        <v>0</v>
      </c>
      <c r="F1741" s="23">
        <f t="array" ref="F1741">IF($A1741="","",
  LET(
    r, $D1741,
    startD, INDEX(Calculation!B$2:B9627, r),
    endD,   INDEX(Calculation!C$2:C9627, r),
    asOf,   MIN($A1741,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2565904.11</v>
      </c>
    </row>
    <row r="1742">
      <c r="A1742" s="19">
        <v>43977.0</v>
      </c>
      <c r="B1742" s="23">
        <v>1.0765E7</v>
      </c>
      <c r="C1742" s="23">
        <f t="shared" si="1"/>
        <v>2567378.767</v>
      </c>
      <c r="D1742" s="18">
        <f>IF(A1742="","",MATCH(A1742,Calculation!B$2:B9627,1))</f>
        <v>1</v>
      </c>
      <c r="E1742" s="23">
        <f t="array" ref="E1742">IF(D1742="","",IF(D1742=1,0,INDEX(Calculation!Q$2:Q9627,D1742-1)))</f>
        <v>0</v>
      </c>
      <c r="F1742" s="23">
        <f t="array" ref="F1742">IF($A1742="","",
  LET(
    r, $D1742,
    startD, INDEX(Calculation!B$2:B9627, r),
    endD,   INDEX(Calculation!C$2:C9627, r),
    asOf,   MIN($A1742,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2567378.767</v>
      </c>
    </row>
    <row r="1743">
      <c r="A1743" s="19">
        <v>43978.0</v>
      </c>
      <c r="B1743" s="23">
        <v>1.0765E7</v>
      </c>
      <c r="C1743" s="23">
        <f t="shared" si="1"/>
        <v>2568853.425</v>
      </c>
      <c r="D1743" s="18">
        <f>IF(A1743="","",MATCH(A1743,Calculation!B$2:B9627,1))</f>
        <v>1</v>
      </c>
      <c r="E1743" s="23">
        <f t="array" ref="E1743">IF(D1743="","",IF(D1743=1,0,INDEX(Calculation!Q$2:Q9627,D1743-1)))</f>
        <v>0</v>
      </c>
      <c r="F1743" s="23">
        <f t="array" ref="F1743">IF($A1743="","",
  LET(
    r, $D1743,
    startD, INDEX(Calculation!B$2:B9627, r),
    endD,   INDEX(Calculation!C$2:C9627, r),
    asOf,   MIN($A1743,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2568853.425</v>
      </c>
    </row>
    <row r="1744">
      <c r="A1744" s="19">
        <v>43979.0</v>
      </c>
      <c r="B1744" s="23">
        <v>1.0765E7</v>
      </c>
      <c r="C1744" s="23">
        <f t="shared" si="1"/>
        <v>2570328.082</v>
      </c>
      <c r="D1744" s="18">
        <f>IF(A1744="","",MATCH(A1744,Calculation!B$2:B9627,1))</f>
        <v>1</v>
      </c>
      <c r="E1744" s="23">
        <f t="array" ref="E1744">IF(D1744="","",IF(D1744=1,0,INDEX(Calculation!Q$2:Q9627,D1744-1)))</f>
        <v>0</v>
      </c>
      <c r="F1744" s="23">
        <f t="array" ref="F1744">IF($A1744="","",
  LET(
    r, $D1744,
    startD, INDEX(Calculation!B$2:B9627, r),
    endD,   INDEX(Calculation!C$2:C9627, r),
    asOf,   MIN($A1744,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2570328.082</v>
      </c>
    </row>
    <row r="1745">
      <c r="A1745" s="19">
        <v>43980.0</v>
      </c>
      <c r="B1745" s="23">
        <v>1.0765E7</v>
      </c>
      <c r="C1745" s="23">
        <f t="shared" si="1"/>
        <v>2571802.74</v>
      </c>
      <c r="D1745" s="18">
        <f>IF(A1745="","",MATCH(A1745,Calculation!B$2:B9627,1))</f>
        <v>1</v>
      </c>
      <c r="E1745" s="23">
        <f t="array" ref="E1745">IF(D1745="","",IF(D1745=1,0,INDEX(Calculation!Q$2:Q9627,D1745-1)))</f>
        <v>0</v>
      </c>
      <c r="F1745" s="23">
        <f t="array" ref="F1745">IF($A1745="","",
  LET(
    r, $D1745,
    startD, INDEX(Calculation!B$2:B9627, r),
    endD,   INDEX(Calculation!C$2:C9627, r),
    asOf,   MIN($A1745,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2571802.74</v>
      </c>
    </row>
    <row r="1746">
      <c r="A1746" s="19">
        <v>43981.0</v>
      </c>
      <c r="B1746" s="23">
        <v>1.0765E7</v>
      </c>
      <c r="C1746" s="23">
        <f t="shared" si="1"/>
        <v>2573277.397</v>
      </c>
      <c r="D1746" s="18">
        <f>IF(A1746="","",MATCH(A1746,Calculation!B$2:B9627,1))</f>
        <v>1</v>
      </c>
      <c r="E1746" s="23">
        <f t="array" ref="E1746">IF(D1746="","",IF(D1746=1,0,INDEX(Calculation!Q$2:Q9627,D1746-1)))</f>
        <v>0</v>
      </c>
      <c r="F1746" s="23">
        <f t="array" ref="F1746">IF($A1746="","",
  LET(
    r, $D1746,
    startD, INDEX(Calculation!B$2:B9627, r),
    endD,   INDEX(Calculation!C$2:C9627, r),
    asOf,   MIN($A1746,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2573277.397</v>
      </c>
    </row>
    <row r="1747">
      <c r="A1747" s="19">
        <v>43982.0</v>
      </c>
      <c r="B1747" s="23">
        <v>1.0765E7</v>
      </c>
      <c r="C1747" s="23">
        <f t="shared" si="1"/>
        <v>2574752.055</v>
      </c>
      <c r="D1747" s="18">
        <f>IF(A1747="","",MATCH(A1747,Calculation!B$2:B9627,1))</f>
        <v>1</v>
      </c>
      <c r="E1747" s="23">
        <f t="array" ref="E1747">IF(D1747="","",IF(D1747=1,0,INDEX(Calculation!Q$2:Q9627,D1747-1)))</f>
        <v>0</v>
      </c>
      <c r="F1747" s="23">
        <f t="array" ref="F1747">IF($A1747="","",
  LET(
    r, $D1747,
    startD, INDEX(Calculation!B$2:B9627, r),
    endD,   INDEX(Calculation!C$2:C9627, r),
    asOf,   MIN($A1747,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2574752.055</v>
      </c>
    </row>
    <row r="1748">
      <c r="A1748" s="19">
        <v>43983.0</v>
      </c>
      <c r="B1748" s="23">
        <v>1.0765E7</v>
      </c>
      <c r="C1748" s="23">
        <f t="shared" si="1"/>
        <v>2576226.712</v>
      </c>
      <c r="D1748" s="18">
        <f>IF(A1748="","",MATCH(A1748,Calculation!B$2:B9627,1))</f>
        <v>1</v>
      </c>
      <c r="E1748" s="23">
        <f t="array" ref="E1748">IF(D1748="","",IF(D1748=1,0,INDEX(Calculation!Q$2:Q9627,D1748-1)))</f>
        <v>0</v>
      </c>
      <c r="F1748" s="23">
        <f t="array" ref="F1748">IF($A1748="","",
  LET(
    r, $D1748,
    startD, INDEX(Calculation!B$2:B9627, r),
    endD,   INDEX(Calculation!C$2:C9627, r),
    asOf,   MIN($A1748,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2576226.712</v>
      </c>
    </row>
    <row r="1749">
      <c r="A1749" s="19">
        <v>43984.0</v>
      </c>
      <c r="B1749" s="23">
        <v>1.0765E7</v>
      </c>
      <c r="C1749" s="23">
        <f t="shared" si="1"/>
        <v>2577701.37</v>
      </c>
      <c r="D1749" s="18">
        <f>IF(A1749="","",MATCH(A1749,Calculation!B$2:B9627,1))</f>
        <v>1</v>
      </c>
      <c r="E1749" s="23">
        <f t="array" ref="E1749">IF(D1749="","",IF(D1749=1,0,INDEX(Calculation!Q$2:Q9627,D1749-1)))</f>
        <v>0</v>
      </c>
      <c r="F1749" s="23">
        <f t="array" ref="F1749">IF($A1749="","",
  LET(
    r, $D1749,
    startD, INDEX(Calculation!B$2:B9627, r),
    endD,   INDEX(Calculation!C$2:C9627, r),
    asOf,   MIN($A1749,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2577701.37</v>
      </c>
    </row>
    <row r="1750">
      <c r="A1750" s="19">
        <v>43985.0</v>
      </c>
      <c r="B1750" s="23">
        <v>1.0765E7</v>
      </c>
      <c r="C1750" s="23">
        <f t="shared" si="1"/>
        <v>2579176.027</v>
      </c>
      <c r="D1750" s="18">
        <f>IF(A1750="","",MATCH(A1750,Calculation!B$2:B9627,1))</f>
        <v>1</v>
      </c>
      <c r="E1750" s="23">
        <f t="array" ref="E1750">IF(D1750="","",IF(D1750=1,0,INDEX(Calculation!Q$2:Q9627,D1750-1)))</f>
        <v>0</v>
      </c>
      <c r="F1750" s="23">
        <f t="array" ref="F1750">IF($A1750="","",
  LET(
    r, $D1750,
    startD, INDEX(Calculation!B$2:B9627, r),
    endD,   INDEX(Calculation!C$2:C9627, r),
    asOf,   MIN($A1750,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2579176.027</v>
      </c>
    </row>
    <row r="1751">
      <c r="A1751" s="19">
        <v>43986.0</v>
      </c>
      <c r="B1751" s="23">
        <v>1.0765E7</v>
      </c>
      <c r="C1751" s="23">
        <f t="shared" si="1"/>
        <v>2580650.685</v>
      </c>
      <c r="D1751" s="18">
        <f>IF(A1751="","",MATCH(A1751,Calculation!B$2:B9627,1))</f>
        <v>1</v>
      </c>
      <c r="E1751" s="23">
        <f t="array" ref="E1751">IF(D1751="","",IF(D1751=1,0,INDEX(Calculation!Q$2:Q9627,D1751-1)))</f>
        <v>0</v>
      </c>
      <c r="F1751" s="23">
        <f t="array" ref="F1751">IF($A1751="","",
  LET(
    r, $D1751,
    startD, INDEX(Calculation!B$2:B9627, r),
    endD,   INDEX(Calculation!C$2:C9627, r),
    asOf,   MIN($A1751,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2580650.685</v>
      </c>
    </row>
    <row r="1752">
      <c r="A1752" s="19">
        <v>43987.0</v>
      </c>
      <c r="B1752" s="23">
        <v>1.0765E7</v>
      </c>
      <c r="C1752" s="23">
        <f t="shared" si="1"/>
        <v>2582125.342</v>
      </c>
      <c r="D1752" s="18">
        <f>IF(A1752="","",MATCH(A1752,Calculation!B$2:B9627,1))</f>
        <v>1</v>
      </c>
      <c r="E1752" s="23">
        <f t="array" ref="E1752">IF(D1752="","",IF(D1752=1,0,INDEX(Calculation!Q$2:Q9627,D1752-1)))</f>
        <v>0</v>
      </c>
      <c r="F1752" s="23">
        <f t="array" ref="F1752">IF($A1752="","",
  LET(
    r, $D1752,
    startD, INDEX(Calculation!B$2:B9627, r),
    endD,   INDEX(Calculation!C$2:C9627, r),
    asOf,   MIN($A1752,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2582125.342</v>
      </c>
    </row>
    <row r="1753">
      <c r="A1753" s="19">
        <v>43988.0</v>
      </c>
      <c r="B1753" s="23">
        <v>1.0765E7</v>
      </c>
      <c r="C1753" s="23">
        <f t="shared" si="1"/>
        <v>2583600</v>
      </c>
      <c r="D1753" s="18">
        <f>IF(A1753="","",MATCH(A1753,Calculation!B$2:B9627,1))</f>
        <v>1</v>
      </c>
      <c r="E1753" s="23">
        <f t="array" ref="E1753">IF(D1753="","",IF(D1753=1,0,INDEX(Calculation!Q$2:Q9627,D1753-1)))</f>
        <v>0</v>
      </c>
      <c r="F1753" s="23">
        <f t="array" ref="F1753">IF($A1753="","",
  LET(
    r, $D1753,
    startD, INDEX(Calculation!B$2:B9627, r),
    endD,   INDEX(Calculation!C$2:C9627, r),
    asOf,   MIN($A1753,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2583600</v>
      </c>
    </row>
    <row r="1754">
      <c r="A1754" s="19">
        <v>43989.0</v>
      </c>
      <c r="B1754" s="23">
        <v>1.0765E7</v>
      </c>
      <c r="C1754" s="23">
        <f t="shared" si="1"/>
        <v>2585074.658</v>
      </c>
      <c r="D1754" s="18">
        <f>IF(A1754="","",MATCH(A1754,Calculation!B$2:B9627,1))</f>
        <v>1</v>
      </c>
      <c r="E1754" s="23">
        <f t="array" ref="E1754">IF(D1754="","",IF(D1754=1,0,INDEX(Calculation!Q$2:Q9627,D1754-1)))</f>
        <v>0</v>
      </c>
      <c r="F1754" s="23">
        <f t="array" ref="F1754">IF($A1754="","",
  LET(
    r, $D1754,
    startD, INDEX(Calculation!B$2:B9627, r),
    endD,   INDEX(Calculation!C$2:C9627, r),
    asOf,   MIN($A1754,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2585074.658</v>
      </c>
    </row>
    <row r="1755">
      <c r="A1755" s="19">
        <v>43990.0</v>
      </c>
      <c r="B1755" s="23">
        <v>1.0765E7</v>
      </c>
      <c r="C1755" s="23">
        <f t="shared" si="1"/>
        <v>2586549.315</v>
      </c>
      <c r="D1755" s="18">
        <f>IF(A1755="","",MATCH(A1755,Calculation!B$2:B9627,1))</f>
        <v>1</v>
      </c>
      <c r="E1755" s="23">
        <f t="array" ref="E1755">IF(D1755="","",IF(D1755=1,0,INDEX(Calculation!Q$2:Q9627,D1755-1)))</f>
        <v>0</v>
      </c>
      <c r="F1755" s="23">
        <f t="array" ref="F1755">IF($A1755="","",
  LET(
    r, $D1755,
    startD, INDEX(Calculation!B$2:B9627, r),
    endD,   INDEX(Calculation!C$2:C9627, r),
    asOf,   MIN($A1755,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2586549.315</v>
      </c>
    </row>
    <row r="1756">
      <c r="A1756" s="19">
        <v>43991.0</v>
      </c>
      <c r="B1756" s="23">
        <v>1.0765E7</v>
      </c>
      <c r="C1756" s="23">
        <f t="shared" si="1"/>
        <v>2588023.973</v>
      </c>
      <c r="D1756" s="18">
        <f>IF(A1756="","",MATCH(A1756,Calculation!B$2:B9627,1))</f>
        <v>1</v>
      </c>
      <c r="E1756" s="23">
        <f t="array" ref="E1756">IF(D1756="","",IF(D1756=1,0,INDEX(Calculation!Q$2:Q9627,D1756-1)))</f>
        <v>0</v>
      </c>
      <c r="F1756" s="23">
        <f t="array" ref="F1756">IF($A1756="","",
  LET(
    r, $D1756,
    startD, INDEX(Calculation!B$2:B9627, r),
    endD,   INDEX(Calculation!C$2:C9627, r),
    asOf,   MIN($A1756,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2588023.973</v>
      </c>
    </row>
    <row r="1757">
      <c r="A1757" s="19">
        <v>43992.0</v>
      </c>
      <c r="B1757" s="23">
        <v>1.0765E7</v>
      </c>
      <c r="C1757" s="23">
        <f t="shared" si="1"/>
        <v>2589498.63</v>
      </c>
      <c r="D1757" s="18">
        <f>IF(A1757="","",MATCH(A1757,Calculation!B$2:B9627,1))</f>
        <v>1</v>
      </c>
      <c r="E1757" s="23">
        <f t="array" ref="E1757">IF(D1757="","",IF(D1757=1,0,INDEX(Calculation!Q$2:Q9627,D1757-1)))</f>
        <v>0</v>
      </c>
      <c r="F1757" s="23">
        <f t="array" ref="F1757">IF($A1757="","",
  LET(
    r, $D1757,
    startD, INDEX(Calculation!B$2:B9627, r),
    endD,   INDEX(Calculation!C$2:C9627, r),
    asOf,   MIN($A1757,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2589498.63</v>
      </c>
    </row>
    <row r="1758">
      <c r="A1758" s="19">
        <v>43993.0</v>
      </c>
      <c r="B1758" s="23">
        <v>1.0765E7</v>
      </c>
      <c r="C1758" s="23">
        <f t="shared" si="1"/>
        <v>2590973.288</v>
      </c>
      <c r="D1758" s="18">
        <f>IF(A1758="","",MATCH(A1758,Calculation!B$2:B9627,1))</f>
        <v>1</v>
      </c>
      <c r="E1758" s="23">
        <f t="array" ref="E1758">IF(D1758="","",IF(D1758=1,0,INDEX(Calculation!Q$2:Q9627,D1758-1)))</f>
        <v>0</v>
      </c>
      <c r="F1758" s="23">
        <f t="array" ref="F1758">IF($A1758="","",
  LET(
    r, $D1758,
    startD, INDEX(Calculation!B$2:B9627, r),
    endD,   INDEX(Calculation!C$2:C9627, r),
    asOf,   MIN($A1758,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2590973.288</v>
      </c>
    </row>
    <row r="1759">
      <c r="A1759" s="19">
        <v>43994.0</v>
      </c>
      <c r="B1759" s="23">
        <v>1.0765E7</v>
      </c>
      <c r="C1759" s="23">
        <f t="shared" si="1"/>
        <v>2592447.945</v>
      </c>
      <c r="D1759" s="18">
        <f>IF(A1759="","",MATCH(A1759,Calculation!B$2:B9627,1))</f>
        <v>1</v>
      </c>
      <c r="E1759" s="23">
        <f t="array" ref="E1759">IF(D1759="","",IF(D1759=1,0,INDEX(Calculation!Q$2:Q9627,D1759-1)))</f>
        <v>0</v>
      </c>
      <c r="F1759" s="23">
        <f t="array" ref="F1759">IF($A1759="","",
  LET(
    r, $D1759,
    startD, INDEX(Calculation!B$2:B9627, r),
    endD,   INDEX(Calculation!C$2:C9627, r),
    asOf,   MIN($A1759,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2592447.945</v>
      </c>
    </row>
    <row r="1760">
      <c r="A1760" s="19">
        <v>43995.0</v>
      </c>
      <c r="B1760" s="23">
        <v>1.0765E7</v>
      </c>
      <c r="C1760" s="23">
        <f t="shared" si="1"/>
        <v>2593922.603</v>
      </c>
      <c r="D1760" s="18">
        <f>IF(A1760="","",MATCH(A1760,Calculation!B$2:B9627,1))</f>
        <v>1</v>
      </c>
      <c r="E1760" s="23">
        <f t="array" ref="E1760">IF(D1760="","",IF(D1760=1,0,INDEX(Calculation!Q$2:Q9627,D1760-1)))</f>
        <v>0</v>
      </c>
      <c r="F1760" s="23">
        <f t="array" ref="F1760">IF($A1760="","",
  LET(
    r, $D1760,
    startD, INDEX(Calculation!B$2:B9627, r),
    endD,   INDEX(Calculation!C$2:C9627, r),
    asOf,   MIN($A1760,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2593922.603</v>
      </c>
    </row>
    <row r="1761">
      <c r="A1761" s="19">
        <v>43996.0</v>
      </c>
      <c r="B1761" s="23">
        <v>1.0765E7</v>
      </c>
      <c r="C1761" s="23">
        <f t="shared" si="1"/>
        <v>2595397.26</v>
      </c>
      <c r="D1761" s="18">
        <f>IF(A1761="","",MATCH(A1761,Calculation!B$2:B9627,1))</f>
        <v>1</v>
      </c>
      <c r="E1761" s="23">
        <f t="array" ref="E1761">IF(D1761="","",IF(D1761=1,0,INDEX(Calculation!Q$2:Q9627,D1761-1)))</f>
        <v>0</v>
      </c>
      <c r="F1761" s="23">
        <f t="array" ref="F1761">IF($A1761="","",
  LET(
    r, $D1761,
    startD, INDEX(Calculation!B$2:B9627, r),
    endD,   INDEX(Calculation!C$2:C9627, r),
    asOf,   MIN($A1761,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2595397.26</v>
      </c>
    </row>
    <row r="1762">
      <c r="A1762" s="19">
        <v>43997.0</v>
      </c>
      <c r="B1762" s="23">
        <v>1.0765E7</v>
      </c>
      <c r="C1762" s="23">
        <f t="shared" si="1"/>
        <v>2596871.918</v>
      </c>
      <c r="D1762" s="18">
        <f>IF(A1762="","",MATCH(A1762,Calculation!B$2:B9627,1))</f>
        <v>1</v>
      </c>
      <c r="E1762" s="23">
        <f t="array" ref="E1762">IF(D1762="","",IF(D1762=1,0,INDEX(Calculation!Q$2:Q9627,D1762-1)))</f>
        <v>0</v>
      </c>
      <c r="F1762" s="23">
        <f t="array" ref="F1762">IF($A1762="","",
  LET(
    r, $D1762,
    startD, INDEX(Calculation!B$2:B9627, r),
    endD,   INDEX(Calculation!C$2:C9627, r),
    asOf,   MIN($A1762,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2596871.918</v>
      </c>
    </row>
    <row r="1763">
      <c r="A1763" s="19">
        <v>43998.0</v>
      </c>
      <c r="B1763" s="23">
        <v>1.0765E7</v>
      </c>
      <c r="C1763" s="23">
        <f t="shared" si="1"/>
        <v>2598346.575</v>
      </c>
      <c r="D1763" s="18">
        <f>IF(A1763="","",MATCH(A1763,Calculation!B$2:B9627,1))</f>
        <v>1</v>
      </c>
      <c r="E1763" s="23">
        <f t="array" ref="E1763">IF(D1763="","",IF(D1763=1,0,INDEX(Calculation!Q$2:Q9627,D1763-1)))</f>
        <v>0</v>
      </c>
      <c r="F1763" s="23">
        <f t="array" ref="F1763">IF($A1763="","",
  LET(
    r, $D1763,
    startD, INDEX(Calculation!B$2:B9627, r),
    endD,   INDEX(Calculation!C$2:C9627, r),
    asOf,   MIN($A1763,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2598346.575</v>
      </c>
    </row>
    <row r="1764">
      <c r="A1764" s="19">
        <v>43999.0</v>
      </c>
      <c r="B1764" s="23">
        <v>1.0765E7</v>
      </c>
      <c r="C1764" s="23">
        <f t="shared" si="1"/>
        <v>2599821.233</v>
      </c>
      <c r="D1764" s="18">
        <f>IF(A1764="","",MATCH(A1764,Calculation!B$2:B9627,1))</f>
        <v>1</v>
      </c>
      <c r="E1764" s="23">
        <f t="array" ref="E1764">IF(D1764="","",IF(D1764=1,0,INDEX(Calculation!Q$2:Q9627,D1764-1)))</f>
        <v>0</v>
      </c>
      <c r="F1764" s="23">
        <f t="array" ref="F1764">IF($A1764="","",
  LET(
    r, $D1764,
    startD, INDEX(Calculation!B$2:B9627, r),
    endD,   INDEX(Calculation!C$2:C9627, r),
    asOf,   MIN($A1764,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2599821.233</v>
      </c>
    </row>
    <row r="1765">
      <c r="A1765" s="19">
        <v>44000.0</v>
      </c>
      <c r="B1765" s="23">
        <v>1.0765E7</v>
      </c>
      <c r="C1765" s="23">
        <f t="shared" si="1"/>
        <v>2601295.89</v>
      </c>
      <c r="D1765" s="18">
        <f>IF(A1765="","",MATCH(A1765,Calculation!B$2:B9627,1))</f>
        <v>1</v>
      </c>
      <c r="E1765" s="23">
        <f t="array" ref="E1765">IF(D1765="","",IF(D1765=1,0,INDEX(Calculation!Q$2:Q9627,D1765-1)))</f>
        <v>0</v>
      </c>
      <c r="F1765" s="23">
        <f t="array" ref="F1765">IF($A1765="","",
  LET(
    r, $D1765,
    startD, INDEX(Calculation!B$2:B9627, r),
    endD,   INDEX(Calculation!C$2:C9627, r),
    asOf,   MIN($A1765,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2601295.89</v>
      </c>
    </row>
    <row r="1766">
      <c r="A1766" s="19">
        <v>44001.0</v>
      </c>
      <c r="B1766" s="23">
        <v>1.0765E7</v>
      </c>
      <c r="C1766" s="23">
        <f t="shared" si="1"/>
        <v>2602770.548</v>
      </c>
      <c r="D1766" s="18">
        <f>IF(A1766="","",MATCH(A1766,Calculation!B$2:B9627,1))</f>
        <v>1</v>
      </c>
      <c r="E1766" s="23">
        <f t="array" ref="E1766">IF(D1766="","",IF(D1766=1,0,INDEX(Calculation!Q$2:Q9627,D1766-1)))</f>
        <v>0</v>
      </c>
      <c r="F1766" s="23">
        <f t="array" ref="F1766">IF($A1766="","",
  LET(
    r, $D1766,
    startD, INDEX(Calculation!B$2:B9627, r),
    endD,   INDEX(Calculation!C$2:C9627, r),
    asOf,   MIN($A1766,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2602770.548</v>
      </c>
    </row>
    <row r="1767">
      <c r="A1767" s="19">
        <v>44002.0</v>
      </c>
      <c r="B1767" s="23">
        <v>1.0765E7</v>
      </c>
      <c r="C1767" s="23">
        <f t="shared" si="1"/>
        <v>2604245.205</v>
      </c>
      <c r="D1767" s="18">
        <f>IF(A1767="","",MATCH(A1767,Calculation!B$2:B9627,1))</f>
        <v>1</v>
      </c>
      <c r="E1767" s="23">
        <f t="array" ref="E1767">IF(D1767="","",IF(D1767=1,0,INDEX(Calculation!Q$2:Q9627,D1767-1)))</f>
        <v>0</v>
      </c>
      <c r="F1767" s="23">
        <f t="array" ref="F1767">IF($A1767="","",
  LET(
    r, $D1767,
    startD, INDEX(Calculation!B$2:B9627, r),
    endD,   INDEX(Calculation!C$2:C9627, r),
    asOf,   MIN($A1767,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2604245.205</v>
      </c>
    </row>
    <row r="1768">
      <c r="A1768" s="19">
        <v>44003.0</v>
      </c>
      <c r="B1768" s="23">
        <v>1.0765E7</v>
      </c>
      <c r="C1768" s="23">
        <f t="shared" si="1"/>
        <v>2605719.863</v>
      </c>
      <c r="D1768" s="18">
        <f>IF(A1768="","",MATCH(A1768,Calculation!B$2:B9627,1))</f>
        <v>1</v>
      </c>
      <c r="E1768" s="23">
        <f t="array" ref="E1768">IF(D1768="","",IF(D1768=1,0,INDEX(Calculation!Q$2:Q9627,D1768-1)))</f>
        <v>0</v>
      </c>
      <c r="F1768" s="23">
        <f t="array" ref="F1768">IF($A1768="","",
  LET(
    r, $D1768,
    startD, INDEX(Calculation!B$2:B9627, r),
    endD,   INDEX(Calculation!C$2:C9627, r),
    asOf,   MIN($A1768,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2605719.863</v>
      </c>
    </row>
    <row r="1769">
      <c r="A1769" s="19">
        <v>44004.0</v>
      </c>
      <c r="B1769" s="23">
        <v>1.0765E7</v>
      </c>
      <c r="C1769" s="23">
        <f t="shared" si="1"/>
        <v>2607194.521</v>
      </c>
      <c r="D1769" s="18">
        <f>IF(A1769="","",MATCH(A1769,Calculation!B$2:B9627,1))</f>
        <v>1</v>
      </c>
      <c r="E1769" s="23">
        <f t="array" ref="E1769">IF(D1769="","",IF(D1769=1,0,INDEX(Calculation!Q$2:Q9627,D1769-1)))</f>
        <v>0</v>
      </c>
      <c r="F1769" s="23">
        <f t="array" ref="F1769">IF($A1769="","",
  LET(
    r, $D1769,
    startD, INDEX(Calculation!B$2:B9627, r),
    endD,   INDEX(Calculation!C$2:C9627, r),
    asOf,   MIN($A1769,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2607194.521</v>
      </c>
    </row>
    <row r="1770">
      <c r="A1770" s="19">
        <v>44005.0</v>
      </c>
      <c r="B1770" s="23">
        <v>1.0765E7</v>
      </c>
      <c r="C1770" s="23">
        <f t="shared" si="1"/>
        <v>2608669.178</v>
      </c>
      <c r="D1770" s="18">
        <f>IF(A1770="","",MATCH(A1770,Calculation!B$2:B9627,1))</f>
        <v>1</v>
      </c>
      <c r="E1770" s="23">
        <f t="array" ref="E1770">IF(D1770="","",IF(D1770=1,0,INDEX(Calculation!Q$2:Q9627,D1770-1)))</f>
        <v>0</v>
      </c>
      <c r="F1770" s="23">
        <f t="array" ref="F1770">IF($A1770="","",
  LET(
    r, $D1770,
    startD, INDEX(Calculation!B$2:B9627, r),
    endD,   INDEX(Calculation!C$2:C9627, r),
    asOf,   MIN($A1770,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2608669.178</v>
      </c>
    </row>
    <row r="1771">
      <c r="A1771" s="19">
        <v>44006.0</v>
      </c>
      <c r="B1771" s="23">
        <v>1.0765E7</v>
      </c>
      <c r="C1771" s="23">
        <f t="shared" si="1"/>
        <v>2610143.836</v>
      </c>
      <c r="D1771" s="18">
        <f>IF(A1771="","",MATCH(A1771,Calculation!B$2:B9627,1))</f>
        <v>1</v>
      </c>
      <c r="E1771" s="23">
        <f t="array" ref="E1771">IF(D1771="","",IF(D1771=1,0,INDEX(Calculation!Q$2:Q9627,D1771-1)))</f>
        <v>0</v>
      </c>
      <c r="F1771" s="23">
        <f t="array" ref="F1771">IF($A1771="","",
  LET(
    r, $D1771,
    startD, INDEX(Calculation!B$2:B9627, r),
    endD,   INDEX(Calculation!C$2:C9627, r),
    asOf,   MIN($A1771,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2610143.836</v>
      </c>
    </row>
    <row r="1772">
      <c r="A1772" s="19">
        <v>44007.0</v>
      </c>
      <c r="B1772" s="23">
        <v>1.0765E7</v>
      </c>
      <c r="C1772" s="23">
        <f t="shared" si="1"/>
        <v>2611618.493</v>
      </c>
      <c r="D1772" s="18">
        <f>IF(A1772="","",MATCH(A1772,Calculation!B$2:B9627,1))</f>
        <v>1</v>
      </c>
      <c r="E1772" s="23">
        <f t="array" ref="E1772">IF(D1772="","",IF(D1772=1,0,INDEX(Calculation!Q$2:Q9627,D1772-1)))</f>
        <v>0</v>
      </c>
      <c r="F1772" s="23">
        <f t="array" ref="F1772">IF($A1772="","",
  LET(
    r, $D1772,
    startD, INDEX(Calculation!B$2:B9627, r),
    endD,   INDEX(Calculation!C$2:C9627, r),
    asOf,   MIN($A1772,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2611618.493</v>
      </c>
    </row>
    <row r="1773">
      <c r="A1773" s="19">
        <v>44008.0</v>
      </c>
      <c r="B1773" s="23">
        <v>1.0765E7</v>
      </c>
      <c r="C1773" s="23">
        <f t="shared" si="1"/>
        <v>2613093.151</v>
      </c>
      <c r="D1773" s="18">
        <f>IF(A1773="","",MATCH(A1773,Calculation!B$2:B9627,1))</f>
        <v>1</v>
      </c>
      <c r="E1773" s="23">
        <f t="array" ref="E1773">IF(D1773="","",IF(D1773=1,0,INDEX(Calculation!Q$2:Q9627,D1773-1)))</f>
        <v>0</v>
      </c>
      <c r="F1773" s="23">
        <f t="array" ref="F1773">IF($A1773="","",
  LET(
    r, $D1773,
    startD, INDEX(Calculation!B$2:B9627, r),
    endD,   INDEX(Calculation!C$2:C9627, r),
    asOf,   MIN($A1773,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2613093.151</v>
      </c>
    </row>
    <row r="1774">
      <c r="A1774" s="19">
        <v>44009.0</v>
      </c>
      <c r="B1774" s="23">
        <v>1.0765E7</v>
      </c>
      <c r="C1774" s="23">
        <f t="shared" si="1"/>
        <v>2614567.808</v>
      </c>
      <c r="D1774" s="18">
        <f>IF(A1774="","",MATCH(A1774,Calculation!B$2:B9627,1))</f>
        <v>1</v>
      </c>
      <c r="E1774" s="23">
        <f t="array" ref="E1774">IF(D1774="","",IF(D1774=1,0,INDEX(Calculation!Q$2:Q9627,D1774-1)))</f>
        <v>0</v>
      </c>
      <c r="F1774" s="23">
        <f t="array" ref="F1774">IF($A1774="","",
  LET(
    r, $D1774,
    startD, INDEX(Calculation!B$2:B9627, r),
    endD,   INDEX(Calculation!C$2:C9627, r),
    asOf,   MIN($A1774,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2614567.808</v>
      </c>
    </row>
    <row r="1775">
      <c r="A1775" s="19">
        <v>44010.0</v>
      </c>
      <c r="B1775" s="23">
        <v>1.0765E7</v>
      </c>
      <c r="C1775" s="23">
        <f t="shared" si="1"/>
        <v>2616042.466</v>
      </c>
      <c r="D1775" s="18">
        <f>IF(A1775="","",MATCH(A1775,Calculation!B$2:B9627,1))</f>
        <v>1</v>
      </c>
      <c r="E1775" s="23">
        <f t="array" ref="E1775">IF(D1775="","",IF(D1775=1,0,INDEX(Calculation!Q$2:Q9627,D1775-1)))</f>
        <v>0</v>
      </c>
      <c r="F1775" s="23">
        <f t="array" ref="F1775">IF($A1775="","",
  LET(
    r, $D1775,
    startD, INDEX(Calculation!B$2:B9627, r),
    endD,   INDEX(Calculation!C$2:C9627, r),
    asOf,   MIN($A1775,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2616042.466</v>
      </c>
    </row>
    <row r="1776">
      <c r="A1776" s="19">
        <v>44011.0</v>
      </c>
      <c r="B1776" s="23">
        <v>1.0765E7</v>
      </c>
      <c r="C1776" s="23">
        <f t="shared" si="1"/>
        <v>2617517.123</v>
      </c>
      <c r="D1776" s="18">
        <f>IF(A1776="","",MATCH(A1776,Calculation!B$2:B9627,1))</f>
        <v>1</v>
      </c>
      <c r="E1776" s="23">
        <f t="array" ref="E1776">IF(D1776="","",IF(D1776=1,0,INDEX(Calculation!Q$2:Q9627,D1776-1)))</f>
        <v>0</v>
      </c>
      <c r="F1776" s="23">
        <f t="array" ref="F1776">IF($A1776="","",
  LET(
    r, $D1776,
    startD, INDEX(Calculation!B$2:B9627, r),
    endD,   INDEX(Calculation!C$2:C9627, r),
    asOf,   MIN($A1776,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2617517.123</v>
      </c>
    </row>
    <row r="1777">
      <c r="A1777" s="19">
        <v>44012.0</v>
      </c>
      <c r="B1777" s="23">
        <v>1.0765E7</v>
      </c>
      <c r="C1777" s="23">
        <f t="shared" si="1"/>
        <v>2618991.781</v>
      </c>
      <c r="D1777" s="18">
        <f>IF(A1777="","",MATCH(A1777,Calculation!B$2:B9627,1))</f>
        <v>1</v>
      </c>
      <c r="E1777" s="23">
        <f t="array" ref="E1777">IF(D1777="","",IF(D1777=1,0,INDEX(Calculation!Q$2:Q9627,D1777-1)))</f>
        <v>0</v>
      </c>
      <c r="F1777" s="23">
        <f t="array" ref="F1777">IF($A1777="","",
  LET(
    r, $D1777,
    startD, INDEX(Calculation!B$2:B9627, r),
    endD,   INDEX(Calculation!C$2:C9627, r),
    asOf,   MIN($A1777,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2618991.781</v>
      </c>
    </row>
    <row r="1778">
      <c r="A1778" s="19">
        <v>44013.0</v>
      </c>
      <c r="B1778" s="23">
        <v>1.0765E7</v>
      </c>
      <c r="C1778" s="23">
        <f t="shared" si="1"/>
        <v>2620466.438</v>
      </c>
      <c r="D1778" s="18">
        <f>IF(A1778="","",MATCH(A1778,Calculation!B$2:B9627,1))</f>
        <v>1</v>
      </c>
      <c r="E1778" s="23">
        <f t="array" ref="E1778">IF(D1778="","",IF(D1778=1,0,INDEX(Calculation!Q$2:Q9627,D1778-1)))</f>
        <v>0</v>
      </c>
      <c r="F1778" s="23">
        <f t="array" ref="F1778">IF($A1778="","",
  LET(
    r, $D1778,
    startD, INDEX(Calculation!B$2:B9627, r),
    endD,   INDEX(Calculation!C$2:C9627, r),
    asOf,   MIN($A1778,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2620466.438</v>
      </c>
    </row>
    <row r="1779">
      <c r="A1779" s="19">
        <v>44014.0</v>
      </c>
      <c r="B1779" s="23">
        <v>1.0765E7</v>
      </c>
      <c r="C1779" s="23">
        <f t="shared" si="1"/>
        <v>2621941.096</v>
      </c>
      <c r="D1779" s="18">
        <f>IF(A1779="","",MATCH(A1779,Calculation!B$2:B9627,1))</f>
        <v>1</v>
      </c>
      <c r="E1779" s="23">
        <f t="array" ref="E1779">IF(D1779="","",IF(D1779=1,0,INDEX(Calculation!Q$2:Q9627,D1779-1)))</f>
        <v>0</v>
      </c>
      <c r="F1779" s="23">
        <f t="array" ref="F1779">IF($A1779="","",
  LET(
    r, $D1779,
    startD, INDEX(Calculation!B$2:B9627, r),
    endD,   INDEX(Calculation!C$2:C9627, r),
    asOf,   MIN($A1779,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2621941.096</v>
      </c>
    </row>
    <row r="1780">
      <c r="A1780" s="19">
        <v>44015.0</v>
      </c>
      <c r="B1780" s="23">
        <v>1.0765E7</v>
      </c>
      <c r="C1780" s="23">
        <f t="shared" si="1"/>
        <v>2623415.753</v>
      </c>
      <c r="D1780" s="18">
        <f>IF(A1780="","",MATCH(A1780,Calculation!B$2:B9627,1))</f>
        <v>1</v>
      </c>
      <c r="E1780" s="23">
        <f t="array" ref="E1780">IF(D1780="","",IF(D1780=1,0,INDEX(Calculation!Q$2:Q9627,D1780-1)))</f>
        <v>0</v>
      </c>
      <c r="F1780" s="23">
        <f t="array" ref="F1780">IF($A1780="","",
  LET(
    r, $D1780,
    startD, INDEX(Calculation!B$2:B9627, r),
    endD,   INDEX(Calculation!C$2:C9627, r),
    asOf,   MIN($A1780,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2623415.753</v>
      </c>
    </row>
    <row r="1781">
      <c r="A1781" s="19">
        <v>44016.0</v>
      </c>
      <c r="B1781" s="23">
        <v>1.0765E7</v>
      </c>
      <c r="C1781" s="23">
        <f t="shared" si="1"/>
        <v>2624890.411</v>
      </c>
      <c r="D1781" s="18">
        <f>IF(A1781="","",MATCH(A1781,Calculation!B$2:B9627,1))</f>
        <v>1</v>
      </c>
      <c r="E1781" s="23">
        <f t="array" ref="E1781">IF(D1781="","",IF(D1781=1,0,INDEX(Calculation!Q$2:Q9627,D1781-1)))</f>
        <v>0</v>
      </c>
      <c r="F1781" s="23">
        <f t="array" ref="F1781">IF($A1781="","",
  LET(
    r, $D1781,
    startD, INDEX(Calculation!B$2:B9627, r),
    endD,   INDEX(Calculation!C$2:C9627, r),
    asOf,   MIN($A1781,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2624890.411</v>
      </c>
    </row>
    <row r="1782">
      <c r="A1782" s="19">
        <v>44017.0</v>
      </c>
      <c r="B1782" s="23">
        <v>1.0765E7</v>
      </c>
      <c r="C1782" s="23">
        <f t="shared" si="1"/>
        <v>2626365.068</v>
      </c>
      <c r="D1782" s="18">
        <f>IF(A1782="","",MATCH(A1782,Calculation!B$2:B9627,1))</f>
        <v>1</v>
      </c>
      <c r="E1782" s="23">
        <f t="array" ref="E1782">IF(D1782="","",IF(D1782=1,0,INDEX(Calculation!Q$2:Q9627,D1782-1)))</f>
        <v>0</v>
      </c>
      <c r="F1782" s="23">
        <f t="array" ref="F1782">IF($A1782="","",
  LET(
    r, $D1782,
    startD, INDEX(Calculation!B$2:B9627, r),
    endD,   INDEX(Calculation!C$2:C9627, r),
    asOf,   MIN($A1782,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2626365.068</v>
      </c>
    </row>
    <row r="1783">
      <c r="A1783" s="19">
        <v>44018.0</v>
      </c>
      <c r="B1783" s="23">
        <v>1.0765E7</v>
      </c>
      <c r="C1783" s="23">
        <f t="shared" si="1"/>
        <v>2627839.726</v>
      </c>
      <c r="D1783" s="18">
        <f>IF(A1783="","",MATCH(A1783,Calculation!B$2:B9627,1))</f>
        <v>1</v>
      </c>
      <c r="E1783" s="23">
        <f t="array" ref="E1783">IF(D1783="","",IF(D1783=1,0,INDEX(Calculation!Q$2:Q9627,D1783-1)))</f>
        <v>0</v>
      </c>
      <c r="F1783" s="23">
        <f t="array" ref="F1783">IF($A1783="","",
  LET(
    r, $D1783,
    startD, INDEX(Calculation!B$2:B9627, r),
    endD,   INDEX(Calculation!C$2:C9627, r),
    asOf,   MIN($A1783,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2627839.726</v>
      </c>
    </row>
    <row r="1784">
      <c r="A1784" s="19">
        <v>44019.0</v>
      </c>
      <c r="B1784" s="23">
        <v>1.0765E7</v>
      </c>
      <c r="C1784" s="23">
        <f t="shared" si="1"/>
        <v>2629314.384</v>
      </c>
      <c r="D1784" s="18">
        <f>IF(A1784="","",MATCH(A1784,Calculation!B$2:B9627,1))</f>
        <v>1</v>
      </c>
      <c r="E1784" s="23">
        <f t="array" ref="E1784">IF(D1784="","",IF(D1784=1,0,INDEX(Calculation!Q$2:Q9627,D1784-1)))</f>
        <v>0</v>
      </c>
      <c r="F1784" s="23">
        <f t="array" ref="F1784">IF($A1784="","",
  LET(
    r, $D1784,
    startD, INDEX(Calculation!B$2:B9627, r),
    endD,   INDEX(Calculation!C$2:C9627, r),
    asOf,   MIN($A1784,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2629314.384</v>
      </c>
    </row>
    <row r="1785">
      <c r="A1785" s="19">
        <v>44020.0</v>
      </c>
      <c r="B1785" s="23">
        <v>1.0765E7</v>
      </c>
      <c r="C1785" s="23">
        <f t="shared" si="1"/>
        <v>2630789.041</v>
      </c>
      <c r="D1785" s="18">
        <f>IF(A1785="","",MATCH(A1785,Calculation!B$2:B9627,1))</f>
        <v>1</v>
      </c>
      <c r="E1785" s="23">
        <f t="array" ref="E1785">IF(D1785="","",IF(D1785=1,0,INDEX(Calculation!Q$2:Q9627,D1785-1)))</f>
        <v>0</v>
      </c>
      <c r="F1785" s="23">
        <f t="array" ref="F1785">IF($A1785="","",
  LET(
    r, $D1785,
    startD, INDEX(Calculation!B$2:B9627, r),
    endD,   INDEX(Calculation!C$2:C9627, r),
    asOf,   MIN($A1785,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2630789.041</v>
      </c>
    </row>
    <row r="1786">
      <c r="A1786" s="19">
        <v>44021.0</v>
      </c>
      <c r="B1786" s="23">
        <v>1.0765E7</v>
      </c>
      <c r="C1786" s="23">
        <f t="shared" si="1"/>
        <v>2632263.699</v>
      </c>
      <c r="D1786" s="18">
        <f>IF(A1786="","",MATCH(A1786,Calculation!B$2:B9627,1))</f>
        <v>1</v>
      </c>
      <c r="E1786" s="23">
        <f t="array" ref="E1786">IF(D1786="","",IF(D1786=1,0,INDEX(Calculation!Q$2:Q9627,D1786-1)))</f>
        <v>0</v>
      </c>
      <c r="F1786" s="23">
        <f t="array" ref="F1786">IF($A1786="","",
  LET(
    r, $D1786,
    startD, INDEX(Calculation!B$2:B9627, r),
    endD,   INDEX(Calculation!C$2:C9627, r),
    asOf,   MIN($A1786,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2632263.699</v>
      </c>
    </row>
    <row r="1787">
      <c r="A1787" s="19">
        <v>44022.0</v>
      </c>
      <c r="B1787" s="23">
        <v>1.0765E7</v>
      </c>
      <c r="C1787" s="23">
        <f t="shared" si="1"/>
        <v>2633738.356</v>
      </c>
      <c r="D1787" s="18">
        <f>IF(A1787="","",MATCH(A1787,Calculation!B$2:B9627,1))</f>
        <v>1</v>
      </c>
      <c r="E1787" s="23">
        <f t="array" ref="E1787">IF(D1787="","",IF(D1787=1,0,INDEX(Calculation!Q$2:Q9627,D1787-1)))</f>
        <v>0</v>
      </c>
      <c r="F1787" s="23">
        <f t="array" ref="F1787">IF($A1787="","",
  LET(
    r, $D1787,
    startD, INDEX(Calculation!B$2:B9627, r),
    endD,   INDEX(Calculation!C$2:C9627, r),
    asOf,   MIN($A1787,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2633738.356</v>
      </c>
    </row>
    <row r="1788">
      <c r="A1788" s="19">
        <v>44023.0</v>
      </c>
      <c r="B1788" s="23">
        <v>1.0765E7</v>
      </c>
      <c r="C1788" s="23">
        <f t="shared" si="1"/>
        <v>2635213.014</v>
      </c>
      <c r="D1788" s="18">
        <f>IF(A1788="","",MATCH(A1788,Calculation!B$2:B9627,1))</f>
        <v>1</v>
      </c>
      <c r="E1788" s="23">
        <f t="array" ref="E1788">IF(D1788="","",IF(D1788=1,0,INDEX(Calculation!Q$2:Q9627,D1788-1)))</f>
        <v>0</v>
      </c>
      <c r="F1788" s="23">
        <f t="array" ref="F1788">IF($A1788="","",
  LET(
    r, $D1788,
    startD, INDEX(Calculation!B$2:B9627, r),
    endD,   INDEX(Calculation!C$2:C9627, r),
    asOf,   MIN($A1788,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2635213.014</v>
      </c>
    </row>
    <row r="1789">
      <c r="A1789" s="19">
        <v>44024.0</v>
      </c>
      <c r="B1789" s="23">
        <v>1.0765E7</v>
      </c>
      <c r="C1789" s="23">
        <f t="shared" si="1"/>
        <v>2636687.671</v>
      </c>
      <c r="D1789" s="18">
        <f>IF(A1789="","",MATCH(A1789,Calculation!B$2:B9627,1))</f>
        <v>1</v>
      </c>
      <c r="E1789" s="23">
        <f t="array" ref="E1789">IF(D1789="","",IF(D1789=1,0,INDEX(Calculation!Q$2:Q9627,D1789-1)))</f>
        <v>0</v>
      </c>
      <c r="F1789" s="23">
        <f t="array" ref="F1789">IF($A1789="","",
  LET(
    r, $D1789,
    startD, INDEX(Calculation!B$2:B9627, r),
    endD,   INDEX(Calculation!C$2:C9627, r),
    asOf,   MIN($A1789,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2636687.671</v>
      </c>
    </row>
    <row r="1790">
      <c r="A1790" s="19">
        <v>44025.0</v>
      </c>
      <c r="B1790" s="23">
        <v>1.0765E7</v>
      </c>
      <c r="C1790" s="23">
        <f t="shared" si="1"/>
        <v>2638162.329</v>
      </c>
      <c r="D1790" s="18">
        <f>IF(A1790="","",MATCH(A1790,Calculation!B$2:B9627,1))</f>
        <v>1</v>
      </c>
      <c r="E1790" s="23">
        <f t="array" ref="E1790">IF(D1790="","",IF(D1790=1,0,INDEX(Calculation!Q$2:Q9627,D1790-1)))</f>
        <v>0</v>
      </c>
      <c r="F1790" s="23">
        <f t="array" ref="F1790">IF($A1790="","",
  LET(
    r, $D1790,
    startD, INDEX(Calculation!B$2:B9627, r),
    endD,   INDEX(Calculation!C$2:C9627, r),
    asOf,   MIN($A1790,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2638162.329</v>
      </c>
    </row>
    <row r="1791">
      <c r="A1791" s="19">
        <v>44026.0</v>
      </c>
      <c r="B1791" s="23">
        <v>1.0765E7</v>
      </c>
      <c r="C1791" s="23">
        <f t="shared" si="1"/>
        <v>2639636.986</v>
      </c>
      <c r="D1791" s="18">
        <f>IF(A1791="","",MATCH(A1791,Calculation!B$2:B9627,1))</f>
        <v>1</v>
      </c>
      <c r="E1791" s="23">
        <f t="array" ref="E1791">IF(D1791="","",IF(D1791=1,0,INDEX(Calculation!Q$2:Q9627,D1791-1)))</f>
        <v>0</v>
      </c>
      <c r="F1791" s="23">
        <f t="array" ref="F1791">IF($A1791="","",
  LET(
    r, $D1791,
    startD, INDEX(Calculation!B$2:B9627, r),
    endD,   INDEX(Calculation!C$2:C9627, r),
    asOf,   MIN($A1791,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2639636.986</v>
      </c>
    </row>
    <row r="1792">
      <c r="A1792" s="19">
        <v>44027.0</v>
      </c>
      <c r="B1792" s="23">
        <v>1.0765E7</v>
      </c>
      <c r="C1792" s="23">
        <f t="shared" si="1"/>
        <v>2641111.644</v>
      </c>
      <c r="D1792" s="18">
        <f>IF(A1792="","",MATCH(A1792,Calculation!B$2:B9627,1))</f>
        <v>1</v>
      </c>
      <c r="E1792" s="23">
        <f t="array" ref="E1792">IF(D1792="","",IF(D1792=1,0,INDEX(Calculation!Q$2:Q9627,D1792-1)))</f>
        <v>0</v>
      </c>
      <c r="F1792" s="23">
        <f t="array" ref="F1792">IF($A1792="","",
  LET(
    r, $D1792,
    startD, INDEX(Calculation!B$2:B9627, r),
    endD,   INDEX(Calculation!C$2:C9627, r),
    asOf,   MIN($A1792,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2641111.644</v>
      </c>
    </row>
    <row r="1793">
      <c r="A1793" s="19">
        <v>44028.0</v>
      </c>
      <c r="B1793" s="23">
        <v>1.0765E7</v>
      </c>
      <c r="C1793" s="23">
        <f t="shared" si="1"/>
        <v>2642586.301</v>
      </c>
      <c r="D1793" s="18">
        <f>IF(A1793="","",MATCH(A1793,Calculation!B$2:B9627,1))</f>
        <v>1</v>
      </c>
      <c r="E1793" s="23">
        <f t="array" ref="E1793">IF(D1793="","",IF(D1793=1,0,INDEX(Calculation!Q$2:Q9627,D1793-1)))</f>
        <v>0</v>
      </c>
      <c r="F1793" s="23">
        <f t="array" ref="F1793">IF($A1793="","",
  LET(
    r, $D1793,
    startD, INDEX(Calculation!B$2:B9627, r),
    endD,   INDEX(Calculation!C$2:C9627, r),
    asOf,   MIN($A1793,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2642586.301</v>
      </c>
    </row>
    <row r="1794">
      <c r="A1794" s="19">
        <v>44029.0</v>
      </c>
      <c r="B1794" s="23">
        <v>1.0765E7</v>
      </c>
      <c r="C1794" s="23">
        <f t="shared" si="1"/>
        <v>2644060.959</v>
      </c>
      <c r="D1794" s="18">
        <f>IF(A1794="","",MATCH(A1794,Calculation!B$2:B9627,1))</f>
        <v>1</v>
      </c>
      <c r="E1794" s="23">
        <f t="array" ref="E1794">IF(D1794="","",IF(D1794=1,0,INDEX(Calculation!Q$2:Q9627,D1794-1)))</f>
        <v>0</v>
      </c>
      <c r="F1794" s="23">
        <f t="array" ref="F1794">IF($A1794="","",
  LET(
    r, $D1794,
    startD, INDEX(Calculation!B$2:B9627, r),
    endD,   INDEX(Calculation!C$2:C9627, r),
    asOf,   MIN($A1794,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2644060.959</v>
      </c>
    </row>
    <row r="1795">
      <c r="A1795" s="19">
        <v>44030.0</v>
      </c>
      <c r="B1795" s="23">
        <v>1.0765E7</v>
      </c>
      <c r="C1795" s="23">
        <f t="shared" si="1"/>
        <v>2645535.616</v>
      </c>
      <c r="D1795" s="18">
        <f>IF(A1795="","",MATCH(A1795,Calculation!B$2:B9627,1))</f>
        <v>1</v>
      </c>
      <c r="E1795" s="23">
        <f t="array" ref="E1795">IF(D1795="","",IF(D1795=1,0,INDEX(Calculation!Q$2:Q9627,D1795-1)))</f>
        <v>0</v>
      </c>
      <c r="F1795" s="23">
        <f t="array" ref="F1795">IF($A1795="","",
  LET(
    r, $D1795,
    startD, INDEX(Calculation!B$2:B9627, r),
    endD,   INDEX(Calculation!C$2:C9627, r),
    asOf,   MIN($A1795,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2645535.616</v>
      </c>
    </row>
    <row r="1796">
      <c r="A1796" s="19">
        <v>44031.0</v>
      </c>
      <c r="B1796" s="23">
        <v>1.0765E7</v>
      </c>
      <c r="C1796" s="23">
        <f t="shared" si="1"/>
        <v>2647010.274</v>
      </c>
      <c r="D1796" s="18">
        <f>IF(A1796="","",MATCH(A1796,Calculation!B$2:B9627,1))</f>
        <v>1</v>
      </c>
      <c r="E1796" s="23">
        <f t="array" ref="E1796">IF(D1796="","",IF(D1796=1,0,INDEX(Calculation!Q$2:Q9627,D1796-1)))</f>
        <v>0</v>
      </c>
      <c r="F1796" s="23">
        <f t="array" ref="F1796">IF($A1796="","",
  LET(
    r, $D1796,
    startD, INDEX(Calculation!B$2:B9627, r),
    endD,   INDEX(Calculation!C$2:C9627, r),
    asOf,   MIN($A1796,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2647010.274</v>
      </c>
    </row>
    <row r="1797">
      <c r="A1797" s="19">
        <v>44032.0</v>
      </c>
      <c r="B1797" s="23">
        <v>1.0765E7</v>
      </c>
      <c r="C1797" s="23">
        <f t="shared" si="1"/>
        <v>2648484.932</v>
      </c>
      <c r="D1797" s="18">
        <f>IF(A1797="","",MATCH(A1797,Calculation!B$2:B9627,1))</f>
        <v>1</v>
      </c>
      <c r="E1797" s="23">
        <f t="array" ref="E1797">IF(D1797="","",IF(D1797=1,0,INDEX(Calculation!Q$2:Q9627,D1797-1)))</f>
        <v>0</v>
      </c>
      <c r="F1797" s="23">
        <f t="array" ref="F1797">IF($A1797="","",
  LET(
    r, $D1797,
    startD, INDEX(Calculation!B$2:B9627, r),
    endD,   INDEX(Calculation!C$2:C9627, r),
    asOf,   MIN($A1797,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2648484.932</v>
      </c>
    </row>
    <row r="1798">
      <c r="A1798" s="19">
        <v>44033.0</v>
      </c>
      <c r="B1798" s="23">
        <v>1.0765E7</v>
      </c>
      <c r="C1798" s="23">
        <f t="shared" si="1"/>
        <v>2649959.589</v>
      </c>
      <c r="D1798" s="18">
        <f>IF(A1798="","",MATCH(A1798,Calculation!B$2:B9627,1))</f>
        <v>1</v>
      </c>
      <c r="E1798" s="23">
        <f t="array" ref="E1798">IF(D1798="","",IF(D1798=1,0,INDEX(Calculation!Q$2:Q9627,D1798-1)))</f>
        <v>0</v>
      </c>
      <c r="F1798" s="23">
        <f t="array" ref="F1798">IF($A1798="","",
  LET(
    r, $D1798,
    startD, INDEX(Calculation!B$2:B9627, r),
    endD,   INDEX(Calculation!C$2:C9627, r),
    asOf,   MIN($A1798,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2649959.589</v>
      </c>
    </row>
    <row r="1799">
      <c r="A1799" s="19">
        <v>44034.0</v>
      </c>
      <c r="B1799" s="23">
        <v>1.0765E7</v>
      </c>
      <c r="C1799" s="23">
        <f t="shared" si="1"/>
        <v>2651434.247</v>
      </c>
      <c r="D1799" s="18">
        <f>IF(A1799="","",MATCH(A1799,Calculation!B$2:B9627,1))</f>
        <v>1</v>
      </c>
      <c r="E1799" s="23">
        <f t="array" ref="E1799">IF(D1799="","",IF(D1799=1,0,INDEX(Calculation!Q$2:Q9627,D1799-1)))</f>
        <v>0</v>
      </c>
      <c r="F1799" s="23">
        <f t="array" ref="F1799">IF($A1799="","",
  LET(
    r, $D1799,
    startD, INDEX(Calculation!B$2:B9627, r),
    endD,   INDEX(Calculation!C$2:C9627, r),
    asOf,   MIN($A1799,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2651434.247</v>
      </c>
    </row>
    <row r="1800">
      <c r="A1800" s="19">
        <v>44035.0</v>
      </c>
      <c r="B1800" s="23">
        <v>1.0765E7</v>
      </c>
      <c r="C1800" s="23">
        <f t="shared" si="1"/>
        <v>2652908.904</v>
      </c>
      <c r="D1800" s="18">
        <f>IF(A1800="","",MATCH(A1800,Calculation!B$2:B9627,1))</f>
        <v>1</v>
      </c>
      <c r="E1800" s="23">
        <f t="array" ref="E1800">IF(D1800="","",IF(D1800=1,0,INDEX(Calculation!Q$2:Q9627,D1800-1)))</f>
        <v>0</v>
      </c>
      <c r="F1800" s="23">
        <f t="array" ref="F1800">IF($A1800="","",
  LET(
    r, $D1800,
    startD, INDEX(Calculation!B$2:B9627, r),
    endD,   INDEX(Calculation!C$2:C9627, r),
    asOf,   MIN($A1800,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2652908.904</v>
      </c>
    </row>
    <row r="1801">
      <c r="A1801" s="19">
        <v>44036.0</v>
      </c>
      <c r="B1801" s="23">
        <v>1.0765E7</v>
      </c>
      <c r="C1801" s="23">
        <f t="shared" si="1"/>
        <v>2654383.562</v>
      </c>
      <c r="D1801" s="18">
        <f>IF(A1801="","",MATCH(A1801,Calculation!B$2:B9627,1))</f>
        <v>1</v>
      </c>
      <c r="E1801" s="23">
        <f t="array" ref="E1801">IF(D1801="","",IF(D1801=1,0,INDEX(Calculation!Q$2:Q9627,D1801-1)))</f>
        <v>0</v>
      </c>
      <c r="F1801" s="23">
        <f t="array" ref="F1801">IF($A1801="","",
  LET(
    r, $D1801,
    startD, INDEX(Calculation!B$2:B9627, r),
    endD,   INDEX(Calculation!C$2:C9627, r),
    asOf,   MIN($A1801,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2654383.562</v>
      </c>
    </row>
    <row r="1802">
      <c r="A1802" s="19">
        <v>44037.0</v>
      </c>
      <c r="B1802" s="23">
        <v>1.0765E7</v>
      </c>
      <c r="C1802" s="23">
        <f t="shared" si="1"/>
        <v>2655858.219</v>
      </c>
      <c r="D1802" s="18">
        <f>IF(A1802="","",MATCH(A1802,Calculation!B$2:B9627,1))</f>
        <v>1</v>
      </c>
      <c r="E1802" s="23">
        <f t="array" ref="E1802">IF(D1802="","",IF(D1802=1,0,INDEX(Calculation!Q$2:Q9627,D1802-1)))</f>
        <v>0</v>
      </c>
      <c r="F1802" s="23">
        <f t="array" ref="F1802">IF($A1802="","",
  LET(
    r, $D1802,
    startD, INDEX(Calculation!B$2:B9627, r),
    endD,   INDEX(Calculation!C$2:C9627, r),
    asOf,   MIN($A1802,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2655858.219</v>
      </c>
    </row>
    <row r="1803">
      <c r="A1803" s="19">
        <v>44038.0</v>
      </c>
      <c r="B1803" s="23">
        <v>1.0765E7</v>
      </c>
      <c r="C1803" s="23">
        <f t="shared" si="1"/>
        <v>2657332.877</v>
      </c>
      <c r="D1803" s="18">
        <f>IF(A1803="","",MATCH(A1803,Calculation!B$2:B9627,1))</f>
        <v>1</v>
      </c>
      <c r="E1803" s="23">
        <f t="array" ref="E1803">IF(D1803="","",IF(D1803=1,0,INDEX(Calculation!Q$2:Q9627,D1803-1)))</f>
        <v>0</v>
      </c>
      <c r="F1803" s="23">
        <f t="array" ref="F1803">IF($A1803="","",
  LET(
    r, $D1803,
    startD, INDEX(Calculation!B$2:B9627, r),
    endD,   INDEX(Calculation!C$2:C9627, r),
    asOf,   MIN($A1803,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2657332.877</v>
      </c>
    </row>
    <row r="1804">
      <c r="A1804" s="19">
        <v>44039.0</v>
      </c>
      <c r="B1804" s="23">
        <v>1.0765E7</v>
      </c>
      <c r="C1804" s="23">
        <f t="shared" si="1"/>
        <v>2658807.534</v>
      </c>
      <c r="D1804" s="18">
        <f>IF(A1804="","",MATCH(A1804,Calculation!B$2:B9627,1))</f>
        <v>1</v>
      </c>
      <c r="E1804" s="23">
        <f t="array" ref="E1804">IF(D1804="","",IF(D1804=1,0,INDEX(Calculation!Q$2:Q9627,D1804-1)))</f>
        <v>0</v>
      </c>
      <c r="F1804" s="23">
        <f t="array" ref="F1804">IF($A1804="","",
  LET(
    r, $D1804,
    startD, INDEX(Calculation!B$2:B9627, r),
    endD,   INDEX(Calculation!C$2:C9627, r),
    asOf,   MIN($A1804,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2658807.534</v>
      </c>
    </row>
    <row r="1805">
      <c r="A1805" s="19">
        <v>44040.0</v>
      </c>
      <c r="B1805" s="23">
        <v>1.0765E7</v>
      </c>
      <c r="C1805" s="23">
        <f t="shared" si="1"/>
        <v>2660282.192</v>
      </c>
      <c r="D1805" s="18">
        <f>IF(A1805="","",MATCH(A1805,Calculation!B$2:B9627,1))</f>
        <v>1</v>
      </c>
      <c r="E1805" s="23">
        <f t="array" ref="E1805">IF(D1805="","",IF(D1805=1,0,INDEX(Calculation!Q$2:Q9627,D1805-1)))</f>
        <v>0</v>
      </c>
      <c r="F1805" s="23">
        <f t="array" ref="F1805">IF($A1805="","",
  LET(
    r, $D1805,
    startD, INDEX(Calculation!B$2:B9627, r),
    endD,   INDEX(Calculation!C$2:C9627, r),
    asOf,   MIN($A1805,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2660282.192</v>
      </c>
    </row>
    <row r="1806">
      <c r="A1806" s="19">
        <v>44041.0</v>
      </c>
      <c r="B1806" s="23">
        <v>1.0765E7</v>
      </c>
      <c r="C1806" s="23">
        <f t="shared" si="1"/>
        <v>2661756.849</v>
      </c>
      <c r="D1806" s="18">
        <f>IF(A1806="","",MATCH(A1806,Calculation!B$2:B9627,1))</f>
        <v>1</v>
      </c>
      <c r="E1806" s="23">
        <f t="array" ref="E1806">IF(D1806="","",IF(D1806=1,0,INDEX(Calculation!Q$2:Q9627,D1806-1)))</f>
        <v>0</v>
      </c>
      <c r="F1806" s="23">
        <f t="array" ref="F1806">IF($A1806="","",
  LET(
    r, $D1806,
    startD, INDEX(Calculation!B$2:B9627, r),
    endD,   INDEX(Calculation!C$2:C9627, r),
    asOf,   MIN($A1806,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2661756.849</v>
      </c>
    </row>
    <row r="1807">
      <c r="A1807" s="19">
        <v>44042.0</v>
      </c>
      <c r="B1807" s="23">
        <v>1.0765E7</v>
      </c>
      <c r="C1807" s="23">
        <f t="shared" si="1"/>
        <v>2663231.507</v>
      </c>
      <c r="D1807" s="18">
        <f>IF(A1807="","",MATCH(A1807,Calculation!B$2:B9627,1))</f>
        <v>1</v>
      </c>
      <c r="E1807" s="23">
        <f t="array" ref="E1807">IF(D1807="","",IF(D1807=1,0,INDEX(Calculation!Q$2:Q9627,D1807-1)))</f>
        <v>0</v>
      </c>
      <c r="F1807" s="23">
        <f t="array" ref="F1807">IF($A1807="","",
  LET(
    r, $D1807,
    startD, INDEX(Calculation!B$2:B9627, r),
    endD,   INDEX(Calculation!C$2:C9627, r),
    asOf,   MIN($A1807,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2663231.507</v>
      </c>
    </row>
    <row r="1808">
      <c r="A1808" s="19">
        <v>44043.0</v>
      </c>
      <c r="B1808" s="23">
        <v>1.0765E7</v>
      </c>
      <c r="C1808" s="23">
        <f t="shared" si="1"/>
        <v>2664706.164</v>
      </c>
      <c r="D1808" s="18">
        <f>IF(A1808="","",MATCH(A1808,Calculation!B$2:B9627,1))</f>
        <v>1</v>
      </c>
      <c r="E1808" s="23">
        <f t="array" ref="E1808">IF(D1808="","",IF(D1808=1,0,INDEX(Calculation!Q$2:Q9627,D1808-1)))</f>
        <v>0</v>
      </c>
      <c r="F1808" s="23">
        <f t="array" ref="F1808">IF($A1808="","",
  LET(
    r, $D1808,
    startD, INDEX(Calculation!B$2:B9627, r),
    endD,   INDEX(Calculation!C$2:C9627, r),
    asOf,   MIN($A1808,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2664706.164</v>
      </c>
    </row>
    <row r="1809">
      <c r="A1809" s="19">
        <v>44044.0</v>
      </c>
      <c r="B1809" s="23">
        <v>1.0765E7</v>
      </c>
      <c r="C1809" s="23">
        <f t="shared" si="1"/>
        <v>2666180.822</v>
      </c>
      <c r="D1809" s="18">
        <f>IF(A1809="","",MATCH(A1809,Calculation!B$2:B9627,1))</f>
        <v>1</v>
      </c>
      <c r="E1809" s="23">
        <f t="array" ref="E1809">IF(D1809="","",IF(D1809=1,0,INDEX(Calculation!Q$2:Q9627,D1809-1)))</f>
        <v>0</v>
      </c>
      <c r="F1809" s="23">
        <f t="array" ref="F1809">IF($A1809="","",
  LET(
    r, $D1809,
    startD, INDEX(Calculation!B$2:B9627, r),
    endD,   INDEX(Calculation!C$2:C9627, r),
    asOf,   MIN($A1809,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2666180.822</v>
      </c>
    </row>
    <row r="1810">
      <c r="A1810" s="19">
        <v>44045.0</v>
      </c>
      <c r="B1810" s="23">
        <v>1.0765E7</v>
      </c>
      <c r="C1810" s="23">
        <f t="shared" si="1"/>
        <v>2667655.479</v>
      </c>
      <c r="D1810" s="18">
        <f>IF(A1810="","",MATCH(A1810,Calculation!B$2:B9627,1))</f>
        <v>1</v>
      </c>
      <c r="E1810" s="23">
        <f t="array" ref="E1810">IF(D1810="","",IF(D1810=1,0,INDEX(Calculation!Q$2:Q9627,D1810-1)))</f>
        <v>0</v>
      </c>
      <c r="F1810" s="23">
        <f t="array" ref="F1810">IF($A1810="","",
  LET(
    r, $D1810,
    startD, INDEX(Calculation!B$2:B9627, r),
    endD,   INDEX(Calculation!C$2:C9627, r),
    asOf,   MIN($A1810,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2667655.479</v>
      </c>
    </row>
    <row r="1811">
      <c r="A1811" s="19">
        <v>44046.0</v>
      </c>
      <c r="B1811" s="23">
        <v>1.0765E7</v>
      </c>
      <c r="C1811" s="23">
        <f t="shared" si="1"/>
        <v>2669130.137</v>
      </c>
      <c r="D1811" s="18">
        <f>IF(A1811="","",MATCH(A1811,Calculation!B$2:B9627,1))</f>
        <v>1</v>
      </c>
      <c r="E1811" s="23">
        <f t="array" ref="E1811">IF(D1811="","",IF(D1811=1,0,INDEX(Calculation!Q$2:Q9627,D1811-1)))</f>
        <v>0</v>
      </c>
      <c r="F1811" s="23">
        <f t="array" ref="F1811">IF($A1811="","",
  LET(
    r, $D1811,
    startD, INDEX(Calculation!B$2:B9627, r),
    endD,   INDEX(Calculation!C$2:C9627, r),
    asOf,   MIN($A1811,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2669130.137</v>
      </c>
    </row>
    <row r="1812">
      <c r="A1812" s="19">
        <v>44047.0</v>
      </c>
      <c r="B1812" s="23">
        <v>1.0765E7</v>
      </c>
      <c r="C1812" s="23">
        <f t="shared" si="1"/>
        <v>2670604.795</v>
      </c>
      <c r="D1812" s="18">
        <f>IF(A1812="","",MATCH(A1812,Calculation!B$2:B9627,1))</f>
        <v>1</v>
      </c>
      <c r="E1812" s="23">
        <f t="array" ref="E1812">IF(D1812="","",IF(D1812=1,0,INDEX(Calculation!Q$2:Q9627,D1812-1)))</f>
        <v>0</v>
      </c>
      <c r="F1812" s="23">
        <f t="array" ref="F1812">IF($A1812="","",
  LET(
    r, $D1812,
    startD, INDEX(Calculation!B$2:B9627, r),
    endD,   INDEX(Calculation!C$2:C9627, r),
    asOf,   MIN($A1812,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2670604.795</v>
      </c>
    </row>
    <row r="1813">
      <c r="A1813" s="19">
        <v>44048.0</v>
      </c>
      <c r="B1813" s="23">
        <v>1.0765E7</v>
      </c>
      <c r="C1813" s="23">
        <f t="shared" si="1"/>
        <v>2672079.452</v>
      </c>
      <c r="D1813" s="18">
        <f>IF(A1813="","",MATCH(A1813,Calculation!B$2:B9627,1))</f>
        <v>1</v>
      </c>
      <c r="E1813" s="23">
        <f t="array" ref="E1813">IF(D1813="","",IF(D1813=1,0,INDEX(Calculation!Q$2:Q9627,D1813-1)))</f>
        <v>0</v>
      </c>
      <c r="F1813" s="23">
        <f t="array" ref="F1813">IF($A1813="","",
  LET(
    r, $D1813,
    startD, INDEX(Calculation!B$2:B9627, r),
    endD,   INDEX(Calculation!C$2:C9627, r),
    asOf,   MIN($A1813,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2672079.452</v>
      </c>
    </row>
    <row r="1814">
      <c r="A1814" s="19">
        <v>44049.0</v>
      </c>
      <c r="B1814" s="23">
        <v>1.0765E7</v>
      </c>
      <c r="C1814" s="23">
        <f t="shared" si="1"/>
        <v>2673554.11</v>
      </c>
      <c r="D1814" s="18">
        <f>IF(A1814="","",MATCH(A1814,Calculation!B$2:B9627,1))</f>
        <v>1</v>
      </c>
      <c r="E1814" s="23">
        <f t="array" ref="E1814">IF(D1814="","",IF(D1814=1,0,INDEX(Calculation!Q$2:Q9627,D1814-1)))</f>
        <v>0</v>
      </c>
      <c r="F1814" s="23">
        <f t="array" ref="F1814">IF($A1814="","",
  LET(
    r, $D1814,
    startD, INDEX(Calculation!B$2:B9627, r),
    endD,   INDEX(Calculation!C$2:C9627, r),
    asOf,   MIN($A1814,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2673554.11</v>
      </c>
    </row>
    <row r="1815">
      <c r="A1815" s="19">
        <v>44050.0</v>
      </c>
      <c r="B1815" s="23">
        <v>1.0765E7</v>
      </c>
      <c r="C1815" s="23">
        <f t="shared" si="1"/>
        <v>2675028.767</v>
      </c>
      <c r="D1815" s="18">
        <f>IF(A1815="","",MATCH(A1815,Calculation!B$2:B9627,1))</f>
        <v>1</v>
      </c>
      <c r="E1815" s="23">
        <f t="array" ref="E1815">IF(D1815="","",IF(D1815=1,0,INDEX(Calculation!Q$2:Q9627,D1815-1)))</f>
        <v>0</v>
      </c>
      <c r="F1815" s="23">
        <f t="array" ref="F1815">IF($A1815="","",
  LET(
    r, $D1815,
    startD, INDEX(Calculation!B$2:B9627, r),
    endD,   INDEX(Calculation!C$2:C9627, r),
    asOf,   MIN($A1815,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2675028.767</v>
      </c>
    </row>
    <row r="1816">
      <c r="A1816" s="19">
        <v>44051.0</v>
      </c>
      <c r="B1816" s="23">
        <v>1.0765E7</v>
      </c>
      <c r="C1816" s="23">
        <f t="shared" si="1"/>
        <v>2676503.425</v>
      </c>
      <c r="D1816" s="18">
        <f>IF(A1816="","",MATCH(A1816,Calculation!B$2:B9627,1))</f>
        <v>1</v>
      </c>
      <c r="E1816" s="23">
        <f t="array" ref="E1816">IF(D1816="","",IF(D1816=1,0,INDEX(Calculation!Q$2:Q9627,D1816-1)))</f>
        <v>0</v>
      </c>
      <c r="F1816" s="23">
        <f t="array" ref="F1816">IF($A1816="","",
  LET(
    r, $D1816,
    startD, INDEX(Calculation!B$2:B9627, r),
    endD,   INDEX(Calculation!C$2:C9627, r),
    asOf,   MIN($A1816,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2676503.425</v>
      </c>
    </row>
    <row r="1817">
      <c r="A1817" s="19">
        <v>44052.0</v>
      </c>
      <c r="B1817" s="23">
        <v>1.0765E7</v>
      </c>
      <c r="C1817" s="23">
        <f t="shared" si="1"/>
        <v>2677978.082</v>
      </c>
      <c r="D1817" s="18">
        <f>IF(A1817="","",MATCH(A1817,Calculation!B$2:B9627,1))</f>
        <v>1</v>
      </c>
      <c r="E1817" s="23">
        <f t="array" ref="E1817">IF(D1817="","",IF(D1817=1,0,INDEX(Calculation!Q$2:Q9627,D1817-1)))</f>
        <v>0</v>
      </c>
      <c r="F1817" s="23">
        <f t="array" ref="F1817">IF($A1817="","",
  LET(
    r, $D1817,
    startD, INDEX(Calculation!B$2:B9627, r),
    endD,   INDEX(Calculation!C$2:C9627, r),
    asOf,   MIN($A1817,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2677978.082</v>
      </c>
    </row>
    <row r="1818">
      <c r="A1818" s="19">
        <v>44053.0</v>
      </c>
      <c r="B1818" s="23">
        <v>1.0765E7</v>
      </c>
      <c r="C1818" s="23">
        <f t="shared" si="1"/>
        <v>2679452.74</v>
      </c>
      <c r="D1818" s="18">
        <f>IF(A1818="","",MATCH(A1818,Calculation!B$2:B9627,1))</f>
        <v>1</v>
      </c>
      <c r="E1818" s="23">
        <f t="array" ref="E1818">IF(D1818="","",IF(D1818=1,0,INDEX(Calculation!Q$2:Q9627,D1818-1)))</f>
        <v>0</v>
      </c>
      <c r="F1818" s="23">
        <f t="array" ref="F1818">IF($A1818="","",
  LET(
    r, $D1818,
    startD, INDEX(Calculation!B$2:B9627, r),
    endD,   INDEX(Calculation!C$2:C9627, r),
    asOf,   MIN($A1818,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2679452.74</v>
      </c>
    </row>
    <row r="1819">
      <c r="A1819" s="19">
        <v>44054.0</v>
      </c>
      <c r="B1819" s="23">
        <v>1.0765E7</v>
      </c>
      <c r="C1819" s="23">
        <f t="shared" si="1"/>
        <v>2680927.397</v>
      </c>
      <c r="D1819" s="18">
        <f>IF(A1819="","",MATCH(A1819,Calculation!B$2:B9627,1))</f>
        <v>1</v>
      </c>
      <c r="E1819" s="23">
        <f t="array" ref="E1819">IF(D1819="","",IF(D1819=1,0,INDEX(Calculation!Q$2:Q9627,D1819-1)))</f>
        <v>0</v>
      </c>
      <c r="F1819" s="23">
        <f t="array" ref="F1819">IF($A1819="","",
  LET(
    r, $D1819,
    startD, INDEX(Calculation!B$2:B9627, r),
    endD,   INDEX(Calculation!C$2:C9627, r),
    asOf,   MIN($A1819,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2680927.397</v>
      </c>
    </row>
    <row r="1820">
      <c r="A1820" s="19">
        <v>44055.0</v>
      </c>
      <c r="B1820" s="23">
        <v>1.0765E7</v>
      </c>
      <c r="C1820" s="23">
        <f t="shared" si="1"/>
        <v>2682402.055</v>
      </c>
      <c r="D1820" s="18">
        <f>IF(A1820="","",MATCH(A1820,Calculation!B$2:B9627,1))</f>
        <v>1</v>
      </c>
      <c r="E1820" s="23">
        <f t="array" ref="E1820">IF(D1820="","",IF(D1820=1,0,INDEX(Calculation!Q$2:Q9627,D1820-1)))</f>
        <v>0</v>
      </c>
      <c r="F1820" s="23">
        <f t="array" ref="F1820">IF($A1820="","",
  LET(
    r, $D1820,
    startD, INDEX(Calculation!B$2:B9627, r),
    endD,   INDEX(Calculation!C$2:C9627, r),
    asOf,   MIN($A1820,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2682402.055</v>
      </c>
    </row>
    <row r="1821">
      <c r="A1821" s="19">
        <v>44056.0</v>
      </c>
      <c r="B1821" s="23">
        <v>1.0765E7</v>
      </c>
      <c r="C1821" s="23">
        <f t="shared" si="1"/>
        <v>2683876.712</v>
      </c>
      <c r="D1821" s="18">
        <f>IF(A1821="","",MATCH(A1821,Calculation!B$2:B9627,1))</f>
        <v>1</v>
      </c>
      <c r="E1821" s="23">
        <f t="array" ref="E1821">IF(D1821="","",IF(D1821=1,0,INDEX(Calculation!Q$2:Q9627,D1821-1)))</f>
        <v>0</v>
      </c>
      <c r="F1821" s="23">
        <f t="array" ref="F1821">IF($A1821="","",
  LET(
    r, $D1821,
    startD, INDEX(Calculation!B$2:B9627, r),
    endD,   INDEX(Calculation!C$2:C9627, r),
    asOf,   MIN($A1821,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2683876.712</v>
      </c>
    </row>
    <row r="1822">
      <c r="A1822" s="19">
        <v>44057.0</v>
      </c>
      <c r="B1822" s="23">
        <v>1.0765E7</v>
      </c>
      <c r="C1822" s="23">
        <f t="shared" si="1"/>
        <v>2685351.37</v>
      </c>
      <c r="D1822" s="18">
        <f>IF(A1822="","",MATCH(A1822,Calculation!B$2:B9627,1))</f>
        <v>1</v>
      </c>
      <c r="E1822" s="23">
        <f t="array" ref="E1822">IF(D1822="","",IF(D1822=1,0,INDEX(Calculation!Q$2:Q9627,D1822-1)))</f>
        <v>0</v>
      </c>
      <c r="F1822" s="23">
        <f t="array" ref="F1822">IF($A1822="","",
  LET(
    r, $D1822,
    startD, INDEX(Calculation!B$2:B9627, r),
    endD,   INDEX(Calculation!C$2:C9627, r),
    asOf,   MIN($A1822,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2685351.37</v>
      </c>
    </row>
    <row r="1823">
      <c r="A1823" s="19">
        <v>44058.0</v>
      </c>
      <c r="B1823" s="23">
        <v>1.0765E7</v>
      </c>
      <c r="C1823" s="23">
        <f t="shared" si="1"/>
        <v>2686826.027</v>
      </c>
      <c r="D1823" s="18">
        <f>IF(A1823="","",MATCH(A1823,Calculation!B$2:B9627,1))</f>
        <v>1</v>
      </c>
      <c r="E1823" s="23">
        <f t="array" ref="E1823">IF(D1823="","",IF(D1823=1,0,INDEX(Calculation!Q$2:Q9627,D1823-1)))</f>
        <v>0</v>
      </c>
      <c r="F1823" s="23">
        <f t="array" ref="F1823">IF($A1823="","",
  LET(
    r, $D1823,
    startD, INDEX(Calculation!B$2:B9627, r),
    endD,   INDEX(Calculation!C$2:C9627, r),
    asOf,   MIN($A1823,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2686826.027</v>
      </c>
    </row>
    <row r="1824">
      <c r="A1824" s="19">
        <v>44059.0</v>
      </c>
      <c r="B1824" s="23">
        <v>1.0765E7</v>
      </c>
      <c r="C1824" s="23">
        <f t="shared" si="1"/>
        <v>2688300.685</v>
      </c>
      <c r="D1824" s="18">
        <f>IF(A1824="","",MATCH(A1824,Calculation!B$2:B9627,1))</f>
        <v>1</v>
      </c>
      <c r="E1824" s="23">
        <f t="array" ref="E1824">IF(D1824="","",IF(D1824=1,0,INDEX(Calculation!Q$2:Q9627,D1824-1)))</f>
        <v>0</v>
      </c>
      <c r="F1824" s="23">
        <f t="array" ref="F1824">IF($A1824="","",
  LET(
    r, $D1824,
    startD, INDEX(Calculation!B$2:B9627, r),
    endD,   INDEX(Calculation!C$2:C9627, r),
    asOf,   MIN($A1824,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2688300.685</v>
      </c>
    </row>
    <row r="1825">
      <c r="A1825" s="19">
        <v>44060.0</v>
      </c>
      <c r="B1825" s="23">
        <v>1.0765E7</v>
      </c>
      <c r="C1825" s="23">
        <f t="shared" si="1"/>
        <v>2689775.342</v>
      </c>
      <c r="D1825" s="18">
        <f>IF(A1825="","",MATCH(A1825,Calculation!B$2:B9627,1))</f>
        <v>1</v>
      </c>
      <c r="E1825" s="23">
        <f t="array" ref="E1825">IF(D1825="","",IF(D1825=1,0,INDEX(Calculation!Q$2:Q9627,D1825-1)))</f>
        <v>0</v>
      </c>
      <c r="F1825" s="23">
        <f t="array" ref="F1825">IF($A1825="","",
  LET(
    r, $D1825,
    startD, INDEX(Calculation!B$2:B9627, r),
    endD,   INDEX(Calculation!C$2:C9627, r),
    asOf,   MIN($A1825,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2689775.342</v>
      </c>
    </row>
    <row r="1826">
      <c r="A1826" s="19">
        <v>44061.0</v>
      </c>
      <c r="B1826" s="23">
        <v>1.0765E7</v>
      </c>
      <c r="C1826" s="23">
        <f t="shared" si="1"/>
        <v>2691250</v>
      </c>
      <c r="D1826" s="18">
        <f>IF(A1826="","",MATCH(A1826,Calculation!B$2:B9627,1))</f>
        <v>1</v>
      </c>
      <c r="E1826" s="23">
        <f t="array" ref="E1826">IF(D1826="","",IF(D1826=1,0,INDEX(Calculation!Q$2:Q9627,D1826-1)))</f>
        <v>0</v>
      </c>
      <c r="F1826" s="23">
        <f t="array" ref="F1826">IF($A1826="","",
  LET(
    r, $D1826,
    startD, INDEX(Calculation!B$2:B9627, r),
    endD,   INDEX(Calculation!C$2:C9627, r),
    asOf,   MIN($A1826,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2691250</v>
      </c>
    </row>
    <row r="1827">
      <c r="A1827" s="19">
        <v>44062.0</v>
      </c>
      <c r="B1827" s="23">
        <v>1.0765E7</v>
      </c>
      <c r="C1827" s="23">
        <f t="shared" si="1"/>
        <v>2692724.658</v>
      </c>
      <c r="D1827" s="18">
        <f>IF(A1827="","",MATCH(A1827,Calculation!B$2:B9627,1))</f>
        <v>1</v>
      </c>
      <c r="E1827" s="23">
        <f t="array" ref="E1827">IF(D1827="","",IF(D1827=1,0,INDEX(Calculation!Q$2:Q9627,D1827-1)))</f>
        <v>0</v>
      </c>
      <c r="F1827" s="23">
        <f t="array" ref="F1827">IF($A1827="","",
  LET(
    r, $D1827,
    startD, INDEX(Calculation!B$2:B9627, r),
    endD,   INDEX(Calculation!C$2:C9627, r),
    asOf,   MIN($A1827,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2692724.658</v>
      </c>
    </row>
    <row r="1828">
      <c r="A1828" s="19">
        <v>44063.0</v>
      </c>
      <c r="B1828" s="23">
        <v>1.0765E7</v>
      </c>
      <c r="C1828" s="23">
        <f t="shared" si="1"/>
        <v>2694199.315</v>
      </c>
      <c r="D1828" s="18">
        <f>IF(A1828="","",MATCH(A1828,Calculation!B$2:B9627,1))</f>
        <v>1</v>
      </c>
      <c r="E1828" s="23">
        <f t="array" ref="E1828">IF(D1828="","",IF(D1828=1,0,INDEX(Calculation!Q$2:Q9627,D1828-1)))</f>
        <v>0</v>
      </c>
      <c r="F1828" s="23">
        <f t="array" ref="F1828">IF($A1828="","",
  LET(
    r, $D1828,
    startD, INDEX(Calculation!B$2:B9627, r),
    endD,   INDEX(Calculation!C$2:C9627, r),
    asOf,   MIN($A1828,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2694199.315</v>
      </c>
    </row>
    <row r="1829">
      <c r="A1829" s="19">
        <v>44064.0</v>
      </c>
      <c r="B1829" s="23">
        <v>1.0765E7</v>
      </c>
      <c r="C1829" s="23">
        <f t="shared" si="1"/>
        <v>2695673.973</v>
      </c>
      <c r="D1829" s="18">
        <f>IF(A1829="","",MATCH(A1829,Calculation!B$2:B9627,1))</f>
        <v>1</v>
      </c>
      <c r="E1829" s="23">
        <f t="array" ref="E1829">IF(D1829="","",IF(D1829=1,0,INDEX(Calculation!Q$2:Q9627,D1829-1)))</f>
        <v>0</v>
      </c>
      <c r="F1829" s="23">
        <f t="array" ref="F1829">IF($A1829="","",
  LET(
    r, $D1829,
    startD, INDEX(Calculation!B$2:B9627, r),
    endD,   INDEX(Calculation!C$2:C9627, r),
    asOf,   MIN($A1829,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2695673.973</v>
      </c>
    </row>
    <row r="1830">
      <c r="A1830" s="19">
        <v>44065.0</v>
      </c>
      <c r="B1830" s="23">
        <v>1.0765E7</v>
      </c>
      <c r="C1830" s="23">
        <f t="shared" si="1"/>
        <v>2697148.63</v>
      </c>
      <c r="D1830" s="18">
        <f>IF(A1830="","",MATCH(A1830,Calculation!B$2:B9627,1))</f>
        <v>1</v>
      </c>
      <c r="E1830" s="23">
        <f t="array" ref="E1830">IF(D1830="","",IF(D1830=1,0,INDEX(Calculation!Q$2:Q9627,D1830-1)))</f>
        <v>0</v>
      </c>
      <c r="F1830" s="23">
        <f t="array" ref="F1830">IF($A1830="","",
  LET(
    r, $D1830,
    startD, INDEX(Calculation!B$2:B9627, r),
    endD,   INDEX(Calculation!C$2:C9627, r),
    asOf,   MIN($A1830,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2697148.63</v>
      </c>
    </row>
    <row r="1831">
      <c r="A1831" s="19">
        <v>44066.0</v>
      </c>
      <c r="B1831" s="23">
        <v>1.0765E7</v>
      </c>
      <c r="C1831" s="23">
        <f t="shared" si="1"/>
        <v>2698623.288</v>
      </c>
      <c r="D1831" s="18">
        <f>IF(A1831="","",MATCH(A1831,Calculation!B$2:B9627,1))</f>
        <v>1</v>
      </c>
      <c r="E1831" s="23">
        <f t="array" ref="E1831">IF(D1831="","",IF(D1831=1,0,INDEX(Calculation!Q$2:Q9627,D1831-1)))</f>
        <v>0</v>
      </c>
      <c r="F1831" s="23">
        <f t="array" ref="F1831">IF($A1831="","",
  LET(
    r, $D1831,
    startD, INDEX(Calculation!B$2:B9627, r),
    endD,   INDEX(Calculation!C$2:C9627, r),
    asOf,   MIN($A1831,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2698623.288</v>
      </c>
    </row>
    <row r="1832">
      <c r="A1832" s="19">
        <v>44067.0</v>
      </c>
      <c r="B1832" s="23">
        <v>1.0765E7</v>
      </c>
      <c r="C1832" s="23">
        <f t="shared" si="1"/>
        <v>2700097.945</v>
      </c>
      <c r="D1832" s="18">
        <f>IF(A1832="","",MATCH(A1832,Calculation!B$2:B9627,1))</f>
        <v>1</v>
      </c>
      <c r="E1832" s="23">
        <f t="array" ref="E1832">IF(D1832="","",IF(D1832=1,0,INDEX(Calculation!Q$2:Q9627,D1832-1)))</f>
        <v>0</v>
      </c>
      <c r="F1832" s="23">
        <f t="array" ref="F1832">IF($A1832="","",
  LET(
    r, $D1832,
    startD, INDEX(Calculation!B$2:B9627, r),
    endD,   INDEX(Calculation!C$2:C9627, r),
    asOf,   MIN($A1832,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2700097.945</v>
      </c>
    </row>
    <row r="1833">
      <c r="A1833" s="19">
        <v>44068.0</v>
      </c>
      <c r="B1833" s="23">
        <v>1.0765E7</v>
      </c>
      <c r="C1833" s="23">
        <f t="shared" si="1"/>
        <v>2701572.603</v>
      </c>
      <c r="D1833" s="18">
        <f>IF(A1833="","",MATCH(A1833,Calculation!B$2:B9627,1))</f>
        <v>1</v>
      </c>
      <c r="E1833" s="23">
        <f t="array" ref="E1833">IF(D1833="","",IF(D1833=1,0,INDEX(Calculation!Q$2:Q9627,D1833-1)))</f>
        <v>0</v>
      </c>
      <c r="F1833" s="23">
        <f t="array" ref="F1833">IF($A1833="","",
  LET(
    r, $D1833,
    startD, INDEX(Calculation!B$2:B9627, r),
    endD,   INDEX(Calculation!C$2:C9627, r),
    asOf,   MIN($A1833,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2701572.603</v>
      </c>
    </row>
    <row r="1834">
      <c r="A1834" s="19">
        <v>44069.0</v>
      </c>
      <c r="B1834" s="23">
        <v>1.0765E7</v>
      </c>
      <c r="C1834" s="23">
        <f t="shared" si="1"/>
        <v>2703047.26</v>
      </c>
      <c r="D1834" s="18">
        <f>IF(A1834="","",MATCH(A1834,Calculation!B$2:B9627,1))</f>
        <v>1</v>
      </c>
      <c r="E1834" s="23">
        <f t="array" ref="E1834">IF(D1834="","",IF(D1834=1,0,INDEX(Calculation!Q$2:Q9627,D1834-1)))</f>
        <v>0</v>
      </c>
      <c r="F1834" s="23">
        <f t="array" ref="F1834">IF($A1834="","",
  LET(
    r, $D1834,
    startD, INDEX(Calculation!B$2:B9627, r),
    endD,   INDEX(Calculation!C$2:C9627, r),
    asOf,   MIN($A1834,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2703047.26</v>
      </c>
    </row>
    <row r="1835">
      <c r="A1835" s="19">
        <v>44070.0</v>
      </c>
      <c r="B1835" s="23">
        <v>1.0765E7</v>
      </c>
      <c r="C1835" s="23">
        <f t="shared" si="1"/>
        <v>2704521.918</v>
      </c>
      <c r="D1835" s="18">
        <f>IF(A1835="","",MATCH(A1835,Calculation!B$2:B9627,1))</f>
        <v>1</v>
      </c>
      <c r="E1835" s="23">
        <f t="array" ref="E1835">IF(D1835="","",IF(D1835=1,0,INDEX(Calculation!Q$2:Q9627,D1835-1)))</f>
        <v>0</v>
      </c>
      <c r="F1835" s="23">
        <f t="array" ref="F1835">IF($A1835="","",
  LET(
    r, $D1835,
    startD, INDEX(Calculation!B$2:B9627, r),
    endD,   INDEX(Calculation!C$2:C9627, r),
    asOf,   MIN($A1835,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2704521.918</v>
      </c>
    </row>
    <row r="1836">
      <c r="A1836" s="19">
        <v>44071.0</v>
      </c>
      <c r="B1836" s="23">
        <v>1.0765E7</v>
      </c>
      <c r="C1836" s="23">
        <f t="shared" si="1"/>
        <v>2705996.575</v>
      </c>
      <c r="D1836" s="18">
        <f>IF(A1836="","",MATCH(A1836,Calculation!B$2:B9627,1))</f>
        <v>1</v>
      </c>
      <c r="E1836" s="23">
        <f t="array" ref="E1836">IF(D1836="","",IF(D1836=1,0,INDEX(Calculation!Q$2:Q9627,D1836-1)))</f>
        <v>0</v>
      </c>
      <c r="F1836" s="23">
        <f t="array" ref="F1836">IF($A1836="","",
  LET(
    r, $D1836,
    startD, INDEX(Calculation!B$2:B9627, r),
    endD,   INDEX(Calculation!C$2:C9627, r),
    asOf,   MIN($A1836,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2705996.575</v>
      </c>
    </row>
    <row r="1837">
      <c r="A1837" s="19">
        <v>44072.0</v>
      </c>
      <c r="B1837" s="23">
        <v>1.0765E7</v>
      </c>
      <c r="C1837" s="23">
        <f t="shared" si="1"/>
        <v>2707471.233</v>
      </c>
      <c r="D1837" s="18">
        <f>IF(A1837="","",MATCH(A1837,Calculation!B$2:B9627,1))</f>
        <v>1</v>
      </c>
      <c r="E1837" s="23">
        <f t="array" ref="E1837">IF(D1837="","",IF(D1837=1,0,INDEX(Calculation!Q$2:Q9627,D1837-1)))</f>
        <v>0</v>
      </c>
      <c r="F1837" s="23">
        <f t="array" ref="F1837">IF($A1837="","",
  LET(
    r, $D1837,
    startD, INDEX(Calculation!B$2:B9627, r),
    endD,   INDEX(Calculation!C$2:C9627, r),
    asOf,   MIN($A1837,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2707471.233</v>
      </c>
    </row>
    <row r="1838">
      <c r="A1838" s="19">
        <v>44073.0</v>
      </c>
      <c r="B1838" s="23">
        <v>1.0765E7</v>
      </c>
      <c r="C1838" s="23">
        <f t="shared" si="1"/>
        <v>2708945.89</v>
      </c>
      <c r="D1838" s="18">
        <f>IF(A1838="","",MATCH(A1838,Calculation!B$2:B9627,1))</f>
        <v>1</v>
      </c>
      <c r="E1838" s="23">
        <f t="array" ref="E1838">IF(D1838="","",IF(D1838=1,0,INDEX(Calculation!Q$2:Q9627,D1838-1)))</f>
        <v>0</v>
      </c>
      <c r="F1838" s="23">
        <f t="array" ref="F1838">IF($A1838="","",
  LET(
    r, $D1838,
    startD, INDEX(Calculation!B$2:B9627, r),
    endD,   INDEX(Calculation!C$2:C9627, r),
    asOf,   MIN($A1838,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2708945.89</v>
      </c>
    </row>
    <row r="1839">
      <c r="A1839" s="19">
        <v>44074.0</v>
      </c>
      <c r="B1839" s="23">
        <v>1.0765E7</v>
      </c>
      <c r="C1839" s="23">
        <f t="shared" si="1"/>
        <v>2710420.548</v>
      </c>
      <c r="D1839" s="18">
        <f>IF(A1839="","",MATCH(A1839,Calculation!B$2:B9627,1))</f>
        <v>1</v>
      </c>
      <c r="E1839" s="23">
        <f t="array" ref="E1839">IF(D1839="","",IF(D1839=1,0,INDEX(Calculation!Q$2:Q9627,D1839-1)))</f>
        <v>0</v>
      </c>
      <c r="F1839" s="23">
        <f t="array" ref="F1839">IF($A1839="","",
  LET(
    r, $D1839,
    startD, INDEX(Calculation!B$2:B9627, r),
    endD,   INDEX(Calculation!C$2:C9627, r),
    asOf,   MIN($A1839,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2710420.548</v>
      </c>
    </row>
    <row r="1840">
      <c r="A1840" s="19">
        <v>44075.0</v>
      </c>
      <c r="B1840" s="23">
        <v>1.0765E7</v>
      </c>
      <c r="C1840" s="23">
        <f t="shared" si="1"/>
        <v>2711895.205</v>
      </c>
      <c r="D1840" s="18">
        <f>IF(A1840="","",MATCH(A1840,Calculation!B$2:B9627,1))</f>
        <v>1</v>
      </c>
      <c r="E1840" s="23">
        <f t="array" ref="E1840">IF(D1840="","",IF(D1840=1,0,INDEX(Calculation!Q$2:Q9627,D1840-1)))</f>
        <v>0</v>
      </c>
      <c r="F1840" s="23">
        <f t="array" ref="F1840">IF($A1840="","",
  LET(
    r, $D1840,
    startD, INDEX(Calculation!B$2:B9627, r),
    endD,   INDEX(Calculation!C$2:C9627, r),
    asOf,   MIN($A1840,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2711895.205</v>
      </c>
    </row>
    <row r="1841">
      <c r="A1841" s="19">
        <v>44076.0</v>
      </c>
      <c r="B1841" s="23">
        <v>1.0765E7</v>
      </c>
      <c r="C1841" s="23">
        <f t="shared" si="1"/>
        <v>2713369.863</v>
      </c>
      <c r="D1841" s="18">
        <f>IF(A1841="","",MATCH(A1841,Calculation!B$2:B9627,1))</f>
        <v>1</v>
      </c>
      <c r="E1841" s="23">
        <f t="array" ref="E1841">IF(D1841="","",IF(D1841=1,0,INDEX(Calculation!Q$2:Q9627,D1841-1)))</f>
        <v>0</v>
      </c>
      <c r="F1841" s="23">
        <f t="array" ref="F1841">IF($A1841="","",
  LET(
    r, $D1841,
    startD, INDEX(Calculation!B$2:B9627, r),
    endD,   INDEX(Calculation!C$2:C9627, r),
    asOf,   MIN($A1841,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2713369.863</v>
      </c>
    </row>
    <row r="1842">
      <c r="A1842" s="19">
        <v>44077.0</v>
      </c>
      <c r="B1842" s="23">
        <v>1.0765E7</v>
      </c>
      <c r="C1842" s="23">
        <f t="shared" si="1"/>
        <v>2714844.521</v>
      </c>
      <c r="D1842" s="18">
        <f>IF(A1842="","",MATCH(A1842,Calculation!B$2:B9627,1))</f>
        <v>1</v>
      </c>
      <c r="E1842" s="23">
        <f t="array" ref="E1842">IF(D1842="","",IF(D1842=1,0,INDEX(Calculation!Q$2:Q9627,D1842-1)))</f>
        <v>0</v>
      </c>
      <c r="F1842" s="23">
        <f t="array" ref="F1842">IF($A1842="","",
  LET(
    r, $D1842,
    startD, INDEX(Calculation!B$2:B9627, r),
    endD,   INDEX(Calculation!C$2:C9627, r),
    asOf,   MIN($A1842,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2714844.521</v>
      </c>
    </row>
    <row r="1843">
      <c r="A1843" s="19">
        <v>44078.0</v>
      </c>
      <c r="B1843" s="23">
        <v>1.0765E7</v>
      </c>
      <c r="C1843" s="23">
        <f t="shared" si="1"/>
        <v>2716319.178</v>
      </c>
      <c r="D1843" s="18">
        <f>IF(A1843="","",MATCH(A1843,Calculation!B$2:B9627,1))</f>
        <v>1</v>
      </c>
      <c r="E1843" s="23">
        <f t="array" ref="E1843">IF(D1843="","",IF(D1843=1,0,INDEX(Calculation!Q$2:Q9627,D1843-1)))</f>
        <v>0</v>
      </c>
      <c r="F1843" s="23">
        <f t="array" ref="F1843">IF($A1843="","",
  LET(
    r, $D1843,
    startD, INDEX(Calculation!B$2:B9627, r),
    endD,   INDEX(Calculation!C$2:C9627, r),
    asOf,   MIN($A1843,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2716319.178</v>
      </c>
    </row>
    <row r="1844">
      <c r="A1844" s="19">
        <v>44079.0</v>
      </c>
      <c r="B1844" s="23">
        <v>1.0765E7</v>
      </c>
      <c r="C1844" s="23">
        <f t="shared" si="1"/>
        <v>2717793.836</v>
      </c>
      <c r="D1844" s="18">
        <f>IF(A1844="","",MATCH(A1844,Calculation!B$2:B9627,1))</f>
        <v>1</v>
      </c>
      <c r="E1844" s="23">
        <f t="array" ref="E1844">IF(D1844="","",IF(D1844=1,0,INDEX(Calculation!Q$2:Q9627,D1844-1)))</f>
        <v>0</v>
      </c>
      <c r="F1844" s="23">
        <f t="array" ref="F1844">IF($A1844="","",
  LET(
    r, $D1844,
    startD, INDEX(Calculation!B$2:B9627, r),
    endD,   INDEX(Calculation!C$2:C9627, r),
    asOf,   MIN($A1844,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2717793.836</v>
      </c>
    </row>
    <row r="1845">
      <c r="A1845" s="19">
        <v>44080.0</v>
      </c>
      <c r="B1845" s="23">
        <v>1.0765E7</v>
      </c>
      <c r="C1845" s="23">
        <f t="shared" si="1"/>
        <v>2719268.493</v>
      </c>
      <c r="D1845" s="18">
        <f>IF(A1845="","",MATCH(A1845,Calculation!B$2:B9627,1))</f>
        <v>1</v>
      </c>
      <c r="E1845" s="23">
        <f t="array" ref="E1845">IF(D1845="","",IF(D1845=1,0,INDEX(Calculation!Q$2:Q9627,D1845-1)))</f>
        <v>0</v>
      </c>
      <c r="F1845" s="23">
        <f t="array" ref="F1845">IF($A1845="","",
  LET(
    r, $D1845,
    startD, INDEX(Calculation!B$2:B9627, r),
    endD,   INDEX(Calculation!C$2:C9627, r),
    asOf,   MIN($A1845,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2719268.493</v>
      </c>
    </row>
    <row r="1846">
      <c r="A1846" s="19">
        <v>44081.0</v>
      </c>
      <c r="B1846" s="23">
        <v>1.0765E7</v>
      </c>
      <c r="C1846" s="23">
        <f t="shared" si="1"/>
        <v>2720743.151</v>
      </c>
      <c r="D1846" s="18">
        <f>IF(A1846="","",MATCH(A1846,Calculation!B$2:B9627,1))</f>
        <v>1</v>
      </c>
      <c r="E1846" s="23">
        <f t="array" ref="E1846">IF(D1846="","",IF(D1846=1,0,INDEX(Calculation!Q$2:Q9627,D1846-1)))</f>
        <v>0</v>
      </c>
      <c r="F1846" s="23">
        <f t="array" ref="F1846">IF($A1846="","",
  LET(
    r, $D1846,
    startD, INDEX(Calculation!B$2:B9627, r),
    endD,   INDEX(Calculation!C$2:C9627, r),
    asOf,   MIN($A1846,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2720743.151</v>
      </c>
    </row>
    <row r="1847">
      <c r="A1847" s="19">
        <v>44082.0</v>
      </c>
      <c r="B1847" s="23">
        <v>1.0765E7</v>
      </c>
      <c r="C1847" s="23">
        <f t="shared" si="1"/>
        <v>2722217.808</v>
      </c>
      <c r="D1847" s="18">
        <f>IF(A1847="","",MATCH(A1847,Calculation!B$2:B9627,1))</f>
        <v>1</v>
      </c>
      <c r="E1847" s="23">
        <f t="array" ref="E1847">IF(D1847="","",IF(D1847=1,0,INDEX(Calculation!Q$2:Q9627,D1847-1)))</f>
        <v>0</v>
      </c>
      <c r="F1847" s="23">
        <f t="array" ref="F1847">IF($A1847="","",
  LET(
    r, $D1847,
    startD, INDEX(Calculation!B$2:B9627, r),
    endD,   INDEX(Calculation!C$2:C9627, r),
    asOf,   MIN($A1847,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2722217.808</v>
      </c>
    </row>
    <row r="1848">
      <c r="A1848" s="19">
        <v>44083.0</v>
      </c>
      <c r="B1848" s="23">
        <v>1.0765E7</v>
      </c>
      <c r="C1848" s="23">
        <f t="shared" si="1"/>
        <v>2723692.466</v>
      </c>
      <c r="D1848" s="18">
        <f>IF(A1848="","",MATCH(A1848,Calculation!B$2:B9627,1))</f>
        <v>1</v>
      </c>
      <c r="E1848" s="23">
        <f t="array" ref="E1848">IF(D1848="","",IF(D1848=1,0,INDEX(Calculation!Q$2:Q9627,D1848-1)))</f>
        <v>0</v>
      </c>
      <c r="F1848" s="23">
        <f t="array" ref="F1848">IF($A1848="","",
  LET(
    r, $D1848,
    startD, INDEX(Calculation!B$2:B9627, r),
    endD,   INDEX(Calculation!C$2:C9627, r),
    asOf,   MIN($A1848,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2723692.466</v>
      </c>
    </row>
    <row r="1849">
      <c r="A1849" s="19">
        <v>44084.0</v>
      </c>
      <c r="B1849" s="23">
        <v>1.0765E7</v>
      </c>
      <c r="C1849" s="23">
        <f t="shared" si="1"/>
        <v>2725167.123</v>
      </c>
      <c r="D1849" s="18">
        <f>IF(A1849="","",MATCH(A1849,Calculation!B$2:B9627,1))</f>
        <v>1</v>
      </c>
      <c r="E1849" s="23">
        <f t="array" ref="E1849">IF(D1849="","",IF(D1849=1,0,INDEX(Calculation!Q$2:Q9627,D1849-1)))</f>
        <v>0</v>
      </c>
      <c r="F1849" s="23">
        <f t="array" ref="F1849">IF($A1849="","",
  LET(
    r, $D1849,
    startD, INDEX(Calculation!B$2:B9627, r),
    endD,   INDEX(Calculation!C$2:C9627, r),
    asOf,   MIN($A1849,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2725167.123</v>
      </c>
    </row>
    <row r="1850">
      <c r="A1850" s="19">
        <v>44085.0</v>
      </c>
      <c r="B1850" s="23">
        <v>1.0765E7</v>
      </c>
      <c r="C1850" s="23">
        <f t="shared" si="1"/>
        <v>2726641.781</v>
      </c>
      <c r="D1850" s="18">
        <f>IF(A1850="","",MATCH(A1850,Calculation!B$2:B9627,1))</f>
        <v>1</v>
      </c>
      <c r="E1850" s="23">
        <f t="array" ref="E1850">IF(D1850="","",IF(D1850=1,0,INDEX(Calculation!Q$2:Q9627,D1850-1)))</f>
        <v>0</v>
      </c>
      <c r="F1850" s="23">
        <f t="array" ref="F1850">IF($A1850="","",
  LET(
    r, $D1850,
    startD, INDEX(Calculation!B$2:B9627, r),
    endD,   INDEX(Calculation!C$2:C9627, r),
    asOf,   MIN($A1850,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2726641.781</v>
      </c>
    </row>
    <row r="1851">
      <c r="A1851" s="19">
        <v>44086.0</v>
      </c>
      <c r="B1851" s="23">
        <v>1.0765E7</v>
      </c>
      <c r="C1851" s="23">
        <f t="shared" si="1"/>
        <v>2728116.438</v>
      </c>
      <c r="D1851" s="18">
        <f>IF(A1851="","",MATCH(A1851,Calculation!B$2:B9627,1))</f>
        <v>1</v>
      </c>
      <c r="E1851" s="23">
        <f t="array" ref="E1851">IF(D1851="","",IF(D1851=1,0,INDEX(Calculation!Q$2:Q9627,D1851-1)))</f>
        <v>0</v>
      </c>
      <c r="F1851" s="23">
        <f t="array" ref="F1851">IF($A1851="","",
  LET(
    r, $D1851,
    startD, INDEX(Calculation!B$2:B9627, r),
    endD,   INDEX(Calculation!C$2:C9627, r),
    asOf,   MIN($A1851,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2728116.438</v>
      </c>
    </row>
    <row r="1852">
      <c r="A1852" s="19">
        <v>44087.0</v>
      </c>
      <c r="B1852" s="23">
        <v>1.0765E7</v>
      </c>
      <c r="C1852" s="23">
        <f t="shared" si="1"/>
        <v>2729591.096</v>
      </c>
      <c r="D1852" s="18">
        <f>IF(A1852="","",MATCH(A1852,Calculation!B$2:B9627,1))</f>
        <v>1</v>
      </c>
      <c r="E1852" s="23">
        <f t="array" ref="E1852">IF(D1852="","",IF(D1852=1,0,INDEX(Calculation!Q$2:Q9627,D1852-1)))</f>
        <v>0</v>
      </c>
      <c r="F1852" s="23">
        <f t="array" ref="F1852">IF($A1852="","",
  LET(
    r, $D1852,
    startD, INDEX(Calculation!B$2:B9627, r),
    endD,   INDEX(Calculation!C$2:C9627, r),
    asOf,   MIN($A1852,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2729591.096</v>
      </c>
    </row>
    <row r="1853">
      <c r="A1853" s="19">
        <v>44088.0</v>
      </c>
      <c r="B1853" s="23">
        <v>1.0765E7</v>
      </c>
      <c r="C1853" s="23">
        <f t="shared" si="1"/>
        <v>2731065.753</v>
      </c>
      <c r="D1853" s="18">
        <f>IF(A1853="","",MATCH(A1853,Calculation!B$2:B9627,1))</f>
        <v>1</v>
      </c>
      <c r="E1853" s="23">
        <f t="array" ref="E1853">IF(D1853="","",IF(D1853=1,0,INDEX(Calculation!Q$2:Q9627,D1853-1)))</f>
        <v>0</v>
      </c>
      <c r="F1853" s="23">
        <f t="array" ref="F1853">IF($A1853="","",
  LET(
    r, $D1853,
    startD, INDEX(Calculation!B$2:B9627, r),
    endD,   INDEX(Calculation!C$2:C9627, r),
    asOf,   MIN($A1853,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2731065.753</v>
      </c>
    </row>
    <row r="1854">
      <c r="A1854" s="19">
        <v>44089.0</v>
      </c>
      <c r="B1854" s="23">
        <v>1.0765E7</v>
      </c>
      <c r="C1854" s="23">
        <f t="shared" si="1"/>
        <v>2732540.411</v>
      </c>
      <c r="D1854" s="18">
        <f>IF(A1854="","",MATCH(A1854,Calculation!B$2:B9627,1))</f>
        <v>1</v>
      </c>
      <c r="E1854" s="23">
        <f t="array" ref="E1854">IF(D1854="","",IF(D1854=1,0,INDEX(Calculation!Q$2:Q9627,D1854-1)))</f>
        <v>0</v>
      </c>
      <c r="F1854" s="23">
        <f t="array" ref="F1854">IF($A1854="","",
  LET(
    r, $D1854,
    startD, INDEX(Calculation!B$2:B9627, r),
    endD,   INDEX(Calculation!C$2:C9627, r),
    asOf,   MIN($A1854,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2732540.411</v>
      </c>
    </row>
    <row r="1855">
      <c r="A1855" s="19">
        <v>44090.0</v>
      </c>
      <c r="B1855" s="23">
        <v>1.0765E7</v>
      </c>
      <c r="C1855" s="23">
        <f t="shared" si="1"/>
        <v>2734015.068</v>
      </c>
      <c r="D1855" s="18">
        <f>IF(A1855="","",MATCH(A1855,Calculation!B$2:B9627,1))</f>
        <v>1</v>
      </c>
      <c r="E1855" s="23">
        <f t="array" ref="E1855">IF(D1855="","",IF(D1855=1,0,INDEX(Calculation!Q$2:Q9627,D1855-1)))</f>
        <v>0</v>
      </c>
      <c r="F1855" s="23">
        <f t="array" ref="F1855">IF($A1855="","",
  LET(
    r, $D1855,
    startD, INDEX(Calculation!B$2:B9627, r),
    endD,   INDEX(Calculation!C$2:C9627, r),
    asOf,   MIN($A1855,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2734015.068</v>
      </c>
    </row>
    <row r="1856">
      <c r="A1856" s="19">
        <v>44091.0</v>
      </c>
      <c r="B1856" s="23">
        <v>1.0765E7</v>
      </c>
      <c r="C1856" s="23">
        <f t="shared" si="1"/>
        <v>2735489.726</v>
      </c>
      <c r="D1856" s="18">
        <f>IF(A1856="","",MATCH(A1856,Calculation!B$2:B9627,1))</f>
        <v>1</v>
      </c>
      <c r="E1856" s="23">
        <f t="array" ref="E1856">IF(D1856="","",IF(D1856=1,0,INDEX(Calculation!Q$2:Q9627,D1856-1)))</f>
        <v>0</v>
      </c>
      <c r="F1856" s="23">
        <f t="array" ref="F1856">IF($A1856="","",
  LET(
    r, $D1856,
    startD, INDEX(Calculation!B$2:B9627, r),
    endD,   INDEX(Calculation!C$2:C9627, r),
    asOf,   MIN($A1856,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2735489.726</v>
      </c>
    </row>
    <row r="1857">
      <c r="A1857" s="19">
        <v>44092.0</v>
      </c>
      <c r="B1857" s="23">
        <v>1.0765E7</v>
      </c>
      <c r="C1857" s="23">
        <f t="shared" si="1"/>
        <v>2736964.384</v>
      </c>
      <c r="D1857" s="18">
        <f>IF(A1857="","",MATCH(A1857,Calculation!B$2:B9627,1))</f>
        <v>1</v>
      </c>
      <c r="E1857" s="23">
        <f t="array" ref="E1857">IF(D1857="","",IF(D1857=1,0,INDEX(Calculation!Q$2:Q9627,D1857-1)))</f>
        <v>0</v>
      </c>
      <c r="F1857" s="23">
        <f t="array" ref="F1857">IF($A1857="","",
  LET(
    r, $D1857,
    startD, INDEX(Calculation!B$2:B9627, r),
    endD,   INDEX(Calculation!C$2:C9627, r),
    asOf,   MIN($A1857,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2736964.384</v>
      </c>
    </row>
    <row r="1858">
      <c r="A1858" s="19">
        <v>44093.0</v>
      </c>
      <c r="B1858" s="23">
        <v>1.0765E7</v>
      </c>
      <c r="C1858" s="23">
        <f t="shared" si="1"/>
        <v>2738439.041</v>
      </c>
      <c r="D1858" s="18">
        <f>IF(A1858="","",MATCH(A1858,Calculation!B$2:B9627,1))</f>
        <v>1</v>
      </c>
      <c r="E1858" s="23">
        <f t="array" ref="E1858">IF(D1858="","",IF(D1858=1,0,INDEX(Calculation!Q$2:Q9627,D1858-1)))</f>
        <v>0</v>
      </c>
      <c r="F1858" s="23">
        <f t="array" ref="F1858">IF($A1858="","",
  LET(
    r, $D1858,
    startD, INDEX(Calculation!B$2:B9627, r),
    endD,   INDEX(Calculation!C$2:C9627, r),
    asOf,   MIN($A1858,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2738439.041</v>
      </c>
    </row>
    <row r="1859">
      <c r="A1859" s="19">
        <v>44094.0</v>
      </c>
      <c r="B1859" s="23">
        <v>1.0765E7</v>
      </c>
      <c r="C1859" s="23">
        <f t="shared" si="1"/>
        <v>2739913.699</v>
      </c>
      <c r="D1859" s="18">
        <f>IF(A1859="","",MATCH(A1859,Calculation!B$2:B9627,1))</f>
        <v>1</v>
      </c>
      <c r="E1859" s="23">
        <f t="array" ref="E1859">IF(D1859="","",IF(D1859=1,0,INDEX(Calculation!Q$2:Q9627,D1859-1)))</f>
        <v>0</v>
      </c>
      <c r="F1859" s="23">
        <f t="array" ref="F1859">IF($A1859="","",
  LET(
    r, $D1859,
    startD, INDEX(Calculation!B$2:B9627, r),
    endD,   INDEX(Calculation!C$2:C9627, r),
    asOf,   MIN($A1859,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2739913.699</v>
      </c>
    </row>
    <row r="1860">
      <c r="A1860" s="19">
        <v>44095.0</v>
      </c>
      <c r="B1860" s="23">
        <v>1.0765E7</v>
      </c>
      <c r="C1860" s="23">
        <f t="shared" si="1"/>
        <v>2741388.356</v>
      </c>
      <c r="D1860" s="18">
        <f>IF(A1860="","",MATCH(A1860,Calculation!B$2:B9627,1))</f>
        <v>1</v>
      </c>
      <c r="E1860" s="23">
        <f t="array" ref="E1860">IF(D1860="","",IF(D1860=1,0,INDEX(Calculation!Q$2:Q9627,D1860-1)))</f>
        <v>0</v>
      </c>
      <c r="F1860" s="23">
        <f t="array" ref="F1860">IF($A1860="","",
  LET(
    r, $D1860,
    startD, INDEX(Calculation!B$2:B9627, r),
    endD,   INDEX(Calculation!C$2:C9627, r),
    asOf,   MIN($A1860,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2741388.356</v>
      </c>
    </row>
    <row r="1861">
      <c r="A1861" s="19">
        <v>44096.0</v>
      </c>
      <c r="B1861" s="23">
        <v>1.0765E7</v>
      </c>
      <c r="C1861" s="23">
        <f t="shared" si="1"/>
        <v>2742863.014</v>
      </c>
      <c r="D1861" s="18">
        <f>IF(A1861="","",MATCH(A1861,Calculation!B$2:B9627,1))</f>
        <v>1</v>
      </c>
      <c r="E1861" s="23">
        <f t="array" ref="E1861">IF(D1861="","",IF(D1861=1,0,INDEX(Calculation!Q$2:Q9627,D1861-1)))</f>
        <v>0</v>
      </c>
      <c r="F1861" s="23">
        <f t="array" ref="F1861">IF($A1861="","",
  LET(
    r, $D1861,
    startD, INDEX(Calculation!B$2:B9627, r),
    endD,   INDEX(Calculation!C$2:C9627, r),
    asOf,   MIN($A1861,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2742863.014</v>
      </c>
    </row>
    <row r="1862">
      <c r="A1862" s="19">
        <v>44097.0</v>
      </c>
      <c r="B1862" s="23">
        <v>1.0765E7</v>
      </c>
      <c r="C1862" s="23">
        <f t="shared" si="1"/>
        <v>2744337.671</v>
      </c>
      <c r="D1862" s="18">
        <f>IF(A1862="","",MATCH(A1862,Calculation!B$2:B9627,1))</f>
        <v>1</v>
      </c>
      <c r="E1862" s="23">
        <f t="array" ref="E1862">IF(D1862="","",IF(D1862=1,0,INDEX(Calculation!Q$2:Q9627,D1862-1)))</f>
        <v>0</v>
      </c>
      <c r="F1862" s="23">
        <f t="array" ref="F1862">IF($A1862="","",
  LET(
    r, $D1862,
    startD, INDEX(Calculation!B$2:B9627, r),
    endD,   INDEX(Calculation!C$2:C9627, r),
    asOf,   MIN($A1862,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2744337.671</v>
      </c>
    </row>
    <row r="1863">
      <c r="A1863" s="19">
        <v>44098.0</v>
      </c>
      <c r="B1863" s="23">
        <v>1.0765E7</v>
      </c>
      <c r="C1863" s="23">
        <f t="shared" si="1"/>
        <v>2745812.329</v>
      </c>
      <c r="D1863" s="18">
        <f>IF(A1863="","",MATCH(A1863,Calculation!B$2:B9627,1))</f>
        <v>1</v>
      </c>
      <c r="E1863" s="23">
        <f t="array" ref="E1863">IF(D1863="","",IF(D1863=1,0,INDEX(Calculation!Q$2:Q9627,D1863-1)))</f>
        <v>0</v>
      </c>
      <c r="F1863" s="23">
        <f t="array" ref="F1863">IF($A1863="","",
  LET(
    r, $D1863,
    startD, INDEX(Calculation!B$2:B9627, r),
    endD,   INDEX(Calculation!C$2:C9627, r),
    asOf,   MIN($A1863,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2745812.329</v>
      </c>
    </row>
    <row r="1864">
      <c r="A1864" s="19">
        <v>44099.0</v>
      </c>
      <c r="B1864" s="23">
        <v>1.0765E7</v>
      </c>
      <c r="C1864" s="23">
        <f t="shared" si="1"/>
        <v>2747286.986</v>
      </c>
      <c r="D1864" s="18">
        <f>IF(A1864="","",MATCH(A1864,Calculation!B$2:B9627,1))</f>
        <v>1</v>
      </c>
      <c r="E1864" s="23">
        <f t="array" ref="E1864">IF(D1864="","",IF(D1864=1,0,INDEX(Calculation!Q$2:Q9627,D1864-1)))</f>
        <v>0</v>
      </c>
      <c r="F1864" s="23">
        <f t="array" ref="F1864">IF($A1864="","",
  LET(
    r, $D1864,
    startD, INDEX(Calculation!B$2:B9627, r),
    endD,   INDEX(Calculation!C$2:C9627, r),
    asOf,   MIN($A1864,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2747286.986</v>
      </c>
    </row>
    <row r="1865">
      <c r="A1865" s="19">
        <v>44100.0</v>
      </c>
      <c r="B1865" s="23">
        <v>1.0765E7</v>
      </c>
      <c r="C1865" s="23">
        <f t="shared" si="1"/>
        <v>2748761.644</v>
      </c>
      <c r="D1865" s="18">
        <f>IF(A1865="","",MATCH(A1865,Calculation!B$2:B9627,1))</f>
        <v>1</v>
      </c>
      <c r="E1865" s="23">
        <f t="array" ref="E1865">IF(D1865="","",IF(D1865=1,0,INDEX(Calculation!Q$2:Q9627,D1865-1)))</f>
        <v>0</v>
      </c>
      <c r="F1865" s="23">
        <f t="array" ref="F1865">IF($A1865="","",
  LET(
    r, $D1865,
    startD, INDEX(Calculation!B$2:B9627, r),
    endD,   INDEX(Calculation!C$2:C9627, r),
    asOf,   MIN($A1865,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2748761.644</v>
      </c>
    </row>
    <row r="1866">
      <c r="A1866" s="19">
        <v>44101.0</v>
      </c>
      <c r="B1866" s="23">
        <v>1.0765E7</v>
      </c>
      <c r="C1866" s="23">
        <f t="shared" si="1"/>
        <v>2750236.301</v>
      </c>
      <c r="D1866" s="18">
        <f>IF(A1866="","",MATCH(A1866,Calculation!B$2:B9627,1))</f>
        <v>1</v>
      </c>
      <c r="E1866" s="23">
        <f t="array" ref="E1866">IF(D1866="","",IF(D1866=1,0,INDEX(Calculation!Q$2:Q9627,D1866-1)))</f>
        <v>0</v>
      </c>
      <c r="F1866" s="23">
        <f t="array" ref="F1866">IF($A1866="","",
  LET(
    r, $D1866,
    startD, INDEX(Calculation!B$2:B9627, r),
    endD,   INDEX(Calculation!C$2:C9627, r),
    asOf,   MIN($A1866,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2750236.301</v>
      </c>
    </row>
    <row r="1867">
      <c r="A1867" s="19">
        <v>44102.0</v>
      </c>
      <c r="B1867" s="23">
        <v>1.0765E7</v>
      </c>
      <c r="C1867" s="23">
        <f t="shared" si="1"/>
        <v>2751710.959</v>
      </c>
      <c r="D1867" s="18">
        <f>IF(A1867="","",MATCH(A1867,Calculation!B$2:B9627,1))</f>
        <v>1</v>
      </c>
      <c r="E1867" s="23">
        <f t="array" ref="E1867">IF(D1867="","",IF(D1867=1,0,INDEX(Calculation!Q$2:Q9627,D1867-1)))</f>
        <v>0</v>
      </c>
      <c r="F1867" s="23">
        <f t="array" ref="F1867">IF($A1867="","",
  LET(
    r, $D1867,
    startD, INDEX(Calculation!B$2:B9627, r),
    endD,   INDEX(Calculation!C$2:C9627, r),
    asOf,   MIN($A1867,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2751710.959</v>
      </c>
    </row>
    <row r="1868">
      <c r="A1868" s="19">
        <v>44103.0</v>
      </c>
      <c r="B1868" s="23">
        <v>1.0765E7</v>
      </c>
      <c r="C1868" s="23">
        <f t="shared" si="1"/>
        <v>2753185.616</v>
      </c>
      <c r="D1868" s="18">
        <f>IF(A1868="","",MATCH(A1868,Calculation!B$2:B9627,1))</f>
        <v>1</v>
      </c>
      <c r="E1868" s="23">
        <f t="array" ref="E1868">IF(D1868="","",IF(D1868=1,0,INDEX(Calculation!Q$2:Q9627,D1868-1)))</f>
        <v>0</v>
      </c>
      <c r="F1868" s="23">
        <f t="array" ref="F1868">IF($A1868="","",
  LET(
    r, $D1868,
    startD, INDEX(Calculation!B$2:B9627, r),
    endD,   INDEX(Calculation!C$2:C9627, r),
    asOf,   MIN($A1868,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2753185.616</v>
      </c>
    </row>
    <row r="1869">
      <c r="A1869" s="19">
        <v>44104.0</v>
      </c>
      <c r="B1869" s="23">
        <v>1.0765E7</v>
      </c>
      <c r="C1869" s="23">
        <f t="shared" si="1"/>
        <v>2754660.274</v>
      </c>
      <c r="D1869" s="18">
        <f>IF(A1869="","",MATCH(A1869,Calculation!B$2:B9627,1))</f>
        <v>1</v>
      </c>
      <c r="E1869" s="23">
        <f t="array" ref="E1869">IF(D1869="","",IF(D1869=1,0,INDEX(Calculation!Q$2:Q9627,D1869-1)))</f>
        <v>0</v>
      </c>
      <c r="F1869" s="23">
        <f t="array" ref="F1869">IF($A1869="","",
  LET(
    r, $D1869,
    startD, INDEX(Calculation!B$2:B9627, r),
    endD,   INDEX(Calculation!C$2:C9627, r),
    asOf,   MIN($A1869,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2754660.274</v>
      </c>
    </row>
    <row r="1870">
      <c r="A1870" s="19">
        <v>44105.0</v>
      </c>
      <c r="B1870" s="23">
        <v>1.0765E7</v>
      </c>
      <c r="C1870" s="23">
        <f t="shared" si="1"/>
        <v>2756134.932</v>
      </c>
      <c r="D1870" s="18">
        <f>IF(A1870="","",MATCH(A1870,Calculation!B$2:B9627,1))</f>
        <v>1</v>
      </c>
      <c r="E1870" s="23">
        <f t="array" ref="E1870">IF(D1870="","",IF(D1870=1,0,INDEX(Calculation!Q$2:Q9627,D1870-1)))</f>
        <v>0</v>
      </c>
      <c r="F1870" s="23">
        <f t="array" ref="F1870">IF($A1870="","",
  LET(
    r, $D1870,
    startD, INDEX(Calculation!B$2:B9627, r),
    endD,   INDEX(Calculation!C$2:C9627, r),
    asOf,   MIN($A1870,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2756134.932</v>
      </c>
    </row>
    <row r="1871">
      <c r="A1871" s="19">
        <v>44106.0</v>
      </c>
      <c r="B1871" s="23">
        <v>1.0765E7</v>
      </c>
      <c r="C1871" s="23">
        <f t="shared" si="1"/>
        <v>2757609.589</v>
      </c>
      <c r="D1871" s="18">
        <f>IF(A1871="","",MATCH(A1871,Calculation!B$2:B9627,1))</f>
        <v>1</v>
      </c>
      <c r="E1871" s="23">
        <f t="array" ref="E1871">IF(D1871="","",IF(D1871=1,0,INDEX(Calculation!Q$2:Q9627,D1871-1)))</f>
        <v>0</v>
      </c>
      <c r="F1871" s="23">
        <f t="array" ref="F1871">IF($A1871="","",
  LET(
    r, $D1871,
    startD, INDEX(Calculation!B$2:B9627, r),
    endD,   INDEX(Calculation!C$2:C9627, r),
    asOf,   MIN($A1871,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2757609.589</v>
      </c>
    </row>
    <row r="1872">
      <c r="A1872" s="19">
        <v>44107.0</v>
      </c>
      <c r="B1872" s="23">
        <v>1.0765E7</v>
      </c>
      <c r="C1872" s="23">
        <f t="shared" si="1"/>
        <v>2759084.247</v>
      </c>
      <c r="D1872" s="18">
        <f>IF(A1872="","",MATCH(A1872,Calculation!B$2:B9627,1))</f>
        <v>1</v>
      </c>
      <c r="E1872" s="23">
        <f t="array" ref="E1872">IF(D1872="","",IF(D1872=1,0,INDEX(Calculation!Q$2:Q9627,D1872-1)))</f>
        <v>0</v>
      </c>
      <c r="F1872" s="23">
        <f t="array" ref="F1872">IF($A1872="","",
  LET(
    r, $D1872,
    startD, INDEX(Calculation!B$2:B9627, r),
    endD,   INDEX(Calculation!C$2:C9627, r),
    asOf,   MIN($A1872,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2759084.247</v>
      </c>
    </row>
    <row r="1873">
      <c r="A1873" s="19">
        <v>44108.0</v>
      </c>
      <c r="B1873" s="23">
        <v>1.0765E7</v>
      </c>
      <c r="C1873" s="23">
        <f t="shared" si="1"/>
        <v>2760558.904</v>
      </c>
      <c r="D1873" s="18">
        <f>IF(A1873="","",MATCH(A1873,Calculation!B$2:B9627,1))</f>
        <v>1</v>
      </c>
      <c r="E1873" s="23">
        <f t="array" ref="E1873">IF(D1873="","",IF(D1873=1,0,INDEX(Calculation!Q$2:Q9627,D1873-1)))</f>
        <v>0</v>
      </c>
      <c r="F1873" s="23">
        <f t="array" ref="F1873">IF($A1873="","",
  LET(
    r, $D1873,
    startD, INDEX(Calculation!B$2:B9627, r),
    endD,   INDEX(Calculation!C$2:C9627, r),
    asOf,   MIN($A1873,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2760558.904</v>
      </c>
    </row>
    <row r="1874">
      <c r="A1874" s="19">
        <v>44109.0</v>
      </c>
      <c r="B1874" s="23">
        <v>1.0765E7</v>
      </c>
      <c r="C1874" s="23">
        <f t="shared" si="1"/>
        <v>2762033.562</v>
      </c>
      <c r="D1874" s="18">
        <f>IF(A1874="","",MATCH(A1874,Calculation!B$2:B9627,1))</f>
        <v>1</v>
      </c>
      <c r="E1874" s="23">
        <f t="array" ref="E1874">IF(D1874="","",IF(D1874=1,0,INDEX(Calculation!Q$2:Q9627,D1874-1)))</f>
        <v>0</v>
      </c>
      <c r="F1874" s="23">
        <f t="array" ref="F1874">IF($A1874="","",
  LET(
    r, $D1874,
    startD, INDEX(Calculation!B$2:B9627, r),
    endD,   INDEX(Calculation!C$2:C9627, r),
    asOf,   MIN($A1874,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2762033.562</v>
      </c>
    </row>
    <row r="1875">
      <c r="A1875" s="19">
        <v>44110.0</v>
      </c>
      <c r="B1875" s="23">
        <v>1.0765E7</v>
      </c>
      <c r="C1875" s="23">
        <f t="shared" si="1"/>
        <v>2763508.219</v>
      </c>
      <c r="D1875" s="18">
        <f>IF(A1875="","",MATCH(A1875,Calculation!B$2:B9627,1))</f>
        <v>1</v>
      </c>
      <c r="E1875" s="23">
        <f t="array" ref="E1875">IF(D1875="","",IF(D1875=1,0,INDEX(Calculation!Q$2:Q9627,D1875-1)))</f>
        <v>0</v>
      </c>
      <c r="F1875" s="23">
        <f t="array" ref="F1875">IF($A1875="","",
  LET(
    r, $D1875,
    startD, INDEX(Calculation!B$2:B9627, r),
    endD,   INDEX(Calculation!C$2:C9627, r),
    asOf,   MIN($A1875,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2763508.219</v>
      </c>
    </row>
    <row r="1876">
      <c r="A1876" s="19">
        <v>44111.0</v>
      </c>
      <c r="B1876" s="23">
        <v>1.0765E7</v>
      </c>
      <c r="C1876" s="23">
        <f t="shared" si="1"/>
        <v>2764982.877</v>
      </c>
      <c r="D1876" s="18">
        <f>IF(A1876="","",MATCH(A1876,Calculation!B$2:B9627,1))</f>
        <v>1</v>
      </c>
      <c r="E1876" s="23">
        <f t="array" ref="E1876">IF(D1876="","",IF(D1876=1,0,INDEX(Calculation!Q$2:Q9627,D1876-1)))</f>
        <v>0</v>
      </c>
      <c r="F1876" s="23">
        <f t="array" ref="F1876">IF($A1876="","",
  LET(
    r, $D1876,
    startD, INDEX(Calculation!B$2:B9627, r),
    endD,   INDEX(Calculation!C$2:C9627, r),
    asOf,   MIN($A1876,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2764982.877</v>
      </c>
    </row>
    <row r="1877">
      <c r="A1877" s="19">
        <v>44112.0</v>
      </c>
      <c r="B1877" s="23">
        <v>1.0765E7</v>
      </c>
      <c r="C1877" s="23">
        <f t="shared" si="1"/>
        <v>2766457.534</v>
      </c>
      <c r="D1877" s="18">
        <f>IF(A1877="","",MATCH(A1877,Calculation!B$2:B9627,1))</f>
        <v>1</v>
      </c>
      <c r="E1877" s="23">
        <f t="array" ref="E1877">IF(D1877="","",IF(D1877=1,0,INDEX(Calculation!Q$2:Q9627,D1877-1)))</f>
        <v>0</v>
      </c>
      <c r="F1877" s="23">
        <f t="array" ref="F1877">IF($A1877="","",
  LET(
    r, $D1877,
    startD, INDEX(Calculation!B$2:B9627, r),
    endD,   INDEX(Calculation!C$2:C9627, r),
    asOf,   MIN($A1877,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2766457.534</v>
      </c>
    </row>
    <row r="1878">
      <c r="A1878" s="19">
        <v>44113.0</v>
      </c>
      <c r="B1878" s="23">
        <v>1.0765E7</v>
      </c>
      <c r="C1878" s="23">
        <f t="shared" si="1"/>
        <v>2767932.192</v>
      </c>
      <c r="D1878" s="18">
        <f>IF(A1878="","",MATCH(A1878,Calculation!B$2:B9627,1))</f>
        <v>1</v>
      </c>
      <c r="E1878" s="23">
        <f t="array" ref="E1878">IF(D1878="","",IF(D1878=1,0,INDEX(Calculation!Q$2:Q9627,D1878-1)))</f>
        <v>0</v>
      </c>
      <c r="F1878" s="23">
        <f t="array" ref="F1878">IF($A1878="","",
  LET(
    r, $D1878,
    startD, INDEX(Calculation!B$2:B9627, r),
    endD,   INDEX(Calculation!C$2:C9627, r),
    asOf,   MIN($A1878,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2767932.192</v>
      </c>
    </row>
    <row r="1879">
      <c r="A1879" s="19">
        <v>44114.0</v>
      </c>
      <c r="B1879" s="23">
        <v>1.0765E7</v>
      </c>
      <c r="C1879" s="23">
        <f t="shared" si="1"/>
        <v>2769406.849</v>
      </c>
      <c r="D1879" s="18">
        <f>IF(A1879="","",MATCH(A1879,Calculation!B$2:B9627,1))</f>
        <v>1</v>
      </c>
      <c r="E1879" s="23">
        <f t="array" ref="E1879">IF(D1879="","",IF(D1879=1,0,INDEX(Calculation!Q$2:Q9627,D1879-1)))</f>
        <v>0</v>
      </c>
      <c r="F1879" s="23">
        <f t="array" ref="F1879">IF($A1879="","",
  LET(
    r, $D1879,
    startD, INDEX(Calculation!B$2:B9627, r),
    endD,   INDEX(Calculation!C$2:C9627, r),
    asOf,   MIN($A1879,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2769406.849</v>
      </c>
    </row>
    <row r="1880">
      <c r="A1880" s="19">
        <v>44115.0</v>
      </c>
      <c r="B1880" s="23">
        <v>1.0765E7</v>
      </c>
      <c r="C1880" s="23">
        <f t="shared" si="1"/>
        <v>2770881.507</v>
      </c>
      <c r="D1880" s="18">
        <f>IF(A1880="","",MATCH(A1880,Calculation!B$2:B9627,1))</f>
        <v>1</v>
      </c>
      <c r="E1880" s="23">
        <f t="array" ref="E1880">IF(D1880="","",IF(D1880=1,0,INDEX(Calculation!Q$2:Q9627,D1880-1)))</f>
        <v>0</v>
      </c>
      <c r="F1880" s="23">
        <f t="array" ref="F1880">IF($A1880="","",
  LET(
    r, $D1880,
    startD, INDEX(Calculation!B$2:B9627, r),
    endD,   INDEX(Calculation!C$2:C9627, r),
    asOf,   MIN($A1880,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2770881.507</v>
      </c>
    </row>
    <row r="1881">
      <c r="A1881" s="19">
        <v>44116.0</v>
      </c>
      <c r="B1881" s="23">
        <v>1.0765E7</v>
      </c>
      <c r="C1881" s="23">
        <f t="shared" si="1"/>
        <v>2772356.164</v>
      </c>
      <c r="D1881" s="18">
        <f>IF(A1881="","",MATCH(A1881,Calculation!B$2:B9627,1))</f>
        <v>1</v>
      </c>
      <c r="E1881" s="23">
        <f t="array" ref="E1881">IF(D1881="","",IF(D1881=1,0,INDEX(Calculation!Q$2:Q9627,D1881-1)))</f>
        <v>0</v>
      </c>
      <c r="F1881" s="23">
        <f t="array" ref="F1881">IF($A1881="","",
  LET(
    r, $D1881,
    startD, INDEX(Calculation!B$2:B9627, r),
    endD,   INDEX(Calculation!C$2:C9627, r),
    asOf,   MIN($A1881,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2772356.164</v>
      </c>
    </row>
    <row r="1882">
      <c r="A1882" s="19">
        <v>44117.0</v>
      </c>
      <c r="B1882" s="23">
        <v>1.0765E7</v>
      </c>
      <c r="C1882" s="23">
        <f t="shared" si="1"/>
        <v>2773830.822</v>
      </c>
      <c r="D1882" s="18">
        <f>IF(A1882="","",MATCH(A1882,Calculation!B$2:B9627,1))</f>
        <v>1</v>
      </c>
      <c r="E1882" s="23">
        <f t="array" ref="E1882">IF(D1882="","",IF(D1882=1,0,INDEX(Calculation!Q$2:Q9627,D1882-1)))</f>
        <v>0</v>
      </c>
      <c r="F1882" s="23">
        <f t="array" ref="F1882">IF($A1882="","",
  LET(
    r, $D1882,
    startD, INDEX(Calculation!B$2:B9627, r),
    endD,   INDEX(Calculation!C$2:C9627, r),
    asOf,   MIN($A1882,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2773830.822</v>
      </c>
    </row>
    <row r="1883">
      <c r="A1883" s="19">
        <v>44118.0</v>
      </c>
      <c r="B1883" s="23">
        <v>1.0765E7</v>
      </c>
      <c r="C1883" s="23">
        <f t="shared" si="1"/>
        <v>2775305.479</v>
      </c>
      <c r="D1883" s="18">
        <f>IF(A1883="","",MATCH(A1883,Calculation!B$2:B9627,1))</f>
        <v>1</v>
      </c>
      <c r="E1883" s="23">
        <f t="array" ref="E1883">IF(D1883="","",IF(D1883=1,0,INDEX(Calculation!Q$2:Q9627,D1883-1)))</f>
        <v>0</v>
      </c>
      <c r="F1883" s="23">
        <f t="array" ref="F1883">IF($A1883="","",
  LET(
    r, $D1883,
    startD, INDEX(Calculation!B$2:B9627, r),
    endD,   INDEX(Calculation!C$2:C9627, r),
    asOf,   MIN($A1883,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2775305.479</v>
      </c>
    </row>
    <row r="1884">
      <c r="A1884" s="19">
        <v>44119.0</v>
      </c>
      <c r="B1884" s="23">
        <v>1.0765E7</v>
      </c>
      <c r="C1884" s="23">
        <f t="shared" si="1"/>
        <v>2776780.137</v>
      </c>
      <c r="D1884" s="18">
        <f>IF(A1884="","",MATCH(A1884,Calculation!B$2:B9627,1))</f>
        <v>1</v>
      </c>
      <c r="E1884" s="23">
        <f t="array" ref="E1884">IF(D1884="","",IF(D1884=1,0,INDEX(Calculation!Q$2:Q9627,D1884-1)))</f>
        <v>0</v>
      </c>
      <c r="F1884" s="23">
        <f t="array" ref="F1884">IF($A1884="","",
  LET(
    r, $D1884,
    startD, INDEX(Calculation!B$2:B9627, r),
    endD,   INDEX(Calculation!C$2:C9627, r),
    asOf,   MIN($A1884,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2776780.137</v>
      </c>
    </row>
    <row r="1885">
      <c r="A1885" s="19">
        <v>44120.0</v>
      </c>
      <c r="B1885" s="23">
        <v>1.0765E7</v>
      </c>
      <c r="C1885" s="23">
        <f t="shared" si="1"/>
        <v>2778254.795</v>
      </c>
      <c r="D1885" s="18">
        <f>IF(A1885="","",MATCH(A1885,Calculation!B$2:B9627,1))</f>
        <v>1</v>
      </c>
      <c r="E1885" s="23">
        <f t="array" ref="E1885">IF(D1885="","",IF(D1885=1,0,INDEX(Calculation!Q$2:Q9627,D1885-1)))</f>
        <v>0</v>
      </c>
      <c r="F1885" s="23">
        <f t="array" ref="F1885">IF($A1885="","",
  LET(
    r, $D1885,
    startD, INDEX(Calculation!B$2:B9627, r),
    endD,   INDEX(Calculation!C$2:C9627, r),
    asOf,   MIN($A1885,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2778254.795</v>
      </c>
    </row>
    <row r="1886">
      <c r="A1886" s="19">
        <v>44121.0</v>
      </c>
      <c r="B1886" s="23">
        <v>1.0765E7</v>
      </c>
      <c r="C1886" s="23">
        <f t="shared" si="1"/>
        <v>2779729.452</v>
      </c>
      <c r="D1886" s="18">
        <f>IF(A1886="","",MATCH(A1886,Calculation!B$2:B9627,1))</f>
        <v>1</v>
      </c>
      <c r="E1886" s="23">
        <f t="array" ref="E1886">IF(D1886="","",IF(D1886=1,0,INDEX(Calculation!Q$2:Q9627,D1886-1)))</f>
        <v>0</v>
      </c>
      <c r="F1886" s="23">
        <f t="array" ref="F1886">IF($A1886="","",
  LET(
    r, $D1886,
    startD, INDEX(Calculation!B$2:B9627, r),
    endD,   INDEX(Calculation!C$2:C9627, r),
    asOf,   MIN($A1886,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2779729.452</v>
      </c>
    </row>
    <row r="1887">
      <c r="A1887" s="19">
        <v>44122.0</v>
      </c>
      <c r="B1887" s="23">
        <v>1.0765E7</v>
      </c>
      <c r="C1887" s="23">
        <f t="shared" si="1"/>
        <v>2781204.11</v>
      </c>
      <c r="D1887" s="18">
        <f>IF(A1887="","",MATCH(A1887,Calculation!B$2:B9627,1))</f>
        <v>1</v>
      </c>
      <c r="E1887" s="23">
        <f t="array" ref="E1887">IF(D1887="","",IF(D1887=1,0,INDEX(Calculation!Q$2:Q9627,D1887-1)))</f>
        <v>0</v>
      </c>
      <c r="F1887" s="23">
        <f t="array" ref="F1887">IF($A1887="","",
  LET(
    r, $D1887,
    startD, INDEX(Calculation!B$2:B9627, r),
    endD,   INDEX(Calculation!C$2:C9627, r),
    asOf,   MIN($A1887,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2781204.11</v>
      </c>
    </row>
    <row r="1888">
      <c r="A1888" s="19">
        <v>44123.0</v>
      </c>
      <c r="B1888" s="23">
        <v>1.0765E7</v>
      </c>
      <c r="C1888" s="23">
        <f t="shared" si="1"/>
        <v>2782678.767</v>
      </c>
      <c r="D1888" s="18">
        <f>IF(A1888="","",MATCH(A1888,Calculation!B$2:B9627,1))</f>
        <v>1</v>
      </c>
      <c r="E1888" s="23">
        <f t="array" ref="E1888">IF(D1888="","",IF(D1888=1,0,INDEX(Calculation!Q$2:Q9627,D1888-1)))</f>
        <v>0</v>
      </c>
      <c r="F1888" s="23">
        <f t="array" ref="F1888">IF($A1888="","",
  LET(
    r, $D1888,
    startD, INDEX(Calculation!B$2:B9627, r),
    endD,   INDEX(Calculation!C$2:C9627, r),
    asOf,   MIN($A1888,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2782678.767</v>
      </c>
    </row>
    <row r="1889">
      <c r="A1889" s="19">
        <v>44124.0</v>
      </c>
      <c r="B1889" s="23">
        <v>1.0765E7</v>
      </c>
      <c r="C1889" s="23">
        <f t="shared" si="1"/>
        <v>2784153.425</v>
      </c>
      <c r="D1889" s="18">
        <f>IF(A1889="","",MATCH(A1889,Calculation!B$2:B9627,1))</f>
        <v>1</v>
      </c>
      <c r="E1889" s="23">
        <f t="array" ref="E1889">IF(D1889="","",IF(D1889=1,0,INDEX(Calculation!Q$2:Q9627,D1889-1)))</f>
        <v>0</v>
      </c>
      <c r="F1889" s="23">
        <f t="array" ref="F1889">IF($A1889="","",
  LET(
    r, $D1889,
    startD, INDEX(Calculation!B$2:B9627, r),
    endD,   INDEX(Calculation!C$2:C9627, r),
    asOf,   MIN($A1889,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2784153.425</v>
      </c>
    </row>
    <row r="1890">
      <c r="A1890" s="19">
        <v>44125.0</v>
      </c>
      <c r="B1890" s="23">
        <v>1.0765E7</v>
      </c>
      <c r="C1890" s="23">
        <f t="shared" si="1"/>
        <v>2785628.082</v>
      </c>
      <c r="D1890" s="18">
        <f>IF(A1890="","",MATCH(A1890,Calculation!B$2:B9627,1))</f>
        <v>1</v>
      </c>
      <c r="E1890" s="23">
        <f t="array" ref="E1890">IF(D1890="","",IF(D1890=1,0,INDEX(Calculation!Q$2:Q9627,D1890-1)))</f>
        <v>0</v>
      </c>
      <c r="F1890" s="23">
        <f t="array" ref="F1890">IF($A1890="","",
  LET(
    r, $D1890,
    startD, INDEX(Calculation!B$2:B9627, r),
    endD,   INDEX(Calculation!C$2:C9627, r),
    asOf,   MIN($A1890,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2785628.082</v>
      </c>
    </row>
    <row r="1891">
      <c r="A1891" s="19">
        <v>44126.0</v>
      </c>
      <c r="B1891" s="23">
        <v>1.0765E7</v>
      </c>
      <c r="C1891" s="23">
        <f t="shared" si="1"/>
        <v>2787102.74</v>
      </c>
      <c r="D1891" s="18">
        <f>IF(A1891="","",MATCH(A1891,Calculation!B$2:B9627,1))</f>
        <v>1</v>
      </c>
      <c r="E1891" s="23">
        <f t="array" ref="E1891">IF(D1891="","",IF(D1891=1,0,INDEX(Calculation!Q$2:Q9627,D1891-1)))</f>
        <v>0</v>
      </c>
      <c r="F1891" s="23">
        <f t="array" ref="F1891">IF($A1891="","",
  LET(
    r, $D1891,
    startD, INDEX(Calculation!B$2:B9627, r),
    endD,   INDEX(Calculation!C$2:C9627, r),
    asOf,   MIN($A1891,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2787102.74</v>
      </c>
    </row>
    <row r="1892">
      <c r="A1892" s="19">
        <v>44127.0</v>
      </c>
      <c r="B1892" s="23">
        <v>1.0765E7</v>
      </c>
      <c r="C1892" s="23">
        <f t="shared" si="1"/>
        <v>2788577.397</v>
      </c>
      <c r="D1892" s="18">
        <f>IF(A1892="","",MATCH(A1892,Calculation!B$2:B9627,1))</f>
        <v>1</v>
      </c>
      <c r="E1892" s="23">
        <f t="array" ref="E1892">IF(D1892="","",IF(D1892=1,0,INDEX(Calculation!Q$2:Q9627,D1892-1)))</f>
        <v>0</v>
      </c>
      <c r="F1892" s="23">
        <f t="array" ref="F1892">IF($A1892="","",
  LET(
    r, $D1892,
    startD, INDEX(Calculation!B$2:B9627, r),
    endD,   INDEX(Calculation!C$2:C9627, r),
    asOf,   MIN($A1892,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2788577.397</v>
      </c>
    </row>
    <row r="1893">
      <c r="A1893" s="19">
        <v>44128.0</v>
      </c>
      <c r="B1893" s="23">
        <v>1.0765E7</v>
      </c>
      <c r="C1893" s="23">
        <f t="shared" si="1"/>
        <v>2790052.055</v>
      </c>
      <c r="D1893" s="18">
        <f>IF(A1893="","",MATCH(A1893,Calculation!B$2:B9627,1))</f>
        <v>1</v>
      </c>
      <c r="E1893" s="23">
        <f t="array" ref="E1893">IF(D1893="","",IF(D1893=1,0,INDEX(Calculation!Q$2:Q9627,D1893-1)))</f>
        <v>0</v>
      </c>
      <c r="F1893" s="23">
        <f t="array" ref="F1893">IF($A1893="","",
  LET(
    r, $D1893,
    startD, INDEX(Calculation!B$2:B9627, r),
    endD,   INDEX(Calculation!C$2:C9627, r),
    asOf,   MIN($A1893,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2790052.055</v>
      </c>
    </row>
    <row r="1894">
      <c r="A1894" s="19">
        <v>44129.0</v>
      </c>
      <c r="B1894" s="23">
        <v>1.0765E7</v>
      </c>
      <c r="C1894" s="23">
        <f t="shared" si="1"/>
        <v>2791526.712</v>
      </c>
      <c r="D1894" s="18">
        <f>IF(A1894="","",MATCH(A1894,Calculation!B$2:B9627,1))</f>
        <v>1</v>
      </c>
      <c r="E1894" s="23">
        <f t="array" ref="E1894">IF(D1894="","",IF(D1894=1,0,INDEX(Calculation!Q$2:Q9627,D1894-1)))</f>
        <v>0</v>
      </c>
      <c r="F1894" s="23">
        <f t="array" ref="F1894">IF($A1894="","",
  LET(
    r, $D1894,
    startD, INDEX(Calculation!B$2:B9627, r),
    endD,   INDEX(Calculation!C$2:C9627, r),
    asOf,   MIN($A1894,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2791526.712</v>
      </c>
    </row>
    <row r="1895">
      <c r="A1895" s="19">
        <v>44130.0</v>
      </c>
      <c r="B1895" s="23">
        <v>1.0765E7</v>
      </c>
      <c r="C1895" s="23">
        <f t="shared" si="1"/>
        <v>2793001.37</v>
      </c>
      <c r="D1895" s="18">
        <f>IF(A1895="","",MATCH(A1895,Calculation!B$2:B9627,1))</f>
        <v>1</v>
      </c>
      <c r="E1895" s="23">
        <f t="array" ref="E1895">IF(D1895="","",IF(D1895=1,0,INDEX(Calculation!Q$2:Q9627,D1895-1)))</f>
        <v>0</v>
      </c>
      <c r="F1895" s="23">
        <f t="array" ref="F1895">IF($A1895="","",
  LET(
    r, $D1895,
    startD, INDEX(Calculation!B$2:B9627, r),
    endD,   INDEX(Calculation!C$2:C9627, r),
    asOf,   MIN($A1895,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2793001.37</v>
      </c>
    </row>
    <row r="1896">
      <c r="A1896" s="19">
        <v>44131.0</v>
      </c>
      <c r="B1896" s="23">
        <v>1.0765E7</v>
      </c>
      <c r="C1896" s="23">
        <f t="shared" si="1"/>
        <v>2794476.027</v>
      </c>
      <c r="D1896" s="18">
        <f>IF(A1896="","",MATCH(A1896,Calculation!B$2:B9627,1))</f>
        <v>1</v>
      </c>
      <c r="E1896" s="23">
        <f t="array" ref="E1896">IF(D1896="","",IF(D1896=1,0,INDEX(Calculation!Q$2:Q9627,D1896-1)))</f>
        <v>0</v>
      </c>
      <c r="F1896" s="23">
        <f t="array" ref="F1896">IF($A1896="","",
  LET(
    r, $D1896,
    startD, INDEX(Calculation!B$2:B9627, r),
    endD,   INDEX(Calculation!C$2:C9627, r),
    asOf,   MIN($A1896,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2794476.027</v>
      </c>
    </row>
    <row r="1897">
      <c r="A1897" s="19">
        <v>44132.0</v>
      </c>
      <c r="B1897" s="23">
        <v>1.0765E7</v>
      </c>
      <c r="C1897" s="23">
        <f t="shared" si="1"/>
        <v>2795950.685</v>
      </c>
      <c r="D1897" s="18">
        <f>IF(A1897="","",MATCH(A1897,Calculation!B$2:B9627,1))</f>
        <v>1</v>
      </c>
      <c r="E1897" s="23">
        <f t="array" ref="E1897">IF(D1897="","",IF(D1897=1,0,INDEX(Calculation!Q$2:Q9627,D1897-1)))</f>
        <v>0</v>
      </c>
      <c r="F1897" s="23">
        <f t="array" ref="F1897">IF($A1897="","",
  LET(
    r, $D1897,
    startD, INDEX(Calculation!B$2:B9627, r),
    endD,   INDEX(Calculation!C$2:C9627, r),
    asOf,   MIN($A1897,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2795950.685</v>
      </c>
    </row>
    <row r="1898">
      <c r="A1898" s="19">
        <v>44133.0</v>
      </c>
      <c r="B1898" s="23">
        <v>1.0765E7</v>
      </c>
      <c r="C1898" s="23">
        <f t="shared" si="1"/>
        <v>2797425.342</v>
      </c>
      <c r="D1898" s="18">
        <f>IF(A1898="","",MATCH(A1898,Calculation!B$2:B9627,1))</f>
        <v>1</v>
      </c>
      <c r="E1898" s="23">
        <f t="array" ref="E1898">IF(D1898="","",IF(D1898=1,0,INDEX(Calculation!Q$2:Q9627,D1898-1)))</f>
        <v>0</v>
      </c>
      <c r="F1898" s="23">
        <f t="array" ref="F1898">IF($A1898="","",
  LET(
    r, $D1898,
    startD, INDEX(Calculation!B$2:B9627, r),
    endD,   INDEX(Calculation!C$2:C9627, r),
    asOf,   MIN($A1898,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2797425.342</v>
      </c>
    </row>
    <row r="1899">
      <c r="A1899" s="19">
        <v>44134.0</v>
      </c>
      <c r="B1899" s="23">
        <v>1.0765E7</v>
      </c>
      <c r="C1899" s="23">
        <f t="shared" si="1"/>
        <v>2798900</v>
      </c>
      <c r="D1899" s="18">
        <f>IF(A1899="","",MATCH(A1899,Calculation!B$2:B9627,1))</f>
        <v>1</v>
      </c>
      <c r="E1899" s="23">
        <f t="array" ref="E1899">IF(D1899="","",IF(D1899=1,0,INDEX(Calculation!Q$2:Q9627,D1899-1)))</f>
        <v>0</v>
      </c>
      <c r="F1899" s="23">
        <f t="array" ref="F1899">IF($A1899="","",
  LET(
    r, $D1899,
    startD, INDEX(Calculation!B$2:B9627, r),
    endD,   INDEX(Calculation!C$2:C9627, r),
    asOf,   MIN($A1899,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2798900</v>
      </c>
    </row>
    <row r="1900">
      <c r="A1900" s="19">
        <v>44135.0</v>
      </c>
      <c r="B1900" s="23">
        <v>1.0765E7</v>
      </c>
      <c r="C1900" s="23">
        <f t="shared" si="1"/>
        <v>2800374.658</v>
      </c>
      <c r="D1900" s="18">
        <f>IF(A1900="","",MATCH(A1900,Calculation!B$2:B9627,1))</f>
        <v>1</v>
      </c>
      <c r="E1900" s="23">
        <f t="array" ref="E1900">IF(D1900="","",IF(D1900=1,0,INDEX(Calculation!Q$2:Q9627,D1900-1)))</f>
        <v>0</v>
      </c>
      <c r="F1900" s="23">
        <f t="array" ref="F1900">IF($A1900="","",
  LET(
    r, $D1900,
    startD, INDEX(Calculation!B$2:B9627, r),
    endD,   INDEX(Calculation!C$2:C9627, r),
    asOf,   MIN($A1900,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2800374.658</v>
      </c>
    </row>
    <row r="1901">
      <c r="A1901" s="19">
        <v>44136.0</v>
      </c>
      <c r="B1901" s="23">
        <v>1.0765E7</v>
      </c>
      <c r="C1901" s="23">
        <f t="shared" si="1"/>
        <v>2801849.315</v>
      </c>
      <c r="D1901" s="18">
        <f>IF(A1901="","",MATCH(A1901,Calculation!B$2:B9627,1))</f>
        <v>1</v>
      </c>
      <c r="E1901" s="23">
        <f t="array" ref="E1901">IF(D1901="","",IF(D1901=1,0,INDEX(Calculation!Q$2:Q9627,D1901-1)))</f>
        <v>0</v>
      </c>
      <c r="F1901" s="23">
        <f t="array" ref="F1901">IF($A1901="","",
  LET(
    r, $D1901,
    startD, INDEX(Calculation!B$2:B9627, r),
    endD,   INDEX(Calculation!C$2:C9627, r),
    asOf,   MIN($A1901,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2801849.315</v>
      </c>
    </row>
    <row r="1902">
      <c r="A1902" s="19">
        <v>44137.0</v>
      </c>
      <c r="B1902" s="23">
        <v>1.0765E7</v>
      </c>
      <c r="C1902" s="23">
        <f t="shared" si="1"/>
        <v>2803323.973</v>
      </c>
      <c r="D1902" s="18">
        <f>IF(A1902="","",MATCH(A1902,Calculation!B$2:B9627,1))</f>
        <v>1</v>
      </c>
      <c r="E1902" s="23">
        <f t="array" ref="E1902">IF(D1902="","",IF(D1902=1,0,INDEX(Calculation!Q$2:Q9627,D1902-1)))</f>
        <v>0</v>
      </c>
      <c r="F1902" s="23">
        <f t="array" ref="F1902">IF($A1902="","",
  LET(
    r, $D1902,
    startD, INDEX(Calculation!B$2:B9627, r),
    endD,   INDEX(Calculation!C$2:C9627, r),
    asOf,   MIN($A1902,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2803323.973</v>
      </c>
    </row>
    <row r="1903">
      <c r="A1903" s="19">
        <v>44138.0</v>
      </c>
      <c r="B1903" s="23">
        <v>1.0765E7</v>
      </c>
      <c r="C1903" s="23">
        <f t="shared" si="1"/>
        <v>2804798.63</v>
      </c>
      <c r="D1903" s="18">
        <f>IF(A1903="","",MATCH(A1903,Calculation!B$2:B9627,1))</f>
        <v>1</v>
      </c>
      <c r="E1903" s="23">
        <f t="array" ref="E1903">IF(D1903="","",IF(D1903=1,0,INDEX(Calculation!Q$2:Q9627,D1903-1)))</f>
        <v>0</v>
      </c>
      <c r="F1903" s="23">
        <f t="array" ref="F1903">IF($A1903="","",
  LET(
    r, $D1903,
    startD, INDEX(Calculation!B$2:B9627, r),
    endD,   INDEX(Calculation!C$2:C9627, r),
    asOf,   MIN($A1903,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2804798.63</v>
      </c>
    </row>
    <row r="1904">
      <c r="A1904" s="19">
        <v>44139.0</v>
      </c>
      <c r="B1904" s="23">
        <v>1.0765E7</v>
      </c>
      <c r="C1904" s="23">
        <f t="shared" si="1"/>
        <v>2806273.288</v>
      </c>
      <c r="D1904" s="18">
        <f>IF(A1904="","",MATCH(A1904,Calculation!B$2:B9627,1))</f>
        <v>1</v>
      </c>
      <c r="E1904" s="23">
        <f t="array" ref="E1904">IF(D1904="","",IF(D1904=1,0,INDEX(Calculation!Q$2:Q9627,D1904-1)))</f>
        <v>0</v>
      </c>
      <c r="F1904" s="23">
        <f t="array" ref="F1904">IF($A1904="","",
  LET(
    r, $D1904,
    startD, INDEX(Calculation!B$2:B9627, r),
    endD,   INDEX(Calculation!C$2:C9627, r),
    asOf,   MIN($A1904,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2806273.288</v>
      </c>
    </row>
    <row r="1905">
      <c r="A1905" s="19">
        <v>44140.0</v>
      </c>
      <c r="B1905" s="23">
        <v>1.0765E7</v>
      </c>
      <c r="C1905" s="23">
        <f t="shared" si="1"/>
        <v>2807747.945</v>
      </c>
      <c r="D1905" s="18">
        <f>IF(A1905="","",MATCH(A1905,Calculation!B$2:B9627,1))</f>
        <v>1</v>
      </c>
      <c r="E1905" s="23">
        <f t="array" ref="E1905">IF(D1905="","",IF(D1905=1,0,INDEX(Calculation!Q$2:Q9627,D1905-1)))</f>
        <v>0</v>
      </c>
      <c r="F1905" s="23">
        <f t="array" ref="F1905">IF($A1905="","",
  LET(
    r, $D1905,
    startD, INDEX(Calculation!B$2:B9627, r),
    endD,   INDEX(Calculation!C$2:C9627, r),
    asOf,   MIN($A1905,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2807747.945</v>
      </c>
    </row>
    <row r="1906">
      <c r="A1906" s="19">
        <v>44141.0</v>
      </c>
      <c r="B1906" s="23">
        <v>1.0765E7</v>
      </c>
      <c r="C1906" s="23">
        <f t="shared" si="1"/>
        <v>2809222.603</v>
      </c>
      <c r="D1906" s="18">
        <f>IF(A1906="","",MATCH(A1906,Calculation!B$2:B9627,1))</f>
        <v>1</v>
      </c>
      <c r="E1906" s="23">
        <f t="array" ref="E1906">IF(D1906="","",IF(D1906=1,0,INDEX(Calculation!Q$2:Q9627,D1906-1)))</f>
        <v>0</v>
      </c>
      <c r="F1906" s="23">
        <f t="array" ref="F1906">IF($A1906="","",
  LET(
    r, $D1906,
    startD, INDEX(Calculation!B$2:B9627, r),
    endD,   INDEX(Calculation!C$2:C9627, r),
    asOf,   MIN($A1906,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2809222.603</v>
      </c>
    </row>
    <row r="1907">
      <c r="A1907" s="19">
        <v>44142.0</v>
      </c>
      <c r="B1907" s="23">
        <v>1.0765E7</v>
      </c>
      <c r="C1907" s="23">
        <f t="shared" si="1"/>
        <v>2810697.26</v>
      </c>
      <c r="D1907" s="18">
        <f>IF(A1907="","",MATCH(A1907,Calculation!B$2:B9627,1))</f>
        <v>1</v>
      </c>
      <c r="E1907" s="23">
        <f t="array" ref="E1907">IF(D1907="","",IF(D1907=1,0,INDEX(Calculation!Q$2:Q9627,D1907-1)))</f>
        <v>0</v>
      </c>
      <c r="F1907" s="23">
        <f t="array" ref="F1907">IF($A1907="","",
  LET(
    r, $D1907,
    startD, INDEX(Calculation!B$2:B9627, r),
    endD,   INDEX(Calculation!C$2:C9627, r),
    asOf,   MIN($A1907,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2810697.26</v>
      </c>
    </row>
    <row r="1908">
      <c r="A1908" s="19">
        <v>44143.0</v>
      </c>
      <c r="B1908" s="23">
        <v>1.0765E7</v>
      </c>
      <c r="C1908" s="23">
        <f t="shared" si="1"/>
        <v>2812171.918</v>
      </c>
      <c r="D1908" s="18">
        <f>IF(A1908="","",MATCH(A1908,Calculation!B$2:B9627,1))</f>
        <v>1</v>
      </c>
      <c r="E1908" s="23">
        <f t="array" ref="E1908">IF(D1908="","",IF(D1908=1,0,INDEX(Calculation!Q$2:Q9627,D1908-1)))</f>
        <v>0</v>
      </c>
      <c r="F1908" s="23">
        <f t="array" ref="F1908">IF($A1908="","",
  LET(
    r, $D1908,
    startD, INDEX(Calculation!B$2:B9627, r),
    endD,   INDEX(Calculation!C$2:C9627, r),
    asOf,   MIN($A1908,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2812171.918</v>
      </c>
    </row>
    <row r="1909">
      <c r="A1909" s="19">
        <v>44144.0</v>
      </c>
      <c r="B1909" s="23">
        <v>1.0765E7</v>
      </c>
      <c r="C1909" s="23">
        <f t="shared" si="1"/>
        <v>2813646.575</v>
      </c>
      <c r="D1909" s="18">
        <f>IF(A1909="","",MATCH(A1909,Calculation!B$2:B9627,1))</f>
        <v>1</v>
      </c>
      <c r="E1909" s="23">
        <f t="array" ref="E1909">IF(D1909="","",IF(D1909=1,0,INDEX(Calculation!Q$2:Q9627,D1909-1)))</f>
        <v>0</v>
      </c>
      <c r="F1909" s="23">
        <f t="array" ref="F1909">IF($A1909="","",
  LET(
    r, $D1909,
    startD, INDEX(Calculation!B$2:B9627, r),
    endD,   INDEX(Calculation!C$2:C9627, r),
    asOf,   MIN($A1909,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2813646.575</v>
      </c>
    </row>
    <row r="1910">
      <c r="A1910" s="19">
        <v>44145.0</v>
      </c>
      <c r="B1910" s="23">
        <v>1.0765E7</v>
      </c>
      <c r="C1910" s="23">
        <f t="shared" si="1"/>
        <v>2815121.233</v>
      </c>
      <c r="D1910" s="18">
        <f>IF(A1910="","",MATCH(A1910,Calculation!B$2:B9627,1))</f>
        <v>1</v>
      </c>
      <c r="E1910" s="23">
        <f t="array" ref="E1910">IF(D1910="","",IF(D1910=1,0,INDEX(Calculation!Q$2:Q9627,D1910-1)))</f>
        <v>0</v>
      </c>
      <c r="F1910" s="23">
        <f t="array" ref="F1910">IF($A1910="","",
  LET(
    r, $D1910,
    startD, INDEX(Calculation!B$2:B9627, r),
    endD,   INDEX(Calculation!C$2:C9627, r),
    asOf,   MIN($A1910,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2815121.233</v>
      </c>
    </row>
    <row r="1911">
      <c r="A1911" s="19">
        <v>44146.0</v>
      </c>
      <c r="B1911" s="23">
        <v>1.0765E7</v>
      </c>
      <c r="C1911" s="23">
        <f t="shared" si="1"/>
        <v>2816595.89</v>
      </c>
      <c r="D1911" s="18">
        <f>IF(A1911="","",MATCH(A1911,Calculation!B$2:B9627,1))</f>
        <v>1</v>
      </c>
      <c r="E1911" s="23">
        <f t="array" ref="E1911">IF(D1911="","",IF(D1911=1,0,INDEX(Calculation!Q$2:Q9627,D1911-1)))</f>
        <v>0</v>
      </c>
      <c r="F1911" s="23">
        <f t="array" ref="F1911">IF($A1911="","",
  LET(
    r, $D1911,
    startD, INDEX(Calculation!B$2:B9627, r),
    endD,   INDEX(Calculation!C$2:C9627, r),
    asOf,   MIN($A1911,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2816595.89</v>
      </c>
    </row>
    <row r="1912">
      <c r="A1912" s="19">
        <v>44147.0</v>
      </c>
      <c r="B1912" s="23">
        <v>1.0765E7</v>
      </c>
      <c r="C1912" s="23">
        <f t="shared" si="1"/>
        <v>2818070.548</v>
      </c>
      <c r="D1912" s="18">
        <f>IF(A1912="","",MATCH(A1912,Calculation!B$2:B9627,1))</f>
        <v>1</v>
      </c>
      <c r="E1912" s="23">
        <f t="array" ref="E1912">IF(D1912="","",IF(D1912=1,0,INDEX(Calculation!Q$2:Q9627,D1912-1)))</f>
        <v>0</v>
      </c>
      <c r="F1912" s="23">
        <f t="array" ref="F1912">IF($A1912="","",
  LET(
    r, $D1912,
    startD, INDEX(Calculation!B$2:B9627, r),
    endD,   INDEX(Calculation!C$2:C9627, r),
    asOf,   MIN($A1912,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2818070.548</v>
      </c>
    </row>
    <row r="1913">
      <c r="A1913" s="19">
        <v>44148.0</v>
      </c>
      <c r="B1913" s="23">
        <v>1.0765E7</v>
      </c>
      <c r="C1913" s="23">
        <f t="shared" si="1"/>
        <v>2819545.205</v>
      </c>
      <c r="D1913" s="18">
        <f>IF(A1913="","",MATCH(A1913,Calculation!B$2:B9627,1))</f>
        <v>1</v>
      </c>
      <c r="E1913" s="23">
        <f t="array" ref="E1913">IF(D1913="","",IF(D1913=1,0,INDEX(Calculation!Q$2:Q9627,D1913-1)))</f>
        <v>0</v>
      </c>
      <c r="F1913" s="23">
        <f t="array" ref="F1913">IF($A1913="","",
  LET(
    r, $D1913,
    startD, INDEX(Calculation!B$2:B9627, r),
    endD,   INDEX(Calculation!C$2:C9627, r),
    asOf,   MIN($A1913,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2819545.205</v>
      </c>
    </row>
    <row r="1914">
      <c r="A1914" s="19">
        <v>44149.0</v>
      </c>
      <c r="B1914" s="23">
        <v>1.0765E7</v>
      </c>
      <c r="C1914" s="23">
        <f t="shared" si="1"/>
        <v>2821019.863</v>
      </c>
      <c r="D1914" s="18">
        <f>IF(A1914="","",MATCH(A1914,Calculation!B$2:B9627,1))</f>
        <v>1</v>
      </c>
      <c r="E1914" s="23">
        <f t="array" ref="E1914">IF(D1914="","",IF(D1914=1,0,INDEX(Calculation!Q$2:Q9627,D1914-1)))</f>
        <v>0</v>
      </c>
      <c r="F1914" s="23">
        <f t="array" ref="F1914">IF($A1914="","",
  LET(
    r, $D1914,
    startD, INDEX(Calculation!B$2:B9627, r),
    endD,   INDEX(Calculation!C$2:C9627, r),
    asOf,   MIN($A1914,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2821019.863</v>
      </c>
    </row>
    <row r="1915">
      <c r="A1915" s="19">
        <v>44150.0</v>
      </c>
      <c r="B1915" s="23">
        <v>1.0765E7</v>
      </c>
      <c r="C1915" s="23">
        <f t="shared" si="1"/>
        <v>2822494.521</v>
      </c>
      <c r="D1915" s="18">
        <f>IF(A1915="","",MATCH(A1915,Calculation!B$2:B9627,1))</f>
        <v>1</v>
      </c>
      <c r="E1915" s="23">
        <f t="array" ref="E1915">IF(D1915="","",IF(D1915=1,0,INDEX(Calculation!Q$2:Q9627,D1915-1)))</f>
        <v>0</v>
      </c>
      <c r="F1915" s="23">
        <f t="array" ref="F1915">IF($A1915="","",
  LET(
    r, $D1915,
    startD, INDEX(Calculation!B$2:B9627, r),
    endD,   INDEX(Calculation!C$2:C9627, r),
    asOf,   MIN($A1915,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2822494.521</v>
      </c>
    </row>
    <row r="1916">
      <c r="A1916" s="19">
        <v>44151.0</v>
      </c>
      <c r="B1916" s="23">
        <v>1.0765E7</v>
      </c>
      <c r="C1916" s="23">
        <f t="shared" si="1"/>
        <v>2823969.178</v>
      </c>
      <c r="D1916" s="18">
        <f>IF(A1916="","",MATCH(A1916,Calculation!B$2:B9627,1))</f>
        <v>1</v>
      </c>
      <c r="E1916" s="23">
        <f t="array" ref="E1916">IF(D1916="","",IF(D1916=1,0,INDEX(Calculation!Q$2:Q9627,D1916-1)))</f>
        <v>0</v>
      </c>
      <c r="F1916" s="23">
        <f t="array" ref="F1916">IF($A1916="","",
  LET(
    r, $D1916,
    startD, INDEX(Calculation!B$2:B9627, r),
    endD,   INDEX(Calculation!C$2:C9627, r),
    asOf,   MIN($A1916,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2823969.178</v>
      </c>
    </row>
    <row r="1917">
      <c r="A1917" s="19">
        <v>44152.0</v>
      </c>
      <c r="B1917" s="23">
        <v>1.0765E7</v>
      </c>
      <c r="C1917" s="23">
        <f t="shared" si="1"/>
        <v>2825443.836</v>
      </c>
      <c r="D1917" s="18">
        <f>IF(A1917="","",MATCH(A1917,Calculation!B$2:B9627,1))</f>
        <v>1</v>
      </c>
      <c r="E1917" s="23">
        <f t="array" ref="E1917">IF(D1917="","",IF(D1917=1,0,INDEX(Calculation!Q$2:Q9627,D1917-1)))</f>
        <v>0</v>
      </c>
      <c r="F1917" s="23">
        <f t="array" ref="F1917">IF($A1917="","",
  LET(
    r, $D1917,
    startD, INDEX(Calculation!B$2:B9627, r),
    endD,   INDEX(Calculation!C$2:C9627, r),
    asOf,   MIN($A1917,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2825443.836</v>
      </c>
    </row>
    <row r="1918">
      <c r="A1918" s="19">
        <v>44153.0</v>
      </c>
      <c r="B1918" s="23">
        <v>1.0765E7</v>
      </c>
      <c r="C1918" s="23">
        <f t="shared" si="1"/>
        <v>2826918.493</v>
      </c>
      <c r="D1918" s="18">
        <f>IF(A1918="","",MATCH(A1918,Calculation!B$2:B9627,1))</f>
        <v>1</v>
      </c>
      <c r="E1918" s="23">
        <f t="array" ref="E1918">IF(D1918="","",IF(D1918=1,0,INDEX(Calculation!Q$2:Q9627,D1918-1)))</f>
        <v>0</v>
      </c>
      <c r="F1918" s="23">
        <f t="array" ref="F1918">IF($A1918="","",
  LET(
    r, $D1918,
    startD, INDEX(Calculation!B$2:B9627, r),
    endD,   INDEX(Calculation!C$2:C9627, r),
    asOf,   MIN($A1918,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2826918.493</v>
      </c>
    </row>
    <row r="1919">
      <c r="A1919" s="19">
        <v>44154.0</v>
      </c>
      <c r="B1919" s="23">
        <v>1.0765E7</v>
      </c>
      <c r="C1919" s="23">
        <f t="shared" si="1"/>
        <v>2828393.151</v>
      </c>
      <c r="D1919" s="18">
        <f>IF(A1919="","",MATCH(A1919,Calculation!B$2:B9627,1))</f>
        <v>1</v>
      </c>
      <c r="E1919" s="23">
        <f t="array" ref="E1919">IF(D1919="","",IF(D1919=1,0,INDEX(Calculation!Q$2:Q9627,D1919-1)))</f>
        <v>0</v>
      </c>
      <c r="F1919" s="23">
        <f t="array" ref="F1919">IF($A1919="","",
  LET(
    r, $D1919,
    startD, INDEX(Calculation!B$2:B9627, r),
    endD,   INDEX(Calculation!C$2:C9627, r),
    asOf,   MIN($A1919,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2828393.151</v>
      </c>
    </row>
    <row r="1920">
      <c r="A1920" s="19">
        <v>44155.0</v>
      </c>
      <c r="B1920" s="23">
        <v>1.0765E7</v>
      </c>
      <c r="C1920" s="23">
        <f t="shared" si="1"/>
        <v>2829867.808</v>
      </c>
      <c r="D1920" s="18">
        <f>IF(A1920="","",MATCH(A1920,Calculation!B$2:B9627,1))</f>
        <v>1</v>
      </c>
      <c r="E1920" s="23">
        <f t="array" ref="E1920">IF(D1920="","",IF(D1920=1,0,INDEX(Calculation!Q$2:Q9627,D1920-1)))</f>
        <v>0</v>
      </c>
      <c r="F1920" s="23">
        <f t="array" ref="F1920">IF($A1920="","",
  LET(
    r, $D1920,
    startD, INDEX(Calculation!B$2:B9627, r),
    endD,   INDEX(Calculation!C$2:C9627, r),
    asOf,   MIN($A1920,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2829867.808</v>
      </c>
    </row>
    <row r="1921">
      <c r="A1921" s="19">
        <v>44156.0</v>
      </c>
      <c r="B1921" s="23">
        <v>1.0765E7</v>
      </c>
      <c r="C1921" s="23">
        <f t="shared" si="1"/>
        <v>2831342.466</v>
      </c>
      <c r="D1921" s="18">
        <f>IF(A1921="","",MATCH(A1921,Calculation!B$2:B9627,1))</f>
        <v>1</v>
      </c>
      <c r="E1921" s="23">
        <f t="array" ref="E1921">IF(D1921="","",IF(D1921=1,0,INDEX(Calculation!Q$2:Q9627,D1921-1)))</f>
        <v>0</v>
      </c>
      <c r="F1921" s="23">
        <f t="array" ref="F1921">IF($A1921="","",
  LET(
    r, $D1921,
    startD, INDEX(Calculation!B$2:B9627, r),
    endD,   INDEX(Calculation!C$2:C9627, r),
    asOf,   MIN($A1921,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2831342.466</v>
      </c>
    </row>
    <row r="1922">
      <c r="A1922" s="19">
        <v>44157.0</v>
      </c>
      <c r="B1922" s="23">
        <v>1.0765E7</v>
      </c>
      <c r="C1922" s="23">
        <f t="shared" si="1"/>
        <v>2832817.123</v>
      </c>
      <c r="D1922" s="18">
        <f>IF(A1922="","",MATCH(A1922,Calculation!B$2:B9627,1))</f>
        <v>1</v>
      </c>
      <c r="E1922" s="23">
        <f t="array" ref="E1922">IF(D1922="","",IF(D1922=1,0,INDEX(Calculation!Q$2:Q9627,D1922-1)))</f>
        <v>0</v>
      </c>
      <c r="F1922" s="23">
        <f t="array" ref="F1922">IF($A1922="","",
  LET(
    r, $D1922,
    startD, INDEX(Calculation!B$2:B9627, r),
    endD,   INDEX(Calculation!C$2:C9627, r),
    asOf,   MIN($A1922,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2832817.123</v>
      </c>
    </row>
    <row r="1923">
      <c r="A1923" s="19">
        <v>44158.0</v>
      </c>
      <c r="B1923" s="23">
        <v>1.0765E7</v>
      </c>
      <c r="C1923" s="23">
        <f t="shared" si="1"/>
        <v>2834291.781</v>
      </c>
      <c r="D1923" s="18">
        <f>IF(A1923="","",MATCH(A1923,Calculation!B$2:B9627,1))</f>
        <v>1</v>
      </c>
      <c r="E1923" s="23">
        <f t="array" ref="E1923">IF(D1923="","",IF(D1923=1,0,INDEX(Calculation!Q$2:Q9627,D1923-1)))</f>
        <v>0</v>
      </c>
      <c r="F1923" s="23">
        <f t="array" ref="F1923">IF($A1923="","",
  LET(
    r, $D1923,
    startD, INDEX(Calculation!B$2:B9627, r),
    endD,   INDEX(Calculation!C$2:C9627, r),
    asOf,   MIN($A1923,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2834291.781</v>
      </c>
    </row>
    <row r="1924">
      <c r="A1924" s="19">
        <v>44159.0</v>
      </c>
      <c r="B1924" s="23">
        <v>1.0765E7</v>
      </c>
      <c r="C1924" s="23">
        <f t="shared" si="1"/>
        <v>2835766.438</v>
      </c>
      <c r="D1924" s="18">
        <f>IF(A1924="","",MATCH(A1924,Calculation!B$2:B9627,1))</f>
        <v>1</v>
      </c>
      <c r="E1924" s="23">
        <f t="array" ref="E1924">IF(D1924="","",IF(D1924=1,0,INDEX(Calculation!Q$2:Q9627,D1924-1)))</f>
        <v>0</v>
      </c>
      <c r="F1924" s="23">
        <f t="array" ref="F1924">IF($A1924="","",
  LET(
    r, $D1924,
    startD, INDEX(Calculation!B$2:B9627, r),
    endD,   INDEX(Calculation!C$2:C9627, r),
    asOf,   MIN($A1924,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2835766.438</v>
      </c>
    </row>
    <row r="1925">
      <c r="A1925" s="19">
        <v>44160.0</v>
      </c>
      <c r="B1925" s="23">
        <v>1.0765E7</v>
      </c>
      <c r="C1925" s="23">
        <f t="shared" si="1"/>
        <v>2837241.096</v>
      </c>
      <c r="D1925" s="18">
        <f>IF(A1925="","",MATCH(A1925,Calculation!B$2:B9627,1))</f>
        <v>1</v>
      </c>
      <c r="E1925" s="23">
        <f t="array" ref="E1925">IF(D1925="","",IF(D1925=1,0,INDEX(Calculation!Q$2:Q9627,D1925-1)))</f>
        <v>0</v>
      </c>
      <c r="F1925" s="23">
        <f t="array" ref="F1925">IF($A1925="","",
  LET(
    r, $D1925,
    startD, INDEX(Calculation!B$2:B9627, r),
    endD,   INDEX(Calculation!C$2:C9627, r),
    asOf,   MIN($A1925,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2837241.096</v>
      </c>
    </row>
    <row r="1926">
      <c r="A1926" s="19">
        <v>44161.0</v>
      </c>
      <c r="B1926" s="23">
        <v>1.0765E7</v>
      </c>
      <c r="C1926" s="23">
        <f t="shared" si="1"/>
        <v>2838715.753</v>
      </c>
      <c r="D1926" s="18">
        <f>IF(A1926="","",MATCH(A1926,Calculation!B$2:B9627,1))</f>
        <v>1</v>
      </c>
      <c r="E1926" s="23">
        <f t="array" ref="E1926">IF(D1926="","",IF(D1926=1,0,INDEX(Calculation!Q$2:Q9627,D1926-1)))</f>
        <v>0</v>
      </c>
      <c r="F1926" s="23">
        <f t="array" ref="F1926">IF($A1926="","",
  LET(
    r, $D1926,
    startD, INDEX(Calculation!B$2:B9627, r),
    endD,   INDEX(Calculation!C$2:C9627, r),
    asOf,   MIN($A1926,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2838715.753</v>
      </c>
    </row>
    <row r="1927">
      <c r="A1927" s="19">
        <v>44162.0</v>
      </c>
      <c r="B1927" s="23">
        <v>1.0765E7</v>
      </c>
      <c r="C1927" s="23">
        <f t="shared" si="1"/>
        <v>2840190.411</v>
      </c>
      <c r="D1927" s="18">
        <f>IF(A1927="","",MATCH(A1927,Calculation!B$2:B9627,1))</f>
        <v>1</v>
      </c>
      <c r="E1927" s="23">
        <f t="array" ref="E1927">IF(D1927="","",IF(D1927=1,0,INDEX(Calculation!Q$2:Q9627,D1927-1)))</f>
        <v>0</v>
      </c>
      <c r="F1927" s="23">
        <f t="array" ref="F1927">IF($A1927="","",
  LET(
    r, $D1927,
    startD, INDEX(Calculation!B$2:B9627, r),
    endD,   INDEX(Calculation!C$2:C9627, r),
    asOf,   MIN($A1927,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2840190.411</v>
      </c>
    </row>
    <row r="1928">
      <c r="A1928" s="19">
        <v>44163.0</v>
      </c>
      <c r="B1928" s="23">
        <v>1.0765E7</v>
      </c>
      <c r="C1928" s="23">
        <f t="shared" si="1"/>
        <v>2841665.068</v>
      </c>
      <c r="D1928" s="18">
        <f>IF(A1928="","",MATCH(A1928,Calculation!B$2:B9627,1))</f>
        <v>1</v>
      </c>
      <c r="E1928" s="23">
        <f t="array" ref="E1928">IF(D1928="","",IF(D1928=1,0,INDEX(Calculation!Q$2:Q9627,D1928-1)))</f>
        <v>0</v>
      </c>
      <c r="F1928" s="23">
        <f t="array" ref="F1928">IF($A1928="","",
  LET(
    r, $D1928,
    startD, INDEX(Calculation!B$2:B9627, r),
    endD,   INDEX(Calculation!C$2:C9627, r),
    asOf,   MIN($A1928,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2841665.068</v>
      </c>
    </row>
    <row r="1929">
      <c r="A1929" s="19">
        <v>44164.0</v>
      </c>
      <c r="B1929" s="23">
        <v>1.0765E7</v>
      </c>
      <c r="C1929" s="23">
        <f t="shared" si="1"/>
        <v>2843139.726</v>
      </c>
      <c r="D1929" s="18">
        <f>IF(A1929="","",MATCH(A1929,Calculation!B$2:B9627,1))</f>
        <v>1</v>
      </c>
      <c r="E1929" s="23">
        <f t="array" ref="E1929">IF(D1929="","",IF(D1929=1,0,INDEX(Calculation!Q$2:Q9627,D1929-1)))</f>
        <v>0</v>
      </c>
      <c r="F1929" s="23">
        <f t="array" ref="F1929">IF($A1929="","",
  LET(
    r, $D1929,
    startD, INDEX(Calculation!B$2:B9627, r),
    endD,   INDEX(Calculation!C$2:C9627, r),
    asOf,   MIN($A1929,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2843139.726</v>
      </c>
    </row>
    <row r="1930">
      <c r="A1930" s="19">
        <v>44165.0</v>
      </c>
      <c r="B1930" s="23">
        <v>1.0765E7</v>
      </c>
      <c r="C1930" s="23">
        <f t="shared" si="1"/>
        <v>2844614.384</v>
      </c>
      <c r="D1930" s="18">
        <f>IF(A1930="","",MATCH(A1930,Calculation!B$2:B9627,1))</f>
        <v>1</v>
      </c>
      <c r="E1930" s="23">
        <f t="array" ref="E1930">IF(D1930="","",IF(D1930=1,0,INDEX(Calculation!Q$2:Q9627,D1930-1)))</f>
        <v>0</v>
      </c>
      <c r="F1930" s="23">
        <f t="array" ref="F1930">IF($A1930="","",
  LET(
    r, $D1930,
    startD, INDEX(Calculation!B$2:B9627, r),
    endD,   INDEX(Calculation!C$2:C9627, r),
    asOf,   MIN($A1930,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2844614.384</v>
      </c>
    </row>
    <row r="1931">
      <c r="A1931" s="19">
        <v>44166.0</v>
      </c>
      <c r="B1931" s="23">
        <v>1.0765E7</v>
      </c>
      <c r="C1931" s="23">
        <f t="shared" si="1"/>
        <v>2846089.041</v>
      </c>
      <c r="D1931" s="18">
        <f>IF(A1931="","",MATCH(A1931,Calculation!B$2:B9627,1))</f>
        <v>1</v>
      </c>
      <c r="E1931" s="23">
        <f t="array" ref="E1931">IF(D1931="","",IF(D1931=1,0,INDEX(Calculation!Q$2:Q9627,D1931-1)))</f>
        <v>0</v>
      </c>
      <c r="F1931" s="23">
        <f t="array" ref="F1931">IF($A1931="","",
  LET(
    r, $D1931,
    startD, INDEX(Calculation!B$2:B9627, r),
    endD,   INDEX(Calculation!C$2:C9627, r),
    asOf,   MIN($A1931,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2846089.041</v>
      </c>
    </row>
    <row r="1932">
      <c r="A1932" s="19">
        <v>44167.0</v>
      </c>
      <c r="B1932" s="23">
        <v>1.0765E7</v>
      </c>
      <c r="C1932" s="23">
        <f t="shared" si="1"/>
        <v>2847563.699</v>
      </c>
      <c r="D1932" s="18">
        <f>IF(A1932="","",MATCH(A1932,Calculation!B$2:B9627,1))</f>
        <v>1</v>
      </c>
      <c r="E1932" s="23">
        <f t="array" ref="E1932">IF(D1932="","",IF(D1932=1,0,INDEX(Calculation!Q$2:Q9627,D1932-1)))</f>
        <v>0</v>
      </c>
      <c r="F1932" s="23">
        <f t="array" ref="F1932">IF($A1932="","",
  LET(
    r, $D1932,
    startD, INDEX(Calculation!B$2:B9627, r),
    endD,   INDEX(Calculation!C$2:C9627, r),
    asOf,   MIN($A1932,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2847563.699</v>
      </c>
    </row>
    <row r="1933">
      <c r="A1933" s="19">
        <v>44168.0</v>
      </c>
      <c r="B1933" s="23">
        <v>1.0765E7</v>
      </c>
      <c r="C1933" s="23">
        <f t="shared" si="1"/>
        <v>2849038.356</v>
      </c>
      <c r="D1933" s="18">
        <f>IF(A1933="","",MATCH(A1933,Calculation!B$2:B9627,1))</f>
        <v>1</v>
      </c>
      <c r="E1933" s="23">
        <f t="array" ref="E1933">IF(D1933="","",IF(D1933=1,0,INDEX(Calculation!Q$2:Q9627,D1933-1)))</f>
        <v>0</v>
      </c>
      <c r="F1933" s="23">
        <f t="array" ref="F1933">IF($A1933="","",
  LET(
    r, $D1933,
    startD, INDEX(Calculation!B$2:B9627, r),
    endD,   INDEX(Calculation!C$2:C9627, r),
    asOf,   MIN($A1933,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2849038.356</v>
      </c>
    </row>
    <row r="1934">
      <c r="A1934" s="19">
        <v>44169.0</v>
      </c>
      <c r="B1934" s="23">
        <v>1.0765E7</v>
      </c>
      <c r="C1934" s="23">
        <f t="shared" si="1"/>
        <v>2850513.014</v>
      </c>
      <c r="D1934" s="18">
        <f>IF(A1934="","",MATCH(A1934,Calculation!B$2:B9627,1))</f>
        <v>1</v>
      </c>
      <c r="E1934" s="23">
        <f t="array" ref="E1934">IF(D1934="","",IF(D1934=1,0,INDEX(Calculation!Q$2:Q9627,D1934-1)))</f>
        <v>0</v>
      </c>
      <c r="F1934" s="23">
        <f t="array" ref="F1934">IF($A1934="","",
  LET(
    r, $D1934,
    startD, INDEX(Calculation!B$2:B9627, r),
    endD,   INDEX(Calculation!C$2:C9627, r),
    asOf,   MIN($A1934,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2850513.014</v>
      </c>
    </row>
    <row r="1935">
      <c r="A1935" s="19">
        <v>44170.0</v>
      </c>
      <c r="B1935" s="23">
        <v>1.0765E7</v>
      </c>
      <c r="C1935" s="23">
        <f t="shared" si="1"/>
        <v>2851987.671</v>
      </c>
      <c r="D1935" s="18">
        <f>IF(A1935="","",MATCH(A1935,Calculation!B$2:B9627,1))</f>
        <v>1</v>
      </c>
      <c r="E1935" s="23">
        <f t="array" ref="E1935">IF(D1935="","",IF(D1935=1,0,INDEX(Calculation!Q$2:Q9627,D1935-1)))</f>
        <v>0</v>
      </c>
      <c r="F1935" s="23">
        <f t="array" ref="F1935">IF($A1935="","",
  LET(
    r, $D1935,
    startD, INDEX(Calculation!B$2:B9627, r),
    endD,   INDEX(Calculation!C$2:C9627, r),
    asOf,   MIN($A1935,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2851987.671</v>
      </c>
    </row>
    <row r="1936">
      <c r="A1936" s="19">
        <v>44171.0</v>
      </c>
      <c r="B1936" s="23">
        <v>1.0765E7</v>
      </c>
      <c r="C1936" s="23">
        <f t="shared" si="1"/>
        <v>2853462.329</v>
      </c>
      <c r="D1936" s="18">
        <f>IF(A1936="","",MATCH(A1936,Calculation!B$2:B9627,1))</f>
        <v>1</v>
      </c>
      <c r="E1936" s="23">
        <f t="array" ref="E1936">IF(D1936="","",IF(D1936=1,0,INDEX(Calculation!Q$2:Q9627,D1936-1)))</f>
        <v>0</v>
      </c>
      <c r="F1936" s="23">
        <f t="array" ref="F1936">IF($A1936="","",
  LET(
    r, $D1936,
    startD, INDEX(Calculation!B$2:B9627, r),
    endD,   INDEX(Calculation!C$2:C9627, r),
    asOf,   MIN($A1936,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2853462.329</v>
      </c>
    </row>
    <row r="1937">
      <c r="A1937" s="19">
        <v>44172.0</v>
      </c>
      <c r="B1937" s="23">
        <v>1.0765E7</v>
      </c>
      <c r="C1937" s="23">
        <f t="shared" si="1"/>
        <v>2854936.986</v>
      </c>
      <c r="D1937" s="18">
        <f>IF(A1937="","",MATCH(A1937,Calculation!B$2:B9627,1))</f>
        <v>1</v>
      </c>
      <c r="E1937" s="23">
        <f t="array" ref="E1937">IF(D1937="","",IF(D1937=1,0,INDEX(Calculation!Q$2:Q9627,D1937-1)))</f>
        <v>0</v>
      </c>
      <c r="F1937" s="23">
        <f t="array" ref="F1937">IF($A1937="","",
  LET(
    r, $D1937,
    startD, INDEX(Calculation!B$2:B9627, r),
    endD,   INDEX(Calculation!C$2:C9627, r),
    asOf,   MIN($A1937,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2854936.986</v>
      </c>
    </row>
    <row r="1938">
      <c r="A1938" s="19">
        <v>44173.0</v>
      </c>
      <c r="B1938" s="23">
        <v>1.0765E7</v>
      </c>
      <c r="C1938" s="23">
        <f t="shared" si="1"/>
        <v>2856411.644</v>
      </c>
      <c r="D1938" s="18">
        <f>IF(A1938="","",MATCH(A1938,Calculation!B$2:B9627,1))</f>
        <v>1</v>
      </c>
      <c r="E1938" s="23">
        <f t="array" ref="E1938">IF(D1938="","",IF(D1938=1,0,INDEX(Calculation!Q$2:Q9627,D1938-1)))</f>
        <v>0</v>
      </c>
      <c r="F1938" s="23">
        <f t="array" ref="F1938">IF($A1938="","",
  LET(
    r, $D1938,
    startD, INDEX(Calculation!B$2:B9627, r),
    endD,   INDEX(Calculation!C$2:C9627, r),
    asOf,   MIN($A1938,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2856411.644</v>
      </c>
    </row>
    <row r="1939">
      <c r="A1939" s="19">
        <v>44174.0</v>
      </c>
      <c r="B1939" s="23">
        <v>1.0765E7</v>
      </c>
      <c r="C1939" s="23">
        <f t="shared" si="1"/>
        <v>2857886.301</v>
      </c>
      <c r="D1939" s="18">
        <f>IF(A1939="","",MATCH(A1939,Calculation!B$2:B9627,1))</f>
        <v>1</v>
      </c>
      <c r="E1939" s="23">
        <f t="array" ref="E1939">IF(D1939="","",IF(D1939=1,0,INDEX(Calculation!Q$2:Q9627,D1939-1)))</f>
        <v>0</v>
      </c>
      <c r="F1939" s="23">
        <f t="array" ref="F1939">IF($A1939="","",
  LET(
    r, $D1939,
    startD, INDEX(Calculation!B$2:B9627, r),
    endD,   INDEX(Calculation!C$2:C9627, r),
    asOf,   MIN($A1939,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2857886.301</v>
      </c>
    </row>
    <row r="1940">
      <c r="A1940" s="19">
        <v>44175.0</v>
      </c>
      <c r="B1940" s="23">
        <v>1.0765E7</v>
      </c>
      <c r="C1940" s="23">
        <f t="shared" si="1"/>
        <v>2859360.959</v>
      </c>
      <c r="D1940" s="18">
        <f>IF(A1940="","",MATCH(A1940,Calculation!B$2:B9627,1))</f>
        <v>1</v>
      </c>
      <c r="E1940" s="23">
        <f t="array" ref="E1940">IF(D1940="","",IF(D1940=1,0,INDEX(Calculation!Q$2:Q9627,D1940-1)))</f>
        <v>0</v>
      </c>
      <c r="F1940" s="23">
        <f t="array" ref="F1940">IF($A1940="","",
  LET(
    r, $D1940,
    startD, INDEX(Calculation!B$2:B9627, r),
    endD,   INDEX(Calculation!C$2:C9627, r),
    asOf,   MIN($A1940,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2859360.959</v>
      </c>
    </row>
    <row r="1941">
      <c r="A1941" s="19">
        <v>44176.0</v>
      </c>
      <c r="B1941" s="23">
        <v>1.0765E7</v>
      </c>
      <c r="C1941" s="23">
        <f t="shared" si="1"/>
        <v>2860835.616</v>
      </c>
      <c r="D1941" s="18">
        <f>IF(A1941="","",MATCH(A1941,Calculation!B$2:B9627,1))</f>
        <v>1</v>
      </c>
      <c r="E1941" s="23">
        <f t="array" ref="E1941">IF(D1941="","",IF(D1941=1,0,INDEX(Calculation!Q$2:Q9627,D1941-1)))</f>
        <v>0</v>
      </c>
      <c r="F1941" s="23">
        <f t="array" ref="F1941">IF($A1941="","",
  LET(
    r, $D1941,
    startD, INDEX(Calculation!B$2:B9627, r),
    endD,   INDEX(Calculation!C$2:C9627, r),
    asOf,   MIN($A1941,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2860835.616</v>
      </c>
    </row>
    <row r="1942">
      <c r="A1942" s="19">
        <v>44177.0</v>
      </c>
      <c r="B1942" s="23">
        <v>1.0765E7</v>
      </c>
      <c r="C1942" s="23">
        <f t="shared" si="1"/>
        <v>2862310.274</v>
      </c>
      <c r="D1942" s="18">
        <f>IF(A1942="","",MATCH(A1942,Calculation!B$2:B9627,1))</f>
        <v>1</v>
      </c>
      <c r="E1942" s="23">
        <f t="array" ref="E1942">IF(D1942="","",IF(D1942=1,0,INDEX(Calculation!Q$2:Q9627,D1942-1)))</f>
        <v>0</v>
      </c>
      <c r="F1942" s="23">
        <f t="array" ref="F1942">IF($A1942="","",
  LET(
    r, $D1942,
    startD, INDEX(Calculation!B$2:B9627, r),
    endD,   INDEX(Calculation!C$2:C9627, r),
    asOf,   MIN($A1942,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2862310.274</v>
      </c>
    </row>
    <row r="1943">
      <c r="A1943" s="19">
        <v>44178.0</v>
      </c>
      <c r="B1943" s="23">
        <v>1.0765E7</v>
      </c>
      <c r="C1943" s="23">
        <f t="shared" si="1"/>
        <v>2863784.932</v>
      </c>
      <c r="D1943" s="18">
        <f>IF(A1943="","",MATCH(A1943,Calculation!B$2:B9627,1))</f>
        <v>1</v>
      </c>
      <c r="E1943" s="23">
        <f t="array" ref="E1943">IF(D1943="","",IF(D1943=1,0,INDEX(Calculation!Q$2:Q9627,D1943-1)))</f>
        <v>0</v>
      </c>
      <c r="F1943" s="23">
        <f t="array" ref="F1943">IF($A1943="","",
  LET(
    r, $D1943,
    startD, INDEX(Calculation!B$2:B9627, r),
    endD,   INDEX(Calculation!C$2:C9627, r),
    asOf,   MIN($A1943,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2863784.932</v>
      </c>
    </row>
    <row r="1944">
      <c r="A1944" s="19">
        <v>44179.0</v>
      </c>
      <c r="B1944" s="23">
        <v>1.0765E7</v>
      </c>
      <c r="C1944" s="23">
        <f t="shared" si="1"/>
        <v>2865259.589</v>
      </c>
      <c r="D1944" s="18">
        <f>IF(A1944="","",MATCH(A1944,Calculation!B$2:B9627,1))</f>
        <v>1</v>
      </c>
      <c r="E1944" s="23">
        <f t="array" ref="E1944">IF(D1944="","",IF(D1944=1,0,INDEX(Calculation!Q$2:Q9627,D1944-1)))</f>
        <v>0</v>
      </c>
      <c r="F1944" s="23">
        <f t="array" ref="F1944">IF($A1944="","",
  LET(
    r, $D1944,
    startD, INDEX(Calculation!B$2:B9627, r),
    endD,   INDEX(Calculation!C$2:C9627, r),
    asOf,   MIN($A1944,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2865259.589</v>
      </c>
    </row>
    <row r="1945">
      <c r="A1945" s="19">
        <v>44180.0</v>
      </c>
      <c r="B1945" s="23">
        <v>1.0765E7</v>
      </c>
      <c r="C1945" s="23">
        <f t="shared" si="1"/>
        <v>2866734.247</v>
      </c>
      <c r="D1945" s="18">
        <f>IF(A1945="","",MATCH(A1945,Calculation!B$2:B9627,1))</f>
        <v>1</v>
      </c>
      <c r="E1945" s="23">
        <f t="array" ref="E1945">IF(D1945="","",IF(D1945=1,0,INDEX(Calculation!Q$2:Q9627,D1945-1)))</f>
        <v>0</v>
      </c>
      <c r="F1945" s="23">
        <f t="array" ref="F1945">IF($A1945="","",
  LET(
    r, $D1945,
    startD, INDEX(Calculation!B$2:B9627, r),
    endD,   INDEX(Calculation!C$2:C9627, r),
    asOf,   MIN($A1945,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2866734.247</v>
      </c>
    </row>
    <row r="1946">
      <c r="A1946" s="19">
        <v>44181.0</v>
      </c>
      <c r="B1946" s="23">
        <v>1.0765E7</v>
      </c>
      <c r="C1946" s="23">
        <f t="shared" si="1"/>
        <v>2868208.904</v>
      </c>
      <c r="D1946" s="18">
        <f>IF(A1946="","",MATCH(A1946,Calculation!B$2:B9627,1))</f>
        <v>1</v>
      </c>
      <c r="E1946" s="23">
        <f t="array" ref="E1946">IF(D1946="","",IF(D1946=1,0,INDEX(Calculation!Q$2:Q9627,D1946-1)))</f>
        <v>0</v>
      </c>
      <c r="F1946" s="23">
        <f t="array" ref="F1946">IF($A1946="","",
  LET(
    r, $D1946,
    startD, INDEX(Calculation!B$2:B9627, r),
    endD,   INDEX(Calculation!C$2:C9627, r),
    asOf,   MIN($A1946,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2868208.904</v>
      </c>
    </row>
    <row r="1947">
      <c r="A1947" s="19">
        <v>44182.0</v>
      </c>
      <c r="B1947" s="23">
        <v>1.0765E7</v>
      </c>
      <c r="C1947" s="23">
        <f t="shared" si="1"/>
        <v>2869683.562</v>
      </c>
      <c r="D1947" s="18">
        <f>IF(A1947="","",MATCH(A1947,Calculation!B$2:B9627,1))</f>
        <v>1</v>
      </c>
      <c r="E1947" s="23">
        <f t="array" ref="E1947">IF(D1947="","",IF(D1947=1,0,INDEX(Calculation!Q$2:Q9627,D1947-1)))</f>
        <v>0</v>
      </c>
      <c r="F1947" s="23">
        <f t="array" ref="F1947">IF($A1947="","",
  LET(
    r, $D1947,
    startD, INDEX(Calculation!B$2:B9627, r),
    endD,   INDEX(Calculation!C$2:C9627, r),
    asOf,   MIN($A1947,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2869683.562</v>
      </c>
    </row>
    <row r="1948">
      <c r="A1948" s="19">
        <v>44183.0</v>
      </c>
      <c r="B1948" s="23">
        <v>1.0765E7</v>
      </c>
      <c r="C1948" s="23">
        <f t="shared" si="1"/>
        <v>2871158.219</v>
      </c>
      <c r="D1948" s="18">
        <f>IF(A1948="","",MATCH(A1948,Calculation!B$2:B9627,1))</f>
        <v>1</v>
      </c>
      <c r="E1948" s="23">
        <f t="array" ref="E1948">IF(D1948="","",IF(D1948=1,0,INDEX(Calculation!Q$2:Q9627,D1948-1)))</f>
        <v>0</v>
      </c>
      <c r="F1948" s="23">
        <f t="array" ref="F1948">IF($A1948="","",
  LET(
    r, $D1948,
    startD, INDEX(Calculation!B$2:B9627, r),
    endD,   INDEX(Calculation!C$2:C9627, r),
    asOf,   MIN($A1948,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2871158.219</v>
      </c>
    </row>
    <row r="1949">
      <c r="A1949" s="19">
        <v>44184.0</v>
      </c>
      <c r="B1949" s="23">
        <v>1.0765E7</v>
      </c>
      <c r="C1949" s="23">
        <f t="shared" si="1"/>
        <v>2872632.877</v>
      </c>
      <c r="D1949" s="18">
        <f>IF(A1949="","",MATCH(A1949,Calculation!B$2:B9627,1))</f>
        <v>1</v>
      </c>
      <c r="E1949" s="23">
        <f t="array" ref="E1949">IF(D1949="","",IF(D1949=1,0,INDEX(Calculation!Q$2:Q9627,D1949-1)))</f>
        <v>0</v>
      </c>
      <c r="F1949" s="23">
        <f t="array" ref="F1949">IF($A1949="","",
  LET(
    r, $D1949,
    startD, INDEX(Calculation!B$2:B9627, r),
    endD,   INDEX(Calculation!C$2:C9627, r),
    asOf,   MIN($A1949,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2872632.877</v>
      </c>
    </row>
    <row r="1950">
      <c r="A1950" s="19">
        <v>44185.0</v>
      </c>
      <c r="B1950" s="23">
        <v>1.0765E7</v>
      </c>
      <c r="C1950" s="23">
        <f t="shared" si="1"/>
        <v>2874107.534</v>
      </c>
      <c r="D1950" s="18">
        <f>IF(A1950="","",MATCH(A1950,Calculation!B$2:B9627,1))</f>
        <v>1</v>
      </c>
      <c r="E1950" s="23">
        <f t="array" ref="E1950">IF(D1950="","",IF(D1950=1,0,INDEX(Calculation!Q$2:Q9627,D1950-1)))</f>
        <v>0</v>
      </c>
      <c r="F1950" s="23">
        <f t="array" ref="F1950">IF($A1950="","",
  LET(
    r, $D1950,
    startD, INDEX(Calculation!B$2:B9627, r),
    endD,   INDEX(Calculation!C$2:C9627, r),
    asOf,   MIN($A1950,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2874107.534</v>
      </c>
    </row>
    <row r="1951">
      <c r="A1951" s="19">
        <v>44186.0</v>
      </c>
      <c r="B1951" s="23">
        <v>1.0765E7</v>
      </c>
      <c r="C1951" s="23">
        <f t="shared" si="1"/>
        <v>2875582.192</v>
      </c>
      <c r="D1951" s="18">
        <f>IF(A1951="","",MATCH(A1951,Calculation!B$2:B9627,1))</f>
        <v>1</v>
      </c>
      <c r="E1951" s="23">
        <f t="array" ref="E1951">IF(D1951="","",IF(D1951=1,0,INDEX(Calculation!Q$2:Q9627,D1951-1)))</f>
        <v>0</v>
      </c>
      <c r="F1951" s="23">
        <f t="array" ref="F1951">IF($A1951="","",
  LET(
    r, $D1951,
    startD, INDEX(Calculation!B$2:B9627, r),
    endD,   INDEX(Calculation!C$2:C9627, r),
    asOf,   MIN($A1951,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2875582.192</v>
      </c>
    </row>
    <row r="1952">
      <c r="A1952" s="19">
        <v>44187.0</v>
      </c>
      <c r="B1952" s="23">
        <v>1.0765E7</v>
      </c>
      <c r="C1952" s="23">
        <f t="shared" si="1"/>
        <v>2877056.849</v>
      </c>
      <c r="D1952" s="18">
        <f>IF(A1952="","",MATCH(A1952,Calculation!B$2:B9627,1))</f>
        <v>1</v>
      </c>
      <c r="E1952" s="23">
        <f t="array" ref="E1952">IF(D1952="","",IF(D1952=1,0,INDEX(Calculation!Q$2:Q9627,D1952-1)))</f>
        <v>0</v>
      </c>
      <c r="F1952" s="23">
        <f t="array" ref="F1952">IF($A1952="","",
  LET(
    r, $D1952,
    startD, INDEX(Calculation!B$2:B9627, r),
    endD,   INDEX(Calculation!C$2:C9627, r),
    asOf,   MIN($A1952,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2877056.849</v>
      </c>
    </row>
    <row r="1953">
      <c r="A1953" s="19">
        <v>44188.0</v>
      </c>
      <c r="B1953" s="23">
        <v>1.0765E7</v>
      </c>
      <c r="C1953" s="23">
        <f t="shared" si="1"/>
        <v>2878531.507</v>
      </c>
      <c r="D1953" s="18">
        <f>IF(A1953="","",MATCH(A1953,Calculation!B$2:B9627,1))</f>
        <v>1</v>
      </c>
      <c r="E1953" s="23">
        <f t="array" ref="E1953">IF(D1953="","",IF(D1953=1,0,INDEX(Calculation!Q$2:Q9627,D1953-1)))</f>
        <v>0</v>
      </c>
      <c r="F1953" s="23">
        <f t="array" ref="F1953">IF($A1953="","",
  LET(
    r, $D1953,
    startD, INDEX(Calculation!B$2:B9627, r),
    endD,   INDEX(Calculation!C$2:C9627, r),
    asOf,   MIN($A1953,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2878531.507</v>
      </c>
    </row>
    <row r="1954">
      <c r="A1954" s="19">
        <v>44189.0</v>
      </c>
      <c r="B1954" s="23">
        <v>1.0765E7</v>
      </c>
      <c r="C1954" s="23">
        <f t="shared" si="1"/>
        <v>2880006.164</v>
      </c>
      <c r="D1954" s="18">
        <f>IF(A1954="","",MATCH(A1954,Calculation!B$2:B9627,1))</f>
        <v>1</v>
      </c>
      <c r="E1954" s="23">
        <f t="array" ref="E1954">IF(D1954="","",IF(D1954=1,0,INDEX(Calculation!Q$2:Q9627,D1954-1)))</f>
        <v>0</v>
      </c>
      <c r="F1954" s="23">
        <f t="array" ref="F1954">IF($A1954="","",
  LET(
    r, $D1954,
    startD, INDEX(Calculation!B$2:B9627, r),
    endD,   INDEX(Calculation!C$2:C9627, r),
    asOf,   MIN($A1954,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2880006.164</v>
      </c>
    </row>
    <row r="1955">
      <c r="A1955" s="19">
        <v>44190.0</v>
      </c>
      <c r="B1955" s="23">
        <v>1.0765E7</v>
      </c>
      <c r="C1955" s="23">
        <f t="shared" si="1"/>
        <v>2881480.822</v>
      </c>
      <c r="D1955" s="18">
        <f>IF(A1955="","",MATCH(A1955,Calculation!B$2:B9627,1))</f>
        <v>1</v>
      </c>
      <c r="E1955" s="23">
        <f t="array" ref="E1955">IF(D1955="","",IF(D1955=1,0,INDEX(Calculation!Q$2:Q9627,D1955-1)))</f>
        <v>0</v>
      </c>
      <c r="F1955" s="23">
        <f t="array" ref="F1955">IF($A1955="","",
  LET(
    r, $D1955,
    startD, INDEX(Calculation!B$2:B9627, r),
    endD,   INDEX(Calculation!C$2:C9627, r),
    asOf,   MIN($A1955,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2881480.822</v>
      </c>
    </row>
    <row r="1956">
      <c r="A1956" s="19">
        <v>44191.0</v>
      </c>
      <c r="B1956" s="23">
        <v>1.0765E7</v>
      </c>
      <c r="C1956" s="23">
        <f t="shared" si="1"/>
        <v>2882955.479</v>
      </c>
      <c r="D1956" s="18">
        <f>IF(A1956="","",MATCH(A1956,Calculation!B$2:B9627,1))</f>
        <v>1</v>
      </c>
      <c r="E1956" s="23">
        <f t="array" ref="E1956">IF(D1956="","",IF(D1956=1,0,INDEX(Calculation!Q$2:Q9627,D1956-1)))</f>
        <v>0</v>
      </c>
      <c r="F1956" s="23">
        <f t="array" ref="F1956">IF($A1956="","",
  LET(
    r, $D1956,
    startD, INDEX(Calculation!B$2:B9627, r),
    endD,   INDEX(Calculation!C$2:C9627, r),
    asOf,   MIN($A1956,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2882955.479</v>
      </c>
    </row>
    <row r="1957">
      <c r="A1957" s="19">
        <v>44192.0</v>
      </c>
      <c r="B1957" s="23">
        <v>1.0765E7</v>
      </c>
      <c r="C1957" s="23">
        <f t="shared" si="1"/>
        <v>2884430.137</v>
      </c>
      <c r="D1957" s="18">
        <f>IF(A1957="","",MATCH(A1957,Calculation!B$2:B9627,1))</f>
        <v>1</v>
      </c>
      <c r="E1957" s="23">
        <f t="array" ref="E1957">IF(D1957="","",IF(D1957=1,0,INDEX(Calculation!Q$2:Q9627,D1957-1)))</f>
        <v>0</v>
      </c>
      <c r="F1957" s="23">
        <f t="array" ref="F1957">IF($A1957="","",
  LET(
    r, $D1957,
    startD, INDEX(Calculation!B$2:B9627, r),
    endD,   INDEX(Calculation!C$2:C9627, r),
    asOf,   MIN($A1957,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2884430.137</v>
      </c>
    </row>
    <row r="1958">
      <c r="A1958" s="19">
        <v>44193.0</v>
      </c>
      <c r="B1958" s="23">
        <v>1.0765E7</v>
      </c>
      <c r="C1958" s="23">
        <f t="shared" si="1"/>
        <v>2885904.795</v>
      </c>
      <c r="D1958" s="18">
        <f>IF(A1958="","",MATCH(A1958,Calculation!B$2:B9627,1))</f>
        <v>1</v>
      </c>
      <c r="E1958" s="23">
        <f t="array" ref="E1958">IF(D1958="","",IF(D1958=1,0,INDEX(Calculation!Q$2:Q9627,D1958-1)))</f>
        <v>0</v>
      </c>
      <c r="F1958" s="23">
        <f t="array" ref="F1958">IF($A1958="","",
  LET(
    r, $D1958,
    startD, INDEX(Calculation!B$2:B9627, r),
    endD,   INDEX(Calculation!C$2:C9627, r),
    asOf,   MIN($A1958,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2885904.795</v>
      </c>
    </row>
    <row r="1959">
      <c r="A1959" s="19">
        <v>44194.0</v>
      </c>
      <c r="B1959" s="23">
        <v>1.0765E7</v>
      </c>
      <c r="C1959" s="23">
        <f t="shared" si="1"/>
        <v>2887379.452</v>
      </c>
      <c r="D1959" s="18">
        <f>IF(A1959="","",MATCH(A1959,Calculation!B$2:B9627,1))</f>
        <v>1</v>
      </c>
      <c r="E1959" s="23">
        <f t="array" ref="E1959">IF(D1959="","",IF(D1959=1,0,INDEX(Calculation!Q$2:Q9627,D1959-1)))</f>
        <v>0</v>
      </c>
      <c r="F1959" s="23">
        <f t="array" ref="F1959">IF($A1959="","",
  LET(
    r, $D1959,
    startD, INDEX(Calculation!B$2:B9627, r),
    endD,   INDEX(Calculation!C$2:C9627, r),
    asOf,   MIN($A1959,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2887379.452</v>
      </c>
    </row>
    <row r="1960">
      <c r="A1960" s="19">
        <v>44195.0</v>
      </c>
      <c r="B1960" s="23">
        <v>1.0765E7</v>
      </c>
      <c r="C1960" s="23">
        <f t="shared" si="1"/>
        <v>2888854.11</v>
      </c>
      <c r="D1960" s="18">
        <f>IF(A1960="","",MATCH(A1960,Calculation!B$2:B9627,1))</f>
        <v>1</v>
      </c>
      <c r="E1960" s="23">
        <f t="array" ref="E1960">IF(D1960="","",IF(D1960=1,0,INDEX(Calculation!Q$2:Q9627,D1960-1)))</f>
        <v>0</v>
      </c>
      <c r="F1960" s="23">
        <f t="array" ref="F1960">IF($A1960="","",
  LET(
    r, $D1960,
    startD, INDEX(Calculation!B$2:B9627, r),
    endD,   INDEX(Calculation!C$2:C9627, r),
    asOf,   MIN($A1960,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2888854.11</v>
      </c>
    </row>
    <row r="1961">
      <c r="A1961" s="19">
        <v>44196.0</v>
      </c>
      <c r="B1961" s="23">
        <v>1.0765E7</v>
      </c>
      <c r="C1961" s="23">
        <f t="shared" si="1"/>
        <v>2890328.767</v>
      </c>
      <c r="D1961" s="18">
        <f>IF(A1961="","",MATCH(A1961,Calculation!B$2:B9627,1))</f>
        <v>1</v>
      </c>
      <c r="E1961" s="23">
        <f t="array" ref="E1961">IF(D1961="","",IF(D1961=1,0,INDEX(Calculation!Q$2:Q9627,D1961-1)))</f>
        <v>0</v>
      </c>
      <c r="F1961" s="23">
        <f t="array" ref="F1961">IF($A1961="","",
  LET(
    r, $D1961,
    startD, INDEX(Calculation!B$2:B9627, r),
    endD,   INDEX(Calculation!C$2:C9627, r),
    asOf,   MIN($A1961,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2890328.767</v>
      </c>
    </row>
    <row r="1962">
      <c r="A1962" s="19">
        <v>44197.0</v>
      </c>
      <c r="B1962" s="23">
        <v>1.0765E7</v>
      </c>
      <c r="C1962" s="23">
        <f t="shared" si="1"/>
        <v>2891803.425</v>
      </c>
      <c r="D1962" s="18">
        <f>IF(A1962="","",MATCH(A1962,Calculation!B$2:B9627,1))</f>
        <v>1</v>
      </c>
      <c r="E1962" s="23">
        <f t="array" ref="E1962">IF(D1962="","",IF(D1962=1,0,INDEX(Calculation!Q$2:Q9627,D1962-1)))</f>
        <v>0</v>
      </c>
      <c r="F1962" s="23">
        <f t="array" ref="F1962">IF($A1962="","",
  LET(
    r, $D1962,
    startD, INDEX(Calculation!B$2:B9627, r),
    endD,   INDEX(Calculation!C$2:C9627, r),
    asOf,   MIN($A1962,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2891803.425</v>
      </c>
    </row>
    <row r="1963">
      <c r="A1963" s="19">
        <v>44198.0</v>
      </c>
      <c r="B1963" s="23">
        <v>1.0765E7</v>
      </c>
      <c r="C1963" s="23">
        <f t="shared" si="1"/>
        <v>2893278.082</v>
      </c>
      <c r="D1963" s="18">
        <f>IF(A1963="","",MATCH(A1963,Calculation!B$2:B9627,1))</f>
        <v>1</v>
      </c>
      <c r="E1963" s="23">
        <f t="array" ref="E1963">IF(D1963="","",IF(D1963=1,0,INDEX(Calculation!Q$2:Q9627,D1963-1)))</f>
        <v>0</v>
      </c>
      <c r="F1963" s="23">
        <f t="array" ref="F1963">IF($A1963="","",
  LET(
    r, $D1963,
    startD, INDEX(Calculation!B$2:B9627, r),
    endD,   INDEX(Calculation!C$2:C9627, r),
    asOf,   MIN($A1963,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2893278.082</v>
      </c>
    </row>
    <row r="1964">
      <c r="A1964" s="19">
        <v>44199.0</v>
      </c>
      <c r="B1964" s="23">
        <v>1.0765E7</v>
      </c>
      <c r="C1964" s="23">
        <f t="shared" si="1"/>
        <v>2894752.74</v>
      </c>
      <c r="D1964" s="18">
        <f>IF(A1964="","",MATCH(A1964,Calculation!B$2:B9627,1))</f>
        <v>1</v>
      </c>
      <c r="E1964" s="23">
        <f t="array" ref="E1964">IF(D1964="","",IF(D1964=1,0,INDEX(Calculation!Q$2:Q9627,D1964-1)))</f>
        <v>0</v>
      </c>
      <c r="F1964" s="23">
        <f t="array" ref="F1964">IF($A1964="","",
  LET(
    r, $D1964,
    startD, INDEX(Calculation!B$2:B9627, r),
    endD,   INDEX(Calculation!C$2:C9627, r),
    asOf,   MIN($A1964,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2894752.74</v>
      </c>
    </row>
    <row r="1965">
      <c r="A1965" s="19">
        <v>44200.0</v>
      </c>
      <c r="B1965" s="23">
        <v>1.0765E7</v>
      </c>
      <c r="C1965" s="23">
        <f t="shared" si="1"/>
        <v>2896227.397</v>
      </c>
      <c r="D1965" s="18">
        <f>IF(A1965="","",MATCH(A1965,Calculation!B$2:B9627,1))</f>
        <v>1</v>
      </c>
      <c r="E1965" s="23">
        <f t="array" ref="E1965">IF(D1965="","",IF(D1965=1,0,INDEX(Calculation!Q$2:Q9627,D1965-1)))</f>
        <v>0</v>
      </c>
      <c r="F1965" s="23">
        <f t="array" ref="F1965">IF($A1965="","",
  LET(
    r, $D1965,
    startD, INDEX(Calculation!B$2:B9627, r),
    endD,   INDEX(Calculation!C$2:C9627, r),
    asOf,   MIN($A1965,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2896227.397</v>
      </c>
    </row>
    <row r="1966">
      <c r="A1966" s="19">
        <v>44201.0</v>
      </c>
      <c r="B1966" s="23">
        <v>1.0765E7</v>
      </c>
      <c r="C1966" s="23">
        <f t="shared" si="1"/>
        <v>2897702.055</v>
      </c>
      <c r="D1966" s="18">
        <f>IF(A1966="","",MATCH(A1966,Calculation!B$2:B9627,1))</f>
        <v>1</v>
      </c>
      <c r="E1966" s="23">
        <f t="array" ref="E1966">IF(D1966="","",IF(D1966=1,0,INDEX(Calculation!Q$2:Q9627,D1966-1)))</f>
        <v>0</v>
      </c>
      <c r="F1966" s="23">
        <f t="array" ref="F1966">IF($A1966="","",
  LET(
    r, $D1966,
    startD, INDEX(Calculation!B$2:B9627, r),
    endD,   INDEX(Calculation!C$2:C9627, r),
    asOf,   MIN($A1966,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2897702.055</v>
      </c>
    </row>
    <row r="1967">
      <c r="A1967" s="19">
        <v>44202.0</v>
      </c>
      <c r="B1967" s="23">
        <v>1.0765E7</v>
      </c>
      <c r="C1967" s="23">
        <f t="shared" si="1"/>
        <v>2899176.712</v>
      </c>
      <c r="D1967" s="18">
        <f>IF(A1967="","",MATCH(A1967,Calculation!B$2:B9627,1))</f>
        <v>1</v>
      </c>
      <c r="E1967" s="23">
        <f t="array" ref="E1967">IF(D1967="","",IF(D1967=1,0,INDEX(Calculation!Q$2:Q9627,D1967-1)))</f>
        <v>0</v>
      </c>
      <c r="F1967" s="23">
        <f t="array" ref="F1967">IF($A1967="","",
  LET(
    r, $D1967,
    startD, INDEX(Calculation!B$2:B9627, r),
    endD,   INDEX(Calculation!C$2:C9627, r),
    asOf,   MIN($A1967,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2899176.712</v>
      </c>
    </row>
    <row r="1968">
      <c r="A1968" s="19">
        <v>44203.0</v>
      </c>
      <c r="B1968" s="23">
        <v>1.0765E7</v>
      </c>
      <c r="C1968" s="23">
        <f t="shared" si="1"/>
        <v>2900651.37</v>
      </c>
      <c r="D1968" s="18">
        <f>IF(A1968="","",MATCH(A1968,Calculation!B$2:B9627,1))</f>
        <v>1</v>
      </c>
      <c r="E1968" s="23">
        <f t="array" ref="E1968">IF(D1968="","",IF(D1968=1,0,INDEX(Calculation!Q$2:Q9627,D1968-1)))</f>
        <v>0</v>
      </c>
      <c r="F1968" s="23">
        <f t="array" ref="F1968">IF($A1968="","",
  LET(
    r, $D1968,
    startD, INDEX(Calculation!B$2:B9627, r),
    endD,   INDEX(Calculation!C$2:C9627, r),
    asOf,   MIN($A1968,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2900651.37</v>
      </c>
    </row>
    <row r="1969">
      <c r="A1969" s="19">
        <v>44204.0</v>
      </c>
      <c r="B1969" s="23">
        <v>1.0765E7</v>
      </c>
      <c r="C1969" s="23">
        <f t="shared" si="1"/>
        <v>2902126.027</v>
      </c>
      <c r="D1969" s="18">
        <f>IF(A1969="","",MATCH(A1969,Calculation!B$2:B9627,1))</f>
        <v>1</v>
      </c>
      <c r="E1969" s="23">
        <f t="array" ref="E1969">IF(D1969="","",IF(D1969=1,0,INDEX(Calculation!Q$2:Q9627,D1969-1)))</f>
        <v>0</v>
      </c>
      <c r="F1969" s="23">
        <f t="array" ref="F1969">IF($A1969="","",
  LET(
    r, $D1969,
    startD, INDEX(Calculation!B$2:B9627, r),
    endD,   INDEX(Calculation!C$2:C9627, r),
    asOf,   MIN($A1969,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2902126.027</v>
      </c>
    </row>
    <row r="1970">
      <c r="A1970" s="19">
        <v>44205.0</v>
      </c>
      <c r="B1970" s="23">
        <v>1.0765E7</v>
      </c>
      <c r="C1970" s="23">
        <f t="shared" si="1"/>
        <v>2903600.685</v>
      </c>
      <c r="D1970" s="18">
        <f>IF(A1970="","",MATCH(A1970,Calculation!B$2:B9627,1))</f>
        <v>1</v>
      </c>
      <c r="E1970" s="23">
        <f t="array" ref="E1970">IF(D1970="","",IF(D1970=1,0,INDEX(Calculation!Q$2:Q9627,D1970-1)))</f>
        <v>0</v>
      </c>
      <c r="F1970" s="23">
        <f t="array" ref="F1970">IF($A1970="","",
  LET(
    r, $D1970,
    startD, INDEX(Calculation!B$2:B9627, r),
    endD,   INDEX(Calculation!C$2:C9627, r),
    asOf,   MIN($A1970,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2903600.685</v>
      </c>
    </row>
    <row r="1971">
      <c r="A1971" s="19">
        <v>44206.0</v>
      </c>
      <c r="B1971" s="23">
        <v>1.0765E7</v>
      </c>
      <c r="C1971" s="23">
        <f t="shared" si="1"/>
        <v>2905075.342</v>
      </c>
      <c r="D1971" s="18">
        <f>IF(A1971="","",MATCH(A1971,Calculation!B$2:B9627,1))</f>
        <v>1</v>
      </c>
      <c r="E1971" s="23">
        <f t="array" ref="E1971">IF(D1971="","",IF(D1971=1,0,INDEX(Calculation!Q$2:Q9627,D1971-1)))</f>
        <v>0</v>
      </c>
      <c r="F1971" s="23">
        <f t="array" ref="F1971">IF($A1971="","",
  LET(
    r, $D1971,
    startD, INDEX(Calculation!B$2:B9627, r),
    endD,   INDEX(Calculation!C$2:C9627, r),
    asOf,   MIN($A1971,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2905075.342</v>
      </c>
    </row>
    <row r="1972">
      <c r="A1972" s="19">
        <v>44207.0</v>
      </c>
      <c r="B1972" s="23">
        <v>1.0765E7</v>
      </c>
      <c r="C1972" s="23">
        <f t="shared" si="1"/>
        <v>2906550</v>
      </c>
      <c r="D1972" s="18">
        <f>IF(A1972="","",MATCH(A1972,Calculation!B$2:B9627,1))</f>
        <v>1</v>
      </c>
      <c r="E1972" s="23">
        <f t="array" ref="E1972">IF(D1972="","",IF(D1972=1,0,INDEX(Calculation!Q$2:Q9627,D1972-1)))</f>
        <v>0</v>
      </c>
      <c r="F1972" s="23">
        <f t="array" ref="F1972">IF($A1972="","",
  LET(
    r, $D1972,
    startD, INDEX(Calculation!B$2:B9627, r),
    endD,   INDEX(Calculation!C$2:C9627, r),
    asOf,   MIN($A1972,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2906550</v>
      </c>
    </row>
    <row r="1973">
      <c r="A1973" s="19">
        <v>44208.0</v>
      </c>
      <c r="B1973" s="23">
        <v>1.0765E7</v>
      </c>
      <c r="C1973" s="23">
        <f t="shared" si="1"/>
        <v>2908024.658</v>
      </c>
      <c r="D1973" s="18">
        <f>IF(A1973="","",MATCH(A1973,Calculation!B$2:B9627,1))</f>
        <v>1</v>
      </c>
      <c r="E1973" s="23">
        <f t="array" ref="E1973">IF(D1973="","",IF(D1973=1,0,INDEX(Calculation!Q$2:Q9627,D1973-1)))</f>
        <v>0</v>
      </c>
      <c r="F1973" s="23">
        <f t="array" ref="F1973">IF($A1973="","",
  LET(
    r, $D1973,
    startD, INDEX(Calculation!B$2:B9627, r),
    endD,   INDEX(Calculation!C$2:C9627, r),
    asOf,   MIN($A1973,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2908024.658</v>
      </c>
    </row>
    <row r="1974">
      <c r="A1974" s="19">
        <v>44209.0</v>
      </c>
      <c r="B1974" s="23">
        <v>1.0765E7</v>
      </c>
      <c r="C1974" s="23">
        <f t="shared" si="1"/>
        <v>2909499.315</v>
      </c>
      <c r="D1974" s="18">
        <f>IF(A1974="","",MATCH(A1974,Calculation!B$2:B9627,1))</f>
        <v>1</v>
      </c>
      <c r="E1974" s="23">
        <f t="array" ref="E1974">IF(D1974="","",IF(D1974=1,0,INDEX(Calculation!Q$2:Q9627,D1974-1)))</f>
        <v>0</v>
      </c>
      <c r="F1974" s="23">
        <f t="array" ref="F1974">IF($A1974="","",
  LET(
    r, $D1974,
    startD, INDEX(Calculation!B$2:B9627, r),
    endD,   INDEX(Calculation!C$2:C9627, r),
    asOf,   MIN($A1974,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2909499.315</v>
      </c>
    </row>
    <row r="1975">
      <c r="A1975" s="19">
        <v>44210.0</v>
      </c>
      <c r="B1975" s="23">
        <v>1.0765E7</v>
      </c>
      <c r="C1975" s="23">
        <f t="shared" si="1"/>
        <v>2910973.973</v>
      </c>
      <c r="D1975" s="18">
        <f>IF(A1975="","",MATCH(A1975,Calculation!B$2:B9627,1))</f>
        <v>1</v>
      </c>
      <c r="E1975" s="23">
        <f t="array" ref="E1975">IF(D1975="","",IF(D1975=1,0,INDEX(Calculation!Q$2:Q9627,D1975-1)))</f>
        <v>0</v>
      </c>
      <c r="F1975" s="23">
        <f t="array" ref="F1975">IF($A1975="","",
  LET(
    r, $D1975,
    startD, INDEX(Calculation!B$2:B9627, r),
    endD,   INDEX(Calculation!C$2:C9627, r),
    asOf,   MIN($A1975,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2910973.973</v>
      </c>
    </row>
    <row r="1976">
      <c r="A1976" s="19">
        <v>44211.0</v>
      </c>
      <c r="B1976" s="23">
        <v>1.0765E7</v>
      </c>
      <c r="C1976" s="23">
        <f t="shared" si="1"/>
        <v>2912448.63</v>
      </c>
      <c r="D1976" s="18">
        <f>IF(A1976="","",MATCH(A1976,Calculation!B$2:B9627,1))</f>
        <v>1</v>
      </c>
      <c r="E1976" s="23">
        <f t="array" ref="E1976">IF(D1976="","",IF(D1976=1,0,INDEX(Calculation!Q$2:Q9627,D1976-1)))</f>
        <v>0</v>
      </c>
      <c r="F1976" s="23">
        <f t="array" ref="F1976">IF($A1976="","",
  LET(
    r, $D1976,
    startD, INDEX(Calculation!B$2:B9627, r),
    endD,   INDEX(Calculation!C$2:C9627, r),
    asOf,   MIN($A1976,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2912448.63</v>
      </c>
    </row>
    <row r="1977">
      <c r="A1977" s="19">
        <v>44212.0</v>
      </c>
      <c r="B1977" s="23">
        <v>1.0765E7</v>
      </c>
      <c r="C1977" s="23">
        <f t="shared" si="1"/>
        <v>2913923.288</v>
      </c>
      <c r="D1977" s="18">
        <f>IF(A1977="","",MATCH(A1977,Calculation!B$2:B9627,1))</f>
        <v>1</v>
      </c>
      <c r="E1977" s="23">
        <f t="array" ref="E1977">IF(D1977="","",IF(D1977=1,0,INDEX(Calculation!Q$2:Q9627,D1977-1)))</f>
        <v>0</v>
      </c>
      <c r="F1977" s="23">
        <f t="array" ref="F1977">IF($A1977="","",
  LET(
    r, $D1977,
    startD, INDEX(Calculation!B$2:B9627, r),
    endD,   INDEX(Calculation!C$2:C9627, r),
    asOf,   MIN($A1977,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2913923.288</v>
      </c>
    </row>
    <row r="1978">
      <c r="A1978" s="19">
        <v>44213.0</v>
      </c>
      <c r="B1978" s="23">
        <v>1.0765E7</v>
      </c>
      <c r="C1978" s="23">
        <f t="shared" si="1"/>
        <v>2915397.945</v>
      </c>
      <c r="D1978" s="18">
        <f>IF(A1978="","",MATCH(A1978,Calculation!B$2:B9627,1))</f>
        <v>1</v>
      </c>
      <c r="E1978" s="23">
        <f t="array" ref="E1978">IF(D1978="","",IF(D1978=1,0,INDEX(Calculation!Q$2:Q9627,D1978-1)))</f>
        <v>0</v>
      </c>
      <c r="F1978" s="23">
        <f t="array" ref="F1978">IF($A1978="","",
  LET(
    r, $D1978,
    startD, INDEX(Calculation!B$2:B9627, r),
    endD,   INDEX(Calculation!C$2:C9627, r),
    asOf,   MIN($A1978,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2915397.945</v>
      </c>
    </row>
    <row r="1979">
      <c r="A1979" s="19">
        <v>44214.0</v>
      </c>
      <c r="B1979" s="23">
        <v>1.0765E7</v>
      </c>
      <c r="C1979" s="23">
        <f t="shared" si="1"/>
        <v>2916872.603</v>
      </c>
      <c r="D1979" s="18">
        <f>IF(A1979="","",MATCH(A1979,Calculation!B$2:B9627,1))</f>
        <v>1</v>
      </c>
      <c r="E1979" s="23">
        <f t="array" ref="E1979">IF(D1979="","",IF(D1979=1,0,INDEX(Calculation!Q$2:Q9627,D1979-1)))</f>
        <v>0</v>
      </c>
      <c r="F1979" s="23">
        <f t="array" ref="F1979">IF($A1979="","",
  LET(
    r, $D1979,
    startD, INDEX(Calculation!B$2:B9627, r),
    endD,   INDEX(Calculation!C$2:C9627, r),
    asOf,   MIN($A1979,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2916872.603</v>
      </c>
    </row>
    <row r="1980">
      <c r="A1980" s="19">
        <v>44215.0</v>
      </c>
      <c r="B1980" s="23">
        <v>1.0765E7</v>
      </c>
      <c r="C1980" s="23">
        <f t="shared" si="1"/>
        <v>2918347.26</v>
      </c>
      <c r="D1980" s="18">
        <f>IF(A1980="","",MATCH(A1980,Calculation!B$2:B9627,1))</f>
        <v>1</v>
      </c>
      <c r="E1980" s="23">
        <f t="array" ref="E1980">IF(D1980="","",IF(D1980=1,0,INDEX(Calculation!Q$2:Q9627,D1980-1)))</f>
        <v>0</v>
      </c>
      <c r="F1980" s="23">
        <f t="array" ref="F1980">IF($A1980="","",
  LET(
    r, $D1980,
    startD, INDEX(Calculation!B$2:B9627, r),
    endD,   INDEX(Calculation!C$2:C9627, r),
    asOf,   MIN($A1980,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2918347.26</v>
      </c>
    </row>
    <row r="1981">
      <c r="A1981" s="19">
        <v>44216.0</v>
      </c>
      <c r="B1981" s="23">
        <v>1.0765E7</v>
      </c>
      <c r="C1981" s="23">
        <f t="shared" si="1"/>
        <v>2919821.918</v>
      </c>
      <c r="D1981" s="18">
        <f>IF(A1981="","",MATCH(A1981,Calculation!B$2:B9627,1))</f>
        <v>1</v>
      </c>
      <c r="E1981" s="23">
        <f t="array" ref="E1981">IF(D1981="","",IF(D1981=1,0,INDEX(Calculation!Q$2:Q9627,D1981-1)))</f>
        <v>0</v>
      </c>
      <c r="F1981" s="23">
        <f t="array" ref="F1981">IF($A1981="","",
  LET(
    r, $D1981,
    startD, INDEX(Calculation!B$2:B9627, r),
    endD,   INDEX(Calculation!C$2:C9627, r),
    asOf,   MIN($A1981,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2919821.918</v>
      </c>
    </row>
    <row r="1982">
      <c r="A1982" s="19">
        <v>44217.0</v>
      </c>
      <c r="B1982" s="23">
        <v>1.0765E7</v>
      </c>
      <c r="C1982" s="23">
        <f t="shared" si="1"/>
        <v>2921296.575</v>
      </c>
      <c r="D1982" s="18">
        <f>IF(A1982="","",MATCH(A1982,Calculation!B$2:B9627,1))</f>
        <v>1</v>
      </c>
      <c r="E1982" s="23">
        <f t="array" ref="E1982">IF(D1982="","",IF(D1982=1,0,INDEX(Calculation!Q$2:Q9627,D1982-1)))</f>
        <v>0</v>
      </c>
      <c r="F1982" s="23">
        <f t="array" ref="F1982">IF($A1982="","",
  LET(
    r, $D1982,
    startD, INDEX(Calculation!B$2:B9627, r),
    endD,   INDEX(Calculation!C$2:C9627, r),
    asOf,   MIN($A1982,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2921296.575</v>
      </c>
    </row>
    <row r="1983">
      <c r="A1983" s="19">
        <v>44218.0</v>
      </c>
      <c r="B1983" s="23">
        <v>1.0765E7</v>
      </c>
      <c r="C1983" s="23">
        <f t="shared" si="1"/>
        <v>2922771.233</v>
      </c>
      <c r="D1983" s="18">
        <f>IF(A1983="","",MATCH(A1983,Calculation!B$2:B9627,1))</f>
        <v>1</v>
      </c>
      <c r="E1983" s="23">
        <f t="array" ref="E1983">IF(D1983="","",IF(D1983=1,0,INDEX(Calculation!Q$2:Q9627,D1983-1)))</f>
        <v>0</v>
      </c>
      <c r="F1983" s="23">
        <f t="array" ref="F1983">IF($A1983="","",
  LET(
    r, $D1983,
    startD, INDEX(Calculation!B$2:B9627, r),
    endD,   INDEX(Calculation!C$2:C9627, r),
    asOf,   MIN($A1983,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2922771.233</v>
      </c>
    </row>
    <row r="1984">
      <c r="A1984" s="19">
        <v>44219.0</v>
      </c>
      <c r="B1984" s="23">
        <v>1.0765E7</v>
      </c>
      <c r="C1984" s="23">
        <f t="shared" si="1"/>
        <v>2924245.89</v>
      </c>
      <c r="D1984" s="18">
        <f>IF(A1984="","",MATCH(A1984,Calculation!B$2:B9627,1))</f>
        <v>1</v>
      </c>
      <c r="E1984" s="23">
        <f t="array" ref="E1984">IF(D1984="","",IF(D1984=1,0,INDEX(Calculation!Q$2:Q9627,D1984-1)))</f>
        <v>0</v>
      </c>
      <c r="F1984" s="23">
        <f t="array" ref="F1984">IF($A1984="","",
  LET(
    r, $D1984,
    startD, INDEX(Calculation!B$2:B9627, r),
    endD,   INDEX(Calculation!C$2:C9627, r),
    asOf,   MIN($A1984,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2924245.89</v>
      </c>
    </row>
    <row r="1985">
      <c r="A1985" s="19">
        <v>44220.0</v>
      </c>
      <c r="B1985" s="23">
        <v>1.0765E7</v>
      </c>
      <c r="C1985" s="23">
        <f t="shared" si="1"/>
        <v>2925720.548</v>
      </c>
      <c r="D1985" s="18">
        <f>IF(A1985="","",MATCH(A1985,Calculation!B$2:B9627,1))</f>
        <v>1</v>
      </c>
      <c r="E1985" s="23">
        <f t="array" ref="E1985">IF(D1985="","",IF(D1985=1,0,INDEX(Calculation!Q$2:Q9627,D1985-1)))</f>
        <v>0</v>
      </c>
      <c r="F1985" s="23">
        <f t="array" ref="F1985">IF($A1985="","",
  LET(
    r, $D1985,
    startD, INDEX(Calculation!B$2:B9627, r),
    endD,   INDEX(Calculation!C$2:C9627, r),
    asOf,   MIN($A1985,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2925720.548</v>
      </c>
    </row>
    <row r="1986">
      <c r="A1986" s="19">
        <v>44221.0</v>
      </c>
      <c r="B1986" s="23">
        <v>1.0765E7</v>
      </c>
      <c r="C1986" s="23">
        <f t="shared" si="1"/>
        <v>2927195.205</v>
      </c>
      <c r="D1986" s="18">
        <f>IF(A1986="","",MATCH(A1986,Calculation!B$2:B9627,1))</f>
        <v>1</v>
      </c>
      <c r="E1986" s="23">
        <f t="array" ref="E1986">IF(D1986="","",IF(D1986=1,0,INDEX(Calculation!Q$2:Q9627,D1986-1)))</f>
        <v>0</v>
      </c>
      <c r="F1986" s="23">
        <f t="array" ref="F1986">IF($A1986="","",
  LET(
    r, $D1986,
    startD, INDEX(Calculation!B$2:B9627, r),
    endD,   INDEX(Calculation!C$2:C9627, r),
    asOf,   MIN($A1986,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2927195.205</v>
      </c>
    </row>
    <row r="1987">
      <c r="A1987" s="19">
        <v>44222.0</v>
      </c>
      <c r="B1987" s="23">
        <v>1.0765E7</v>
      </c>
      <c r="C1987" s="23">
        <f t="shared" si="1"/>
        <v>2928669.863</v>
      </c>
      <c r="D1987" s="18">
        <f>IF(A1987="","",MATCH(A1987,Calculation!B$2:B9627,1))</f>
        <v>1</v>
      </c>
      <c r="E1987" s="23">
        <f t="array" ref="E1987">IF(D1987="","",IF(D1987=1,0,INDEX(Calculation!Q$2:Q9627,D1987-1)))</f>
        <v>0</v>
      </c>
      <c r="F1987" s="23">
        <f t="array" ref="F1987">IF($A1987="","",
  LET(
    r, $D1987,
    startD, INDEX(Calculation!B$2:B9627, r),
    endD,   INDEX(Calculation!C$2:C9627, r),
    asOf,   MIN($A1987,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2928669.863</v>
      </c>
    </row>
    <row r="1988">
      <c r="A1988" s="19">
        <v>44223.0</v>
      </c>
      <c r="B1988" s="23">
        <v>1.0765E7</v>
      </c>
      <c r="C1988" s="23">
        <f t="shared" si="1"/>
        <v>2930144.521</v>
      </c>
      <c r="D1988" s="18">
        <f>IF(A1988="","",MATCH(A1988,Calculation!B$2:B9627,1))</f>
        <v>1</v>
      </c>
      <c r="E1988" s="23">
        <f t="array" ref="E1988">IF(D1988="","",IF(D1988=1,0,INDEX(Calculation!Q$2:Q9627,D1988-1)))</f>
        <v>0</v>
      </c>
      <c r="F1988" s="23">
        <f t="array" ref="F1988">IF($A1988="","",
  LET(
    r, $D1988,
    startD, INDEX(Calculation!B$2:B9627, r),
    endD,   INDEX(Calculation!C$2:C9627, r),
    asOf,   MIN($A1988,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2930144.521</v>
      </c>
    </row>
    <row r="1989">
      <c r="A1989" s="19">
        <v>44224.0</v>
      </c>
      <c r="B1989" s="23">
        <v>1.0765E7</v>
      </c>
      <c r="C1989" s="23">
        <f t="shared" si="1"/>
        <v>2931619.178</v>
      </c>
      <c r="D1989" s="18">
        <f>IF(A1989="","",MATCH(A1989,Calculation!B$2:B9627,1))</f>
        <v>1</v>
      </c>
      <c r="E1989" s="23">
        <f t="array" ref="E1989">IF(D1989="","",IF(D1989=1,0,INDEX(Calculation!Q$2:Q9627,D1989-1)))</f>
        <v>0</v>
      </c>
      <c r="F1989" s="23">
        <f t="array" ref="F1989">IF($A1989="","",
  LET(
    r, $D1989,
    startD, INDEX(Calculation!B$2:B9627, r),
    endD,   INDEX(Calculation!C$2:C9627, r),
    asOf,   MIN($A1989,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2931619.178</v>
      </c>
    </row>
    <row r="1990">
      <c r="A1990" s="19">
        <v>44225.0</v>
      </c>
      <c r="B1990" s="23">
        <v>1.0765E7</v>
      </c>
      <c r="C1990" s="23">
        <f t="shared" si="1"/>
        <v>2933093.836</v>
      </c>
      <c r="D1990" s="18">
        <f>IF(A1990="","",MATCH(A1990,Calculation!B$2:B9627,1))</f>
        <v>1</v>
      </c>
      <c r="E1990" s="23">
        <f t="array" ref="E1990">IF(D1990="","",IF(D1990=1,0,INDEX(Calculation!Q$2:Q9627,D1990-1)))</f>
        <v>0</v>
      </c>
      <c r="F1990" s="23">
        <f t="array" ref="F1990">IF($A1990="","",
  LET(
    r, $D1990,
    startD, INDEX(Calculation!B$2:B9627, r),
    endD,   INDEX(Calculation!C$2:C9627, r),
    asOf,   MIN($A1990,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2933093.836</v>
      </c>
    </row>
    <row r="1991">
      <c r="A1991" s="19">
        <v>44226.0</v>
      </c>
      <c r="B1991" s="23">
        <v>1.0765E7</v>
      </c>
      <c r="C1991" s="23">
        <f t="shared" si="1"/>
        <v>2934568.493</v>
      </c>
      <c r="D1991" s="18">
        <f>IF(A1991="","",MATCH(A1991,Calculation!B$2:B9627,1))</f>
        <v>1</v>
      </c>
      <c r="E1991" s="23">
        <f t="array" ref="E1991">IF(D1991="","",IF(D1991=1,0,INDEX(Calculation!Q$2:Q9627,D1991-1)))</f>
        <v>0</v>
      </c>
      <c r="F1991" s="23">
        <f t="array" ref="F1991">IF($A1991="","",
  LET(
    r, $D1991,
    startD, INDEX(Calculation!B$2:B9627, r),
    endD,   INDEX(Calculation!C$2:C9627, r),
    asOf,   MIN($A1991,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2934568.493</v>
      </c>
    </row>
    <row r="1992">
      <c r="A1992" s="19">
        <v>44227.0</v>
      </c>
      <c r="B1992" s="23">
        <v>1.0765E7</v>
      </c>
      <c r="C1992" s="23">
        <f t="shared" si="1"/>
        <v>2936043.151</v>
      </c>
      <c r="D1992" s="18">
        <f>IF(A1992="","",MATCH(A1992,Calculation!B$2:B9627,1))</f>
        <v>1</v>
      </c>
      <c r="E1992" s="23">
        <f t="array" ref="E1992">IF(D1992="","",IF(D1992=1,0,INDEX(Calculation!Q$2:Q9627,D1992-1)))</f>
        <v>0</v>
      </c>
      <c r="F1992" s="23">
        <f t="array" ref="F1992">IF($A1992="","",
  LET(
    r, $D1992,
    startD, INDEX(Calculation!B$2:B9627, r),
    endD,   INDEX(Calculation!C$2:C9627, r),
    asOf,   MIN($A1992,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2936043.151</v>
      </c>
    </row>
    <row r="1993">
      <c r="A1993" s="19">
        <v>44228.0</v>
      </c>
      <c r="B1993" s="23">
        <v>1.0765E7</v>
      </c>
      <c r="C1993" s="23">
        <f t="shared" si="1"/>
        <v>2937517.808</v>
      </c>
      <c r="D1993" s="18">
        <f>IF(A1993="","",MATCH(A1993,Calculation!B$2:B9627,1))</f>
        <v>1</v>
      </c>
      <c r="E1993" s="23">
        <f t="array" ref="E1993">IF(D1993="","",IF(D1993=1,0,INDEX(Calculation!Q$2:Q9627,D1993-1)))</f>
        <v>0</v>
      </c>
      <c r="F1993" s="23">
        <f t="array" ref="F1993">IF($A1993="","",
  LET(
    r, $D1993,
    startD, INDEX(Calculation!B$2:B9627, r),
    endD,   INDEX(Calculation!C$2:C9627, r),
    asOf,   MIN($A1993,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2937517.808</v>
      </c>
    </row>
    <row r="1994">
      <c r="A1994" s="19">
        <v>44229.0</v>
      </c>
      <c r="B1994" s="23">
        <v>1.0765E7</v>
      </c>
      <c r="C1994" s="23">
        <f t="shared" si="1"/>
        <v>2938992.466</v>
      </c>
      <c r="D1994" s="18">
        <f>IF(A1994="","",MATCH(A1994,Calculation!B$2:B9627,1))</f>
        <v>1</v>
      </c>
      <c r="E1994" s="23">
        <f t="array" ref="E1994">IF(D1994="","",IF(D1994=1,0,INDEX(Calculation!Q$2:Q9627,D1994-1)))</f>
        <v>0</v>
      </c>
      <c r="F1994" s="23">
        <f t="array" ref="F1994">IF($A1994="","",
  LET(
    r, $D1994,
    startD, INDEX(Calculation!B$2:B9627, r),
    endD,   INDEX(Calculation!C$2:C9627, r),
    asOf,   MIN($A1994,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2938992.466</v>
      </c>
    </row>
    <row r="1995">
      <c r="A1995" s="19">
        <v>44230.0</v>
      </c>
      <c r="B1995" s="23">
        <v>1.0765E7</v>
      </c>
      <c r="C1995" s="23">
        <f t="shared" si="1"/>
        <v>2940467.123</v>
      </c>
      <c r="D1995" s="18">
        <f>IF(A1995="","",MATCH(A1995,Calculation!B$2:B9627,1))</f>
        <v>1</v>
      </c>
      <c r="E1995" s="23">
        <f t="array" ref="E1995">IF(D1995="","",IF(D1995=1,0,INDEX(Calculation!Q$2:Q9627,D1995-1)))</f>
        <v>0</v>
      </c>
      <c r="F1995" s="23">
        <f t="array" ref="F1995">IF($A1995="","",
  LET(
    r, $D1995,
    startD, INDEX(Calculation!B$2:B9627, r),
    endD,   INDEX(Calculation!C$2:C9627, r),
    asOf,   MIN($A1995,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2940467.123</v>
      </c>
    </row>
    <row r="1996">
      <c r="A1996" s="19">
        <v>44231.0</v>
      </c>
      <c r="B1996" s="23">
        <v>1.0765E7</v>
      </c>
      <c r="C1996" s="23">
        <f t="shared" si="1"/>
        <v>2941941.781</v>
      </c>
      <c r="D1996" s="18">
        <f>IF(A1996="","",MATCH(A1996,Calculation!B$2:B9627,1))</f>
        <v>1</v>
      </c>
      <c r="E1996" s="23">
        <f t="array" ref="E1996">IF(D1996="","",IF(D1996=1,0,INDEX(Calculation!Q$2:Q9627,D1996-1)))</f>
        <v>0</v>
      </c>
      <c r="F1996" s="23">
        <f t="array" ref="F1996">IF($A1996="","",
  LET(
    r, $D1996,
    startD, INDEX(Calculation!B$2:B9627, r),
    endD,   INDEX(Calculation!C$2:C9627, r),
    asOf,   MIN($A1996,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2941941.781</v>
      </c>
    </row>
    <row r="1997">
      <c r="A1997" s="19">
        <v>44232.0</v>
      </c>
      <c r="B1997" s="23">
        <v>1.0765E7</v>
      </c>
      <c r="C1997" s="23">
        <f t="shared" si="1"/>
        <v>2943416.438</v>
      </c>
      <c r="D1997" s="18">
        <f>IF(A1997="","",MATCH(A1997,Calculation!B$2:B9627,1))</f>
        <v>1</v>
      </c>
      <c r="E1997" s="23">
        <f t="array" ref="E1997">IF(D1997="","",IF(D1997=1,0,INDEX(Calculation!Q$2:Q9627,D1997-1)))</f>
        <v>0</v>
      </c>
      <c r="F1997" s="23">
        <f t="array" ref="F1997">IF($A1997="","",
  LET(
    r, $D1997,
    startD, INDEX(Calculation!B$2:B9627, r),
    endD,   INDEX(Calculation!C$2:C9627, r),
    asOf,   MIN($A1997,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2943416.438</v>
      </c>
    </row>
    <row r="1998">
      <c r="A1998" s="19">
        <v>44233.0</v>
      </c>
      <c r="B1998" s="23">
        <v>1.0765E7</v>
      </c>
      <c r="C1998" s="23">
        <f t="shared" si="1"/>
        <v>2944891.096</v>
      </c>
      <c r="D1998" s="18">
        <f>IF(A1998="","",MATCH(A1998,Calculation!B$2:B9627,1))</f>
        <v>1</v>
      </c>
      <c r="E1998" s="23">
        <f t="array" ref="E1998">IF(D1998="","",IF(D1998=1,0,INDEX(Calculation!Q$2:Q9627,D1998-1)))</f>
        <v>0</v>
      </c>
      <c r="F1998" s="23">
        <f t="array" ref="F1998">IF($A1998="","",
  LET(
    r, $D1998,
    startD, INDEX(Calculation!B$2:B9627, r),
    endD,   INDEX(Calculation!C$2:C9627, r),
    asOf,   MIN($A1998,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2944891.096</v>
      </c>
    </row>
    <row r="1999">
      <c r="A1999" s="19">
        <v>44234.0</v>
      </c>
      <c r="B1999" s="23">
        <v>1.0765E7</v>
      </c>
      <c r="C1999" s="23">
        <f t="shared" si="1"/>
        <v>2946365.753</v>
      </c>
      <c r="D1999" s="18">
        <f>IF(A1999="","",MATCH(A1999,Calculation!B$2:B9627,1))</f>
        <v>1</v>
      </c>
      <c r="E1999" s="23">
        <f t="array" ref="E1999">IF(D1999="","",IF(D1999=1,0,INDEX(Calculation!Q$2:Q9627,D1999-1)))</f>
        <v>0</v>
      </c>
      <c r="F1999" s="23">
        <f t="array" ref="F1999">IF($A1999="","",
  LET(
    r, $D1999,
    startD, INDEX(Calculation!B$2:B9627, r),
    endD,   INDEX(Calculation!C$2:C9627, r),
    asOf,   MIN($A1999,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2946365.753</v>
      </c>
    </row>
    <row r="2000">
      <c r="A2000" s="19">
        <v>44235.0</v>
      </c>
      <c r="B2000" s="23">
        <v>1.0765E7</v>
      </c>
      <c r="C2000" s="23">
        <f t="shared" si="1"/>
        <v>2947840.411</v>
      </c>
      <c r="D2000" s="18">
        <f>IF(A2000="","",MATCH(A2000,Calculation!B$2:B9627,1))</f>
        <v>1</v>
      </c>
      <c r="E2000" s="23">
        <f t="array" ref="E2000">IF(D2000="","",IF(D2000=1,0,INDEX(Calculation!Q$2:Q9627,D2000-1)))</f>
        <v>0</v>
      </c>
      <c r="F2000" s="23">
        <f t="array" ref="F2000">IF($A2000="","",
  LET(
    r, $D2000,
    startD, INDEX(Calculation!B$2:B9627, r),
    endD,   INDEX(Calculation!C$2:C9627, r),
    asOf,   MIN($A2000,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2947840.411</v>
      </c>
    </row>
    <row r="2001">
      <c r="A2001" s="19">
        <v>44236.0</v>
      </c>
      <c r="B2001" s="23">
        <v>1.0765E7</v>
      </c>
      <c r="C2001" s="23">
        <f t="shared" si="1"/>
        <v>2949315.068</v>
      </c>
      <c r="D2001" s="18">
        <f>IF(A2001="","",MATCH(A2001,Calculation!B$2:B9627,1))</f>
        <v>1</v>
      </c>
      <c r="E2001" s="23">
        <f t="array" ref="E2001">IF(D2001="","",IF(D2001=1,0,INDEX(Calculation!Q$2:Q9627,D2001-1)))</f>
        <v>0</v>
      </c>
      <c r="F2001" s="23">
        <f t="array" ref="F2001">IF($A2001="","",
  LET(
    r, $D2001,
    startD, INDEX(Calculation!B$2:B9627, r),
    endD,   INDEX(Calculation!C$2:C9627, r),
    asOf,   MIN($A2001,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2949315.068</v>
      </c>
    </row>
    <row r="2002">
      <c r="A2002" s="19">
        <v>44237.0</v>
      </c>
      <c r="B2002" s="23">
        <v>1.0765E7</v>
      </c>
      <c r="C2002" s="23">
        <f t="shared" si="1"/>
        <v>2950789.726</v>
      </c>
      <c r="D2002" s="18">
        <f>IF(A2002="","",MATCH(A2002,Calculation!B$2:B9627,1))</f>
        <v>1</v>
      </c>
      <c r="E2002" s="23">
        <f t="array" ref="E2002">IF(D2002="","",IF(D2002=1,0,INDEX(Calculation!Q$2:Q9627,D2002-1)))</f>
        <v>0</v>
      </c>
      <c r="F2002" s="23">
        <f t="array" ref="F2002">IF($A2002="","",
  LET(
    r, $D2002,
    startD, INDEX(Calculation!B$2:B9627, r),
    endD,   INDEX(Calculation!C$2:C9627, r),
    asOf,   MIN($A2002,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2950789.726</v>
      </c>
    </row>
    <row r="2003">
      <c r="A2003" s="19">
        <v>44238.0</v>
      </c>
      <c r="B2003" s="23">
        <v>1.0765E7</v>
      </c>
      <c r="C2003" s="23">
        <f t="shared" si="1"/>
        <v>2952264.384</v>
      </c>
      <c r="D2003" s="18">
        <f>IF(A2003="","",MATCH(A2003,Calculation!B$2:B9627,1))</f>
        <v>1</v>
      </c>
      <c r="E2003" s="23">
        <f t="array" ref="E2003">IF(D2003="","",IF(D2003=1,0,INDEX(Calculation!Q$2:Q9627,D2003-1)))</f>
        <v>0</v>
      </c>
      <c r="F2003" s="23">
        <f t="array" ref="F2003">IF($A2003="","",
  LET(
    r, $D2003,
    startD, INDEX(Calculation!B$2:B9627, r),
    endD,   INDEX(Calculation!C$2:C9627, r),
    asOf,   MIN($A2003,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2952264.384</v>
      </c>
    </row>
    <row r="2004">
      <c r="A2004" s="19">
        <v>44239.0</v>
      </c>
      <c r="B2004" s="23">
        <v>1.0765E7</v>
      </c>
      <c r="C2004" s="23">
        <f t="shared" si="1"/>
        <v>2953739.041</v>
      </c>
      <c r="D2004" s="18">
        <f>IF(A2004="","",MATCH(A2004,Calculation!B$2:B9627,1))</f>
        <v>1</v>
      </c>
      <c r="E2004" s="23">
        <f t="array" ref="E2004">IF(D2004="","",IF(D2004=1,0,INDEX(Calculation!Q$2:Q9627,D2004-1)))</f>
        <v>0</v>
      </c>
      <c r="F2004" s="23">
        <f t="array" ref="F2004">IF($A2004="","",
  LET(
    r, $D2004,
    startD, INDEX(Calculation!B$2:B9627, r),
    endD,   INDEX(Calculation!C$2:C9627, r),
    asOf,   MIN($A2004,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2953739.041</v>
      </c>
    </row>
    <row r="2005">
      <c r="A2005" s="19">
        <v>44240.0</v>
      </c>
      <c r="B2005" s="23">
        <v>1.0765E7</v>
      </c>
      <c r="C2005" s="23">
        <f t="shared" si="1"/>
        <v>2955213.699</v>
      </c>
      <c r="D2005" s="18">
        <f>IF(A2005="","",MATCH(A2005,Calculation!B$2:B9627,1))</f>
        <v>1</v>
      </c>
      <c r="E2005" s="23">
        <f t="array" ref="E2005">IF(D2005="","",IF(D2005=1,0,INDEX(Calculation!Q$2:Q9627,D2005-1)))</f>
        <v>0</v>
      </c>
      <c r="F2005" s="23">
        <f t="array" ref="F2005">IF($A2005="","",
  LET(
    r, $D2005,
    startD, INDEX(Calculation!B$2:B9627, r),
    endD,   INDEX(Calculation!C$2:C9627, r),
    asOf,   MIN($A2005,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2955213.699</v>
      </c>
    </row>
    <row r="2006">
      <c r="A2006" s="19">
        <v>44241.0</v>
      </c>
      <c r="B2006" s="23">
        <v>1.0765E7</v>
      </c>
      <c r="C2006" s="23">
        <f t="shared" si="1"/>
        <v>2956688.356</v>
      </c>
      <c r="D2006" s="18">
        <f>IF(A2006="","",MATCH(A2006,Calculation!B$2:B9627,1))</f>
        <v>1</v>
      </c>
      <c r="E2006" s="23">
        <f t="array" ref="E2006">IF(D2006="","",IF(D2006=1,0,INDEX(Calculation!Q$2:Q9627,D2006-1)))</f>
        <v>0</v>
      </c>
      <c r="F2006" s="23">
        <f t="array" ref="F2006">IF($A2006="","",
  LET(
    r, $D2006,
    startD, INDEX(Calculation!B$2:B9627, r),
    endD,   INDEX(Calculation!C$2:C9627, r),
    asOf,   MIN($A2006,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2956688.356</v>
      </c>
    </row>
    <row r="2007">
      <c r="A2007" s="19">
        <v>44242.0</v>
      </c>
      <c r="B2007" s="23">
        <v>1.0765E7</v>
      </c>
      <c r="C2007" s="23">
        <f t="shared" si="1"/>
        <v>2958163.014</v>
      </c>
      <c r="D2007" s="18">
        <f>IF(A2007="","",MATCH(A2007,Calculation!B$2:B9627,1))</f>
        <v>1</v>
      </c>
      <c r="E2007" s="23">
        <f t="array" ref="E2007">IF(D2007="","",IF(D2007=1,0,INDEX(Calculation!Q$2:Q9627,D2007-1)))</f>
        <v>0</v>
      </c>
      <c r="F2007" s="23">
        <f t="array" ref="F2007">IF($A2007="","",
  LET(
    r, $D2007,
    startD, INDEX(Calculation!B$2:B9627, r),
    endD,   INDEX(Calculation!C$2:C9627, r),
    asOf,   MIN($A2007,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2958163.014</v>
      </c>
    </row>
    <row r="2008">
      <c r="A2008" s="19">
        <v>44243.0</v>
      </c>
      <c r="B2008" s="23">
        <v>1.0765E7</v>
      </c>
      <c r="C2008" s="23">
        <f t="shared" si="1"/>
        <v>2959637.671</v>
      </c>
      <c r="D2008" s="18">
        <f>IF(A2008="","",MATCH(A2008,Calculation!B$2:B9627,1))</f>
        <v>1</v>
      </c>
      <c r="E2008" s="23">
        <f t="array" ref="E2008">IF(D2008="","",IF(D2008=1,0,INDEX(Calculation!Q$2:Q9627,D2008-1)))</f>
        <v>0</v>
      </c>
      <c r="F2008" s="23">
        <f t="array" ref="F2008">IF($A2008="","",
  LET(
    r, $D2008,
    startD, INDEX(Calculation!B$2:B9627, r),
    endD,   INDEX(Calculation!C$2:C9627, r),
    asOf,   MIN($A2008,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2959637.671</v>
      </c>
    </row>
    <row r="2009">
      <c r="A2009" s="19">
        <v>44244.0</v>
      </c>
      <c r="B2009" s="23">
        <v>1.0765E7</v>
      </c>
      <c r="C2009" s="23">
        <f t="shared" si="1"/>
        <v>2961112.329</v>
      </c>
      <c r="D2009" s="18">
        <f>IF(A2009="","",MATCH(A2009,Calculation!B$2:B9627,1))</f>
        <v>1</v>
      </c>
      <c r="E2009" s="23">
        <f t="array" ref="E2009">IF(D2009="","",IF(D2009=1,0,INDEX(Calculation!Q$2:Q9627,D2009-1)))</f>
        <v>0</v>
      </c>
      <c r="F2009" s="23">
        <f t="array" ref="F2009">IF($A2009="","",
  LET(
    r, $D2009,
    startD, INDEX(Calculation!B$2:B9627, r),
    endD,   INDEX(Calculation!C$2:C9627, r),
    asOf,   MIN($A2009,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2961112.329</v>
      </c>
    </row>
    <row r="2010">
      <c r="A2010" s="19">
        <v>44245.0</v>
      </c>
      <c r="B2010" s="23">
        <v>1.0765E7</v>
      </c>
      <c r="C2010" s="23">
        <f t="shared" si="1"/>
        <v>2962586.986</v>
      </c>
      <c r="D2010" s="18">
        <f>IF(A2010="","",MATCH(A2010,Calculation!B$2:B9627,1))</f>
        <v>1</v>
      </c>
      <c r="E2010" s="23">
        <f t="array" ref="E2010">IF(D2010="","",IF(D2010=1,0,INDEX(Calculation!Q$2:Q9627,D2010-1)))</f>
        <v>0</v>
      </c>
      <c r="F2010" s="23">
        <f t="array" ref="F2010">IF($A2010="","",
  LET(
    r, $D2010,
    startD, INDEX(Calculation!B$2:B9627, r),
    endD,   INDEX(Calculation!C$2:C9627, r),
    asOf,   MIN($A2010,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2962586.986</v>
      </c>
    </row>
    <row r="2011">
      <c r="A2011" s="19">
        <v>44246.0</v>
      </c>
      <c r="B2011" s="23">
        <v>1.0765E7</v>
      </c>
      <c r="C2011" s="23">
        <f t="shared" si="1"/>
        <v>2964061.644</v>
      </c>
      <c r="D2011" s="18">
        <f>IF(A2011="","",MATCH(A2011,Calculation!B$2:B9627,1))</f>
        <v>1</v>
      </c>
      <c r="E2011" s="23">
        <f t="array" ref="E2011">IF(D2011="","",IF(D2011=1,0,INDEX(Calculation!Q$2:Q9627,D2011-1)))</f>
        <v>0</v>
      </c>
      <c r="F2011" s="23">
        <f t="array" ref="F2011">IF($A2011="","",
  LET(
    r, $D2011,
    startD, INDEX(Calculation!B$2:B9627, r),
    endD,   INDEX(Calculation!C$2:C9627, r),
    asOf,   MIN($A2011,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2964061.644</v>
      </c>
    </row>
    <row r="2012">
      <c r="A2012" s="19">
        <v>44247.0</v>
      </c>
      <c r="B2012" s="23">
        <v>1.0765E7</v>
      </c>
      <c r="C2012" s="23">
        <f t="shared" si="1"/>
        <v>2965536.301</v>
      </c>
      <c r="D2012" s="18">
        <f>IF(A2012="","",MATCH(A2012,Calculation!B$2:B9627,1))</f>
        <v>1</v>
      </c>
      <c r="E2012" s="23">
        <f t="array" ref="E2012">IF(D2012="","",IF(D2012=1,0,INDEX(Calculation!Q$2:Q9627,D2012-1)))</f>
        <v>0</v>
      </c>
      <c r="F2012" s="23">
        <f t="array" ref="F2012">IF($A2012="","",
  LET(
    r, $D2012,
    startD, INDEX(Calculation!B$2:B9627, r),
    endD,   INDEX(Calculation!C$2:C9627, r),
    asOf,   MIN($A2012,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2965536.301</v>
      </c>
    </row>
    <row r="2013">
      <c r="A2013" s="19">
        <v>44248.0</v>
      </c>
      <c r="B2013" s="23">
        <v>1.0765E7</v>
      </c>
      <c r="C2013" s="23">
        <f t="shared" si="1"/>
        <v>2967010.959</v>
      </c>
      <c r="D2013" s="18">
        <f>IF(A2013="","",MATCH(A2013,Calculation!B$2:B9627,1))</f>
        <v>1</v>
      </c>
      <c r="E2013" s="23">
        <f t="array" ref="E2013">IF(D2013="","",IF(D2013=1,0,INDEX(Calculation!Q$2:Q9627,D2013-1)))</f>
        <v>0</v>
      </c>
      <c r="F2013" s="23">
        <f t="array" ref="F2013">IF($A2013="","",
  LET(
    r, $D2013,
    startD, INDEX(Calculation!B$2:B9627, r),
    endD,   INDEX(Calculation!C$2:C9627, r),
    asOf,   MIN($A2013,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2967010.959</v>
      </c>
    </row>
    <row r="2014">
      <c r="A2014" s="19">
        <v>44249.0</v>
      </c>
      <c r="B2014" s="23">
        <v>1.0765E7</v>
      </c>
      <c r="C2014" s="23">
        <f t="shared" si="1"/>
        <v>2968485.616</v>
      </c>
      <c r="D2014" s="18">
        <f>IF(A2014="","",MATCH(A2014,Calculation!B$2:B9627,1))</f>
        <v>1</v>
      </c>
      <c r="E2014" s="23">
        <f t="array" ref="E2014">IF(D2014="","",IF(D2014=1,0,INDEX(Calculation!Q$2:Q9627,D2014-1)))</f>
        <v>0</v>
      </c>
      <c r="F2014" s="23">
        <f t="array" ref="F2014">IF($A2014="","",
  LET(
    r, $D2014,
    startD, INDEX(Calculation!B$2:B9627, r),
    endD,   INDEX(Calculation!C$2:C9627, r),
    asOf,   MIN($A2014,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2968485.616</v>
      </c>
    </row>
    <row r="2015">
      <c r="A2015" s="19">
        <v>44250.0</v>
      </c>
      <c r="B2015" s="23">
        <v>1.0765E7</v>
      </c>
      <c r="C2015" s="23">
        <f t="shared" si="1"/>
        <v>2969960.274</v>
      </c>
      <c r="D2015" s="18">
        <f>IF(A2015="","",MATCH(A2015,Calculation!B$2:B9627,1))</f>
        <v>1</v>
      </c>
      <c r="E2015" s="23">
        <f t="array" ref="E2015">IF(D2015="","",IF(D2015=1,0,INDEX(Calculation!Q$2:Q9627,D2015-1)))</f>
        <v>0</v>
      </c>
      <c r="F2015" s="23">
        <f t="array" ref="F2015">IF($A2015="","",
  LET(
    r, $D2015,
    startD, INDEX(Calculation!B$2:B9627, r),
    endD,   INDEX(Calculation!C$2:C9627, r),
    asOf,   MIN($A2015,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2969960.274</v>
      </c>
    </row>
    <row r="2016">
      <c r="A2016" s="19">
        <v>44251.0</v>
      </c>
      <c r="B2016" s="23">
        <v>1.0765E7</v>
      </c>
      <c r="C2016" s="23">
        <f t="shared" si="1"/>
        <v>2971434.932</v>
      </c>
      <c r="D2016" s="18">
        <f>IF(A2016="","",MATCH(A2016,Calculation!B$2:B9627,1))</f>
        <v>1</v>
      </c>
      <c r="E2016" s="23">
        <f t="array" ref="E2016">IF(D2016="","",IF(D2016=1,0,INDEX(Calculation!Q$2:Q9627,D2016-1)))</f>
        <v>0</v>
      </c>
      <c r="F2016" s="23">
        <f t="array" ref="F2016">IF($A2016="","",
  LET(
    r, $D2016,
    startD, INDEX(Calculation!B$2:B9627, r),
    endD,   INDEX(Calculation!C$2:C9627, r),
    asOf,   MIN($A2016,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2971434.932</v>
      </c>
    </row>
    <row r="2017">
      <c r="A2017" s="19">
        <v>44252.0</v>
      </c>
      <c r="B2017" s="23">
        <v>1.0765E7</v>
      </c>
      <c r="C2017" s="23">
        <f t="shared" si="1"/>
        <v>2972909.589</v>
      </c>
      <c r="D2017" s="18">
        <f>IF(A2017="","",MATCH(A2017,Calculation!B$2:B9627,1))</f>
        <v>1</v>
      </c>
      <c r="E2017" s="23">
        <f t="array" ref="E2017">IF(D2017="","",IF(D2017=1,0,INDEX(Calculation!Q$2:Q9627,D2017-1)))</f>
        <v>0</v>
      </c>
      <c r="F2017" s="23">
        <f t="array" ref="F2017">IF($A2017="","",
  LET(
    r, $D2017,
    startD, INDEX(Calculation!B$2:B9627, r),
    endD,   INDEX(Calculation!C$2:C9627, r),
    asOf,   MIN($A2017,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2972909.589</v>
      </c>
    </row>
    <row r="2018">
      <c r="A2018" s="19">
        <v>44253.0</v>
      </c>
      <c r="B2018" s="23">
        <v>1.0765E7</v>
      </c>
      <c r="C2018" s="23">
        <f t="shared" si="1"/>
        <v>2974384.247</v>
      </c>
      <c r="D2018" s="18">
        <f>IF(A2018="","",MATCH(A2018,Calculation!B$2:B9627,1))</f>
        <v>1</v>
      </c>
      <c r="E2018" s="23">
        <f t="array" ref="E2018">IF(D2018="","",IF(D2018=1,0,INDEX(Calculation!Q$2:Q9627,D2018-1)))</f>
        <v>0</v>
      </c>
      <c r="F2018" s="23">
        <f t="array" ref="F2018">IF($A2018="","",
  LET(
    r, $D2018,
    startD, INDEX(Calculation!B$2:B9627, r),
    endD,   INDEX(Calculation!C$2:C9627, r),
    asOf,   MIN($A2018,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2974384.247</v>
      </c>
    </row>
    <row r="2019">
      <c r="A2019" s="19">
        <v>44254.0</v>
      </c>
      <c r="B2019" s="23">
        <v>1.0765E7</v>
      </c>
      <c r="C2019" s="23">
        <f t="shared" si="1"/>
        <v>2975858.904</v>
      </c>
      <c r="D2019" s="18">
        <f>IF(A2019="","",MATCH(A2019,Calculation!B$2:B9627,1))</f>
        <v>1</v>
      </c>
      <c r="E2019" s="23">
        <f t="array" ref="E2019">IF(D2019="","",IF(D2019=1,0,INDEX(Calculation!Q$2:Q9627,D2019-1)))</f>
        <v>0</v>
      </c>
      <c r="F2019" s="23">
        <f t="array" ref="F2019">IF($A2019="","",
  LET(
    r, $D2019,
    startD, INDEX(Calculation!B$2:B9627, r),
    endD,   INDEX(Calculation!C$2:C9627, r),
    asOf,   MIN($A2019,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2975858.904</v>
      </c>
    </row>
    <row r="2020">
      <c r="A2020" s="19">
        <v>44255.0</v>
      </c>
      <c r="B2020" s="23">
        <v>1.0765E7</v>
      </c>
      <c r="C2020" s="23">
        <f t="shared" si="1"/>
        <v>2977333.562</v>
      </c>
      <c r="D2020" s="18">
        <f>IF(A2020="","",MATCH(A2020,Calculation!B$2:B9627,1))</f>
        <v>1</v>
      </c>
      <c r="E2020" s="23">
        <f t="array" ref="E2020">IF(D2020="","",IF(D2020=1,0,INDEX(Calculation!Q$2:Q9627,D2020-1)))</f>
        <v>0</v>
      </c>
      <c r="F2020" s="23">
        <f t="array" ref="F2020">IF($A2020="","",
  LET(
    r, $D2020,
    startD, INDEX(Calculation!B$2:B9627, r),
    endD,   INDEX(Calculation!C$2:C9627, r),
    asOf,   MIN($A2020,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2977333.562</v>
      </c>
    </row>
    <row r="2021">
      <c r="A2021" s="19">
        <v>44256.0</v>
      </c>
      <c r="B2021" s="23">
        <v>1.0765E7</v>
      </c>
      <c r="C2021" s="23">
        <f t="shared" si="1"/>
        <v>2978808.219</v>
      </c>
      <c r="D2021" s="18">
        <f>IF(A2021="","",MATCH(A2021,Calculation!B$2:B9627,1))</f>
        <v>1</v>
      </c>
      <c r="E2021" s="23">
        <f t="array" ref="E2021">IF(D2021="","",IF(D2021=1,0,INDEX(Calculation!Q$2:Q9627,D2021-1)))</f>
        <v>0</v>
      </c>
      <c r="F2021" s="23">
        <f t="array" ref="F2021">IF($A2021="","",
  LET(
    r, $D2021,
    startD, INDEX(Calculation!B$2:B9627, r),
    endD,   INDEX(Calculation!C$2:C9627, r),
    asOf,   MIN($A2021,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2978808.219</v>
      </c>
    </row>
    <row r="2022">
      <c r="A2022" s="19">
        <v>44257.0</v>
      </c>
      <c r="B2022" s="23">
        <v>1.0765E7</v>
      </c>
      <c r="C2022" s="23">
        <f t="shared" si="1"/>
        <v>2980282.877</v>
      </c>
      <c r="D2022" s="18">
        <f>IF(A2022="","",MATCH(A2022,Calculation!B$2:B9627,1))</f>
        <v>1</v>
      </c>
      <c r="E2022" s="23">
        <f t="array" ref="E2022">IF(D2022="","",IF(D2022=1,0,INDEX(Calculation!Q$2:Q9627,D2022-1)))</f>
        <v>0</v>
      </c>
      <c r="F2022" s="23">
        <f t="array" ref="F2022">IF($A2022="","",
  LET(
    r, $D2022,
    startD, INDEX(Calculation!B$2:B9627, r),
    endD,   INDEX(Calculation!C$2:C9627, r),
    asOf,   MIN($A2022,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2980282.877</v>
      </c>
    </row>
    <row r="2023">
      <c r="A2023" s="19">
        <v>44258.0</v>
      </c>
      <c r="B2023" s="23">
        <v>1.0765E7</v>
      </c>
      <c r="C2023" s="23">
        <f t="shared" si="1"/>
        <v>2981757.534</v>
      </c>
      <c r="D2023" s="18">
        <f>IF(A2023="","",MATCH(A2023,Calculation!B$2:B9627,1))</f>
        <v>1</v>
      </c>
      <c r="E2023" s="23">
        <f t="array" ref="E2023">IF(D2023="","",IF(D2023=1,0,INDEX(Calculation!Q$2:Q9627,D2023-1)))</f>
        <v>0</v>
      </c>
      <c r="F2023" s="23">
        <f t="array" ref="F2023">IF($A2023="","",
  LET(
    r, $D2023,
    startD, INDEX(Calculation!B$2:B9627, r),
    endD,   INDEX(Calculation!C$2:C9627, r),
    asOf,   MIN($A2023,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2981757.534</v>
      </c>
    </row>
    <row r="2024">
      <c r="A2024" s="19">
        <v>44259.0</v>
      </c>
      <c r="B2024" s="23">
        <v>1.0765E7</v>
      </c>
      <c r="C2024" s="23">
        <f t="shared" si="1"/>
        <v>2983232.192</v>
      </c>
      <c r="D2024" s="18">
        <f>IF(A2024="","",MATCH(A2024,Calculation!B$2:B9627,1))</f>
        <v>1</v>
      </c>
      <c r="E2024" s="23">
        <f t="array" ref="E2024">IF(D2024="","",IF(D2024=1,0,INDEX(Calculation!Q$2:Q9627,D2024-1)))</f>
        <v>0</v>
      </c>
      <c r="F2024" s="23">
        <f t="array" ref="F2024">IF($A2024="","",
  LET(
    r, $D2024,
    startD, INDEX(Calculation!B$2:B9627, r),
    endD,   INDEX(Calculation!C$2:C9627, r),
    asOf,   MIN($A2024,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2983232.192</v>
      </c>
    </row>
    <row r="2025">
      <c r="A2025" s="19">
        <v>44260.0</v>
      </c>
      <c r="B2025" s="23">
        <v>1.0765E7</v>
      </c>
      <c r="C2025" s="23">
        <f t="shared" si="1"/>
        <v>2984706.849</v>
      </c>
      <c r="D2025" s="18">
        <f>IF(A2025="","",MATCH(A2025,Calculation!B$2:B9627,1))</f>
        <v>1</v>
      </c>
      <c r="E2025" s="23">
        <f t="array" ref="E2025">IF(D2025="","",IF(D2025=1,0,INDEX(Calculation!Q$2:Q9627,D2025-1)))</f>
        <v>0</v>
      </c>
      <c r="F2025" s="23">
        <f t="array" ref="F2025">IF($A2025="","",
  LET(
    r, $D2025,
    startD, INDEX(Calculation!B$2:B9627, r),
    endD,   INDEX(Calculation!C$2:C9627, r),
    asOf,   MIN($A2025,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2984706.849</v>
      </c>
    </row>
    <row r="2026">
      <c r="A2026" s="19">
        <v>44261.0</v>
      </c>
      <c r="B2026" s="23">
        <v>1.0765E7</v>
      </c>
      <c r="C2026" s="23">
        <f t="shared" si="1"/>
        <v>2986181.507</v>
      </c>
      <c r="D2026" s="18">
        <f>IF(A2026="","",MATCH(A2026,Calculation!B$2:B9627,1))</f>
        <v>1</v>
      </c>
      <c r="E2026" s="23">
        <f t="array" ref="E2026">IF(D2026="","",IF(D2026=1,0,INDEX(Calculation!Q$2:Q9627,D2026-1)))</f>
        <v>0</v>
      </c>
      <c r="F2026" s="23">
        <f t="array" ref="F2026">IF($A2026="","",
  LET(
    r, $D2026,
    startD, INDEX(Calculation!B$2:B9627, r),
    endD,   INDEX(Calculation!C$2:C9627, r),
    asOf,   MIN($A2026,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2986181.507</v>
      </c>
    </row>
    <row r="2027">
      <c r="A2027" s="19">
        <v>44262.0</v>
      </c>
      <c r="B2027" s="23">
        <v>1.0765E7</v>
      </c>
      <c r="C2027" s="23">
        <f t="shared" si="1"/>
        <v>2987656.164</v>
      </c>
      <c r="D2027" s="18">
        <f>IF(A2027="","",MATCH(A2027,Calculation!B$2:B9627,1))</f>
        <v>1</v>
      </c>
      <c r="E2027" s="23">
        <f t="array" ref="E2027">IF(D2027="","",IF(D2027=1,0,INDEX(Calculation!Q$2:Q9627,D2027-1)))</f>
        <v>0</v>
      </c>
      <c r="F2027" s="23">
        <f t="array" ref="F2027">IF($A2027="","",
  LET(
    r, $D2027,
    startD, INDEX(Calculation!B$2:B9627, r),
    endD,   INDEX(Calculation!C$2:C9627, r),
    asOf,   MIN($A2027,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2987656.164</v>
      </c>
    </row>
    <row r="2028">
      <c r="A2028" s="19">
        <v>44263.0</v>
      </c>
      <c r="B2028" s="23">
        <v>1.0765E7</v>
      </c>
      <c r="C2028" s="23">
        <f t="shared" si="1"/>
        <v>2989130.822</v>
      </c>
      <c r="D2028" s="18">
        <f>IF(A2028="","",MATCH(A2028,Calculation!B$2:B9627,1))</f>
        <v>1</v>
      </c>
      <c r="E2028" s="23">
        <f t="array" ref="E2028">IF(D2028="","",IF(D2028=1,0,INDEX(Calculation!Q$2:Q9627,D2028-1)))</f>
        <v>0</v>
      </c>
      <c r="F2028" s="23">
        <f t="array" ref="F2028">IF($A2028="","",
  LET(
    r, $D2028,
    startD, INDEX(Calculation!B$2:B9627, r),
    endD,   INDEX(Calculation!C$2:C9627, r),
    asOf,   MIN($A2028,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2989130.822</v>
      </c>
    </row>
    <row r="2029">
      <c r="A2029" s="19">
        <v>44264.0</v>
      </c>
      <c r="B2029" s="23">
        <v>1.0765E7</v>
      </c>
      <c r="C2029" s="23">
        <f t="shared" si="1"/>
        <v>2990605.479</v>
      </c>
      <c r="D2029" s="18">
        <f>IF(A2029="","",MATCH(A2029,Calculation!B$2:B9627,1))</f>
        <v>1</v>
      </c>
      <c r="E2029" s="23">
        <f t="array" ref="E2029">IF(D2029="","",IF(D2029=1,0,INDEX(Calculation!Q$2:Q9627,D2029-1)))</f>
        <v>0</v>
      </c>
      <c r="F2029" s="23">
        <f t="array" ref="F2029">IF($A2029="","",
  LET(
    r, $D2029,
    startD, INDEX(Calculation!B$2:B9627, r),
    endD,   INDEX(Calculation!C$2:C9627, r),
    asOf,   MIN($A2029,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2990605.479</v>
      </c>
    </row>
    <row r="2030">
      <c r="A2030" s="19">
        <v>44265.0</v>
      </c>
      <c r="B2030" s="23">
        <v>1.0765E7</v>
      </c>
      <c r="C2030" s="23">
        <f t="shared" si="1"/>
        <v>2992080.137</v>
      </c>
      <c r="D2030" s="18">
        <f>IF(A2030="","",MATCH(A2030,Calculation!B$2:B9627,1))</f>
        <v>1</v>
      </c>
      <c r="E2030" s="23">
        <f t="array" ref="E2030">IF(D2030="","",IF(D2030=1,0,INDEX(Calculation!Q$2:Q9627,D2030-1)))</f>
        <v>0</v>
      </c>
      <c r="F2030" s="23">
        <f t="array" ref="F2030">IF($A2030="","",
  LET(
    r, $D2030,
    startD, INDEX(Calculation!B$2:B9627, r),
    endD,   INDEX(Calculation!C$2:C9627, r),
    asOf,   MIN($A2030,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2992080.137</v>
      </c>
    </row>
    <row r="2031">
      <c r="A2031" s="19">
        <v>44266.0</v>
      </c>
      <c r="B2031" s="23">
        <v>1.0765E7</v>
      </c>
      <c r="C2031" s="23">
        <f t="shared" si="1"/>
        <v>2993554.795</v>
      </c>
      <c r="D2031" s="18">
        <f>IF(A2031="","",MATCH(A2031,Calculation!B$2:B9627,1))</f>
        <v>1</v>
      </c>
      <c r="E2031" s="23">
        <f t="array" ref="E2031">IF(D2031="","",IF(D2031=1,0,INDEX(Calculation!Q$2:Q9627,D2031-1)))</f>
        <v>0</v>
      </c>
      <c r="F2031" s="23">
        <f t="array" ref="F2031">IF($A2031="","",
  LET(
    r, $D2031,
    startD, INDEX(Calculation!B$2:B9627, r),
    endD,   INDEX(Calculation!C$2:C9627, r),
    asOf,   MIN($A2031,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2993554.795</v>
      </c>
    </row>
    <row r="2032">
      <c r="A2032" s="19">
        <v>44267.0</v>
      </c>
      <c r="B2032" s="23">
        <v>1.0765E7</v>
      </c>
      <c r="C2032" s="23">
        <f t="shared" si="1"/>
        <v>2995029.452</v>
      </c>
      <c r="D2032" s="18">
        <f>IF(A2032="","",MATCH(A2032,Calculation!B$2:B9627,1))</f>
        <v>1</v>
      </c>
      <c r="E2032" s="23">
        <f t="array" ref="E2032">IF(D2032="","",IF(D2032=1,0,INDEX(Calculation!Q$2:Q9627,D2032-1)))</f>
        <v>0</v>
      </c>
      <c r="F2032" s="23">
        <f t="array" ref="F2032">IF($A2032="","",
  LET(
    r, $D2032,
    startD, INDEX(Calculation!B$2:B9627, r),
    endD,   INDEX(Calculation!C$2:C9627, r),
    asOf,   MIN($A2032,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2995029.452</v>
      </c>
    </row>
    <row r="2033">
      <c r="A2033" s="19">
        <v>44268.0</v>
      </c>
      <c r="B2033" s="23">
        <v>1.0765E7</v>
      </c>
      <c r="C2033" s="23">
        <f t="shared" si="1"/>
        <v>2996504.11</v>
      </c>
      <c r="D2033" s="18">
        <f>IF(A2033="","",MATCH(A2033,Calculation!B$2:B9627,1))</f>
        <v>1</v>
      </c>
      <c r="E2033" s="23">
        <f t="array" ref="E2033">IF(D2033="","",IF(D2033=1,0,INDEX(Calculation!Q$2:Q9627,D2033-1)))</f>
        <v>0</v>
      </c>
      <c r="F2033" s="23">
        <f t="array" ref="F2033">IF($A2033="","",
  LET(
    r, $D2033,
    startD, INDEX(Calculation!B$2:B9627, r),
    endD,   INDEX(Calculation!C$2:C9627, r),
    asOf,   MIN($A2033,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2996504.11</v>
      </c>
    </row>
    <row r="2034">
      <c r="A2034" s="19">
        <v>44269.0</v>
      </c>
      <c r="B2034" s="23">
        <v>1.0765E7</v>
      </c>
      <c r="C2034" s="23">
        <f t="shared" si="1"/>
        <v>2997978.767</v>
      </c>
      <c r="D2034" s="18">
        <f>IF(A2034="","",MATCH(A2034,Calculation!B$2:B9627,1))</f>
        <v>1</v>
      </c>
      <c r="E2034" s="23">
        <f t="array" ref="E2034">IF(D2034="","",IF(D2034=1,0,INDEX(Calculation!Q$2:Q9627,D2034-1)))</f>
        <v>0</v>
      </c>
      <c r="F2034" s="23">
        <f t="array" ref="F2034">IF($A2034="","",
  LET(
    r, $D2034,
    startD, INDEX(Calculation!B$2:B9627, r),
    endD,   INDEX(Calculation!C$2:C9627, r),
    asOf,   MIN($A2034,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2997978.767</v>
      </c>
    </row>
    <row r="2035">
      <c r="A2035" s="19">
        <v>44270.0</v>
      </c>
      <c r="B2035" s="23">
        <v>1.0765E7</v>
      </c>
      <c r="C2035" s="23">
        <f t="shared" si="1"/>
        <v>2999453.425</v>
      </c>
      <c r="D2035" s="18">
        <f>IF(A2035="","",MATCH(A2035,Calculation!B$2:B9627,1))</f>
        <v>1</v>
      </c>
      <c r="E2035" s="23">
        <f t="array" ref="E2035">IF(D2035="","",IF(D2035=1,0,INDEX(Calculation!Q$2:Q9627,D2035-1)))</f>
        <v>0</v>
      </c>
      <c r="F2035" s="23">
        <f t="array" ref="F2035">IF($A2035="","",
  LET(
    r, $D2035,
    startD, INDEX(Calculation!B$2:B9627, r),
    endD,   INDEX(Calculation!C$2:C9627, r),
    asOf,   MIN($A2035,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2999453.425</v>
      </c>
    </row>
    <row r="2036">
      <c r="A2036" s="19">
        <v>44271.0</v>
      </c>
      <c r="B2036" s="23">
        <v>1.0765E7</v>
      </c>
      <c r="C2036" s="23">
        <f t="shared" si="1"/>
        <v>3000928.082</v>
      </c>
      <c r="D2036" s="18">
        <f>IF(A2036="","",MATCH(A2036,Calculation!B$2:B9627,1))</f>
        <v>1</v>
      </c>
      <c r="E2036" s="23">
        <f t="array" ref="E2036">IF(D2036="","",IF(D2036=1,0,INDEX(Calculation!Q$2:Q9627,D2036-1)))</f>
        <v>0</v>
      </c>
      <c r="F2036" s="23">
        <f t="array" ref="F2036">IF($A2036="","",
  LET(
    r, $D2036,
    startD, INDEX(Calculation!B$2:B9627, r),
    endD,   INDEX(Calculation!C$2:C9627, r),
    asOf,   MIN($A2036,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3000928.082</v>
      </c>
    </row>
    <row r="2037">
      <c r="A2037" s="19">
        <v>44272.0</v>
      </c>
      <c r="B2037" s="23">
        <v>1.0765E7</v>
      </c>
      <c r="C2037" s="23">
        <f t="shared" si="1"/>
        <v>3002402.74</v>
      </c>
      <c r="D2037" s="18">
        <f>IF(A2037="","",MATCH(A2037,Calculation!B$2:B9627,1))</f>
        <v>1</v>
      </c>
      <c r="E2037" s="23">
        <f t="array" ref="E2037">IF(D2037="","",IF(D2037=1,0,INDEX(Calculation!Q$2:Q9627,D2037-1)))</f>
        <v>0</v>
      </c>
      <c r="F2037" s="23">
        <f t="array" ref="F2037">IF($A2037="","",
  LET(
    r, $D2037,
    startD, INDEX(Calculation!B$2:B9627, r),
    endD,   INDEX(Calculation!C$2:C9627, r),
    asOf,   MIN($A2037,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3002402.74</v>
      </c>
    </row>
    <row r="2038">
      <c r="A2038" s="19">
        <v>44273.0</v>
      </c>
      <c r="B2038" s="23">
        <v>1.0765E7</v>
      </c>
      <c r="C2038" s="23">
        <f t="shared" si="1"/>
        <v>3003877.397</v>
      </c>
      <c r="D2038" s="18">
        <f>IF(A2038="","",MATCH(A2038,Calculation!B$2:B9627,1))</f>
        <v>1</v>
      </c>
      <c r="E2038" s="23">
        <f t="array" ref="E2038">IF(D2038="","",IF(D2038=1,0,INDEX(Calculation!Q$2:Q9627,D2038-1)))</f>
        <v>0</v>
      </c>
      <c r="F2038" s="23">
        <f t="array" ref="F2038">IF($A2038="","",
  LET(
    r, $D2038,
    startD, INDEX(Calculation!B$2:B9627, r),
    endD,   INDEX(Calculation!C$2:C9627, r),
    asOf,   MIN($A2038,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3003877.397</v>
      </c>
    </row>
    <row r="2039">
      <c r="A2039" s="19">
        <v>44274.0</v>
      </c>
      <c r="B2039" s="23">
        <v>1.0765E7</v>
      </c>
      <c r="C2039" s="23">
        <f t="shared" si="1"/>
        <v>3005352.055</v>
      </c>
      <c r="D2039" s="18">
        <f>IF(A2039="","",MATCH(A2039,Calculation!B$2:B9627,1))</f>
        <v>1</v>
      </c>
      <c r="E2039" s="23">
        <f t="array" ref="E2039">IF(D2039="","",IF(D2039=1,0,INDEX(Calculation!Q$2:Q9627,D2039-1)))</f>
        <v>0</v>
      </c>
      <c r="F2039" s="23">
        <f t="array" ref="F2039">IF($A2039="","",
  LET(
    r, $D2039,
    startD, INDEX(Calculation!B$2:B9627, r),
    endD,   INDEX(Calculation!C$2:C9627, r),
    asOf,   MIN($A2039,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3005352.055</v>
      </c>
    </row>
    <row r="2040">
      <c r="A2040" s="19">
        <v>44275.0</v>
      </c>
      <c r="B2040" s="23">
        <v>1.0765E7</v>
      </c>
      <c r="C2040" s="23">
        <f t="shared" si="1"/>
        <v>3006826.712</v>
      </c>
      <c r="D2040" s="18">
        <f>IF(A2040="","",MATCH(A2040,Calculation!B$2:B9627,1))</f>
        <v>1</v>
      </c>
      <c r="E2040" s="23">
        <f t="array" ref="E2040">IF(D2040="","",IF(D2040=1,0,INDEX(Calculation!Q$2:Q9627,D2040-1)))</f>
        <v>0</v>
      </c>
      <c r="F2040" s="23">
        <f t="array" ref="F2040">IF($A2040="","",
  LET(
    r, $D2040,
    startD, INDEX(Calculation!B$2:B9627, r),
    endD,   INDEX(Calculation!C$2:C9627, r),
    asOf,   MIN($A2040,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3006826.712</v>
      </c>
    </row>
    <row r="2041">
      <c r="A2041" s="19">
        <v>44276.0</v>
      </c>
      <c r="B2041" s="23">
        <v>1.0765E7</v>
      </c>
      <c r="C2041" s="23">
        <f t="shared" si="1"/>
        <v>3008301.37</v>
      </c>
      <c r="D2041" s="18">
        <f>IF(A2041="","",MATCH(A2041,Calculation!B$2:B9627,1))</f>
        <v>1</v>
      </c>
      <c r="E2041" s="23">
        <f t="array" ref="E2041">IF(D2041="","",IF(D2041=1,0,INDEX(Calculation!Q$2:Q9627,D2041-1)))</f>
        <v>0</v>
      </c>
      <c r="F2041" s="23">
        <f t="array" ref="F2041">IF($A2041="","",
  LET(
    r, $D2041,
    startD, INDEX(Calculation!B$2:B9627, r),
    endD,   INDEX(Calculation!C$2:C9627, r),
    asOf,   MIN($A2041,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3008301.37</v>
      </c>
    </row>
    <row r="2042">
      <c r="A2042" s="19">
        <v>44277.0</v>
      </c>
      <c r="B2042" s="23">
        <v>1.0765E7</v>
      </c>
      <c r="C2042" s="23">
        <f t="shared" si="1"/>
        <v>3009776.027</v>
      </c>
      <c r="D2042" s="18">
        <f>IF(A2042="","",MATCH(A2042,Calculation!B$2:B9627,1))</f>
        <v>1</v>
      </c>
      <c r="E2042" s="23">
        <f t="array" ref="E2042">IF(D2042="","",IF(D2042=1,0,INDEX(Calculation!Q$2:Q9627,D2042-1)))</f>
        <v>0</v>
      </c>
      <c r="F2042" s="23">
        <f t="array" ref="F2042">IF($A2042="","",
  LET(
    r, $D2042,
    startD, INDEX(Calculation!B$2:B9627, r),
    endD,   INDEX(Calculation!C$2:C9627, r),
    asOf,   MIN($A2042,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3009776.027</v>
      </c>
    </row>
    <row r="2043">
      <c r="A2043" s="19">
        <v>44278.0</v>
      </c>
      <c r="B2043" s="23">
        <v>1.0765E7</v>
      </c>
      <c r="C2043" s="23">
        <f t="shared" si="1"/>
        <v>3011250.685</v>
      </c>
      <c r="D2043" s="18">
        <f>IF(A2043="","",MATCH(A2043,Calculation!B$2:B9627,1))</f>
        <v>1</v>
      </c>
      <c r="E2043" s="23">
        <f t="array" ref="E2043">IF(D2043="","",IF(D2043=1,0,INDEX(Calculation!Q$2:Q9627,D2043-1)))</f>
        <v>0</v>
      </c>
      <c r="F2043" s="23">
        <f t="array" ref="F2043">IF($A2043="","",
  LET(
    r, $D2043,
    startD, INDEX(Calculation!B$2:B9627, r),
    endD,   INDEX(Calculation!C$2:C9627, r),
    asOf,   MIN($A2043,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3011250.685</v>
      </c>
    </row>
    <row r="2044">
      <c r="A2044" s="19">
        <v>44279.0</v>
      </c>
      <c r="B2044" s="23">
        <v>1.0765E7</v>
      </c>
      <c r="C2044" s="23">
        <f t="shared" si="1"/>
        <v>3012725.342</v>
      </c>
      <c r="D2044" s="18">
        <f>IF(A2044="","",MATCH(A2044,Calculation!B$2:B9627,1))</f>
        <v>1</v>
      </c>
      <c r="E2044" s="23">
        <f t="array" ref="E2044">IF(D2044="","",IF(D2044=1,0,INDEX(Calculation!Q$2:Q9627,D2044-1)))</f>
        <v>0</v>
      </c>
      <c r="F2044" s="23">
        <f t="array" ref="F2044">IF($A2044="","",
  LET(
    r, $D2044,
    startD, INDEX(Calculation!B$2:B9627, r),
    endD,   INDEX(Calculation!C$2:C9627, r),
    asOf,   MIN($A2044,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3012725.342</v>
      </c>
    </row>
    <row r="2045">
      <c r="A2045" s="19">
        <v>44280.0</v>
      </c>
      <c r="B2045" s="23">
        <v>1.0765E7</v>
      </c>
      <c r="C2045" s="23">
        <f t="shared" si="1"/>
        <v>3014200</v>
      </c>
      <c r="D2045" s="18">
        <f>IF(A2045="","",MATCH(A2045,Calculation!B$2:B9627,1))</f>
        <v>1</v>
      </c>
      <c r="E2045" s="23">
        <f t="array" ref="E2045">IF(D2045="","",IF(D2045=1,0,INDEX(Calculation!Q$2:Q9627,D2045-1)))</f>
        <v>0</v>
      </c>
      <c r="F2045" s="23">
        <f t="array" ref="F2045">IF($A2045="","",
  LET(
    r, $D2045,
    startD, INDEX(Calculation!B$2:B9627, r),
    endD,   INDEX(Calculation!C$2:C9627, r),
    asOf,   MIN($A2045,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3014200</v>
      </c>
    </row>
    <row r="2046">
      <c r="A2046" s="19">
        <v>44281.0</v>
      </c>
      <c r="B2046" s="23">
        <v>1.0765E7</v>
      </c>
      <c r="C2046" s="23">
        <f t="shared" si="1"/>
        <v>3015674.658</v>
      </c>
      <c r="D2046" s="18">
        <f>IF(A2046="","",MATCH(A2046,Calculation!B$2:B9627,1))</f>
        <v>1</v>
      </c>
      <c r="E2046" s="23">
        <f t="array" ref="E2046">IF(D2046="","",IF(D2046=1,0,INDEX(Calculation!Q$2:Q9627,D2046-1)))</f>
        <v>0</v>
      </c>
      <c r="F2046" s="23">
        <f t="array" ref="F2046">IF($A2046="","",
  LET(
    r, $D2046,
    startD, INDEX(Calculation!B$2:B9627, r),
    endD,   INDEX(Calculation!C$2:C9627, r),
    asOf,   MIN($A2046,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3015674.658</v>
      </c>
    </row>
    <row r="2047">
      <c r="A2047" s="19">
        <v>44282.0</v>
      </c>
      <c r="B2047" s="23">
        <v>1.0765E7</v>
      </c>
      <c r="C2047" s="23">
        <f t="shared" si="1"/>
        <v>3017149.315</v>
      </c>
      <c r="D2047" s="18">
        <f>IF(A2047="","",MATCH(A2047,Calculation!B$2:B9627,1))</f>
        <v>1</v>
      </c>
      <c r="E2047" s="23">
        <f t="array" ref="E2047">IF(D2047="","",IF(D2047=1,0,INDEX(Calculation!Q$2:Q9627,D2047-1)))</f>
        <v>0</v>
      </c>
      <c r="F2047" s="23">
        <f t="array" ref="F2047">IF($A2047="","",
  LET(
    r, $D2047,
    startD, INDEX(Calculation!B$2:B9627, r),
    endD,   INDEX(Calculation!C$2:C9627, r),
    asOf,   MIN($A2047,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3017149.315</v>
      </c>
    </row>
    <row r="2048">
      <c r="A2048" s="19">
        <v>44283.0</v>
      </c>
      <c r="B2048" s="23">
        <v>1.0765E7</v>
      </c>
      <c r="C2048" s="23">
        <f t="shared" si="1"/>
        <v>3018623.973</v>
      </c>
      <c r="D2048" s="18">
        <f>IF(A2048="","",MATCH(A2048,Calculation!B$2:B9627,1))</f>
        <v>1</v>
      </c>
      <c r="E2048" s="23">
        <f t="array" ref="E2048">IF(D2048="","",IF(D2048=1,0,INDEX(Calculation!Q$2:Q9627,D2048-1)))</f>
        <v>0</v>
      </c>
      <c r="F2048" s="23">
        <f t="array" ref="F2048">IF($A2048="","",
  LET(
    r, $D2048,
    startD, INDEX(Calculation!B$2:B9627, r),
    endD,   INDEX(Calculation!C$2:C9627, r),
    asOf,   MIN($A2048,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3018623.973</v>
      </c>
    </row>
    <row r="2049">
      <c r="A2049" s="19">
        <v>44284.0</v>
      </c>
      <c r="B2049" s="23">
        <v>1.0765E7</v>
      </c>
      <c r="C2049" s="23">
        <f t="shared" si="1"/>
        <v>3020098.63</v>
      </c>
      <c r="D2049" s="18">
        <f>IF(A2049="","",MATCH(A2049,Calculation!B$2:B9627,1))</f>
        <v>1</v>
      </c>
      <c r="E2049" s="23">
        <f t="array" ref="E2049">IF(D2049="","",IF(D2049=1,0,INDEX(Calculation!Q$2:Q9627,D2049-1)))</f>
        <v>0</v>
      </c>
      <c r="F2049" s="23">
        <f t="array" ref="F2049">IF($A2049="","",
  LET(
    r, $D2049,
    startD, INDEX(Calculation!B$2:B9627, r),
    endD,   INDEX(Calculation!C$2:C9627, r),
    asOf,   MIN($A2049,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3020098.63</v>
      </c>
    </row>
    <row r="2050">
      <c r="A2050" s="19">
        <v>44285.0</v>
      </c>
      <c r="B2050" s="23">
        <v>1.0765E7</v>
      </c>
      <c r="C2050" s="23">
        <f t="shared" si="1"/>
        <v>3021573.288</v>
      </c>
      <c r="D2050" s="18">
        <f>IF(A2050="","",MATCH(A2050,Calculation!B$2:B9627,1))</f>
        <v>1</v>
      </c>
      <c r="E2050" s="23">
        <f t="array" ref="E2050">IF(D2050="","",IF(D2050=1,0,INDEX(Calculation!Q$2:Q9627,D2050-1)))</f>
        <v>0</v>
      </c>
      <c r="F2050" s="23">
        <f t="array" ref="F2050">IF($A2050="","",
  LET(
    r, $D2050,
    startD, INDEX(Calculation!B$2:B9627, r),
    endD,   INDEX(Calculation!C$2:C9627, r),
    asOf,   MIN($A2050,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3021573.288</v>
      </c>
    </row>
    <row r="2051">
      <c r="A2051" s="19">
        <v>44286.0</v>
      </c>
      <c r="B2051" s="23">
        <v>1.0765E7</v>
      </c>
      <c r="C2051" s="23">
        <f t="shared" si="1"/>
        <v>3023047.945</v>
      </c>
      <c r="D2051" s="18">
        <f>IF(A2051="","",MATCH(A2051,Calculation!B$2:B9627,1))</f>
        <v>1</v>
      </c>
      <c r="E2051" s="23">
        <f t="array" ref="E2051">IF(D2051="","",IF(D2051=1,0,INDEX(Calculation!Q$2:Q9627,D2051-1)))</f>
        <v>0</v>
      </c>
      <c r="F2051" s="23">
        <f t="array" ref="F2051">IF($A2051="","",
  LET(
    r, $D2051,
    startD, INDEX(Calculation!B$2:B9627, r),
    endD,   INDEX(Calculation!C$2:C9627, r),
    asOf,   MIN($A2051,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3023047.945</v>
      </c>
    </row>
    <row r="2052">
      <c r="A2052" s="19">
        <v>44287.0</v>
      </c>
      <c r="B2052" s="23">
        <v>1.0765E7</v>
      </c>
      <c r="C2052" s="23">
        <f t="shared" si="1"/>
        <v>3024522.603</v>
      </c>
      <c r="D2052" s="18">
        <f>IF(A2052="","",MATCH(A2052,Calculation!B$2:B9627,1))</f>
        <v>1</v>
      </c>
      <c r="E2052" s="23">
        <f t="array" ref="E2052">IF(D2052="","",IF(D2052=1,0,INDEX(Calculation!Q$2:Q9627,D2052-1)))</f>
        <v>0</v>
      </c>
      <c r="F2052" s="23">
        <f t="array" ref="F2052">IF($A2052="","",
  LET(
    r, $D2052,
    startD, INDEX(Calculation!B$2:B9627, r),
    endD,   INDEX(Calculation!C$2:C9627, r),
    asOf,   MIN($A2052,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3024522.603</v>
      </c>
    </row>
    <row r="2053">
      <c r="A2053" s="19">
        <v>44288.0</v>
      </c>
      <c r="B2053" s="23">
        <v>1.0765E7</v>
      </c>
      <c r="C2053" s="23">
        <f t="shared" si="1"/>
        <v>3025997.26</v>
      </c>
      <c r="D2053" s="18">
        <f>IF(A2053="","",MATCH(A2053,Calculation!B$2:B9627,1))</f>
        <v>1</v>
      </c>
      <c r="E2053" s="23">
        <f t="array" ref="E2053">IF(D2053="","",IF(D2053=1,0,INDEX(Calculation!Q$2:Q9627,D2053-1)))</f>
        <v>0</v>
      </c>
      <c r="F2053" s="23">
        <f t="array" ref="F2053">IF($A2053="","",
  LET(
    r, $D2053,
    startD, INDEX(Calculation!B$2:B9627, r),
    endD,   INDEX(Calculation!C$2:C9627, r),
    asOf,   MIN($A2053,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3025997.26</v>
      </c>
    </row>
    <row r="2054">
      <c r="A2054" s="19">
        <v>44289.0</v>
      </c>
      <c r="B2054" s="23">
        <v>1.0765E7</v>
      </c>
      <c r="C2054" s="23">
        <f t="shared" si="1"/>
        <v>3027471.918</v>
      </c>
      <c r="D2054" s="18">
        <f>IF(A2054="","",MATCH(A2054,Calculation!B$2:B9627,1))</f>
        <v>1</v>
      </c>
      <c r="E2054" s="23">
        <f t="array" ref="E2054">IF(D2054="","",IF(D2054=1,0,INDEX(Calculation!Q$2:Q9627,D2054-1)))</f>
        <v>0</v>
      </c>
      <c r="F2054" s="23">
        <f t="array" ref="F2054">IF($A2054="","",
  LET(
    r, $D2054,
    startD, INDEX(Calculation!B$2:B9627, r),
    endD,   INDEX(Calculation!C$2:C9627, r),
    asOf,   MIN($A2054,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3027471.918</v>
      </c>
    </row>
    <row r="2055">
      <c r="A2055" s="19">
        <v>44290.0</v>
      </c>
      <c r="B2055" s="23">
        <v>1.0765E7</v>
      </c>
      <c r="C2055" s="23">
        <f t="shared" si="1"/>
        <v>3028946.575</v>
      </c>
      <c r="D2055" s="18">
        <f>IF(A2055="","",MATCH(A2055,Calculation!B$2:B9627,1))</f>
        <v>1</v>
      </c>
      <c r="E2055" s="23">
        <f t="array" ref="E2055">IF(D2055="","",IF(D2055=1,0,INDEX(Calculation!Q$2:Q9627,D2055-1)))</f>
        <v>0</v>
      </c>
      <c r="F2055" s="23">
        <f t="array" ref="F2055">IF($A2055="","",
  LET(
    r, $D2055,
    startD, INDEX(Calculation!B$2:B9627, r),
    endD,   INDEX(Calculation!C$2:C9627, r),
    asOf,   MIN($A2055,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3028946.575</v>
      </c>
    </row>
    <row r="2056">
      <c r="A2056" s="19">
        <v>44291.0</v>
      </c>
      <c r="B2056" s="23">
        <v>1.0765E7</v>
      </c>
      <c r="C2056" s="23">
        <f t="shared" si="1"/>
        <v>3030421.233</v>
      </c>
      <c r="D2056" s="18">
        <f>IF(A2056="","",MATCH(A2056,Calculation!B$2:B9627,1))</f>
        <v>1</v>
      </c>
      <c r="E2056" s="23">
        <f t="array" ref="E2056">IF(D2056="","",IF(D2056=1,0,INDEX(Calculation!Q$2:Q9627,D2056-1)))</f>
        <v>0</v>
      </c>
      <c r="F2056" s="23">
        <f t="array" ref="F2056">IF($A2056="","",
  LET(
    r, $D2056,
    startD, INDEX(Calculation!B$2:B9627, r),
    endD,   INDEX(Calculation!C$2:C9627, r),
    asOf,   MIN($A2056,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3030421.233</v>
      </c>
    </row>
    <row r="2057">
      <c r="A2057" s="19">
        <v>44292.0</v>
      </c>
      <c r="B2057" s="23">
        <v>1.0765E7</v>
      </c>
      <c r="C2057" s="23">
        <f t="shared" si="1"/>
        <v>3031895.89</v>
      </c>
      <c r="D2057" s="18">
        <f>IF(A2057="","",MATCH(A2057,Calculation!B$2:B9627,1))</f>
        <v>1</v>
      </c>
      <c r="E2057" s="23">
        <f t="array" ref="E2057">IF(D2057="","",IF(D2057=1,0,INDEX(Calculation!Q$2:Q9627,D2057-1)))</f>
        <v>0</v>
      </c>
      <c r="F2057" s="23">
        <f t="array" ref="F2057">IF($A2057="","",
  LET(
    r, $D2057,
    startD, INDEX(Calculation!B$2:B9627, r),
    endD,   INDEX(Calculation!C$2:C9627, r),
    asOf,   MIN($A2057,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3031895.89</v>
      </c>
    </row>
    <row r="2058">
      <c r="A2058" s="19">
        <v>44293.0</v>
      </c>
      <c r="B2058" s="23">
        <v>1.0765E7</v>
      </c>
      <c r="C2058" s="23">
        <f t="shared" si="1"/>
        <v>3033370.548</v>
      </c>
      <c r="D2058" s="18">
        <f>IF(A2058="","",MATCH(A2058,Calculation!B$2:B9627,1))</f>
        <v>1</v>
      </c>
      <c r="E2058" s="23">
        <f t="array" ref="E2058">IF(D2058="","",IF(D2058=1,0,INDEX(Calculation!Q$2:Q9627,D2058-1)))</f>
        <v>0</v>
      </c>
      <c r="F2058" s="23">
        <f t="array" ref="F2058">IF($A2058="","",
  LET(
    r, $D2058,
    startD, INDEX(Calculation!B$2:B9627, r),
    endD,   INDEX(Calculation!C$2:C9627, r),
    asOf,   MIN($A2058,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3033370.548</v>
      </c>
    </row>
    <row r="2059">
      <c r="A2059" s="19">
        <v>44294.0</v>
      </c>
      <c r="B2059" s="23">
        <v>1.0765E7</v>
      </c>
      <c r="C2059" s="23">
        <f t="shared" si="1"/>
        <v>3034845.205</v>
      </c>
      <c r="D2059" s="18">
        <f>IF(A2059="","",MATCH(A2059,Calculation!B$2:B9627,1))</f>
        <v>1</v>
      </c>
      <c r="E2059" s="23">
        <f t="array" ref="E2059">IF(D2059="","",IF(D2059=1,0,INDEX(Calculation!Q$2:Q9627,D2059-1)))</f>
        <v>0</v>
      </c>
      <c r="F2059" s="23">
        <f t="array" ref="F2059">IF($A2059="","",
  LET(
    r, $D2059,
    startD, INDEX(Calculation!B$2:B9627, r),
    endD,   INDEX(Calculation!C$2:C9627, r),
    asOf,   MIN($A2059,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3034845.205</v>
      </c>
    </row>
    <row r="2060">
      <c r="A2060" s="19">
        <v>44295.0</v>
      </c>
      <c r="B2060" s="23">
        <v>1.0765E7</v>
      </c>
      <c r="C2060" s="23">
        <f t="shared" si="1"/>
        <v>3036319.863</v>
      </c>
      <c r="D2060" s="18">
        <f>IF(A2060="","",MATCH(A2060,Calculation!B$2:B9627,1))</f>
        <v>1</v>
      </c>
      <c r="E2060" s="23">
        <f t="array" ref="E2060">IF(D2060="","",IF(D2060=1,0,INDEX(Calculation!Q$2:Q9627,D2060-1)))</f>
        <v>0</v>
      </c>
      <c r="F2060" s="23">
        <f t="array" ref="F2060">IF($A2060="","",
  LET(
    r, $D2060,
    startD, INDEX(Calculation!B$2:B9627, r),
    endD,   INDEX(Calculation!C$2:C9627, r),
    asOf,   MIN($A2060,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3036319.863</v>
      </c>
    </row>
    <row r="2061">
      <c r="A2061" s="19">
        <v>44296.0</v>
      </c>
      <c r="B2061" s="23">
        <v>1.0765E7</v>
      </c>
      <c r="C2061" s="23">
        <f t="shared" si="1"/>
        <v>3037794.521</v>
      </c>
      <c r="D2061" s="18">
        <f>IF(A2061="","",MATCH(A2061,Calculation!B$2:B9627,1))</f>
        <v>1</v>
      </c>
      <c r="E2061" s="23">
        <f t="array" ref="E2061">IF(D2061="","",IF(D2061=1,0,INDEX(Calculation!Q$2:Q9627,D2061-1)))</f>
        <v>0</v>
      </c>
      <c r="F2061" s="23">
        <f t="array" ref="F2061">IF($A2061="","",
  LET(
    r, $D2061,
    startD, INDEX(Calculation!B$2:B9627, r),
    endD,   INDEX(Calculation!C$2:C9627, r),
    asOf,   MIN($A2061,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3037794.521</v>
      </c>
    </row>
    <row r="2062">
      <c r="A2062" s="19">
        <v>44297.0</v>
      </c>
      <c r="B2062" s="23">
        <v>1.0765E7</v>
      </c>
      <c r="C2062" s="23">
        <f t="shared" si="1"/>
        <v>3039269.178</v>
      </c>
      <c r="D2062" s="18">
        <f>IF(A2062="","",MATCH(A2062,Calculation!B$2:B9627,1))</f>
        <v>1</v>
      </c>
      <c r="E2062" s="23">
        <f t="array" ref="E2062">IF(D2062="","",IF(D2062=1,0,INDEX(Calculation!Q$2:Q9627,D2062-1)))</f>
        <v>0</v>
      </c>
      <c r="F2062" s="23">
        <f t="array" ref="F2062">IF($A2062="","",
  LET(
    r, $D2062,
    startD, INDEX(Calculation!B$2:B9627, r),
    endD,   INDEX(Calculation!C$2:C9627, r),
    asOf,   MIN($A2062,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3039269.178</v>
      </c>
    </row>
    <row r="2063">
      <c r="A2063" s="19">
        <v>44298.0</v>
      </c>
      <c r="B2063" s="23">
        <v>1.0765E7</v>
      </c>
      <c r="C2063" s="23">
        <f t="shared" si="1"/>
        <v>3040743.836</v>
      </c>
      <c r="D2063" s="18">
        <f>IF(A2063="","",MATCH(A2063,Calculation!B$2:B9627,1))</f>
        <v>1</v>
      </c>
      <c r="E2063" s="23">
        <f t="array" ref="E2063">IF(D2063="","",IF(D2063=1,0,INDEX(Calculation!Q$2:Q9627,D2063-1)))</f>
        <v>0</v>
      </c>
      <c r="F2063" s="23">
        <f t="array" ref="F2063">IF($A2063="","",
  LET(
    r, $D2063,
    startD, INDEX(Calculation!B$2:B9627, r),
    endD,   INDEX(Calculation!C$2:C9627, r),
    asOf,   MIN($A2063,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3040743.836</v>
      </c>
    </row>
    <row r="2064">
      <c r="A2064" s="19">
        <v>44299.0</v>
      </c>
      <c r="B2064" s="23">
        <v>1.0765E7</v>
      </c>
      <c r="C2064" s="23">
        <f t="shared" si="1"/>
        <v>3042218.493</v>
      </c>
      <c r="D2064" s="18">
        <f>IF(A2064="","",MATCH(A2064,Calculation!B$2:B9627,1))</f>
        <v>1</v>
      </c>
      <c r="E2064" s="23">
        <f t="array" ref="E2064">IF(D2064="","",IF(D2064=1,0,INDEX(Calculation!Q$2:Q9627,D2064-1)))</f>
        <v>0</v>
      </c>
      <c r="F2064" s="23">
        <f t="array" ref="F2064">IF($A2064="","",
  LET(
    r, $D2064,
    startD, INDEX(Calculation!B$2:B9627, r),
    endD,   INDEX(Calculation!C$2:C9627, r),
    asOf,   MIN($A2064,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3042218.493</v>
      </c>
    </row>
    <row r="2065">
      <c r="A2065" s="19">
        <v>44300.0</v>
      </c>
      <c r="B2065" s="23">
        <v>1.0765E7</v>
      </c>
      <c r="C2065" s="23">
        <f t="shared" si="1"/>
        <v>3043693.151</v>
      </c>
      <c r="D2065" s="18">
        <f>IF(A2065="","",MATCH(A2065,Calculation!B$2:B9627,1))</f>
        <v>1</v>
      </c>
      <c r="E2065" s="23">
        <f t="array" ref="E2065">IF(D2065="","",IF(D2065=1,0,INDEX(Calculation!Q$2:Q9627,D2065-1)))</f>
        <v>0</v>
      </c>
      <c r="F2065" s="23">
        <f t="array" ref="F2065">IF($A2065="","",
  LET(
    r, $D2065,
    startD, INDEX(Calculation!B$2:B9627, r),
    endD,   INDEX(Calculation!C$2:C9627, r),
    asOf,   MIN($A2065,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3043693.151</v>
      </c>
    </row>
    <row r="2066">
      <c r="A2066" s="19">
        <v>44301.0</v>
      </c>
      <c r="B2066" s="23">
        <v>1.0765E7</v>
      </c>
      <c r="C2066" s="23">
        <f t="shared" si="1"/>
        <v>3045167.808</v>
      </c>
      <c r="D2066" s="18">
        <f>IF(A2066="","",MATCH(A2066,Calculation!B$2:B9627,1))</f>
        <v>1</v>
      </c>
      <c r="E2066" s="23">
        <f t="array" ref="E2066">IF(D2066="","",IF(D2066=1,0,INDEX(Calculation!Q$2:Q9627,D2066-1)))</f>
        <v>0</v>
      </c>
      <c r="F2066" s="23">
        <f t="array" ref="F2066">IF($A2066="","",
  LET(
    r, $D2066,
    startD, INDEX(Calculation!B$2:B9627, r),
    endD,   INDEX(Calculation!C$2:C9627, r),
    asOf,   MIN($A2066,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3045167.808</v>
      </c>
    </row>
    <row r="2067">
      <c r="A2067" s="19">
        <v>44302.0</v>
      </c>
      <c r="B2067" s="23">
        <v>1.0765E7</v>
      </c>
      <c r="C2067" s="23">
        <f t="shared" si="1"/>
        <v>3046642.466</v>
      </c>
      <c r="D2067" s="18">
        <f>IF(A2067="","",MATCH(A2067,Calculation!B$2:B9627,1))</f>
        <v>1</v>
      </c>
      <c r="E2067" s="23">
        <f t="array" ref="E2067">IF(D2067="","",IF(D2067=1,0,INDEX(Calculation!Q$2:Q9627,D2067-1)))</f>
        <v>0</v>
      </c>
      <c r="F2067" s="23">
        <f t="array" ref="F2067">IF($A2067="","",
  LET(
    r, $D2067,
    startD, INDEX(Calculation!B$2:B9627, r),
    endD,   INDEX(Calculation!C$2:C9627, r),
    asOf,   MIN($A2067,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3046642.466</v>
      </c>
    </row>
    <row r="2068">
      <c r="A2068" s="19">
        <v>44303.0</v>
      </c>
      <c r="B2068" s="23">
        <v>1.0765E7</v>
      </c>
      <c r="C2068" s="23">
        <f t="shared" si="1"/>
        <v>3048117.123</v>
      </c>
      <c r="D2068" s="18">
        <f>IF(A2068="","",MATCH(A2068,Calculation!B$2:B9627,1))</f>
        <v>1</v>
      </c>
      <c r="E2068" s="23">
        <f t="array" ref="E2068">IF(D2068="","",IF(D2068=1,0,INDEX(Calculation!Q$2:Q9627,D2068-1)))</f>
        <v>0</v>
      </c>
      <c r="F2068" s="23">
        <f t="array" ref="F2068">IF($A2068="","",
  LET(
    r, $D2068,
    startD, INDEX(Calculation!B$2:B9627, r),
    endD,   INDEX(Calculation!C$2:C9627, r),
    asOf,   MIN($A2068,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3048117.123</v>
      </c>
    </row>
    <row r="2069">
      <c r="A2069" s="19">
        <v>44304.0</v>
      </c>
      <c r="B2069" s="23">
        <v>1.0765E7</v>
      </c>
      <c r="C2069" s="23">
        <f t="shared" si="1"/>
        <v>3049591.781</v>
      </c>
      <c r="D2069" s="18">
        <f>IF(A2069="","",MATCH(A2069,Calculation!B$2:B9627,1))</f>
        <v>1</v>
      </c>
      <c r="E2069" s="23">
        <f t="array" ref="E2069">IF(D2069="","",IF(D2069=1,0,INDEX(Calculation!Q$2:Q9627,D2069-1)))</f>
        <v>0</v>
      </c>
      <c r="F2069" s="23">
        <f t="array" ref="F2069">IF($A2069="","",
  LET(
    r, $D2069,
    startD, INDEX(Calculation!B$2:B9627, r),
    endD,   INDEX(Calculation!C$2:C9627, r),
    asOf,   MIN($A2069,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3049591.781</v>
      </c>
    </row>
    <row r="2070">
      <c r="A2070" s="19">
        <v>44305.0</v>
      </c>
      <c r="B2070" s="23">
        <v>1.0765E7</v>
      </c>
      <c r="C2070" s="23">
        <f t="shared" si="1"/>
        <v>3051066.438</v>
      </c>
      <c r="D2070" s="18">
        <f>IF(A2070="","",MATCH(A2070,Calculation!B$2:B9627,1))</f>
        <v>1</v>
      </c>
      <c r="E2070" s="23">
        <f t="array" ref="E2070">IF(D2070="","",IF(D2070=1,0,INDEX(Calculation!Q$2:Q9627,D2070-1)))</f>
        <v>0</v>
      </c>
      <c r="F2070" s="23">
        <f t="array" ref="F2070">IF($A2070="","",
  LET(
    r, $D2070,
    startD, INDEX(Calculation!B$2:B9627, r),
    endD,   INDEX(Calculation!C$2:C9627, r),
    asOf,   MIN($A2070,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3051066.438</v>
      </c>
    </row>
    <row r="2071">
      <c r="A2071" s="19">
        <v>44306.0</v>
      </c>
      <c r="B2071" s="23">
        <v>1.0765E7</v>
      </c>
      <c r="C2071" s="23">
        <f t="shared" si="1"/>
        <v>3052541.096</v>
      </c>
      <c r="D2071" s="18">
        <f>IF(A2071="","",MATCH(A2071,Calculation!B$2:B9627,1))</f>
        <v>1</v>
      </c>
      <c r="E2071" s="23">
        <f t="array" ref="E2071">IF(D2071="","",IF(D2071=1,0,INDEX(Calculation!Q$2:Q9627,D2071-1)))</f>
        <v>0</v>
      </c>
      <c r="F2071" s="23">
        <f t="array" ref="F2071">IF($A2071="","",
  LET(
    r, $D2071,
    startD, INDEX(Calculation!B$2:B9627, r),
    endD,   INDEX(Calculation!C$2:C9627, r),
    asOf,   MIN($A2071,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3052541.096</v>
      </c>
    </row>
    <row r="2072">
      <c r="A2072" s="19">
        <v>44307.0</v>
      </c>
      <c r="B2072" s="23">
        <v>1.0765E7</v>
      </c>
      <c r="C2072" s="23">
        <f t="shared" si="1"/>
        <v>3054015.753</v>
      </c>
      <c r="D2072" s="18">
        <f>IF(A2072="","",MATCH(A2072,Calculation!B$2:B9627,1))</f>
        <v>1</v>
      </c>
      <c r="E2072" s="23">
        <f t="array" ref="E2072">IF(D2072="","",IF(D2072=1,0,INDEX(Calculation!Q$2:Q9627,D2072-1)))</f>
        <v>0</v>
      </c>
      <c r="F2072" s="23">
        <f t="array" ref="F2072">IF($A2072="","",
  LET(
    r, $D2072,
    startD, INDEX(Calculation!B$2:B9627, r),
    endD,   INDEX(Calculation!C$2:C9627, r),
    asOf,   MIN($A2072,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3054015.753</v>
      </c>
    </row>
    <row r="2073">
      <c r="A2073" s="19">
        <v>44308.0</v>
      </c>
      <c r="B2073" s="23">
        <v>1.0765E7</v>
      </c>
      <c r="C2073" s="23">
        <f t="shared" si="1"/>
        <v>3055490.411</v>
      </c>
      <c r="D2073" s="18">
        <f>IF(A2073="","",MATCH(A2073,Calculation!B$2:B9627,1))</f>
        <v>1</v>
      </c>
      <c r="E2073" s="23">
        <f t="array" ref="E2073">IF(D2073="","",IF(D2073=1,0,INDEX(Calculation!Q$2:Q9627,D2073-1)))</f>
        <v>0</v>
      </c>
      <c r="F2073" s="23">
        <f t="array" ref="F2073">IF($A2073="","",
  LET(
    r, $D2073,
    startD, INDEX(Calculation!B$2:B9627, r),
    endD,   INDEX(Calculation!C$2:C9627, r),
    asOf,   MIN($A2073,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3055490.411</v>
      </c>
    </row>
    <row r="2074">
      <c r="A2074" s="19">
        <v>44309.0</v>
      </c>
      <c r="B2074" s="23">
        <v>1.0765E7</v>
      </c>
      <c r="C2074" s="23">
        <f t="shared" si="1"/>
        <v>3056965.068</v>
      </c>
      <c r="D2074" s="18">
        <f>IF(A2074="","",MATCH(A2074,Calculation!B$2:B9627,1))</f>
        <v>1</v>
      </c>
      <c r="E2074" s="23">
        <f t="array" ref="E2074">IF(D2074="","",IF(D2074=1,0,INDEX(Calculation!Q$2:Q9627,D2074-1)))</f>
        <v>0</v>
      </c>
      <c r="F2074" s="23">
        <f t="array" ref="F2074">IF($A2074="","",
  LET(
    r, $D2074,
    startD, INDEX(Calculation!B$2:B9627, r),
    endD,   INDEX(Calculation!C$2:C9627, r),
    asOf,   MIN($A2074,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3056965.068</v>
      </c>
    </row>
    <row r="2075">
      <c r="A2075" s="19">
        <v>44310.0</v>
      </c>
      <c r="B2075" s="23">
        <v>1.0765E7</v>
      </c>
      <c r="C2075" s="23">
        <f t="shared" si="1"/>
        <v>3058439.726</v>
      </c>
      <c r="D2075" s="18">
        <f>IF(A2075="","",MATCH(A2075,Calculation!B$2:B9627,1))</f>
        <v>1</v>
      </c>
      <c r="E2075" s="23">
        <f t="array" ref="E2075">IF(D2075="","",IF(D2075=1,0,INDEX(Calculation!Q$2:Q9627,D2075-1)))</f>
        <v>0</v>
      </c>
      <c r="F2075" s="23">
        <f t="array" ref="F2075">IF($A2075="","",
  LET(
    r, $D2075,
    startD, INDEX(Calculation!B$2:B9627, r),
    endD,   INDEX(Calculation!C$2:C9627, r),
    asOf,   MIN($A2075,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3058439.726</v>
      </c>
    </row>
    <row r="2076">
      <c r="A2076" s="19">
        <v>44311.0</v>
      </c>
      <c r="B2076" s="23">
        <v>1.0765E7</v>
      </c>
      <c r="C2076" s="23">
        <f t="shared" si="1"/>
        <v>3059914.384</v>
      </c>
      <c r="D2076" s="18">
        <f>IF(A2076="","",MATCH(A2076,Calculation!B$2:B9627,1))</f>
        <v>1</v>
      </c>
      <c r="E2076" s="23">
        <f t="array" ref="E2076">IF(D2076="","",IF(D2076=1,0,INDEX(Calculation!Q$2:Q9627,D2076-1)))</f>
        <v>0</v>
      </c>
      <c r="F2076" s="23">
        <f t="array" ref="F2076">IF($A2076="","",
  LET(
    r, $D2076,
    startD, INDEX(Calculation!B$2:B9627, r),
    endD,   INDEX(Calculation!C$2:C9627, r),
    asOf,   MIN($A2076,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3059914.384</v>
      </c>
    </row>
    <row r="2077">
      <c r="A2077" s="19">
        <v>44312.0</v>
      </c>
      <c r="B2077" s="23">
        <v>1.0765E7</v>
      </c>
      <c r="C2077" s="23">
        <f t="shared" si="1"/>
        <v>3061389.041</v>
      </c>
      <c r="D2077" s="18">
        <f>IF(A2077="","",MATCH(A2077,Calculation!B$2:B9627,1))</f>
        <v>1</v>
      </c>
      <c r="E2077" s="23">
        <f t="array" ref="E2077">IF(D2077="","",IF(D2077=1,0,INDEX(Calculation!Q$2:Q9627,D2077-1)))</f>
        <v>0</v>
      </c>
      <c r="F2077" s="23">
        <f t="array" ref="F2077">IF($A2077="","",
  LET(
    r, $D2077,
    startD, INDEX(Calculation!B$2:B9627, r),
    endD,   INDEX(Calculation!C$2:C9627, r),
    asOf,   MIN($A2077,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3061389.041</v>
      </c>
    </row>
    <row r="2078">
      <c r="A2078" s="19">
        <v>44313.0</v>
      </c>
      <c r="B2078" s="23">
        <v>1.0765E7</v>
      </c>
      <c r="C2078" s="23">
        <f t="shared" si="1"/>
        <v>3062863.699</v>
      </c>
      <c r="D2078" s="18">
        <f>IF(A2078="","",MATCH(A2078,Calculation!B$2:B9627,1))</f>
        <v>1</v>
      </c>
      <c r="E2078" s="23">
        <f t="array" ref="E2078">IF(D2078="","",IF(D2078=1,0,INDEX(Calculation!Q$2:Q9627,D2078-1)))</f>
        <v>0</v>
      </c>
      <c r="F2078" s="23">
        <f t="array" ref="F2078">IF($A2078="","",
  LET(
    r, $D2078,
    startD, INDEX(Calculation!B$2:B9627, r),
    endD,   INDEX(Calculation!C$2:C9627, r),
    asOf,   MIN($A2078,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3062863.699</v>
      </c>
    </row>
    <row r="2079">
      <c r="A2079" s="19">
        <v>44314.0</v>
      </c>
      <c r="B2079" s="23">
        <v>1.0765E7</v>
      </c>
      <c r="C2079" s="23">
        <f t="shared" si="1"/>
        <v>3064338.356</v>
      </c>
      <c r="D2079" s="18">
        <f>IF(A2079="","",MATCH(A2079,Calculation!B$2:B9627,1))</f>
        <v>1</v>
      </c>
      <c r="E2079" s="23">
        <f t="array" ref="E2079">IF(D2079="","",IF(D2079=1,0,INDEX(Calculation!Q$2:Q9627,D2079-1)))</f>
        <v>0</v>
      </c>
      <c r="F2079" s="23">
        <f t="array" ref="F2079">IF($A2079="","",
  LET(
    r, $D2079,
    startD, INDEX(Calculation!B$2:B9627, r),
    endD,   INDEX(Calculation!C$2:C9627, r),
    asOf,   MIN($A2079,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3064338.356</v>
      </c>
    </row>
    <row r="2080">
      <c r="A2080" s="19">
        <v>44315.0</v>
      </c>
      <c r="B2080" s="23">
        <v>1.0765E7</v>
      </c>
      <c r="C2080" s="23">
        <f t="shared" si="1"/>
        <v>3065813.014</v>
      </c>
      <c r="D2080" s="18">
        <f>IF(A2080="","",MATCH(A2080,Calculation!B$2:B9627,1))</f>
        <v>1</v>
      </c>
      <c r="E2080" s="23">
        <f t="array" ref="E2080">IF(D2080="","",IF(D2080=1,0,INDEX(Calculation!Q$2:Q9627,D2080-1)))</f>
        <v>0</v>
      </c>
      <c r="F2080" s="23">
        <f t="array" ref="F2080">IF($A2080="","",
  LET(
    r, $D2080,
    startD, INDEX(Calculation!B$2:B9627, r),
    endD,   INDEX(Calculation!C$2:C9627, r),
    asOf,   MIN($A2080,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3065813.014</v>
      </c>
    </row>
    <row r="2081">
      <c r="A2081" s="19">
        <v>44316.0</v>
      </c>
      <c r="B2081" s="23">
        <v>1.0765E7</v>
      </c>
      <c r="C2081" s="23">
        <f t="shared" si="1"/>
        <v>3067287.671</v>
      </c>
      <c r="D2081" s="18">
        <f>IF(A2081="","",MATCH(A2081,Calculation!B$2:B9627,1))</f>
        <v>1</v>
      </c>
      <c r="E2081" s="23">
        <f t="array" ref="E2081">IF(D2081="","",IF(D2081=1,0,INDEX(Calculation!Q$2:Q9627,D2081-1)))</f>
        <v>0</v>
      </c>
      <c r="F2081" s="23">
        <f t="array" ref="F2081">IF($A2081="","",
  LET(
    r, $D2081,
    startD, INDEX(Calculation!B$2:B9627, r),
    endD,   INDEX(Calculation!C$2:C9627, r),
    asOf,   MIN($A2081,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3067287.671</v>
      </c>
    </row>
    <row r="2082">
      <c r="A2082" s="19">
        <v>44317.0</v>
      </c>
      <c r="B2082" s="23">
        <v>1.0765E7</v>
      </c>
      <c r="C2082" s="23">
        <f t="shared" si="1"/>
        <v>3068762.329</v>
      </c>
      <c r="D2082" s="18">
        <f>IF(A2082="","",MATCH(A2082,Calculation!B$2:B9627,1))</f>
        <v>1</v>
      </c>
      <c r="E2082" s="23">
        <f t="array" ref="E2082">IF(D2082="","",IF(D2082=1,0,INDEX(Calculation!Q$2:Q9627,D2082-1)))</f>
        <v>0</v>
      </c>
      <c r="F2082" s="23">
        <f t="array" ref="F2082">IF($A2082="","",
  LET(
    r, $D2082,
    startD, INDEX(Calculation!B$2:B9627, r),
    endD,   INDEX(Calculation!C$2:C9627, r),
    asOf,   MIN($A2082,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3068762.329</v>
      </c>
    </row>
    <row r="2083">
      <c r="A2083" s="19">
        <v>44318.0</v>
      </c>
      <c r="B2083" s="23">
        <v>1.0765E7</v>
      </c>
      <c r="C2083" s="23">
        <f t="shared" si="1"/>
        <v>3070236.986</v>
      </c>
      <c r="D2083" s="18">
        <f>IF(A2083="","",MATCH(A2083,Calculation!B$2:B9627,1))</f>
        <v>1</v>
      </c>
      <c r="E2083" s="23">
        <f t="array" ref="E2083">IF(D2083="","",IF(D2083=1,0,INDEX(Calculation!Q$2:Q9627,D2083-1)))</f>
        <v>0</v>
      </c>
      <c r="F2083" s="23">
        <f t="array" ref="F2083">IF($A2083="","",
  LET(
    r, $D2083,
    startD, INDEX(Calculation!B$2:B9627, r),
    endD,   INDEX(Calculation!C$2:C9627, r),
    asOf,   MIN($A2083,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3070236.986</v>
      </c>
    </row>
    <row r="2084">
      <c r="A2084" s="19">
        <v>44319.0</v>
      </c>
      <c r="B2084" s="23">
        <v>1.0765E7</v>
      </c>
      <c r="C2084" s="23">
        <f t="shared" si="1"/>
        <v>3071711.644</v>
      </c>
      <c r="D2084" s="18">
        <f>IF(A2084="","",MATCH(A2084,Calculation!B$2:B9627,1))</f>
        <v>1</v>
      </c>
      <c r="E2084" s="23">
        <f t="array" ref="E2084">IF(D2084="","",IF(D2084=1,0,INDEX(Calculation!Q$2:Q9627,D2084-1)))</f>
        <v>0</v>
      </c>
      <c r="F2084" s="23">
        <f t="array" ref="F2084">IF($A2084="","",
  LET(
    r, $D2084,
    startD, INDEX(Calculation!B$2:B9627, r),
    endD,   INDEX(Calculation!C$2:C9627, r),
    asOf,   MIN($A2084,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3071711.644</v>
      </c>
    </row>
    <row r="2085">
      <c r="A2085" s="19">
        <v>44320.0</v>
      </c>
      <c r="B2085" s="23">
        <v>1.0765E7</v>
      </c>
      <c r="C2085" s="23">
        <f t="shared" si="1"/>
        <v>3073186.301</v>
      </c>
      <c r="D2085" s="18">
        <f>IF(A2085="","",MATCH(A2085,Calculation!B$2:B9627,1))</f>
        <v>1</v>
      </c>
      <c r="E2085" s="23">
        <f t="array" ref="E2085">IF(D2085="","",IF(D2085=1,0,INDEX(Calculation!Q$2:Q9627,D2085-1)))</f>
        <v>0</v>
      </c>
      <c r="F2085" s="23">
        <f t="array" ref="F2085">IF($A2085="","",
  LET(
    r, $D2085,
    startD, INDEX(Calculation!B$2:B9627, r),
    endD,   INDEX(Calculation!C$2:C9627, r),
    asOf,   MIN($A2085,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3073186.301</v>
      </c>
    </row>
    <row r="2086">
      <c r="A2086" s="19">
        <v>44321.0</v>
      </c>
      <c r="B2086" s="23">
        <v>1.0765E7</v>
      </c>
      <c r="C2086" s="23">
        <f t="shared" si="1"/>
        <v>3074660.959</v>
      </c>
      <c r="D2086" s="18">
        <f>IF(A2086="","",MATCH(A2086,Calculation!B$2:B9627,1))</f>
        <v>1</v>
      </c>
      <c r="E2086" s="23">
        <f t="array" ref="E2086">IF(D2086="","",IF(D2086=1,0,INDEX(Calculation!Q$2:Q9627,D2086-1)))</f>
        <v>0</v>
      </c>
      <c r="F2086" s="23">
        <f t="array" ref="F2086">IF($A2086="","",
  LET(
    r, $D2086,
    startD, INDEX(Calculation!B$2:B9627, r),
    endD,   INDEX(Calculation!C$2:C9627, r),
    asOf,   MIN($A2086,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3074660.959</v>
      </c>
    </row>
    <row r="2087">
      <c r="A2087" s="19">
        <v>44322.0</v>
      </c>
      <c r="B2087" s="23">
        <v>1.0765E7</v>
      </c>
      <c r="C2087" s="23">
        <f t="shared" si="1"/>
        <v>3076135.616</v>
      </c>
      <c r="D2087" s="18">
        <f>IF(A2087="","",MATCH(A2087,Calculation!B$2:B9627,1))</f>
        <v>1</v>
      </c>
      <c r="E2087" s="23">
        <f t="array" ref="E2087">IF(D2087="","",IF(D2087=1,0,INDEX(Calculation!Q$2:Q9627,D2087-1)))</f>
        <v>0</v>
      </c>
      <c r="F2087" s="23">
        <f t="array" ref="F2087">IF($A2087="","",
  LET(
    r, $D2087,
    startD, INDEX(Calculation!B$2:B9627, r),
    endD,   INDEX(Calculation!C$2:C9627, r),
    asOf,   MIN($A2087,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3076135.616</v>
      </c>
    </row>
    <row r="2088">
      <c r="A2088" s="19">
        <v>44323.0</v>
      </c>
      <c r="B2088" s="23">
        <v>1.0765E7</v>
      </c>
      <c r="C2088" s="23">
        <f t="shared" si="1"/>
        <v>3077610.274</v>
      </c>
      <c r="D2088" s="18">
        <f>IF(A2088="","",MATCH(A2088,Calculation!B$2:B9627,1))</f>
        <v>1</v>
      </c>
      <c r="E2088" s="23">
        <f t="array" ref="E2088">IF(D2088="","",IF(D2088=1,0,INDEX(Calculation!Q$2:Q9627,D2088-1)))</f>
        <v>0</v>
      </c>
      <c r="F2088" s="23">
        <f t="array" ref="F2088">IF($A2088="","",
  LET(
    r, $D2088,
    startD, INDEX(Calculation!B$2:B9627, r),
    endD,   INDEX(Calculation!C$2:C9627, r),
    asOf,   MIN($A2088,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3077610.274</v>
      </c>
    </row>
    <row r="2089">
      <c r="A2089" s="19">
        <v>44324.0</v>
      </c>
      <c r="B2089" s="23">
        <v>1.0765E7</v>
      </c>
      <c r="C2089" s="23">
        <f t="shared" si="1"/>
        <v>3079084.932</v>
      </c>
      <c r="D2089" s="18">
        <f>IF(A2089="","",MATCH(A2089,Calculation!B$2:B9627,1))</f>
        <v>1</v>
      </c>
      <c r="E2089" s="23">
        <f t="array" ref="E2089">IF(D2089="","",IF(D2089=1,0,INDEX(Calculation!Q$2:Q9627,D2089-1)))</f>
        <v>0</v>
      </c>
      <c r="F2089" s="23">
        <f t="array" ref="F2089">IF($A2089="","",
  LET(
    r, $D2089,
    startD, INDEX(Calculation!B$2:B9627, r),
    endD,   INDEX(Calculation!C$2:C9627, r),
    asOf,   MIN($A2089,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3079084.932</v>
      </c>
    </row>
    <row r="2090">
      <c r="A2090" s="19">
        <v>44325.0</v>
      </c>
      <c r="B2090" s="23">
        <v>1.0765E7</v>
      </c>
      <c r="C2090" s="23">
        <f t="shared" si="1"/>
        <v>3080559.589</v>
      </c>
      <c r="D2090" s="18">
        <f>IF(A2090="","",MATCH(A2090,Calculation!B$2:B9627,1))</f>
        <v>1</v>
      </c>
      <c r="E2090" s="23">
        <f t="array" ref="E2090">IF(D2090="","",IF(D2090=1,0,INDEX(Calculation!Q$2:Q9627,D2090-1)))</f>
        <v>0</v>
      </c>
      <c r="F2090" s="23">
        <f t="array" ref="F2090">IF($A2090="","",
  LET(
    r, $D2090,
    startD, INDEX(Calculation!B$2:B9627, r),
    endD,   INDEX(Calculation!C$2:C9627, r),
    asOf,   MIN($A2090,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3080559.589</v>
      </c>
    </row>
    <row r="2091">
      <c r="A2091" s="19">
        <v>44326.0</v>
      </c>
      <c r="B2091" s="23">
        <v>1.0765E7</v>
      </c>
      <c r="C2091" s="23">
        <f t="shared" si="1"/>
        <v>3082034.247</v>
      </c>
      <c r="D2091" s="18">
        <f>IF(A2091="","",MATCH(A2091,Calculation!B$2:B9627,1))</f>
        <v>1</v>
      </c>
      <c r="E2091" s="23">
        <f t="array" ref="E2091">IF(D2091="","",IF(D2091=1,0,INDEX(Calculation!Q$2:Q9627,D2091-1)))</f>
        <v>0</v>
      </c>
      <c r="F2091" s="23">
        <f t="array" ref="F2091">IF($A2091="","",
  LET(
    r, $D2091,
    startD, INDEX(Calculation!B$2:B9627, r),
    endD,   INDEX(Calculation!C$2:C9627, r),
    asOf,   MIN($A2091,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3082034.247</v>
      </c>
    </row>
    <row r="2092">
      <c r="A2092" s="19">
        <v>44327.0</v>
      </c>
      <c r="B2092" s="23">
        <v>1.0765E7</v>
      </c>
      <c r="C2092" s="23">
        <f t="shared" si="1"/>
        <v>3083508.904</v>
      </c>
      <c r="D2092" s="18">
        <f>IF(A2092="","",MATCH(A2092,Calculation!B$2:B9627,1))</f>
        <v>1</v>
      </c>
      <c r="E2092" s="23">
        <f t="array" ref="E2092">IF(D2092="","",IF(D2092=1,0,INDEX(Calculation!Q$2:Q9627,D2092-1)))</f>
        <v>0</v>
      </c>
      <c r="F2092" s="23">
        <f t="array" ref="F2092">IF($A2092="","",
  LET(
    r, $D2092,
    startD, INDEX(Calculation!B$2:B9627, r),
    endD,   INDEX(Calculation!C$2:C9627, r),
    asOf,   MIN($A2092,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3083508.904</v>
      </c>
    </row>
    <row r="2093">
      <c r="A2093" s="19">
        <v>44328.0</v>
      </c>
      <c r="B2093" s="23">
        <v>1.0765E7</v>
      </c>
      <c r="C2093" s="23">
        <f t="shared" si="1"/>
        <v>3084983.562</v>
      </c>
      <c r="D2093" s="18">
        <f>IF(A2093="","",MATCH(A2093,Calculation!B$2:B9627,1))</f>
        <v>1</v>
      </c>
      <c r="E2093" s="23">
        <f t="array" ref="E2093">IF(D2093="","",IF(D2093=1,0,INDEX(Calculation!Q$2:Q9627,D2093-1)))</f>
        <v>0</v>
      </c>
      <c r="F2093" s="23">
        <f t="array" ref="F2093">IF($A2093="","",
  LET(
    r, $D2093,
    startD, INDEX(Calculation!B$2:B9627, r),
    endD,   INDEX(Calculation!C$2:C9627, r),
    asOf,   MIN($A2093,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3084983.562</v>
      </c>
    </row>
    <row r="2094">
      <c r="A2094" s="19">
        <v>44329.0</v>
      </c>
      <c r="B2094" s="23">
        <v>1.0765E7</v>
      </c>
      <c r="C2094" s="23">
        <f t="shared" si="1"/>
        <v>3086458.219</v>
      </c>
      <c r="D2094" s="18">
        <f>IF(A2094="","",MATCH(A2094,Calculation!B$2:B9627,1))</f>
        <v>1</v>
      </c>
      <c r="E2094" s="23">
        <f t="array" ref="E2094">IF(D2094="","",IF(D2094=1,0,INDEX(Calculation!Q$2:Q9627,D2094-1)))</f>
        <v>0</v>
      </c>
      <c r="F2094" s="23">
        <f t="array" ref="F2094">IF($A2094="","",
  LET(
    r, $D2094,
    startD, INDEX(Calculation!B$2:B9627, r),
    endD,   INDEX(Calculation!C$2:C9627, r),
    asOf,   MIN($A2094,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3086458.219</v>
      </c>
    </row>
    <row r="2095">
      <c r="A2095" s="19">
        <v>44330.0</v>
      </c>
      <c r="B2095" s="23">
        <v>1.0765E7</v>
      </c>
      <c r="C2095" s="23">
        <f t="shared" si="1"/>
        <v>3087932.877</v>
      </c>
      <c r="D2095" s="18">
        <f>IF(A2095="","",MATCH(A2095,Calculation!B$2:B9627,1))</f>
        <v>1</v>
      </c>
      <c r="E2095" s="23">
        <f t="array" ref="E2095">IF(D2095="","",IF(D2095=1,0,INDEX(Calculation!Q$2:Q9627,D2095-1)))</f>
        <v>0</v>
      </c>
      <c r="F2095" s="23">
        <f t="array" ref="F2095">IF($A2095="","",
  LET(
    r, $D2095,
    startD, INDEX(Calculation!B$2:B9627, r),
    endD,   INDEX(Calculation!C$2:C9627, r),
    asOf,   MIN($A2095,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3087932.877</v>
      </c>
    </row>
    <row r="2096">
      <c r="A2096" s="19">
        <v>44331.0</v>
      </c>
      <c r="B2096" s="23">
        <v>1.0765E7</v>
      </c>
      <c r="C2096" s="23">
        <f t="shared" si="1"/>
        <v>3089407.534</v>
      </c>
      <c r="D2096" s="18">
        <f>IF(A2096="","",MATCH(A2096,Calculation!B$2:B9627,1))</f>
        <v>1</v>
      </c>
      <c r="E2096" s="23">
        <f t="array" ref="E2096">IF(D2096="","",IF(D2096=1,0,INDEX(Calculation!Q$2:Q9627,D2096-1)))</f>
        <v>0</v>
      </c>
      <c r="F2096" s="23">
        <f t="array" ref="F2096">IF($A2096="","",
  LET(
    r, $D2096,
    startD, INDEX(Calculation!B$2:B9627, r),
    endD,   INDEX(Calculation!C$2:C9627, r),
    asOf,   MIN($A2096,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3089407.534</v>
      </c>
    </row>
    <row r="2097">
      <c r="A2097" s="19">
        <v>44332.0</v>
      </c>
      <c r="B2097" s="23">
        <v>1.0765E7</v>
      </c>
      <c r="C2097" s="23">
        <f t="shared" si="1"/>
        <v>3090882.192</v>
      </c>
      <c r="D2097" s="18">
        <f>IF(A2097="","",MATCH(A2097,Calculation!B$2:B9627,1))</f>
        <v>1</v>
      </c>
      <c r="E2097" s="23">
        <f t="array" ref="E2097">IF(D2097="","",IF(D2097=1,0,INDEX(Calculation!Q$2:Q9627,D2097-1)))</f>
        <v>0</v>
      </c>
      <c r="F2097" s="23">
        <f t="array" ref="F2097">IF($A2097="","",
  LET(
    r, $D2097,
    startD, INDEX(Calculation!B$2:B9627, r),
    endD,   INDEX(Calculation!C$2:C9627, r),
    asOf,   MIN($A2097,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3090882.192</v>
      </c>
    </row>
    <row r="2098">
      <c r="A2098" s="19">
        <v>44333.0</v>
      </c>
      <c r="B2098" s="23">
        <v>1.0765E7</v>
      </c>
      <c r="C2098" s="23">
        <f t="shared" si="1"/>
        <v>3092356.849</v>
      </c>
      <c r="D2098" s="18">
        <f>IF(A2098="","",MATCH(A2098,Calculation!B$2:B9627,1))</f>
        <v>1</v>
      </c>
      <c r="E2098" s="23">
        <f t="array" ref="E2098">IF(D2098="","",IF(D2098=1,0,INDEX(Calculation!Q$2:Q9627,D2098-1)))</f>
        <v>0</v>
      </c>
      <c r="F2098" s="23">
        <f t="array" ref="F2098">IF($A2098="","",
  LET(
    r, $D2098,
    startD, INDEX(Calculation!B$2:B9627, r),
    endD,   INDEX(Calculation!C$2:C9627, r),
    asOf,   MIN($A2098,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3092356.849</v>
      </c>
    </row>
    <row r="2099">
      <c r="A2099" s="19">
        <v>44334.0</v>
      </c>
      <c r="B2099" s="23">
        <v>1.0765E7</v>
      </c>
      <c r="C2099" s="23">
        <f t="shared" si="1"/>
        <v>3093831.507</v>
      </c>
      <c r="D2099" s="18">
        <f>IF(A2099="","",MATCH(A2099,Calculation!B$2:B9627,1))</f>
        <v>1</v>
      </c>
      <c r="E2099" s="23">
        <f t="array" ref="E2099">IF(D2099="","",IF(D2099=1,0,INDEX(Calculation!Q$2:Q9627,D2099-1)))</f>
        <v>0</v>
      </c>
      <c r="F2099" s="23">
        <f t="array" ref="F2099">IF($A2099="","",
  LET(
    r, $D2099,
    startD, INDEX(Calculation!B$2:B9627, r),
    endD,   INDEX(Calculation!C$2:C9627, r),
    asOf,   MIN($A2099,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3093831.507</v>
      </c>
    </row>
    <row r="2100">
      <c r="A2100" s="19">
        <v>44335.0</v>
      </c>
      <c r="B2100" s="23">
        <v>1.0765E7</v>
      </c>
      <c r="C2100" s="23">
        <f t="shared" si="1"/>
        <v>3095306.164</v>
      </c>
      <c r="D2100" s="18">
        <f>IF(A2100="","",MATCH(A2100,Calculation!B$2:B9627,1))</f>
        <v>1</v>
      </c>
      <c r="E2100" s="23">
        <f t="array" ref="E2100">IF(D2100="","",IF(D2100=1,0,INDEX(Calculation!Q$2:Q9627,D2100-1)))</f>
        <v>0</v>
      </c>
      <c r="F2100" s="23">
        <f t="array" ref="F2100">IF($A2100="","",
  LET(
    r, $D2100,
    startD, INDEX(Calculation!B$2:B9627, r),
    endD,   INDEX(Calculation!C$2:C9627, r),
    asOf,   MIN($A2100,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3095306.164</v>
      </c>
    </row>
    <row r="2101">
      <c r="A2101" s="19">
        <v>44336.0</v>
      </c>
      <c r="B2101" s="23">
        <v>1.0765E7</v>
      </c>
      <c r="C2101" s="23">
        <f t="shared" si="1"/>
        <v>3096780.822</v>
      </c>
      <c r="D2101" s="18">
        <f>IF(A2101="","",MATCH(A2101,Calculation!B$2:B9627,1))</f>
        <v>1</v>
      </c>
      <c r="E2101" s="23">
        <f t="array" ref="E2101">IF(D2101="","",IF(D2101=1,0,INDEX(Calculation!Q$2:Q9627,D2101-1)))</f>
        <v>0</v>
      </c>
      <c r="F2101" s="23">
        <f t="array" ref="F2101">IF($A2101="","",
  LET(
    r, $D2101,
    startD, INDEX(Calculation!B$2:B9627, r),
    endD,   INDEX(Calculation!C$2:C9627, r),
    asOf,   MIN($A2101,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3096780.822</v>
      </c>
    </row>
    <row r="2102">
      <c r="A2102" s="19">
        <v>44337.0</v>
      </c>
      <c r="B2102" s="23">
        <v>1.0765E7</v>
      </c>
      <c r="C2102" s="23">
        <f t="shared" si="1"/>
        <v>3098255.479</v>
      </c>
      <c r="D2102" s="18">
        <f>IF(A2102="","",MATCH(A2102,Calculation!B$2:B9627,1))</f>
        <v>1</v>
      </c>
      <c r="E2102" s="23">
        <f t="array" ref="E2102">IF(D2102="","",IF(D2102=1,0,INDEX(Calculation!Q$2:Q9627,D2102-1)))</f>
        <v>0</v>
      </c>
      <c r="F2102" s="23">
        <f t="array" ref="F2102">IF($A2102="","",
  LET(
    r, $D2102,
    startD, INDEX(Calculation!B$2:B9627, r),
    endD,   INDEX(Calculation!C$2:C9627, r),
    asOf,   MIN($A2102,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3098255.479</v>
      </c>
    </row>
    <row r="2103">
      <c r="A2103" s="19">
        <v>44338.0</v>
      </c>
      <c r="B2103" s="23">
        <v>1.0765E7</v>
      </c>
      <c r="C2103" s="23">
        <f t="shared" si="1"/>
        <v>3099730.137</v>
      </c>
      <c r="D2103" s="18">
        <f>IF(A2103="","",MATCH(A2103,Calculation!B$2:B9627,1))</f>
        <v>1</v>
      </c>
      <c r="E2103" s="23">
        <f t="array" ref="E2103">IF(D2103="","",IF(D2103=1,0,INDEX(Calculation!Q$2:Q9627,D2103-1)))</f>
        <v>0</v>
      </c>
      <c r="F2103" s="23">
        <f t="array" ref="F2103">IF($A2103="","",
  LET(
    r, $D2103,
    startD, INDEX(Calculation!B$2:B9627, r),
    endD,   INDEX(Calculation!C$2:C9627, r),
    asOf,   MIN($A2103,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3099730.137</v>
      </c>
    </row>
    <row r="2104">
      <c r="A2104" s="19">
        <v>44339.0</v>
      </c>
      <c r="B2104" s="23">
        <v>1.0765E7</v>
      </c>
      <c r="C2104" s="23">
        <f t="shared" si="1"/>
        <v>3101204.795</v>
      </c>
      <c r="D2104" s="18">
        <f>IF(A2104="","",MATCH(A2104,Calculation!B$2:B9627,1))</f>
        <v>1</v>
      </c>
      <c r="E2104" s="23">
        <f t="array" ref="E2104">IF(D2104="","",IF(D2104=1,0,INDEX(Calculation!Q$2:Q9627,D2104-1)))</f>
        <v>0</v>
      </c>
      <c r="F2104" s="23">
        <f t="array" ref="F2104">IF($A2104="","",
  LET(
    r, $D2104,
    startD, INDEX(Calculation!B$2:B9627, r),
    endD,   INDEX(Calculation!C$2:C9627, r),
    asOf,   MIN($A2104,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3101204.795</v>
      </c>
    </row>
    <row r="2105">
      <c r="A2105" s="19">
        <v>44340.0</v>
      </c>
      <c r="B2105" s="23">
        <v>1.0765E7</v>
      </c>
      <c r="C2105" s="23">
        <f t="shared" si="1"/>
        <v>3102679.452</v>
      </c>
      <c r="D2105" s="18">
        <f>IF(A2105="","",MATCH(A2105,Calculation!B$2:B9627,1))</f>
        <v>1</v>
      </c>
      <c r="E2105" s="23">
        <f t="array" ref="E2105">IF(D2105="","",IF(D2105=1,0,INDEX(Calculation!Q$2:Q9627,D2105-1)))</f>
        <v>0</v>
      </c>
      <c r="F2105" s="23">
        <f t="array" ref="F2105">IF($A2105="","",
  LET(
    r, $D2105,
    startD, INDEX(Calculation!B$2:B9627, r),
    endD,   INDEX(Calculation!C$2:C9627, r),
    asOf,   MIN($A2105,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3102679.452</v>
      </c>
    </row>
    <row r="2106">
      <c r="A2106" s="19">
        <v>44341.0</v>
      </c>
      <c r="B2106" s="23">
        <v>1.0765E7</v>
      </c>
      <c r="C2106" s="23">
        <f t="shared" si="1"/>
        <v>3104154.11</v>
      </c>
      <c r="D2106" s="18">
        <f>IF(A2106="","",MATCH(A2106,Calculation!B$2:B9627,1))</f>
        <v>1</v>
      </c>
      <c r="E2106" s="23">
        <f t="array" ref="E2106">IF(D2106="","",IF(D2106=1,0,INDEX(Calculation!Q$2:Q9627,D2106-1)))</f>
        <v>0</v>
      </c>
      <c r="F2106" s="23">
        <f t="array" ref="F2106">IF($A2106="","",
  LET(
    r, $D2106,
    startD, INDEX(Calculation!B$2:B9627, r),
    endD,   INDEX(Calculation!C$2:C9627, r),
    asOf,   MIN($A2106,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3104154.11</v>
      </c>
    </row>
    <row r="2107">
      <c r="A2107" s="19">
        <v>44342.0</v>
      </c>
      <c r="B2107" s="23">
        <v>1.0765E7</v>
      </c>
      <c r="C2107" s="23">
        <f t="shared" si="1"/>
        <v>3105628.767</v>
      </c>
      <c r="D2107" s="18">
        <f>IF(A2107="","",MATCH(A2107,Calculation!B$2:B9627,1))</f>
        <v>1</v>
      </c>
      <c r="E2107" s="23">
        <f t="array" ref="E2107">IF(D2107="","",IF(D2107=1,0,INDEX(Calculation!Q$2:Q9627,D2107-1)))</f>
        <v>0</v>
      </c>
      <c r="F2107" s="23">
        <f t="array" ref="F2107">IF($A2107="","",
  LET(
    r, $D2107,
    startD, INDEX(Calculation!B$2:B9627, r),
    endD,   INDEX(Calculation!C$2:C9627, r),
    asOf,   MIN($A2107,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3105628.767</v>
      </c>
    </row>
    <row r="2108">
      <c r="A2108" s="19">
        <v>44343.0</v>
      </c>
      <c r="B2108" s="23">
        <v>1.0765E7</v>
      </c>
      <c r="C2108" s="23">
        <f t="shared" si="1"/>
        <v>3107103.425</v>
      </c>
      <c r="D2108" s="18">
        <f>IF(A2108="","",MATCH(A2108,Calculation!B$2:B9627,1))</f>
        <v>1</v>
      </c>
      <c r="E2108" s="23">
        <f t="array" ref="E2108">IF(D2108="","",IF(D2108=1,0,INDEX(Calculation!Q$2:Q9627,D2108-1)))</f>
        <v>0</v>
      </c>
      <c r="F2108" s="23">
        <f t="array" ref="F2108">IF($A2108="","",
  LET(
    r, $D2108,
    startD, INDEX(Calculation!B$2:B9627, r),
    endD,   INDEX(Calculation!C$2:C9627, r),
    asOf,   MIN($A2108,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3107103.425</v>
      </c>
    </row>
    <row r="2109">
      <c r="A2109" s="19">
        <v>44344.0</v>
      </c>
      <c r="B2109" s="23">
        <v>1.0765E7</v>
      </c>
      <c r="C2109" s="23">
        <f t="shared" si="1"/>
        <v>3108578.082</v>
      </c>
      <c r="D2109" s="18">
        <f>IF(A2109="","",MATCH(A2109,Calculation!B$2:B9627,1))</f>
        <v>1</v>
      </c>
      <c r="E2109" s="23">
        <f t="array" ref="E2109">IF(D2109="","",IF(D2109=1,0,INDEX(Calculation!Q$2:Q9627,D2109-1)))</f>
        <v>0</v>
      </c>
      <c r="F2109" s="23">
        <f t="array" ref="F2109">IF($A2109="","",
  LET(
    r, $D2109,
    startD, INDEX(Calculation!B$2:B9627, r),
    endD,   INDEX(Calculation!C$2:C9627, r),
    asOf,   MIN($A2109,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3108578.082</v>
      </c>
    </row>
    <row r="2110">
      <c r="A2110" s="19">
        <v>44345.0</v>
      </c>
      <c r="B2110" s="23">
        <v>1.0765E7</v>
      </c>
      <c r="C2110" s="23">
        <f t="shared" si="1"/>
        <v>3110052.74</v>
      </c>
      <c r="D2110" s="18">
        <f>IF(A2110="","",MATCH(A2110,Calculation!B$2:B9627,1))</f>
        <v>1</v>
      </c>
      <c r="E2110" s="23">
        <f t="array" ref="E2110">IF(D2110="","",IF(D2110=1,0,INDEX(Calculation!Q$2:Q9627,D2110-1)))</f>
        <v>0</v>
      </c>
      <c r="F2110" s="23">
        <f t="array" ref="F2110">IF($A2110="","",
  LET(
    r, $D2110,
    startD, INDEX(Calculation!B$2:B9627, r),
    endD,   INDEX(Calculation!C$2:C9627, r),
    asOf,   MIN($A2110,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3110052.74</v>
      </c>
    </row>
    <row r="2111">
      <c r="A2111" s="19">
        <v>44346.0</v>
      </c>
      <c r="B2111" s="23">
        <v>1.0765E7</v>
      </c>
      <c r="C2111" s="23">
        <f t="shared" si="1"/>
        <v>3111527.397</v>
      </c>
      <c r="D2111" s="18">
        <f>IF(A2111="","",MATCH(A2111,Calculation!B$2:B9627,1))</f>
        <v>1</v>
      </c>
      <c r="E2111" s="23">
        <f t="array" ref="E2111">IF(D2111="","",IF(D2111=1,0,INDEX(Calculation!Q$2:Q9627,D2111-1)))</f>
        <v>0</v>
      </c>
      <c r="F2111" s="23">
        <f t="array" ref="F2111">IF($A2111="","",
  LET(
    r, $D2111,
    startD, INDEX(Calculation!B$2:B9627, r),
    endD,   INDEX(Calculation!C$2:C9627, r),
    asOf,   MIN($A2111,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3111527.397</v>
      </c>
    </row>
    <row r="2112">
      <c r="A2112" s="19">
        <v>44347.0</v>
      </c>
      <c r="B2112" s="23">
        <v>1.0765E7</v>
      </c>
      <c r="C2112" s="23">
        <f t="shared" si="1"/>
        <v>3113002.055</v>
      </c>
      <c r="D2112" s="18">
        <f>IF(A2112="","",MATCH(A2112,Calculation!B$2:B9627,1))</f>
        <v>1</v>
      </c>
      <c r="E2112" s="23">
        <f t="array" ref="E2112">IF(D2112="","",IF(D2112=1,0,INDEX(Calculation!Q$2:Q9627,D2112-1)))</f>
        <v>0</v>
      </c>
      <c r="F2112" s="23">
        <f t="array" ref="F2112">IF($A2112="","",
  LET(
    r, $D2112,
    startD, INDEX(Calculation!B$2:B9627, r),
    endD,   INDEX(Calculation!C$2:C9627, r),
    asOf,   MIN($A2112,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3113002.055</v>
      </c>
    </row>
    <row r="2113">
      <c r="A2113" s="19">
        <v>44348.0</v>
      </c>
      <c r="B2113" s="23">
        <v>1.0765E7</v>
      </c>
      <c r="C2113" s="23">
        <f t="shared" si="1"/>
        <v>3114476.712</v>
      </c>
      <c r="D2113" s="18">
        <f>IF(A2113="","",MATCH(A2113,Calculation!B$2:B9627,1))</f>
        <v>1</v>
      </c>
      <c r="E2113" s="23">
        <f t="array" ref="E2113">IF(D2113="","",IF(D2113=1,0,INDEX(Calculation!Q$2:Q9627,D2113-1)))</f>
        <v>0</v>
      </c>
      <c r="F2113" s="23">
        <f t="array" ref="F2113">IF($A2113="","",
  LET(
    r, $D2113,
    startD, INDEX(Calculation!B$2:B9627, r),
    endD,   INDEX(Calculation!C$2:C9627, r),
    asOf,   MIN($A2113,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3114476.712</v>
      </c>
    </row>
    <row r="2114">
      <c r="A2114" s="19">
        <v>44349.0</v>
      </c>
      <c r="B2114" s="23">
        <v>1.0765E7</v>
      </c>
      <c r="C2114" s="23">
        <f t="shared" si="1"/>
        <v>3115951.37</v>
      </c>
      <c r="D2114" s="18">
        <f>IF(A2114="","",MATCH(A2114,Calculation!B$2:B9627,1))</f>
        <v>1</v>
      </c>
      <c r="E2114" s="23">
        <f t="array" ref="E2114">IF(D2114="","",IF(D2114=1,0,INDEX(Calculation!Q$2:Q9627,D2114-1)))</f>
        <v>0</v>
      </c>
      <c r="F2114" s="23">
        <f t="array" ref="F2114">IF($A2114="","",
  LET(
    r, $D2114,
    startD, INDEX(Calculation!B$2:B9627, r),
    endD,   INDEX(Calculation!C$2:C9627, r),
    asOf,   MIN($A2114,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3115951.37</v>
      </c>
    </row>
    <row r="2115">
      <c r="A2115" s="19">
        <v>44350.0</v>
      </c>
      <c r="B2115" s="23">
        <v>1.0765E7</v>
      </c>
      <c r="C2115" s="23">
        <f t="shared" si="1"/>
        <v>3117426.027</v>
      </c>
      <c r="D2115" s="18">
        <f>IF(A2115="","",MATCH(A2115,Calculation!B$2:B9627,1))</f>
        <v>1</v>
      </c>
      <c r="E2115" s="23">
        <f t="array" ref="E2115">IF(D2115="","",IF(D2115=1,0,INDEX(Calculation!Q$2:Q9627,D2115-1)))</f>
        <v>0</v>
      </c>
      <c r="F2115" s="23">
        <f t="array" ref="F2115">IF($A2115="","",
  LET(
    r, $D2115,
    startD, INDEX(Calculation!B$2:B9627, r),
    endD,   INDEX(Calculation!C$2:C9627, r),
    asOf,   MIN($A2115,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3117426.027</v>
      </c>
    </row>
    <row r="2116">
      <c r="A2116" s="19">
        <v>44351.0</v>
      </c>
      <c r="B2116" s="23">
        <v>1.0765E7</v>
      </c>
      <c r="C2116" s="23">
        <f t="shared" si="1"/>
        <v>3118900.685</v>
      </c>
      <c r="D2116" s="18">
        <f>IF(A2116="","",MATCH(A2116,Calculation!B$2:B9627,1))</f>
        <v>1</v>
      </c>
      <c r="E2116" s="23">
        <f t="array" ref="E2116">IF(D2116="","",IF(D2116=1,0,INDEX(Calculation!Q$2:Q9627,D2116-1)))</f>
        <v>0</v>
      </c>
      <c r="F2116" s="23">
        <f t="array" ref="F2116">IF($A2116="","",
  LET(
    r, $D2116,
    startD, INDEX(Calculation!B$2:B9627, r),
    endD,   INDEX(Calculation!C$2:C9627, r),
    asOf,   MIN($A2116,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3118900.685</v>
      </c>
    </row>
    <row r="2117">
      <c r="A2117" s="19">
        <v>44352.0</v>
      </c>
      <c r="B2117" s="23">
        <v>1.0765E7</v>
      </c>
      <c r="C2117" s="23">
        <f t="shared" si="1"/>
        <v>3120375.342</v>
      </c>
      <c r="D2117" s="18">
        <f>IF(A2117="","",MATCH(A2117,Calculation!B$2:B9627,1))</f>
        <v>1</v>
      </c>
      <c r="E2117" s="23">
        <f t="array" ref="E2117">IF(D2117="","",IF(D2117=1,0,INDEX(Calculation!Q$2:Q9627,D2117-1)))</f>
        <v>0</v>
      </c>
      <c r="F2117" s="23">
        <f t="array" ref="F2117">IF($A2117="","",
  LET(
    r, $D2117,
    startD, INDEX(Calculation!B$2:B9627, r),
    endD,   INDEX(Calculation!C$2:C9627, r),
    asOf,   MIN($A2117,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3120375.342</v>
      </c>
    </row>
    <row r="2118">
      <c r="A2118" s="19">
        <v>44353.0</v>
      </c>
      <c r="B2118" s="23">
        <v>1.0765E7</v>
      </c>
      <c r="C2118" s="23">
        <f t="shared" si="1"/>
        <v>3121850</v>
      </c>
      <c r="D2118" s="18">
        <f>IF(A2118="","",MATCH(A2118,Calculation!B$2:B9627,1))</f>
        <v>1</v>
      </c>
      <c r="E2118" s="23">
        <f t="array" ref="E2118">IF(D2118="","",IF(D2118=1,0,INDEX(Calculation!Q$2:Q9627,D2118-1)))</f>
        <v>0</v>
      </c>
      <c r="F2118" s="23">
        <f t="array" ref="F2118">IF($A2118="","",
  LET(
    r, $D2118,
    startD, INDEX(Calculation!B$2:B9627, r),
    endD,   INDEX(Calculation!C$2:C9627, r),
    asOf,   MIN($A2118,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3121850</v>
      </c>
    </row>
    <row r="2119">
      <c r="A2119" s="19">
        <v>44354.0</v>
      </c>
      <c r="B2119" s="23">
        <v>1.0765E7</v>
      </c>
      <c r="C2119" s="23">
        <f t="shared" si="1"/>
        <v>3123324.658</v>
      </c>
      <c r="D2119" s="18">
        <f>IF(A2119="","",MATCH(A2119,Calculation!B$2:B9627,1))</f>
        <v>1</v>
      </c>
      <c r="E2119" s="23">
        <f t="array" ref="E2119">IF(D2119="","",IF(D2119=1,0,INDEX(Calculation!Q$2:Q9627,D2119-1)))</f>
        <v>0</v>
      </c>
      <c r="F2119" s="23">
        <f t="array" ref="F2119">IF($A2119="","",
  LET(
    r, $D2119,
    startD, INDEX(Calculation!B$2:B9627, r),
    endD,   INDEX(Calculation!C$2:C9627, r),
    asOf,   MIN($A2119,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3123324.658</v>
      </c>
    </row>
    <row r="2120">
      <c r="A2120" s="19">
        <v>44355.0</v>
      </c>
      <c r="B2120" s="23">
        <v>1.0765E7</v>
      </c>
      <c r="C2120" s="23">
        <f t="shared" si="1"/>
        <v>3124799.315</v>
      </c>
      <c r="D2120" s="18">
        <f>IF(A2120="","",MATCH(A2120,Calculation!B$2:B9627,1))</f>
        <v>1</v>
      </c>
      <c r="E2120" s="23">
        <f t="array" ref="E2120">IF(D2120="","",IF(D2120=1,0,INDEX(Calculation!Q$2:Q9627,D2120-1)))</f>
        <v>0</v>
      </c>
      <c r="F2120" s="23">
        <f t="array" ref="F2120">IF($A2120="","",
  LET(
    r, $D2120,
    startD, INDEX(Calculation!B$2:B9627, r),
    endD,   INDEX(Calculation!C$2:C9627, r),
    asOf,   MIN($A2120,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3124799.315</v>
      </c>
    </row>
    <row r="2121">
      <c r="A2121" s="19">
        <v>44356.0</v>
      </c>
      <c r="B2121" s="23">
        <v>1.0765E7</v>
      </c>
      <c r="C2121" s="23">
        <f t="shared" si="1"/>
        <v>3126273.973</v>
      </c>
      <c r="D2121" s="18">
        <f>IF(A2121="","",MATCH(A2121,Calculation!B$2:B9627,1))</f>
        <v>1</v>
      </c>
      <c r="E2121" s="23">
        <f t="array" ref="E2121">IF(D2121="","",IF(D2121=1,0,INDEX(Calculation!Q$2:Q9627,D2121-1)))</f>
        <v>0</v>
      </c>
      <c r="F2121" s="23">
        <f t="array" ref="F2121">IF($A2121="","",
  LET(
    r, $D2121,
    startD, INDEX(Calculation!B$2:B9627, r),
    endD,   INDEX(Calculation!C$2:C9627, r),
    asOf,   MIN($A2121,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3126273.973</v>
      </c>
    </row>
    <row r="2122">
      <c r="A2122" s="19">
        <v>44357.0</v>
      </c>
      <c r="B2122" s="23">
        <v>1.0765E7</v>
      </c>
      <c r="C2122" s="23">
        <f t="shared" si="1"/>
        <v>3127748.63</v>
      </c>
      <c r="D2122" s="18">
        <f>IF(A2122="","",MATCH(A2122,Calculation!B$2:B9627,1))</f>
        <v>1</v>
      </c>
      <c r="E2122" s="23">
        <f t="array" ref="E2122">IF(D2122="","",IF(D2122=1,0,INDEX(Calculation!Q$2:Q9627,D2122-1)))</f>
        <v>0</v>
      </c>
      <c r="F2122" s="23">
        <f t="array" ref="F2122">IF($A2122="","",
  LET(
    r, $D2122,
    startD, INDEX(Calculation!B$2:B9627, r),
    endD,   INDEX(Calculation!C$2:C9627, r),
    asOf,   MIN($A2122,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3127748.63</v>
      </c>
    </row>
    <row r="2123">
      <c r="A2123" s="19">
        <v>44358.0</v>
      </c>
      <c r="B2123" s="23">
        <v>1.0765E7</v>
      </c>
      <c r="C2123" s="23">
        <f t="shared" si="1"/>
        <v>3129223.288</v>
      </c>
      <c r="D2123" s="18">
        <f>IF(A2123="","",MATCH(A2123,Calculation!B$2:B9627,1))</f>
        <v>1</v>
      </c>
      <c r="E2123" s="23">
        <f t="array" ref="E2123">IF(D2123="","",IF(D2123=1,0,INDEX(Calculation!Q$2:Q9627,D2123-1)))</f>
        <v>0</v>
      </c>
      <c r="F2123" s="23">
        <f t="array" ref="F2123">IF($A2123="","",
  LET(
    r, $D2123,
    startD, INDEX(Calculation!B$2:B9627, r),
    endD,   INDEX(Calculation!C$2:C9627, r),
    asOf,   MIN($A2123,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3129223.288</v>
      </c>
    </row>
    <row r="2124">
      <c r="A2124" s="19">
        <v>44359.0</v>
      </c>
      <c r="B2124" s="23">
        <v>1.0765E7</v>
      </c>
      <c r="C2124" s="23">
        <f t="shared" si="1"/>
        <v>3130697.945</v>
      </c>
      <c r="D2124" s="18">
        <f>IF(A2124="","",MATCH(A2124,Calculation!B$2:B9627,1))</f>
        <v>1</v>
      </c>
      <c r="E2124" s="23">
        <f t="array" ref="E2124">IF(D2124="","",IF(D2124=1,0,INDEX(Calculation!Q$2:Q9627,D2124-1)))</f>
        <v>0</v>
      </c>
      <c r="F2124" s="23">
        <f t="array" ref="F2124">IF($A2124="","",
  LET(
    r, $D2124,
    startD, INDEX(Calculation!B$2:B9627, r),
    endD,   INDEX(Calculation!C$2:C9627, r),
    asOf,   MIN($A2124,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3130697.945</v>
      </c>
    </row>
    <row r="2125">
      <c r="A2125" s="19">
        <v>44360.0</v>
      </c>
      <c r="B2125" s="23">
        <v>1.0765E7</v>
      </c>
      <c r="C2125" s="23">
        <f t="shared" si="1"/>
        <v>3132172.603</v>
      </c>
      <c r="D2125" s="18">
        <f>IF(A2125="","",MATCH(A2125,Calculation!B$2:B9627,1))</f>
        <v>1</v>
      </c>
      <c r="E2125" s="23">
        <f t="array" ref="E2125">IF(D2125="","",IF(D2125=1,0,INDEX(Calculation!Q$2:Q9627,D2125-1)))</f>
        <v>0</v>
      </c>
      <c r="F2125" s="23">
        <f t="array" ref="F2125">IF($A2125="","",
  LET(
    r, $D2125,
    startD, INDEX(Calculation!B$2:B9627, r),
    endD,   INDEX(Calculation!C$2:C9627, r),
    asOf,   MIN($A2125,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3132172.603</v>
      </c>
    </row>
    <row r="2126">
      <c r="A2126" s="19">
        <v>44361.0</v>
      </c>
      <c r="B2126" s="23">
        <v>1.0765E7</v>
      </c>
      <c r="C2126" s="23">
        <f t="shared" si="1"/>
        <v>3133647.26</v>
      </c>
      <c r="D2126" s="18">
        <f>IF(A2126="","",MATCH(A2126,Calculation!B$2:B9627,1))</f>
        <v>1</v>
      </c>
      <c r="E2126" s="23">
        <f t="array" ref="E2126">IF(D2126="","",IF(D2126=1,0,INDEX(Calculation!Q$2:Q9627,D2126-1)))</f>
        <v>0</v>
      </c>
      <c r="F2126" s="23">
        <f t="array" ref="F2126">IF($A2126="","",
  LET(
    r, $D2126,
    startD, INDEX(Calculation!B$2:B9627, r),
    endD,   INDEX(Calculation!C$2:C9627, r),
    asOf,   MIN($A2126,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3133647.26</v>
      </c>
    </row>
    <row r="2127">
      <c r="A2127" s="19">
        <v>44362.0</v>
      </c>
      <c r="B2127" s="23">
        <v>1.0765E7</v>
      </c>
      <c r="C2127" s="23">
        <f t="shared" si="1"/>
        <v>3135121.918</v>
      </c>
      <c r="D2127" s="18">
        <f>IF(A2127="","",MATCH(A2127,Calculation!B$2:B9627,1))</f>
        <v>1</v>
      </c>
      <c r="E2127" s="23">
        <f t="array" ref="E2127">IF(D2127="","",IF(D2127=1,0,INDEX(Calculation!Q$2:Q9627,D2127-1)))</f>
        <v>0</v>
      </c>
      <c r="F2127" s="23">
        <f t="array" ref="F2127">IF($A2127="","",
  LET(
    r, $D2127,
    startD, INDEX(Calculation!B$2:B9627, r),
    endD,   INDEX(Calculation!C$2:C9627, r),
    asOf,   MIN($A2127,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3135121.918</v>
      </c>
    </row>
    <row r="2128">
      <c r="A2128" s="19">
        <v>44363.0</v>
      </c>
      <c r="B2128" s="23">
        <v>1.0765E7</v>
      </c>
      <c r="C2128" s="23">
        <f t="shared" si="1"/>
        <v>3136596.575</v>
      </c>
      <c r="D2128" s="18">
        <f>IF(A2128="","",MATCH(A2128,Calculation!B$2:B9627,1))</f>
        <v>1</v>
      </c>
      <c r="E2128" s="23">
        <f t="array" ref="E2128">IF(D2128="","",IF(D2128=1,0,INDEX(Calculation!Q$2:Q9627,D2128-1)))</f>
        <v>0</v>
      </c>
      <c r="F2128" s="23">
        <f t="array" ref="F2128">IF($A2128="","",
  LET(
    r, $D2128,
    startD, INDEX(Calculation!B$2:B9627, r),
    endD,   INDEX(Calculation!C$2:C9627, r),
    asOf,   MIN($A2128,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3136596.575</v>
      </c>
    </row>
    <row r="2129">
      <c r="A2129" s="19">
        <v>44364.0</v>
      </c>
      <c r="B2129" s="23">
        <v>1.0765E7</v>
      </c>
      <c r="C2129" s="23">
        <f t="shared" si="1"/>
        <v>3138071.233</v>
      </c>
      <c r="D2129" s="18">
        <f>IF(A2129="","",MATCH(A2129,Calculation!B$2:B9627,1))</f>
        <v>1</v>
      </c>
      <c r="E2129" s="23">
        <f t="array" ref="E2129">IF(D2129="","",IF(D2129=1,0,INDEX(Calculation!Q$2:Q9627,D2129-1)))</f>
        <v>0</v>
      </c>
      <c r="F2129" s="23">
        <f t="array" ref="F2129">IF($A2129="","",
  LET(
    r, $D2129,
    startD, INDEX(Calculation!B$2:B9627, r),
    endD,   INDEX(Calculation!C$2:C9627, r),
    asOf,   MIN($A2129,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3138071.233</v>
      </c>
    </row>
    <row r="2130">
      <c r="A2130" s="19">
        <v>44365.0</v>
      </c>
      <c r="B2130" s="23">
        <v>1.0765E7</v>
      </c>
      <c r="C2130" s="23">
        <f t="shared" si="1"/>
        <v>3139545.89</v>
      </c>
      <c r="D2130" s="18">
        <f>IF(A2130="","",MATCH(A2130,Calculation!B$2:B9627,1))</f>
        <v>1</v>
      </c>
      <c r="E2130" s="23">
        <f t="array" ref="E2130">IF(D2130="","",IF(D2130=1,0,INDEX(Calculation!Q$2:Q9627,D2130-1)))</f>
        <v>0</v>
      </c>
      <c r="F2130" s="23">
        <f t="array" ref="F2130">IF($A2130="","",
  LET(
    r, $D2130,
    startD, INDEX(Calculation!B$2:B9627, r),
    endD,   INDEX(Calculation!C$2:C9627, r),
    asOf,   MIN($A2130,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3139545.89</v>
      </c>
    </row>
    <row r="2131">
      <c r="A2131" s="19">
        <v>44366.0</v>
      </c>
      <c r="B2131" s="23">
        <v>1.0765E7</v>
      </c>
      <c r="C2131" s="23">
        <f t="shared" si="1"/>
        <v>3141020.548</v>
      </c>
      <c r="D2131" s="18">
        <f>IF(A2131="","",MATCH(A2131,Calculation!B$2:B9627,1))</f>
        <v>1</v>
      </c>
      <c r="E2131" s="23">
        <f t="array" ref="E2131">IF(D2131="","",IF(D2131=1,0,INDEX(Calculation!Q$2:Q9627,D2131-1)))</f>
        <v>0</v>
      </c>
      <c r="F2131" s="23">
        <f t="array" ref="F2131">IF($A2131="","",
  LET(
    r, $D2131,
    startD, INDEX(Calculation!B$2:B9627, r),
    endD,   INDEX(Calculation!C$2:C9627, r),
    asOf,   MIN($A2131,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3141020.548</v>
      </c>
    </row>
    <row r="2132">
      <c r="A2132" s="19">
        <v>44367.0</v>
      </c>
      <c r="B2132" s="23">
        <v>1.0765E7</v>
      </c>
      <c r="C2132" s="23">
        <f t="shared" si="1"/>
        <v>3142495.205</v>
      </c>
      <c r="D2132" s="18">
        <f>IF(A2132="","",MATCH(A2132,Calculation!B$2:B9627,1))</f>
        <v>1</v>
      </c>
      <c r="E2132" s="23">
        <f t="array" ref="E2132">IF(D2132="","",IF(D2132=1,0,INDEX(Calculation!Q$2:Q9627,D2132-1)))</f>
        <v>0</v>
      </c>
      <c r="F2132" s="23">
        <f t="array" ref="F2132">IF($A2132="","",
  LET(
    r, $D2132,
    startD, INDEX(Calculation!B$2:B9627, r),
    endD,   INDEX(Calculation!C$2:C9627, r),
    asOf,   MIN($A2132,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3142495.205</v>
      </c>
    </row>
    <row r="2133">
      <c r="A2133" s="19">
        <v>44368.0</v>
      </c>
      <c r="B2133" s="23">
        <v>1.0765E7</v>
      </c>
      <c r="C2133" s="23">
        <f t="shared" si="1"/>
        <v>3143969.863</v>
      </c>
      <c r="D2133" s="18">
        <f>IF(A2133="","",MATCH(A2133,Calculation!B$2:B9627,1))</f>
        <v>1</v>
      </c>
      <c r="E2133" s="23">
        <f t="array" ref="E2133">IF(D2133="","",IF(D2133=1,0,INDEX(Calculation!Q$2:Q9627,D2133-1)))</f>
        <v>0</v>
      </c>
      <c r="F2133" s="23">
        <f t="array" ref="F2133">IF($A2133="","",
  LET(
    r, $D2133,
    startD, INDEX(Calculation!B$2:B9627, r),
    endD,   INDEX(Calculation!C$2:C9627, r),
    asOf,   MIN($A2133,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3143969.863</v>
      </c>
    </row>
    <row r="2134">
      <c r="A2134" s="19">
        <v>44369.0</v>
      </c>
      <c r="B2134" s="23">
        <v>1.0765E7</v>
      </c>
      <c r="C2134" s="23">
        <f t="shared" si="1"/>
        <v>3145444.521</v>
      </c>
      <c r="D2134" s="18">
        <f>IF(A2134="","",MATCH(A2134,Calculation!B$2:B9627,1))</f>
        <v>1</v>
      </c>
      <c r="E2134" s="23">
        <f t="array" ref="E2134">IF(D2134="","",IF(D2134=1,0,INDEX(Calculation!Q$2:Q9627,D2134-1)))</f>
        <v>0</v>
      </c>
      <c r="F2134" s="23">
        <f t="array" ref="F2134">IF($A2134="","",
  LET(
    r, $D2134,
    startD, INDEX(Calculation!B$2:B9627, r),
    endD,   INDEX(Calculation!C$2:C9627, r),
    asOf,   MIN($A2134,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3145444.521</v>
      </c>
    </row>
    <row r="2135">
      <c r="A2135" s="19">
        <v>44370.0</v>
      </c>
      <c r="B2135" s="23">
        <v>1.0765E7</v>
      </c>
      <c r="C2135" s="23">
        <f t="shared" si="1"/>
        <v>3146919.178</v>
      </c>
      <c r="D2135" s="18">
        <f>IF(A2135="","",MATCH(A2135,Calculation!B$2:B9627,1))</f>
        <v>1</v>
      </c>
      <c r="E2135" s="23">
        <f t="array" ref="E2135">IF(D2135="","",IF(D2135=1,0,INDEX(Calculation!Q$2:Q9627,D2135-1)))</f>
        <v>0</v>
      </c>
      <c r="F2135" s="23">
        <f t="array" ref="F2135">IF($A2135="","",
  LET(
    r, $D2135,
    startD, INDEX(Calculation!B$2:B9627, r),
    endD,   INDEX(Calculation!C$2:C9627, r),
    asOf,   MIN($A2135,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3146919.178</v>
      </c>
    </row>
    <row r="2136">
      <c r="A2136" s="19">
        <v>44371.0</v>
      </c>
      <c r="B2136" s="23">
        <v>1.0765E7</v>
      </c>
      <c r="C2136" s="23">
        <f t="shared" si="1"/>
        <v>3148393.836</v>
      </c>
      <c r="D2136" s="18">
        <f>IF(A2136="","",MATCH(A2136,Calculation!B$2:B9627,1))</f>
        <v>1</v>
      </c>
      <c r="E2136" s="23">
        <f t="array" ref="E2136">IF(D2136="","",IF(D2136=1,0,INDEX(Calculation!Q$2:Q9627,D2136-1)))</f>
        <v>0</v>
      </c>
      <c r="F2136" s="23">
        <f t="array" ref="F2136">IF($A2136="","",
  LET(
    r, $D2136,
    startD, INDEX(Calculation!B$2:B9627, r),
    endD,   INDEX(Calculation!C$2:C9627, r),
    asOf,   MIN($A2136,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3148393.836</v>
      </c>
    </row>
    <row r="2137">
      <c r="A2137" s="19">
        <v>44372.0</v>
      </c>
      <c r="B2137" s="23">
        <v>1.0765E7</v>
      </c>
      <c r="C2137" s="23">
        <f t="shared" si="1"/>
        <v>3149868.493</v>
      </c>
      <c r="D2137" s="18">
        <f>IF(A2137="","",MATCH(A2137,Calculation!B$2:B9627,1))</f>
        <v>1</v>
      </c>
      <c r="E2137" s="23">
        <f t="array" ref="E2137">IF(D2137="","",IF(D2137=1,0,INDEX(Calculation!Q$2:Q9627,D2137-1)))</f>
        <v>0</v>
      </c>
      <c r="F2137" s="23">
        <f t="array" ref="F2137">IF($A2137="","",
  LET(
    r, $D2137,
    startD, INDEX(Calculation!B$2:B9627, r),
    endD,   INDEX(Calculation!C$2:C9627, r),
    asOf,   MIN($A2137,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3149868.493</v>
      </c>
    </row>
    <row r="2138">
      <c r="A2138" s="19">
        <v>44373.0</v>
      </c>
      <c r="B2138" s="23">
        <v>1.0765E7</v>
      </c>
      <c r="C2138" s="23">
        <f t="shared" si="1"/>
        <v>3151343.151</v>
      </c>
      <c r="D2138" s="18">
        <f>IF(A2138="","",MATCH(A2138,Calculation!B$2:B9627,1))</f>
        <v>1</v>
      </c>
      <c r="E2138" s="23">
        <f t="array" ref="E2138">IF(D2138="","",IF(D2138=1,0,INDEX(Calculation!Q$2:Q9627,D2138-1)))</f>
        <v>0</v>
      </c>
      <c r="F2138" s="23">
        <f t="array" ref="F2138">IF($A2138="","",
  LET(
    r, $D2138,
    startD, INDEX(Calculation!B$2:B9627, r),
    endD,   INDEX(Calculation!C$2:C9627, r),
    asOf,   MIN($A2138,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3151343.151</v>
      </c>
    </row>
    <row r="2139">
      <c r="A2139" s="19">
        <v>44374.0</v>
      </c>
      <c r="B2139" s="23">
        <v>1.0765E7</v>
      </c>
      <c r="C2139" s="23">
        <f t="shared" si="1"/>
        <v>3152817.808</v>
      </c>
      <c r="D2139" s="18">
        <f>IF(A2139="","",MATCH(A2139,Calculation!B$2:B9627,1))</f>
        <v>1</v>
      </c>
      <c r="E2139" s="23">
        <f t="array" ref="E2139">IF(D2139="","",IF(D2139=1,0,INDEX(Calculation!Q$2:Q9627,D2139-1)))</f>
        <v>0</v>
      </c>
      <c r="F2139" s="23">
        <f t="array" ref="F2139">IF($A2139="","",
  LET(
    r, $D2139,
    startD, INDEX(Calculation!B$2:B9627, r),
    endD,   INDEX(Calculation!C$2:C9627, r),
    asOf,   MIN($A2139,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3152817.808</v>
      </c>
    </row>
    <row r="2140">
      <c r="A2140" s="19">
        <v>44375.0</v>
      </c>
      <c r="B2140" s="23">
        <v>1.0765E7</v>
      </c>
      <c r="C2140" s="23">
        <f t="shared" si="1"/>
        <v>3154292.466</v>
      </c>
      <c r="D2140" s="18">
        <f>IF(A2140="","",MATCH(A2140,Calculation!B$2:B9627,1))</f>
        <v>1</v>
      </c>
      <c r="E2140" s="23">
        <f t="array" ref="E2140">IF(D2140="","",IF(D2140=1,0,INDEX(Calculation!Q$2:Q9627,D2140-1)))</f>
        <v>0</v>
      </c>
      <c r="F2140" s="23">
        <f t="array" ref="F2140">IF($A2140="","",
  LET(
    r, $D2140,
    startD, INDEX(Calculation!B$2:B9627, r),
    endD,   INDEX(Calculation!C$2:C9627, r),
    asOf,   MIN($A2140,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3154292.466</v>
      </c>
    </row>
    <row r="2141">
      <c r="A2141" s="19">
        <v>44376.0</v>
      </c>
      <c r="B2141" s="23">
        <v>1.0765E7</v>
      </c>
      <c r="C2141" s="23">
        <f t="shared" si="1"/>
        <v>3155767.123</v>
      </c>
      <c r="D2141" s="18">
        <f>IF(A2141="","",MATCH(A2141,Calculation!B$2:B9627,1))</f>
        <v>1</v>
      </c>
      <c r="E2141" s="23">
        <f t="array" ref="E2141">IF(D2141="","",IF(D2141=1,0,INDEX(Calculation!Q$2:Q9627,D2141-1)))</f>
        <v>0</v>
      </c>
      <c r="F2141" s="23">
        <f t="array" ref="F2141">IF($A2141="","",
  LET(
    r, $D2141,
    startD, INDEX(Calculation!B$2:B9627, r),
    endD,   INDEX(Calculation!C$2:C9627, r),
    asOf,   MIN($A2141,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3155767.123</v>
      </c>
    </row>
    <row r="2142">
      <c r="A2142" s="19">
        <v>44377.0</v>
      </c>
      <c r="B2142" s="23">
        <v>1.0765E7</v>
      </c>
      <c r="C2142" s="23">
        <f t="shared" si="1"/>
        <v>3157241.781</v>
      </c>
      <c r="D2142" s="18">
        <f>IF(A2142="","",MATCH(A2142,Calculation!B$2:B9627,1))</f>
        <v>1</v>
      </c>
      <c r="E2142" s="23">
        <f t="array" ref="E2142">IF(D2142="","",IF(D2142=1,0,INDEX(Calculation!Q$2:Q9627,D2142-1)))</f>
        <v>0</v>
      </c>
      <c r="F2142" s="23">
        <f t="array" ref="F2142">IF($A2142="","",
  LET(
    r, $D2142,
    startD, INDEX(Calculation!B$2:B9627, r),
    endD,   INDEX(Calculation!C$2:C9627, r),
    asOf,   MIN($A2142,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3157241.781</v>
      </c>
    </row>
    <row r="2143">
      <c r="A2143" s="19">
        <v>44378.0</v>
      </c>
      <c r="B2143" s="23">
        <v>1.0765E7</v>
      </c>
      <c r="C2143" s="23">
        <f t="shared" si="1"/>
        <v>3158716.438</v>
      </c>
      <c r="D2143" s="18">
        <f>IF(A2143="","",MATCH(A2143,Calculation!B$2:B9627,1))</f>
        <v>1</v>
      </c>
      <c r="E2143" s="23">
        <f t="array" ref="E2143">IF(D2143="","",IF(D2143=1,0,INDEX(Calculation!Q$2:Q9627,D2143-1)))</f>
        <v>0</v>
      </c>
      <c r="F2143" s="23">
        <f t="array" ref="F2143">IF($A2143="","",
  LET(
    r, $D2143,
    startD, INDEX(Calculation!B$2:B9627, r),
    endD,   INDEX(Calculation!C$2:C9627, r),
    asOf,   MIN($A2143,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3158716.438</v>
      </c>
    </row>
    <row r="2144">
      <c r="A2144" s="19">
        <v>44379.0</v>
      </c>
      <c r="B2144" s="23">
        <v>1.0765E7</v>
      </c>
      <c r="C2144" s="23">
        <f t="shared" si="1"/>
        <v>3160191.096</v>
      </c>
      <c r="D2144" s="18">
        <f>IF(A2144="","",MATCH(A2144,Calculation!B$2:B9627,1))</f>
        <v>1</v>
      </c>
      <c r="E2144" s="23">
        <f t="array" ref="E2144">IF(D2144="","",IF(D2144=1,0,INDEX(Calculation!Q$2:Q9627,D2144-1)))</f>
        <v>0</v>
      </c>
      <c r="F2144" s="23">
        <f t="array" ref="F2144">IF($A2144="","",
  LET(
    r, $D2144,
    startD, INDEX(Calculation!B$2:B9627, r),
    endD,   INDEX(Calculation!C$2:C9627, r),
    asOf,   MIN($A2144,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3160191.096</v>
      </c>
    </row>
    <row r="2145">
      <c r="A2145" s="19">
        <v>44380.0</v>
      </c>
      <c r="B2145" s="23">
        <v>1.0765E7</v>
      </c>
      <c r="C2145" s="23">
        <f t="shared" si="1"/>
        <v>3161665.753</v>
      </c>
      <c r="D2145" s="18">
        <f>IF(A2145="","",MATCH(A2145,Calculation!B$2:B9627,1))</f>
        <v>1</v>
      </c>
      <c r="E2145" s="23">
        <f t="array" ref="E2145">IF(D2145="","",IF(D2145=1,0,INDEX(Calculation!Q$2:Q9627,D2145-1)))</f>
        <v>0</v>
      </c>
      <c r="F2145" s="23">
        <f t="array" ref="F2145">IF($A2145="","",
  LET(
    r, $D2145,
    startD, INDEX(Calculation!B$2:B9627, r),
    endD,   INDEX(Calculation!C$2:C9627, r),
    asOf,   MIN($A2145,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3161665.753</v>
      </c>
    </row>
    <row r="2146">
      <c r="A2146" s="19">
        <v>44381.0</v>
      </c>
      <c r="B2146" s="23">
        <v>1.0765E7</v>
      </c>
      <c r="C2146" s="23">
        <f t="shared" si="1"/>
        <v>3163140.411</v>
      </c>
      <c r="D2146" s="18">
        <f>IF(A2146="","",MATCH(A2146,Calculation!B$2:B9627,1))</f>
        <v>1</v>
      </c>
      <c r="E2146" s="23">
        <f t="array" ref="E2146">IF(D2146="","",IF(D2146=1,0,INDEX(Calculation!Q$2:Q9627,D2146-1)))</f>
        <v>0</v>
      </c>
      <c r="F2146" s="23">
        <f t="array" ref="F2146">IF($A2146="","",
  LET(
    r, $D2146,
    startD, INDEX(Calculation!B$2:B9627, r),
    endD,   INDEX(Calculation!C$2:C9627, r),
    asOf,   MIN($A2146,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3163140.411</v>
      </c>
    </row>
    <row r="2147">
      <c r="A2147" s="19">
        <v>44382.0</v>
      </c>
      <c r="B2147" s="23">
        <v>1.0765E7</v>
      </c>
      <c r="C2147" s="23">
        <f t="shared" si="1"/>
        <v>3164615.068</v>
      </c>
      <c r="D2147" s="18">
        <f>IF(A2147="","",MATCH(A2147,Calculation!B$2:B9627,1))</f>
        <v>1</v>
      </c>
      <c r="E2147" s="23">
        <f t="array" ref="E2147">IF(D2147="","",IF(D2147=1,0,INDEX(Calculation!Q$2:Q9627,D2147-1)))</f>
        <v>0</v>
      </c>
      <c r="F2147" s="23">
        <f t="array" ref="F2147">IF($A2147="","",
  LET(
    r, $D2147,
    startD, INDEX(Calculation!B$2:B9627, r),
    endD,   INDEX(Calculation!C$2:C9627, r),
    asOf,   MIN($A2147,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3164615.068</v>
      </c>
    </row>
    <row r="2148">
      <c r="A2148" s="19">
        <v>44383.0</v>
      </c>
      <c r="B2148" s="23">
        <v>1.0765E7</v>
      </c>
      <c r="C2148" s="23">
        <f t="shared" si="1"/>
        <v>3166089.726</v>
      </c>
      <c r="D2148" s="18">
        <f>IF(A2148="","",MATCH(A2148,Calculation!B$2:B9627,1))</f>
        <v>1</v>
      </c>
      <c r="E2148" s="23">
        <f t="array" ref="E2148">IF(D2148="","",IF(D2148=1,0,INDEX(Calculation!Q$2:Q9627,D2148-1)))</f>
        <v>0</v>
      </c>
      <c r="F2148" s="23">
        <f t="array" ref="F2148">IF($A2148="","",
  LET(
    r, $D2148,
    startD, INDEX(Calculation!B$2:B9627, r),
    endD,   INDEX(Calculation!C$2:C9627, r),
    asOf,   MIN($A2148,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3166089.726</v>
      </c>
    </row>
    <row r="2149">
      <c r="A2149" s="19">
        <v>44384.0</v>
      </c>
      <c r="B2149" s="23">
        <v>1.0765E7</v>
      </c>
      <c r="C2149" s="23">
        <f t="shared" si="1"/>
        <v>3167564.384</v>
      </c>
      <c r="D2149" s="18">
        <f>IF(A2149="","",MATCH(A2149,Calculation!B$2:B9627,1))</f>
        <v>1</v>
      </c>
      <c r="E2149" s="23">
        <f t="array" ref="E2149">IF(D2149="","",IF(D2149=1,0,INDEX(Calculation!Q$2:Q9627,D2149-1)))</f>
        <v>0</v>
      </c>
      <c r="F2149" s="23">
        <f t="array" ref="F2149">IF($A2149="","",
  LET(
    r, $D2149,
    startD, INDEX(Calculation!B$2:B9627, r),
    endD,   INDEX(Calculation!C$2:C9627, r),
    asOf,   MIN($A2149,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3167564.384</v>
      </c>
    </row>
    <row r="2150">
      <c r="A2150" s="19">
        <v>44385.0</v>
      </c>
      <c r="B2150" s="23">
        <v>1.0765E7</v>
      </c>
      <c r="C2150" s="23">
        <f t="shared" si="1"/>
        <v>3169039.041</v>
      </c>
      <c r="D2150" s="18">
        <f>IF(A2150="","",MATCH(A2150,Calculation!B$2:B9627,1))</f>
        <v>1</v>
      </c>
      <c r="E2150" s="23">
        <f t="array" ref="E2150">IF(D2150="","",IF(D2150=1,0,INDEX(Calculation!Q$2:Q9627,D2150-1)))</f>
        <v>0</v>
      </c>
      <c r="F2150" s="23">
        <f t="array" ref="F2150">IF($A2150="","",
  LET(
    r, $D2150,
    startD, INDEX(Calculation!B$2:B9627, r),
    endD,   INDEX(Calculation!C$2:C9627, r),
    asOf,   MIN($A2150,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3169039.041</v>
      </c>
    </row>
    <row r="2151">
      <c r="A2151" s="19">
        <v>44386.0</v>
      </c>
      <c r="B2151" s="23">
        <v>1.0765E7</v>
      </c>
      <c r="C2151" s="23">
        <f t="shared" si="1"/>
        <v>3170513.699</v>
      </c>
      <c r="D2151" s="18">
        <f>IF(A2151="","",MATCH(A2151,Calculation!B$2:B9627,1))</f>
        <v>1</v>
      </c>
      <c r="E2151" s="23">
        <f t="array" ref="E2151">IF(D2151="","",IF(D2151=1,0,INDEX(Calculation!Q$2:Q9627,D2151-1)))</f>
        <v>0</v>
      </c>
      <c r="F2151" s="23">
        <f t="array" ref="F2151">IF($A2151="","",
  LET(
    r, $D2151,
    startD, INDEX(Calculation!B$2:B9627, r),
    endD,   INDEX(Calculation!C$2:C9627, r),
    asOf,   MIN($A2151,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3170513.699</v>
      </c>
    </row>
    <row r="2152">
      <c r="A2152" s="19">
        <v>44387.0</v>
      </c>
      <c r="B2152" s="23">
        <v>1.0765E7</v>
      </c>
      <c r="C2152" s="23">
        <f t="shared" si="1"/>
        <v>3171988.356</v>
      </c>
      <c r="D2152" s="18">
        <f>IF(A2152="","",MATCH(A2152,Calculation!B$2:B9627,1))</f>
        <v>1</v>
      </c>
      <c r="E2152" s="23">
        <f t="array" ref="E2152">IF(D2152="","",IF(D2152=1,0,INDEX(Calculation!Q$2:Q9627,D2152-1)))</f>
        <v>0</v>
      </c>
      <c r="F2152" s="23">
        <f t="array" ref="F2152">IF($A2152="","",
  LET(
    r, $D2152,
    startD, INDEX(Calculation!B$2:B9627, r),
    endD,   INDEX(Calculation!C$2:C9627, r),
    asOf,   MIN($A2152,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3171988.356</v>
      </c>
    </row>
    <row r="2153">
      <c r="A2153" s="19">
        <v>44388.0</v>
      </c>
      <c r="B2153" s="23">
        <v>1.0765E7</v>
      </c>
      <c r="C2153" s="23">
        <f t="shared" si="1"/>
        <v>3173463.014</v>
      </c>
      <c r="D2153" s="18">
        <f>IF(A2153="","",MATCH(A2153,Calculation!B$2:B9627,1))</f>
        <v>1</v>
      </c>
      <c r="E2153" s="23">
        <f t="array" ref="E2153">IF(D2153="","",IF(D2153=1,0,INDEX(Calculation!Q$2:Q9627,D2153-1)))</f>
        <v>0</v>
      </c>
      <c r="F2153" s="23">
        <f t="array" ref="F2153">IF($A2153="","",
  LET(
    r, $D2153,
    startD, INDEX(Calculation!B$2:B9627, r),
    endD,   INDEX(Calculation!C$2:C9627, r),
    asOf,   MIN($A2153,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3173463.014</v>
      </c>
    </row>
    <row r="2154">
      <c r="A2154" s="19">
        <v>44389.0</v>
      </c>
      <c r="B2154" s="23">
        <v>1.0765E7</v>
      </c>
      <c r="C2154" s="23">
        <f t="shared" si="1"/>
        <v>3174937.671</v>
      </c>
      <c r="D2154" s="18">
        <f>IF(A2154="","",MATCH(A2154,Calculation!B$2:B9627,1))</f>
        <v>1</v>
      </c>
      <c r="E2154" s="23">
        <f t="array" ref="E2154">IF(D2154="","",IF(D2154=1,0,INDEX(Calculation!Q$2:Q9627,D2154-1)))</f>
        <v>0</v>
      </c>
      <c r="F2154" s="23">
        <f t="array" ref="F2154">IF($A2154="","",
  LET(
    r, $D2154,
    startD, INDEX(Calculation!B$2:B9627, r),
    endD,   INDEX(Calculation!C$2:C9627, r),
    asOf,   MIN($A2154,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3174937.671</v>
      </c>
    </row>
    <row r="2155">
      <c r="A2155" s="19">
        <v>44390.0</v>
      </c>
      <c r="B2155" s="23">
        <v>1.0765E7</v>
      </c>
      <c r="C2155" s="23">
        <f t="shared" si="1"/>
        <v>3176412.329</v>
      </c>
      <c r="D2155" s="18">
        <f>IF(A2155="","",MATCH(A2155,Calculation!B$2:B9627,1))</f>
        <v>1</v>
      </c>
      <c r="E2155" s="23">
        <f t="array" ref="E2155">IF(D2155="","",IF(D2155=1,0,INDEX(Calculation!Q$2:Q9627,D2155-1)))</f>
        <v>0</v>
      </c>
      <c r="F2155" s="23">
        <f t="array" ref="F2155">IF($A2155="","",
  LET(
    r, $D2155,
    startD, INDEX(Calculation!B$2:B9627, r),
    endD,   INDEX(Calculation!C$2:C9627, r),
    asOf,   MIN($A2155,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3176412.329</v>
      </c>
    </row>
    <row r="2156">
      <c r="A2156" s="19">
        <v>44391.0</v>
      </c>
      <c r="B2156" s="23">
        <v>1.0765E7</v>
      </c>
      <c r="C2156" s="23">
        <f t="shared" si="1"/>
        <v>3177886.986</v>
      </c>
      <c r="D2156" s="18">
        <f>IF(A2156="","",MATCH(A2156,Calculation!B$2:B9627,1))</f>
        <v>1</v>
      </c>
      <c r="E2156" s="23">
        <f t="array" ref="E2156">IF(D2156="","",IF(D2156=1,0,INDEX(Calculation!Q$2:Q9627,D2156-1)))</f>
        <v>0</v>
      </c>
      <c r="F2156" s="23">
        <f t="array" ref="F2156">IF($A2156="","",
  LET(
    r, $D2156,
    startD, INDEX(Calculation!B$2:B9627, r),
    endD,   INDEX(Calculation!C$2:C9627, r),
    asOf,   MIN($A2156,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3177886.986</v>
      </c>
    </row>
    <row r="2157">
      <c r="A2157" s="19">
        <v>44392.0</v>
      </c>
      <c r="B2157" s="23">
        <v>1.0765E7</v>
      </c>
      <c r="C2157" s="23">
        <f t="shared" si="1"/>
        <v>3179361.644</v>
      </c>
      <c r="D2157" s="18">
        <f>IF(A2157="","",MATCH(A2157,Calculation!B$2:B9627,1))</f>
        <v>1</v>
      </c>
      <c r="E2157" s="23">
        <f t="array" ref="E2157">IF(D2157="","",IF(D2157=1,0,INDEX(Calculation!Q$2:Q9627,D2157-1)))</f>
        <v>0</v>
      </c>
      <c r="F2157" s="23">
        <f t="array" ref="F2157">IF($A2157="","",
  LET(
    r, $D2157,
    startD, INDEX(Calculation!B$2:B9627, r),
    endD,   INDEX(Calculation!C$2:C9627, r),
    asOf,   MIN($A2157,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3179361.644</v>
      </c>
    </row>
    <row r="2158">
      <c r="A2158" s="19">
        <v>44393.0</v>
      </c>
      <c r="B2158" s="23">
        <v>1.0765E7</v>
      </c>
      <c r="C2158" s="23">
        <f t="shared" si="1"/>
        <v>3180836.301</v>
      </c>
      <c r="D2158" s="18">
        <f>IF(A2158="","",MATCH(A2158,Calculation!B$2:B9627,1))</f>
        <v>1</v>
      </c>
      <c r="E2158" s="23">
        <f t="array" ref="E2158">IF(D2158="","",IF(D2158=1,0,INDEX(Calculation!Q$2:Q9627,D2158-1)))</f>
        <v>0</v>
      </c>
      <c r="F2158" s="23">
        <f t="array" ref="F2158">IF($A2158="","",
  LET(
    r, $D2158,
    startD, INDEX(Calculation!B$2:B9627, r),
    endD,   INDEX(Calculation!C$2:C9627, r),
    asOf,   MIN($A2158,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3180836.301</v>
      </c>
    </row>
    <row r="2159">
      <c r="A2159" s="19">
        <v>44394.0</v>
      </c>
      <c r="B2159" s="23">
        <v>1.0765E7</v>
      </c>
      <c r="C2159" s="23">
        <f t="shared" si="1"/>
        <v>3182310.959</v>
      </c>
      <c r="D2159" s="18">
        <f>IF(A2159="","",MATCH(A2159,Calculation!B$2:B9627,1))</f>
        <v>1</v>
      </c>
      <c r="E2159" s="23">
        <f t="array" ref="E2159">IF(D2159="","",IF(D2159=1,0,INDEX(Calculation!Q$2:Q9627,D2159-1)))</f>
        <v>0</v>
      </c>
      <c r="F2159" s="23">
        <f t="array" ref="F2159">IF($A2159="","",
  LET(
    r, $D2159,
    startD, INDEX(Calculation!B$2:B9627, r),
    endD,   INDEX(Calculation!C$2:C9627, r),
    asOf,   MIN($A2159,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3182310.959</v>
      </c>
    </row>
    <row r="2160">
      <c r="A2160" s="19">
        <v>44395.0</v>
      </c>
      <c r="B2160" s="23">
        <v>1.0765E7</v>
      </c>
      <c r="C2160" s="23">
        <f t="shared" si="1"/>
        <v>3183785.616</v>
      </c>
      <c r="D2160" s="18">
        <f>IF(A2160="","",MATCH(A2160,Calculation!B$2:B9627,1))</f>
        <v>1</v>
      </c>
      <c r="E2160" s="23">
        <f t="array" ref="E2160">IF(D2160="","",IF(D2160=1,0,INDEX(Calculation!Q$2:Q9627,D2160-1)))</f>
        <v>0</v>
      </c>
      <c r="F2160" s="23">
        <f t="array" ref="F2160">IF($A2160="","",
  LET(
    r, $D2160,
    startD, INDEX(Calculation!B$2:B9627, r),
    endD,   INDEX(Calculation!C$2:C9627, r),
    asOf,   MIN($A2160,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3183785.616</v>
      </c>
    </row>
    <row r="2161">
      <c r="A2161" s="19">
        <v>44396.0</v>
      </c>
      <c r="B2161" s="23">
        <v>1.0765E7</v>
      </c>
      <c r="C2161" s="23">
        <f t="shared" si="1"/>
        <v>3185260.274</v>
      </c>
      <c r="D2161" s="18">
        <f>IF(A2161="","",MATCH(A2161,Calculation!B$2:B9627,1))</f>
        <v>1</v>
      </c>
      <c r="E2161" s="23">
        <f t="array" ref="E2161">IF(D2161="","",IF(D2161=1,0,INDEX(Calculation!Q$2:Q9627,D2161-1)))</f>
        <v>0</v>
      </c>
      <c r="F2161" s="23">
        <f t="array" ref="F2161">IF($A2161="","",
  LET(
    r, $D2161,
    startD, INDEX(Calculation!B$2:B9627, r),
    endD,   INDEX(Calculation!C$2:C9627, r),
    asOf,   MIN($A2161,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3185260.274</v>
      </c>
    </row>
    <row r="2162">
      <c r="A2162" s="19">
        <v>44397.0</v>
      </c>
      <c r="B2162" s="23">
        <v>1.0765E7</v>
      </c>
      <c r="C2162" s="23">
        <f t="shared" si="1"/>
        <v>3186734.932</v>
      </c>
      <c r="D2162" s="18">
        <f>IF(A2162="","",MATCH(A2162,Calculation!B$2:B9627,1))</f>
        <v>1</v>
      </c>
      <c r="E2162" s="23">
        <f t="array" ref="E2162">IF(D2162="","",IF(D2162=1,0,INDEX(Calculation!Q$2:Q9627,D2162-1)))</f>
        <v>0</v>
      </c>
      <c r="F2162" s="23">
        <f t="array" ref="F2162">IF($A2162="","",
  LET(
    r, $D2162,
    startD, INDEX(Calculation!B$2:B9627, r),
    endD,   INDEX(Calculation!C$2:C9627, r),
    asOf,   MIN($A2162,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3186734.932</v>
      </c>
    </row>
    <row r="2163">
      <c r="A2163" s="19">
        <v>44398.0</v>
      </c>
      <c r="B2163" s="23">
        <v>1.0765E7</v>
      </c>
      <c r="C2163" s="23">
        <f t="shared" si="1"/>
        <v>3188209.589</v>
      </c>
      <c r="D2163" s="18">
        <f>IF(A2163="","",MATCH(A2163,Calculation!B$2:B9627,1))</f>
        <v>1</v>
      </c>
      <c r="E2163" s="23">
        <f t="array" ref="E2163">IF(D2163="","",IF(D2163=1,0,INDEX(Calculation!Q$2:Q9627,D2163-1)))</f>
        <v>0</v>
      </c>
      <c r="F2163" s="23">
        <f t="array" ref="F2163">IF($A2163="","",
  LET(
    r, $D2163,
    startD, INDEX(Calculation!B$2:B9627, r),
    endD,   INDEX(Calculation!C$2:C9627, r),
    asOf,   MIN($A2163,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3188209.589</v>
      </c>
    </row>
    <row r="2164">
      <c r="A2164" s="19">
        <v>44399.0</v>
      </c>
      <c r="B2164" s="23">
        <v>1.0765E7</v>
      </c>
      <c r="C2164" s="23">
        <f t="shared" si="1"/>
        <v>3189684.247</v>
      </c>
      <c r="D2164" s="18">
        <f>IF(A2164="","",MATCH(A2164,Calculation!B$2:B9627,1))</f>
        <v>1</v>
      </c>
      <c r="E2164" s="23">
        <f t="array" ref="E2164">IF(D2164="","",IF(D2164=1,0,INDEX(Calculation!Q$2:Q9627,D2164-1)))</f>
        <v>0</v>
      </c>
      <c r="F2164" s="23">
        <f t="array" ref="F2164">IF($A2164="","",
  LET(
    r, $D2164,
    startD, INDEX(Calculation!B$2:B9627, r),
    endD,   INDEX(Calculation!C$2:C9627, r),
    asOf,   MIN($A2164,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3189684.247</v>
      </c>
    </row>
    <row r="2165">
      <c r="A2165" s="19">
        <v>44400.0</v>
      </c>
      <c r="B2165" s="23">
        <v>1.0765E7</v>
      </c>
      <c r="C2165" s="23">
        <f t="shared" si="1"/>
        <v>3191158.904</v>
      </c>
      <c r="D2165" s="18">
        <f>IF(A2165="","",MATCH(A2165,Calculation!B$2:B9627,1))</f>
        <v>1</v>
      </c>
      <c r="E2165" s="23">
        <f t="array" ref="E2165">IF(D2165="","",IF(D2165=1,0,INDEX(Calculation!Q$2:Q9627,D2165-1)))</f>
        <v>0</v>
      </c>
      <c r="F2165" s="23">
        <f t="array" ref="F2165">IF($A2165="","",
  LET(
    r, $D2165,
    startD, INDEX(Calculation!B$2:B9627, r),
    endD,   INDEX(Calculation!C$2:C9627, r),
    asOf,   MIN($A2165,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3191158.904</v>
      </c>
    </row>
    <row r="2166">
      <c r="A2166" s="19">
        <v>44401.0</v>
      </c>
      <c r="B2166" s="23">
        <v>1.0765E7</v>
      </c>
      <c r="C2166" s="23">
        <f t="shared" si="1"/>
        <v>3192633.562</v>
      </c>
      <c r="D2166" s="18">
        <f>IF(A2166="","",MATCH(A2166,Calculation!B$2:B9627,1))</f>
        <v>1</v>
      </c>
      <c r="E2166" s="23">
        <f t="array" ref="E2166">IF(D2166="","",IF(D2166=1,0,INDEX(Calculation!Q$2:Q9627,D2166-1)))</f>
        <v>0</v>
      </c>
      <c r="F2166" s="23">
        <f t="array" ref="F2166">IF($A2166="","",
  LET(
    r, $D2166,
    startD, INDEX(Calculation!B$2:B9627, r),
    endD,   INDEX(Calculation!C$2:C9627, r),
    asOf,   MIN($A2166,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3192633.562</v>
      </c>
    </row>
    <row r="2167">
      <c r="A2167" s="19">
        <v>44402.0</v>
      </c>
      <c r="B2167" s="23">
        <v>1.0765E7</v>
      </c>
      <c r="C2167" s="23">
        <f t="shared" si="1"/>
        <v>3194108.219</v>
      </c>
      <c r="D2167" s="18">
        <f>IF(A2167="","",MATCH(A2167,Calculation!B$2:B9627,1))</f>
        <v>1</v>
      </c>
      <c r="E2167" s="23">
        <f t="array" ref="E2167">IF(D2167="","",IF(D2167=1,0,INDEX(Calculation!Q$2:Q9627,D2167-1)))</f>
        <v>0</v>
      </c>
      <c r="F2167" s="23">
        <f t="array" ref="F2167">IF($A2167="","",
  LET(
    r, $D2167,
    startD, INDEX(Calculation!B$2:B9627, r),
    endD,   INDEX(Calculation!C$2:C9627, r),
    asOf,   MIN($A2167,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3194108.219</v>
      </c>
    </row>
    <row r="2168">
      <c r="A2168" s="19">
        <v>44403.0</v>
      </c>
      <c r="B2168" s="23">
        <v>1.0765E7</v>
      </c>
      <c r="C2168" s="23">
        <f t="shared" si="1"/>
        <v>3195582.877</v>
      </c>
      <c r="D2168" s="18">
        <f>IF(A2168="","",MATCH(A2168,Calculation!B$2:B9627,1))</f>
        <v>1</v>
      </c>
      <c r="E2168" s="23">
        <f t="array" ref="E2168">IF(D2168="","",IF(D2168=1,0,INDEX(Calculation!Q$2:Q9627,D2168-1)))</f>
        <v>0</v>
      </c>
      <c r="F2168" s="23">
        <f t="array" ref="F2168">IF($A2168="","",
  LET(
    r, $D2168,
    startD, INDEX(Calculation!B$2:B9627, r),
    endD,   INDEX(Calculation!C$2:C9627, r),
    asOf,   MIN($A2168,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3195582.877</v>
      </c>
    </row>
    <row r="2169">
      <c r="A2169" s="19">
        <v>44404.0</v>
      </c>
      <c r="B2169" s="23">
        <v>1.0765E7</v>
      </c>
      <c r="C2169" s="23">
        <f t="shared" si="1"/>
        <v>3197057.534</v>
      </c>
      <c r="D2169" s="18">
        <f>IF(A2169="","",MATCH(A2169,Calculation!B$2:B9627,1))</f>
        <v>1</v>
      </c>
      <c r="E2169" s="23">
        <f t="array" ref="E2169">IF(D2169="","",IF(D2169=1,0,INDEX(Calculation!Q$2:Q9627,D2169-1)))</f>
        <v>0</v>
      </c>
      <c r="F2169" s="23">
        <f t="array" ref="F2169">IF($A2169="","",
  LET(
    r, $D2169,
    startD, INDEX(Calculation!B$2:B9627, r),
    endD,   INDEX(Calculation!C$2:C9627, r),
    asOf,   MIN($A2169,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3197057.534</v>
      </c>
    </row>
    <row r="2170">
      <c r="A2170" s="19">
        <v>44405.0</v>
      </c>
      <c r="B2170" s="23">
        <v>1.0765E7</v>
      </c>
      <c r="C2170" s="23">
        <f t="shared" si="1"/>
        <v>3198532.192</v>
      </c>
      <c r="D2170" s="18">
        <f>IF(A2170="","",MATCH(A2170,Calculation!B$2:B9627,1))</f>
        <v>1</v>
      </c>
      <c r="E2170" s="23">
        <f t="array" ref="E2170">IF(D2170="","",IF(D2170=1,0,INDEX(Calculation!Q$2:Q9627,D2170-1)))</f>
        <v>0</v>
      </c>
      <c r="F2170" s="23">
        <f t="array" ref="F2170">IF($A2170="","",
  LET(
    r, $D2170,
    startD, INDEX(Calculation!B$2:B9627, r),
    endD,   INDEX(Calculation!C$2:C9627, r),
    asOf,   MIN($A2170,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3198532.192</v>
      </c>
    </row>
    <row r="2171">
      <c r="A2171" s="19">
        <v>44406.0</v>
      </c>
      <c r="B2171" s="23">
        <v>1.0765E7</v>
      </c>
      <c r="C2171" s="23">
        <f t="shared" si="1"/>
        <v>3200006.849</v>
      </c>
      <c r="D2171" s="18">
        <f>IF(A2171="","",MATCH(A2171,Calculation!B$2:B9627,1))</f>
        <v>1</v>
      </c>
      <c r="E2171" s="23">
        <f t="array" ref="E2171">IF(D2171="","",IF(D2171=1,0,INDEX(Calculation!Q$2:Q9627,D2171-1)))</f>
        <v>0</v>
      </c>
      <c r="F2171" s="23">
        <f t="array" ref="F2171">IF($A2171="","",
  LET(
    r, $D2171,
    startD, INDEX(Calculation!B$2:B9627, r),
    endD,   INDEX(Calculation!C$2:C9627, r),
    asOf,   MIN($A2171,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3200006.849</v>
      </c>
    </row>
    <row r="2172">
      <c r="A2172" s="19">
        <v>44407.0</v>
      </c>
      <c r="B2172" s="23">
        <v>1.0765E7</v>
      </c>
      <c r="C2172" s="23">
        <f t="shared" si="1"/>
        <v>3201481.507</v>
      </c>
      <c r="D2172" s="18">
        <f>IF(A2172="","",MATCH(A2172,Calculation!B$2:B9627,1))</f>
        <v>1</v>
      </c>
      <c r="E2172" s="23">
        <f t="array" ref="E2172">IF(D2172="","",IF(D2172=1,0,INDEX(Calculation!Q$2:Q9627,D2172-1)))</f>
        <v>0</v>
      </c>
      <c r="F2172" s="23">
        <f t="array" ref="F2172">IF($A2172="","",
  LET(
    r, $D2172,
    startD, INDEX(Calculation!B$2:B9627, r),
    endD,   INDEX(Calculation!C$2:C9627, r),
    asOf,   MIN($A2172,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3201481.507</v>
      </c>
    </row>
    <row r="2173">
      <c r="A2173" s="19">
        <v>44408.0</v>
      </c>
      <c r="B2173" s="23">
        <v>1.0765E7</v>
      </c>
      <c r="C2173" s="23">
        <f t="shared" si="1"/>
        <v>3202956.164</v>
      </c>
      <c r="D2173" s="18">
        <f>IF(A2173="","",MATCH(A2173,Calculation!B$2:B9627,1))</f>
        <v>1</v>
      </c>
      <c r="E2173" s="23">
        <f t="array" ref="E2173">IF(D2173="","",IF(D2173=1,0,INDEX(Calculation!Q$2:Q9627,D2173-1)))</f>
        <v>0</v>
      </c>
      <c r="F2173" s="23">
        <f t="array" ref="F2173">IF($A2173="","",
  LET(
    r, $D2173,
    startD, INDEX(Calculation!B$2:B9627, r),
    endD,   INDEX(Calculation!C$2:C9627, r),
    asOf,   MIN($A2173,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3202956.164</v>
      </c>
    </row>
    <row r="2174">
      <c r="A2174" s="19">
        <v>44409.0</v>
      </c>
      <c r="B2174" s="23">
        <v>1.0765E7</v>
      </c>
      <c r="C2174" s="23">
        <f t="shared" si="1"/>
        <v>3204430.822</v>
      </c>
      <c r="D2174" s="18">
        <f>IF(A2174="","",MATCH(A2174,Calculation!B$2:B9627,1))</f>
        <v>1</v>
      </c>
      <c r="E2174" s="23">
        <f t="array" ref="E2174">IF(D2174="","",IF(D2174=1,0,INDEX(Calculation!Q$2:Q9627,D2174-1)))</f>
        <v>0</v>
      </c>
      <c r="F2174" s="23">
        <f t="array" ref="F2174">IF($A2174="","",
  LET(
    r, $D2174,
    startD, INDEX(Calculation!B$2:B9627, r),
    endD,   INDEX(Calculation!C$2:C9627, r),
    asOf,   MIN($A2174,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3204430.822</v>
      </c>
    </row>
    <row r="2175">
      <c r="A2175" s="19">
        <v>44410.0</v>
      </c>
      <c r="B2175" s="23">
        <v>1.0765E7</v>
      </c>
      <c r="C2175" s="23">
        <f t="shared" si="1"/>
        <v>3205905.479</v>
      </c>
      <c r="D2175" s="18">
        <f>IF(A2175="","",MATCH(A2175,Calculation!B$2:B9627,1))</f>
        <v>1</v>
      </c>
      <c r="E2175" s="23">
        <f t="array" ref="E2175">IF(D2175="","",IF(D2175=1,0,INDEX(Calculation!Q$2:Q9627,D2175-1)))</f>
        <v>0</v>
      </c>
      <c r="F2175" s="23">
        <f t="array" ref="F2175">IF($A2175="","",
  LET(
    r, $D2175,
    startD, INDEX(Calculation!B$2:B9627, r),
    endD,   INDEX(Calculation!C$2:C9627, r),
    asOf,   MIN($A2175,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3205905.479</v>
      </c>
    </row>
    <row r="2176">
      <c r="A2176" s="19">
        <v>44411.0</v>
      </c>
      <c r="B2176" s="23">
        <v>1.0765E7</v>
      </c>
      <c r="C2176" s="23">
        <f t="shared" si="1"/>
        <v>3207380.137</v>
      </c>
      <c r="D2176" s="18">
        <f>IF(A2176="","",MATCH(A2176,Calculation!B$2:B9627,1))</f>
        <v>1</v>
      </c>
      <c r="E2176" s="23">
        <f t="array" ref="E2176">IF(D2176="","",IF(D2176=1,0,INDEX(Calculation!Q$2:Q9627,D2176-1)))</f>
        <v>0</v>
      </c>
      <c r="F2176" s="23">
        <f t="array" ref="F2176">IF($A2176="","",
  LET(
    r, $D2176,
    startD, INDEX(Calculation!B$2:B9627, r),
    endD,   INDEX(Calculation!C$2:C9627, r),
    asOf,   MIN($A2176,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3207380.137</v>
      </c>
    </row>
    <row r="2177">
      <c r="A2177" s="19">
        <v>44412.0</v>
      </c>
      <c r="B2177" s="23">
        <v>1.0765E7</v>
      </c>
      <c r="C2177" s="23">
        <f t="shared" si="1"/>
        <v>3208854.795</v>
      </c>
      <c r="D2177" s="18">
        <f>IF(A2177="","",MATCH(A2177,Calculation!B$2:B9627,1))</f>
        <v>1</v>
      </c>
      <c r="E2177" s="23">
        <f t="array" ref="E2177">IF(D2177="","",IF(D2177=1,0,INDEX(Calculation!Q$2:Q9627,D2177-1)))</f>
        <v>0</v>
      </c>
      <c r="F2177" s="23">
        <f t="array" ref="F2177">IF($A2177="","",
  LET(
    r, $D2177,
    startD, INDEX(Calculation!B$2:B9627, r),
    endD,   INDEX(Calculation!C$2:C9627, r),
    asOf,   MIN($A2177,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3208854.795</v>
      </c>
    </row>
    <row r="2178">
      <c r="A2178" s="19">
        <v>44413.0</v>
      </c>
      <c r="B2178" s="23">
        <v>1.0765E7</v>
      </c>
      <c r="C2178" s="23">
        <f t="shared" si="1"/>
        <v>3210329.452</v>
      </c>
      <c r="D2178" s="18">
        <f>IF(A2178="","",MATCH(A2178,Calculation!B$2:B9627,1))</f>
        <v>1</v>
      </c>
      <c r="E2178" s="23">
        <f t="array" ref="E2178">IF(D2178="","",IF(D2178=1,0,INDEX(Calculation!Q$2:Q9627,D2178-1)))</f>
        <v>0</v>
      </c>
      <c r="F2178" s="23">
        <f t="array" ref="F2178">IF($A2178="","",
  LET(
    r, $D2178,
    startD, INDEX(Calculation!B$2:B9627, r),
    endD,   INDEX(Calculation!C$2:C9627, r),
    asOf,   MIN($A2178,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3210329.452</v>
      </c>
    </row>
    <row r="2179">
      <c r="A2179" s="19">
        <v>44414.0</v>
      </c>
      <c r="B2179" s="23">
        <v>1.0765E7</v>
      </c>
      <c r="C2179" s="23">
        <f t="shared" si="1"/>
        <v>3211804.11</v>
      </c>
      <c r="D2179" s="18">
        <f>IF(A2179="","",MATCH(A2179,Calculation!B$2:B9627,1))</f>
        <v>1</v>
      </c>
      <c r="E2179" s="23">
        <f t="array" ref="E2179">IF(D2179="","",IF(D2179=1,0,INDEX(Calculation!Q$2:Q9627,D2179-1)))</f>
        <v>0</v>
      </c>
      <c r="F2179" s="23">
        <f t="array" ref="F2179">IF($A2179="","",
  LET(
    r, $D2179,
    startD, INDEX(Calculation!B$2:B9627, r),
    endD,   INDEX(Calculation!C$2:C9627, r),
    asOf,   MIN($A2179,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3211804.11</v>
      </c>
    </row>
    <row r="2180">
      <c r="A2180" s="19">
        <v>44415.0</v>
      </c>
      <c r="B2180" s="23">
        <v>1.0765E7</v>
      </c>
      <c r="C2180" s="23">
        <f t="shared" si="1"/>
        <v>3213278.767</v>
      </c>
      <c r="D2180" s="18">
        <f>IF(A2180="","",MATCH(A2180,Calculation!B$2:B9627,1))</f>
        <v>1</v>
      </c>
      <c r="E2180" s="23">
        <f t="array" ref="E2180">IF(D2180="","",IF(D2180=1,0,INDEX(Calculation!Q$2:Q9627,D2180-1)))</f>
        <v>0</v>
      </c>
      <c r="F2180" s="23">
        <f t="array" ref="F2180">IF($A2180="","",
  LET(
    r, $D2180,
    startD, INDEX(Calculation!B$2:B9627, r),
    endD,   INDEX(Calculation!C$2:C9627, r),
    asOf,   MIN($A2180,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3213278.767</v>
      </c>
    </row>
    <row r="2181">
      <c r="A2181" s="19">
        <v>44416.0</v>
      </c>
      <c r="B2181" s="23">
        <v>1.0765E7</v>
      </c>
      <c r="C2181" s="23">
        <f t="shared" si="1"/>
        <v>3214753.425</v>
      </c>
      <c r="D2181" s="18">
        <f>IF(A2181="","",MATCH(A2181,Calculation!B$2:B9627,1))</f>
        <v>1</v>
      </c>
      <c r="E2181" s="23">
        <f t="array" ref="E2181">IF(D2181="","",IF(D2181=1,0,INDEX(Calculation!Q$2:Q9627,D2181-1)))</f>
        <v>0</v>
      </c>
      <c r="F2181" s="23">
        <f t="array" ref="F2181">IF($A2181="","",
  LET(
    r, $D2181,
    startD, INDEX(Calculation!B$2:B9627, r),
    endD,   INDEX(Calculation!C$2:C9627, r),
    asOf,   MIN($A2181,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3214753.425</v>
      </c>
    </row>
    <row r="2182">
      <c r="A2182" s="19">
        <v>44417.0</v>
      </c>
      <c r="B2182" s="23">
        <v>1.0765E7</v>
      </c>
      <c r="C2182" s="23">
        <f t="shared" si="1"/>
        <v>3216228.082</v>
      </c>
      <c r="D2182" s="18">
        <f>IF(A2182="","",MATCH(A2182,Calculation!B$2:B9627,1))</f>
        <v>1</v>
      </c>
      <c r="E2182" s="23">
        <f t="array" ref="E2182">IF(D2182="","",IF(D2182=1,0,INDEX(Calculation!Q$2:Q9627,D2182-1)))</f>
        <v>0</v>
      </c>
      <c r="F2182" s="23">
        <f t="array" ref="F2182">IF($A2182="","",
  LET(
    r, $D2182,
    startD, INDEX(Calculation!B$2:B9627, r),
    endD,   INDEX(Calculation!C$2:C9627, r),
    asOf,   MIN($A2182,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3216228.082</v>
      </c>
    </row>
    <row r="2183">
      <c r="A2183" s="19">
        <v>44418.0</v>
      </c>
      <c r="B2183" s="23">
        <v>1.0765E7</v>
      </c>
      <c r="C2183" s="23">
        <f t="shared" si="1"/>
        <v>3217702.74</v>
      </c>
      <c r="D2183" s="18">
        <f>IF(A2183="","",MATCH(A2183,Calculation!B$2:B9627,1))</f>
        <v>1</v>
      </c>
      <c r="E2183" s="23">
        <f t="array" ref="E2183">IF(D2183="","",IF(D2183=1,0,INDEX(Calculation!Q$2:Q9627,D2183-1)))</f>
        <v>0</v>
      </c>
      <c r="F2183" s="23">
        <f t="array" ref="F2183">IF($A2183="","",
  LET(
    r, $D2183,
    startD, INDEX(Calculation!B$2:B9627, r),
    endD,   INDEX(Calculation!C$2:C9627, r),
    asOf,   MIN($A2183,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3217702.74</v>
      </c>
    </row>
    <row r="2184">
      <c r="A2184" s="19">
        <v>44419.0</v>
      </c>
      <c r="B2184" s="23">
        <v>1.0765E7</v>
      </c>
      <c r="C2184" s="23">
        <f t="shared" si="1"/>
        <v>3219177.397</v>
      </c>
      <c r="D2184" s="18">
        <f>IF(A2184="","",MATCH(A2184,Calculation!B$2:B9627,1))</f>
        <v>1</v>
      </c>
      <c r="E2184" s="23">
        <f t="array" ref="E2184">IF(D2184="","",IF(D2184=1,0,INDEX(Calculation!Q$2:Q9627,D2184-1)))</f>
        <v>0</v>
      </c>
      <c r="F2184" s="23">
        <f t="array" ref="F2184">IF($A2184="","",
  LET(
    r, $D2184,
    startD, INDEX(Calculation!B$2:B9627, r),
    endD,   INDEX(Calculation!C$2:C9627, r),
    asOf,   MIN($A2184,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3219177.397</v>
      </c>
    </row>
    <row r="2185">
      <c r="A2185" s="19">
        <v>44420.0</v>
      </c>
      <c r="B2185" s="23">
        <v>1.0765E7</v>
      </c>
      <c r="C2185" s="23">
        <f t="shared" si="1"/>
        <v>3220652.055</v>
      </c>
      <c r="D2185" s="18">
        <f>IF(A2185="","",MATCH(A2185,Calculation!B$2:B9627,1))</f>
        <v>1</v>
      </c>
      <c r="E2185" s="23">
        <f t="array" ref="E2185">IF(D2185="","",IF(D2185=1,0,INDEX(Calculation!Q$2:Q9627,D2185-1)))</f>
        <v>0</v>
      </c>
      <c r="F2185" s="23">
        <f t="array" ref="F2185">IF($A2185="","",
  LET(
    r, $D2185,
    startD, INDEX(Calculation!B$2:B9627, r),
    endD,   INDEX(Calculation!C$2:C9627, r),
    asOf,   MIN($A2185,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3220652.055</v>
      </c>
    </row>
    <row r="2186">
      <c r="A2186" s="19">
        <v>44421.0</v>
      </c>
      <c r="B2186" s="23">
        <v>1.0765E7</v>
      </c>
      <c r="C2186" s="23">
        <f t="shared" si="1"/>
        <v>3222126.712</v>
      </c>
      <c r="D2186" s="18">
        <f>IF(A2186="","",MATCH(A2186,Calculation!B$2:B9627,1))</f>
        <v>1</v>
      </c>
      <c r="E2186" s="23">
        <f t="array" ref="E2186">IF(D2186="","",IF(D2186=1,0,INDEX(Calculation!Q$2:Q9627,D2186-1)))</f>
        <v>0</v>
      </c>
      <c r="F2186" s="23">
        <f t="array" ref="F2186">IF($A2186="","",
  LET(
    r, $D2186,
    startD, INDEX(Calculation!B$2:B9627, r),
    endD,   INDEX(Calculation!C$2:C9627, r),
    asOf,   MIN($A2186,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3222126.712</v>
      </c>
    </row>
    <row r="2187">
      <c r="A2187" s="19">
        <v>44422.0</v>
      </c>
      <c r="B2187" s="23">
        <v>1.0765E7</v>
      </c>
      <c r="C2187" s="23">
        <f t="shared" si="1"/>
        <v>3223601.37</v>
      </c>
      <c r="D2187" s="18">
        <f>IF(A2187="","",MATCH(A2187,Calculation!B$2:B9627,1))</f>
        <v>1</v>
      </c>
      <c r="E2187" s="23">
        <f t="array" ref="E2187">IF(D2187="","",IF(D2187=1,0,INDEX(Calculation!Q$2:Q9627,D2187-1)))</f>
        <v>0</v>
      </c>
      <c r="F2187" s="23">
        <f t="array" ref="F2187">IF($A2187="","",
  LET(
    r, $D2187,
    startD, INDEX(Calculation!B$2:B9627, r),
    endD,   INDEX(Calculation!C$2:C9627, r),
    asOf,   MIN($A2187,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3223601.37</v>
      </c>
    </row>
    <row r="2188">
      <c r="A2188" s="19">
        <v>44423.0</v>
      </c>
      <c r="B2188" s="23">
        <v>1.0765E7</v>
      </c>
      <c r="C2188" s="23">
        <f t="shared" si="1"/>
        <v>3225076.027</v>
      </c>
      <c r="D2188" s="18">
        <f>IF(A2188="","",MATCH(A2188,Calculation!B$2:B9627,1))</f>
        <v>1</v>
      </c>
      <c r="E2188" s="23">
        <f t="array" ref="E2188">IF(D2188="","",IF(D2188=1,0,INDEX(Calculation!Q$2:Q9627,D2188-1)))</f>
        <v>0</v>
      </c>
      <c r="F2188" s="23">
        <f t="array" ref="F2188">IF($A2188="","",
  LET(
    r, $D2188,
    startD, INDEX(Calculation!B$2:B9627, r),
    endD,   INDEX(Calculation!C$2:C9627, r),
    asOf,   MIN($A2188,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3225076.027</v>
      </c>
    </row>
    <row r="2189">
      <c r="A2189" s="19">
        <v>44424.0</v>
      </c>
      <c r="B2189" s="23">
        <v>1.0765E7</v>
      </c>
      <c r="C2189" s="23">
        <f t="shared" si="1"/>
        <v>3226550.685</v>
      </c>
      <c r="D2189" s="18">
        <f>IF(A2189="","",MATCH(A2189,Calculation!B$2:B9627,1))</f>
        <v>1</v>
      </c>
      <c r="E2189" s="23">
        <f t="array" ref="E2189">IF(D2189="","",IF(D2189=1,0,INDEX(Calculation!Q$2:Q9627,D2189-1)))</f>
        <v>0</v>
      </c>
      <c r="F2189" s="23">
        <f t="array" ref="F2189">IF($A2189="","",
  LET(
    r, $D2189,
    startD, INDEX(Calculation!B$2:B9627, r),
    endD,   INDEX(Calculation!C$2:C9627, r),
    asOf,   MIN($A2189,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3226550.685</v>
      </c>
    </row>
    <row r="2190">
      <c r="A2190" s="19">
        <v>44425.0</v>
      </c>
      <c r="B2190" s="23">
        <v>1.0765E7</v>
      </c>
      <c r="C2190" s="23">
        <f t="shared" si="1"/>
        <v>3228025.342</v>
      </c>
      <c r="D2190" s="18">
        <f>IF(A2190="","",MATCH(A2190,Calculation!B$2:B9627,1))</f>
        <v>1</v>
      </c>
      <c r="E2190" s="23">
        <f t="array" ref="E2190">IF(D2190="","",IF(D2190=1,0,INDEX(Calculation!Q$2:Q9627,D2190-1)))</f>
        <v>0</v>
      </c>
      <c r="F2190" s="23">
        <f t="array" ref="F2190">IF($A2190="","",
  LET(
    r, $D2190,
    startD, INDEX(Calculation!B$2:B9627, r),
    endD,   INDEX(Calculation!C$2:C9627, r),
    asOf,   MIN($A2190,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3228025.342</v>
      </c>
    </row>
    <row r="2191">
      <c r="A2191" s="19">
        <v>44426.0</v>
      </c>
      <c r="B2191" s="23">
        <v>1.0765E7</v>
      </c>
      <c r="C2191" s="23">
        <f t="shared" si="1"/>
        <v>3229500</v>
      </c>
      <c r="D2191" s="18">
        <f>IF(A2191="","",MATCH(A2191,Calculation!B$2:B9627,1))</f>
        <v>1</v>
      </c>
      <c r="E2191" s="23">
        <f t="array" ref="E2191">IF(D2191="","",IF(D2191=1,0,INDEX(Calculation!Q$2:Q9627,D2191-1)))</f>
        <v>0</v>
      </c>
      <c r="F2191" s="23">
        <f t="array" ref="F2191">IF($A2191="","",
  LET(
    r, $D2191,
    startD, INDEX(Calculation!B$2:B9627, r),
    endD,   INDEX(Calculation!C$2:C9627, r),
    asOf,   MIN($A2191,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3229500</v>
      </c>
    </row>
    <row r="2192">
      <c r="A2192" s="19">
        <v>44427.0</v>
      </c>
      <c r="B2192" s="23">
        <v>1.0765E7</v>
      </c>
      <c r="C2192" s="23">
        <f t="shared" si="1"/>
        <v>3230974.658</v>
      </c>
      <c r="D2192" s="18">
        <f>IF(A2192="","",MATCH(A2192,Calculation!B$2:B9627,1))</f>
        <v>1</v>
      </c>
      <c r="E2192" s="23">
        <f t="array" ref="E2192">IF(D2192="","",IF(D2192=1,0,INDEX(Calculation!Q$2:Q9627,D2192-1)))</f>
        <v>0</v>
      </c>
      <c r="F2192" s="23">
        <f t="array" ref="F2192">IF($A2192="","",
  LET(
    r, $D2192,
    startD, INDEX(Calculation!B$2:B9627, r),
    endD,   INDEX(Calculation!C$2:C9627, r),
    asOf,   MIN($A2192,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3230974.658</v>
      </c>
    </row>
    <row r="2193">
      <c r="A2193" s="19">
        <v>44428.0</v>
      </c>
      <c r="B2193" s="23">
        <v>1.0765E7</v>
      </c>
      <c r="C2193" s="23">
        <f t="shared" si="1"/>
        <v>3239527.671</v>
      </c>
      <c r="D2193" s="18">
        <f>IF(A2193="","",MATCH(A2193,Calculation!B$2:B9627,1))</f>
        <v>2</v>
      </c>
      <c r="E2193" s="23">
        <f t="array" ref="E2193">IF(D2193="","",IF(D2193=1,0,INDEX(Calculation!Q$2:Q9627,D2193-1)))</f>
        <v>3232449.315</v>
      </c>
      <c r="F2193" s="23">
        <f t="array" ref="F2193">IF($A2193="","",
  LET(
    r, $D2193,
    startD, INDEX(Calculation!B$2:B9627, r),
    endD,   INDEX(Calculation!C$2:C9627, r),
    asOf,   MIN($A2193,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7078.356164</v>
      </c>
    </row>
    <row r="2194">
      <c r="A2194" s="19">
        <v>44429.0</v>
      </c>
      <c r="B2194" s="23">
        <v>1.0765E7</v>
      </c>
      <c r="C2194" s="23">
        <f t="shared" si="1"/>
        <v>3246606.027</v>
      </c>
      <c r="D2194" s="18">
        <f>IF(A2194="","",MATCH(A2194,Calculation!B$2:B9627,1))</f>
        <v>2</v>
      </c>
      <c r="E2194" s="23">
        <f t="array" ref="E2194">IF(D2194="","",IF(D2194=1,0,INDEX(Calculation!Q$2:Q9627,D2194-1)))</f>
        <v>3232449.315</v>
      </c>
      <c r="F2194" s="23">
        <f t="array" ref="F2194">IF($A2194="","",
  LET(
    r, $D2194,
    startD, INDEX(Calculation!B$2:B9627, r),
    endD,   INDEX(Calculation!C$2:C9627, r),
    asOf,   MIN($A2194,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14156.71233</v>
      </c>
    </row>
    <row r="2195">
      <c r="A2195" s="19">
        <v>44430.0</v>
      </c>
      <c r="B2195" s="23">
        <v>1.0765E7</v>
      </c>
      <c r="C2195" s="23">
        <f t="shared" si="1"/>
        <v>3253684.384</v>
      </c>
      <c r="D2195" s="18">
        <f>IF(A2195="","",MATCH(A2195,Calculation!B$2:B9627,1))</f>
        <v>2</v>
      </c>
      <c r="E2195" s="23">
        <f t="array" ref="E2195">IF(D2195="","",IF(D2195=1,0,INDEX(Calculation!Q$2:Q9627,D2195-1)))</f>
        <v>3232449.315</v>
      </c>
      <c r="F2195" s="23">
        <f t="array" ref="F2195">IF($A2195="","",
  LET(
    r, $D2195,
    startD, INDEX(Calculation!B$2:B9627, r),
    endD,   INDEX(Calculation!C$2:C9627, r),
    asOf,   MIN($A2195,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21235.06849</v>
      </c>
    </row>
    <row r="2196">
      <c r="A2196" s="19">
        <v>44431.0</v>
      </c>
      <c r="B2196" s="23">
        <v>1.0765E7</v>
      </c>
      <c r="C2196" s="23">
        <f t="shared" si="1"/>
        <v>3260762.74</v>
      </c>
      <c r="D2196" s="18">
        <f>IF(A2196="","",MATCH(A2196,Calculation!B$2:B9627,1))</f>
        <v>2</v>
      </c>
      <c r="E2196" s="23">
        <f t="array" ref="E2196">IF(D2196="","",IF(D2196=1,0,INDEX(Calculation!Q$2:Q9627,D2196-1)))</f>
        <v>3232449.315</v>
      </c>
      <c r="F2196" s="23">
        <f t="array" ref="F2196">IF($A2196="","",
  LET(
    r, $D2196,
    startD, INDEX(Calculation!B$2:B9627, r),
    endD,   INDEX(Calculation!C$2:C9627, r),
    asOf,   MIN($A2196,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28313.42466</v>
      </c>
    </row>
    <row r="2197">
      <c r="A2197" s="19">
        <v>44432.0</v>
      </c>
      <c r="B2197" s="23">
        <v>1.0765E7</v>
      </c>
      <c r="C2197" s="23">
        <f t="shared" si="1"/>
        <v>3267841.096</v>
      </c>
      <c r="D2197" s="18">
        <f>IF(A2197="","",MATCH(A2197,Calculation!B$2:B9627,1))</f>
        <v>2</v>
      </c>
      <c r="E2197" s="23">
        <f t="array" ref="E2197">IF(D2197="","",IF(D2197=1,0,INDEX(Calculation!Q$2:Q9627,D2197-1)))</f>
        <v>3232449.315</v>
      </c>
      <c r="F2197" s="23">
        <f t="array" ref="F2197">IF($A2197="","",
  LET(
    r, $D2197,
    startD, INDEX(Calculation!B$2:B9627, r),
    endD,   INDEX(Calculation!C$2:C9627, r),
    asOf,   MIN($A2197,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35391.78082</v>
      </c>
    </row>
    <row r="2198">
      <c r="A2198" s="19">
        <v>44433.0</v>
      </c>
      <c r="B2198" s="23">
        <v>1.0765E7</v>
      </c>
      <c r="C2198" s="23">
        <f t="shared" si="1"/>
        <v>3274919.452</v>
      </c>
      <c r="D2198" s="18">
        <f>IF(A2198="","",MATCH(A2198,Calculation!B$2:B9627,1))</f>
        <v>2</v>
      </c>
      <c r="E2198" s="23">
        <f t="array" ref="E2198">IF(D2198="","",IF(D2198=1,0,INDEX(Calculation!Q$2:Q9627,D2198-1)))</f>
        <v>3232449.315</v>
      </c>
      <c r="F2198" s="23">
        <f t="array" ref="F2198">IF($A2198="","",
  LET(
    r, $D2198,
    startD, INDEX(Calculation!B$2:B9627, r),
    endD,   INDEX(Calculation!C$2:C9627, r),
    asOf,   MIN($A2198,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42470.13699</v>
      </c>
    </row>
    <row r="2199">
      <c r="A2199" s="19">
        <v>44434.0</v>
      </c>
      <c r="B2199" s="23">
        <v>1.0765E7</v>
      </c>
      <c r="C2199" s="23">
        <f t="shared" si="1"/>
        <v>3281997.808</v>
      </c>
      <c r="D2199" s="18">
        <f>IF(A2199="","",MATCH(A2199,Calculation!B$2:B9627,1))</f>
        <v>2</v>
      </c>
      <c r="E2199" s="23">
        <f t="array" ref="E2199">IF(D2199="","",IF(D2199=1,0,INDEX(Calculation!Q$2:Q9627,D2199-1)))</f>
        <v>3232449.315</v>
      </c>
      <c r="F2199" s="23">
        <f t="array" ref="F2199">IF($A2199="","",
  LET(
    r, $D2199,
    startD, INDEX(Calculation!B$2:B9627, r),
    endD,   INDEX(Calculation!C$2:C9627, r),
    asOf,   MIN($A2199,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49548.49315</v>
      </c>
    </row>
    <row r="2200">
      <c r="A2200" s="19">
        <v>44435.0</v>
      </c>
      <c r="B2200" s="23">
        <v>1.0765E7</v>
      </c>
      <c r="C2200" s="23">
        <f t="shared" si="1"/>
        <v>3289076.164</v>
      </c>
      <c r="D2200" s="18">
        <f>IF(A2200="","",MATCH(A2200,Calculation!B$2:B9627,1))</f>
        <v>2</v>
      </c>
      <c r="E2200" s="23">
        <f t="array" ref="E2200">IF(D2200="","",IF(D2200=1,0,INDEX(Calculation!Q$2:Q9627,D2200-1)))</f>
        <v>3232449.315</v>
      </c>
      <c r="F2200" s="23">
        <f t="array" ref="F2200">IF($A2200="","",
  LET(
    r, $D2200,
    startD, INDEX(Calculation!B$2:B9627, r),
    endD,   INDEX(Calculation!C$2:C9627, r),
    asOf,   MIN($A2200,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56626.84932</v>
      </c>
    </row>
    <row r="2201">
      <c r="A2201" s="19">
        <v>44436.0</v>
      </c>
      <c r="B2201" s="23">
        <v>1.0765E7</v>
      </c>
      <c r="C2201" s="23">
        <f t="shared" si="1"/>
        <v>3296154.521</v>
      </c>
      <c r="D2201" s="18">
        <f>IF(A2201="","",MATCH(A2201,Calculation!B$2:B9627,1))</f>
        <v>2</v>
      </c>
      <c r="E2201" s="23">
        <f t="array" ref="E2201">IF(D2201="","",IF(D2201=1,0,INDEX(Calculation!Q$2:Q9627,D2201-1)))</f>
        <v>3232449.315</v>
      </c>
      <c r="F2201" s="23">
        <f t="array" ref="F2201">IF($A2201="","",
  LET(
    r, $D2201,
    startD, INDEX(Calculation!B$2:B9627, r),
    endD,   INDEX(Calculation!C$2:C9627, r),
    asOf,   MIN($A2201,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63705.20548</v>
      </c>
    </row>
    <row r="2202">
      <c r="A2202" s="19">
        <v>44437.0</v>
      </c>
      <c r="B2202" s="23">
        <v>1.0765E7</v>
      </c>
      <c r="C2202" s="23">
        <f t="shared" si="1"/>
        <v>3303232.877</v>
      </c>
      <c r="D2202" s="18">
        <f>IF(A2202="","",MATCH(A2202,Calculation!B$2:B9627,1))</f>
        <v>2</v>
      </c>
      <c r="E2202" s="23">
        <f t="array" ref="E2202">IF(D2202="","",IF(D2202=1,0,INDEX(Calculation!Q$2:Q9627,D2202-1)))</f>
        <v>3232449.315</v>
      </c>
      <c r="F2202" s="23">
        <f t="array" ref="F2202">IF($A2202="","",
  LET(
    r, $D2202,
    startD, INDEX(Calculation!B$2:B9627, r),
    endD,   INDEX(Calculation!C$2:C9627, r),
    asOf,   MIN($A2202,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70783.56164</v>
      </c>
    </row>
    <row r="2203">
      <c r="A2203" s="19">
        <v>44438.0</v>
      </c>
      <c r="B2203" s="23">
        <v>1.0765E7</v>
      </c>
      <c r="C2203" s="23">
        <f t="shared" si="1"/>
        <v>3310311.233</v>
      </c>
      <c r="D2203" s="18">
        <f>IF(A2203="","",MATCH(A2203,Calculation!B$2:B9627,1))</f>
        <v>2</v>
      </c>
      <c r="E2203" s="23">
        <f t="array" ref="E2203">IF(D2203="","",IF(D2203=1,0,INDEX(Calculation!Q$2:Q9627,D2203-1)))</f>
        <v>3232449.315</v>
      </c>
      <c r="F2203" s="23">
        <f t="array" ref="F2203">IF($A2203="","",
  LET(
    r, $D2203,
    startD, INDEX(Calculation!B$2:B9627, r),
    endD,   INDEX(Calculation!C$2:C9627, r),
    asOf,   MIN($A2203,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77861.91781</v>
      </c>
    </row>
    <row r="2204">
      <c r="A2204" s="19">
        <v>44439.0</v>
      </c>
      <c r="B2204" s="23">
        <v>1.0765E7</v>
      </c>
      <c r="C2204" s="23">
        <f t="shared" si="1"/>
        <v>3317389.589</v>
      </c>
      <c r="D2204" s="18">
        <f>IF(A2204="","",MATCH(A2204,Calculation!B$2:B9627,1))</f>
        <v>2</v>
      </c>
      <c r="E2204" s="23">
        <f t="array" ref="E2204">IF(D2204="","",IF(D2204=1,0,INDEX(Calculation!Q$2:Q9627,D2204-1)))</f>
        <v>3232449.315</v>
      </c>
      <c r="F2204" s="23">
        <f t="array" ref="F2204">IF($A2204="","",
  LET(
    r, $D2204,
    startD, INDEX(Calculation!B$2:B9627, r),
    endD,   INDEX(Calculation!C$2:C9627, r),
    asOf,   MIN($A2204,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84940.27397</v>
      </c>
    </row>
    <row r="2205">
      <c r="A2205" s="19">
        <v>44440.0</v>
      </c>
      <c r="B2205" s="23">
        <v>1.0765E7</v>
      </c>
      <c r="C2205" s="23">
        <f t="shared" si="1"/>
        <v>3324467.945</v>
      </c>
      <c r="D2205" s="18">
        <f>IF(A2205="","",MATCH(A2205,Calculation!B$2:B9627,1))</f>
        <v>2</v>
      </c>
      <c r="E2205" s="23">
        <f t="array" ref="E2205">IF(D2205="","",IF(D2205=1,0,INDEX(Calculation!Q$2:Q9627,D2205-1)))</f>
        <v>3232449.315</v>
      </c>
      <c r="F2205" s="23">
        <f t="array" ref="F2205">IF($A2205="","",
  LET(
    r, $D2205,
    startD, INDEX(Calculation!B$2:B9627, r),
    endD,   INDEX(Calculation!C$2:C9627, r),
    asOf,   MIN($A2205,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92018.63014</v>
      </c>
    </row>
    <row r="2206">
      <c r="A2206" s="19">
        <v>44441.0</v>
      </c>
      <c r="B2206" s="23">
        <v>1.0765E7</v>
      </c>
      <c r="C2206" s="23">
        <f t="shared" si="1"/>
        <v>3331546.301</v>
      </c>
      <c r="D2206" s="18">
        <f>IF(A2206="","",MATCH(A2206,Calculation!B$2:B9627,1))</f>
        <v>2</v>
      </c>
      <c r="E2206" s="23">
        <f t="array" ref="E2206">IF(D2206="","",IF(D2206=1,0,INDEX(Calculation!Q$2:Q9627,D2206-1)))</f>
        <v>3232449.315</v>
      </c>
      <c r="F2206" s="23">
        <f t="array" ref="F2206">IF($A2206="","",
  LET(
    r, $D2206,
    startD, INDEX(Calculation!B$2:B9627, r),
    endD,   INDEX(Calculation!C$2:C9627, r),
    asOf,   MIN($A2206,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99096.9863</v>
      </c>
    </row>
    <row r="2207">
      <c r="A2207" s="19">
        <v>44442.0</v>
      </c>
      <c r="B2207" s="23">
        <v>1.0765E7</v>
      </c>
      <c r="C2207" s="23">
        <f t="shared" si="1"/>
        <v>3338624.658</v>
      </c>
      <c r="D2207" s="18">
        <f>IF(A2207="","",MATCH(A2207,Calculation!B$2:B9627,1))</f>
        <v>2</v>
      </c>
      <c r="E2207" s="23">
        <f t="array" ref="E2207">IF(D2207="","",IF(D2207=1,0,INDEX(Calculation!Q$2:Q9627,D2207-1)))</f>
        <v>3232449.315</v>
      </c>
      <c r="F2207" s="23">
        <f t="array" ref="F2207">IF($A2207="","",
  LET(
    r, $D2207,
    startD, INDEX(Calculation!B$2:B9627, r),
    endD,   INDEX(Calculation!C$2:C9627, r),
    asOf,   MIN($A2207,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106175.3425</v>
      </c>
    </row>
    <row r="2208">
      <c r="A2208" s="19">
        <v>44443.0</v>
      </c>
      <c r="B2208" s="23">
        <v>1.0765E7</v>
      </c>
      <c r="C2208" s="23">
        <f t="shared" si="1"/>
        <v>3345703.014</v>
      </c>
      <c r="D2208" s="18">
        <f>IF(A2208="","",MATCH(A2208,Calculation!B$2:B9627,1))</f>
        <v>2</v>
      </c>
      <c r="E2208" s="23">
        <f t="array" ref="E2208">IF(D2208="","",IF(D2208=1,0,INDEX(Calculation!Q$2:Q9627,D2208-1)))</f>
        <v>3232449.315</v>
      </c>
      <c r="F2208" s="23">
        <f t="array" ref="F2208">IF($A2208="","",
  LET(
    r, $D2208,
    startD, INDEX(Calculation!B$2:B9627, r),
    endD,   INDEX(Calculation!C$2:C9627, r),
    asOf,   MIN($A2208,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113253.6986</v>
      </c>
    </row>
    <row r="2209">
      <c r="A2209" s="19">
        <v>44444.0</v>
      </c>
      <c r="B2209" s="23">
        <v>1.0765E7</v>
      </c>
      <c r="C2209" s="23">
        <f t="shared" si="1"/>
        <v>3352781.37</v>
      </c>
      <c r="D2209" s="18">
        <f>IF(A2209="","",MATCH(A2209,Calculation!B$2:B9627,1))</f>
        <v>2</v>
      </c>
      <c r="E2209" s="23">
        <f t="array" ref="E2209">IF(D2209="","",IF(D2209=1,0,INDEX(Calculation!Q$2:Q9627,D2209-1)))</f>
        <v>3232449.315</v>
      </c>
      <c r="F2209" s="23">
        <f t="array" ref="F2209">IF($A2209="","",
  LET(
    r, $D2209,
    startD, INDEX(Calculation!B$2:B9627, r),
    endD,   INDEX(Calculation!C$2:C9627, r),
    asOf,   MIN($A2209,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120332.0548</v>
      </c>
    </row>
    <row r="2210">
      <c r="A2210" s="19">
        <v>44445.0</v>
      </c>
      <c r="B2210" s="23">
        <v>1.0765E7</v>
      </c>
      <c r="C2210" s="23">
        <f t="shared" si="1"/>
        <v>3359859.726</v>
      </c>
      <c r="D2210" s="18">
        <f>IF(A2210="","",MATCH(A2210,Calculation!B$2:B9627,1))</f>
        <v>2</v>
      </c>
      <c r="E2210" s="23">
        <f t="array" ref="E2210">IF(D2210="","",IF(D2210=1,0,INDEX(Calculation!Q$2:Q9627,D2210-1)))</f>
        <v>3232449.315</v>
      </c>
      <c r="F2210" s="23">
        <f t="array" ref="F2210">IF($A2210="","",
  LET(
    r, $D2210,
    startD, INDEX(Calculation!B$2:B9627, r),
    endD,   INDEX(Calculation!C$2:C9627, r),
    asOf,   MIN($A2210,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127410.411</v>
      </c>
    </row>
    <row r="2211">
      <c r="A2211" s="19">
        <v>44446.0</v>
      </c>
      <c r="B2211" s="23">
        <v>1.0765E7</v>
      </c>
      <c r="C2211" s="23">
        <f t="shared" si="1"/>
        <v>3366938.082</v>
      </c>
      <c r="D2211" s="18">
        <f>IF(A2211="","",MATCH(A2211,Calculation!B$2:B9627,1))</f>
        <v>2</v>
      </c>
      <c r="E2211" s="23">
        <f t="array" ref="E2211">IF(D2211="","",IF(D2211=1,0,INDEX(Calculation!Q$2:Q9627,D2211-1)))</f>
        <v>3232449.315</v>
      </c>
      <c r="F2211" s="23">
        <f t="array" ref="F2211">IF($A2211="","",
  LET(
    r, $D2211,
    startD, INDEX(Calculation!B$2:B9627, r),
    endD,   INDEX(Calculation!C$2:C9627, r),
    asOf,   MIN($A2211,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134488.7671</v>
      </c>
    </row>
    <row r="2212">
      <c r="A2212" s="19">
        <v>44447.0</v>
      </c>
      <c r="B2212" s="23">
        <v>1.0765E7</v>
      </c>
      <c r="C2212" s="23">
        <f t="shared" si="1"/>
        <v>3374016.438</v>
      </c>
      <c r="D2212" s="18">
        <f>IF(A2212="","",MATCH(A2212,Calculation!B$2:B9627,1))</f>
        <v>2</v>
      </c>
      <c r="E2212" s="23">
        <f t="array" ref="E2212">IF(D2212="","",IF(D2212=1,0,INDEX(Calculation!Q$2:Q9627,D2212-1)))</f>
        <v>3232449.315</v>
      </c>
      <c r="F2212" s="23">
        <f t="array" ref="F2212">IF($A2212="","",
  LET(
    r, $D2212,
    startD, INDEX(Calculation!B$2:B9627, r),
    endD,   INDEX(Calculation!C$2:C9627, r),
    asOf,   MIN($A2212,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141567.1233</v>
      </c>
    </row>
    <row r="2213">
      <c r="A2213" s="19">
        <v>44448.0</v>
      </c>
      <c r="B2213" s="23">
        <v>1.0765E7</v>
      </c>
      <c r="C2213" s="23">
        <f t="shared" si="1"/>
        <v>3381094.795</v>
      </c>
      <c r="D2213" s="18">
        <f>IF(A2213="","",MATCH(A2213,Calculation!B$2:B9627,1))</f>
        <v>2</v>
      </c>
      <c r="E2213" s="23">
        <f t="array" ref="E2213">IF(D2213="","",IF(D2213=1,0,INDEX(Calculation!Q$2:Q9627,D2213-1)))</f>
        <v>3232449.315</v>
      </c>
      <c r="F2213" s="23">
        <f t="array" ref="F2213">IF($A2213="","",
  LET(
    r, $D2213,
    startD, INDEX(Calculation!B$2:B9627, r),
    endD,   INDEX(Calculation!C$2:C9627, r),
    asOf,   MIN($A2213,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148645.4795</v>
      </c>
    </row>
    <row r="2214">
      <c r="A2214" s="19">
        <v>44449.0</v>
      </c>
      <c r="B2214" s="23">
        <v>1.0765E7</v>
      </c>
      <c r="C2214" s="23">
        <f t="shared" si="1"/>
        <v>3388173.151</v>
      </c>
      <c r="D2214" s="18">
        <f>IF(A2214="","",MATCH(A2214,Calculation!B$2:B9627,1))</f>
        <v>2</v>
      </c>
      <c r="E2214" s="23">
        <f t="array" ref="E2214">IF(D2214="","",IF(D2214=1,0,INDEX(Calculation!Q$2:Q9627,D2214-1)))</f>
        <v>3232449.315</v>
      </c>
      <c r="F2214" s="23">
        <f t="array" ref="F2214">IF($A2214="","",
  LET(
    r, $D2214,
    startD, INDEX(Calculation!B$2:B9627, r),
    endD,   INDEX(Calculation!C$2:C9627, r),
    asOf,   MIN($A2214,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155723.8356</v>
      </c>
    </row>
    <row r="2215">
      <c r="A2215" s="19">
        <v>44450.0</v>
      </c>
      <c r="B2215" s="23">
        <v>1.0765E7</v>
      </c>
      <c r="C2215" s="23">
        <f t="shared" si="1"/>
        <v>3395251.507</v>
      </c>
      <c r="D2215" s="18">
        <f>IF(A2215="","",MATCH(A2215,Calculation!B$2:B9627,1))</f>
        <v>2</v>
      </c>
      <c r="E2215" s="23">
        <f t="array" ref="E2215">IF(D2215="","",IF(D2215=1,0,INDEX(Calculation!Q$2:Q9627,D2215-1)))</f>
        <v>3232449.315</v>
      </c>
      <c r="F2215" s="23">
        <f t="array" ref="F2215">IF($A2215="","",
  LET(
    r, $D2215,
    startD, INDEX(Calculation!B$2:B9627, r),
    endD,   INDEX(Calculation!C$2:C9627, r),
    asOf,   MIN($A2215,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162802.1918</v>
      </c>
    </row>
    <row r="2216">
      <c r="A2216" s="19">
        <v>44451.0</v>
      </c>
      <c r="B2216" s="23">
        <v>1.0765E7</v>
      </c>
      <c r="C2216" s="23">
        <f t="shared" si="1"/>
        <v>3402329.863</v>
      </c>
      <c r="D2216" s="18">
        <f>IF(A2216="","",MATCH(A2216,Calculation!B$2:B9627,1))</f>
        <v>2</v>
      </c>
      <c r="E2216" s="23">
        <f t="array" ref="E2216">IF(D2216="","",IF(D2216=1,0,INDEX(Calculation!Q$2:Q9627,D2216-1)))</f>
        <v>3232449.315</v>
      </c>
      <c r="F2216" s="23">
        <f t="array" ref="F2216">IF($A2216="","",
  LET(
    r, $D2216,
    startD, INDEX(Calculation!B$2:B9627, r),
    endD,   INDEX(Calculation!C$2:C9627, r),
    asOf,   MIN($A2216,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169880.5479</v>
      </c>
    </row>
    <row r="2217">
      <c r="A2217" s="19">
        <v>44452.0</v>
      </c>
      <c r="B2217" s="23">
        <v>1.0765E7</v>
      </c>
      <c r="C2217" s="23">
        <f t="shared" si="1"/>
        <v>3409408.219</v>
      </c>
      <c r="D2217" s="18">
        <f>IF(A2217="","",MATCH(A2217,Calculation!B$2:B9627,1))</f>
        <v>2</v>
      </c>
      <c r="E2217" s="23">
        <f t="array" ref="E2217">IF(D2217="","",IF(D2217=1,0,INDEX(Calculation!Q$2:Q9627,D2217-1)))</f>
        <v>3232449.315</v>
      </c>
      <c r="F2217" s="23">
        <f t="array" ref="F2217">IF($A2217="","",
  LET(
    r, $D2217,
    startD, INDEX(Calculation!B$2:B9627, r),
    endD,   INDEX(Calculation!C$2:C9627, r),
    asOf,   MIN($A2217,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176958.9041</v>
      </c>
    </row>
    <row r="2218">
      <c r="A2218" s="19">
        <v>44453.0</v>
      </c>
      <c r="B2218" s="23">
        <v>1.0765E7</v>
      </c>
      <c r="C2218" s="23">
        <f t="shared" si="1"/>
        <v>3416486.575</v>
      </c>
      <c r="D2218" s="18">
        <f>IF(A2218="","",MATCH(A2218,Calculation!B$2:B9627,1))</f>
        <v>2</v>
      </c>
      <c r="E2218" s="23">
        <f t="array" ref="E2218">IF(D2218="","",IF(D2218=1,0,INDEX(Calculation!Q$2:Q9627,D2218-1)))</f>
        <v>3232449.315</v>
      </c>
      <c r="F2218" s="23">
        <f t="array" ref="F2218">IF($A2218="","",
  LET(
    r, $D2218,
    startD, INDEX(Calculation!B$2:B9627, r),
    endD,   INDEX(Calculation!C$2:C9627, r),
    asOf,   MIN($A2218,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184037.2603</v>
      </c>
    </row>
    <row r="2219">
      <c r="A2219" s="19">
        <v>44454.0</v>
      </c>
      <c r="B2219" s="23">
        <v>1.0765E7</v>
      </c>
      <c r="C2219" s="23">
        <f t="shared" si="1"/>
        <v>3423564.932</v>
      </c>
      <c r="D2219" s="18">
        <f>IF(A2219="","",MATCH(A2219,Calculation!B$2:B9627,1))</f>
        <v>2</v>
      </c>
      <c r="E2219" s="23">
        <f t="array" ref="E2219">IF(D2219="","",IF(D2219=1,0,INDEX(Calculation!Q$2:Q9627,D2219-1)))</f>
        <v>3232449.315</v>
      </c>
      <c r="F2219" s="23">
        <f t="array" ref="F2219">IF($A2219="","",
  LET(
    r, $D2219,
    startD, INDEX(Calculation!B$2:B9627, r),
    endD,   INDEX(Calculation!C$2:C9627, r),
    asOf,   MIN($A2219,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191115.6164</v>
      </c>
    </row>
    <row r="2220">
      <c r="A2220" s="19">
        <v>44455.0</v>
      </c>
      <c r="B2220" s="23">
        <v>1.0765E7</v>
      </c>
      <c r="C2220" s="23">
        <f t="shared" si="1"/>
        <v>3430643.288</v>
      </c>
      <c r="D2220" s="18">
        <f>IF(A2220="","",MATCH(A2220,Calculation!B$2:B9627,1))</f>
        <v>2</v>
      </c>
      <c r="E2220" s="23">
        <f t="array" ref="E2220">IF(D2220="","",IF(D2220=1,0,INDEX(Calculation!Q$2:Q9627,D2220-1)))</f>
        <v>3232449.315</v>
      </c>
      <c r="F2220" s="23">
        <f t="array" ref="F2220">IF($A2220="","",
  LET(
    r, $D2220,
    startD, INDEX(Calculation!B$2:B9627, r),
    endD,   INDEX(Calculation!C$2:C9627, r),
    asOf,   MIN($A2220,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198193.9726</v>
      </c>
    </row>
    <row r="2221">
      <c r="A2221" s="19">
        <v>44456.0</v>
      </c>
      <c r="B2221" s="23">
        <v>1.0765E7</v>
      </c>
      <c r="C2221" s="23">
        <f t="shared" si="1"/>
        <v>3437721.644</v>
      </c>
      <c r="D2221" s="18">
        <f>IF(A2221="","",MATCH(A2221,Calculation!B$2:B9627,1))</f>
        <v>2</v>
      </c>
      <c r="E2221" s="23">
        <f t="array" ref="E2221">IF(D2221="","",IF(D2221=1,0,INDEX(Calculation!Q$2:Q9627,D2221-1)))</f>
        <v>3232449.315</v>
      </c>
      <c r="F2221" s="23">
        <f t="array" ref="F2221">IF($A2221="","",
  LET(
    r, $D2221,
    startD, INDEX(Calculation!B$2:B9627, r),
    endD,   INDEX(Calculation!C$2:C9627, r),
    asOf,   MIN($A2221,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205272.3288</v>
      </c>
    </row>
    <row r="2222">
      <c r="A2222" s="19">
        <v>44457.0</v>
      </c>
      <c r="B2222" s="23">
        <v>1.0765E7</v>
      </c>
      <c r="C2222" s="23">
        <f t="shared" si="1"/>
        <v>3444800</v>
      </c>
      <c r="D2222" s="18">
        <f>IF(A2222="","",MATCH(A2222,Calculation!B$2:B9627,1))</f>
        <v>2</v>
      </c>
      <c r="E2222" s="23">
        <f t="array" ref="E2222">IF(D2222="","",IF(D2222=1,0,INDEX(Calculation!Q$2:Q9627,D2222-1)))</f>
        <v>3232449.315</v>
      </c>
      <c r="F2222" s="23">
        <f t="array" ref="F2222">IF($A2222="","",
  LET(
    r, $D2222,
    startD, INDEX(Calculation!B$2:B9627, r),
    endD,   INDEX(Calculation!C$2:C9627, r),
    asOf,   MIN($A2222,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212350.6849</v>
      </c>
    </row>
    <row r="2223">
      <c r="A2223" s="19">
        <v>44458.0</v>
      </c>
      <c r="B2223" s="23">
        <v>1.0765E7</v>
      </c>
      <c r="C2223" s="23">
        <f t="shared" si="1"/>
        <v>3451878.356</v>
      </c>
      <c r="D2223" s="18">
        <f>IF(A2223="","",MATCH(A2223,Calculation!B$2:B9627,1))</f>
        <v>2</v>
      </c>
      <c r="E2223" s="23">
        <f t="array" ref="E2223">IF(D2223="","",IF(D2223=1,0,INDEX(Calculation!Q$2:Q9627,D2223-1)))</f>
        <v>3232449.315</v>
      </c>
      <c r="F2223" s="23">
        <f t="array" ref="F2223">IF($A2223="","",
  LET(
    r, $D2223,
    startD, INDEX(Calculation!B$2:B9627, r),
    endD,   INDEX(Calculation!C$2:C9627, r),
    asOf,   MIN($A2223,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219429.0411</v>
      </c>
    </row>
    <row r="2224">
      <c r="A2224" s="19">
        <v>44459.0</v>
      </c>
      <c r="B2224" s="23">
        <v>1.0765E7</v>
      </c>
      <c r="C2224" s="23">
        <f t="shared" si="1"/>
        <v>3458956.712</v>
      </c>
      <c r="D2224" s="18">
        <f>IF(A2224="","",MATCH(A2224,Calculation!B$2:B9627,1))</f>
        <v>2</v>
      </c>
      <c r="E2224" s="23">
        <f t="array" ref="E2224">IF(D2224="","",IF(D2224=1,0,INDEX(Calculation!Q$2:Q9627,D2224-1)))</f>
        <v>3232449.315</v>
      </c>
      <c r="F2224" s="23">
        <f t="array" ref="F2224">IF($A2224="","",
  LET(
    r, $D2224,
    startD, INDEX(Calculation!B$2:B9627, r),
    endD,   INDEX(Calculation!C$2:C9627, r),
    asOf,   MIN($A2224,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226507.3973</v>
      </c>
    </row>
    <row r="2225">
      <c r="A2225" s="19">
        <v>44460.0</v>
      </c>
      <c r="B2225" s="23">
        <v>1.0765E7</v>
      </c>
      <c r="C2225" s="23">
        <f t="shared" si="1"/>
        <v>3466035.068</v>
      </c>
      <c r="D2225" s="18">
        <f>IF(A2225="","",MATCH(A2225,Calculation!B$2:B9627,1))</f>
        <v>2</v>
      </c>
      <c r="E2225" s="23">
        <f t="array" ref="E2225">IF(D2225="","",IF(D2225=1,0,INDEX(Calculation!Q$2:Q9627,D2225-1)))</f>
        <v>3232449.315</v>
      </c>
      <c r="F2225" s="23">
        <f t="array" ref="F2225">IF($A2225="","",
  LET(
    r, $D2225,
    startD, INDEX(Calculation!B$2:B9627, r),
    endD,   INDEX(Calculation!C$2:C9627, r),
    asOf,   MIN($A2225,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233585.7534</v>
      </c>
    </row>
    <row r="2226">
      <c r="A2226" s="19">
        <v>44461.0</v>
      </c>
      <c r="B2226" s="23">
        <v>1.0765E7</v>
      </c>
      <c r="C2226" s="23">
        <f t="shared" si="1"/>
        <v>3473113.425</v>
      </c>
      <c r="D2226" s="18">
        <f>IF(A2226="","",MATCH(A2226,Calculation!B$2:B9627,1))</f>
        <v>2</v>
      </c>
      <c r="E2226" s="23">
        <f t="array" ref="E2226">IF(D2226="","",IF(D2226=1,0,INDEX(Calculation!Q$2:Q9627,D2226-1)))</f>
        <v>3232449.315</v>
      </c>
      <c r="F2226" s="23">
        <f t="array" ref="F2226">IF($A2226="","",
  LET(
    r, $D2226,
    startD, INDEX(Calculation!B$2:B9627, r),
    endD,   INDEX(Calculation!C$2:C9627, r),
    asOf,   MIN($A2226,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240664.1096</v>
      </c>
    </row>
    <row r="2227">
      <c r="A2227" s="19">
        <v>44462.0</v>
      </c>
      <c r="B2227" s="23">
        <v>1.0765E7</v>
      </c>
      <c r="C2227" s="23">
        <f t="shared" si="1"/>
        <v>3480191.781</v>
      </c>
      <c r="D2227" s="18">
        <f>IF(A2227="","",MATCH(A2227,Calculation!B$2:B9627,1))</f>
        <v>2</v>
      </c>
      <c r="E2227" s="23">
        <f t="array" ref="E2227">IF(D2227="","",IF(D2227=1,0,INDEX(Calculation!Q$2:Q9627,D2227-1)))</f>
        <v>3232449.315</v>
      </c>
      <c r="F2227" s="23">
        <f t="array" ref="F2227">IF($A2227="","",
  LET(
    r, $D2227,
    startD, INDEX(Calculation!B$2:B9627, r),
    endD,   INDEX(Calculation!C$2:C9627, r),
    asOf,   MIN($A2227,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247742.4658</v>
      </c>
    </row>
    <row r="2228">
      <c r="A2228" s="19">
        <v>44463.0</v>
      </c>
      <c r="B2228" s="23">
        <v>1.0765E7</v>
      </c>
      <c r="C2228" s="23">
        <f t="shared" si="1"/>
        <v>3487270.137</v>
      </c>
      <c r="D2228" s="18">
        <f>IF(A2228="","",MATCH(A2228,Calculation!B$2:B9627,1))</f>
        <v>2</v>
      </c>
      <c r="E2228" s="23">
        <f t="array" ref="E2228">IF(D2228="","",IF(D2228=1,0,INDEX(Calculation!Q$2:Q9627,D2228-1)))</f>
        <v>3232449.315</v>
      </c>
      <c r="F2228" s="23">
        <f t="array" ref="F2228">IF($A2228="","",
  LET(
    r, $D2228,
    startD, INDEX(Calculation!B$2:B9627, r),
    endD,   INDEX(Calculation!C$2:C9627, r),
    asOf,   MIN($A2228,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254820.8219</v>
      </c>
    </row>
    <row r="2229">
      <c r="A2229" s="19">
        <v>44464.0</v>
      </c>
      <c r="B2229" s="23">
        <v>1.0765E7</v>
      </c>
      <c r="C2229" s="23">
        <f t="shared" si="1"/>
        <v>3494348.493</v>
      </c>
      <c r="D2229" s="18">
        <f>IF(A2229="","",MATCH(A2229,Calculation!B$2:B9627,1))</f>
        <v>2</v>
      </c>
      <c r="E2229" s="23">
        <f t="array" ref="E2229">IF(D2229="","",IF(D2229=1,0,INDEX(Calculation!Q$2:Q9627,D2229-1)))</f>
        <v>3232449.315</v>
      </c>
      <c r="F2229" s="23">
        <f t="array" ref="F2229">IF($A2229="","",
  LET(
    r, $D2229,
    startD, INDEX(Calculation!B$2:B9627, r),
    endD,   INDEX(Calculation!C$2:C9627, r),
    asOf,   MIN($A2229,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261899.1781</v>
      </c>
    </row>
    <row r="2230">
      <c r="A2230" s="19">
        <v>44465.0</v>
      </c>
      <c r="B2230" s="23">
        <v>1.0765E7</v>
      </c>
      <c r="C2230" s="23">
        <f t="shared" si="1"/>
        <v>3501426.849</v>
      </c>
      <c r="D2230" s="18">
        <f>IF(A2230="","",MATCH(A2230,Calculation!B$2:B9627,1))</f>
        <v>2</v>
      </c>
      <c r="E2230" s="23">
        <f t="array" ref="E2230">IF(D2230="","",IF(D2230=1,0,INDEX(Calculation!Q$2:Q9627,D2230-1)))</f>
        <v>3232449.315</v>
      </c>
      <c r="F2230" s="23">
        <f t="array" ref="F2230">IF($A2230="","",
  LET(
    r, $D2230,
    startD, INDEX(Calculation!B$2:B9627, r),
    endD,   INDEX(Calculation!C$2:C9627, r),
    asOf,   MIN($A2230,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268977.5342</v>
      </c>
    </row>
    <row r="2231">
      <c r="A2231" s="19">
        <v>44466.0</v>
      </c>
      <c r="B2231" s="23">
        <v>1.0765E7</v>
      </c>
      <c r="C2231" s="23">
        <f t="shared" si="1"/>
        <v>3508505.205</v>
      </c>
      <c r="D2231" s="18">
        <f>IF(A2231="","",MATCH(A2231,Calculation!B$2:B9627,1))</f>
        <v>2</v>
      </c>
      <c r="E2231" s="23">
        <f t="array" ref="E2231">IF(D2231="","",IF(D2231=1,0,INDEX(Calculation!Q$2:Q9627,D2231-1)))</f>
        <v>3232449.315</v>
      </c>
      <c r="F2231" s="23">
        <f t="array" ref="F2231">IF($A2231="","",
  LET(
    r, $D2231,
    startD, INDEX(Calculation!B$2:B9627, r),
    endD,   INDEX(Calculation!C$2:C9627, r),
    asOf,   MIN($A2231,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276055.8904</v>
      </c>
    </row>
    <row r="2232">
      <c r="A2232" s="19">
        <v>44467.0</v>
      </c>
      <c r="B2232" s="23">
        <v>1.0765E7</v>
      </c>
      <c r="C2232" s="23">
        <f t="shared" si="1"/>
        <v>3515583.562</v>
      </c>
      <c r="D2232" s="18">
        <f>IF(A2232="","",MATCH(A2232,Calculation!B$2:B9627,1))</f>
        <v>2</v>
      </c>
      <c r="E2232" s="23">
        <f t="array" ref="E2232">IF(D2232="","",IF(D2232=1,0,INDEX(Calculation!Q$2:Q9627,D2232-1)))</f>
        <v>3232449.315</v>
      </c>
      <c r="F2232" s="23">
        <f t="array" ref="F2232">IF($A2232="","",
  LET(
    r, $D2232,
    startD, INDEX(Calculation!B$2:B9627, r),
    endD,   INDEX(Calculation!C$2:C9627, r),
    asOf,   MIN($A2232,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283134.2466</v>
      </c>
    </row>
    <row r="2233">
      <c r="A2233" s="19">
        <v>44468.0</v>
      </c>
      <c r="B2233" s="23">
        <v>1.0765E7</v>
      </c>
      <c r="C2233" s="23">
        <f t="shared" si="1"/>
        <v>3522661.918</v>
      </c>
      <c r="D2233" s="18">
        <f>IF(A2233="","",MATCH(A2233,Calculation!B$2:B9627,1))</f>
        <v>2</v>
      </c>
      <c r="E2233" s="23">
        <f t="array" ref="E2233">IF(D2233="","",IF(D2233=1,0,INDEX(Calculation!Q$2:Q9627,D2233-1)))</f>
        <v>3232449.315</v>
      </c>
      <c r="F2233" s="23">
        <f t="array" ref="F2233">IF($A2233="","",
  LET(
    r, $D2233,
    startD, INDEX(Calculation!B$2:B9627, r),
    endD,   INDEX(Calculation!C$2:C9627, r),
    asOf,   MIN($A2233,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290212.6027</v>
      </c>
    </row>
    <row r="2234">
      <c r="A2234" s="19">
        <v>44469.0</v>
      </c>
      <c r="B2234" s="23">
        <v>1.0765E7</v>
      </c>
      <c r="C2234" s="23">
        <f t="shared" si="1"/>
        <v>3529740.274</v>
      </c>
      <c r="D2234" s="18">
        <f>IF(A2234="","",MATCH(A2234,Calculation!B$2:B9627,1))</f>
        <v>2</v>
      </c>
      <c r="E2234" s="23">
        <f t="array" ref="E2234">IF(D2234="","",IF(D2234=1,0,INDEX(Calculation!Q$2:Q9627,D2234-1)))</f>
        <v>3232449.315</v>
      </c>
      <c r="F2234" s="23">
        <f t="array" ref="F2234">IF($A2234="","",
  LET(
    r, $D2234,
    startD, INDEX(Calculation!B$2:B9627, r),
    endD,   INDEX(Calculation!C$2:C9627, r),
    asOf,   MIN($A2234,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297290.9589</v>
      </c>
    </row>
    <row r="2235">
      <c r="A2235" s="19">
        <v>44470.0</v>
      </c>
      <c r="B2235" s="23">
        <v>1.0765E7</v>
      </c>
      <c r="C2235" s="23">
        <f t="shared" si="1"/>
        <v>3536818.63</v>
      </c>
      <c r="D2235" s="18">
        <f>IF(A2235="","",MATCH(A2235,Calculation!B$2:B9627,1))</f>
        <v>2</v>
      </c>
      <c r="E2235" s="23">
        <f t="array" ref="E2235">IF(D2235="","",IF(D2235=1,0,INDEX(Calculation!Q$2:Q9627,D2235-1)))</f>
        <v>3232449.315</v>
      </c>
      <c r="F2235" s="23">
        <f t="array" ref="F2235">IF($A2235="","",
  LET(
    r, $D2235,
    startD, INDEX(Calculation!B$2:B9627, r),
    endD,   INDEX(Calculation!C$2:C9627, r),
    asOf,   MIN($A2235,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304369.3151</v>
      </c>
    </row>
    <row r="2236">
      <c r="A2236" s="19">
        <v>44471.0</v>
      </c>
      <c r="B2236" s="23">
        <v>1.0765E7</v>
      </c>
      <c r="C2236" s="23">
        <f t="shared" si="1"/>
        <v>3543896.986</v>
      </c>
      <c r="D2236" s="18">
        <f>IF(A2236="","",MATCH(A2236,Calculation!B$2:B9627,1))</f>
        <v>2</v>
      </c>
      <c r="E2236" s="23">
        <f t="array" ref="E2236">IF(D2236="","",IF(D2236=1,0,INDEX(Calculation!Q$2:Q9627,D2236-1)))</f>
        <v>3232449.315</v>
      </c>
      <c r="F2236" s="23">
        <f t="array" ref="F2236">IF($A2236="","",
  LET(
    r, $D2236,
    startD, INDEX(Calculation!B$2:B9627, r),
    endD,   INDEX(Calculation!C$2:C9627, r),
    asOf,   MIN($A2236,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311447.6712</v>
      </c>
    </row>
    <row r="2237">
      <c r="A2237" s="19">
        <v>44472.0</v>
      </c>
      <c r="B2237" s="23">
        <v>1.0765E7</v>
      </c>
      <c r="C2237" s="23">
        <f t="shared" si="1"/>
        <v>3550975.342</v>
      </c>
      <c r="D2237" s="18">
        <f>IF(A2237="","",MATCH(A2237,Calculation!B$2:B9627,1))</f>
        <v>2</v>
      </c>
      <c r="E2237" s="23">
        <f t="array" ref="E2237">IF(D2237="","",IF(D2237=1,0,INDEX(Calculation!Q$2:Q9627,D2237-1)))</f>
        <v>3232449.315</v>
      </c>
      <c r="F2237" s="23">
        <f t="array" ref="F2237">IF($A2237="","",
  LET(
    r, $D2237,
    startD, INDEX(Calculation!B$2:B9627, r),
    endD,   INDEX(Calculation!C$2:C9627, r),
    asOf,   MIN($A2237,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318526.0274</v>
      </c>
    </row>
    <row r="2238">
      <c r="A2238" s="19">
        <v>44473.0</v>
      </c>
      <c r="B2238" s="23">
        <v>1.0765E7</v>
      </c>
      <c r="C2238" s="23">
        <f t="shared" si="1"/>
        <v>3558053.699</v>
      </c>
      <c r="D2238" s="18">
        <f>IF(A2238="","",MATCH(A2238,Calculation!B$2:B9627,1))</f>
        <v>2</v>
      </c>
      <c r="E2238" s="23">
        <f t="array" ref="E2238">IF(D2238="","",IF(D2238=1,0,INDEX(Calculation!Q$2:Q9627,D2238-1)))</f>
        <v>3232449.315</v>
      </c>
      <c r="F2238" s="23">
        <f t="array" ref="F2238">IF($A2238="","",
  LET(
    r, $D2238,
    startD, INDEX(Calculation!B$2:B9627, r),
    endD,   INDEX(Calculation!C$2:C9627, r),
    asOf,   MIN($A2238,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325604.3836</v>
      </c>
    </row>
    <row r="2239">
      <c r="A2239" s="19">
        <v>44474.0</v>
      </c>
      <c r="B2239" s="23">
        <v>1.0765E7</v>
      </c>
      <c r="C2239" s="23">
        <f t="shared" si="1"/>
        <v>3565132.055</v>
      </c>
      <c r="D2239" s="18">
        <f>IF(A2239="","",MATCH(A2239,Calculation!B$2:B9627,1))</f>
        <v>2</v>
      </c>
      <c r="E2239" s="23">
        <f t="array" ref="E2239">IF(D2239="","",IF(D2239=1,0,INDEX(Calculation!Q$2:Q9627,D2239-1)))</f>
        <v>3232449.315</v>
      </c>
      <c r="F2239" s="23">
        <f t="array" ref="F2239">IF($A2239="","",
  LET(
    r, $D2239,
    startD, INDEX(Calculation!B$2:B9627, r),
    endD,   INDEX(Calculation!C$2:C9627, r),
    asOf,   MIN($A2239,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332682.7397</v>
      </c>
    </row>
    <row r="2240">
      <c r="A2240" s="19">
        <v>44475.0</v>
      </c>
      <c r="B2240" s="23">
        <v>1.0765E7</v>
      </c>
      <c r="C2240" s="23">
        <f t="shared" si="1"/>
        <v>3572210.411</v>
      </c>
      <c r="D2240" s="18">
        <f>IF(A2240="","",MATCH(A2240,Calculation!B$2:B9627,1))</f>
        <v>2</v>
      </c>
      <c r="E2240" s="23">
        <f t="array" ref="E2240">IF(D2240="","",IF(D2240=1,0,INDEX(Calculation!Q$2:Q9627,D2240-1)))</f>
        <v>3232449.315</v>
      </c>
      <c r="F2240" s="23">
        <f t="array" ref="F2240">IF($A2240="","",
  LET(
    r, $D2240,
    startD, INDEX(Calculation!B$2:B9627, r),
    endD,   INDEX(Calculation!C$2:C9627, r),
    asOf,   MIN($A2240,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339761.0959</v>
      </c>
    </row>
    <row r="2241">
      <c r="A2241" s="19">
        <v>44476.0</v>
      </c>
      <c r="B2241" s="23">
        <v>1.0765E7</v>
      </c>
      <c r="C2241" s="23">
        <f t="shared" si="1"/>
        <v>3579288.767</v>
      </c>
      <c r="D2241" s="18">
        <f>IF(A2241="","",MATCH(A2241,Calculation!B$2:B9627,1))</f>
        <v>2</v>
      </c>
      <c r="E2241" s="23">
        <f t="array" ref="E2241">IF(D2241="","",IF(D2241=1,0,INDEX(Calculation!Q$2:Q9627,D2241-1)))</f>
        <v>3232449.315</v>
      </c>
      <c r="F2241" s="23">
        <f t="array" ref="F2241">IF($A2241="","",
  LET(
    r, $D2241,
    startD, INDEX(Calculation!B$2:B9627, r),
    endD,   INDEX(Calculation!C$2:C9627, r),
    asOf,   MIN($A2241,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346839.4521</v>
      </c>
    </row>
    <row r="2242">
      <c r="A2242" s="19">
        <v>44477.0</v>
      </c>
      <c r="B2242" s="23">
        <v>1.0765E7</v>
      </c>
      <c r="C2242" s="23">
        <f t="shared" si="1"/>
        <v>3586367.123</v>
      </c>
      <c r="D2242" s="18">
        <f>IF(A2242="","",MATCH(A2242,Calculation!B$2:B9627,1))</f>
        <v>2</v>
      </c>
      <c r="E2242" s="23">
        <f t="array" ref="E2242">IF(D2242="","",IF(D2242=1,0,INDEX(Calculation!Q$2:Q9627,D2242-1)))</f>
        <v>3232449.315</v>
      </c>
      <c r="F2242" s="23">
        <f t="array" ref="F2242">IF($A2242="","",
  LET(
    r, $D2242,
    startD, INDEX(Calculation!B$2:B9627, r),
    endD,   INDEX(Calculation!C$2:C9627, r),
    asOf,   MIN($A2242,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353917.8082</v>
      </c>
    </row>
    <row r="2243">
      <c r="A2243" s="19">
        <v>44478.0</v>
      </c>
      <c r="B2243" s="23">
        <v>1.0765E7</v>
      </c>
      <c r="C2243" s="23">
        <f t="shared" si="1"/>
        <v>3593445.479</v>
      </c>
      <c r="D2243" s="18">
        <f>IF(A2243="","",MATCH(A2243,Calculation!B$2:B9627,1))</f>
        <v>2</v>
      </c>
      <c r="E2243" s="23">
        <f t="array" ref="E2243">IF(D2243="","",IF(D2243=1,0,INDEX(Calculation!Q$2:Q9627,D2243-1)))</f>
        <v>3232449.315</v>
      </c>
      <c r="F2243" s="23">
        <f t="array" ref="F2243">IF($A2243="","",
  LET(
    r, $D2243,
    startD, INDEX(Calculation!B$2:B9627, r),
    endD,   INDEX(Calculation!C$2:C9627, r),
    asOf,   MIN($A2243,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360996.1644</v>
      </c>
    </row>
    <row r="2244">
      <c r="A2244" s="19">
        <v>44479.0</v>
      </c>
      <c r="B2244" s="23">
        <v>1.0765E7</v>
      </c>
      <c r="C2244" s="23">
        <f t="shared" si="1"/>
        <v>3600523.836</v>
      </c>
      <c r="D2244" s="18">
        <f>IF(A2244="","",MATCH(A2244,Calculation!B$2:B9627,1))</f>
        <v>2</v>
      </c>
      <c r="E2244" s="23">
        <f t="array" ref="E2244">IF(D2244="","",IF(D2244=1,0,INDEX(Calculation!Q$2:Q9627,D2244-1)))</f>
        <v>3232449.315</v>
      </c>
      <c r="F2244" s="23">
        <f t="array" ref="F2244">IF($A2244="","",
  LET(
    r, $D2244,
    startD, INDEX(Calculation!B$2:B9627, r),
    endD,   INDEX(Calculation!C$2:C9627, r),
    asOf,   MIN($A2244,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368074.5205</v>
      </c>
    </row>
    <row r="2245">
      <c r="A2245" s="19">
        <v>44480.0</v>
      </c>
      <c r="B2245" s="23">
        <v>1.0765E7</v>
      </c>
      <c r="C2245" s="23">
        <f t="shared" si="1"/>
        <v>3607602.192</v>
      </c>
      <c r="D2245" s="18">
        <f>IF(A2245="","",MATCH(A2245,Calculation!B$2:B9627,1))</f>
        <v>2</v>
      </c>
      <c r="E2245" s="23">
        <f t="array" ref="E2245">IF(D2245="","",IF(D2245=1,0,INDEX(Calculation!Q$2:Q9627,D2245-1)))</f>
        <v>3232449.315</v>
      </c>
      <c r="F2245" s="23">
        <f t="array" ref="F2245">IF($A2245="","",
  LET(
    r, $D2245,
    startD, INDEX(Calculation!B$2:B9627, r),
    endD,   INDEX(Calculation!C$2:C9627, r),
    asOf,   MIN($A2245,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375152.8767</v>
      </c>
    </row>
    <row r="2246">
      <c r="A2246" s="19">
        <v>44481.0</v>
      </c>
      <c r="B2246" s="23">
        <v>1.0765E7</v>
      </c>
      <c r="C2246" s="23">
        <f t="shared" si="1"/>
        <v>3614680.548</v>
      </c>
      <c r="D2246" s="18">
        <f>IF(A2246="","",MATCH(A2246,Calculation!B$2:B9627,1))</f>
        <v>2</v>
      </c>
      <c r="E2246" s="23">
        <f t="array" ref="E2246">IF(D2246="","",IF(D2246=1,0,INDEX(Calculation!Q$2:Q9627,D2246-1)))</f>
        <v>3232449.315</v>
      </c>
      <c r="F2246" s="23">
        <f t="array" ref="F2246">IF($A2246="","",
  LET(
    r, $D2246,
    startD, INDEX(Calculation!B$2:B9627, r),
    endD,   INDEX(Calculation!C$2:C9627, r),
    asOf,   MIN($A2246,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382231.2329</v>
      </c>
    </row>
    <row r="2247">
      <c r="A2247" s="19">
        <v>44482.0</v>
      </c>
      <c r="B2247" s="23">
        <v>1.0765E7</v>
      </c>
      <c r="C2247" s="23">
        <f t="shared" si="1"/>
        <v>3621758.904</v>
      </c>
      <c r="D2247" s="18">
        <f>IF(A2247="","",MATCH(A2247,Calculation!B$2:B9627,1))</f>
        <v>2</v>
      </c>
      <c r="E2247" s="23">
        <f t="array" ref="E2247">IF(D2247="","",IF(D2247=1,0,INDEX(Calculation!Q$2:Q9627,D2247-1)))</f>
        <v>3232449.315</v>
      </c>
      <c r="F2247" s="23">
        <f t="array" ref="F2247">IF($A2247="","",
  LET(
    r, $D2247,
    startD, INDEX(Calculation!B$2:B9627, r),
    endD,   INDEX(Calculation!C$2:C9627, r),
    asOf,   MIN($A2247,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389309.589</v>
      </c>
    </row>
    <row r="2248">
      <c r="A2248" s="19">
        <v>44483.0</v>
      </c>
      <c r="B2248" s="23">
        <v>1.0765E7</v>
      </c>
      <c r="C2248" s="23">
        <f t="shared" si="1"/>
        <v>3628837.26</v>
      </c>
      <c r="D2248" s="18">
        <f>IF(A2248="","",MATCH(A2248,Calculation!B$2:B9627,1))</f>
        <v>2</v>
      </c>
      <c r="E2248" s="23">
        <f t="array" ref="E2248">IF(D2248="","",IF(D2248=1,0,INDEX(Calculation!Q$2:Q9627,D2248-1)))</f>
        <v>3232449.315</v>
      </c>
      <c r="F2248" s="23">
        <f t="array" ref="F2248">IF($A2248="","",
  LET(
    r, $D2248,
    startD, INDEX(Calculation!B$2:B9627, r),
    endD,   INDEX(Calculation!C$2:C9627, r),
    asOf,   MIN($A2248,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396387.9452</v>
      </c>
    </row>
    <row r="2249">
      <c r="A2249" s="19">
        <v>44484.0</v>
      </c>
      <c r="B2249" s="23">
        <v>1.0765E7</v>
      </c>
      <c r="C2249" s="23">
        <f t="shared" si="1"/>
        <v>3635915.616</v>
      </c>
      <c r="D2249" s="18">
        <f>IF(A2249="","",MATCH(A2249,Calculation!B$2:B9627,1))</f>
        <v>2</v>
      </c>
      <c r="E2249" s="23">
        <f t="array" ref="E2249">IF(D2249="","",IF(D2249=1,0,INDEX(Calculation!Q$2:Q9627,D2249-1)))</f>
        <v>3232449.315</v>
      </c>
      <c r="F2249" s="23">
        <f t="array" ref="F2249">IF($A2249="","",
  LET(
    r, $D2249,
    startD, INDEX(Calculation!B$2:B9627, r),
    endD,   INDEX(Calculation!C$2:C9627, r),
    asOf,   MIN($A2249,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403466.3014</v>
      </c>
    </row>
    <row r="2250">
      <c r="A2250" s="19">
        <v>44485.0</v>
      </c>
      <c r="B2250" s="23">
        <v>1.0765E7</v>
      </c>
      <c r="C2250" s="23">
        <f t="shared" si="1"/>
        <v>3642993.973</v>
      </c>
      <c r="D2250" s="18">
        <f>IF(A2250="","",MATCH(A2250,Calculation!B$2:B9627,1))</f>
        <v>2</v>
      </c>
      <c r="E2250" s="23">
        <f t="array" ref="E2250">IF(D2250="","",IF(D2250=1,0,INDEX(Calculation!Q$2:Q9627,D2250-1)))</f>
        <v>3232449.315</v>
      </c>
      <c r="F2250" s="23">
        <f t="array" ref="F2250">IF($A2250="","",
  LET(
    r, $D2250,
    startD, INDEX(Calculation!B$2:B9627, r),
    endD,   INDEX(Calculation!C$2:C9627, r),
    asOf,   MIN($A2250,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410544.6575</v>
      </c>
    </row>
    <row r="2251">
      <c r="A2251" s="19">
        <v>44486.0</v>
      </c>
      <c r="B2251" s="23">
        <v>1.0765E7</v>
      </c>
      <c r="C2251" s="23">
        <f t="shared" si="1"/>
        <v>3650072.329</v>
      </c>
      <c r="D2251" s="18">
        <f>IF(A2251="","",MATCH(A2251,Calculation!B$2:B9627,1))</f>
        <v>2</v>
      </c>
      <c r="E2251" s="23">
        <f t="array" ref="E2251">IF(D2251="","",IF(D2251=1,0,INDEX(Calculation!Q$2:Q9627,D2251-1)))</f>
        <v>3232449.315</v>
      </c>
      <c r="F2251" s="23">
        <f t="array" ref="F2251">IF($A2251="","",
  LET(
    r, $D2251,
    startD, INDEX(Calculation!B$2:B9627, r),
    endD,   INDEX(Calculation!C$2:C9627, r),
    asOf,   MIN($A2251,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417623.0137</v>
      </c>
    </row>
    <row r="2252">
      <c r="A2252" s="19">
        <v>44487.0</v>
      </c>
      <c r="B2252" s="23">
        <v>1.0765E7</v>
      </c>
      <c r="C2252" s="23">
        <f t="shared" si="1"/>
        <v>3657150.685</v>
      </c>
      <c r="D2252" s="18">
        <f>IF(A2252="","",MATCH(A2252,Calculation!B$2:B9627,1))</f>
        <v>2</v>
      </c>
      <c r="E2252" s="23">
        <f t="array" ref="E2252">IF(D2252="","",IF(D2252=1,0,INDEX(Calculation!Q$2:Q9627,D2252-1)))</f>
        <v>3232449.315</v>
      </c>
      <c r="F2252" s="23">
        <f t="array" ref="F2252">IF($A2252="","",
  LET(
    r, $D2252,
    startD, INDEX(Calculation!B$2:B9627, r),
    endD,   INDEX(Calculation!C$2:C9627, r),
    asOf,   MIN($A2252,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424701.3699</v>
      </c>
    </row>
    <row r="2253">
      <c r="A2253" s="19">
        <v>44488.0</v>
      </c>
      <c r="B2253" s="23">
        <v>1.0765E7</v>
      </c>
      <c r="C2253" s="23">
        <f t="shared" si="1"/>
        <v>3664229.041</v>
      </c>
      <c r="D2253" s="18">
        <f>IF(A2253="","",MATCH(A2253,Calculation!B$2:B9627,1))</f>
        <v>2</v>
      </c>
      <c r="E2253" s="23">
        <f t="array" ref="E2253">IF(D2253="","",IF(D2253=1,0,INDEX(Calculation!Q$2:Q9627,D2253-1)))</f>
        <v>3232449.315</v>
      </c>
      <c r="F2253" s="23">
        <f t="array" ref="F2253">IF($A2253="","",
  LET(
    r, $D2253,
    startD, INDEX(Calculation!B$2:B9627, r),
    endD,   INDEX(Calculation!C$2:C9627, r),
    asOf,   MIN($A2253,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431779.726</v>
      </c>
    </row>
    <row r="2254">
      <c r="A2254" s="19">
        <v>44489.0</v>
      </c>
      <c r="B2254" s="23">
        <v>1.0765E7</v>
      </c>
      <c r="C2254" s="23">
        <f t="shared" si="1"/>
        <v>3671307.397</v>
      </c>
      <c r="D2254" s="18">
        <f>IF(A2254="","",MATCH(A2254,Calculation!B$2:B9627,1))</f>
        <v>2</v>
      </c>
      <c r="E2254" s="23">
        <f t="array" ref="E2254">IF(D2254="","",IF(D2254=1,0,INDEX(Calculation!Q$2:Q9627,D2254-1)))</f>
        <v>3232449.315</v>
      </c>
      <c r="F2254" s="23">
        <f t="array" ref="F2254">IF($A2254="","",
  LET(
    r, $D2254,
    startD, INDEX(Calculation!B$2:B9627, r),
    endD,   INDEX(Calculation!C$2:C9627, r),
    asOf,   MIN($A2254,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438858.0822</v>
      </c>
    </row>
    <row r="2255">
      <c r="A2255" s="19">
        <v>44490.0</v>
      </c>
      <c r="B2255" s="23">
        <v>1.0765E7</v>
      </c>
      <c r="C2255" s="23">
        <f t="shared" si="1"/>
        <v>3678385.753</v>
      </c>
      <c r="D2255" s="18">
        <f>IF(A2255="","",MATCH(A2255,Calculation!B$2:B9627,1))</f>
        <v>2</v>
      </c>
      <c r="E2255" s="23">
        <f t="array" ref="E2255">IF(D2255="","",IF(D2255=1,0,INDEX(Calculation!Q$2:Q9627,D2255-1)))</f>
        <v>3232449.315</v>
      </c>
      <c r="F2255" s="23">
        <f t="array" ref="F2255">IF($A2255="","",
  LET(
    r, $D2255,
    startD, INDEX(Calculation!B$2:B9627, r),
    endD,   INDEX(Calculation!C$2:C9627, r),
    asOf,   MIN($A2255,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445936.4384</v>
      </c>
    </row>
    <row r="2256">
      <c r="A2256" s="19">
        <v>44491.0</v>
      </c>
      <c r="B2256" s="23">
        <v>1.0765E7</v>
      </c>
      <c r="C2256" s="23">
        <f t="shared" si="1"/>
        <v>3685464.11</v>
      </c>
      <c r="D2256" s="18">
        <f>IF(A2256="","",MATCH(A2256,Calculation!B$2:B9627,1))</f>
        <v>2</v>
      </c>
      <c r="E2256" s="23">
        <f t="array" ref="E2256">IF(D2256="","",IF(D2256=1,0,INDEX(Calculation!Q$2:Q9627,D2256-1)))</f>
        <v>3232449.315</v>
      </c>
      <c r="F2256" s="23">
        <f t="array" ref="F2256">IF($A2256="","",
  LET(
    r, $D2256,
    startD, INDEX(Calculation!B$2:B9627, r),
    endD,   INDEX(Calculation!C$2:C9627, r),
    asOf,   MIN($A2256,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453014.7945</v>
      </c>
    </row>
    <row r="2257">
      <c r="A2257" s="19">
        <v>44492.0</v>
      </c>
      <c r="B2257" s="23">
        <v>1.0765E7</v>
      </c>
      <c r="C2257" s="23">
        <f t="shared" si="1"/>
        <v>3692542.466</v>
      </c>
      <c r="D2257" s="18">
        <f>IF(A2257="","",MATCH(A2257,Calculation!B$2:B9627,1))</f>
        <v>2</v>
      </c>
      <c r="E2257" s="23">
        <f t="array" ref="E2257">IF(D2257="","",IF(D2257=1,0,INDEX(Calculation!Q$2:Q9627,D2257-1)))</f>
        <v>3232449.315</v>
      </c>
      <c r="F2257" s="23">
        <f t="array" ref="F2257">IF($A2257="","",
  LET(
    r, $D2257,
    startD, INDEX(Calculation!B$2:B9627, r),
    endD,   INDEX(Calculation!C$2:C9627, r),
    asOf,   MIN($A2257,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460093.1507</v>
      </c>
    </row>
    <row r="2258">
      <c r="A2258" s="19">
        <v>44493.0</v>
      </c>
      <c r="B2258" s="23">
        <v>1.0765E7</v>
      </c>
      <c r="C2258" s="23">
        <f t="shared" si="1"/>
        <v>3699620.822</v>
      </c>
      <c r="D2258" s="18">
        <f>IF(A2258="","",MATCH(A2258,Calculation!B$2:B9627,1))</f>
        <v>2</v>
      </c>
      <c r="E2258" s="23">
        <f t="array" ref="E2258">IF(D2258="","",IF(D2258=1,0,INDEX(Calculation!Q$2:Q9627,D2258-1)))</f>
        <v>3232449.315</v>
      </c>
      <c r="F2258" s="23">
        <f t="array" ref="F2258">IF($A2258="","",
  LET(
    r, $D2258,
    startD, INDEX(Calculation!B$2:B9627, r),
    endD,   INDEX(Calculation!C$2:C9627, r),
    asOf,   MIN($A2258,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467171.5068</v>
      </c>
    </row>
    <row r="2259">
      <c r="A2259" s="19">
        <v>44494.0</v>
      </c>
      <c r="B2259" s="23">
        <v>1.0765E7</v>
      </c>
      <c r="C2259" s="23">
        <f t="shared" si="1"/>
        <v>3706699.178</v>
      </c>
      <c r="D2259" s="18">
        <f>IF(A2259="","",MATCH(A2259,Calculation!B$2:B9627,1))</f>
        <v>2</v>
      </c>
      <c r="E2259" s="23">
        <f t="array" ref="E2259">IF(D2259="","",IF(D2259=1,0,INDEX(Calculation!Q$2:Q9627,D2259-1)))</f>
        <v>3232449.315</v>
      </c>
      <c r="F2259" s="23">
        <f t="array" ref="F2259">IF($A2259="","",
  LET(
    r, $D2259,
    startD, INDEX(Calculation!B$2:B9627, r),
    endD,   INDEX(Calculation!C$2:C9627, r),
    asOf,   MIN($A2259,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474249.863</v>
      </c>
    </row>
    <row r="2260">
      <c r="A2260" s="19">
        <v>44495.0</v>
      </c>
      <c r="B2260" s="23">
        <v>1.0765E7</v>
      </c>
      <c r="C2260" s="23">
        <f t="shared" si="1"/>
        <v>3713777.534</v>
      </c>
      <c r="D2260" s="18">
        <f>IF(A2260="","",MATCH(A2260,Calculation!B$2:B9627,1))</f>
        <v>2</v>
      </c>
      <c r="E2260" s="23">
        <f t="array" ref="E2260">IF(D2260="","",IF(D2260=1,0,INDEX(Calculation!Q$2:Q9627,D2260-1)))</f>
        <v>3232449.315</v>
      </c>
      <c r="F2260" s="23">
        <f t="array" ref="F2260">IF($A2260="","",
  LET(
    r, $D2260,
    startD, INDEX(Calculation!B$2:B9627, r),
    endD,   INDEX(Calculation!C$2:C9627, r),
    asOf,   MIN($A2260,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481328.2192</v>
      </c>
    </row>
    <row r="2261">
      <c r="A2261" s="19">
        <v>44496.0</v>
      </c>
      <c r="B2261" s="23">
        <v>1.0765E7</v>
      </c>
      <c r="C2261" s="23">
        <f t="shared" si="1"/>
        <v>3720855.89</v>
      </c>
      <c r="D2261" s="18">
        <f>IF(A2261="","",MATCH(A2261,Calculation!B$2:B9627,1))</f>
        <v>2</v>
      </c>
      <c r="E2261" s="23">
        <f t="array" ref="E2261">IF(D2261="","",IF(D2261=1,0,INDEX(Calculation!Q$2:Q9627,D2261-1)))</f>
        <v>3232449.315</v>
      </c>
      <c r="F2261" s="23">
        <f t="array" ref="F2261">IF($A2261="","",
  LET(
    r, $D2261,
    startD, INDEX(Calculation!B$2:B9627, r),
    endD,   INDEX(Calculation!C$2:C9627, r),
    asOf,   MIN($A2261,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488406.5753</v>
      </c>
    </row>
    <row r="2262">
      <c r="A2262" s="19">
        <v>44497.0</v>
      </c>
      <c r="B2262" s="23">
        <v>1.0765E7</v>
      </c>
      <c r="C2262" s="23">
        <f t="shared" si="1"/>
        <v>3727934.247</v>
      </c>
      <c r="D2262" s="18">
        <f>IF(A2262="","",MATCH(A2262,Calculation!B$2:B9627,1))</f>
        <v>2</v>
      </c>
      <c r="E2262" s="23">
        <f t="array" ref="E2262">IF(D2262="","",IF(D2262=1,0,INDEX(Calculation!Q$2:Q9627,D2262-1)))</f>
        <v>3232449.315</v>
      </c>
      <c r="F2262" s="23">
        <f t="array" ref="F2262">IF($A2262="","",
  LET(
    r, $D2262,
    startD, INDEX(Calculation!B$2:B9627, r),
    endD,   INDEX(Calculation!C$2:C9627, r),
    asOf,   MIN($A2262,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495484.9315</v>
      </c>
    </row>
    <row r="2263">
      <c r="A2263" s="19">
        <v>44498.0</v>
      </c>
      <c r="B2263" s="23">
        <v>1.0765E7</v>
      </c>
      <c r="C2263" s="23">
        <f t="shared" si="1"/>
        <v>3735012.603</v>
      </c>
      <c r="D2263" s="18">
        <f>IF(A2263="","",MATCH(A2263,Calculation!B$2:B9627,1))</f>
        <v>2</v>
      </c>
      <c r="E2263" s="23">
        <f t="array" ref="E2263">IF(D2263="","",IF(D2263=1,0,INDEX(Calculation!Q$2:Q9627,D2263-1)))</f>
        <v>3232449.315</v>
      </c>
      <c r="F2263" s="23">
        <f t="array" ref="F2263">IF($A2263="","",
  LET(
    r, $D2263,
    startD, INDEX(Calculation!B$2:B9627, r),
    endD,   INDEX(Calculation!C$2:C9627, r),
    asOf,   MIN($A2263,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502563.2877</v>
      </c>
    </row>
    <row r="2264">
      <c r="A2264" s="19">
        <v>44499.0</v>
      </c>
      <c r="B2264" s="23">
        <v>1.0765E7</v>
      </c>
      <c r="C2264" s="23">
        <f t="shared" si="1"/>
        <v>3742090.959</v>
      </c>
      <c r="D2264" s="18">
        <f>IF(A2264="","",MATCH(A2264,Calculation!B$2:B9627,1))</f>
        <v>2</v>
      </c>
      <c r="E2264" s="23">
        <f t="array" ref="E2264">IF(D2264="","",IF(D2264=1,0,INDEX(Calculation!Q$2:Q9627,D2264-1)))</f>
        <v>3232449.315</v>
      </c>
      <c r="F2264" s="23">
        <f t="array" ref="F2264">IF($A2264="","",
  LET(
    r, $D2264,
    startD, INDEX(Calculation!B$2:B9627, r),
    endD,   INDEX(Calculation!C$2:C9627, r),
    asOf,   MIN($A2264,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509641.6438</v>
      </c>
    </row>
    <row r="2265">
      <c r="A2265" s="19">
        <v>44500.0</v>
      </c>
      <c r="B2265" s="23">
        <v>1.0765E7</v>
      </c>
      <c r="C2265" s="23">
        <f t="shared" si="1"/>
        <v>3749169.315</v>
      </c>
      <c r="D2265" s="18">
        <f>IF(A2265="","",MATCH(A2265,Calculation!B$2:B9627,1))</f>
        <v>2</v>
      </c>
      <c r="E2265" s="23">
        <f t="array" ref="E2265">IF(D2265="","",IF(D2265=1,0,INDEX(Calculation!Q$2:Q9627,D2265-1)))</f>
        <v>3232449.315</v>
      </c>
      <c r="F2265" s="23">
        <f t="array" ref="F2265">IF($A2265="","",
  LET(
    r, $D2265,
    startD, INDEX(Calculation!B$2:B9627, r),
    endD,   INDEX(Calculation!C$2:C9627, r),
    asOf,   MIN($A2265,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516720</v>
      </c>
    </row>
    <row r="2266">
      <c r="A2266" s="19">
        <v>44501.0</v>
      </c>
      <c r="B2266" s="23">
        <v>1.0765E7</v>
      </c>
      <c r="C2266" s="23">
        <f t="shared" si="1"/>
        <v>3756247.671</v>
      </c>
      <c r="D2266" s="18">
        <f>IF(A2266="","",MATCH(A2266,Calculation!B$2:B9627,1))</f>
        <v>2</v>
      </c>
      <c r="E2266" s="23">
        <f t="array" ref="E2266">IF(D2266="","",IF(D2266=1,0,INDEX(Calculation!Q$2:Q9627,D2266-1)))</f>
        <v>3232449.315</v>
      </c>
      <c r="F2266" s="23">
        <f t="array" ref="F2266">IF($A2266="","",
  LET(
    r, $D2266,
    startD, INDEX(Calculation!B$2:B9627, r),
    endD,   INDEX(Calculation!C$2:C9627, r),
    asOf,   MIN($A2266,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523798.3562</v>
      </c>
    </row>
    <row r="2267">
      <c r="A2267" s="19">
        <v>44502.0</v>
      </c>
      <c r="B2267" s="23">
        <v>1.0765E7</v>
      </c>
      <c r="C2267" s="23">
        <f t="shared" si="1"/>
        <v>3763326.027</v>
      </c>
      <c r="D2267" s="18">
        <f>IF(A2267="","",MATCH(A2267,Calculation!B$2:B9627,1))</f>
        <v>2</v>
      </c>
      <c r="E2267" s="23">
        <f t="array" ref="E2267">IF(D2267="","",IF(D2267=1,0,INDEX(Calculation!Q$2:Q9627,D2267-1)))</f>
        <v>3232449.315</v>
      </c>
      <c r="F2267" s="23">
        <f t="array" ref="F2267">IF($A2267="","",
  LET(
    r, $D2267,
    startD, INDEX(Calculation!B$2:B9627, r),
    endD,   INDEX(Calculation!C$2:C9627, r),
    asOf,   MIN($A2267,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530876.7123</v>
      </c>
    </row>
    <row r="2268">
      <c r="A2268" s="19">
        <v>44503.0</v>
      </c>
      <c r="B2268" s="23">
        <v>1.0765E7</v>
      </c>
      <c r="C2268" s="23">
        <f t="shared" si="1"/>
        <v>3770404.384</v>
      </c>
      <c r="D2268" s="18">
        <f>IF(A2268="","",MATCH(A2268,Calculation!B$2:B9627,1))</f>
        <v>2</v>
      </c>
      <c r="E2268" s="23">
        <f t="array" ref="E2268">IF(D2268="","",IF(D2268=1,0,INDEX(Calculation!Q$2:Q9627,D2268-1)))</f>
        <v>3232449.315</v>
      </c>
      <c r="F2268" s="23">
        <f t="array" ref="F2268">IF($A2268="","",
  LET(
    r, $D2268,
    startD, INDEX(Calculation!B$2:B9627, r),
    endD,   INDEX(Calculation!C$2:C9627, r),
    asOf,   MIN($A2268,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537955.0685</v>
      </c>
    </row>
    <row r="2269">
      <c r="A2269" s="19">
        <v>44504.0</v>
      </c>
      <c r="B2269" s="23">
        <v>1.0765E7</v>
      </c>
      <c r="C2269" s="23">
        <f t="shared" si="1"/>
        <v>3777482.74</v>
      </c>
      <c r="D2269" s="18">
        <f>IF(A2269="","",MATCH(A2269,Calculation!B$2:B9627,1))</f>
        <v>2</v>
      </c>
      <c r="E2269" s="23">
        <f t="array" ref="E2269">IF(D2269="","",IF(D2269=1,0,INDEX(Calculation!Q$2:Q9627,D2269-1)))</f>
        <v>3232449.315</v>
      </c>
      <c r="F2269" s="23">
        <f t="array" ref="F2269">IF($A2269="","",
  LET(
    r, $D2269,
    startD, INDEX(Calculation!B$2:B9627, r),
    endD,   INDEX(Calculation!C$2:C9627, r),
    asOf,   MIN($A2269,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545033.4247</v>
      </c>
    </row>
    <row r="2270">
      <c r="A2270" s="19">
        <v>44505.0</v>
      </c>
      <c r="B2270" s="23">
        <v>1.0765E7</v>
      </c>
      <c r="C2270" s="23">
        <f t="shared" si="1"/>
        <v>3784561.096</v>
      </c>
      <c r="D2270" s="18">
        <f>IF(A2270="","",MATCH(A2270,Calculation!B$2:B9627,1))</f>
        <v>2</v>
      </c>
      <c r="E2270" s="23">
        <f t="array" ref="E2270">IF(D2270="","",IF(D2270=1,0,INDEX(Calculation!Q$2:Q9627,D2270-1)))</f>
        <v>3232449.315</v>
      </c>
      <c r="F2270" s="23">
        <f t="array" ref="F2270">IF($A2270="","",
  LET(
    r, $D2270,
    startD, INDEX(Calculation!B$2:B9627, r),
    endD,   INDEX(Calculation!C$2:C9627, r),
    asOf,   MIN($A2270,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552111.7808</v>
      </c>
    </row>
    <row r="2271">
      <c r="A2271" s="19">
        <v>44506.0</v>
      </c>
      <c r="B2271" s="23">
        <v>1.0765E7</v>
      </c>
      <c r="C2271" s="23">
        <f t="shared" si="1"/>
        <v>3791639.452</v>
      </c>
      <c r="D2271" s="18">
        <f>IF(A2271="","",MATCH(A2271,Calculation!B$2:B9627,1))</f>
        <v>2</v>
      </c>
      <c r="E2271" s="23">
        <f t="array" ref="E2271">IF(D2271="","",IF(D2271=1,0,INDEX(Calculation!Q$2:Q9627,D2271-1)))</f>
        <v>3232449.315</v>
      </c>
      <c r="F2271" s="23">
        <f t="array" ref="F2271">IF($A2271="","",
  LET(
    r, $D2271,
    startD, INDEX(Calculation!B$2:B9627, r),
    endD,   INDEX(Calculation!C$2:C9627, r),
    asOf,   MIN($A2271,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559190.137</v>
      </c>
    </row>
    <row r="2272">
      <c r="A2272" s="19">
        <v>44507.0</v>
      </c>
      <c r="B2272" s="23">
        <v>1.0765E7</v>
      </c>
      <c r="C2272" s="23">
        <f t="shared" si="1"/>
        <v>3798717.808</v>
      </c>
      <c r="D2272" s="18">
        <f>IF(A2272="","",MATCH(A2272,Calculation!B$2:B9627,1))</f>
        <v>2</v>
      </c>
      <c r="E2272" s="23">
        <f t="array" ref="E2272">IF(D2272="","",IF(D2272=1,0,INDEX(Calculation!Q$2:Q9627,D2272-1)))</f>
        <v>3232449.315</v>
      </c>
      <c r="F2272" s="23">
        <f t="array" ref="F2272">IF($A2272="","",
  LET(
    r, $D2272,
    startD, INDEX(Calculation!B$2:B9627, r),
    endD,   INDEX(Calculation!C$2:C9627, r),
    asOf,   MIN($A2272,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566268.4932</v>
      </c>
    </row>
    <row r="2273">
      <c r="A2273" s="19">
        <v>44508.0</v>
      </c>
      <c r="B2273" s="23">
        <v>1.0765E7</v>
      </c>
      <c r="C2273" s="23">
        <f t="shared" si="1"/>
        <v>3805796.164</v>
      </c>
      <c r="D2273" s="18">
        <f>IF(A2273="","",MATCH(A2273,Calculation!B$2:B9627,1))</f>
        <v>2</v>
      </c>
      <c r="E2273" s="23">
        <f t="array" ref="E2273">IF(D2273="","",IF(D2273=1,0,INDEX(Calculation!Q$2:Q9627,D2273-1)))</f>
        <v>3232449.315</v>
      </c>
      <c r="F2273" s="23">
        <f t="array" ref="F2273">IF($A2273="","",
  LET(
    r, $D2273,
    startD, INDEX(Calculation!B$2:B9627, r),
    endD,   INDEX(Calculation!C$2:C9627, r),
    asOf,   MIN($A2273,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573346.8493</v>
      </c>
    </row>
    <row r="2274">
      <c r="A2274" s="19">
        <v>44509.0</v>
      </c>
      <c r="B2274" s="23">
        <v>1.0765E7</v>
      </c>
      <c r="C2274" s="23">
        <f t="shared" si="1"/>
        <v>3812874.521</v>
      </c>
      <c r="D2274" s="18">
        <f>IF(A2274="","",MATCH(A2274,Calculation!B$2:B9627,1))</f>
        <v>2</v>
      </c>
      <c r="E2274" s="23">
        <f t="array" ref="E2274">IF(D2274="","",IF(D2274=1,0,INDEX(Calculation!Q$2:Q9627,D2274-1)))</f>
        <v>3232449.315</v>
      </c>
      <c r="F2274" s="23">
        <f t="array" ref="F2274">IF($A2274="","",
  LET(
    r, $D2274,
    startD, INDEX(Calculation!B$2:B9627, r),
    endD,   INDEX(Calculation!C$2:C9627, r),
    asOf,   MIN($A2274,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580425.2055</v>
      </c>
    </row>
    <row r="2275">
      <c r="A2275" s="19">
        <v>44510.0</v>
      </c>
      <c r="B2275" s="23">
        <v>1.0765E7</v>
      </c>
      <c r="C2275" s="23">
        <f t="shared" si="1"/>
        <v>3819952.877</v>
      </c>
      <c r="D2275" s="18">
        <f>IF(A2275="","",MATCH(A2275,Calculation!B$2:B9627,1))</f>
        <v>2</v>
      </c>
      <c r="E2275" s="23">
        <f t="array" ref="E2275">IF(D2275="","",IF(D2275=1,0,INDEX(Calculation!Q$2:Q9627,D2275-1)))</f>
        <v>3232449.315</v>
      </c>
      <c r="F2275" s="23">
        <f t="array" ref="F2275">IF($A2275="","",
  LET(
    r, $D2275,
    startD, INDEX(Calculation!B$2:B9627, r),
    endD,   INDEX(Calculation!C$2:C9627, r),
    asOf,   MIN($A2275,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587503.5616</v>
      </c>
    </row>
    <row r="2276">
      <c r="A2276" s="19">
        <v>44511.0</v>
      </c>
      <c r="B2276" s="23">
        <v>1.0765E7</v>
      </c>
      <c r="C2276" s="23">
        <f t="shared" si="1"/>
        <v>3827031.233</v>
      </c>
      <c r="D2276" s="18">
        <f>IF(A2276="","",MATCH(A2276,Calculation!B$2:B9627,1))</f>
        <v>2</v>
      </c>
      <c r="E2276" s="23">
        <f t="array" ref="E2276">IF(D2276="","",IF(D2276=1,0,INDEX(Calculation!Q$2:Q9627,D2276-1)))</f>
        <v>3232449.315</v>
      </c>
      <c r="F2276" s="23">
        <f t="array" ref="F2276">IF($A2276="","",
  LET(
    r, $D2276,
    startD, INDEX(Calculation!B$2:B9627, r),
    endD,   INDEX(Calculation!C$2:C9627, r),
    asOf,   MIN($A2276,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594581.9178</v>
      </c>
    </row>
    <row r="2277">
      <c r="A2277" s="19">
        <v>44512.0</v>
      </c>
      <c r="B2277" s="23">
        <v>1.0765E7</v>
      </c>
      <c r="C2277" s="23">
        <f t="shared" si="1"/>
        <v>3834109.589</v>
      </c>
      <c r="D2277" s="18">
        <f>IF(A2277="","",MATCH(A2277,Calculation!B$2:B9627,1))</f>
        <v>2</v>
      </c>
      <c r="E2277" s="23">
        <f t="array" ref="E2277">IF(D2277="","",IF(D2277=1,0,INDEX(Calculation!Q$2:Q9627,D2277-1)))</f>
        <v>3232449.315</v>
      </c>
      <c r="F2277" s="23">
        <f t="array" ref="F2277">IF($A2277="","",
  LET(
    r, $D2277,
    startD, INDEX(Calculation!B$2:B9627, r),
    endD,   INDEX(Calculation!C$2:C9627, r),
    asOf,   MIN($A2277,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601660.274</v>
      </c>
    </row>
    <row r="2278">
      <c r="A2278" s="19">
        <v>44513.0</v>
      </c>
      <c r="B2278" s="23">
        <v>1.0765E7</v>
      </c>
      <c r="C2278" s="23">
        <f t="shared" si="1"/>
        <v>3841187.945</v>
      </c>
      <c r="D2278" s="18">
        <f>IF(A2278="","",MATCH(A2278,Calculation!B$2:B9627,1))</f>
        <v>2</v>
      </c>
      <c r="E2278" s="23">
        <f t="array" ref="E2278">IF(D2278="","",IF(D2278=1,0,INDEX(Calculation!Q$2:Q9627,D2278-1)))</f>
        <v>3232449.315</v>
      </c>
      <c r="F2278" s="23">
        <f t="array" ref="F2278">IF($A2278="","",
  LET(
    r, $D2278,
    startD, INDEX(Calculation!B$2:B9627, r),
    endD,   INDEX(Calculation!C$2:C9627, r),
    asOf,   MIN($A2278,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608738.6301</v>
      </c>
    </row>
    <row r="2279">
      <c r="A2279" s="19">
        <v>44514.0</v>
      </c>
      <c r="B2279" s="23">
        <v>1.0765E7</v>
      </c>
      <c r="C2279" s="23">
        <f t="shared" si="1"/>
        <v>3848266.301</v>
      </c>
      <c r="D2279" s="18">
        <f>IF(A2279="","",MATCH(A2279,Calculation!B$2:B9627,1))</f>
        <v>2</v>
      </c>
      <c r="E2279" s="23">
        <f t="array" ref="E2279">IF(D2279="","",IF(D2279=1,0,INDEX(Calculation!Q$2:Q9627,D2279-1)))</f>
        <v>3232449.315</v>
      </c>
      <c r="F2279" s="23">
        <f t="array" ref="F2279">IF($A2279="","",
  LET(
    r, $D2279,
    startD, INDEX(Calculation!B$2:B9627, r),
    endD,   INDEX(Calculation!C$2:C9627, r),
    asOf,   MIN($A2279,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615816.9863</v>
      </c>
    </row>
    <row r="2280">
      <c r="A2280" s="19">
        <v>44515.0</v>
      </c>
      <c r="B2280" s="23">
        <v>1.0765E7</v>
      </c>
      <c r="C2280" s="23">
        <f t="shared" si="1"/>
        <v>3855344.658</v>
      </c>
      <c r="D2280" s="18">
        <f>IF(A2280="","",MATCH(A2280,Calculation!B$2:B9627,1))</f>
        <v>2</v>
      </c>
      <c r="E2280" s="23">
        <f t="array" ref="E2280">IF(D2280="","",IF(D2280=1,0,INDEX(Calculation!Q$2:Q9627,D2280-1)))</f>
        <v>3232449.315</v>
      </c>
      <c r="F2280" s="23">
        <f t="array" ref="F2280">IF($A2280="","",
  LET(
    r, $D2280,
    startD, INDEX(Calculation!B$2:B9627, r),
    endD,   INDEX(Calculation!C$2:C9627, r),
    asOf,   MIN($A2280,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622895.3425</v>
      </c>
    </row>
    <row r="2281">
      <c r="A2281" s="19">
        <v>44516.0</v>
      </c>
      <c r="B2281" s="23">
        <v>1.0765E7</v>
      </c>
      <c r="C2281" s="23">
        <f t="shared" si="1"/>
        <v>3862423.014</v>
      </c>
      <c r="D2281" s="18">
        <f>IF(A2281="","",MATCH(A2281,Calculation!B$2:B9627,1))</f>
        <v>2</v>
      </c>
      <c r="E2281" s="23">
        <f t="array" ref="E2281">IF(D2281="","",IF(D2281=1,0,INDEX(Calculation!Q$2:Q9627,D2281-1)))</f>
        <v>3232449.315</v>
      </c>
      <c r="F2281" s="23">
        <f t="array" ref="F2281">IF($A2281="","",
  LET(
    r, $D2281,
    startD, INDEX(Calculation!B$2:B9627, r),
    endD,   INDEX(Calculation!C$2:C9627, r),
    asOf,   MIN($A2281,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629973.6986</v>
      </c>
    </row>
    <row r="2282">
      <c r="A2282" s="19">
        <v>44517.0</v>
      </c>
      <c r="B2282" s="23">
        <v>1.0765E7</v>
      </c>
      <c r="C2282" s="23">
        <f t="shared" si="1"/>
        <v>3869501.37</v>
      </c>
      <c r="D2282" s="18">
        <f>IF(A2282="","",MATCH(A2282,Calculation!B$2:B9627,1))</f>
        <v>2</v>
      </c>
      <c r="E2282" s="23">
        <f t="array" ref="E2282">IF(D2282="","",IF(D2282=1,0,INDEX(Calculation!Q$2:Q9627,D2282-1)))</f>
        <v>3232449.315</v>
      </c>
      <c r="F2282" s="23">
        <f t="array" ref="F2282">IF($A2282="","",
  LET(
    r, $D2282,
    startD, INDEX(Calculation!B$2:B9627, r),
    endD,   INDEX(Calculation!C$2:C9627, r),
    asOf,   MIN($A2282,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637052.0548</v>
      </c>
    </row>
    <row r="2283">
      <c r="A2283" s="19">
        <v>44518.0</v>
      </c>
      <c r="B2283" s="23">
        <v>1.0765E7</v>
      </c>
      <c r="C2283" s="23">
        <f t="shared" si="1"/>
        <v>3876579.726</v>
      </c>
      <c r="D2283" s="18">
        <f>IF(A2283="","",MATCH(A2283,Calculation!B$2:B9627,1))</f>
        <v>2</v>
      </c>
      <c r="E2283" s="23">
        <f t="array" ref="E2283">IF(D2283="","",IF(D2283=1,0,INDEX(Calculation!Q$2:Q9627,D2283-1)))</f>
        <v>3232449.315</v>
      </c>
      <c r="F2283" s="23">
        <f t="array" ref="F2283">IF($A2283="","",
  LET(
    r, $D2283,
    startD, INDEX(Calculation!B$2:B9627, r),
    endD,   INDEX(Calculation!C$2:C9627, r),
    asOf,   MIN($A2283,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644130.411</v>
      </c>
    </row>
    <row r="2284">
      <c r="A2284" s="19">
        <v>44519.0</v>
      </c>
      <c r="B2284" s="23">
        <v>1.0765E7</v>
      </c>
      <c r="C2284" s="23">
        <f t="shared" si="1"/>
        <v>3883658.082</v>
      </c>
      <c r="D2284" s="18">
        <f>IF(A2284="","",MATCH(A2284,Calculation!B$2:B9627,1))</f>
        <v>2</v>
      </c>
      <c r="E2284" s="23">
        <f t="array" ref="E2284">IF(D2284="","",IF(D2284=1,0,INDEX(Calculation!Q$2:Q9627,D2284-1)))</f>
        <v>3232449.315</v>
      </c>
      <c r="F2284" s="23">
        <f t="array" ref="F2284">IF($A2284="","",
  LET(
    r, $D2284,
    startD, INDEX(Calculation!B$2:B9627, r),
    endD,   INDEX(Calculation!C$2:C9627, r),
    asOf,   MIN($A2284,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651208.7671</v>
      </c>
    </row>
    <row r="2285">
      <c r="A2285" s="19">
        <v>44520.0</v>
      </c>
      <c r="B2285" s="23">
        <v>1.0765E7</v>
      </c>
      <c r="C2285" s="23">
        <f t="shared" si="1"/>
        <v>3890736.438</v>
      </c>
      <c r="D2285" s="18">
        <f>IF(A2285="","",MATCH(A2285,Calculation!B$2:B9627,1))</f>
        <v>2</v>
      </c>
      <c r="E2285" s="23">
        <f t="array" ref="E2285">IF(D2285="","",IF(D2285=1,0,INDEX(Calculation!Q$2:Q9627,D2285-1)))</f>
        <v>3232449.315</v>
      </c>
      <c r="F2285" s="23">
        <f t="array" ref="F2285">IF($A2285="","",
  LET(
    r, $D2285,
    startD, INDEX(Calculation!B$2:B9627, r),
    endD,   INDEX(Calculation!C$2:C9627, r),
    asOf,   MIN($A2285,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658287.1233</v>
      </c>
    </row>
    <row r="2286">
      <c r="A2286" s="19">
        <v>44521.0</v>
      </c>
      <c r="B2286" s="23">
        <v>1.0765E7</v>
      </c>
      <c r="C2286" s="23">
        <f t="shared" si="1"/>
        <v>3897814.795</v>
      </c>
      <c r="D2286" s="18">
        <f>IF(A2286="","",MATCH(A2286,Calculation!B$2:B9627,1))</f>
        <v>2</v>
      </c>
      <c r="E2286" s="23">
        <f t="array" ref="E2286">IF(D2286="","",IF(D2286=1,0,INDEX(Calculation!Q$2:Q9627,D2286-1)))</f>
        <v>3232449.315</v>
      </c>
      <c r="F2286" s="23">
        <f t="array" ref="F2286">IF($A2286="","",
  LET(
    r, $D2286,
    startD, INDEX(Calculation!B$2:B9627, r),
    endD,   INDEX(Calculation!C$2:C9627, r),
    asOf,   MIN($A2286,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665365.4795</v>
      </c>
    </row>
    <row r="2287">
      <c r="A2287" s="19">
        <v>44522.0</v>
      </c>
      <c r="B2287" s="23">
        <v>1.0765E7</v>
      </c>
      <c r="C2287" s="23">
        <f t="shared" si="1"/>
        <v>3904893.151</v>
      </c>
      <c r="D2287" s="18">
        <f>IF(A2287="","",MATCH(A2287,Calculation!B$2:B9627,1))</f>
        <v>2</v>
      </c>
      <c r="E2287" s="23">
        <f t="array" ref="E2287">IF(D2287="","",IF(D2287=1,0,INDEX(Calculation!Q$2:Q9627,D2287-1)))</f>
        <v>3232449.315</v>
      </c>
      <c r="F2287" s="23">
        <f t="array" ref="F2287">IF($A2287="","",
  LET(
    r, $D2287,
    startD, INDEX(Calculation!B$2:B9627, r),
    endD,   INDEX(Calculation!C$2:C9627, r),
    asOf,   MIN($A2287,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672443.8356</v>
      </c>
    </row>
    <row r="2288">
      <c r="A2288" s="19">
        <v>44523.0</v>
      </c>
      <c r="B2288" s="23">
        <v>1.0765E7</v>
      </c>
      <c r="C2288" s="23">
        <f t="shared" si="1"/>
        <v>3911971.507</v>
      </c>
      <c r="D2288" s="18">
        <f>IF(A2288="","",MATCH(A2288,Calculation!B$2:B9627,1))</f>
        <v>2</v>
      </c>
      <c r="E2288" s="23">
        <f t="array" ref="E2288">IF(D2288="","",IF(D2288=1,0,INDEX(Calculation!Q$2:Q9627,D2288-1)))</f>
        <v>3232449.315</v>
      </c>
      <c r="F2288" s="23">
        <f t="array" ref="F2288">IF($A2288="","",
  LET(
    r, $D2288,
    startD, INDEX(Calculation!B$2:B9627, r),
    endD,   INDEX(Calculation!C$2:C9627, r),
    asOf,   MIN($A2288,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679522.1918</v>
      </c>
    </row>
    <row r="2289">
      <c r="A2289" s="19">
        <v>44524.0</v>
      </c>
      <c r="B2289" s="23">
        <v>1.0765E7</v>
      </c>
      <c r="C2289" s="23">
        <f t="shared" si="1"/>
        <v>3919049.863</v>
      </c>
      <c r="D2289" s="18">
        <f>IF(A2289="","",MATCH(A2289,Calculation!B$2:B9627,1))</f>
        <v>2</v>
      </c>
      <c r="E2289" s="23">
        <f t="array" ref="E2289">IF(D2289="","",IF(D2289=1,0,INDEX(Calculation!Q$2:Q9627,D2289-1)))</f>
        <v>3232449.315</v>
      </c>
      <c r="F2289" s="23">
        <f t="array" ref="F2289">IF($A2289="","",
  LET(
    r, $D2289,
    startD, INDEX(Calculation!B$2:B9627, r),
    endD,   INDEX(Calculation!C$2:C9627, r),
    asOf,   MIN($A2289,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686600.5479</v>
      </c>
    </row>
    <row r="2290">
      <c r="A2290" s="19">
        <v>44525.0</v>
      </c>
      <c r="B2290" s="23">
        <v>1.0765E7</v>
      </c>
      <c r="C2290" s="23">
        <f t="shared" si="1"/>
        <v>3926128.219</v>
      </c>
      <c r="D2290" s="18">
        <f>IF(A2290="","",MATCH(A2290,Calculation!B$2:B9627,1))</f>
        <v>2</v>
      </c>
      <c r="E2290" s="23">
        <f t="array" ref="E2290">IF(D2290="","",IF(D2290=1,0,INDEX(Calculation!Q$2:Q9627,D2290-1)))</f>
        <v>3232449.315</v>
      </c>
      <c r="F2290" s="23">
        <f t="array" ref="F2290">IF($A2290="","",
  LET(
    r, $D2290,
    startD, INDEX(Calculation!B$2:B9627, r),
    endD,   INDEX(Calculation!C$2:C9627, r),
    asOf,   MIN($A2290,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693678.9041</v>
      </c>
    </row>
    <row r="2291">
      <c r="A2291" s="19">
        <v>44526.0</v>
      </c>
      <c r="B2291" s="23">
        <v>1.0765E7</v>
      </c>
      <c r="C2291" s="23">
        <f t="shared" si="1"/>
        <v>3933206.575</v>
      </c>
      <c r="D2291" s="18">
        <f>IF(A2291="","",MATCH(A2291,Calculation!B$2:B9627,1))</f>
        <v>2</v>
      </c>
      <c r="E2291" s="23">
        <f t="array" ref="E2291">IF(D2291="","",IF(D2291=1,0,INDEX(Calculation!Q$2:Q9627,D2291-1)))</f>
        <v>3232449.315</v>
      </c>
      <c r="F2291" s="23">
        <f t="array" ref="F2291">IF($A2291="","",
  LET(
    r, $D2291,
    startD, INDEX(Calculation!B$2:B9627, r),
    endD,   INDEX(Calculation!C$2:C9627, r),
    asOf,   MIN($A2291,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700757.2603</v>
      </c>
    </row>
    <row r="2292">
      <c r="A2292" s="19">
        <v>44527.0</v>
      </c>
      <c r="B2292" s="23">
        <v>1.0765E7</v>
      </c>
      <c r="C2292" s="23">
        <f t="shared" si="1"/>
        <v>3940284.932</v>
      </c>
      <c r="D2292" s="18">
        <f>IF(A2292="","",MATCH(A2292,Calculation!B$2:B9627,1))</f>
        <v>2</v>
      </c>
      <c r="E2292" s="23">
        <f t="array" ref="E2292">IF(D2292="","",IF(D2292=1,0,INDEX(Calculation!Q$2:Q9627,D2292-1)))</f>
        <v>3232449.315</v>
      </c>
      <c r="F2292" s="23">
        <f t="array" ref="F2292">IF($A2292="","",
  LET(
    r, $D2292,
    startD, INDEX(Calculation!B$2:B9627, r),
    endD,   INDEX(Calculation!C$2:C9627, r),
    asOf,   MIN($A2292,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707835.6164</v>
      </c>
    </row>
    <row r="2293">
      <c r="A2293" s="19">
        <v>44528.0</v>
      </c>
      <c r="B2293" s="23">
        <v>1.0765E7</v>
      </c>
      <c r="C2293" s="23">
        <f t="shared" si="1"/>
        <v>3947363.288</v>
      </c>
      <c r="D2293" s="18">
        <f>IF(A2293="","",MATCH(A2293,Calculation!B$2:B9627,1))</f>
        <v>2</v>
      </c>
      <c r="E2293" s="23">
        <f t="array" ref="E2293">IF(D2293="","",IF(D2293=1,0,INDEX(Calculation!Q$2:Q9627,D2293-1)))</f>
        <v>3232449.315</v>
      </c>
      <c r="F2293" s="23">
        <f t="array" ref="F2293">IF($A2293="","",
  LET(
    r, $D2293,
    startD, INDEX(Calculation!B$2:B9627, r),
    endD,   INDEX(Calculation!C$2:C9627, r),
    asOf,   MIN($A2293,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714913.9726</v>
      </c>
    </row>
    <row r="2294">
      <c r="A2294" s="19">
        <v>44529.0</v>
      </c>
      <c r="B2294" s="23">
        <v>1.0765E7</v>
      </c>
      <c r="C2294" s="23">
        <f t="shared" si="1"/>
        <v>3954441.644</v>
      </c>
      <c r="D2294" s="18">
        <f>IF(A2294="","",MATCH(A2294,Calculation!B$2:B9627,1))</f>
        <v>2</v>
      </c>
      <c r="E2294" s="23">
        <f t="array" ref="E2294">IF(D2294="","",IF(D2294=1,0,INDEX(Calculation!Q$2:Q9627,D2294-1)))</f>
        <v>3232449.315</v>
      </c>
      <c r="F2294" s="23">
        <f t="array" ref="F2294">IF($A2294="","",
  LET(
    r, $D2294,
    startD, INDEX(Calculation!B$2:B9627, r),
    endD,   INDEX(Calculation!C$2:C9627, r),
    asOf,   MIN($A2294,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721992.3288</v>
      </c>
    </row>
    <row r="2295">
      <c r="A2295" s="19">
        <v>44530.0</v>
      </c>
      <c r="B2295" s="23">
        <v>1.0765E7</v>
      </c>
      <c r="C2295" s="23">
        <f t="shared" si="1"/>
        <v>3961520</v>
      </c>
      <c r="D2295" s="18">
        <f>IF(A2295="","",MATCH(A2295,Calculation!B$2:B9627,1))</f>
        <v>2</v>
      </c>
      <c r="E2295" s="23">
        <f t="array" ref="E2295">IF(D2295="","",IF(D2295=1,0,INDEX(Calculation!Q$2:Q9627,D2295-1)))</f>
        <v>3232449.315</v>
      </c>
      <c r="F2295" s="23">
        <f t="array" ref="F2295">IF($A2295="","",
  LET(
    r, $D2295,
    startD, INDEX(Calculation!B$2:B9627, r),
    endD,   INDEX(Calculation!C$2:C9627, r),
    asOf,   MIN($A2295,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729070.6849</v>
      </c>
    </row>
    <row r="2296">
      <c r="A2296" s="19">
        <v>44531.0</v>
      </c>
      <c r="B2296" s="23">
        <v>1.0765E7</v>
      </c>
      <c r="C2296" s="23">
        <f t="shared" si="1"/>
        <v>3968598.356</v>
      </c>
      <c r="D2296" s="18">
        <f>IF(A2296="","",MATCH(A2296,Calculation!B$2:B9627,1))</f>
        <v>2</v>
      </c>
      <c r="E2296" s="23">
        <f t="array" ref="E2296">IF(D2296="","",IF(D2296=1,0,INDEX(Calculation!Q$2:Q9627,D2296-1)))</f>
        <v>3232449.315</v>
      </c>
      <c r="F2296" s="23">
        <f t="array" ref="F2296">IF($A2296="","",
  LET(
    r, $D2296,
    startD, INDEX(Calculation!B$2:B9627, r),
    endD,   INDEX(Calculation!C$2:C9627, r),
    asOf,   MIN($A2296,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736149.0411</v>
      </c>
    </row>
    <row r="2297">
      <c r="A2297" s="19">
        <v>44532.0</v>
      </c>
      <c r="B2297" s="23">
        <v>1.0765E7</v>
      </c>
      <c r="C2297" s="23">
        <f t="shared" si="1"/>
        <v>3975676.712</v>
      </c>
      <c r="D2297" s="18">
        <f>IF(A2297="","",MATCH(A2297,Calculation!B$2:B9627,1))</f>
        <v>2</v>
      </c>
      <c r="E2297" s="23">
        <f t="array" ref="E2297">IF(D2297="","",IF(D2297=1,0,INDEX(Calculation!Q$2:Q9627,D2297-1)))</f>
        <v>3232449.315</v>
      </c>
      <c r="F2297" s="23">
        <f t="array" ref="F2297">IF($A2297="","",
  LET(
    r, $D2297,
    startD, INDEX(Calculation!B$2:B9627, r),
    endD,   INDEX(Calculation!C$2:C9627, r),
    asOf,   MIN($A2297,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743227.3973</v>
      </c>
    </row>
    <row r="2298">
      <c r="A2298" s="19">
        <v>44533.0</v>
      </c>
      <c r="B2298" s="23">
        <v>1.0765E7</v>
      </c>
      <c r="C2298" s="23">
        <f t="shared" si="1"/>
        <v>3982755.068</v>
      </c>
      <c r="D2298" s="18">
        <f>IF(A2298="","",MATCH(A2298,Calculation!B$2:B9627,1))</f>
        <v>2</v>
      </c>
      <c r="E2298" s="23">
        <f t="array" ref="E2298">IF(D2298="","",IF(D2298=1,0,INDEX(Calculation!Q$2:Q9627,D2298-1)))</f>
        <v>3232449.315</v>
      </c>
      <c r="F2298" s="23">
        <f t="array" ref="F2298">IF($A2298="","",
  LET(
    r, $D2298,
    startD, INDEX(Calculation!B$2:B9627, r),
    endD,   INDEX(Calculation!C$2:C9627, r),
    asOf,   MIN($A2298,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750305.7534</v>
      </c>
    </row>
    <row r="2299">
      <c r="A2299" s="19">
        <v>44534.0</v>
      </c>
      <c r="B2299" s="23">
        <v>1.0765E7</v>
      </c>
      <c r="C2299" s="23">
        <f t="shared" si="1"/>
        <v>3989833.425</v>
      </c>
      <c r="D2299" s="18">
        <f>IF(A2299="","",MATCH(A2299,Calculation!B$2:B9627,1))</f>
        <v>2</v>
      </c>
      <c r="E2299" s="23">
        <f t="array" ref="E2299">IF(D2299="","",IF(D2299=1,0,INDEX(Calculation!Q$2:Q9627,D2299-1)))</f>
        <v>3232449.315</v>
      </c>
      <c r="F2299" s="23">
        <f t="array" ref="F2299">IF($A2299="","",
  LET(
    r, $D2299,
    startD, INDEX(Calculation!B$2:B9627, r),
    endD,   INDEX(Calculation!C$2:C9627, r),
    asOf,   MIN($A2299,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757384.1096</v>
      </c>
    </row>
    <row r="2300">
      <c r="A2300" s="19">
        <v>44535.0</v>
      </c>
      <c r="B2300" s="23">
        <v>1.0765E7</v>
      </c>
      <c r="C2300" s="23">
        <f t="shared" si="1"/>
        <v>3996911.781</v>
      </c>
      <c r="D2300" s="18">
        <f>IF(A2300="","",MATCH(A2300,Calculation!B$2:B9627,1))</f>
        <v>2</v>
      </c>
      <c r="E2300" s="23">
        <f t="array" ref="E2300">IF(D2300="","",IF(D2300=1,0,INDEX(Calculation!Q$2:Q9627,D2300-1)))</f>
        <v>3232449.315</v>
      </c>
      <c r="F2300" s="23">
        <f t="array" ref="F2300">IF($A2300="","",
  LET(
    r, $D2300,
    startD, INDEX(Calculation!B$2:B9627, r),
    endD,   INDEX(Calculation!C$2:C9627, r),
    asOf,   MIN($A2300,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764462.4658</v>
      </c>
    </row>
    <row r="2301">
      <c r="A2301" s="19">
        <v>44536.0</v>
      </c>
      <c r="B2301" s="23">
        <v>1.0765E7</v>
      </c>
      <c r="C2301" s="23">
        <f t="shared" si="1"/>
        <v>4003990.137</v>
      </c>
      <c r="D2301" s="18">
        <f>IF(A2301="","",MATCH(A2301,Calculation!B$2:B9627,1))</f>
        <v>2</v>
      </c>
      <c r="E2301" s="23">
        <f t="array" ref="E2301">IF(D2301="","",IF(D2301=1,0,INDEX(Calculation!Q$2:Q9627,D2301-1)))</f>
        <v>3232449.315</v>
      </c>
      <c r="F2301" s="23">
        <f t="array" ref="F2301">IF($A2301="","",
  LET(
    r, $D2301,
    startD, INDEX(Calculation!B$2:B9627, r),
    endD,   INDEX(Calculation!C$2:C9627, r),
    asOf,   MIN($A2301,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771540.8219</v>
      </c>
    </row>
    <row r="2302">
      <c r="A2302" s="19">
        <v>44537.0</v>
      </c>
      <c r="B2302" s="23">
        <v>1.0765E7</v>
      </c>
      <c r="C2302" s="23">
        <f t="shared" si="1"/>
        <v>4011068.493</v>
      </c>
      <c r="D2302" s="18">
        <f>IF(A2302="","",MATCH(A2302,Calculation!B$2:B9627,1))</f>
        <v>2</v>
      </c>
      <c r="E2302" s="23">
        <f t="array" ref="E2302">IF(D2302="","",IF(D2302=1,0,INDEX(Calculation!Q$2:Q9627,D2302-1)))</f>
        <v>3232449.315</v>
      </c>
      <c r="F2302" s="23">
        <f t="array" ref="F2302">IF($A2302="","",
  LET(
    r, $D2302,
    startD, INDEX(Calculation!B$2:B9627, r),
    endD,   INDEX(Calculation!C$2:C9627, r),
    asOf,   MIN($A2302,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778619.1781</v>
      </c>
    </row>
    <row r="2303">
      <c r="A2303" s="19">
        <v>44538.0</v>
      </c>
      <c r="B2303" s="23">
        <v>1.0765E7</v>
      </c>
      <c r="C2303" s="23">
        <f t="shared" si="1"/>
        <v>4018146.849</v>
      </c>
      <c r="D2303" s="18">
        <f>IF(A2303="","",MATCH(A2303,Calculation!B$2:B9627,1))</f>
        <v>2</v>
      </c>
      <c r="E2303" s="23">
        <f t="array" ref="E2303">IF(D2303="","",IF(D2303=1,0,INDEX(Calculation!Q$2:Q9627,D2303-1)))</f>
        <v>3232449.315</v>
      </c>
      <c r="F2303" s="23">
        <f t="array" ref="F2303">IF($A2303="","",
  LET(
    r, $D2303,
    startD, INDEX(Calculation!B$2:B9627, r),
    endD,   INDEX(Calculation!C$2:C9627, r),
    asOf,   MIN($A2303,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785697.5342</v>
      </c>
    </row>
    <row r="2304">
      <c r="A2304" s="19">
        <v>44539.0</v>
      </c>
      <c r="B2304" s="23">
        <v>1.0765E7</v>
      </c>
      <c r="C2304" s="23">
        <f t="shared" si="1"/>
        <v>4025225.205</v>
      </c>
      <c r="D2304" s="18">
        <f>IF(A2304="","",MATCH(A2304,Calculation!B$2:B9627,1))</f>
        <v>2</v>
      </c>
      <c r="E2304" s="23">
        <f t="array" ref="E2304">IF(D2304="","",IF(D2304=1,0,INDEX(Calculation!Q$2:Q9627,D2304-1)))</f>
        <v>3232449.315</v>
      </c>
      <c r="F2304" s="23">
        <f t="array" ref="F2304">IF($A2304="","",
  LET(
    r, $D2304,
    startD, INDEX(Calculation!B$2:B9627, r),
    endD,   INDEX(Calculation!C$2:C9627, r),
    asOf,   MIN($A2304,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792775.8904</v>
      </c>
    </row>
    <row r="2305">
      <c r="A2305" s="19">
        <v>44540.0</v>
      </c>
      <c r="B2305" s="23">
        <v>1.0765E7</v>
      </c>
      <c r="C2305" s="23">
        <f t="shared" si="1"/>
        <v>4032303.562</v>
      </c>
      <c r="D2305" s="18">
        <f>IF(A2305="","",MATCH(A2305,Calculation!B$2:B9627,1))</f>
        <v>2</v>
      </c>
      <c r="E2305" s="23">
        <f t="array" ref="E2305">IF(D2305="","",IF(D2305=1,0,INDEX(Calculation!Q$2:Q9627,D2305-1)))</f>
        <v>3232449.315</v>
      </c>
      <c r="F2305" s="23">
        <f t="array" ref="F2305">IF($A2305="","",
  LET(
    r, $D2305,
    startD, INDEX(Calculation!B$2:B9627, r),
    endD,   INDEX(Calculation!C$2:C9627, r),
    asOf,   MIN($A2305,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799854.2466</v>
      </c>
    </row>
    <row r="2306">
      <c r="A2306" s="19">
        <v>44541.0</v>
      </c>
      <c r="B2306" s="23">
        <v>1.0765E7</v>
      </c>
      <c r="C2306" s="23">
        <f t="shared" si="1"/>
        <v>4039381.918</v>
      </c>
      <c r="D2306" s="18">
        <f>IF(A2306="","",MATCH(A2306,Calculation!B$2:B9627,1))</f>
        <v>2</v>
      </c>
      <c r="E2306" s="23">
        <f t="array" ref="E2306">IF(D2306="","",IF(D2306=1,0,INDEX(Calculation!Q$2:Q9627,D2306-1)))</f>
        <v>3232449.315</v>
      </c>
      <c r="F2306" s="23">
        <f t="array" ref="F2306">IF($A2306="","",
  LET(
    r, $D2306,
    startD, INDEX(Calculation!B$2:B9627, r),
    endD,   INDEX(Calculation!C$2:C9627, r),
    asOf,   MIN($A2306,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806932.6027</v>
      </c>
    </row>
    <row r="2307">
      <c r="A2307" s="19">
        <v>44542.0</v>
      </c>
      <c r="B2307" s="23">
        <v>1.0765E7</v>
      </c>
      <c r="C2307" s="23">
        <f t="shared" si="1"/>
        <v>4046460.274</v>
      </c>
      <c r="D2307" s="18">
        <f>IF(A2307="","",MATCH(A2307,Calculation!B$2:B9627,1))</f>
        <v>2</v>
      </c>
      <c r="E2307" s="23">
        <f t="array" ref="E2307">IF(D2307="","",IF(D2307=1,0,INDEX(Calculation!Q$2:Q9627,D2307-1)))</f>
        <v>3232449.315</v>
      </c>
      <c r="F2307" s="23">
        <f t="array" ref="F2307">IF($A2307="","",
  LET(
    r, $D2307,
    startD, INDEX(Calculation!B$2:B9627, r),
    endD,   INDEX(Calculation!C$2:C9627, r),
    asOf,   MIN($A2307,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814010.9589</v>
      </c>
    </row>
    <row r="2308">
      <c r="A2308" s="19">
        <v>44543.0</v>
      </c>
      <c r="B2308" s="23">
        <v>1.0765E7</v>
      </c>
      <c r="C2308" s="23">
        <f t="shared" si="1"/>
        <v>4053538.63</v>
      </c>
      <c r="D2308" s="18">
        <f>IF(A2308="","",MATCH(A2308,Calculation!B$2:B9627,1))</f>
        <v>2</v>
      </c>
      <c r="E2308" s="23">
        <f t="array" ref="E2308">IF(D2308="","",IF(D2308=1,0,INDEX(Calculation!Q$2:Q9627,D2308-1)))</f>
        <v>3232449.315</v>
      </c>
      <c r="F2308" s="23">
        <f t="array" ref="F2308">IF($A2308="","",
  LET(
    r, $D2308,
    startD, INDEX(Calculation!B$2:B9627, r),
    endD,   INDEX(Calculation!C$2:C9627, r),
    asOf,   MIN($A2308,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821089.3151</v>
      </c>
    </row>
    <row r="2309">
      <c r="A2309" s="19">
        <v>44544.0</v>
      </c>
      <c r="B2309" s="23">
        <v>1.0765E7</v>
      </c>
      <c r="C2309" s="23">
        <f t="shared" si="1"/>
        <v>4060616.986</v>
      </c>
      <c r="D2309" s="18">
        <f>IF(A2309="","",MATCH(A2309,Calculation!B$2:B9627,1))</f>
        <v>2</v>
      </c>
      <c r="E2309" s="23">
        <f t="array" ref="E2309">IF(D2309="","",IF(D2309=1,0,INDEX(Calculation!Q$2:Q9627,D2309-1)))</f>
        <v>3232449.315</v>
      </c>
      <c r="F2309" s="23">
        <f t="array" ref="F2309">IF($A2309="","",
  LET(
    r, $D2309,
    startD, INDEX(Calculation!B$2:B9627, r),
    endD,   INDEX(Calculation!C$2:C9627, r),
    asOf,   MIN($A2309,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828167.6712</v>
      </c>
    </row>
    <row r="2310">
      <c r="A2310" s="19">
        <v>44545.0</v>
      </c>
      <c r="B2310" s="23">
        <v>1.0765E7</v>
      </c>
      <c r="C2310" s="23">
        <f t="shared" si="1"/>
        <v>4067695.342</v>
      </c>
      <c r="D2310" s="18">
        <f>IF(A2310="","",MATCH(A2310,Calculation!B$2:B9627,1))</f>
        <v>2</v>
      </c>
      <c r="E2310" s="23">
        <f t="array" ref="E2310">IF(D2310="","",IF(D2310=1,0,INDEX(Calculation!Q$2:Q9627,D2310-1)))</f>
        <v>3232449.315</v>
      </c>
      <c r="F2310" s="23">
        <f t="array" ref="F2310">IF($A2310="","",
  LET(
    r, $D2310,
    startD, INDEX(Calculation!B$2:B9627, r),
    endD,   INDEX(Calculation!C$2:C9627, r),
    asOf,   MIN($A2310,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835246.0274</v>
      </c>
    </row>
    <row r="2311">
      <c r="A2311" s="19">
        <v>44546.0</v>
      </c>
      <c r="B2311" s="23">
        <v>1.0765E7</v>
      </c>
      <c r="C2311" s="23">
        <f t="shared" si="1"/>
        <v>4074773.699</v>
      </c>
      <c r="D2311" s="18">
        <f>IF(A2311="","",MATCH(A2311,Calculation!B$2:B9627,1))</f>
        <v>2</v>
      </c>
      <c r="E2311" s="23">
        <f t="array" ref="E2311">IF(D2311="","",IF(D2311=1,0,INDEX(Calculation!Q$2:Q9627,D2311-1)))</f>
        <v>3232449.315</v>
      </c>
      <c r="F2311" s="23">
        <f t="array" ref="F2311">IF($A2311="","",
  LET(
    r, $D2311,
    startD, INDEX(Calculation!B$2:B9627, r),
    endD,   INDEX(Calculation!C$2:C9627, r),
    asOf,   MIN($A2311,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842324.3836</v>
      </c>
    </row>
    <row r="2312">
      <c r="A2312" s="19">
        <v>44547.0</v>
      </c>
      <c r="B2312" s="23">
        <v>1.0765E7</v>
      </c>
      <c r="C2312" s="23">
        <f t="shared" si="1"/>
        <v>4081852.055</v>
      </c>
      <c r="D2312" s="18">
        <f>IF(A2312="","",MATCH(A2312,Calculation!B$2:B9627,1))</f>
        <v>2</v>
      </c>
      <c r="E2312" s="23">
        <f t="array" ref="E2312">IF(D2312="","",IF(D2312=1,0,INDEX(Calculation!Q$2:Q9627,D2312-1)))</f>
        <v>3232449.315</v>
      </c>
      <c r="F2312" s="23">
        <f t="array" ref="F2312">IF($A2312="","",
  LET(
    r, $D2312,
    startD, INDEX(Calculation!B$2:B9627, r),
    endD,   INDEX(Calculation!C$2:C9627, r),
    asOf,   MIN($A2312,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849402.7397</v>
      </c>
    </row>
    <row r="2313">
      <c r="A2313" s="19">
        <v>44548.0</v>
      </c>
      <c r="B2313" s="23">
        <v>1.0765E7</v>
      </c>
      <c r="C2313" s="23">
        <f t="shared" si="1"/>
        <v>4088930.411</v>
      </c>
      <c r="D2313" s="18">
        <f>IF(A2313="","",MATCH(A2313,Calculation!B$2:B9627,1))</f>
        <v>2</v>
      </c>
      <c r="E2313" s="23">
        <f t="array" ref="E2313">IF(D2313="","",IF(D2313=1,0,INDEX(Calculation!Q$2:Q9627,D2313-1)))</f>
        <v>3232449.315</v>
      </c>
      <c r="F2313" s="23">
        <f t="array" ref="F2313">IF($A2313="","",
  LET(
    r, $D2313,
    startD, INDEX(Calculation!B$2:B9627, r),
    endD,   INDEX(Calculation!C$2:C9627, r),
    asOf,   MIN($A2313,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856481.0959</v>
      </c>
    </row>
    <row r="2314">
      <c r="A2314" s="19">
        <v>44549.0</v>
      </c>
      <c r="B2314" s="23">
        <v>1.0765E7</v>
      </c>
      <c r="C2314" s="23">
        <f t="shared" si="1"/>
        <v>4096008.767</v>
      </c>
      <c r="D2314" s="18">
        <f>IF(A2314="","",MATCH(A2314,Calculation!B$2:B9627,1))</f>
        <v>2</v>
      </c>
      <c r="E2314" s="23">
        <f t="array" ref="E2314">IF(D2314="","",IF(D2314=1,0,INDEX(Calculation!Q$2:Q9627,D2314-1)))</f>
        <v>3232449.315</v>
      </c>
      <c r="F2314" s="23">
        <f t="array" ref="F2314">IF($A2314="","",
  LET(
    r, $D2314,
    startD, INDEX(Calculation!B$2:B9627, r),
    endD,   INDEX(Calculation!C$2:C9627, r),
    asOf,   MIN($A2314,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863559.4521</v>
      </c>
    </row>
    <row r="2315">
      <c r="A2315" s="19">
        <v>44550.0</v>
      </c>
      <c r="B2315" s="23">
        <v>1.0765E7</v>
      </c>
      <c r="C2315" s="23">
        <f t="shared" si="1"/>
        <v>4103087.123</v>
      </c>
      <c r="D2315" s="18">
        <f>IF(A2315="","",MATCH(A2315,Calculation!B$2:B9627,1))</f>
        <v>2</v>
      </c>
      <c r="E2315" s="23">
        <f t="array" ref="E2315">IF(D2315="","",IF(D2315=1,0,INDEX(Calculation!Q$2:Q9627,D2315-1)))</f>
        <v>3232449.315</v>
      </c>
      <c r="F2315" s="23">
        <f t="array" ref="F2315">IF($A2315="","",
  LET(
    r, $D2315,
    startD, INDEX(Calculation!B$2:B9627, r),
    endD,   INDEX(Calculation!C$2:C9627, r),
    asOf,   MIN($A2315,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870637.8082</v>
      </c>
    </row>
    <row r="2316">
      <c r="A2316" s="19">
        <v>44551.0</v>
      </c>
      <c r="B2316" s="23">
        <v>1.0765E7</v>
      </c>
      <c r="C2316" s="23">
        <f t="shared" si="1"/>
        <v>4110165.479</v>
      </c>
      <c r="D2316" s="18">
        <f>IF(A2316="","",MATCH(A2316,Calculation!B$2:B9627,1))</f>
        <v>2</v>
      </c>
      <c r="E2316" s="23">
        <f t="array" ref="E2316">IF(D2316="","",IF(D2316=1,0,INDEX(Calculation!Q$2:Q9627,D2316-1)))</f>
        <v>3232449.315</v>
      </c>
      <c r="F2316" s="23">
        <f t="array" ref="F2316">IF($A2316="","",
  LET(
    r, $D2316,
    startD, INDEX(Calculation!B$2:B9627, r),
    endD,   INDEX(Calculation!C$2:C9627, r),
    asOf,   MIN($A2316,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877716.1644</v>
      </c>
    </row>
    <row r="2317">
      <c r="A2317" s="19">
        <v>44552.0</v>
      </c>
      <c r="B2317" s="23">
        <v>1.0765E7</v>
      </c>
      <c r="C2317" s="23">
        <f t="shared" si="1"/>
        <v>4117243.836</v>
      </c>
      <c r="D2317" s="18">
        <f>IF(A2317="","",MATCH(A2317,Calculation!B$2:B9627,1))</f>
        <v>2</v>
      </c>
      <c r="E2317" s="23">
        <f t="array" ref="E2317">IF(D2317="","",IF(D2317=1,0,INDEX(Calculation!Q$2:Q9627,D2317-1)))</f>
        <v>3232449.315</v>
      </c>
      <c r="F2317" s="23">
        <f t="array" ref="F2317">IF($A2317="","",
  LET(
    r, $D2317,
    startD, INDEX(Calculation!B$2:B9627, r),
    endD,   INDEX(Calculation!C$2:C9627, r),
    asOf,   MIN($A2317,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884794.5205</v>
      </c>
    </row>
    <row r="2318">
      <c r="A2318" s="19">
        <v>44553.0</v>
      </c>
      <c r="B2318" s="23">
        <v>1.0765E7</v>
      </c>
      <c r="C2318" s="23">
        <f t="shared" si="1"/>
        <v>4124322.192</v>
      </c>
      <c r="D2318" s="18">
        <f>IF(A2318="","",MATCH(A2318,Calculation!B$2:B9627,1))</f>
        <v>2</v>
      </c>
      <c r="E2318" s="23">
        <f t="array" ref="E2318">IF(D2318="","",IF(D2318=1,0,INDEX(Calculation!Q$2:Q9627,D2318-1)))</f>
        <v>3232449.315</v>
      </c>
      <c r="F2318" s="23">
        <f t="array" ref="F2318">IF($A2318="","",
  LET(
    r, $D2318,
    startD, INDEX(Calculation!B$2:B9627, r),
    endD,   INDEX(Calculation!C$2:C9627, r),
    asOf,   MIN($A2318,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891872.8767</v>
      </c>
    </row>
    <row r="2319">
      <c r="A2319" s="19">
        <v>44554.0</v>
      </c>
      <c r="B2319" s="23">
        <v>1.0765E7</v>
      </c>
      <c r="C2319" s="23">
        <f t="shared" si="1"/>
        <v>4131400.548</v>
      </c>
      <c r="D2319" s="18">
        <f>IF(A2319="","",MATCH(A2319,Calculation!B$2:B9627,1))</f>
        <v>2</v>
      </c>
      <c r="E2319" s="23">
        <f t="array" ref="E2319">IF(D2319="","",IF(D2319=1,0,INDEX(Calculation!Q$2:Q9627,D2319-1)))</f>
        <v>3232449.315</v>
      </c>
      <c r="F2319" s="23">
        <f t="array" ref="F2319">IF($A2319="","",
  LET(
    r, $D2319,
    startD, INDEX(Calculation!B$2:B9627, r),
    endD,   INDEX(Calculation!C$2:C9627, r),
    asOf,   MIN($A2319,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898951.2329</v>
      </c>
    </row>
    <row r="2320">
      <c r="A2320" s="19">
        <v>44555.0</v>
      </c>
      <c r="B2320" s="23">
        <v>1.0765E7</v>
      </c>
      <c r="C2320" s="23">
        <f t="shared" si="1"/>
        <v>4138478.904</v>
      </c>
      <c r="D2320" s="18">
        <f>IF(A2320="","",MATCH(A2320,Calculation!B$2:B9627,1))</f>
        <v>2</v>
      </c>
      <c r="E2320" s="23">
        <f t="array" ref="E2320">IF(D2320="","",IF(D2320=1,0,INDEX(Calculation!Q$2:Q9627,D2320-1)))</f>
        <v>3232449.315</v>
      </c>
      <c r="F2320" s="23">
        <f t="array" ref="F2320">IF($A2320="","",
  LET(
    r, $D2320,
    startD, INDEX(Calculation!B$2:B9627, r),
    endD,   INDEX(Calculation!C$2:C9627, r),
    asOf,   MIN($A2320,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906029.589</v>
      </c>
    </row>
    <row r="2321">
      <c r="A2321" s="19">
        <v>44556.0</v>
      </c>
      <c r="B2321" s="23">
        <v>1.0765E7</v>
      </c>
      <c r="C2321" s="23">
        <f t="shared" si="1"/>
        <v>4145557.26</v>
      </c>
      <c r="D2321" s="18">
        <f>IF(A2321="","",MATCH(A2321,Calculation!B$2:B9627,1))</f>
        <v>2</v>
      </c>
      <c r="E2321" s="23">
        <f t="array" ref="E2321">IF(D2321="","",IF(D2321=1,0,INDEX(Calculation!Q$2:Q9627,D2321-1)))</f>
        <v>3232449.315</v>
      </c>
      <c r="F2321" s="23">
        <f t="array" ref="F2321">IF($A2321="","",
  LET(
    r, $D2321,
    startD, INDEX(Calculation!B$2:B9627, r),
    endD,   INDEX(Calculation!C$2:C9627, r),
    asOf,   MIN($A2321,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913107.9452</v>
      </c>
    </row>
    <row r="2322">
      <c r="A2322" s="19">
        <v>44557.0</v>
      </c>
      <c r="B2322" s="23">
        <v>1.0765E7</v>
      </c>
      <c r="C2322" s="23">
        <f t="shared" si="1"/>
        <v>4152635.616</v>
      </c>
      <c r="D2322" s="18">
        <f>IF(A2322="","",MATCH(A2322,Calculation!B$2:B9627,1))</f>
        <v>2</v>
      </c>
      <c r="E2322" s="23">
        <f t="array" ref="E2322">IF(D2322="","",IF(D2322=1,0,INDEX(Calculation!Q$2:Q9627,D2322-1)))</f>
        <v>3232449.315</v>
      </c>
      <c r="F2322" s="23">
        <f t="array" ref="F2322">IF($A2322="","",
  LET(
    r, $D2322,
    startD, INDEX(Calculation!B$2:B9627, r),
    endD,   INDEX(Calculation!C$2:C9627, r),
    asOf,   MIN($A2322,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920186.3014</v>
      </c>
    </row>
    <row r="2323">
      <c r="A2323" s="19">
        <v>44558.0</v>
      </c>
      <c r="B2323" s="23">
        <v>1.0765E7</v>
      </c>
      <c r="C2323" s="23">
        <f t="shared" si="1"/>
        <v>4159713.973</v>
      </c>
      <c r="D2323" s="18">
        <f>IF(A2323="","",MATCH(A2323,Calculation!B$2:B9627,1))</f>
        <v>2</v>
      </c>
      <c r="E2323" s="23">
        <f t="array" ref="E2323">IF(D2323="","",IF(D2323=1,0,INDEX(Calculation!Q$2:Q9627,D2323-1)))</f>
        <v>3232449.315</v>
      </c>
      <c r="F2323" s="23">
        <f t="array" ref="F2323">IF($A2323="","",
  LET(
    r, $D2323,
    startD, INDEX(Calculation!B$2:B9627, r),
    endD,   INDEX(Calculation!C$2:C9627, r),
    asOf,   MIN($A2323,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927264.6575</v>
      </c>
    </row>
    <row r="2324">
      <c r="A2324" s="19">
        <v>44559.0</v>
      </c>
      <c r="B2324" s="23">
        <v>1.0765E7</v>
      </c>
      <c r="C2324" s="23">
        <f t="shared" si="1"/>
        <v>4166792.329</v>
      </c>
      <c r="D2324" s="18">
        <f>IF(A2324="","",MATCH(A2324,Calculation!B$2:B9627,1))</f>
        <v>2</v>
      </c>
      <c r="E2324" s="23">
        <f t="array" ref="E2324">IF(D2324="","",IF(D2324=1,0,INDEX(Calculation!Q$2:Q9627,D2324-1)))</f>
        <v>3232449.315</v>
      </c>
      <c r="F2324" s="23">
        <f t="array" ref="F2324">IF($A2324="","",
  LET(
    r, $D2324,
    startD, INDEX(Calculation!B$2:B9627, r),
    endD,   INDEX(Calculation!C$2:C9627, r),
    asOf,   MIN($A2324,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934343.0137</v>
      </c>
    </row>
    <row r="2325">
      <c r="A2325" s="19">
        <v>44560.0</v>
      </c>
      <c r="B2325" s="23">
        <v>1.0765E7</v>
      </c>
      <c r="C2325" s="23">
        <f t="shared" si="1"/>
        <v>4173870.685</v>
      </c>
      <c r="D2325" s="18">
        <f>IF(A2325="","",MATCH(A2325,Calculation!B$2:B9627,1))</f>
        <v>2</v>
      </c>
      <c r="E2325" s="23">
        <f t="array" ref="E2325">IF(D2325="","",IF(D2325=1,0,INDEX(Calculation!Q$2:Q9627,D2325-1)))</f>
        <v>3232449.315</v>
      </c>
      <c r="F2325" s="23">
        <f t="array" ref="F2325">IF($A2325="","",
  LET(
    r, $D2325,
    startD, INDEX(Calculation!B$2:B9627, r),
    endD,   INDEX(Calculation!C$2:C9627, r),
    asOf,   MIN($A2325,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941421.3699</v>
      </c>
    </row>
    <row r="2326">
      <c r="A2326" s="19">
        <v>44561.0</v>
      </c>
      <c r="B2326" s="23">
        <v>1.0765E7</v>
      </c>
      <c r="C2326" s="23">
        <f t="shared" si="1"/>
        <v>4180949.041</v>
      </c>
      <c r="D2326" s="18">
        <f>IF(A2326="","",MATCH(A2326,Calculation!B$2:B9627,1))</f>
        <v>2</v>
      </c>
      <c r="E2326" s="23">
        <f t="array" ref="E2326">IF(D2326="","",IF(D2326=1,0,INDEX(Calculation!Q$2:Q9627,D2326-1)))</f>
        <v>3232449.315</v>
      </c>
      <c r="F2326" s="23">
        <f t="array" ref="F2326">IF($A2326="","",
  LET(
    r, $D2326,
    startD, INDEX(Calculation!B$2:B9627, r),
    endD,   INDEX(Calculation!C$2:C9627, r),
    asOf,   MIN($A2326,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948499.726</v>
      </c>
    </row>
    <row r="2327">
      <c r="A2327" s="19">
        <v>44562.0</v>
      </c>
      <c r="B2327" s="23">
        <v>1.0765E7</v>
      </c>
      <c r="C2327" s="23">
        <f t="shared" si="1"/>
        <v>4188027.397</v>
      </c>
      <c r="D2327" s="18">
        <f>IF(A2327="","",MATCH(A2327,Calculation!B$2:B9627,1))</f>
        <v>2</v>
      </c>
      <c r="E2327" s="23">
        <f t="array" ref="E2327">IF(D2327="","",IF(D2327=1,0,INDEX(Calculation!Q$2:Q9627,D2327-1)))</f>
        <v>3232449.315</v>
      </c>
      <c r="F2327" s="23">
        <f t="array" ref="F2327">IF($A2327="","",
  LET(
    r, $D2327,
    startD, INDEX(Calculation!B$2:B9627, r),
    endD,   INDEX(Calculation!C$2:C9627, r),
    asOf,   MIN($A2327,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955578.0822</v>
      </c>
    </row>
    <row r="2328">
      <c r="A2328" s="19">
        <v>44563.0</v>
      </c>
      <c r="B2328" s="23">
        <v>1.0765E7</v>
      </c>
      <c r="C2328" s="23">
        <f t="shared" si="1"/>
        <v>4195105.753</v>
      </c>
      <c r="D2328" s="18">
        <f>IF(A2328="","",MATCH(A2328,Calculation!B$2:B9627,1))</f>
        <v>2</v>
      </c>
      <c r="E2328" s="23">
        <f t="array" ref="E2328">IF(D2328="","",IF(D2328=1,0,INDEX(Calculation!Q$2:Q9627,D2328-1)))</f>
        <v>3232449.315</v>
      </c>
      <c r="F2328" s="23">
        <f t="array" ref="F2328">IF($A2328="","",
  LET(
    r, $D2328,
    startD, INDEX(Calculation!B$2:B9627, r),
    endD,   INDEX(Calculation!C$2:C9627, r),
    asOf,   MIN($A2328,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962656.4384</v>
      </c>
    </row>
    <row r="2329">
      <c r="A2329" s="19">
        <v>44564.0</v>
      </c>
      <c r="B2329" s="23">
        <v>1.0765E7</v>
      </c>
      <c r="C2329" s="23">
        <f t="shared" si="1"/>
        <v>4202184.11</v>
      </c>
      <c r="D2329" s="18">
        <f>IF(A2329="","",MATCH(A2329,Calculation!B$2:B9627,1))</f>
        <v>2</v>
      </c>
      <c r="E2329" s="23">
        <f t="array" ref="E2329">IF(D2329="","",IF(D2329=1,0,INDEX(Calculation!Q$2:Q9627,D2329-1)))</f>
        <v>3232449.315</v>
      </c>
      <c r="F2329" s="23">
        <f t="array" ref="F2329">IF($A2329="","",
  LET(
    r, $D2329,
    startD, INDEX(Calculation!B$2:B9627, r),
    endD,   INDEX(Calculation!C$2:C9627, r),
    asOf,   MIN($A2329,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969734.7945</v>
      </c>
    </row>
    <row r="2330">
      <c r="A2330" s="19">
        <v>44565.0</v>
      </c>
      <c r="B2330" s="23">
        <v>1.0765E7</v>
      </c>
      <c r="C2330" s="23">
        <f t="shared" si="1"/>
        <v>4209262.466</v>
      </c>
      <c r="D2330" s="18">
        <f>IF(A2330="","",MATCH(A2330,Calculation!B$2:B9627,1))</f>
        <v>2</v>
      </c>
      <c r="E2330" s="23">
        <f t="array" ref="E2330">IF(D2330="","",IF(D2330=1,0,INDEX(Calculation!Q$2:Q9627,D2330-1)))</f>
        <v>3232449.315</v>
      </c>
      <c r="F2330" s="23">
        <f t="array" ref="F2330">IF($A2330="","",
  LET(
    r, $D2330,
    startD, INDEX(Calculation!B$2:B9627, r),
    endD,   INDEX(Calculation!C$2:C9627, r),
    asOf,   MIN($A2330,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976813.1507</v>
      </c>
    </row>
    <row r="2331">
      <c r="A2331" s="19">
        <v>44566.0</v>
      </c>
      <c r="B2331" s="23">
        <v>1.0765E7</v>
      </c>
      <c r="C2331" s="23">
        <f t="shared" si="1"/>
        <v>4216340.822</v>
      </c>
      <c r="D2331" s="18">
        <f>IF(A2331="","",MATCH(A2331,Calculation!B$2:B9627,1))</f>
        <v>2</v>
      </c>
      <c r="E2331" s="23">
        <f t="array" ref="E2331">IF(D2331="","",IF(D2331=1,0,INDEX(Calculation!Q$2:Q9627,D2331-1)))</f>
        <v>3232449.315</v>
      </c>
      <c r="F2331" s="23">
        <f t="array" ref="F2331">IF($A2331="","",
  LET(
    r, $D2331,
    startD, INDEX(Calculation!B$2:B9627, r),
    endD,   INDEX(Calculation!C$2:C9627, r),
    asOf,   MIN($A2331,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983891.5068</v>
      </c>
    </row>
    <row r="2332">
      <c r="A2332" s="19">
        <v>44567.0</v>
      </c>
      <c r="B2332" s="23">
        <v>1.0765E7</v>
      </c>
      <c r="C2332" s="23">
        <f t="shared" si="1"/>
        <v>4223419.178</v>
      </c>
      <c r="D2332" s="18">
        <f>IF(A2332="","",MATCH(A2332,Calculation!B$2:B9627,1))</f>
        <v>2</v>
      </c>
      <c r="E2332" s="23">
        <f t="array" ref="E2332">IF(D2332="","",IF(D2332=1,0,INDEX(Calculation!Q$2:Q9627,D2332-1)))</f>
        <v>3232449.315</v>
      </c>
      <c r="F2332" s="23">
        <f t="array" ref="F2332">IF($A2332="","",
  LET(
    r, $D2332,
    startD, INDEX(Calculation!B$2:B9627, r),
    endD,   INDEX(Calculation!C$2:C9627, r),
    asOf,   MIN($A2332,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990969.863</v>
      </c>
    </row>
    <row r="2333">
      <c r="A2333" s="19">
        <v>44568.0</v>
      </c>
      <c r="B2333" s="23">
        <v>1.0765E7</v>
      </c>
      <c r="C2333" s="23">
        <f t="shared" si="1"/>
        <v>4230497.534</v>
      </c>
      <c r="D2333" s="18">
        <f>IF(A2333="","",MATCH(A2333,Calculation!B$2:B9627,1))</f>
        <v>2</v>
      </c>
      <c r="E2333" s="23">
        <f t="array" ref="E2333">IF(D2333="","",IF(D2333=1,0,INDEX(Calculation!Q$2:Q9627,D2333-1)))</f>
        <v>3232449.315</v>
      </c>
      <c r="F2333" s="23">
        <f t="array" ref="F2333">IF($A2333="","",
  LET(
    r, $D2333,
    startD, INDEX(Calculation!B$2:B9627, r),
    endD,   INDEX(Calculation!C$2:C9627, r),
    asOf,   MIN($A2333,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998048.2192</v>
      </c>
    </row>
    <row r="2334">
      <c r="A2334" s="19">
        <v>44569.0</v>
      </c>
      <c r="B2334" s="23">
        <v>1.0765E7</v>
      </c>
      <c r="C2334" s="23">
        <f t="shared" si="1"/>
        <v>4237575.89</v>
      </c>
      <c r="D2334" s="18">
        <f>IF(A2334="","",MATCH(A2334,Calculation!B$2:B9627,1))</f>
        <v>2</v>
      </c>
      <c r="E2334" s="23">
        <f t="array" ref="E2334">IF(D2334="","",IF(D2334=1,0,INDEX(Calculation!Q$2:Q9627,D2334-1)))</f>
        <v>3232449.315</v>
      </c>
      <c r="F2334" s="23">
        <f t="array" ref="F2334">IF($A2334="","",
  LET(
    r, $D2334,
    startD, INDEX(Calculation!B$2:B9627, r),
    endD,   INDEX(Calculation!C$2:C9627, r),
    asOf,   MIN($A2334,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1005126.575</v>
      </c>
    </row>
    <row r="2335">
      <c r="A2335" s="19">
        <v>44570.0</v>
      </c>
      <c r="B2335" s="23">
        <v>1.0765E7</v>
      </c>
      <c r="C2335" s="23">
        <f t="shared" si="1"/>
        <v>4244654.247</v>
      </c>
      <c r="D2335" s="18">
        <f>IF(A2335="","",MATCH(A2335,Calculation!B$2:B9627,1))</f>
        <v>2</v>
      </c>
      <c r="E2335" s="23">
        <f t="array" ref="E2335">IF(D2335="","",IF(D2335=1,0,INDEX(Calculation!Q$2:Q9627,D2335-1)))</f>
        <v>3232449.315</v>
      </c>
      <c r="F2335" s="23">
        <f t="array" ref="F2335">IF($A2335="","",
  LET(
    r, $D2335,
    startD, INDEX(Calculation!B$2:B9627, r),
    endD,   INDEX(Calculation!C$2:C9627, r),
    asOf,   MIN($A2335,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1012204.932</v>
      </c>
    </row>
    <row r="2336">
      <c r="A2336" s="19">
        <v>44571.0</v>
      </c>
      <c r="B2336" s="23">
        <v>1.0765E7</v>
      </c>
      <c r="C2336" s="23">
        <f t="shared" si="1"/>
        <v>4251732.603</v>
      </c>
      <c r="D2336" s="18">
        <f>IF(A2336="","",MATCH(A2336,Calculation!B$2:B9627,1))</f>
        <v>2</v>
      </c>
      <c r="E2336" s="23">
        <f t="array" ref="E2336">IF(D2336="","",IF(D2336=1,0,INDEX(Calculation!Q$2:Q9627,D2336-1)))</f>
        <v>3232449.315</v>
      </c>
      <c r="F2336" s="23">
        <f t="array" ref="F2336">IF($A2336="","",
  LET(
    r, $D2336,
    startD, INDEX(Calculation!B$2:B9627, r),
    endD,   INDEX(Calculation!C$2:C9627, r),
    asOf,   MIN($A2336,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1019283.288</v>
      </c>
    </row>
    <row r="2337">
      <c r="A2337" s="19">
        <v>44572.0</v>
      </c>
      <c r="B2337" s="23">
        <v>1.0765E7</v>
      </c>
      <c r="C2337" s="23">
        <f t="shared" si="1"/>
        <v>4258810.959</v>
      </c>
      <c r="D2337" s="18">
        <f>IF(A2337="","",MATCH(A2337,Calculation!B$2:B9627,1))</f>
        <v>2</v>
      </c>
      <c r="E2337" s="23">
        <f t="array" ref="E2337">IF(D2337="","",IF(D2337=1,0,INDEX(Calculation!Q$2:Q9627,D2337-1)))</f>
        <v>3232449.315</v>
      </c>
      <c r="F2337" s="23">
        <f t="array" ref="F2337">IF($A2337="","",
  LET(
    r, $D2337,
    startD, INDEX(Calculation!B$2:B9627, r),
    endD,   INDEX(Calculation!C$2:C9627, r),
    asOf,   MIN($A2337,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1026361.644</v>
      </c>
    </row>
    <row r="2338">
      <c r="A2338" s="19">
        <v>44573.0</v>
      </c>
      <c r="B2338" s="23">
        <v>1.0765E7</v>
      </c>
      <c r="C2338" s="23">
        <f t="shared" si="1"/>
        <v>4265889.315</v>
      </c>
      <c r="D2338" s="18">
        <f>IF(A2338="","",MATCH(A2338,Calculation!B$2:B9627,1))</f>
        <v>2</v>
      </c>
      <c r="E2338" s="23">
        <f t="array" ref="E2338">IF(D2338="","",IF(D2338=1,0,INDEX(Calculation!Q$2:Q9627,D2338-1)))</f>
        <v>3232449.315</v>
      </c>
      <c r="F2338" s="23">
        <f t="array" ref="F2338">IF($A2338="","",
  LET(
    r, $D2338,
    startD, INDEX(Calculation!B$2:B9627, r),
    endD,   INDEX(Calculation!C$2:C9627, r),
    asOf,   MIN($A2338,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1033440</v>
      </c>
    </row>
    <row r="2339">
      <c r="A2339" s="19">
        <v>44574.0</v>
      </c>
      <c r="B2339" s="23">
        <v>1.0765E7</v>
      </c>
      <c r="C2339" s="23">
        <f t="shared" si="1"/>
        <v>4272967.671</v>
      </c>
      <c r="D2339" s="18">
        <f>IF(A2339="","",MATCH(A2339,Calculation!B$2:B9627,1))</f>
        <v>2</v>
      </c>
      <c r="E2339" s="23">
        <f t="array" ref="E2339">IF(D2339="","",IF(D2339=1,0,INDEX(Calculation!Q$2:Q9627,D2339-1)))</f>
        <v>3232449.315</v>
      </c>
      <c r="F2339" s="23">
        <f t="array" ref="F2339">IF($A2339="","",
  LET(
    r, $D2339,
    startD, INDEX(Calculation!B$2:B9627, r),
    endD,   INDEX(Calculation!C$2:C9627, r),
    asOf,   MIN($A2339,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1040518.356</v>
      </c>
    </row>
    <row r="2340">
      <c r="A2340" s="19">
        <v>44575.0</v>
      </c>
      <c r="B2340" s="23">
        <v>1.0765E7</v>
      </c>
      <c r="C2340" s="23">
        <f t="shared" si="1"/>
        <v>4280046.027</v>
      </c>
      <c r="D2340" s="18">
        <f>IF(A2340="","",MATCH(A2340,Calculation!B$2:B9627,1))</f>
        <v>2</v>
      </c>
      <c r="E2340" s="23">
        <f t="array" ref="E2340">IF(D2340="","",IF(D2340=1,0,INDEX(Calculation!Q$2:Q9627,D2340-1)))</f>
        <v>3232449.315</v>
      </c>
      <c r="F2340" s="23">
        <f t="array" ref="F2340">IF($A2340="","",
  LET(
    r, $D2340,
    startD, INDEX(Calculation!B$2:B9627, r),
    endD,   INDEX(Calculation!C$2:C9627, r),
    asOf,   MIN($A2340,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1047596.712</v>
      </c>
    </row>
    <row r="2341">
      <c r="A2341" s="19">
        <v>44576.0</v>
      </c>
      <c r="B2341" s="23">
        <v>1.0765E7</v>
      </c>
      <c r="C2341" s="23">
        <f t="shared" si="1"/>
        <v>4287124.384</v>
      </c>
      <c r="D2341" s="18">
        <f>IF(A2341="","",MATCH(A2341,Calculation!B$2:B9627,1))</f>
        <v>2</v>
      </c>
      <c r="E2341" s="23">
        <f t="array" ref="E2341">IF(D2341="","",IF(D2341=1,0,INDEX(Calculation!Q$2:Q9627,D2341-1)))</f>
        <v>3232449.315</v>
      </c>
      <c r="F2341" s="23">
        <f t="array" ref="F2341">IF($A2341="","",
  LET(
    r, $D2341,
    startD, INDEX(Calculation!B$2:B9627, r),
    endD,   INDEX(Calculation!C$2:C9627, r),
    asOf,   MIN($A2341,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1054675.068</v>
      </c>
    </row>
    <row r="2342">
      <c r="A2342" s="19">
        <v>44577.0</v>
      </c>
      <c r="B2342" s="23">
        <v>1.0765E7</v>
      </c>
      <c r="C2342" s="23">
        <f t="shared" si="1"/>
        <v>4294202.74</v>
      </c>
      <c r="D2342" s="18">
        <f>IF(A2342="","",MATCH(A2342,Calculation!B$2:B9627,1))</f>
        <v>2</v>
      </c>
      <c r="E2342" s="23">
        <f t="array" ref="E2342">IF(D2342="","",IF(D2342=1,0,INDEX(Calculation!Q$2:Q9627,D2342-1)))</f>
        <v>3232449.315</v>
      </c>
      <c r="F2342" s="23">
        <f t="array" ref="F2342">IF($A2342="","",
  LET(
    r, $D2342,
    startD, INDEX(Calculation!B$2:B9627, r),
    endD,   INDEX(Calculation!C$2:C9627, r),
    asOf,   MIN($A2342,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1061753.425</v>
      </c>
    </row>
    <row r="2343">
      <c r="A2343" s="19">
        <v>44578.0</v>
      </c>
      <c r="B2343" s="23">
        <v>1.0765E7</v>
      </c>
      <c r="C2343" s="23">
        <f t="shared" si="1"/>
        <v>4301281.096</v>
      </c>
      <c r="D2343" s="18">
        <f>IF(A2343="","",MATCH(A2343,Calculation!B$2:B9627,1))</f>
        <v>2</v>
      </c>
      <c r="E2343" s="23">
        <f t="array" ref="E2343">IF(D2343="","",IF(D2343=1,0,INDEX(Calculation!Q$2:Q9627,D2343-1)))</f>
        <v>3232449.315</v>
      </c>
      <c r="F2343" s="23">
        <f t="array" ref="F2343">IF($A2343="","",
  LET(
    r, $D2343,
    startD, INDEX(Calculation!B$2:B9627, r),
    endD,   INDEX(Calculation!C$2:C9627, r),
    asOf,   MIN($A2343,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1068831.781</v>
      </c>
    </row>
    <row r="2344">
      <c r="A2344" s="19">
        <v>44579.0</v>
      </c>
      <c r="B2344" s="23">
        <v>1.0765E7</v>
      </c>
      <c r="C2344" s="23">
        <f t="shared" si="1"/>
        <v>4308359.452</v>
      </c>
      <c r="D2344" s="18">
        <f>IF(A2344="","",MATCH(A2344,Calculation!B$2:B9627,1))</f>
        <v>2</v>
      </c>
      <c r="E2344" s="23">
        <f t="array" ref="E2344">IF(D2344="","",IF(D2344=1,0,INDEX(Calculation!Q$2:Q9627,D2344-1)))</f>
        <v>3232449.315</v>
      </c>
      <c r="F2344" s="23">
        <f t="array" ref="F2344">IF($A2344="","",
  LET(
    r, $D2344,
    startD, INDEX(Calculation!B$2:B9627, r),
    endD,   INDEX(Calculation!C$2:C9627, r),
    asOf,   MIN($A2344,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1075910.137</v>
      </c>
    </row>
    <row r="2345">
      <c r="A2345" s="19">
        <v>44580.0</v>
      </c>
      <c r="B2345" s="23">
        <v>1.0765E7</v>
      </c>
      <c r="C2345" s="23">
        <f t="shared" si="1"/>
        <v>4315437.808</v>
      </c>
      <c r="D2345" s="18">
        <f>IF(A2345="","",MATCH(A2345,Calculation!B$2:B9627,1))</f>
        <v>2</v>
      </c>
      <c r="E2345" s="23">
        <f t="array" ref="E2345">IF(D2345="","",IF(D2345=1,0,INDEX(Calculation!Q$2:Q9627,D2345-1)))</f>
        <v>3232449.315</v>
      </c>
      <c r="F2345" s="23">
        <f t="array" ref="F2345">IF($A2345="","",
  LET(
    r, $D2345,
    startD, INDEX(Calculation!B$2:B9627, r),
    endD,   INDEX(Calculation!C$2:C9627, r),
    asOf,   MIN($A2345,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1082988.493</v>
      </c>
    </row>
    <row r="2346">
      <c r="A2346" s="19">
        <v>44581.0</v>
      </c>
      <c r="B2346" s="23">
        <v>1.0765E7</v>
      </c>
      <c r="C2346" s="23">
        <f t="shared" si="1"/>
        <v>4322516.164</v>
      </c>
      <c r="D2346" s="18">
        <f>IF(A2346="","",MATCH(A2346,Calculation!B$2:B9627,1))</f>
        <v>2</v>
      </c>
      <c r="E2346" s="23">
        <f t="array" ref="E2346">IF(D2346="","",IF(D2346=1,0,INDEX(Calculation!Q$2:Q9627,D2346-1)))</f>
        <v>3232449.315</v>
      </c>
      <c r="F2346" s="23">
        <f t="array" ref="F2346">IF($A2346="","",
  LET(
    r, $D2346,
    startD, INDEX(Calculation!B$2:B9627, r),
    endD,   INDEX(Calculation!C$2:C9627, r),
    asOf,   MIN($A2346,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1090066.849</v>
      </c>
    </row>
    <row r="2347">
      <c r="A2347" s="19">
        <v>44582.0</v>
      </c>
      <c r="B2347" s="23">
        <v>1.0765E7</v>
      </c>
      <c r="C2347" s="23">
        <f t="shared" si="1"/>
        <v>4329594.521</v>
      </c>
      <c r="D2347" s="18">
        <f>IF(A2347="","",MATCH(A2347,Calculation!B$2:B9627,1))</f>
        <v>2</v>
      </c>
      <c r="E2347" s="23">
        <f t="array" ref="E2347">IF(D2347="","",IF(D2347=1,0,INDEX(Calculation!Q$2:Q9627,D2347-1)))</f>
        <v>3232449.315</v>
      </c>
      <c r="F2347" s="23">
        <f t="array" ref="F2347">IF($A2347="","",
  LET(
    r, $D2347,
    startD, INDEX(Calculation!B$2:B9627, r),
    endD,   INDEX(Calculation!C$2:C9627, r),
    asOf,   MIN($A2347,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1097145.205</v>
      </c>
    </row>
    <row r="2348">
      <c r="A2348" s="19">
        <v>44583.0</v>
      </c>
      <c r="B2348" s="23">
        <v>1.0765E7</v>
      </c>
      <c r="C2348" s="23">
        <f t="shared" si="1"/>
        <v>4336672.877</v>
      </c>
      <c r="D2348" s="18">
        <f>IF(A2348="","",MATCH(A2348,Calculation!B$2:B9627,1))</f>
        <v>2</v>
      </c>
      <c r="E2348" s="23">
        <f t="array" ref="E2348">IF(D2348="","",IF(D2348=1,0,INDEX(Calculation!Q$2:Q9627,D2348-1)))</f>
        <v>3232449.315</v>
      </c>
      <c r="F2348" s="23">
        <f t="array" ref="F2348">IF($A2348="","",
  LET(
    r, $D2348,
    startD, INDEX(Calculation!B$2:B9627, r),
    endD,   INDEX(Calculation!C$2:C9627, r),
    asOf,   MIN($A2348,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1104223.562</v>
      </c>
    </row>
    <row r="2349">
      <c r="A2349" s="19">
        <v>44584.0</v>
      </c>
      <c r="B2349" s="23">
        <v>1.0765E7</v>
      </c>
      <c r="C2349" s="23">
        <f t="shared" si="1"/>
        <v>4343751.233</v>
      </c>
      <c r="D2349" s="18">
        <f>IF(A2349="","",MATCH(A2349,Calculation!B$2:B9627,1))</f>
        <v>2</v>
      </c>
      <c r="E2349" s="23">
        <f t="array" ref="E2349">IF(D2349="","",IF(D2349=1,0,INDEX(Calculation!Q$2:Q9627,D2349-1)))</f>
        <v>3232449.315</v>
      </c>
      <c r="F2349" s="23">
        <f t="array" ref="F2349">IF($A2349="","",
  LET(
    r, $D2349,
    startD, INDEX(Calculation!B$2:B9627, r),
    endD,   INDEX(Calculation!C$2:C9627, r),
    asOf,   MIN($A2349,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1111301.918</v>
      </c>
    </row>
    <row r="2350">
      <c r="A2350" s="19">
        <v>44585.0</v>
      </c>
      <c r="B2350" s="23">
        <v>1.0765E7</v>
      </c>
      <c r="C2350" s="23">
        <f t="shared" si="1"/>
        <v>4350829.589</v>
      </c>
      <c r="D2350" s="18">
        <f>IF(A2350="","",MATCH(A2350,Calculation!B$2:B9627,1))</f>
        <v>2</v>
      </c>
      <c r="E2350" s="23">
        <f t="array" ref="E2350">IF(D2350="","",IF(D2350=1,0,INDEX(Calculation!Q$2:Q9627,D2350-1)))</f>
        <v>3232449.315</v>
      </c>
      <c r="F2350" s="23">
        <f t="array" ref="F2350">IF($A2350="","",
  LET(
    r, $D2350,
    startD, INDEX(Calculation!B$2:B9627, r),
    endD,   INDEX(Calculation!C$2:C9627, r),
    asOf,   MIN($A2350,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1118380.274</v>
      </c>
    </row>
    <row r="2351">
      <c r="A2351" s="19">
        <v>44586.0</v>
      </c>
      <c r="B2351" s="23">
        <v>1.0765E7</v>
      </c>
      <c r="C2351" s="23">
        <f t="shared" si="1"/>
        <v>4357907.945</v>
      </c>
      <c r="D2351" s="18">
        <f>IF(A2351="","",MATCH(A2351,Calculation!B$2:B9627,1))</f>
        <v>2</v>
      </c>
      <c r="E2351" s="23">
        <f t="array" ref="E2351">IF(D2351="","",IF(D2351=1,0,INDEX(Calculation!Q$2:Q9627,D2351-1)))</f>
        <v>3232449.315</v>
      </c>
      <c r="F2351" s="23">
        <f t="array" ref="F2351">IF($A2351="","",
  LET(
    r, $D2351,
    startD, INDEX(Calculation!B$2:B9627, r),
    endD,   INDEX(Calculation!C$2:C9627, r),
    asOf,   MIN($A2351,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1125458.63</v>
      </c>
    </row>
    <row r="2352">
      <c r="A2352" s="19">
        <v>44587.0</v>
      </c>
      <c r="B2352" s="23">
        <v>1.0765E7</v>
      </c>
      <c r="C2352" s="23">
        <f t="shared" si="1"/>
        <v>4364986.301</v>
      </c>
      <c r="D2352" s="18">
        <f>IF(A2352="","",MATCH(A2352,Calculation!B$2:B9627,1))</f>
        <v>2</v>
      </c>
      <c r="E2352" s="23">
        <f t="array" ref="E2352">IF(D2352="","",IF(D2352=1,0,INDEX(Calculation!Q$2:Q9627,D2352-1)))</f>
        <v>3232449.315</v>
      </c>
      <c r="F2352" s="23">
        <f t="array" ref="F2352">IF($A2352="","",
  LET(
    r, $D2352,
    startD, INDEX(Calculation!B$2:B9627, r),
    endD,   INDEX(Calculation!C$2:C9627, r),
    asOf,   MIN($A2352,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1132536.986</v>
      </c>
    </row>
    <row r="2353">
      <c r="A2353" s="19">
        <v>44588.0</v>
      </c>
      <c r="B2353" s="23">
        <v>1.0765E7</v>
      </c>
      <c r="C2353" s="23">
        <f t="shared" si="1"/>
        <v>4372064.658</v>
      </c>
      <c r="D2353" s="18">
        <f>IF(A2353="","",MATCH(A2353,Calculation!B$2:B9627,1))</f>
        <v>2</v>
      </c>
      <c r="E2353" s="23">
        <f t="array" ref="E2353">IF(D2353="","",IF(D2353=1,0,INDEX(Calculation!Q$2:Q9627,D2353-1)))</f>
        <v>3232449.315</v>
      </c>
      <c r="F2353" s="23">
        <f t="array" ref="F2353">IF($A2353="","",
  LET(
    r, $D2353,
    startD, INDEX(Calculation!B$2:B9627, r),
    endD,   INDEX(Calculation!C$2:C9627, r),
    asOf,   MIN($A2353,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1139615.342</v>
      </c>
    </row>
    <row r="2354">
      <c r="A2354" s="19">
        <v>44589.0</v>
      </c>
      <c r="B2354" s="23">
        <v>1.0765E7</v>
      </c>
      <c r="C2354" s="23">
        <f t="shared" si="1"/>
        <v>4379143.014</v>
      </c>
      <c r="D2354" s="18">
        <f>IF(A2354="","",MATCH(A2354,Calculation!B$2:B9627,1))</f>
        <v>2</v>
      </c>
      <c r="E2354" s="23">
        <f t="array" ref="E2354">IF(D2354="","",IF(D2354=1,0,INDEX(Calculation!Q$2:Q9627,D2354-1)))</f>
        <v>3232449.315</v>
      </c>
      <c r="F2354" s="23">
        <f t="array" ref="F2354">IF($A2354="","",
  LET(
    r, $D2354,
    startD, INDEX(Calculation!B$2:B9627, r),
    endD,   INDEX(Calculation!C$2:C9627, r),
    asOf,   MIN($A2354,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1146693.699</v>
      </c>
    </row>
    <row r="2355">
      <c r="A2355" s="19">
        <v>44590.0</v>
      </c>
      <c r="B2355" s="23">
        <v>1.0765E7</v>
      </c>
      <c r="C2355" s="23">
        <f t="shared" si="1"/>
        <v>4386221.37</v>
      </c>
      <c r="D2355" s="18">
        <f>IF(A2355="","",MATCH(A2355,Calculation!B$2:B9627,1))</f>
        <v>2</v>
      </c>
      <c r="E2355" s="23">
        <f t="array" ref="E2355">IF(D2355="","",IF(D2355=1,0,INDEX(Calculation!Q$2:Q9627,D2355-1)))</f>
        <v>3232449.315</v>
      </c>
      <c r="F2355" s="23">
        <f t="array" ref="F2355">IF($A2355="","",
  LET(
    r, $D2355,
    startD, INDEX(Calculation!B$2:B9627, r),
    endD,   INDEX(Calculation!C$2:C9627, r),
    asOf,   MIN($A2355,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1153772.055</v>
      </c>
    </row>
    <row r="2356">
      <c r="A2356" s="19">
        <v>44591.0</v>
      </c>
      <c r="B2356" s="23">
        <v>1.0765E7</v>
      </c>
      <c r="C2356" s="23">
        <f t="shared" si="1"/>
        <v>4393299.726</v>
      </c>
      <c r="D2356" s="18">
        <f>IF(A2356="","",MATCH(A2356,Calculation!B$2:B9627,1))</f>
        <v>2</v>
      </c>
      <c r="E2356" s="23">
        <f t="array" ref="E2356">IF(D2356="","",IF(D2356=1,0,INDEX(Calculation!Q$2:Q9627,D2356-1)))</f>
        <v>3232449.315</v>
      </c>
      <c r="F2356" s="23">
        <f t="array" ref="F2356">IF($A2356="","",
  LET(
    r, $D2356,
    startD, INDEX(Calculation!B$2:B9627, r),
    endD,   INDEX(Calculation!C$2:C9627, r),
    asOf,   MIN($A2356,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1160850.411</v>
      </c>
    </row>
    <row r="2357">
      <c r="A2357" s="19">
        <v>44592.0</v>
      </c>
      <c r="B2357" s="23">
        <v>1.0765E7</v>
      </c>
      <c r="C2357" s="23">
        <f t="shared" si="1"/>
        <v>4400378.082</v>
      </c>
      <c r="D2357" s="18">
        <f>IF(A2357="","",MATCH(A2357,Calculation!B$2:B9627,1))</f>
        <v>2</v>
      </c>
      <c r="E2357" s="23">
        <f t="array" ref="E2357">IF(D2357="","",IF(D2357=1,0,INDEX(Calculation!Q$2:Q9627,D2357-1)))</f>
        <v>3232449.315</v>
      </c>
      <c r="F2357" s="23">
        <f t="array" ref="F2357">IF($A2357="","",
  LET(
    r, $D2357,
    startD, INDEX(Calculation!B$2:B9627, r),
    endD,   INDEX(Calculation!C$2:C9627, r),
    asOf,   MIN($A2357,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1167928.767</v>
      </c>
    </row>
    <row r="2358">
      <c r="A2358" s="19">
        <v>44593.0</v>
      </c>
      <c r="B2358" s="23">
        <v>1.0765E7</v>
      </c>
      <c r="C2358" s="23">
        <f t="shared" si="1"/>
        <v>4407456.438</v>
      </c>
      <c r="D2358" s="18">
        <f>IF(A2358="","",MATCH(A2358,Calculation!B$2:B9627,1))</f>
        <v>2</v>
      </c>
      <c r="E2358" s="23">
        <f t="array" ref="E2358">IF(D2358="","",IF(D2358=1,0,INDEX(Calculation!Q$2:Q9627,D2358-1)))</f>
        <v>3232449.315</v>
      </c>
      <c r="F2358" s="23">
        <f t="array" ref="F2358">IF($A2358="","",
  LET(
    r, $D2358,
    startD, INDEX(Calculation!B$2:B9627, r),
    endD,   INDEX(Calculation!C$2:C9627, r),
    asOf,   MIN($A2358,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1175007.123</v>
      </c>
    </row>
    <row r="2359">
      <c r="A2359" s="19">
        <v>44594.0</v>
      </c>
      <c r="B2359" s="23">
        <v>1.0765E7</v>
      </c>
      <c r="C2359" s="23">
        <f t="shared" si="1"/>
        <v>4414534.795</v>
      </c>
      <c r="D2359" s="18">
        <f>IF(A2359="","",MATCH(A2359,Calculation!B$2:B9627,1))</f>
        <v>2</v>
      </c>
      <c r="E2359" s="23">
        <f t="array" ref="E2359">IF(D2359="","",IF(D2359=1,0,INDEX(Calculation!Q$2:Q9627,D2359-1)))</f>
        <v>3232449.315</v>
      </c>
      <c r="F2359" s="23">
        <f t="array" ref="F2359">IF($A2359="","",
  LET(
    r, $D2359,
    startD, INDEX(Calculation!B$2:B9627, r),
    endD,   INDEX(Calculation!C$2:C9627, r),
    asOf,   MIN($A2359,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1182085.479</v>
      </c>
    </row>
    <row r="2360">
      <c r="A2360" s="19">
        <v>44595.0</v>
      </c>
      <c r="B2360" s="23">
        <v>1.0765E7</v>
      </c>
      <c r="C2360" s="23">
        <f t="shared" si="1"/>
        <v>4421613.151</v>
      </c>
      <c r="D2360" s="18">
        <f>IF(A2360="","",MATCH(A2360,Calculation!B$2:B9627,1))</f>
        <v>2</v>
      </c>
      <c r="E2360" s="23">
        <f t="array" ref="E2360">IF(D2360="","",IF(D2360=1,0,INDEX(Calculation!Q$2:Q9627,D2360-1)))</f>
        <v>3232449.315</v>
      </c>
      <c r="F2360" s="23">
        <f t="array" ref="F2360">IF($A2360="","",
  LET(
    r, $D2360,
    startD, INDEX(Calculation!B$2:B9627, r),
    endD,   INDEX(Calculation!C$2:C9627, r),
    asOf,   MIN($A2360,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1189163.836</v>
      </c>
    </row>
    <row r="2361">
      <c r="A2361" s="19">
        <v>44596.0</v>
      </c>
      <c r="B2361" s="23">
        <v>1.0765E7</v>
      </c>
      <c r="C2361" s="23">
        <f t="shared" si="1"/>
        <v>4428691.507</v>
      </c>
      <c r="D2361" s="18">
        <f>IF(A2361="","",MATCH(A2361,Calculation!B$2:B9627,1))</f>
        <v>2</v>
      </c>
      <c r="E2361" s="23">
        <f t="array" ref="E2361">IF(D2361="","",IF(D2361=1,0,INDEX(Calculation!Q$2:Q9627,D2361-1)))</f>
        <v>3232449.315</v>
      </c>
      <c r="F2361" s="23">
        <f t="array" ref="F2361">IF($A2361="","",
  LET(
    r, $D2361,
    startD, INDEX(Calculation!B$2:B9627, r),
    endD,   INDEX(Calculation!C$2:C9627, r),
    asOf,   MIN($A2361,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1196242.192</v>
      </c>
    </row>
    <row r="2362">
      <c r="A2362" s="19">
        <v>44597.0</v>
      </c>
      <c r="B2362" s="23">
        <v>1.0765E7</v>
      </c>
      <c r="C2362" s="23">
        <f t="shared" si="1"/>
        <v>4435769.863</v>
      </c>
      <c r="D2362" s="18">
        <f>IF(A2362="","",MATCH(A2362,Calculation!B$2:B9627,1))</f>
        <v>2</v>
      </c>
      <c r="E2362" s="23">
        <f t="array" ref="E2362">IF(D2362="","",IF(D2362=1,0,INDEX(Calculation!Q$2:Q9627,D2362-1)))</f>
        <v>3232449.315</v>
      </c>
      <c r="F2362" s="23">
        <f t="array" ref="F2362">IF($A2362="","",
  LET(
    r, $D2362,
    startD, INDEX(Calculation!B$2:B9627, r),
    endD,   INDEX(Calculation!C$2:C9627, r),
    asOf,   MIN($A2362,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1203320.548</v>
      </c>
    </row>
    <row r="2363">
      <c r="A2363" s="19">
        <v>44598.0</v>
      </c>
      <c r="B2363" s="23">
        <v>1.0765E7</v>
      </c>
      <c r="C2363" s="23">
        <f t="shared" si="1"/>
        <v>4442848.219</v>
      </c>
      <c r="D2363" s="18">
        <f>IF(A2363="","",MATCH(A2363,Calculation!B$2:B9627,1))</f>
        <v>2</v>
      </c>
      <c r="E2363" s="23">
        <f t="array" ref="E2363">IF(D2363="","",IF(D2363=1,0,INDEX(Calculation!Q$2:Q9627,D2363-1)))</f>
        <v>3232449.315</v>
      </c>
      <c r="F2363" s="23">
        <f t="array" ref="F2363">IF($A2363="","",
  LET(
    r, $D2363,
    startD, INDEX(Calculation!B$2:B9627, r),
    endD,   INDEX(Calculation!C$2:C9627, r),
    asOf,   MIN($A2363,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1210398.904</v>
      </c>
    </row>
    <row r="2364">
      <c r="A2364" s="19">
        <v>44599.0</v>
      </c>
      <c r="B2364" s="23">
        <v>1.0765E7</v>
      </c>
      <c r="C2364" s="23">
        <f t="shared" si="1"/>
        <v>4449926.575</v>
      </c>
      <c r="D2364" s="18">
        <f>IF(A2364="","",MATCH(A2364,Calculation!B$2:B9627,1))</f>
        <v>2</v>
      </c>
      <c r="E2364" s="23">
        <f t="array" ref="E2364">IF(D2364="","",IF(D2364=1,0,INDEX(Calculation!Q$2:Q9627,D2364-1)))</f>
        <v>3232449.315</v>
      </c>
      <c r="F2364" s="23">
        <f t="array" ref="F2364">IF($A2364="","",
  LET(
    r, $D2364,
    startD, INDEX(Calculation!B$2:B9627, r),
    endD,   INDEX(Calculation!C$2:C9627, r),
    asOf,   MIN($A2364,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1217477.26</v>
      </c>
    </row>
    <row r="2365">
      <c r="A2365" s="19">
        <v>44600.0</v>
      </c>
      <c r="B2365" s="23">
        <v>1.0765E7</v>
      </c>
      <c r="C2365" s="23">
        <f t="shared" si="1"/>
        <v>4457004.932</v>
      </c>
      <c r="D2365" s="18">
        <f>IF(A2365="","",MATCH(A2365,Calculation!B$2:B9627,1))</f>
        <v>2</v>
      </c>
      <c r="E2365" s="23">
        <f t="array" ref="E2365">IF(D2365="","",IF(D2365=1,0,INDEX(Calculation!Q$2:Q9627,D2365-1)))</f>
        <v>3232449.315</v>
      </c>
      <c r="F2365" s="23">
        <f t="array" ref="F2365">IF($A2365="","",
  LET(
    r, $D2365,
    startD, INDEX(Calculation!B$2:B9627, r),
    endD,   INDEX(Calculation!C$2:C9627, r),
    asOf,   MIN($A2365,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1224555.616</v>
      </c>
    </row>
    <row r="2366">
      <c r="A2366" s="19">
        <v>44601.0</v>
      </c>
      <c r="B2366" s="23">
        <v>1.0765E7</v>
      </c>
      <c r="C2366" s="23">
        <f t="shared" si="1"/>
        <v>4464083.288</v>
      </c>
      <c r="D2366" s="18">
        <f>IF(A2366="","",MATCH(A2366,Calculation!B$2:B9627,1))</f>
        <v>2</v>
      </c>
      <c r="E2366" s="23">
        <f t="array" ref="E2366">IF(D2366="","",IF(D2366=1,0,INDEX(Calculation!Q$2:Q9627,D2366-1)))</f>
        <v>3232449.315</v>
      </c>
      <c r="F2366" s="23">
        <f t="array" ref="F2366">IF($A2366="","",
  LET(
    r, $D2366,
    startD, INDEX(Calculation!B$2:B9627, r),
    endD,   INDEX(Calculation!C$2:C9627, r),
    asOf,   MIN($A2366,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1231633.973</v>
      </c>
    </row>
    <row r="2367">
      <c r="A2367" s="19">
        <v>44602.0</v>
      </c>
      <c r="B2367" s="23">
        <v>1.0765E7</v>
      </c>
      <c r="C2367" s="23">
        <f t="shared" si="1"/>
        <v>4471161.644</v>
      </c>
      <c r="D2367" s="18">
        <f>IF(A2367="","",MATCH(A2367,Calculation!B$2:B9627,1))</f>
        <v>2</v>
      </c>
      <c r="E2367" s="23">
        <f t="array" ref="E2367">IF(D2367="","",IF(D2367=1,0,INDEX(Calculation!Q$2:Q9627,D2367-1)))</f>
        <v>3232449.315</v>
      </c>
      <c r="F2367" s="23">
        <f t="array" ref="F2367">IF($A2367="","",
  LET(
    r, $D2367,
    startD, INDEX(Calculation!B$2:B9627, r),
    endD,   INDEX(Calculation!C$2:C9627, r),
    asOf,   MIN($A2367,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1238712.329</v>
      </c>
    </row>
    <row r="2368">
      <c r="A2368" s="19">
        <v>44603.0</v>
      </c>
      <c r="B2368" s="23">
        <v>1.0765E7</v>
      </c>
      <c r="C2368" s="23">
        <f t="shared" si="1"/>
        <v>4478240</v>
      </c>
      <c r="D2368" s="18">
        <f>IF(A2368="","",MATCH(A2368,Calculation!B$2:B9627,1))</f>
        <v>2</v>
      </c>
      <c r="E2368" s="23">
        <f t="array" ref="E2368">IF(D2368="","",IF(D2368=1,0,INDEX(Calculation!Q$2:Q9627,D2368-1)))</f>
        <v>3232449.315</v>
      </c>
      <c r="F2368" s="23">
        <f t="array" ref="F2368">IF($A2368="","",
  LET(
    r, $D2368,
    startD, INDEX(Calculation!B$2:B9627, r),
    endD,   INDEX(Calculation!C$2:C9627, r),
    asOf,   MIN($A2368,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1245790.685</v>
      </c>
    </row>
    <row r="2369">
      <c r="A2369" s="19">
        <v>44604.0</v>
      </c>
      <c r="B2369" s="23">
        <v>1.0765E7</v>
      </c>
      <c r="C2369" s="23">
        <f t="shared" si="1"/>
        <v>4485318.356</v>
      </c>
      <c r="D2369" s="18">
        <f>IF(A2369="","",MATCH(A2369,Calculation!B$2:B9627,1))</f>
        <v>2</v>
      </c>
      <c r="E2369" s="23">
        <f t="array" ref="E2369">IF(D2369="","",IF(D2369=1,0,INDEX(Calculation!Q$2:Q9627,D2369-1)))</f>
        <v>3232449.315</v>
      </c>
      <c r="F2369" s="23">
        <f t="array" ref="F2369">IF($A2369="","",
  LET(
    r, $D2369,
    startD, INDEX(Calculation!B$2:B9627, r),
    endD,   INDEX(Calculation!C$2:C9627, r),
    asOf,   MIN($A2369,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1252869.041</v>
      </c>
    </row>
    <row r="2370">
      <c r="A2370" s="19">
        <v>44605.0</v>
      </c>
      <c r="B2370" s="23">
        <v>1.0765E7</v>
      </c>
      <c r="C2370" s="23">
        <f t="shared" si="1"/>
        <v>4492396.712</v>
      </c>
      <c r="D2370" s="18">
        <f>IF(A2370="","",MATCH(A2370,Calculation!B$2:B9627,1))</f>
        <v>2</v>
      </c>
      <c r="E2370" s="23">
        <f t="array" ref="E2370">IF(D2370="","",IF(D2370=1,0,INDEX(Calculation!Q$2:Q9627,D2370-1)))</f>
        <v>3232449.315</v>
      </c>
      <c r="F2370" s="23">
        <f t="array" ref="F2370">IF($A2370="","",
  LET(
    r, $D2370,
    startD, INDEX(Calculation!B$2:B9627, r),
    endD,   INDEX(Calculation!C$2:C9627, r),
    asOf,   MIN($A2370,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1259947.397</v>
      </c>
    </row>
    <row r="2371">
      <c r="A2371" s="19">
        <v>44606.0</v>
      </c>
      <c r="B2371" s="23">
        <v>1.0765E7</v>
      </c>
      <c r="C2371" s="23">
        <f t="shared" si="1"/>
        <v>4499475.068</v>
      </c>
      <c r="D2371" s="18">
        <f>IF(A2371="","",MATCH(A2371,Calculation!B$2:B9627,1))</f>
        <v>2</v>
      </c>
      <c r="E2371" s="23">
        <f t="array" ref="E2371">IF(D2371="","",IF(D2371=1,0,INDEX(Calculation!Q$2:Q9627,D2371-1)))</f>
        <v>3232449.315</v>
      </c>
      <c r="F2371" s="23">
        <f t="array" ref="F2371">IF($A2371="","",
  LET(
    r, $D2371,
    startD, INDEX(Calculation!B$2:B9627, r),
    endD,   INDEX(Calculation!C$2:C9627, r),
    asOf,   MIN($A2371,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1267025.753</v>
      </c>
    </row>
    <row r="2372">
      <c r="A2372" s="19">
        <v>44607.0</v>
      </c>
      <c r="B2372" s="23">
        <v>1.0765E7</v>
      </c>
      <c r="C2372" s="23">
        <f t="shared" si="1"/>
        <v>4506553.425</v>
      </c>
      <c r="D2372" s="18">
        <f>IF(A2372="","",MATCH(A2372,Calculation!B$2:B9627,1))</f>
        <v>2</v>
      </c>
      <c r="E2372" s="23">
        <f t="array" ref="E2372">IF(D2372="","",IF(D2372=1,0,INDEX(Calculation!Q$2:Q9627,D2372-1)))</f>
        <v>3232449.315</v>
      </c>
      <c r="F2372" s="23">
        <f t="array" ref="F2372">IF($A2372="","",
  LET(
    r, $D2372,
    startD, INDEX(Calculation!B$2:B9627, r),
    endD,   INDEX(Calculation!C$2:C9627, r),
    asOf,   MIN($A2372,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1274104.11</v>
      </c>
    </row>
    <row r="2373">
      <c r="A2373" s="19">
        <v>44608.0</v>
      </c>
      <c r="B2373" s="23">
        <v>1.0765E7</v>
      </c>
      <c r="C2373" s="23">
        <f t="shared" si="1"/>
        <v>4513631.781</v>
      </c>
      <c r="D2373" s="18">
        <f>IF(A2373="","",MATCH(A2373,Calculation!B$2:B9627,1))</f>
        <v>2</v>
      </c>
      <c r="E2373" s="23">
        <f t="array" ref="E2373">IF(D2373="","",IF(D2373=1,0,INDEX(Calculation!Q$2:Q9627,D2373-1)))</f>
        <v>3232449.315</v>
      </c>
      <c r="F2373" s="23">
        <f t="array" ref="F2373">IF($A2373="","",
  LET(
    r, $D2373,
    startD, INDEX(Calculation!B$2:B9627, r),
    endD,   INDEX(Calculation!C$2:C9627, r),
    asOf,   MIN($A2373,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1281182.466</v>
      </c>
    </row>
    <row r="2374">
      <c r="A2374" s="19">
        <v>44609.0</v>
      </c>
      <c r="B2374" s="23">
        <v>1.0765E7</v>
      </c>
      <c r="C2374" s="23">
        <f t="shared" si="1"/>
        <v>4520710.137</v>
      </c>
      <c r="D2374" s="18">
        <f>IF(A2374="","",MATCH(A2374,Calculation!B$2:B9627,1))</f>
        <v>2</v>
      </c>
      <c r="E2374" s="23">
        <f t="array" ref="E2374">IF(D2374="","",IF(D2374=1,0,INDEX(Calculation!Q$2:Q9627,D2374-1)))</f>
        <v>3232449.315</v>
      </c>
      <c r="F2374" s="23">
        <f t="array" ref="F2374">IF($A2374="","",
  LET(
    r, $D2374,
    startD, INDEX(Calculation!B$2:B9627, r),
    endD,   INDEX(Calculation!C$2:C9627, r),
    asOf,   MIN($A2374,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1288260.822</v>
      </c>
    </row>
    <row r="2375">
      <c r="A2375" s="19">
        <v>44610.0</v>
      </c>
      <c r="B2375" s="23">
        <v>1.0765E7</v>
      </c>
      <c r="C2375" s="23">
        <f t="shared" si="1"/>
        <v>4527788.493</v>
      </c>
      <c r="D2375" s="18">
        <f>IF(A2375="","",MATCH(A2375,Calculation!B$2:B9627,1))</f>
        <v>2</v>
      </c>
      <c r="E2375" s="23">
        <f t="array" ref="E2375">IF(D2375="","",IF(D2375=1,0,INDEX(Calculation!Q$2:Q9627,D2375-1)))</f>
        <v>3232449.315</v>
      </c>
      <c r="F2375" s="23">
        <f t="array" ref="F2375">IF($A2375="","",
  LET(
    r, $D2375,
    startD, INDEX(Calculation!B$2:B9627, r),
    endD,   INDEX(Calculation!C$2:C9627, r),
    asOf,   MIN($A2375,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1295339.178</v>
      </c>
    </row>
    <row r="2376">
      <c r="A2376" s="19">
        <v>44611.0</v>
      </c>
      <c r="B2376" s="23">
        <v>1.0765E7</v>
      </c>
      <c r="C2376" s="23">
        <f t="shared" si="1"/>
        <v>4534866.849</v>
      </c>
      <c r="D2376" s="18">
        <f>IF(A2376="","",MATCH(A2376,Calculation!B$2:B9627,1))</f>
        <v>2</v>
      </c>
      <c r="E2376" s="23">
        <f t="array" ref="E2376">IF(D2376="","",IF(D2376=1,0,INDEX(Calculation!Q$2:Q9627,D2376-1)))</f>
        <v>3232449.315</v>
      </c>
      <c r="F2376" s="23">
        <f t="array" ref="F2376">IF($A2376="","",
  LET(
    r, $D2376,
    startD, INDEX(Calculation!B$2:B9627, r),
    endD,   INDEX(Calculation!C$2:C9627, r),
    asOf,   MIN($A2376,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1302417.534</v>
      </c>
    </row>
    <row r="2377">
      <c r="A2377" s="19">
        <v>44612.0</v>
      </c>
      <c r="B2377" s="23">
        <v>1.0765E7</v>
      </c>
      <c r="C2377" s="23">
        <f t="shared" si="1"/>
        <v>4541945.205</v>
      </c>
      <c r="D2377" s="18">
        <f>IF(A2377="","",MATCH(A2377,Calculation!B$2:B9627,1))</f>
        <v>2</v>
      </c>
      <c r="E2377" s="23">
        <f t="array" ref="E2377">IF(D2377="","",IF(D2377=1,0,INDEX(Calculation!Q$2:Q9627,D2377-1)))</f>
        <v>3232449.315</v>
      </c>
      <c r="F2377" s="23">
        <f t="array" ref="F2377">IF($A2377="","",
  LET(
    r, $D2377,
    startD, INDEX(Calculation!B$2:B9627, r),
    endD,   INDEX(Calculation!C$2:C9627, r),
    asOf,   MIN($A2377,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1309495.89</v>
      </c>
    </row>
    <row r="2378">
      <c r="A2378" s="19">
        <v>44613.0</v>
      </c>
      <c r="B2378" s="23">
        <v>1.0765E7</v>
      </c>
      <c r="C2378" s="23">
        <f t="shared" si="1"/>
        <v>4549023.562</v>
      </c>
      <c r="D2378" s="18">
        <f>IF(A2378="","",MATCH(A2378,Calculation!B$2:B9627,1))</f>
        <v>2</v>
      </c>
      <c r="E2378" s="23">
        <f t="array" ref="E2378">IF(D2378="","",IF(D2378=1,0,INDEX(Calculation!Q$2:Q9627,D2378-1)))</f>
        <v>3232449.315</v>
      </c>
      <c r="F2378" s="23">
        <f t="array" ref="F2378">IF($A2378="","",
  LET(
    r, $D2378,
    startD, INDEX(Calculation!B$2:B9627, r),
    endD,   INDEX(Calculation!C$2:C9627, r),
    asOf,   MIN($A2378,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1316574.247</v>
      </c>
    </row>
    <row r="2379">
      <c r="A2379" s="19">
        <v>44614.0</v>
      </c>
      <c r="B2379" s="23">
        <v>1.0765E7</v>
      </c>
      <c r="C2379" s="23">
        <f t="shared" si="1"/>
        <v>4556101.918</v>
      </c>
      <c r="D2379" s="18">
        <f>IF(A2379="","",MATCH(A2379,Calculation!B$2:B9627,1))</f>
        <v>2</v>
      </c>
      <c r="E2379" s="23">
        <f t="array" ref="E2379">IF(D2379="","",IF(D2379=1,0,INDEX(Calculation!Q$2:Q9627,D2379-1)))</f>
        <v>3232449.315</v>
      </c>
      <c r="F2379" s="23">
        <f t="array" ref="F2379">IF($A2379="","",
  LET(
    r, $D2379,
    startD, INDEX(Calculation!B$2:B9627, r),
    endD,   INDEX(Calculation!C$2:C9627, r),
    asOf,   MIN($A2379,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1323652.603</v>
      </c>
    </row>
    <row r="2380">
      <c r="A2380" s="19">
        <v>44615.0</v>
      </c>
      <c r="B2380" s="23">
        <v>1.0765E7</v>
      </c>
      <c r="C2380" s="23">
        <f t="shared" si="1"/>
        <v>4563180.274</v>
      </c>
      <c r="D2380" s="18">
        <f>IF(A2380="","",MATCH(A2380,Calculation!B$2:B9627,1))</f>
        <v>2</v>
      </c>
      <c r="E2380" s="23">
        <f t="array" ref="E2380">IF(D2380="","",IF(D2380=1,0,INDEX(Calculation!Q$2:Q9627,D2380-1)))</f>
        <v>3232449.315</v>
      </c>
      <c r="F2380" s="23">
        <f t="array" ref="F2380">IF($A2380="","",
  LET(
    r, $D2380,
    startD, INDEX(Calculation!B$2:B9627, r),
    endD,   INDEX(Calculation!C$2:C9627, r),
    asOf,   MIN($A2380,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1330730.959</v>
      </c>
    </row>
    <row r="2381">
      <c r="A2381" s="19">
        <v>44616.0</v>
      </c>
      <c r="B2381" s="23">
        <v>1.0765E7</v>
      </c>
      <c r="C2381" s="23">
        <f t="shared" si="1"/>
        <v>4570258.63</v>
      </c>
      <c r="D2381" s="18">
        <f>IF(A2381="","",MATCH(A2381,Calculation!B$2:B9627,1))</f>
        <v>2</v>
      </c>
      <c r="E2381" s="23">
        <f t="array" ref="E2381">IF(D2381="","",IF(D2381=1,0,INDEX(Calculation!Q$2:Q9627,D2381-1)))</f>
        <v>3232449.315</v>
      </c>
      <c r="F2381" s="23">
        <f t="array" ref="F2381">IF($A2381="","",
  LET(
    r, $D2381,
    startD, INDEX(Calculation!B$2:B9627, r),
    endD,   INDEX(Calculation!C$2:C9627, r),
    asOf,   MIN($A2381,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1337809.315</v>
      </c>
    </row>
    <row r="2382">
      <c r="A2382" s="19">
        <v>44617.0</v>
      </c>
      <c r="B2382" s="23">
        <v>1.0765E7</v>
      </c>
      <c r="C2382" s="23">
        <f t="shared" si="1"/>
        <v>4577336.986</v>
      </c>
      <c r="D2382" s="18">
        <f>IF(A2382="","",MATCH(A2382,Calculation!B$2:B9627,1))</f>
        <v>2</v>
      </c>
      <c r="E2382" s="23">
        <f t="array" ref="E2382">IF(D2382="","",IF(D2382=1,0,INDEX(Calculation!Q$2:Q9627,D2382-1)))</f>
        <v>3232449.315</v>
      </c>
      <c r="F2382" s="23">
        <f t="array" ref="F2382">IF($A2382="","",
  LET(
    r, $D2382,
    startD, INDEX(Calculation!B$2:B9627, r),
    endD,   INDEX(Calculation!C$2:C9627, r),
    asOf,   MIN($A2382,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1344887.671</v>
      </c>
    </row>
    <row r="2383">
      <c r="A2383" s="19">
        <v>44618.0</v>
      </c>
      <c r="B2383" s="23">
        <v>1.0765E7</v>
      </c>
      <c r="C2383" s="23">
        <f t="shared" si="1"/>
        <v>4584415.342</v>
      </c>
      <c r="D2383" s="18">
        <f>IF(A2383="","",MATCH(A2383,Calculation!B$2:B9627,1))</f>
        <v>2</v>
      </c>
      <c r="E2383" s="23">
        <f t="array" ref="E2383">IF(D2383="","",IF(D2383=1,0,INDEX(Calculation!Q$2:Q9627,D2383-1)))</f>
        <v>3232449.315</v>
      </c>
      <c r="F2383" s="23">
        <f t="array" ref="F2383">IF($A2383="","",
  LET(
    r, $D2383,
    startD, INDEX(Calculation!B$2:B9627, r),
    endD,   INDEX(Calculation!C$2:C9627, r),
    asOf,   MIN($A2383,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1351966.027</v>
      </c>
    </row>
    <row r="2384">
      <c r="A2384" s="19">
        <v>44619.0</v>
      </c>
      <c r="B2384" s="23">
        <v>1.0765E7</v>
      </c>
      <c r="C2384" s="23">
        <f t="shared" si="1"/>
        <v>4591493.699</v>
      </c>
      <c r="D2384" s="18">
        <f>IF(A2384="","",MATCH(A2384,Calculation!B$2:B9627,1))</f>
        <v>2</v>
      </c>
      <c r="E2384" s="23">
        <f t="array" ref="E2384">IF(D2384="","",IF(D2384=1,0,INDEX(Calculation!Q$2:Q9627,D2384-1)))</f>
        <v>3232449.315</v>
      </c>
      <c r="F2384" s="23">
        <f t="array" ref="F2384">IF($A2384="","",
  LET(
    r, $D2384,
    startD, INDEX(Calculation!B$2:B9627, r),
    endD,   INDEX(Calculation!C$2:C9627, r),
    asOf,   MIN($A2384,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1359044.384</v>
      </c>
    </row>
    <row r="2385">
      <c r="A2385" s="19">
        <v>44620.0</v>
      </c>
      <c r="B2385" s="23">
        <v>1.0765E7</v>
      </c>
      <c r="C2385" s="23">
        <f t="shared" si="1"/>
        <v>4598572.055</v>
      </c>
      <c r="D2385" s="18">
        <f>IF(A2385="","",MATCH(A2385,Calculation!B$2:B9627,1))</f>
        <v>2</v>
      </c>
      <c r="E2385" s="23">
        <f t="array" ref="E2385">IF(D2385="","",IF(D2385=1,0,INDEX(Calculation!Q$2:Q9627,D2385-1)))</f>
        <v>3232449.315</v>
      </c>
      <c r="F2385" s="23">
        <f t="array" ref="F2385">IF($A2385="","",
  LET(
    r, $D2385,
    startD, INDEX(Calculation!B$2:B9627, r),
    endD,   INDEX(Calculation!C$2:C9627, r),
    asOf,   MIN($A2385,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1366122.74</v>
      </c>
    </row>
    <row r="2386">
      <c r="A2386" s="19">
        <v>44621.0</v>
      </c>
      <c r="B2386" s="23">
        <v>1.0765E7</v>
      </c>
      <c r="C2386" s="23">
        <f t="shared" si="1"/>
        <v>4605650.411</v>
      </c>
      <c r="D2386" s="18">
        <f>IF(A2386="","",MATCH(A2386,Calculation!B$2:B9627,1))</f>
        <v>2</v>
      </c>
      <c r="E2386" s="23">
        <f t="array" ref="E2386">IF(D2386="","",IF(D2386=1,0,INDEX(Calculation!Q$2:Q9627,D2386-1)))</f>
        <v>3232449.315</v>
      </c>
      <c r="F2386" s="23">
        <f t="array" ref="F2386">IF($A2386="","",
  LET(
    r, $D2386,
    startD, INDEX(Calculation!B$2:B9627, r),
    endD,   INDEX(Calculation!C$2:C9627, r),
    asOf,   MIN($A2386,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1373201.096</v>
      </c>
    </row>
    <row r="2387">
      <c r="A2387" s="19">
        <v>44622.0</v>
      </c>
      <c r="B2387" s="23">
        <v>1.0765E7</v>
      </c>
      <c r="C2387" s="23">
        <f t="shared" si="1"/>
        <v>4612728.767</v>
      </c>
      <c r="D2387" s="18">
        <f>IF(A2387="","",MATCH(A2387,Calculation!B$2:B9627,1))</f>
        <v>2</v>
      </c>
      <c r="E2387" s="23">
        <f t="array" ref="E2387">IF(D2387="","",IF(D2387=1,0,INDEX(Calculation!Q$2:Q9627,D2387-1)))</f>
        <v>3232449.315</v>
      </c>
      <c r="F2387" s="23">
        <f t="array" ref="F2387">IF($A2387="","",
  LET(
    r, $D2387,
    startD, INDEX(Calculation!B$2:B9627, r),
    endD,   INDEX(Calculation!C$2:C9627, r),
    asOf,   MIN($A2387,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1380279.452</v>
      </c>
    </row>
    <row r="2388">
      <c r="A2388" s="19">
        <v>44623.0</v>
      </c>
      <c r="B2388" s="23">
        <v>1.0765E7</v>
      </c>
      <c r="C2388" s="23">
        <f t="shared" si="1"/>
        <v>4619807.123</v>
      </c>
      <c r="D2388" s="18">
        <f>IF(A2388="","",MATCH(A2388,Calculation!B$2:B9627,1))</f>
        <v>2</v>
      </c>
      <c r="E2388" s="23">
        <f t="array" ref="E2388">IF(D2388="","",IF(D2388=1,0,INDEX(Calculation!Q$2:Q9627,D2388-1)))</f>
        <v>3232449.315</v>
      </c>
      <c r="F2388" s="23">
        <f t="array" ref="F2388">IF($A2388="","",
  LET(
    r, $D2388,
    startD, INDEX(Calculation!B$2:B9627, r),
    endD,   INDEX(Calculation!C$2:C9627, r),
    asOf,   MIN($A2388,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1387357.808</v>
      </c>
    </row>
    <row r="2389">
      <c r="A2389" s="19">
        <v>44624.0</v>
      </c>
      <c r="B2389" s="23">
        <v>1.0765E7</v>
      </c>
      <c r="C2389" s="23">
        <f t="shared" si="1"/>
        <v>4626885.479</v>
      </c>
      <c r="D2389" s="18">
        <f>IF(A2389="","",MATCH(A2389,Calculation!B$2:B9627,1))</f>
        <v>2</v>
      </c>
      <c r="E2389" s="23">
        <f t="array" ref="E2389">IF(D2389="","",IF(D2389=1,0,INDEX(Calculation!Q$2:Q9627,D2389-1)))</f>
        <v>3232449.315</v>
      </c>
      <c r="F2389" s="23">
        <f t="array" ref="F2389">IF($A2389="","",
  LET(
    r, $D2389,
    startD, INDEX(Calculation!B$2:B9627, r),
    endD,   INDEX(Calculation!C$2:C9627, r),
    asOf,   MIN($A2389,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1394436.164</v>
      </c>
    </row>
    <row r="2390">
      <c r="A2390" s="19">
        <v>44625.0</v>
      </c>
      <c r="B2390" s="23">
        <v>1.0765E7</v>
      </c>
      <c r="C2390" s="23">
        <f t="shared" si="1"/>
        <v>4633963.836</v>
      </c>
      <c r="D2390" s="18">
        <f>IF(A2390="","",MATCH(A2390,Calculation!B$2:B9627,1))</f>
        <v>2</v>
      </c>
      <c r="E2390" s="23">
        <f t="array" ref="E2390">IF(D2390="","",IF(D2390=1,0,INDEX(Calculation!Q$2:Q9627,D2390-1)))</f>
        <v>3232449.315</v>
      </c>
      <c r="F2390" s="23">
        <f t="array" ref="F2390">IF($A2390="","",
  LET(
    r, $D2390,
    startD, INDEX(Calculation!B$2:B9627, r),
    endD,   INDEX(Calculation!C$2:C9627, r),
    asOf,   MIN($A2390,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1401514.521</v>
      </c>
    </row>
    <row r="2391">
      <c r="A2391" s="19">
        <v>44626.0</v>
      </c>
      <c r="B2391" s="23">
        <v>1.0765E7</v>
      </c>
      <c r="C2391" s="23">
        <f t="shared" si="1"/>
        <v>4641042.192</v>
      </c>
      <c r="D2391" s="18">
        <f>IF(A2391="","",MATCH(A2391,Calculation!B$2:B9627,1))</f>
        <v>2</v>
      </c>
      <c r="E2391" s="23">
        <f t="array" ref="E2391">IF(D2391="","",IF(D2391=1,0,INDEX(Calculation!Q$2:Q9627,D2391-1)))</f>
        <v>3232449.315</v>
      </c>
      <c r="F2391" s="23">
        <f t="array" ref="F2391">IF($A2391="","",
  LET(
    r, $D2391,
    startD, INDEX(Calculation!B$2:B9627, r),
    endD,   INDEX(Calculation!C$2:C9627, r),
    asOf,   MIN($A2391,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1408592.877</v>
      </c>
    </row>
    <row r="2392">
      <c r="A2392" s="19">
        <v>44627.0</v>
      </c>
      <c r="B2392" s="23">
        <v>1.0765E7</v>
      </c>
      <c r="C2392" s="23">
        <f t="shared" si="1"/>
        <v>4648120.548</v>
      </c>
      <c r="D2392" s="18">
        <f>IF(A2392="","",MATCH(A2392,Calculation!B$2:B9627,1))</f>
        <v>2</v>
      </c>
      <c r="E2392" s="23">
        <f t="array" ref="E2392">IF(D2392="","",IF(D2392=1,0,INDEX(Calculation!Q$2:Q9627,D2392-1)))</f>
        <v>3232449.315</v>
      </c>
      <c r="F2392" s="23">
        <f t="array" ref="F2392">IF($A2392="","",
  LET(
    r, $D2392,
    startD, INDEX(Calculation!B$2:B9627, r),
    endD,   INDEX(Calculation!C$2:C9627, r),
    asOf,   MIN($A2392,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1415671.233</v>
      </c>
    </row>
    <row r="2393">
      <c r="A2393" s="19">
        <v>44628.0</v>
      </c>
      <c r="B2393" s="23">
        <v>1.0765E7</v>
      </c>
      <c r="C2393" s="23">
        <f t="shared" si="1"/>
        <v>4655198.904</v>
      </c>
      <c r="D2393" s="18">
        <f>IF(A2393="","",MATCH(A2393,Calculation!B$2:B9627,1))</f>
        <v>2</v>
      </c>
      <c r="E2393" s="23">
        <f t="array" ref="E2393">IF(D2393="","",IF(D2393=1,0,INDEX(Calculation!Q$2:Q9627,D2393-1)))</f>
        <v>3232449.315</v>
      </c>
      <c r="F2393" s="23">
        <f t="array" ref="F2393">IF($A2393="","",
  LET(
    r, $D2393,
    startD, INDEX(Calculation!B$2:B9627, r),
    endD,   INDEX(Calculation!C$2:C9627, r),
    asOf,   MIN($A2393,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1422749.589</v>
      </c>
    </row>
    <row r="2394">
      <c r="A2394" s="19">
        <v>44629.0</v>
      </c>
      <c r="B2394" s="23">
        <v>1.0765E7</v>
      </c>
      <c r="C2394" s="23">
        <f t="shared" si="1"/>
        <v>4662277.26</v>
      </c>
      <c r="D2394" s="18">
        <f>IF(A2394="","",MATCH(A2394,Calculation!B$2:B9627,1))</f>
        <v>2</v>
      </c>
      <c r="E2394" s="23">
        <f t="array" ref="E2394">IF(D2394="","",IF(D2394=1,0,INDEX(Calculation!Q$2:Q9627,D2394-1)))</f>
        <v>3232449.315</v>
      </c>
      <c r="F2394" s="23">
        <f t="array" ref="F2394">IF($A2394="","",
  LET(
    r, $D2394,
    startD, INDEX(Calculation!B$2:B9627, r),
    endD,   INDEX(Calculation!C$2:C9627, r),
    asOf,   MIN($A2394,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1429827.945</v>
      </c>
    </row>
    <row r="2395">
      <c r="A2395" s="19">
        <v>44630.0</v>
      </c>
      <c r="B2395" s="23">
        <v>1.0765E7</v>
      </c>
      <c r="C2395" s="23">
        <f t="shared" si="1"/>
        <v>4669355.616</v>
      </c>
      <c r="D2395" s="18">
        <f>IF(A2395="","",MATCH(A2395,Calculation!B$2:B9627,1))</f>
        <v>2</v>
      </c>
      <c r="E2395" s="23">
        <f t="array" ref="E2395">IF(D2395="","",IF(D2395=1,0,INDEX(Calculation!Q$2:Q9627,D2395-1)))</f>
        <v>3232449.315</v>
      </c>
      <c r="F2395" s="23">
        <f t="array" ref="F2395">IF($A2395="","",
  LET(
    r, $D2395,
    startD, INDEX(Calculation!B$2:B9627, r),
    endD,   INDEX(Calculation!C$2:C9627, r),
    asOf,   MIN($A2395,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1436906.301</v>
      </c>
    </row>
    <row r="2396">
      <c r="A2396" s="19">
        <v>44631.0</v>
      </c>
      <c r="B2396" s="23">
        <v>1.0765E7</v>
      </c>
      <c r="C2396" s="23">
        <f t="shared" si="1"/>
        <v>4676433.973</v>
      </c>
      <c r="D2396" s="18">
        <f>IF(A2396="","",MATCH(A2396,Calculation!B$2:B9627,1))</f>
        <v>2</v>
      </c>
      <c r="E2396" s="23">
        <f t="array" ref="E2396">IF(D2396="","",IF(D2396=1,0,INDEX(Calculation!Q$2:Q9627,D2396-1)))</f>
        <v>3232449.315</v>
      </c>
      <c r="F2396" s="23">
        <f t="array" ref="F2396">IF($A2396="","",
  LET(
    r, $D2396,
    startD, INDEX(Calculation!B$2:B9627, r),
    endD,   INDEX(Calculation!C$2:C9627, r),
    asOf,   MIN($A2396,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1443984.658</v>
      </c>
    </row>
    <row r="2397">
      <c r="A2397" s="19">
        <v>44632.0</v>
      </c>
      <c r="B2397" s="23">
        <v>1.0765E7</v>
      </c>
      <c r="C2397" s="23">
        <f t="shared" si="1"/>
        <v>4683512.329</v>
      </c>
      <c r="D2397" s="18">
        <f>IF(A2397="","",MATCH(A2397,Calculation!B$2:B9627,1))</f>
        <v>2</v>
      </c>
      <c r="E2397" s="23">
        <f t="array" ref="E2397">IF(D2397="","",IF(D2397=1,0,INDEX(Calculation!Q$2:Q9627,D2397-1)))</f>
        <v>3232449.315</v>
      </c>
      <c r="F2397" s="23">
        <f t="array" ref="F2397">IF($A2397="","",
  LET(
    r, $D2397,
    startD, INDEX(Calculation!B$2:B9627, r),
    endD,   INDEX(Calculation!C$2:C9627, r),
    asOf,   MIN($A2397,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1451063.014</v>
      </c>
    </row>
    <row r="2398">
      <c r="A2398" s="19">
        <v>44633.0</v>
      </c>
      <c r="B2398" s="23">
        <v>1.0765E7</v>
      </c>
      <c r="C2398" s="23">
        <f t="shared" si="1"/>
        <v>4690590.685</v>
      </c>
      <c r="D2398" s="18">
        <f>IF(A2398="","",MATCH(A2398,Calculation!B$2:B9627,1))</f>
        <v>2</v>
      </c>
      <c r="E2398" s="23">
        <f t="array" ref="E2398">IF(D2398="","",IF(D2398=1,0,INDEX(Calculation!Q$2:Q9627,D2398-1)))</f>
        <v>3232449.315</v>
      </c>
      <c r="F2398" s="23">
        <f t="array" ref="F2398">IF($A2398="","",
  LET(
    r, $D2398,
    startD, INDEX(Calculation!B$2:B9627, r),
    endD,   INDEX(Calculation!C$2:C9627, r),
    asOf,   MIN($A2398,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1458141.37</v>
      </c>
    </row>
    <row r="2399">
      <c r="A2399" s="19">
        <v>44634.0</v>
      </c>
      <c r="B2399" s="23">
        <v>1.0765E7</v>
      </c>
      <c r="C2399" s="23">
        <f t="shared" si="1"/>
        <v>4697669.041</v>
      </c>
      <c r="D2399" s="18">
        <f>IF(A2399="","",MATCH(A2399,Calculation!B$2:B9627,1))</f>
        <v>2</v>
      </c>
      <c r="E2399" s="23">
        <f t="array" ref="E2399">IF(D2399="","",IF(D2399=1,0,INDEX(Calculation!Q$2:Q9627,D2399-1)))</f>
        <v>3232449.315</v>
      </c>
      <c r="F2399" s="23">
        <f t="array" ref="F2399">IF($A2399="","",
  LET(
    r, $D2399,
    startD, INDEX(Calculation!B$2:B9627, r),
    endD,   INDEX(Calculation!C$2:C9627, r),
    asOf,   MIN($A2399,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1465219.726</v>
      </c>
    </row>
    <row r="2400">
      <c r="A2400" s="19">
        <v>44635.0</v>
      </c>
      <c r="B2400" s="23">
        <v>1.0765E7</v>
      </c>
      <c r="C2400" s="23">
        <f t="shared" si="1"/>
        <v>4704747.397</v>
      </c>
      <c r="D2400" s="18">
        <f>IF(A2400="","",MATCH(A2400,Calculation!B$2:B9627,1))</f>
        <v>2</v>
      </c>
      <c r="E2400" s="23">
        <f t="array" ref="E2400">IF(D2400="","",IF(D2400=1,0,INDEX(Calculation!Q$2:Q9627,D2400-1)))</f>
        <v>3232449.315</v>
      </c>
      <c r="F2400" s="23">
        <f t="array" ref="F2400">IF($A2400="","",
  LET(
    r, $D2400,
    startD, INDEX(Calculation!B$2:B9627, r),
    endD,   INDEX(Calculation!C$2:C9627, r),
    asOf,   MIN($A2400,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1472298.082</v>
      </c>
    </row>
    <row r="2401">
      <c r="A2401" s="19">
        <v>44636.0</v>
      </c>
      <c r="B2401" s="23">
        <v>1.0765E7</v>
      </c>
      <c r="C2401" s="23">
        <f t="shared" si="1"/>
        <v>4711825.753</v>
      </c>
      <c r="D2401" s="18">
        <f>IF(A2401="","",MATCH(A2401,Calculation!B$2:B9627,1))</f>
        <v>2</v>
      </c>
      <c r="E2401" s="23">
        <f t="array" ref="E2401">IF(D2401="","",IF(D2401=1,0,INDEX(Calculation!Q$2:Q9627,D2401-1)))</f>
        <v>3232449.315</v>
      </c>
      <c r="F2401" s="23">
        <f t="array" ref="F2401">IF($A2401="","",
  LET(
    r, $D2401,
    startD, INDEX(Calculation!B$2:B9627, r),
    endD,   INDEX(Calculation!C$2:C9627, r),
    asOf,   MIN($A2401,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1479376.438</v>
      </c>
    </row>
    <row r="2402">
      <c r="A2402" s="19">
        <v>44637.0</v>
      </c>
      <c r="B2402" s="23">
        <v>1.0765E7</v>
      </c>
      <c r="C2402" s="23">
        <f t="shared" si="1"/>
        <v>4718904.11</v>
      </c>
      <c r="D2402" s="18">
        <f>IF(A2402="","",MATCH(A2402,Calculation!B$2:B9627,1))</f>
        <v>2</v>
      </c>
      <c r="E2402" s="23">
        <f t="array" ref="E2402">IF(D2402="","",IF(D2402=1,0,INDEX(Calculation!Q$2:Q9627,D2402-1)))</f>
        <v>3232449.315</v>
      </c>
      <c r="F2402" s="23">
        <f t="array" ref="F2402">IF($A2402="","",
  LET(
    r, $D2402,
    startD, INDEX(Calculation!B$2:B9627, r),
    endD,   INDEX(Calculation!C$2:C9627, r),
    asOf,   MIN($A2402,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1486454.795</v>
      </c>
    </row>
    <row r="2403">
      <c r="A2403" s="19">
        <v>44638.0</v>
      </c>
      <c r="B2403" s="23">
        <v>1.0765E7</v>
      </c>
      <c r="C2403" s="23">
        <f t="shared" si="1"/>
        <v>4725982.466</v>
      </c>
      <c r="D2403" s="18">
        <f>IF(A2403="","",MATCH(A2403,Calculation!B$2:B9627,1))</f>
        <v>2</v>
      </c>
      <c r="E2403" s="23">
        <f t="array" ref="E2403">IF(D2403="","",IF(D2403=1,0,INDEX(Calculation!Q$2:Q9627,D2403-1)))</f>
        <v>3232449.315</v>
      </c>
      <c r="F2403" s="23">
        <f t="array" ref="F2403">IF($A2403="","",
  LET(
    r, $D2403,
    startD, INDEX(Calculation!B$2:B9627, r),
    endD,   INDEX(Calculation!C$2:C9627, r),
    asOf,   MIN($A2403,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1493533.151</v>
      </c>
    </row>
    <row r="2404">
      <c r="A2404" s="19">
        <v>44639.0</v>
      </c>
      <c r="B2404" s="23">
        <v>1.0765E7</v>
      </c>
      <c r="C2404" s="23">
        <f t="shared" si="1"/>
        <v>4733060.822</v>
      </c>
      <c r="D2404" s="18">
        <f>IF(A2404="","",MATCH(A2404,Calculation!B$2:B9627,1))</f>
        <v>2</v>
      </c>
      <c r="E2404" s="23">
        <f t="array" ref="E2404">IF(D2404="","",IF(D2404=1,0,INDEX(Calculation!Q$2:Q9627,D2404-1)))</f>
        <v>3232449.315</v>
      </c>
      <c r="F2404" s="23">
        <f t="array" ref="F2404">IF($A2404="","",
  LET(
    r, $D2404,
    startD, INDEX(Calculation!B$2:B9627, r),
    endD,   INDEX(Calculation!C$2:C9627, r),
    asOf,   MIN($A2404,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1500611.507</v>
      </c>
    </row>
    <row r="2405">
      <c r="A2405" s="19">
        <v>44640.0</v>
      </c>
      <c r="B2405" s="23">
        <v>1.0765E7</v>
      </c>
      <c r="C2405" s="23">
        <f t="shared" si="1"/>
        <v>4740139.178</v>
      </c>
      <c r="D2405" s="18">
        <f>IF(A2405="","",MATCH(A2405,Calculation!B$2:B9627,1))</f>
        <v>2</v>
      </c>
      <c r="E2405" s="23">
        <f t="array" ref="E2405">IF(D2405="","",IF(D2405=1,0,INDEX(Calculation!Q$2:Q9627,D2405-1)))</f>
        <v>3232449.315</v>
      </c>
      <c r="F2405" s="23">
        <f t="array" ref="F2405">IF($A2405="","",
  LET(
    r, $D2405,
    startD, INDEX(Calculation!B$2:B9627, r),
    endD,   INDEX(Calculation!C$2:C9627, r),
    asOf,   MIN($A2405,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1507689.863</v>
      </c>
    </row>
    <row r="2406">
      <c r="A2406" s="19">
        <v>44641.0</v>
      </c>
      <c r="B2406" s="23">
        <v>1.0765E7</v>
      </c>
      <c r="C2406" s="23">
        <f t="shared" si="1"/>
        <v>4747217.534</v>
      </c>
      <c r="D2406" s="18">
        <f>IF(A2406="","",MATCH(A2406,Calculation!B$2:B9627,1))</f>
        <v>2</v>
      </c>
      <c r="E2406" s="23">
        <f t="array" ref="E2406">IF(D2406="","",IF(D2406=1,0,INDEX(Calculation!Q$2:Q9627,D2406-1)))</f>
        <v>3232449.315</v>
      </c>
      <c r="F2406" s="23">
        <f t="array" ref="F2406">IF($A2406="","",
  LET(
    r, $D2406,
    startD, INDEX(Calculation!B$2:B9627, r),
    endD,   INDEX(Calculation!C$2:C9627, r),
    asOf,   MIN($A2406,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1514768.219</v>
      </c>
    </row>
    <row r="2407">
      <c r="A2407" s="19">
        <v>44642.0</v>
      </c>
      <c r="B2407" s="23">
        <v>1.0765E7</v>
      </c>
      <c r="C2407" s="23">
        <f t="shared" si="1"/>
        <v>4754295.89</v>
      </c>
      <c r="D2407" s="18">
        <f>IF(A2407="","",MATCH(A2407,Calculation!B$2:B9627,1))</f>
        <v>2</v>
      </c>
      <c r="E2407" s="23">
        <f t="array" ref="E2407">IF(D2407="","",IF(D2407=1,0,INDEX(Calculation!Q$2:Q9627,D2407-1)))</f>
        <v>3232449.315</v>
      </c>
      <c r="F2407" s="23">
        <f t="array" ref="F2407">IF($A2407="","",
  LET(
    r, $D2407,
    startD, INDEX(Calculation!B$2:B9627, r),
    endD,   INDEX(Calculation!C$2:C9627, r),
    asOf,   MIN($A2407,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1521846.575</v>
      </c>
    </row>
    <row r="2408">
      <c r="A2408" s="19">
        <v>44643.0</v>
      </c>
      <c r="B2408" s="23">
        <v>1.0765E7</v>
      </c>
      <c r="C2408" s="23">
        <f t="shared" si="1"/>
        <v>4761374.247</v>
      </c>
      <c r="D2408" s="18">
        <f>IF(A2408="","",MATCH(A2408,Calculation!B$2:B9627,1))</f>
        <v>2</v>
      </c>
      <c r="E2408" s="23">
        <f t="array" ref="E2408">IF(D2408="","",IF(D2408=1,0,INDEX(Calculation!Q$2:Q9627,D2408-1)))</f>
        <v>3232449.315</v>
      </c>
      <c r="F2408" s="23">
        <f t="array" ref="F2408">IF($A2408="","",
  LET(
    r, $D2408,
    startD, INDEX(Calculation!B$2:B9627, r),
    endD,   INDEX(Calculation!C$2:C9627, r),
    asOf,   MIN($A2408,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1528924.932</v>
      </c>
    </row>
    <row r="2409">
      <c r="A2409" s="19">
        <v>44644.0</v>
      </c>
      <c r="B2409" s="23">
        <v>1.0765E7</v>
      </c>
      <c r="C2409" s="23">
        <f t="shared" si="1"/>
        <v>4768452.603</v>
      </c>
      <c r="D2409" s="18">
        <f>IF(A2409="","",MATCH(A2409,Calculation!B$2:B9627,1))</f>
        <v>2</v>
      </c>
      <c r="E2409" s="23">
        <f t="array" ref="E2409">IF(D2409="","",IF(D2409=1,0,INDEX(Calculation!Q$2:Q9627,D2409-1)))</f>
        <v>3232449.315</v>
      </c>
      <c r="F2409" s="23">
        <f t="array" ref="F2409">IF($A2409="","",
  LET(
    r, $D2409,
    startD, INDEX(Calculation!B$2:B9627, r),
    endD,   INDEX(Calculation!C$2:C9627, r),
    asOf,   MIN($A2409,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1536003.288</v>
      </c>
    </row>
    <row r="2410">
      <c r="A2410" s="19">
        <v>44645.0</v>
      </c>
      <c r="B2410" s="23">
        <v>1.0765E7</v>
      </c>
      <c r="C2410" s="23">
        <f t="shared" si="1"/>
        <v>4775530.959</v>
      </c>
      <c r="D2410" s="18">
        <f>IF(A2410="","",MATCH(A2410,Calculation!B$2:B9627,1))</f>
        <v>2</v>
      </c>
      <c r="E2410" s="23">
        <f t="array" ref="E2410">IF(D2410="","",IF(D2410=1,0,INDEX(Calculation!Q$2:Q9627,D2410-1)))</f>
        <v>3232449.315</v>
      </c>
      <c r="F2410" s="23">
        <f t="array" ref="F2410">IF($A2410="","",
  LET(
    r, $D2410,
    startD, INDEX(Calculation!B$2:B9627, r),
    endD,   INDEX(Calculation!C$2:C9627, r),
    asOf,   MIN($A2410,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1543081.644</v>
      </c>
    </row>
    <row r="2411">
      <c r="A2411" s="19">
        <v>44646.0</v>
      </c>
      <c r="B2411" s="23">
        <v>1.0765E7</v>
      </c>
      <c r="C2411" s="23">
        <f t="shared" si="1"/>
        <v>4782609.315</v>
      </c>
      <c r="D2411" s="18">
        <f>IF(A2411="","",MATCH(A2411,Calculation!B$2:B9627,1))</f>
        <v>2</v>
      </c>
      <c r="E2411" s="23">
        <f t="array" ref="E2411">IF(D2411="","",IF(D2411=1,0,INDEX(Calculation!Q$2:Q9627,D2411-1)))</f>
        <v>3232449.315</v>
      </c>
      <c r="F2411" s="23">
        <f t="array" ref="F2411">IF($A2411="","",
  LET(
    r, $D2411,
    startD, INDEX(Calculation!B$2:B9627, r),
    endD,   INDEX(Calculation!C$2:C9627, r),
    asOf,   MIN($A2411,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1550160</v>
      </c>
    </row>
    <row r="2412">
      <c r="A2412" s="19">
        <v>44647.0</v>
      </c>
      <c r="B2412" s="23">
        <v>1.0765E7</v>
      </c>
      <c r="C2412" s="23">
        <f t="shared" si="1"/>
        <v>4789687.671</v>
      </c>
      <c r="D2412" s="18">
        <f>IF(A2412="","",MATCH(A2412,Calculation!B$2:B9627,1))</f>
        <v>2</v>
      </c>
      <c r="E2412" s="23">
        <f t="array" ref="E2412">IF(D2412="","",IF(D2412=1,0,INDEX(Calculation!Q$2:Q9627,D2412-1)))</f>
        <v>3232449.315</v>
      </c>
      <c r="F2412" s="23">
        <f t="array" ref="F2412">IF($A2412="","",
  LET(
    r, $D2412,
    startD, INDEX(Calculation!B$2:B9627, r),
    endD,   INDEX(Calculation!C$2:C9627, r),
    asOf,   MIN($A2412,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1557238.356</v>
      </c>
    </row>
    <row r="2413">
      <c r="A2413" s="19">
        <v>44648.0</v>
      </c>
      <c r="B2413" s="23">
        <v>1.0765E7</v>
      </c>
      <c r="C2413" s="23">
        <f t="shared" si="1"/>
        <v>4796766.027</v>
      </c>
      <c r="D2413" s="18">
        <f>IF(A2413="","",MATCH(A2413,Calculation!B$2:B9627,1))</f>
        <v>2</v>
      </c>
      <c r="E2413" s="23">
        <f t="array" ref="E2413">IF(D2413="","",IF(D2413=1,0,INDEX(Calculation!Q$2:Q9627,D2413-1)))</f>
        <v>3232449.315</v>
      </c>
      <c r="F2413" s="23">
        <f t="array" ref="F2413">IF($A2413="","",
  LET(
    r, $D2413,
    startD, INDEX(Calculation!B$2:B9627, r),
    endD,   INDEX(Calculation!C$2:C9627, r),
    asOf,   MIN($A2413,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1564316.712</v>
      </c>
    </row>
    <row r="2414">
      <c r="A2414" s="19">
        <v>44649.0</v>
      </c>
      <c r="B2414" s="23">
        <v>1.0765E7</v>
      </c>
      <c r="C2414" s="23">
        <f t="shared" si="1"/>
        <v>4803844.384</v>
      </c>
      <c r="D2414" s="18">
        <f>IF(A2414="","",MATCH(A2414,Calculation!B$2:B9627,1))</f>
        <v>2</v>
      </c>
      <c r="E2414" s="23">
        <f t="array" ref="E2414">IF(D2414="","",IF(D2414=1,0,INDEX(Calculation!Q$2:Q9627,D2414-1)))</f>
        <v>3232449.315</v>
      </c>
      <c r="F2414" s="23">
        <f t="array" ref="F2414">IF($A2414="","",
  LET(
    r, $D2414,
    startD, INDEX(Calculation!B$2:B9627, r),
    endD,   INDEX(Calculation!C$2:C9627, r),
    asOf,   MIN($A2414,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1571395.068</v>
      </c>
    </row>
    <row r="2415">
      <c r="A2415" s="19">
        <v>44650.0</v>
      </c>
      <c r="B2415" s="23">
        <v>1.0765E7</v>
      </c>
      <c r="C2415" s="23">
        <f t="shared" si="1"/>
        <v>4810922.74</v>
      </c>
      <c r="D2415" s="18">
        <f>IF(A2415="","",MATCH(A2415,Calculation!B$2:B9627,1))</f>
        <v>2</v>
      </c>
      <c r="E2415" s="23">
        <f t="array" ref="E2415">IF(D2415="","",IF(D2415=1,0,INDEX(Calculation!Q$2:Q9627,D2415-1)))</f>
        <v>3232449.315</v>
      </c>
      <c r="F2415" s="23">
        <f t="array" ref="F2415">IF($A2415="","",
  LET(
    r, $D2415,
    startD, INDEX(Calculation!B$2:B9627, r),
    endD,   INDEX(Calculation!C$2:C9627, r),
    asOf,   MIN($A2415,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1578473.425</v>
      </c>
    </row>
    <row r="2416">
      <c r="A2416" s="19">
        <v>44651.0</v>
      </c>
      <c r="B2416" s="23">
        <v>1.0765E7</v>
      </c>
      <c r="C2416" s="23">
        <f t="shared" si="1"/>
        <v>4818001.096</v>
      </c>
      <c r="D2416" s="18">
        <f>IF(A2416="","",MATCH(A2416,Calculation!B$2:B9627,1))</f>
        <v>2</v>
      </c>
      <c r="E2416" s="23">
        <f t="array" ref="E2416">IF(D2416="","",IF(D2416=1,0,INDEX(Calculation!Q$2:Q9627,D2416-1)))</f>
        <v>3232449.315</v>
      </c>
      <c r="F2416" s="23">
        <f t="array" ref="F2416">IF($A2416="","",
  LET(
    r, $D2416,
    startD, INDEX(Calculation!B$2:B9627, r),
    endD,   INDEX(Calculation!C$2:C9627, r),
    asOf,   MIN($A2416,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1585551.781</v>
      </c>
    </row>
    <row r="2417">
      <c r="A2417" s="19">
        <v>44652.0</v>
      </c>
      <c r="B2417" s="23">
        <v>1.0765E7</v>
      </c>
      <c r="C2417" s="23">
        <f t="shared" si="1"/>
        <v>4825079.452</v>
      </c>
      <c r="D2417" s="18">
        <f>IF(A2417="","",MATCH(A2417,Calculation!B$2:B9627,1))</f>
        <v>2</v>
      </c>
      <c r="E2417" s="23">
        <f t="array" ref="E2417">IF(D2417="","",IF(D2417=1,0,INDEX(Calculation!Q$2:Q9627,D2417-1)))</f>
        <v>3232449.315</v>
      </c>
      <c r="F2417" s="23">
        <f t="array" ref="F2417">IF($A2417="","",
  LET(
    r, $D2417,
    startD, INDEX(Calculation!B$2:B9627, r),
    endD,   INDEX(Calculation!C$2:C9627, r),
    asOf,   MIN($A2417,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1592630.137</v>
      </c>
    </row>
    <row r="2418">
      <c r="A2418" s="19">
        <v>44653.0</v>
      </c>
      <c r="B2418" s="23">
        <v>1.0765E7</v>
      </c>
      <c r="C2418" s="23">
        <f t="shared" si="1"/>
        <v>4832157.808</v>
      </c>
      <c r="D2418" s="18">
        <f>IF(A2418="","",MATCH(A2418,Calculation!B$2:B9627,1))</f>
        <v>2</v>
      </c>
      <c r="E2418" s="23">
        <f t="array" ref="E2418">IF(D2418="","",IF(D2418=1,0,INDEX(Calculation!Q$2:Q9627,D2418-1)))</f>
        <v>3232449.315</v>
      </c>
      <c r="F2418" s="23">
        <f t="array" ref="F2418">IF($A2418="","",
  LET(
    r, $D2418,
    startD, INDEX(Calculation!B$2:B9627, r),
    endD,   INDEX(Calculation!C$2:C9627, r),
    asOf,   MIN($A2418,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1599708.493</v>
      </c>
    </row>
    <row r="2419">
      <c r="A2419" s="19">
        <v>44654.0</v>
      </c>
      <c r="B2419" s="23">
        <v>1.0765E7</v>
      </c>
      <c r="C2419" s="23">
        <f t="shared" si="1"/>
        <v>4839236.164</v>
      </c>
      <c r="D2419" s="18">
        <f>IF(A2419="","",MATCH(A2419,Calculation!B$2:B9627,1))</f>
        <v>2</v>
      </c>
      <c r="E2419" s="23">
        <f t="array" ref="E2419">IF(D2419="","",IF(D2419=1,0,INDEX(Calculation!Q$2:Q9627,D2419-1)))</f>
        <v>3232449.315</v>
      </c>
      <c r="F2419" s="23">
        <f t="array" ref="F2419">IF($A2419="","",
  LET(
    r, $D2419,
    startD, INDEX(Calculation!B$2:B9627, r),
    endD,   INDEX(Calculation!C$2:C9627, r),
    asOf,   MIN($A2419,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1606786.849</v>
      </c>
    </row>
    <row r="2420">
      <c r="A2420" s="19">
        <v>44655.0</v>
      </c>
      <c r="B2420" s="23">
        <v>1.0765E7</v>
      </c>
      <c r="C2420" s="23">
        <f t="shared" si="1"/>
        <v>4846314.521</v>
      </c>
      <c r="D2420" s="18">
        <f>IF(A2420="","",MATCH(A2420,Calculation!B$2:B9627,1))</f>
        <v>2</v>
      </c>
      <c r="E2420" s="23">
        <f t="array" ref="E2420">IF(D2420="","",IF(D2420=1,0,INDEX(Calculation!Q$2:Q9627,D2420-1)))</f>
        <v>3232449.315</v>
      </c>
      <c r="F2420" s="23">
        <f t="array" ref="F2420">IF($A2420="","",
  LET(
    r, $D2420,
    startD, INDEX(Calculation!B$2:B9627, r),
    endD,   INDEX(Calculation!C$2:C9627, r),
    asOf,   MIN($A2420,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1613865.205</v>
      </c>
    </row>
    <row r="2421">
      <c r="A2421" s="19">
        <v>44656.0</v>
      </c>
      <c r="B2421" s="23">
        <v>1.0765E7</v>
      </c>
      <c r="C2421" s="23">
        <f t="shared" si="1"/>
        <v>4853392.877</v>
      </c>
      <c r="D2421" s="18">
        <f>IF(A2421="","",MATCH(A2421,Calculation!B$2:B9627,1))</f>
        <v>2</v>
      </c>
      <c r="E2421" s="23">
        <f t="array" ref="E2421">IF(D2421="","",IF(D2421=1,0,INDEX(Calculation!Q$2:Q9627,D2421-1)))</f>
        <v>3232449.315</v>
      </c>
      <c r="F2421" s="23">
        <f t="array" ref="F2421">IF($A2421="","",
  LET(
    r, $D2421,
    startD, INDEX(Calculation!B$2:B9627, r),
    endD,   INDEX(Calculation!C$2:C9627, r),
    asOf,   MIN($A2421,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1620943.562</v>
      </c>
    </row>
    <row r="2422">
      <c r="A2422" s="19">
        <v>44657.0</v>
      </c>
      <c r="B2422" s="23">
        <v>1.0765E7</v>
      </c>
      <c r="C2422" s="23">
        <f t="shared" si="1"/>
        <v>4860471.233</v>
      </c>
      <c r="D2422" s="18">
        <f>IF(A2422="","",MATCH(A2422,Calculation!B$2:B9627,1))</f>
        <v>2</v>
      </c>
      <c r="E2422" s="23">
        <f t="array" ref="E2422">IF(D2422="","",IF(D2422=1,0,INDEX(Calculation!Q$2:Q9627,D2422-1)))</f>
        <v>3232449.315</v>
      </c>
      <c r="F2422" s="23">
        <f t="array" ref="F2422">IF($A2422="","",
  LET(
    r, $D2422,
    startD, INDEX(Calculation!B$2:B9627, r),
    endD,   INDEX(Calculation!C$2:C9627, r),
    asOf,   MIN($A2422,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1628021.918</v>
      </c>
    </row>
    <row r="2423">
      <c r="A2423" s="19">
        <v>44658.0</v>
      </c>
      <c r="B2423" s="23">
        <v>1.0765E7</v>
      </c>
      <c r="C2423" s="23">
        <f t="shared" si="1"/>
        <v>4867549.589</v>
      </c>
      <c r="D2423" s="18">
        <f>IF(A2423="","",MATCH(A2423,Calculation!B$2:B9627,1))</f>
        <v>2</v>
      </c>
      <c r="E2423" s="23">
        <f t="array" ref="E2423">IF(D2423="","",IF(D2423=1,0,INDEX(Calculation!Q$2:Q9627,D2423-1)))</f>
        <v>3232449.315</v>
      </c>
      <c r="F2423" s="23">
        <f t="array" ref="F2423">IF($A2423="","",
  LET(
    r, $D2423,
    startD, INDEX(Calculation!B$2:B9627, r),
    endD,   INDEX(Calculation!C$2:C9627, r),
    asOf,   MIN($A2423,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1635100.274</v>
      </c>
    </row>
    <row r="2424">
      <c r="A2424" s="19">
        <v>44659.0</v>
      </c>
      <c r="B2424" s="23">
        <v>1.0765E7</v>
      </c>
      <c r="C2424" s="23">
        <f t="shared" si="1"/>
        <v>4874627.945</v>
      </c>
      <c r="D2424" s="18">
        <f>IF(A2424="","",MATCH(A2424,Calculation!B$2:B9627,1))</f>
        <v>2</v>
      </c>
      <c r="E2424" s="23">
        <f t="array" ref="E2424">IF(D2424="","",IF(D2424=1,0,INDEX(Calculation!Q$2:Q9627,D2424-1)))</f>
        <v>3232449.315</v>
      </c>
      <c r="F2424" s="23">
        <f t="array" ref="F2424">IF($A2424="","",
  LET(
    r, $D2424,
    startD, INDEX(Calculation!B$2:B9627, r),
    endD,   INDEX(Calculation!C$2:C9627, r),
    asOf,   MIN($A2424,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1642178.63</v>
      </c>
    </row>
    <row r="2425">
      <c r="A2425" s="19">
        <v>44660.0</v>
      </c>
      <c r="B2425" s="23">
        <v>1.0765E7</v>
      </c>
      <c r="C2425" s="23">
        <f t="shared" si="1"/>
        <v>4881706.301</v>
      </c>
      <c r="D2425" s="18">
        <f>IF(A2425="","",MATCH(A2425,Calculation!B$2:B9627,1))</f>
        <v>2</v>
      </c>
      <c r="E2425" s="23">
        <f t="array" ref="E2425">IF(D2425="","",IF(D2425=1,0,INDEX(Calculation!Q$2:Q9627,D2425-1)))</f>
        <v>3232449.315</v>
      </c>
      <c r="F2425" s="23">
        <f t="array" ref="F2425">IF($A2425="","",
  LET(
    r, $D2425,
    startD, INDEX(Calculation!B$2:B9627, r),
    endD,   INDEX(Calculation!C$2:C9627, r),
    asOf,   MIN($A2425,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1649256.986</v>
      </c>
    </row>
    <row r="2426">
      <c r="A2426" s="19">
        <v>44661.0</v>
      </c>
      <c r="B2426" s="23">
        <v>1.0765E7</v>
      </c>
      <c r="C2426" s="23">
        <f t="shared" si="1"/>
        <v>4888784.658</v>
      </c>
      <c r="D2426" s="18">
        <f>IF(A2426="","",MATCH(A2426,Calculation!B$2:B9627,1))</f>
        <v>2</v>
      </c>
      <c r="E2426" s="23">
        <f t="array" ref="E2426">IF(D2426="","",IF(D2426=1,0,INDEX(Calculation!Q$2:Q9627,D2426-1)))</f>
        <v>3232449.315</v>
      </c>
      <c r="F2426" s="23">
        <f t="array" ref="F2426">IF($A2426="","",
  LET(
    r, $D2426,
    startD, INDEX(Calculation!B$2:B9627, r),
    endD,   INDEX(Calculation!C$2:C9627, r),
    asOf,   MIN($A2426,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1656335.342</v>
      </c>
    </row>
    <row r="2427">
      <c r="A2427" s="19">
        <v>44662.0</v>
      </c>
      <c r="B2427" s="23">
        <v>1.0765E7</v>
      </c>
      <c r="C2427" s="23">
        <f t="shared" si="1"/>
        <v>4895863.014</v>
      </c>
      <c r="D2427" s="18">
        <f>IF(A2427="","",MATCH(A2427,Calculation!B$2:B9627,1))</f>
        <v>2</v>
      </c>
      <c r="E2427" s="23">
        <f t="array" ref="E2427">IF(D2427="","",IF(D2427=1,0,INDEX(Calculation!Q$2:Q9627,D2427-1)))</f>
        <v>3232449.315</v>
      </c>
      <c r="F2427" s="23">
        <f t="array" ref="F2427">IF($A2427="","",
  LET(
    r, $D2427,
    startD, INDEX(Calculation!B$2:B9627, r),
    endD,   INDEX(Calculation!C$2:C9627, r),
    asOf,   MIN($A2427,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1663413.699</v>
      </c>
    </row>
    <row r="2428">
      <c r="A2428" s="19">
        <v>44663.0</v>
      </c>
      <c r="B2428" s="23">
        <v>1.0765E7</v>
      </c>
      <c r="C2428" s="23">
        <f t="shared" si="1"/>
        <v>4902941.37</v>
      </c>
      <c r="D2428" s="18">
        <f>IF(A2428="","",MATCH(A2428,Calculation!B$2:B9627,1))</f>
        <v>2</v>
      </c>
      <c r="E2428" s="23">
        <f t="array" ref="E2428">IF(D2428="","",IF(D2428=1,0,INDEX(Calculation!Q$2:Q9627,D2428-1)))</f>
        <v>3232449.315</v>
      </c>
      <c r="F2428" s="23">
        <f t="array" ref="F2428">IF($A2428="","",
  LET(
    r, $D2428,
    startD, INDEX(Calculation!B$2:B9627, r),
    endD,   INDEX(Calculation!C$2:C9627, r),
    asOf,   MIN($A2428,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1670492.055</v>
      </c>
    </row>
    <row r="2429">
      <c r="A2429" s="19">
        <v>44664.0</v>
      </c>
      <c r="B2429" s="23">
        <v>1.0765E7</v>
      </c>
      <c r="C2429" s="23">
        <f t="shared" si="1"/>
        <v>4910019.726</v>
      </c>
      <c r="D2429" s="18">
        <f>IF(A2429="","",MATCH(A2429,Calculation!B$2:B9627,1))</f>
        <v>2</v>
      </c>
      <c r="E2429" s="23">
        <f t="array" ref="E2429">IF(D2429="","",IF(D2429=1,0,INDEX(Calculation!Q$2:Q9627,D2429-1)))</f>
        <v>3232449.315</v>
      </c>
      <c r="F2429" s="23">
        <f t="array" ref="F2429">IF($A2429="","",
  LET(
    r, $D2429,
    startD, INDEX(Calculation!B$2:B9627, r),
    endD,   INDEX(Calculation!C$2:C9627, r),
    asOf,   MIN($A2429,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1677570.411</v>
      </c>
    </row>
    <row r="2430">
      <c r="A2430" s="19">
        <v>44665.0</v>
      </c>
      <c r="B2430" s="23">
        <v>1.0765E7</v>
      </c>
      <c r="C2430" s="23">
        <f t="shared" si="1"/>
        <v>4917098.082</v>
      </c>
      <c r="D2430" s="18">
        <f>IF(A2430="","",MATCH(A2430,Calculation!B$2:B9627,1))</f>
        <v>2</v>
      </c>
      <c r="E2430" s="23">
        <f t="array" ref="E2430">IF(D2430="","",IF(D2430=1,0,INDEX(Calculation!Q$2:Q9627,D2430-1)))</f>
        <v>3232449.315</v>
      </c>
      <c r="F2430" s="23">
        <f t="array" ref="F2430">IF($A2430="","",
  LET(
    r, $D2430,
    startD, INDEX(Calculation!B$2:B9627, r),
    endD,   INDEX(Calculation!C$2:C9627, r),
    asOf,   MIN($A2430,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1684648.767</v>
      </c>
    </row>
    <row r="2431">
      <c r="A2431" s="19">
        <v>44666.0</v>
      </c>
      <c r="B2431" s="23">
        <v>1.0765E7</v>
      </c>
      <c r="C2431" s="23">
        <f t="shared" si="1"/>
        <v>4924176.438</v>
      </c>
      <c r="D2431" s="18">
        <f>IF(A2431="","",MATCH(A2431,Calculation!B$2:B9627,1))</f>
        <v>2</v>
      </c>
      <c r="E2431" s="23">
        <f t="array" ref="E2431">IF(D2431="","",IF(D2431=1,0,INDEX(Calculation!Q$2:Q9627,D2431-1)))</f>
        <v>3232449.315</v>
      </c>
      <c r="F2431" s="23">
        <f t="array" ref="F2431">IF($A2431="","",
  LET(
    r, $D2431,
    startD, INDEX(Calculation!B$2:B9627, r),
    endD,   INDEX(Calculation!C$2:C9627, r),
    asOf,   MIN($A2431,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1691727.123</v>
      </c>
    </row>
    <row r="2432">
      <c r="A2432" s="19">
        <v>44667.0</v>
      </c>
      <c r="B2432" s="23">
        <v>1.0765E7</v>
      </c>
      <c r="C2432" s="23">
        <f t="shared" si="1"/>
        <v>4931254.795</v>
      </c>
      <c r="D2432" s="18">
        <f>IF(A2432="","",MATCH(A2432,Calculation!B$2:B9627,1))</f>
        <v>2</v>
      </c>
      <c r="E2432" s="23">
        <f t="array" ref="E2432">IF(D2432="","",IF(D2432=1,0,INDEX(Calculation!Q$2:Q9627,D2432-1)))</f>
        <v>3232449.315</v>
      </c>
      <c r="F2432" s="23">
        <f t="array" ref="F2432">IF($A2432="","",
  LET(
    r, $D2432,
    startD, INDEX(Calculation!B$2:B9627, r),
    endD,   INDEX(Calculation!C$2:C9627, r),
    asOf,   MIN($A2432,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1698805.479</v>
      </c>
    </row>
    <row r="2433">
      <c r="A2433" s="19">
        <v>44668.0</v>
      </c>
      <c r="B2433" s="23">
        <v>1.0765E7</v>
      </c>
      <c r="C2433" s="23">
        <f t="shared" si="1"/>
        <v>4938333.151</v>
      </c>
      <c r="D2433" s="18">
        <f>IF(A2433="","",MATCH(A2433,Calculation!B$2:B9627,1))</f>
        <v>2</v>
      </c>
      <c r="E2433" s="23">
        <f t="array" ref="E2433">IF(D2433="","",IF(D2433=1,0,INDEX(Calculation!Q$2:Q9627,D2433-1)))</f>
        <v>3232449.315</v>
      </c>
      <c r="F2433" s="23">
        <f t="array" ref="F2433">IF($A2433="","",
  LET(
    r, $D2433,
    startD, INDEX(Calculation!B$2:B9627, r),
    endD,   INDEX(Calculation!C$2:C9627, r),
    asOf,   MIN($A2433,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1705883.836</v>
      </c>
    </row>
    <row r="2434">
      <c r="A2434" s="19">
        <v>44669.0</v>
      </c>
      <c r="B2434" s="23">
        <v>1.0765E7</v>
      </c>
      <c r="C2434" s="23">
        <f t="shared" si="1"/>
        <v>4945411.507</v>
      </c>
      <c r="D2434" s="18">
        <f>IF(A2434="","",MATCH(A2434,Calculation!B$2:B9627,1))</f>
        <v>2</v>
      </c>
      <c r="E2434" s="23">
        <f t="array" ref="E2434">IF(D2434="","",IF(D2434=1,0,INDEX(Calculation!Q$2:Q9627,D2434-1)))</f>
        <v>3232449.315</v>
      </c>
      <c r="F2434" s="23">
        <f t="array" ref="F2434">IF($A2434="","",
  LET(
    r, $D2434,
    startD, INDEX(Calculation!B$2:B9627, r),
    endD,   INDEX(Calculation!C$2:C9627, r),
    asOf,   MIN($A2434,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1712962.192</v>
      </c>
    </row>
    <row r="2435">
      <c r="A2435" s="19">
        <v>44670.0</v>
      </c>
      <c r="B2435" s="23">
        <v>1.0765E7</v>
      </c>
      <c r="C2435" s="23">
        <f t="shared" si="1"/>
        <v>4952489.863</v>
      </c>
      <c r="D2435" s="18">
        <f>IF(A2435="","",MATCH(A2435,Calculation!B$2:B9627,1))</f>
        <v>2</v>
      </c>
      <c r="E2435" s="23">
        <f t="array" ref="E2435">IF(D2435="","",IF(D2435=1,0,INDEX(Calculation!Q$2:Q9627,D2435-1)))</f>
        <v>3232449.315</v>
      </c>
      <c r="F2435" s="23">
        <f t="array" ref="F2435">IF($A2435="","",
  LET(
    r, $D2435,
    startD, INDEX(Calculation!B$2:B9627, r),
    endD,   INDEX(Calculation!C$2:C9627, r),
    asOf,   MIN($A2435,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1720040.548</v>
      </c>
    </row>
    <row r="2436">
      <c r="A2436" s="19">
        <v>44671.0</v>
      </c>
      <c r="B2436" s="23">
        <v>1.0765E7</v>
      </c>
      <c r="C2436" s="23">
        <f t="shared" si="1"/>
        <v>4959568.219</v>
      </c>
      <c r="D2436" s="18">
        <f>IF(A2436="","",MATCH(A2436,Calculation!B$2:B9627,1))</f>
        <v>2</v>
      </c>
      <c r="E2436" s="23">
        <f t="array" ref="E2436">IF(D2436="","",IF(D2436=1,0,INDEX(Calculation!Q$2:Q9627,D2436-1)))</f>
        <v>3232449.315</v>
      </c>
      <c r="F2436" s="23">
        <f t="array" ref="F2436">IF($A2436="","",
  LET(
    r, $D2436,
    startD, INDEX(Calculation!B$2:B9627, r),
    endD,   INDEX(Calculation!C$2:C9627, r),
    asOf,   MIN($A2436,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1727118.904</v>
      </c>
    </row>
    <row r="2437">
      <c r="A2437" s="19">
        <v>44672.0</v>
      </c>
      <c r="B2437" s="23">
        <v>1.0765E7</v>
      </c>
      <c r="C2437" s="23">
        <f t="shared" si="1"/>
        <v>4966646.575</v>
      </c>
      <c r="D2437" s="18">
        <f>IF(A2437="","",MATCH(A2437,Calculation!B$2:B9627,1))</f>
        <v>2</v>
      </c>
      <c r="E2437" s="23">
        <f t="array" ref="E2437">IF(D2437="","",IF(D2437=1,0,INDEX(Calculation!Q$2:Q9627,D2437-1)))</f>
        <v>3232449.315</v>
      </c>
      <c r="F2437" s="23">
        <f t="array" ref="F2437">IF($A2437="","",
  LET(
    r, $D2437,
    startD, INDEX(Calculation!B$2:B9627, r),
    endD,   INDEX(Calculation!C$2:C9627, r),
    asOf,   MIN($A2437,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1734197.26</v>
      </c>
    </row>
    <row r="2438">
      <c r="A2438" s="19">
        <v>44673.0</v>
      </c>
      <c r="B2438" s="23">
        <v>1.0765E7</v>
      </c>
      <c r="C2438" s="23">
        <f t="shared" si="1"/>
        <v>4973724.932</v>
      </c>
      <c r="D2438" s="18">
        <f>IF(A2438="","",MATCH(A2438,Calculation!B$2:B9627,1))</f>
        <v>2</v>
      </c>
      <c r="E2438" s="23">
        <f t="array" ref="E2438">IF(D2438="","",IF(D2438=1,0,INDEX(Calculation!Q$2:Q9627,D2438-1)))</f>
        <v>3232449.315</v>
      </c>
      <c r="F2438" s="23">
        <f t="array" ref="F2438">IF($A2438="","",
  LET(
    r, $D2438,
    startD, INDEX(Calculation!B$2:B9627, r),
    endD,   INDEX(Calculation!C$2:C9627, r),
    asOf,   MIN($A2438,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1741275.616</v>
      </c>
    </row>
    <row r="2439">
      <c r="A2439" s="19">
        <v>44674.0</v>
      </c>
      <c r="B2439" s="23">
        <v>1.0765E7</v>
      </c>
      <c r="C2439" s="23">
        <f t="shared" si="1"/>
        <v>4980803.288</v>
      </c>
      <c r="D2439" s="18">
        <f>IF(A2439="","",MATCH(A2439,Calculation!B$2:B9627,1))</f>
        <v>2</v>
      </c>
      <c r="E2439" s="23">
        <f t="array" ref="E2439">IF(D2439="","",IF(D2439=1,0,INDEX(Calculation!Q$2:Q9627,D2439-1)))</f>
        <v>3232449.315</v>
      </c>
      <c r="F2439" s="23">
        <f t="array" ref="F2439">IF($A2439="","",
  LET(
    r, $D2439,
    startD, INDEX(Calculation!B$2:B9627, r),
    endD,   INDEX(Calculation!C$2:C9627, r),
    asOf,   MIN($A2439,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1748353.973</v>
      </c>
    </row>
    <row r="2440">
      <c r="A2440" s="19">
        <v>44675.0</v>
      </c>
      <c r="B2440" s="23">
        <v>1.0765E7</v>
      </c>
      <c r="C2440" s="23">
        <f t="shared" si="1"/>
        <v>4987881.644</v>
      </c>
      <c r="D2440" s="18">
        <f>IF(A2440="","",MATCH(A2440,Calculation!B$2:B9627,1))</f>
        <v>2</v>
      </c>
      <c r="E2440" s="23">
        <f t="array" ref="E2440">IF(D2440="","",IF(D2440=1,0,INDEX(Calculation!Q$2:Q9627,D2440-1)))</f>
        <v>3232449.315</v>
      </c>
      <c r="F2440" s="23">
        <f t="array" ref="F2440">IF($A2440="","",
  LET(
    r, $D2440,
    startD, INDEX(Calculation!B$2:B9627, r),
    endD,   INDEX(Calculation!C$2:C9627, r),
    asOf,   MIN($A2440,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1755432.329</v>
      </c>
    </row>
    <row r="2441">
      <c r="A2441" s="19">
        <v>44676.0</v>
      </c>
      <c r="B2441" s="23">
        <v>1.0765E7</v>
      </c>
      <c r="C2441" s="23">
        <f t="shared" si="1"/>
        <v>4994960</v>
      </c>
      <c r="D2441" s="18">
        <f>IF(A2441="","",MATCH(A2441,Calculation!B$2:B9627,1))</f>
        <v>2</v>
      </c>
      <c r="E2441" s="23">
        <f t="array" ref="E2441">IF(D2441="","",IF(D2441=1,0,INDEX(Calculation!Q$2:Q9627,D2441-1)))</f>
        <v>3232449.315</v>
      </c>
      <c r="F2441" s="23">
        <f t="array" ref="F2441">IF($A2441="","",
  LET(
    r, $D2441,
    startD, INDEX(Calculation!B$2:B9627, r),
    endD,   INDEX(Calculation!C$2:C9627, r),
    asOf,   MIN($A2441,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1762510.685</v>
      </c>
    </row>
    <row r="2442">
      <c r="A2442" s="19">
        <v>44677.0</v>
      </c>
      <c r="B2442" s="23">
        <v>1.0765E7</v>
      </c>
      <c r="C2442" s="23">
        <f t="shared" si="1"/>
        <v>5002038.356</v>
      </c>
      <c r="D2442" s="18">
        <f>IF(A2442="","",MATCH(A2442,Calculation!B$2:B9627,1))</f>
        <v>2</v>
      </c>
      <c r="E2442" s="23">
        <f t="array" ref="E2442">IF(D2442="","",IF(D2442=1,0,INDEX(Calculation!Q$2:Q9627,D2442-1)))</f>
        <v>3232449.315</v>
      </c>
      <c r="F2442" s="23">
        <f t="array" ref="F2442">IF($A2442="","",
  LET(
    r, $D2442,
    startD, INDEX(Calculation!B$2:B9627, r),
    endD,   INDEX(Calculation!C$2:C9627, r),
    asOf,   MIN($A2442,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1769589.041</v>
      </c>
    </row>
    <row r="2443">
      <c r="A2443" s="19">
        <v>44678.0</v>
      </c>
      <c r="B2443" s="23">
        <v>1.0765E7</v>
      </c>
      <c r="C2443" s="23">
        <f t="shared" si="1"/>
        <v>5009116.712</v>
      </c>
      <c r="D2443" s="18">
        <f>IF(A2443="","",MATCH(A2443,Calculation!B$2:B9627,1))</f>
        <v>2</v>
      </c>
      <c r="E2443" s="23">
        <f t="array" ref="E2443">IF(D2443="","",IF(D2443=1,0,INDEX(Calculation!Q$2:Q9627,D2443-1)))</f>
        <v>3232449.315</v>
      </c>
      <c r="F2443" s="23">
        <f t="array" ref="F2443">IF($A2443="","",
  LET(
    r, $D2443,
    startD, INDEX(Calculation!B$2:B9627, r),
    endD,   INDEX(Calculation!C$2:C9627, r),
    asOf,   MIN($A2443,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1776667.397</v>
      </c>
    </row>
    <row r="2444">
      <c r="A2444" s="19">
        <v>44679.0</v>
      </c>
      <c r="B2444" s="23">
        <v>1.0765E7</v>
      </c>
      <c r="C2444" s="23">
        <f t="shared" si="1"/>
        <v>5016195.068</v>
      </c>
      <c r="D2444" s="18">
        <f>IF(A2444="","",MATCH(A2444,Calculation!B$2:B9627,1))</f>
        <v>2</v>
      </c>
      <c r="E2444" s="23">
        <f t="array" ref="E2444">IF(D2444="","",IF(D2444=1,0,INDEX(Calculation!Q$2:Q9627,D2444-1)))</f>
        <v>3232449.315</v>
      </c>
      <c r="F2444" s="23">
        <f t="array" ref="F2444">IF($A2444="","",
  LET(
    r, $D2444,
    startD, INDEX(Calculation!B$2:B9627, r),
    endD,   INDEX(Calculation!C$2:C9627, r),
    asOf,   MIN($A2444,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1783745.753</v>
      </c>
    </row>
    <row r="2445">
      <c r="A2445" s="19">
        <v>44680.0</v>
      </c>
      <c r="B2445" s="23">
        <v>1.0765E7</v>
      </c>
      <c r="C2445" s="23">
        <f t="shared" si="1"/>
        <v>5023273.425</v>
      </c>
      <c r="D2445" s="18">
        <f>IF(A2445="","",MATCH(A2445,Calculation!B$2:B9627,1))</f>
        <v>2</v>
      </c>
      <c r="E2445" s="23">
        <f t="array" ref="E2445">IF(D2445="","",IF(D2445=1,0,INDEX(Calculation!Q$2:Q9627,D2445-1)))</f>
        <v>3232449.315</v>
      </c>
      <c r="F2445" s="23">
        <f t="array" ref="F2445">IF($A2445="","",
  LET(
    r, $D2445,
    startD, INDEX(Calculation!B$2:B9627, r),
    endD,   INDEX(Calculation!C$2:C9627, r),
    asOf,   MIN($A2445,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1790824.11</v>
      </c>
    </row>
    <row r="2446">
      <c r="A2446" s="19">
        <v>44681.0</v>
      </c>
      <c r="B2446" s="23">
        <v>1.0765E7</v>
      </c>
      <c r="C2446" s="23">
        <f t="shared" si="1"/>
        <v>5030351.781</v>
      </c>
      <c r="D2446" s="18">
        <f>IF(A2446="","",MATCH(A2446,Calculation!B$2:B9627,1))</f>
        <v>2</v>
      </c>
      <c r="E2446" s="23">
        <f t="array" ref="E2446">IF(D2446="","",IF(D2446=1,0,INDEX(Calculation!Q$2:Q9627,D2446-1)))</f>
        <v>3232449.315</v>
      </c>
      <c r="F2446" s="23">
        <f t="array" ref="F2446">IF($A2446="","",
  LET(
    r, $D2446,
    startD, INDEX(Calculation!B$2:B9627, r),
    endD,   INDEX(Calculation!C$2:C9627, r),
    asOf,   MIN($A2446,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1797902.466</v>
      </c>
    </row>
    <row r="2447">
      <c r="A2447" s="19">
        <v>44682.0</v>
      </c>
      <c r="B2447" s="23">
        <v>1.0765E7</v>
      </c>
      <c r="C2447" s="23">
        <f t="shared" si="1"/>
        <v>5037430.137</v>
      </c>
      <c r="D2447" s="18">
        <f>IF(A2447="","",MATCH(A2447,Calculation!B$2:B9627,1))</f>
        <v>2</v>
      </c>
      <c r="E2447" s="23">
        <f t="array" ref="E2447">IF(D2447="","",IF(D2447=1,0,INDEX(Calculation!Q$2:Q9627,D2447-1)))</f>
        <v>3232449.315</v>
      </c>
      <c r="F2447" s="23">
        <f t="array" ref="F2447">IF($A2447="","",
  LET(
    r, $D2447,
    startD, INDEX(Calculation!B$2:B9627, r),
    endD,   INDEX(Calculation!C$2:C9627, r),
    asOf,   MIN($A2447,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1804980.822</v>
      </c>
    </row>
    <row r="2448">
      <c r="A2448" s="19">
        <v>44683.0</v>
      </c>
      <c r="B2448" s="23">
        <v>1.0765E7</v>
      </c>
      <c r="C2448" s="23">
        <f t="shared" si="1"/>
        <v>5044508.493</v>
      </c>
      <c r="D2448" s="18">
        <f>IF(A2448="","",MATCH(A2448,Calculation!B$2:B9627,1))</f>
        <v>2</v>
      </c>
      <c r="E2448" s="23">
        <f t="array" ref="E2448">IF(D2448="","",IF(D2448=1,0,INDEX(Calculation!Q$2:Q9627,D2448-1)))</f>
        <v>3232449.315</v>
      </c>
      <c r="F2448" s="23">
        <f t="array" ref="F2448">IF($A2448="","",
  LET(
    r, $D2448,
    startD, INDEX(Calculation!B$2:B9627, r),
    endD,   INDEX(Calculation!C$2:C9627, r),
    asOf,   MIN($A2448,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1812059.178</v>
      </c>
    </row>
    <row r="2449">
      <c r="A2449" s="19">
        <v>44684.0</v>
      </c>
      <c r="B2449" s="23">
        <v>1.0765E7</v>
      </c>
      <c r="C2449" s="23">
        <f t="shared" si="1"/>
        <v>5051586.849</v>
      </c>
      <c r="D2449" s="18">
        <f>IF(A2449="","",MATCH(A2449,Calculation!B$2:B9627,1))</f>
        <v>2</v>
      </c>
      <c r="E2449" s="23">
        <f t="array" ref="E2449">IF(D2449="","",IF(D2449=1,0,INDEX(Calculation!Q$2:Q9627,D2449-1)))</f>
        <v>3232449.315</v>
      </c>
      <c r="F2449" s="23">
        <f t="array" ref="F2449">IF($A2449="","",
  LET(
    r, $D2449,
    startD, INDEX(Calculation!B$2:B9627, r),
    endD,   INDEX(Calculation!C$2:C9627, r),
    asOf,   MIN($A2449,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1819137.534</v>
      </c>
    </row>
    <row r="2450">
      <c r="A2450" s="19">
        <v>44685.0</v>
      </c>
      <c r="B2450" s="23">
        <v>1.0765E7</v>
      </c>
      <c r="C2450" s="23">
        <f t="shared" si="1"/>
        <v>5058665.205</v>
      </c>
      <c r="D2450" s="18">
        <f>IF(A2450="","",MATCH(A2450,Calculation!B$2:B9627,1))</f>
        <v>2</v>
      </c>
      <c r="E2450" s="23">
        <f t="array" ref="E2450">IF(D2450="","",IF(D2450=1,0,INDEX(Calculation!Q$2:Q9627,D2450-1)))</f>
        <v>3232449.315</v>
      </c>
      <c r="F2450" s="23">
        <f t="array" ref="F2450">IF($A2450="","",
  LET(
    r, $D2450,
    startD, INDEX(Calculation!B$2:B9627, r),
    endD,   INDEX(Calculation!C$2:C9627, r),
    asOf,   MIN($A2450,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1826215.89</v>
      </c>
    </row>
    <row r="2451">
      <c r="A2451" s="19">
        <v>44686.0</v>
      </c>
      <c r="B2451" s="23">
        <v>1.0765E7</v>
      </c>
      <c r="C2451" s="23">
        <f t="shared" si="1"/>
        <v>5065743.562</v>
      </c>
      <c r="D2451" s="18">
        <f>IF(A2451="","",MATCH(A2451,Calculation!B$2:B9627,1))</f>
        <v>2</v>
      </c>
      <c r="E2451" s="23">
        <f t="array" ref="E2451">IF(D2451="","",IF(D2451=1,0,INDEX(Calculation!Q$2:Q9627,D2451-1)))</f>
        <v>3232449.315</v>
      </c>
      <c r="F2451" s="23">
        <f t="array" ref="F2451">IF($A2451="","",
  LET(
    r, $D2451,
    startD, INDEX(Calculation!B$2:B9627, r),
    endD,   INDEX(Calculation!C$2:C9627, r),
    asOf,   MIN($A2451,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1833294.247</v>
      </c>
    </row>
    <row r="2452">
      <c r="A2452" s="19">
        <v>44687.0</v>
      </c>
      <c r="B2452" s="23">
        <v>1.0765E7</v>
      </c>
      <c r="C2452" s="23">
        <f t="shared" si="1"/>
        <v>5072821.918</v>
      </c>
      <c r="D2452" s="18">
        <f>IF(A2452="","",MATCH(A2452,Calculation!B$2:B9627,1))</f>
        <v>2</v>
      </c>
      <c r="E2452" s="23">
        <f t="array" ref="E2452">IF(D2452="","",IF(D2452=1,0,INDEX(Calculation!Q$2:Q9627,D2452-1)))</f>
        <v>3232449.315</v>
      </c>
      <c r="F2452" s="23">
        <f t="array" ref="F2452">IF($A2452="","",
  LET(
    r, $D2452,
    startD, INDEX(Calculation!B$2:B9627, r),
    endD,   INDEX(Calculation!C$2:C9627, r),
    asOf,   MIN($A2452,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1840372.603</v>
      </c>
    </row>
    <row r="2453">
      <c r="A2453" s="19">
        <v>44688.0</v>
      </c>
      <c r="B2453" s="23">
        <v>1.0765E7</v>
      </c>
      <c r="C2453" s="23">
        <f t="shared" si="1"/>
        <v>5079900.274</v>
      </c>
      <c r="D2453" s="18">
        <f>IF(A2453="","",MATCH(A2453,Calculation!B$2:B9627,1))</f>
        <v>2</v>
      </c>
      <c r="E2453" s="23">
        <f t="array" ref="E2453">IF(D2453="","",IF(D2453=1,0,INDEX(Calculation!Q$2:Q9627,D2453-1)))</f>
        <v>3232449.315</v>
      </c>
      <c r="F2453" s="23">
        <f t="array" ref="F2453">IF($A2453="","",
  LET(
    r, $D2453,
    startD, INDEX(Calculation!B$2:B9627, r),
    endD,   INDEX(Calculation!C$2:C9627, r),
    asOf,   MIN($A2453,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1847450.959</v>
      </c>
    </row>
    <row r="2454">
      <c r="A2454" s="19">
        <v>44689.0</v>
      </c>
      <c r="B2454" s="23">
        <v>1.0765E7</v>
      </c>
      <c r="C2454" s="23">
        <f t="shared" si="1"/>
        <v>5086978.63</v>
      </c>
      <c r="D2454" s="18">
        <f>IF(A2454="","",MATCH(A2454,Calculation!B$2:B9627,1))</f>
        <v>2</v>
      </c>
      <c r="E2454" s="23">
        <f t="array" ref="E2454">IF(D2454="","",IF(D2454=1,0,INDEX(Calculation!Q$2:Q9627,D2454-1)))</f>
        <v>3232449.315</v>
      </c>
      <c r="F2454" s="23">
        <f t="array" ref="F2454">IF($A2454="","",
  LET(
    r, $D2454,
    startD, INDEX(Calculation!B$2:B9627, r),
    endD,   INDEX(Calculation!C$2:C9627, r),
    asOf,   MIN($A2454,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1854529.315</v>
      </c>
    </row>
    <row r="2455">
      <c r="A2455" s="19">
        <v>44690.0</v>
      </c>
      <c r="B2455" s="23">
        <v>1.0765E7</v>
      </c>
      <c r="C2455" s="23">
        <f t="shared" si="1"/>
        <v>5094056.986</v>
      </c>
      <c r="D2455" s="18">
        <f>IF(A2455="","",MATCH(A2455,Calculation!B$2:B9627,1))</f>
        <v>2</v>
      </c>
      <c r="E2455" s="23">
        <f t="array" ref="E2455">IF(D2455="","",IF(D2455=1,0,INDEX(Calculation!Q$2:Q9627,D2455-1)))</f>
        <v>3232449.315</v>
      </c>
      <c r="F2455" s="23">
        <f t="array" ref="F2455">IF($A2455="","",
  LET(
    r, $D2455,
    startD, INDEX(Calculation!B$2:B9627, r),
    endD,   INDEX(Calculation!C$2:C9627, r),
    asOf,   MIN($A2455,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1861607.671</v>
      </c>
    </row>
    <row r="2456">
      <c r="A2456" s="19">
        <v>44691.0</v>
      </c>
      <c r="B2456" s="23">
        <v>1.0765E7</v>
      </c>
      <c r="C2456" s="23">
        <f t="shared" si="1"/>
        <v>5101135.342</v>
      </c>
      <c r="D2456" s="18">
        <f>IF(A2456="","",MATCH(A2456,Calculation!B$2:B9627,1))</f>
        <v>2</v>
      </c>
      <c r="E2456" s="23">
        <f t="array" ref="E2456">IF(D2456="","",IF(D2456=1,0,INDEX(Calculation!Q$2:Q9627,D2456-1)))</f>
        <v>3232449.315</v>
      </c>
      <c r="F2456" s="23">
        <f t="array" ref="F2456">IF($A2456="","",
  LET(
    r, $D2456,
    startD, INDEX(Calculation!B$2:B9627, r),
    endD,   INDEX(Calculation!C$2:C9627, r),
    asOf,   MIN($A2456,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1868686.027</v>
      </c>
    </row>
    <row r="2457">
      <c r="A2457" s="19">
        <v>44692.0</v>
      </c>
      <c r="B2457" s="23">
        <v>1.0765E7</v>
      </c>
      <c r="C2457" s="23">
        <f t="shared" si="1"/>
        <v>5108213.699</v>
      </c>
      <c r="D2457" s="18">
        <f>IF(A2457="","",MATCH(A2457,Calculation!B$2:B9627,1))</f>
        <v>2</v>
      </c>
      <c r="E2457" s="23">
        <f t="array" ref="E2457">IF(D2457="","",IF(D2457=1,0,INDEX(Calculation!Q$2:Q9627,D2457-1)))</f>
        <v>3232449.315</v>
      </c>
      <c r="F2457" s="23">
        <f t="array" ref="F2457">IF($A2457="","",
  LET(
    r, $D2457,
    startD, INDEX(Calculation!B$2:B9627, r),
    endD,   INDEX(Calculation!C$2:C9627, r),
    asOf,   MIN($A2457,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1875764.384</v>
      </c>
    </row>
    <row r="2458">
      <c r="A2458" s="19">
        <v>44693.0</v>
      </c>
      <c r="B2458" s="23">
        <v>1.0765E7</v>
      </c>
      <c r="C2458" s="23">
        <f t="shared" si="1"/>
        <v>5115292.055</v>
      </c>
      <c r="D2458" s="18">
        <f>IF(A2458="","",MATCH(A2458,Calculation!B$2:B9627,1))</f>
        <v>2</v>
      </c>
      <c r="E2458" s="23">
        <f t="array" ref="E2458">IF(D2458="","",IF(D2458=1,0,INDEX(Calculation!Q$2:Q9627,D2458-1)))</f>
        <v>3232449.315</v>
      </c>
      <c r="F2458" s="23">
        <f t="array" ref="F2458">IF($A2458="","",
  LET(
    r, $D2458,
    startD, INDEX(Calculation!B$2:B9627, r),
    endD,   INDEX(Calculation!C$2:C9627, r),
    asOf,   MIN($A2458,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1882842.74</v>
      </c>
    </row>
    <row r="2459">
      <c r="A2459" s="19">
        <v>44694.0</v>
      </c>
      <c r="B2459" s="23">
        <v>1.0765E7</v>
      </c>
      <c r="C2459" s="23">
        <f t="shared" si="1"/>
        <v>5122370.411</v>
      </c>
      <c r="D2459" s="18">
        <f>IF(A2459="","",MATCH(A2459,Calculation!B$2:B9627,1))</f>
        <v>2</v>
      </c>
      <c r="E2459" s="23">
        <f t="array" ref="E2459">IF(D2459="","",IF(D2459=1,0,INDEX(Calculation!Q$2:Q9627,D2459-1)))</f>
        <v>3232449.315</v>
      </c>
      <c r="F2459" s="23">
        <f t="array" ref="F2459">IF($A2459="","",
  LET(
    r, $D2459,
    startD, INDEX(Calculation!B$2:B9627, r),
    endD,   INDEX(Calculation!C$2:C9627, r),
    asOf,   MIN($A2459,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1889921.096</v>
      </c>
    </row>
    <row r="2460">
      <c r="A2460" s="19">
        <v>44695.0</v>
      </c>
      <c r="B2460" s="23">
        <v>1.0765E7</v>
      </c>
      <c r="C2460" s="23">
        <f t="shared" si="1"/>
        <v>5129448.767</v>
      </c>
      <c r="D2460" s="18">
        <f>IF(A2460="","",MATCH(A2460,Calculation!B$2:B9627,1))</f>
        <v>2</v>
      </c>
      <c r="E2460" s="23">
        <f t="array" ref="E2460">IF(D2460="","",IF(D2460=1,0,INDEX(Calculation!Q$2:Q9627,D2460-1)))</f>
        <v>3232449.315</v>
      </c>
      <c r="F2460" s="23">
        <f t="array" ref="F2460">IF($A2460="","",
  LET(
    r, $D2460,
    startD, INDEX(Calculation!B$2:B9627, r),
    endD,   INDEX(Calculation!C$2:C9627, r),
    asOf,   MIN($A2460,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1896999.452</v>
      </c>
    </row>
    <row r="2461">
      <c r="A2461" s="19">
        <v>44696.0</v>
      </c>
      <c r="B2461" s="23">
        <v>1.0765E7</v>
      </c>
      <c r="C2461" s="23">
        <f t="shared" si="1"/>
        <v>5136527.123</v>
      </c>
      <c r="D2461" s="18">
        <f>IF(A2461="","",MATCH(A2461,Calculation!B$2:B9627,1))</f>
        <v>2</v>
      </c>
      <c r="E2461" s="23">
        <f t="array" ref="E2461">IF(D2461="","",IF(D2461=1,0,INDEX(Calculation!Q$2:Q9627,D2461-1)))</f>
        <v>3232449.315</v>
      </c>
      <c r="F2461" s="23">
        <f t="array" ref="F2461">IF($A2461="","",
  LET(
    r, $D2461,
    startD, INDEX(Calculation!B$2:B9627, r),
    endD,   INDEX(Calculation!C$2:C9627, r),
    asOf,   MIN($A2461,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1904077.808</v>
      </c>
    </row>
    <row r="2462">
      <c r="A2462" s="19">
        <v>44697.0</v>
      </c>
      <c r="B2462" s="23">
        <v>1.0765E7</v>
      </c>
      <c r="C2462" s="23">
        <f t="shared" si="1"/>
        <v>5143605.479</v>
      </c>
      <c r="D2462" s="18">
        <f>IF(A2462="","",MATCH(A2462,Calculation!B$2:B9627,1))</f>
        <v>2</v>
      </c>
      <c r="E2462" s="23">
        <f t="array" ref="E2462">IF(D2462="","",IF(D2462=1,0,INDEX(Calculation!Q$2:Q9627,D2462-1)))</f>
        <v>3232449.315</v>
      </c>
      <c r="F2462" s="23">
        <f t="array" ref="F2462">IF($A2462="","",
  LET(
    r, $D2462,
    startD, INDEX(Calculation!B$2:B9627, r),
    endD,   INDEX(Calculation!C$2:C9627, r),
    asOf,   MIN($A2462,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1911156.164</v>
      </c>
    </row>
    <row r="2463">
      <c r="A2463" s="19">
        <v>44698.0</v>
      </c>
      <c r="B2463" s="23">
        <v>1.0765E7</v>
      </c>
      <c r="C2463" s="23">
        <f t="shared" si="1"/>
        <v>5150683.836</v>
      </c>
      <c r="D2463" s="18">
        <f>IF(A2463="","",MATCH(A2463,Calculation!B$2:B9627,1))</f>
        <v>2</v>
      </c>
      <c r="E2463" s="23">
        <f t="array" ref="E2463">IF(D2463="","",IF(D2463=1,0,INDEX(Calculation!Q$2:Q9627,D2463-1)))</f>
        <v>3232449.315</v>
      </c>
      <c r="F2463" s="23">
        <f t="array" ref="F2463">IF($A2463="","",
  LET(
    r, $D2463,
    startD, INDEX(Calculation!B$2:B9627, r),
    endD,   INDEX(Calculation!C$2:C9627, r),
    asOf,   MIN($A2463,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1918234.521</v>
      </c>
    </row>
    <row r="2464">
      <c r="A2464" s="19">
        <v>44699.0</v>
      </c>
      <c r="B2464" s="23">
        <v>1.0765E7</v>
      </c>
      <c r="C2464" s="23">
        <f t="shared" si="1"/>
        <v>5157762.192</v>
      </c>
      <c r="D2464" s="18">
        <f>IF(A2464="","",MATCH(A2464,Calculation!B$2:B9627,1))</f>
        <v>2</v>
      </c>
      <c r="E2464" s="23">
        <f t="array" ref="E2464">IF(D2464="","",IF(D2464=1,0,INDEX(Calculation!Q$2:Q9627,D2464-1)))</f>
        <v>3232449.315</v>
      </c>
      <c r="F2464" s="23">
        <f t="array" ref="F2464">IF($A2464="","",
  LET(
    r, $D2464,
    startD, INDEX(Calculation!B$2:B9627, r),
    endD,   INDEX(Calculation!C$2:C9627, r),
    asOf,   MIN($A2464,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1925312.877</v>
      </c>
    </row>
    <row r="2465">
      <c r="A2465" s="19">
        <v>44700.0</v>
      </c>
      <c r="B2465" s="23">
        <v>1.0765E7</v>
      </c>
      <c r="C2465" s="23">
        <f t="shared" si="1"/>
        <v>5164840.548</v>
      </c>
      <c r="D2465" s="18">
        <f>IF(A2465="","",MATCH(A2465,Calculation!B$2:B9627,1))</f>
        <v>2</v>
      </c>
      <c r="E2465" s="23">
        <f t="array" ref="E2465">IF(D2465="","",IF(D2465=1,0,INDEX(Calculation!Q$2:Q9627,D2465-1)))</f>
        <v>3232449.315</v>
      </c>
      <c r="F2465" s="23">
        <f t="array" ref="F2465">IF($A2465="","",
  LET(
    r, $D2465,
    startD, INDEX(Calculation!B$2:B9627, r),
    endD,   INDEX(Calculation!C$2:C9627, r),
    asOf,   MIN($A2465,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1932391.233</v>
      </c>
    </row>
    <row r="2466">
      <c r="A2466" s="19">
        <v>44701.0</v>
      </c>
      <c r="B2466" s="23">
        <v>1.0765E7</v>
      </c>
      <c r="C2466" s="23">
        <f t="shared" si="1"/>
        <v>5171918.904</v>
      </c>
      <c r="D2466" s="18">
        <f>IF(A2466="","",MATCH(A2466,Calculation!B$2:B9627,1))</f>
        <v>2</v>
      </c>
      <c r="E2466" s="23">
        <f t="array" ref="E2466">IF(D2466="","",IF(D2466=1,0,INDEX(Calculation!Q$2:Q9627,D2466-1)))</f>
        <v>3232449.315</v>
      </c>
      <c r="F2466" s="23">
        <f t="array" ref="F2466">IF($A2466="","",
  LET(
    r, $D2466,
    startD, INDEX(Calculation!B$2:B9627, r),
    endD,   INDEX(Calculation!C$2:C9627, r),
    asOf,   MIN($A2466,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1939469.589</v>
      </c>
    </row>
    <row r="2467">
      <c r="A2467" s="19">
        <v>44702.0</v>
      </c>
      <c r="B2467" s="23">
        <v>1.0765E7</v>
      </c>
      <c r="C2467" s="23">
        <f t="shared" si="1"/>
        <v>5178997.26</v>
      </c>
      <c r="D2467" s="18">
        <f>IF(A2467="","",MATCH(A2467,Calculation!B$2:B9627,1))</f>
        <v>2</v>
      </c>
      <c r="E2467" s="23">
        <f t="array" ref="E2467">IF(D2467="","",IF(D2467=1,0,INDEX(Calculation!Q$2:Q9627,D2467-1)))</f>
        <v>3232449.315</v>
      </c>
      <c r="F2467" s="23">
        <f t="array" ref="F2467">IF($A2467="","",
  LET(
    r, $D2467,
    startD, INDEX(Calculation!B$2:B9627, r),
    endD,   INDEX(Calculation!C$2:C9627, r),
    asOf,   MIN($A2467,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1946547.945</v>
      </c>
    </row>
    <row r="2468">
      <c r="A2468" s="19">
        <v>44703.0</v>
      </c>
      <c r="B2468" s="23">
        <v>1.0765E7</v>
      </c>
      <c r="C2468" s="23">
        <f t="shared" si="1"/>
        <v>5186075.616</v>
      </c>
      <c r="D2468" s="18">
        <f>IF(A2468="","",MATCH(A2468,Calculation!B$2:B9627,1))</f>
        <v>2</v>
      </c>
      <c r="E2468" s="23">
        <f t="array" ref="E2468">IF(D2468="","",IF(D2468=1,0,INDEX(Calculation!Q$2:Q9627,D2468-1)))</f>
        <v>3232449.315</v>
      </c>
      <c r="F2468" s="23">
        <f t="array" ref="F2468">IF($A2468="","",
  LET(
    r, $D2468,
    startD, INDEX(Calculation!B$2:B9627, r),
    endD,   INDEX(Calculation!C$2:C9627, r),
    asOf,   MIN($A2468,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1953626.301</v>
      </c>
    </row>
    <row r="2469">
      <c r="A2469" s="19">
        <v>44704.0</v>
      </c>
      <c r="B2469" s="23">
        <v>1.0765E7</v>
      </c>
      <c r="C2469" s="23">
        <f t="shared" si="1"/>
        <v>5193153.973</v>
      </c>
      <c r="D2469" s="18">
        <f>IF(A2469="","",MATCH(A2469,Calculation!B$2:B9627,1))</f>
        <v>2</v>
      </c>
      <c r="E2469" s="23">
        <f t="array" ref="E2469">IF(D2469="","",IF(D2469=1,0,INDEX(Calculation!Q$2:Q9627,D2469-1)))</f>
        <v>3232449.315</v>
      </c>
      <c r="F2469" s="23">
        <f t="array" ref="F2469">IF($A2469="","",
  LET(
    r, $D2469,
    startD, INDEX(Calculation!B$2:B9627, r),
    endD,   INDEX(Calculation!C$2:C9627, r),
    asOf,   MIN($A2469,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1960704.658</v>
      </c>
    </row>
    <row r="2470">
      <c r="A2470" s="19">
        <v>44705.0</v>
      </c>
      <c r="B2470" s="23">
        <v>1.0765E7</v>
      </c>
      <c r="C2470" s="23">
        <f t="shared" si="1"/>
        <v>5200232.329</v>
      </c>
      <c r="D2470" s="18">
        <f>IF(A2470="","",MATCH(A2470,Calculation!B$2:B9627,1))</f>
        <v>2</v>
      </c>
      <c r="E2470" s="23">
        <f t="array" ref="E2470">IF(D2470="","",IF(D2470=1,0,INDEX(Calculation!Q$2:Q9627,D2470-1)))</f>
        <v>3232449.315</v>
      </c>
      <c r="F2470" s="23">
        <f t="array" ref="F2470">IF($A2470="","",
  LET(
    r, $D2470,
    startD, INDEX(Calculation!B$2:B9627, r),
    endD,   INDEX(Calculation!C$2:C9627, r),
    asOf,   MIN($A2470,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1967783.014</v>
      </c>
    </row>
    <row r="2471">
      <c r="A2471" s="19">
        <v>44706.0</v>
      </c>
      <c r="B2471" s="23">
        <v>1.0765E7</v>
      </c>
      <c r="C2471" s="23">
        <f t="shared" si="1"/>
        <v>5207310.685</v>
      </c>
      <c r="D2471" s="18">
        <f>IF(A2471="","",MATCH(A2471,Calculation!B$2:B9627,1))</f>
        <v>2</v>
      </c>
      <c r="E2471" s="23">
        <f t="array" ref="E2471">IF(D2471="","",IF(D2471=1,0,INDEX(Calculation!Q$2:Q9627,D2471-1)))</f>
        <v>3232449.315</v>
      </c>
      <c r="F2471" s="23">
        <f t="array" ref="F2471">IF($A2471="","",
  LET(
    r, $D2471,
    startD, INDEX(Calculation!B$2:B9627, r),
    endD,   INDEX(Calculation!C$2:C9627, r),
    asOf,   MIN($A2471,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1974861.37</v>
      </c>
    </row>
    <row r="2472">
      <c r="A2472" s="19">
        <v>44707.0</v>
      </c>
      <c r="B2472" s="23">
        <v>1.0765E7</v>
      </c>
      <c r="C2472" s="23">
        <f t="shared" si="1"/>
        <v>5214389.041</v>
      </c>
      <c r="D2472" s="18">
        <f>IF(A2472="","",MATCH(A2472,Calculation!B$2:B9627,1))</f>
        <v>2</v>
      </c>
      <c r="E2472" s="23">
        <f t="array" ref="E2472">IF(D2472="","",IF(D2472=1,0,INDEX(Calculation!Q$2:Q9627,D2472-1)))</f>
        <v>3232449.315</v>
      </c>
      <c r="F2472" s="23">
        <f t="array" ref="F2472">IF($A2472="","",
  LET(
    r, $D2472,
    startD, INDEX(Calculation!B$2:B9627, r),
    endD,   INDEX(Calculation!C$2:C9627, r),
    asOf,   MIN($A2472,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1981939.726</v>
      </c>
    </row>
    <row r="2473">
      <c r="A2473" s="19">
        <v>44708.0</v>
      </c>
      <c r="B2473" s="23">
        <v>1.0765E7</v>
      </c>
      <c r="C2473" s="23">
        <f t="shared" si="1"/>
        <v>5221467.397</v>
      </c>
      <c r="D2473" s="18">
        <f>IF(A2473="","",MATCH(A2473,Calculation!B$2:B9627,1))</f>
        <v>2</v>
      </c>
      <c r="E2473" s="23">
        <f t="array" ref="E2473">IF(D2473="","",IF(D2473=1,0,INDEX(Calculation!Q$2:Q9627,D2473-1)))</f>
        <v>3232449.315</v>
      </c>
      <c r="F2473" s="23">
        <f t="array" ref="F2473">IF($A2473="","",
  LET(
    r, $D2473,
    startD, INDEX(Calculation!B$2:B9627, r),
    endD,   INDEX(Calculation!C$2:C9627, r),
    asOf,   MIN($A2473,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1989018.082</v>
      </c>
    </row>
    <row r="2474">
      <c r="A2474" s="19">
        <v>44709.0</v>
      </c>
      <c r="B2474" s="23">
        <v>1.0765E7</v>
      </c>
      <c r="C2474" s="23">
        <f t="shared" si="1"/>
        <v>5228545.753</v>
      </c>
      <c r="D2474" s="18">
        <f>IF(A2474="","",MATCH(A2474,Calculation!B$2:B9627,1))</f>
        <v>2</v>
      </c>
      <c r="E2474" s="23">
        <f t="array" ref="E2474">IF(D2474="","",IF(D2474=1,0,INDEX(Calculation!Q$2:Q9627,D2474-1)))</f>
        <v>3232449.315</v>
      </c>
      <c r="F2474" s="23">
        <f t="array" ref="F2474">IF($A2474="","",
  LET(
    r, $D2474,
    startD, INDEX(Calculation!B$2:B9627, r),
    endD,   INDEX(Calculation!C$2:C9627, r),
    asOf,   MIN($A2474,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1996096.438</v>
      </c>
    </row>
    <row r="2475">
      <c r="A2475" s="19">
        <v>44710.0</v>
      </c>
      <c r="B2475" s="23">
        <v>1.0765E7</v>
      </c>
      <c r="C2475" s="23">
        <f t="shared" si="1"/>
        <v>5235624.11</v>
      </c>
      <c r="D2475" s="18">
        <f>IF(A2475="","",MATCH(A2475,Calculation!B$2:B9627,1))</f>
        <v>2</v>
      </c>
      <c r="E2475" s="23">
        <f t="array" ref="E2475">IF(D2475="","",IF(D2475=1,0,INDEX(Calculation!Q$2:Q9627,D2475-1)))</f>
        <v>3232449.315</v>
      </c>
      <c r="F2475" s="23">
        <f t="array" ref="F2475">IF($A2475="","",
  LET(
    r, $D2475,
    startD, INDEX(Calculation!B$2:B9627, r),
    endD,   INDEX(Calculation!C$2:C9627, r),
    asOf,   MIN($A2475,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2003174.795</v>
      </c>
    </row>
    <row r="2476">
      <c r="A2476" s="19">
        <v>44711.0</v>
      </c>
      <c r="B2476" s="23">
        <v>1.0765E7</v>
      </c>
      <c r="C2476" s="23">
        <f t="shared" si="1"/>
        <v>5242702.466</v>
      </c>
      <c r="D2476" s="18">
        <f>IF(A2476="","",MATCH(A2476,Calculation!B$2:B9627,1))</f>
        <v>2</v>
      </c>
      <c r="E2476" s="23">
        <f t="array" ref="E2476">IF(D2476="","",IF(D2476=1,0,INDEX(Calculation!Q$2:Q9627,D2476-1)))</f>
        <v>3232449.315</v>
      </c>
      <c r="F2476" s="23">
        <f t="array" ref="F2476">IF($A2476="","",
  LET(
    r, $D2476,
    startD, INDEX(Calculation!B$2:B9627, r),
    endD,   INDEX(Calculation!C$2:C9627, r),
    asOf,   MIN($A2476,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2010253.151</v>
      </c>
    </row>
    <row r="2477">
      <c r="A2477" s="19">
        <v>44712.0</v>
      </c>
      <c r="B2477" s="23">
        <v>1.0765E7</v>
      </c>
      <c r="C2477" s="23">
        <f t="shared" si="1"/>
        <v>5249780.822</v>
      </c>
      <c r="D2477" s="18">
        <f>IF(A2477="","",MATCH(A2477,Calculation!B$2:B9627,1))</f>
        <v>2</v>
      </c>
      <c r="E2477" s="23">
        <f t="array" ref="E2477">IF(D2477="","",IF(D2477=1,0,INDEX(Calculation!Q$2:Q9627,D2477-1)))</f>
        <v>3232449.315</v>
      </c>
      <c r="F2477" s="23">
        <f t="array" ref="F2477">IF($A2477="","",
  LET(
    r, $D2477,
    startD, INDEX(Calculation!B$2:B9627, r),
    endD,   INDEX(Calculation!C$2:C9627, r),
    asOf,   MIN($A2477,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2017331.507</v>
      </c>
    </row>
    <row r="2478">
      <c r="A2478" s="19">
        <v>44713.0</v>
      </c>
      <c r="B2478" s="23">
        <v>1.0765E7</v>
      </c>
      <c r="C2478" s="23">
        <f t="shared" si="1"/>
        <v>5256859.178</v>
      </c>
      <c r="D2478" s="18">
        <f>IF(A2478="","",MATCH(A2478,Calculation!B$2:B9627,1))</f>
        <v>2</v>
      </c>
      <c r="E2478" s="23">
        <f t="array" ref="E2478">IF(D2478="","",IF(D2478=1,0,INDEX(Calculation!Q$2:Q9627,D2478-1)))</f>
        <v>3232449.315</v>
      </c>
      <c r="F2478" s="23">
        <f t="array" ref="F2478">IF($A2478="","",
  LET(
    r, $D2478,
    startD, INDEX(Calculation!B$2:B9627, r),
    endD,   INDEX(Calculation!C$2:C9627, r),
    asOf,   MIN($A2478,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2024409.863</v>
      </c>
    </row>
    <row r="2479">
      <c r="A2479" s="19">
        <v>44714.0</v>
      </c>
      <c r="B2479" s="23">
        <v>1.0765E7</v>
      </c>
      <c r="C2479" s="23">
        <f t="shared" si="1"/>
        <v>5263937.534</v>
      </c>
      <c r="D2479" s="18">
        <f>IF(A2479="","",MATCH(A2479,Calculation!B$2:B9627,1))</f>
        <v>2</v>
      </c>
      <c r="E2479" s="23">
        <f t="array" ref="E2479">IF(D2479="","",IF(D2479=1,0,INDEX(Calculation!Q$2:Q9627,D2479-1)))</f>
        <v>3232449.315</v>
      </c>
      <c r="F2479" s="23">
        <f t="array" ref="F2479">IF($A2479="","",
  LET(
    r, $D2479,
    startD, INDEX(Calculation!B$2:B9627, r),
    endD,   INDEX(Calculation!C$2:C9627, r),
    asOf,   MIN($A2479,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2031488.219</v>
      </c>
    </row>
    <row r="2480">
      <c r="A2480" s="19">
        <v>44715.0</v>
      </c>
      <c r="B2480" s="23">
        <v>1.0765E7</v>
      </c>
      <c r="C2480" s="23">
        <f t="shared" si="1"/>
        <v>5271015.89</v>
      </c>
      <c r="D2480" s="18">
        <f>IF(A2480="","",MATCH(A2480,Calculation!B$2:B9627,1))</f>
        <v>2</v>
      </c>
      <c r="E2480" s="23">
        <f t="array" ref="E2480">IF(D2480="","",IF(D2480=1,0,INDEX(Calculation!Q$2:Q9627,D2480-1)))</f>
        <v>3232449.315</v>
      </c>
      <c r="F2480" s="23">
        <f t="array" ref="F2480">IF($A2480="","",
  LET(
    r, $D2480,
    startD, INDEX(Calculation!B$2:B9627, r),
    endD,   INDEX(Calculation!C$2:C9627, r),
    asOf,   MIN($A2480,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2038566.575</v>
      </c>
    </row>
    <row r="2481">
      <c r="A2481" s="19">
        <v>44716.0</v>
      </c>
      <c r="B2481" s="23">
        <v>1.0765E7</v>
      </c>
      <c r="C2481" s="23">
        <f t="shared" si="1"/>
        <v>5278094.247</v>
      </c>
      <c r="D2481" s="18">
        <f>IF(A2481="","",MATCH(A2481,Calculation!B$2:B9627,1))</f>
        <v>2</v>
      </c>
      <c r="E2481" s="23">
        <f t="array" ref="E2481">IF(D2481="","",IF(D2481=1,0,INDEX(Calculation!Q$2:Q9627,D2481-1)))</f>
        <v>3232449.315</v>
      </c>
      <c r="F2481" s="23">
        <f t="array" ref="F2481">IF($A2481="","",
  LET(
    r, $D2481,
    startD, INDEX(Calculation!B$2:B9627, r),
    endD,   INDEX(Calculation!C$2:C9627, r),
    asOf,   MIN($A2481,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2045644.932</v>
      </c>
    </row>
    <row r="2482">
      <c r="A2482" s="19">
        <v>44717.0</v>
      </c>
      <c r="B2482" s="23">
        <v>1.0765E7</v>
      </c>
      <c r="C2482" s="23">
        <f t="shared" si="1"/>
        <v>5285172.603</v>
      </c>
      <c r="D2482" s="18">
        <f>IF(A2482="","",MATCH(A2482,Calculation!B$2:B9627,1))</f>
        <v>2</v>
      </c>
      <c r="E2482" s="23">
        <f t="array" ref="E2482">IF(D2482="","",IF(D2482=1,0,INDEX(Calculation!Q$2:Q9627,D2482-1)))</f>
        <v>3232449.315</v>
      </c>
      <c r="F2482" s="23">
        <f t="array" ref="F2482">IF($A2482="","",
  LET(
    r, $D2482,
    startD, INDEX(Calculation!B$2:B9627, r),
    endD,   INDEX(Calculation!C$2:C9627, r),
    asOf,   MIN($A2482,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2052723.288</v>
      </c>
    </row>
    <row r="2483">
      <c r="A2483" s="19">
        <v>44718.0</v>
      </c>
      <c r="B2483" s="23">
        <v>1.0765E7</v>
      </c>
      <c r="C2483" s="23">
        <f t="shared" si="1"/>
        <v>5292250.959</v>
      </c>
      <c r="D2483" s="18">
        <f>IF(A2483="","",MATCH(A2483,Calculation!B$2:B9627,1))</f>
        <v>2</v>
      </c>
      <c r="E2483" s="23">
        <f t="array" ref="E2483">IF(D2483="","",IF(D2483=1,0,INDEX(Calculation!Q$2:Q9627,D2483-1)))</f>
        <v>3232449.315</v>
      </c>
      <c r="F2483" s="23">
        <f t="array" ref="F2483">IF($A2483="","",
  LET(
    r, $D2483,
    startD, INDEX(Calculation!B$2:B9627, r),
    endD,   INDEX(Calculation!C$2:C9627, r),
    asOf,   MIN($A2483,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2059801.644</v>
      </c>
    </row>
    <row r="2484">
      <c r="A2484" s="19">
        <v>44719.0</v>
      </c>
      <c r="B2484" s="23">
        <v>1.0765E7</v>
      </c>
      <c r="C2484" s="23">
        <f t="shared" si="1"/>
        <v>5299329.315</v>
      </c>
      <c r="D2484" s="18">
        <f>IF(A2484="","",MATCH(A2484,Calculation!B$2:B9627,1))</f>
        <v>2</v>
      </c>
      <c r="E2484" s="23">
        <f t="array" ref="E2484">IF(D2484="","",IF(D2484=1,0,INDEX(Calculation!Q$2:Q9627,D2484-1)))</f>
        <v>3232449.315</v>
      </c>
      <c r="F2484" s="23">
        <f t="array" ref="F2484">IF($A2484="","",
  LET(
    r, $D2484,
    startD, INDEX(Calculation!B$2:B9627, r),
    endD,   INDEX(Calculation!C$2:C9627, r),
    asOf,   MIN($A2484,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2066880</v>
      </c>
    </row>
    <row r="2485">
      <c r="A2485" s="19">
        <v>44720.0</v>
      </c>
      <c r="B2485" s="23">
        <v>1.0765E7</v>
      </c>
      <c r="C2485" s="23">
        <f t="shared" si="1"/>
        <v>5306407.671</v>
      </c>
      <c r="D2485" s="18">
        <f>IF(A2485="","",MATCH(A2485,Calculation!B$2:B9627,1))</f>
        <v>2</v>
      </c>
      <c r="E2485" s="23">
        <f t="array" ref="E2485">IF(D2485="","",IF(D2485=1,0,INDEX(Calculation!Q$2:Q9627,D2485-1)))</f>
        <v>3232449.315</v>
      </c>
      <c r="F2485" s="23">
        <f t="array" ref="F2485">IF($A2485="","",
  LET(
    r, $D2485,
    startD, INDEX(Calculation!B$2:B9627, r),
    endD,   INDEX(Calculation!C$2:C9627, r),
    asOf,   MIN($A2485,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2073958.356</v>
      </c>
    </row>
    <row r="2486">
      <c r="A2486" s="19">
        <v>44721.0</v>
      </c>
      <c r="B2486" s="23">
        <v>1.0765E7</v>
      </c>
      <c r="C2486" s="23">
        <f t="shared" si="1"/>
        <v>5313486.027</v>
      </c>
      <c r="D2486" s="18">
        <f>IF(A2486="","",MATCH(A2486,Calculation!B$2:B9627,1))</f>
        <v>2</v>
      </c>
      <c r="E2486" s="23">
        <f t="array" ref="E2486">IF(D2486="","",IF(D2486=1,0,INDEX(Calculation!Q$2:Q9627,D2486-1)))</f>
        <v>3232449.315</v>
      </c>
      <c r="F2486" s="23">
        <f t="array" ref="F2486">IF($A2486="","",
  LET(
    r, $D2486,
    startD, INDEX(Calculation!B$2:B9627, r),
    endD,   INDEX(Calculation!C$2:C9627, r),
    asOf,   MIN($A2486,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2081036.712</v>
      </c>
    </row>
    <row r="2487">
      <c r="A2487" s="19">
        <v>44722.0</v>
      </c>
      <c r="B2487" s="23">
        <v>1.0765E7</v>
      </c>
      <c r="C2487" s="23">
        <f t="shared" si="1"/>
        <v>5320564.384</v>
      </c>
      <c r="D2487" s="18">
        <f>IF(A2487="","",MATCH(A2487,Calculation!B$2:B9627,1))</f>
        <v>2</v>
      </c>
      <c r="E2487" s="23">
        <f t="array" ref="E2487">IF(D2487="","",IF(D2487=1,0,INDEX(Calculation!Q$2:Q9627,D2487-1)))</f>
        <v>3232449.315</v>
      </c>
      <c r="F2487" s="23">
        <f t="array" ref="F2487">IF($A2487="","",
  LET(
    r, $D2487,
    startD, INDEX(Calculation!B$2:B9627, r),
    endD,   INDEX(Calculation!C$2:C9627, r),
    asOf,   MIN($A2487,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2088115.068</v>
      </c>
    </row>
    <row r="2488">
      <c r="A2488" s="19">
        <v>44723.0</v>
      </c>
      <c r="B2488" s="23">
        <v>1.0765E7</v>
      </c>
      <c r="C2488" s="23">
        <f t="shared" si="1"/>
        <v>5327642.74</v>
      </c>
      <c r="D2488" s="18">
        <f>IF(A2488="","",MATCH(A2488,Calculation!B$2:B9627,1))</f>
        <v>2</v>
      </c>
      <c r="E2488" s="23">
        <f t="array" ref="E2488">IF(D2488="","",IF(D2488=1,0,INDEX(Calculation!Q$2:Q9627,D2488-1)))</f>
        <v>3232449.315</v>
      </c>
      <c r="F2488" s="23">
        <f t="array" ref="F2488">IF($A2488="","",
  LET(
    r, $D2488,
    startD, INDEX(Calculation!B$2:B9627, r),
    endD,   INDEX(Calculation!C$2:C9627, r),
    asOf,   MIN($A2488,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2095193.425</v>
      </c>
    </row>
    <row r="2489">
      <c r="A2489" s="19">
        <v>44724.0</v>
      </c>
      <c r="B2489" s="23">
        <v>1.0765E7</v>
      </c>
      <c r="C2489" s="23">
        <f t="shared" si="1"/>
        <v>5334721.096</v>
      </c>
      <c r="D2489" s="18">
        <f>IF(A2489="","",MATCH(A2489,Calculation!B$2:B9627,1))</f>
        <v>2</v>
      </c>
      <c r="E2489" s="23">
        <f t="array" ref="E2489">IF(D2489="","",IF(D2489=1,0,INDEX(Calculation!Q$2:Q9627,D2489-1)))</f>
        <v>3232449.315</v>
      </c>
      <c r="F2489" s="23">
        <f t="array" ref="F2489">IF($A2489="","",
  LET(
    r, $D2489,
    startD, INDEX(Calculation!B$2:B9627, r),
    endD,   INDEX(Calculation!C$2:C9627, r),
    asOf,   MIN($A2489,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2102271.781</v>
      </c>
    </row>
    <row r="2490">
      <c r="A2490" s="19">
        <v>44725.0</v>
      </c>
      <c r="B2490" s="23">
        <v>1.0765E7</v>
      </c>
      <c r="C2490" s="23">
        <f t="shared" si="1"/>
        <v>5341799.452</v>
      </c>
      <c r="D2490" s="18">
        <f>IF(A2490="","",MATCH(A2490,Calculation!B$2:B9627,1))</f>
        <v>2</v>
      </c>
      <c r="E2490" s="23">
        <f t="array" ref="E2490">IF(D2490="","",IF(D2490=1,0,INDEX(Calculation!Q$2:Q9627,D2490-1)))</f>
        <v>3232449.315</v>
      </c>
      <c r="F2490" s="23">
        <f t="array" ref="F2490">IF($A2490="","",
  LET(
    r, $D2490,
    startD, INDEX(Calculation!B$2:B9627, r),
    endD,   INDEX(Calculation!C$2:C9627, r),
    asOf,   MIN($A2490,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2109350.137</v>
      </c>
    </row>
    <row r="2491">
      <c r="A2491" s="19">
        <v>44726.0</v>
      </c>
      <c r="B2491" s="23">
        <v>1.0765E7</v>
      </c>
      <c r="C2491" s="23">
        <f t="shared" si="1"/>
        <v>5348877.808</v>
      </c>
      <c r="D2491" s="18">
        <f>IF(A2491="","",MATCH(A2491,Calculation!B$2:B9627,1))</f>
        <v>2</v>
      </c>
      <c r="E2491" s="23">
        <f t="array" ref="E2491">IF(D2491="","",IF(D2491=1,0,INDEX(Calculation!Q$2:Q9627,D2491-1)))</f>
        <v>3232449.315</v>
      </c>
      <c r="F2491" s="23">
        <f t="array" ref="F2491">IF($A2491="","",
  LET(
    r, $D2491,
    startD, INDEX(Calculation!B$2:B9627, r),
    endD,   INDEX(Calculation!C$2:C9627, r),
    asOf,   MIN($A2491,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2116428.493</v>
      </c>
    </row>
    <row r="2492">
      <c r="A2492" s="19">
        <v>44727.0</v>
      </c>
      <c r="B2492" s="23">
        <v>1.0765E7</v>
      </c>
      <c r="C2492" s="23">
        <f t="shared" si="1"/>
        <v>5355956.164</v>
      </c>
      <c r="D2492" s="18">
        <f>IF(A2492="","",MATCH(A2492,Calculation!B$2:B9627,1))</f>
        <v>2</v>
      </c>
      <c r="E2492" s="23">
        <f t="array" ref="E2492">IF(D2492="","",IF(D2492=1,0,INDEX(Calculation!Q$2:Q9627,D2492-1)))</f>
        <v>3232449.315</v>
      </c>
      <c r="F2492" s="23">
        <f t="array" ref="F2492">IF($A2492="","",
  LET(
    r, $D2492,
    startD, INDEX(Calculation!B$2:B9627, r),
    endD,   INDEX(Calculation!C$2:C9627, r),
    asOf,   MIN($A2492,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2123506.849</v>
      </c>
    </row>
    <row r="2493">
      <c r="A2493" s="19">
        <v>44728.0</v>
      </c>
      <c r="B2493" s="23">
        <v>1.0765E7</v>
      </c>
      <c r="C2493" s="23">
        <f t="shared" si="1"/>
        <v>5363034.521</v>
      </c>
      <c r="D2493" s="18">
        <f>IF(A2493="","",MATCH(A2493,Calculation!B$2:B9627,1))</f>
        <v>2</v>
      </c>
      <c r="E2493" s="23">
        <f t="array" ref="E2493">IF(D2493="","",IF(D2493=1,0,INDEX(Calculation!Q$2:Q9627,D2493-1)))</f>
        <v>3232449.315</v>
      </c>
      <c r="F2493" s="23">
        <f t="array" ref="F2493">IF($A2493="","",
  LET(
    r, $D2493,
    startD, INDEX(Calculation!B$2:B9627, r),
    endD,   INDEX(Calculation!C$2:C9627, r),
    asOf,   MIN($A2493,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2130585.205</v>
      </c>
    </row>
    <row r="2494">
      <c r="A2494" s="19">
        <v>44729.0</v>
      </c>
      <c r="B2494" s="23">
        <v>1.0765E7</v>
      </c>
      <c r="C2494" s="23">
        <f t="shared" si="1"/>
        <v>5370112.877</v>
      </c>
      <c r="D2494" s="18">
        <f>IF(A2494="","",MATCH(A2494,Calculation!B$2:B9627,1))</f>
        <v>2</v>
      </c>
      <c r="E2494" s="23">
        <f t="array" ref="E2494">IF(D2494="","",IF(D2494=1,0,INDEX(Calculation!Q$2:Q9627,D2494-1)))</f>
        <v>3232449.315</v>
      </c>
      <c r="F2494" s="23">
        <f t="array" ref="F2494">IF($A2494="","",
  LET(
    r, $D2494,
    startD, INDEX(Calculation!B$2:B9627, r),
    endD,   INDEX(Calculation!C$2:C9627, r),
    asOf,   MIN($A2494,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2137663.562</v>
      </c>
    </row>
    <row r="2495">
      <c r="A2495" s="19">
        <v>44730.0</v>
      </c>
      <c r="B2495" s="23">
        <v>1.0765E7</v>
      </c>
      <c r="C2495" s="23">
        <f t="shared" si="1"/>
        <v>5377191.233</v>
      </c>
      <c r="D2495" s="18">
        <f>IF(A2495="","",MATCH(A2495,Calculation!B$2:B9627,1))</f>
        <v>2</v>
      </c>
      <c r="E2495" s="23">
        <f t="array" ref="E2495">IF(D2495="","",IF(D2495=1,0,INDEX(Calculation!Q$2:Q9627,D2495-1)))</f>
        <v>3232449.315</v>
      </c>
      <c r="F2495" s="23">
        <f t="array" ref="F2495">IF($A2495="","",
  LET(
    r, $D2495,
    startD, INDEX(Calculation!B$2:B9627, r),
    endD,   INDEX(Calculation!C$2:C9627, r),
    asOf,   MIN($A2495,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2144741.918</v>
      </c>
    </row>
    <row r="2496">
      <c r="A2496" s="19">
        <v>44731.0</v>
      </c>
      <c r="B2496" s="23">
        <v>1.0765E7</v>
      </c>
      <c r="C2496" s="23">
        <f t="shared" si="1"/>
        <v>5384269.589</v>
      </c>
      <c r="D2496" s="18">
        <f>IF(A2496="","",MATCH(A2496,Calculation!B$2:B9627,1))</f>
        <v>2</v>
      </c>
      <c r="E2496" s="23">
        <f t="array" ref="E2496">IF(D2496="","",IF(D2496=1,0,INDEX(Calculation!Q$2:Q9627,D2496-1)))</f>
        <v>3232449.315</v>
      </c>
      <c r="F2496" s="23">
        <f t="array" ref="F2496">IF($A2496="","",
  LET(
    r, $D2496,
    startD, INDEX(Calculation!B$2:B9627, r),
    endD,   INDEX(Calculation!C$2:C9627, r),
    asOf,   MIN($A2496,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2151820.274</v>
      </c>
    </row>
    <row r="2497">
      <c r="A2497" s="19">
        <v>44732.0</v>
      </c>
      <c r="B2497" s="23">
        <v>1.0765E7</v>
      </c>
      <c r="C2497" s="23">
        <f t="shared" si="1"/>
        <v>5391347.945</v>
      </c>
      <c r="D2497" s="18">
        <f>IF(A2497="","",MATCH(A2497,Calculation!B$2:B9627,1))</f>
        <v>2</v>
      </c>
      <c r="E2497" s="23">
        <f t="array" ref="E2497">IF(D2497="","",IF(D2497=1,0,INDEX(Calculation!Q$2:Q9627,D2497-1)))</f>
        <v>3232449.315</v>
      </c>
      <c r="F2497" s="23">
        <f t="array" ref="F2497">IF($A2497="","",
  LET(
    r, $D2497,
    startD, INDEX(Calculation!B$2:B9627, r),
    endD,   INDEX(Calculation!C$2:C9627, r),
    asOf,   MIN($A2497,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2158898.63</v>
      </c>
    </row>
    <row r="2498">
      <c r="A2498" s="19">
        <v>44733.0</v>
      </c>
      <c r="B2498" s="23">
        <v>1.0765E7</v>
      </c>
      <c r="C2498" s="23">
        <f t="shared" si="1"/>
        <v>5398426.301</v>
      </c>
      <c r="D2498" s="18">
        <f>IF(A2498="","",MATCH(A2498,Calculation!B$2:B9627,1))</f>
        <v>2</v>
      </c>
      <c r="E2498" s="23">
        <f t="array" ref="E2498">IF(D2498="","",IF(D2498=1,0,INDEX(Calculation!Q$2:Q9627,D2498-1)))</f>
        <v>3232449.315</v>
      </c>
      <c r="F2498" s="23">
        <f t="array" ref="F2498">IF($A2498="","",
  LET(
    r, $D2498,
    startD, INDEX(Calculation!B$2:B9627, r),
    endD,   INDEX(Calculation!C$2:C9627, r),
    asOf,   MIN($A2498,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2165976.986</v>
      </c>
    </row>
    <row r="2499">
      <c r="A2499" s="19">
        <v>44734.0</v>
      </c>
      <c r="B2499" s="23">
        <v>1.0765E7</v>
      </c>
      <c r="C2499" s="23">
        <f t="shared" si="1"/>
        <v>5405504.658</v>
      </c>
      <c r="D2499" s="18">
        <f>IF(A2499="","",MATCH(A2499,Calculation!B$2:B9627,1))</f>
        <v>2</v>
      </c>
      <c r="E2499" s="23">
        <f t="array" ref="E2499">IF(D2499="","",IF(D2499=1,0,INDEX(Calculation!Q$2:Q9627,D2499-1)))</f>
        <v>3232449.315</v>
      </c>
      <c r="F2499" s="23">
        <f t="array" ref="F2499">IF($A2499="","",
  LET(
    r, $D2499,
    startD, INDEX(Calculation!B$2:B9627, r),
    endD,   INDEX(Calculation!C$2:C9627, r),
    asOf,   MIN($A2499,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2173055.342</v>
      </c>
    </row>
    <row r="2500">
      <c r="A2500" s="19">
        <v>44735.0</v>
      </c>
      <c r="B2500" s="23">
        <v>1.0765E7</v>
      </c>
      <c r="C2500" s="23">
        <f t="shared" si="1"/>
        <v>5412583.014</v>
      </c>
      <c r="D2500" s="18">
        <f>IF(A2500="","",MATCH(A2500,Calculation!B$2:B9627,1))</f>
        <v>2</v>
      </c>
      <c r="E2500" s="23">
        <f t="array" ref="E2500">IF(D2500="","",IF(D2500=1,0,INDEX(Calculation!Q$2:Q9627,D2500-1)))</f>
        <v>3232449.315</v>
      </c>
      <c r="F2500" s="23">
        <f t="array" ref="F2500">IF($A2500="","",
  LET(
    r, $D2500,
    startD, INDEX(Calculation!B$2:B9627, r),
    endD,   INDEX(Calculation!C$2:C9627, r),
    asOf,   MIN($A2500,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2180133.699</v>
      </c>
    </row>
    <row r="2501">
      <c r="A2501" s="19">
        <v>44736.0</v>
      </c>
      <c r="B2501" s="23">
        <v>1.0765E7</v>
      </c>
      <c r="C2501" s="23">
        <f t="shared" si="1"/>
        <v>5419661.37</v>
      </c>
      <c r="D2501" s="18">
        <f>IF(A2501="","",MATCH(A2501,Calculation!B$2:B9627,1))</f>
        <v>2</v>
      </c>
      <c r="E2501" s="23">
        <f t="array" ref="E2501">IF(D2501="","",IF(D2501=1,0,INDEX(Calculation!Q$2:Q9627,D2501-1)))</f>
        <v>3232449.315</v>
      </c>
      <c r="F2501" s="23">
        <f t="array" ref="F2501">IF($A2501="","",
  LET(
    r, $D2501,
    startD, INDEX(Calculation!B$2:B9627, r),
    endD,   INDEX(Calculation!C$2:C9627, r),
    asOf,   MIN($A2501,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2187212.055</v>
      </c>
    </row>
    <row r="2502">
      <c r="A2502" s="19">
        <v>44737.0</v>
      </c>
      <c r="B2502" s="23">
        <v>1.0765E7</v>
      </c>
      <c r="C2502" s="23">
        <f t="shared" si="1"/>
        <v>5426739.726</v>
      </c>
      <c r="D2502" s="18">
        <f>IF(A2502="","",MATCH(A2502,Calculation!B$2:B9627,1))</f>
        <v>2</v>
      </c>
      <c r="E2502" s="23">
        <f t="array" ref="E2502">IF(D2502="","",IF(D2502=1,0,INDEX(Calculation!Q$2:Q9627,D2502-1)))</f>
        <v>3232449.315</v>
      </c>
      <c r="F2502" s="23">
        <f t="array" ref="F2502">IF($A2502="","",
  LET(
    r, $D2502,
    startD, INDEX(Calculation!B$2:B9627, r),
    endD,   INDEX(Calculation!C$2:C9627, r),
    asOf,   MIN($A2502,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2194290.411</v>
      </c>
    </row>
    <row r="2503">
      <c r="A2503" s="19">
        <v>44738.0</v>
      </c>
      <c r="B2503" s="23">
        <v>1.0765E7</v>
      </c>
      <c r="C2503" s="23">
        <f t="shared" si="1"/>
        <v>5433818.082</v>
      </c>
      <c r="D2503" s="18">
        <f>IF(A2503="","",MATCH(A2503,Calculation!B$2:B9627,1))</f>
        <v>2</v>
      </c>
      <c r="E2503" s="23">
        <f t="array" ref="E2503">IF(D2503="","",IF(D2503=1,0,INDEX(Calculation!Q$2:Q9627,D2503-1)))</f>
        <v>3232449.315</v>
      </c>
      <c r="F2503" s="23">
        <f t="array" ref="F2503">IF($A2503="","",
  LET(
    r, $D2503,
    startD, INDEX(Calculation!B$2:B9627, r),
    endD,   INDEX(Calculation!C$2:C9627, r),
    asOf,   MIN($A2503,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2201368.767</v>
      </c>
    </row>
    <row r="2504">
      <c r="A2504" s="19">
        <v>44739.0</v>
      </c>
      <c r="B2504" s="23">
        <v>1.0765E7</v>
      </c>
      <c r="C2504" s="23">
        <f t="shared" si="1"/>
        <v>5440896.438</v>
      </c>
      <c r="D2504" s="18">
        <f>IF(A2504="","",MATCH(A2504,Calculation!B$2:B9627,1))</f>
        <v>2</v>
      </c>
      <c r="E2504" s="23">
        <f t="array" ref="E2504">IF(D2504="","",IF(D2504=1,0,INDEX(Calculation!Q$2:Q9627,D2504-1)))</f>
        <v>3232449.315</v>
      </c>
      <c r="F2504" s="23">
        <f t="array" ref="F2504">IF($A2504="","",
  LET(
    r, $D2504,
    startD, INDEX(Calculation!B$2:B9627, r),
    endD,   INDEX(Calculation!C$2:C9627, r),
    asOf,   MIN($A2504,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2208447.123</v>
      </c>
    </row>
    <row r="2505">
      <c r="A2505" s="19">
        <v>44740.0</v>
      </c>
      <c r="B2505" s="23">
        <v>1.0765E7</v>
      </c>
      <c r="C2505" s="23">
        <f t="shared" si="1"/>
        <v>5447974.795</v>
      </c>
      <c r="D2505" s="18">
        <f>IF(A2505="","",MATCH(A2505,Calculation!B$2:B9627,1))</f>
        <v>2</v>
      </c>
      <c r="E2505" s="23">
        <f t="array" ref="E2505">IF(D2505="","",IF(D2505=1,0,INDEX(Calculation!Q$2:Q9627,D2505-1)))</f>
        <v>3232449.315</v>
      </c>
      <c r="F2505" s="23">
        <f t="array" ref="F2505">IF($A2505="","",
  LET(
    r, $D2505,
    startD, INDEX(Calculation!B$2:B9627, r),
    endD,   INDEX(Calculation!C$2:C9627, r),
    asOf,   MIN($A2505,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2215525.479</v>
      </c>
    </row>
    <row r="2506">
      <c r="A2506" s="19">
        <v>44741.0</v>
      </c>
      <c r="B2506" s="23">
        <v>1.0765E7</v>
      </c>
      <c r="C2506" s="23">
        <f t="shared" si="1"/>
        <v>5455053.151</v>
      </c>
      <c r="D2506" s="18">
        <f>IF(A2506="","",MATCH(A2506,Calculation!B$2:B9627,1))</f>
        <v>2</v>
      </c>
      <c r="E2506" s="23">
        <f t="array" ref="E2506">IF(D2506="","",IF(D2506=1,0,INDEX(Calculation!Q$2:Q9627,D2506-1)))</f>
        <v>3232449.315</v>
      </c>
      <c r="F2506" s="23">
        <f t="array" ref="F2506">IF($A2506="","",
  LET(
    r, $D2506,
    startD, INDEX(Calculation!B$2:B9627, r),
    endD,   INDEX(Calculation!C$2:C9627, r),
    asOf,   MIN($A2506,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2222603.836</v>
      </c>
    </row>
    <row r="2507">
      <c r="A2507" s="19">
        <v>44742.0</v>
      </c>
      <c r="B2507" s="23">
        <v>1.0765E7</v>
      </c>
      <c r="C2507" s="23">
        <f t="shared" si="1"/>
        <v>5462131.507</v>
      </c>
      <c r="D2507" s="18">
        <f>IF(A2507="","",MATCH(A2507,Calculation!B$2:B9627,1))</f>
        <v>2</v>
      </c>
      <c r="E2507" s="23">
        <f t="array" ref="E2507">IF(D2507="","",IF(D2507=1,0,INDEX(Calculation!Q$2:Q9627,D2507-1)))</f>
        <v>3232449.315</v>
      </c>
      <c r="F2507" s="23">
        <f t="array" ref="F2507">IF($A2507="","",
  LET(
    r, $D2507,
    startD, INDEX(Calculation!B$2:B9627, r),
    endD,   INDEX(Calculation!C$2:C9627, r),
    asOf,   MIN($A2507,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2229682.192</v>
      </c>
    </row>
    <row r="2508">
      <c r="A2508" s="19">
        <v>44743.0</v>
      </c>
      <c r="B2508" s="23">
        <v>1.0765E7</v>
      </c>
      <c r="C2508" s="23">
        <f t="shared" si="1"/>
        <v>5469209.863</v>
      </c>
      <c r="D2508" s="18">
        <f>IF(A2508="","",MATCH(A2508,Calculation!B$2:B9627,1))</f>
        <v>2</v>
      </c>
      <c r="E2508" s="23">
        <f t="array" ref="E2508">IF(D2508="","",IF(D2508=1,0,INDEX(Calculation!Q$2:Q9627,D2508-1)))</f>
        <v>3232449.315</v>
      </c>
      <c r="F2508" s="23">
        <f t="array" ref="F2508">IF($A2508="","",
  LET(
    r, $D2508,
    startD, INDEX(Calculation!B$2:B9627, r),
    endD,   INDEX(Calculation!C$2:C9627, r),
    asOf,   MIN($A2508,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2236760.548</v>
      </c>
    </row>
    <row r="2509">
      <c r="A2509" s="19">
        <v>44744.0</v>
      </c>
      <c r="B2509" s="23">
        <v>1.0765E7</v>
      </c>
      <c r="C2509" s="23">
        <f t="shared" si="1"/>
        <v>5476288.219</v>
      </c>
      <c r="D2509" s="18">
        <f>IF(A2509="","",MATCH(A2509,Calculation!B$2:B9627,1))</f>
        <v>2</v>
      </c>
      <c r="E2509" s="23">
        <f t="array" ref="E2509">IF(D2509="","",IF(D2509=1,0,INDEX(Calculation!Q$2:Q9627,D2509-1)))</f>
        <v>3232449.315</v>
      </c>
      <c r="F2509" s="23">
        <f t="array" ref="F2509">IF($A2509="","",
  LET(
    r, $D2509,
    startD, INDEX(Calculation!B$2:B9627, r),
    endD,   INDEX(Calculation!C$2:C9627, r),
    asOf,   MIN($A2509,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2243838.904</v>
      </c>
    </row>
    <row r="2510">
      <c r="A2510" s="19">
        <v>44745.0</v>
      </c>
      <c r="B2510" s="23">
        <v>1.0765E7</v>
      </c>
      <c r="C2510" s="23">
        <f t="shared" si="1"/>
        <v>5483366.575</v>
      </c>
      <c r="D2510" s="18">
        <f>IF(A2510="","",MATCH(A2510,Calculation!B$2:B9627,1))</f>
        <v>2</v>
      </c>
      <c r="E2510" s="23">
        <f t="array" ref="E2510">IF(D2510="","",IF(D2510=1,0,INDEX(Calculation!Q$2:Q9627,D2510-1)))</f>
        <v>3232449.315</v>
      </c>
      <c r="F2510" s="23">
        <f t="array" ref="F2510">IF($A2510="","",
  LET(
    r, $D2510,
    startD, INDEX(Calculation!B$2:B9627, r),
    endD,   INDEX(Calculation!C$2:C9627, r),
    asOf,   MIN($A2510,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2250917.26</v>
      </c>
    </row>
    <row r="2511">
      <c r="A2511" s="19">
        <v>44746.0</v>
      </c>
      <c r="B2511" s="23">
        <v>1.0765E7</v>
      </c>
      <c r="C2511" s="23">
        <f t="shared" si="1"/>
        <v>5490444.932</v>
      </c>
      <c r="D2511" s="18">
        <f>IF(A2511="","",MATCH(A2511,Calculation!B$2:B9627,1))</f>
        <v>2</v>
      </c>
      <c r="E2511" s="23">
        <f t="array" ref="E2511">IF(D2511="","",IF(D2511=1,0,INDEX(Calculation!Q$2:Q9627,D2511-1)))</f>
        <v>3232449.315</v>
      </c>
      <c r="F2511" s="23">
        <f t="array" ref="F2511">IF($A2511="","",
  LET(
    r, $D2511,
    startD, INDEX(Calculation!B$2:B9627, r),
    endD,   INDEX(Calculation!C$2:C9627, r),
    asOf,   MIN($A2511,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2257995.616</v>
      </c>
    </row>
    <row r="2512">
      <c r="A2512" s="19">
        <v>44747.0</v>
      </c>
      <c r="B2512" s="23">
        <v>1.0765E7</v>
      </c>
      <c r="C2512" s="23">
        <f t="shared" si="1"/>
        <v>5497523.288</v>
      </c>
      <c r="D2512" s="18">
        <f>IF(A2512="","",MATCH(A2512,Calculation!B$2:B9627,1))</f>
        <v>2</v>
      </c>
      <c r="E2512" s="23">
        <f t="array" ref="E2512">IF(D2512="","",IF(D2512=1,0,INDEX(Calculation!Q$2:Q9627,D2512-1)))</f>
        <v>3232449.315</v>
      </c>
      <c r="F2512" s="23">
        <f t="array" ref="F2512">IF($A2512="","",
  LET(
    r, $D2512,
    startD, INDEX(Calculation!B$2:B9627, r),
    endD,   INDEX(Calculation!C$2:C9627, r),
    asOf,   MIN($A2512,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2265073.973</v>
      </c>
    </row>
    <row r="2513">
      <c r="A2513" s="19">
        <v>44748.0</v>
      </c>
      <c r="B2513" s="23">
        <v>1.0765E7</v>
      </c>
      <c r="C2513" s="23">
        <f t="shared" si="1"/>
        <v>5504601.644</v>
      </c>
      <c r="D2513" s="18">
        <f>IF(A2513="","",MATCH(A2513,Calculation!B$2:B9627,1))</f>
        <v>2</v>
      </c>
      <c r="E2513" s="23">
        <f t="array" ref="E2513">IF(D2513="","",IF(D2513=1,0,INDEX(Calculation!Q$2:Q9627,D2513-1)))</f>
        <v>3232449.315</v>
      </c>
      <c r="F2513" s="23">
        <f t="array" ref="F2513">IF($A2513="","",
  LET(
    r, $D2513,
    startD, INDEX(Calculation!B$2:B9627, r),
    endD,   INDEX(Calculation!C$2:C9627, r),
    asOf,   MIN($A2513,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2272152.329</v>
      </c>
    </row>
    <row r="2514">
      <c r="A2514" s="19">
        <v>44749.0</v>
      </c>
      <c r="B2514" s="23">
        <v>1.0765E7</v>
      </c>
      <c r="C2514" s="23">
        <f t="shared" si="1"/>
        <v>5511680</v>
      </c>
      <c r="D2514" s="18">
        <f>IF(A2514="","",MATCH(A2514,Calculation!B$2:B9627,1))</f>
        <v>2</v>
      </c>
      <c r="E2514" s="23">
        <f t="array" ref="E2514">IF(D2514="","",IF(D2514=1,0,INDEX(Calculation!Q$2:Q9627,D2514-1)))</f>
        <v>3232449.315</v>
      </c>
      <c r="F2514" s="23">
        <f t="array" ref="F2514">IF($A2514="","",
  LET(
    r, $D2514,
    startD, INDEX(Calculation!B$2:B9627, r),
    endD,   INDEX(Calculation!C$2:C9627, r),
    asOf,   MIN($A2514,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2279230.685</v>
      </c>
    </row>
    <row r="2515">
      <c r="A2515" s="19">
        <v>44750.0</v>
      </c>
      <c r="B2515" s="23">
        <v>1.0765E7</v>
      </c>
      <c r="C2515" s="23">
        <f t="shared" si="1"/>
        <v>5518758.356</v>
      </c>
      <c r="D2515" s="18">
        <f>IF(A2515="","",MATCH(A2515,Calculation!B$2:B9627,1))</f>
        <v>2</v>
      </c>
      <c r="E2515" s="23">
        <f t="array" ref="E2515">IF(D2515="","",IF(D2515=1,0,INDEX(Calculation!Q$2:Q9627,D2515-1)))</f>
        <v>3232449.315</v>
      </c>
      <c r="F2515" s="23">
        <f t="array" ref="F2515">IF($A2515="","",
  LET(
    r, $D2515,
    startD, INDEX(Calculation!B$2:B9627, r),
    endD,   INDEX(Calculation!C$2:C9627, r),
    asOf,   MIN($A2515,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2286309.041</v>
      </c>
    </row>
    <row r="2516">
      <c r="A2516" s="19">
        <v>44751.0</v>
      </c>
      <c r="B2516" s="23">
        <v>1.0765E7</v>
      </c>
      <c r="C2516" s="23">
        <f t="shared" si="1"/>
        <v>5525836.712</v>
      </c>
      <c r="D2516" s="18">
        <f>IF(A2516="","",MATCH(A2516,Calculation!B$2:B9627,1))</f>
        <v>2</v>
      </c>
      <c r="E2516" s="23">
        <f t="array" ref="E2516">IF(D2516="","",IF(D2516=1,0,INDEX(Calculation!Q$2:Q9627,D2516-1)))</f>
        <v>3232449.315</v>
      </c>
      <c r="F2516" s="23">
        <f t="array" ref="F2516">IF($A2516="","",
  LET(
    r, $D2516,
    startD, INDEX(Calculation!B$2:B9627, r),
    endD,   INDEX(Calculation!C$2:C9627, r),
    asOf,   MIN($A2516,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2293387.397</v>
      </c>
    </row>
    <row r="2517">
      <c r="A2517" s="19">
        <v>44752.0</v>
      </c>
      <c r="B2517" s="23">
        <v>1.0765E7</v>
      </c>
      <c r="C2517" s="23">
        <f t="shared" si="1"/>
        <v>5532915.068</v>
      </c>
      <c r="D2517" s="18">
        <f>IF(A2517="","",MATCH(A2517,Calculation!B$2:B9627,1))</f>
        <v>2</v>
      </c>
      <c r="E2517" s="23">
        <f t="array" ref="E2517">IF(D2517="","",IF(D2517=1,0,INDEX(Calculation!Q$2:Q9627,D2517-1)))</f>
        <v>3232449.315</v>
      </c>
      <c r="F2517" s="23">
        <f t="array" ref="F2517">IF($A2517="","",
  LET(
    r, $D2517,
    startD, INDEX(Calculation!B$2:B9627, r),
    endD,   INDEX(Calculation!C$2:C9627, r),
    asOf,   MIN($A2517,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2300465.753</v>
      </c>
    </row>
    <row r="2518">
      <c r="A2518" s="19">
        <v>44753.0</v>
      </c>
      <c r="B2518" s="23">
        <v>1.0765E7</v>
      </c>
      <c r="C2518" s="23">
        <f t="shared" si="1"/>
        <v>5539993.425</v>
      </c>
      <c r="D2518" s="18">
        <f>IF(A2518="","",MATCH(A2518,Calculation!B$2:B9627,1))</f>
        <v>2</v>
      </c>
      <c r="E2518" s="23">
        <f t="array" ref="E2518">IF(D2518="","",IF(D2518=1,0,INDEX(Calculation!Q$2:Q9627,D2518-1)))</f>
        <v>3232449.315</v>
      </c>
      <c r="F2518" s="23">
        <f t="array" ref="F2518">IF($A2518="","",
  LET(
    r, $D2518,
    startD, INDEX(Calculation!B$2:B9627, r),
    endD,   INDEX(Calculation!C$2:C9627, r),
    asOf,   MIN($A2518,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2307544.11</v>
      </c>
    </row>
    <row r="2519">
      <c r="A2519" s="19">
        <v>44754.0</v>
      </c>
      <c r="B2519" s="23">
        <v>1.0765E7</v>
      </c>
      <c r="C2519" s="23">
        <f t="shared" si="1"/>
        <v>5547071.781</v>
      </c>
      <c r="D2519" s="18">
        <f>IF(A2519="","",MATCH(A2519,Calculation!B$2:B9627,1))</f>
        <v>2</v>
      </c>
      <c r="E2519" s="23">
        <f t="array" ref="E2519">IF(D2519="","",IF(D2519=1,0,INDEX(Calculation!Q$2:Q9627,D2519-1)))</f>
        <v>3232449.315</v>
      </c>
      <c r="F2519" s="23">
        <f t="array" ref="F2519">IF($A2519="","",
  LET(
    r, $D2519,
    startD, INDEX(Calculation!B$2:B9627, r),
    endD,   INDEX(Calculation!C$2:C9627, r),
    asOf,   MIN($A2519,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2314622.466</v>
      </c>
    </row>
    <row r="2520">
      <c r="A2520" s="19">
        <v>44755.0</v>
      </c>
      <c r="B2520" s="23">
        <v>1.0765E7</v>
      </c>
      <c r="C2520" s="23">
        <f t="shared" si="1"/>
        <v>5554150.137</v>
      </c>
      <c r="D2520" s="18">
        <f>IF(A2520="","",MATCH(A2520,Calculation!B$2:B9627,1))</f>
        <v>2</v>
      </c>
      <c r="E2520" s="23">
        <f t="array" ref="E2520">IF(D2520="","",IF(D2520=1,0,INDEX(Calculation!Q$2:Q9627,D2520-1)))</f>
        <v>3232449.315</v>
      </c>
      <c r="F2520" s="23">
        <f t="array" ref="F2520">IF($A2520="","",
  LET(
    r, $D2520,
    startD, INDEX(Calculation!B$2:B9627, r),
    endD,   INDEX(Calculation!C$2:C9627, r),
    asOf,   MIN($A2520,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2321700.822</v>
      </c>
    </row>
    <row r="2521">
      <c r="A2521" s="19">
        <v>44756.0</v>
      </c>
      <c r="B2521" s="23">
        <v>1.0765E7</v>
      </c>
      <c r="C2521" s="23">
        <f t="shared" si="1"/>
        <v>5561228.493</v>
      </c>
      <c r="D2521" s="18">
        <f>IF(A2521="","",MATCH(A2521,Calculation!B$2:B9627,1))</f>
        <v>2</v>
      </c>
      <c r="E2521" s="23">
        <f t="array" ref="E2521">IF(D2521="","",IF(D2521=1,0,INDEX(Calculation!Q$2:Q9627,D2521-1)))</f>
        <v>3232449.315</v>
      </c>
      <c r="F2521" s="23">
        <f t="array" ref="F2521">IF($A2521="","",
  LET(
    r, $D2521,
    startD, INDEX(Calculation!B$2:B9627, r),
    endD,   INDEX(Calculation!C$2:C9627, r),
    asOf,   MIN($A2521,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2328779.178</v>
      </c>
    </row>
    <row r="2522">
      <c r="A2522" s="19">
        <v>44757.0</v>
      </c>
      <c r="B2522" s="23">
        <v>1.0765E7</v>
      </c>
      <c r="C2522" s="23">
        <f t="shared" si="1"/>
        <v>5568306.849</v>
      </c>
      <c r="D2522" s="18">
        <f>IF(A2522="","",MATCH(A2522,Calculation!B$2:B9627,1))</f>
        <v>2</v>
      </c>
      <c r="E2522" s="23">
        <f t="array" ref="E2522">IF(D2522="","",IF(D2522=1,0,INDEX(Calculation!Q$2:Q9627,D2522-1)))</f>
        <v>3232449.315</v>
      </c>
      <c r="F2522" s="23">
        <f t="array" ref="F2522">IF($A2522="","",
  LET(
    r, $D2522,
    startD, INDEX(Calculation!B$2:B9627, r),
    endD,   INDEX(Calculation!C$2:C9627, r),
    asOf,   MIN($A2522,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2335857.534</v>
      </c>
    </row>
    <row r="2523">
      <c r="A2523" s="19">
        <v>44758.0</v>
      </c>
      <c r="B2523" s="23">
        <v>1.0765E7</v>
      </c>
      <c r="C2523" s="23">
        <f t="shared" si="1"/>
        <v>5575385.205</v>
      </c>
      <c r="D2523" s="18">
        <f>IF(A2523="","",MATCH(A2523,Calculation!B$2:B9627,1))</f>
        <v>2</v>
      </c>
      <c r="E2523" s="23">
        <f t="array" ref="E2523">IF(D2523="","",IF(D2523=1,0,INDEX(Calculation!Q$2:Q9627,D2523-1)))</f>
        <v>3232449.315</v>
      </c>
      <c r="F2523" s="23">
        <f t="array" ref="F2523">IF($A2523="","",
  LET(
    r, $D2523,
    startD, INDEX(Calculation!B$2:B9627, r),
    endD,   INDEX(Calculation!C$2:C9627, r),
    asOf,   MIN($A2523,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2342935.89</v>
      </c>
    </row>
    <row r="2524">
      <c r="A2524" s="19">
        <v>44759.0</v>
      </c>
      <c r="B2524" s="23">
        <v>1.0765E7</v>
      </c>
      <c r="C2524" s="23">
        <f t="shared" si="1"/>
        <v>5582463.562</v>
      </c>
      <c r="D2524" s="18">
        <f>IF(A2524="","",MATCH(A2524,Calculation!B$2:B9627,1))</f>
        <v>2</v>
      </c>
      <c r="E2524" s="23">
        <f t="array" ref="E2524">IF(D2524="","",IF(D2524=1,0,INDEX(Calculation!Q$2:Q9627,D2524-1)))</f>
        <v>3232449.315</v>
      </c>
      <c r="F2524" s="23">
        <f t="array" ref="F2524">IF($A2524="","",
  LET(
    r, $D2524,
    startD, INDEX(Calculation!B$2:B9627, r),
    endD,   INDEX(Calculation!C$2:C9627, r),
    asOf,   MIN($A2524,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2350014.247</v>
      </c>
    </row>
    <row r="2525">
      <c r="A2525" s="19">
        <v>44760.0</v>
      </c>
      <c r="B2525" s="23">
        <v>1.0765E7</v>
      </c>
      <c r="C2525" s="23">
        <f t="shared" si="1"/>
        <v>5589541.918</v>
      </c>
      <c r="D2525" s="18">
        <f>IF(A2525="","",MATCH(A2525,Calculation!B$2:B9627,1))</f>
        <v>2</v>
      </c>
      <c r="E2525" s="23">
        <f t="array" ref="E2525">IF(D2525="","",IF(D2525=1,0,INDEX(Calculation!Q$2:Q9627,D2525-1)))</f>
        <v>3232449.315</v>
      </c>
      <c r="F2525" s="23">
        <f t="array" ref="F2525">IF($A2525="","",
  LET(
    r, $D2525,
    startD, INDEX(Calculation!B$2:B9627, r),
    endD,   INDEX(Calculation!C$2:C9627, r),
    asOf,   MIN($A2525,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2357092.603</v>
      </c>
    </row>
    <row r="2526">
      <c r="A2526" s="19">
        <v>44761.0</v>
      </c>
      <c r="B2526" s="23">
        <v>1.0765E7</v>
      </c>
      <c r="C2526" s="23">
        <f t="shared" si="1"/>
        <v>5596620.274</v>
      </c>
      <c r="D2526" s="18">
        <f>IF(A2526="","",MATCH(A2526,Calculation!B$2:B9627,1))</f>
        <v>2</v>
      </c>
      <c r="E2526" s="23">
        <f t="array" ref="E2526">IF(D2526="","",IF(D2526=1,0,INDEX(Calculation!Q$2:Q9627,D2526-1)))</f>
        <v>3232449.315</v>
      </c>
      <c r="F2526" s="23">
        <f t="array" ref="F2526">IF($A2526="","",
  LET(
    r, $D2526,
    startD, INDEX(Calculation!B$2:B9627, r),
    endD,   INDEX(Calculation!C$2:C9627, r),
    asOf,   MIN($A2526,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2364170.959</v>
      </c>
    </row>
    <row r="2527">
      <c r="A2527" s="19">
        <v>44762.0</v>
      </c>
      <c r="B2527" s="23">
        <v>1.0765E7</v>
      </c>
      <c r="C2527" s="23">
        <f t="shared" si="1"/>
        <v>5603698.63</v>
      </c>
      <c r="D2527" s="18">
        <f>IF(A2527="","",MATCH(A2527,Calculation!B$2:B9627,1))</f>
        <v>2</v>
      </c>
      <c r="E2527" s="23">
        <f t="array" ref="E2527">IF(D2527="","",IF(D2527=1,0,INDEX(Calculation!Q$2:Q9627,D2527-1)))</f>
        <v>3232449.315</v>
      </c>
      <c r="F2527" s="23">
        <f t="array" ref="F2527">IF($A2527="","",
  LET(
    r, $D2527,
    startD, INDEX(Calculation!B$2:B9627, r),
    endD,   INDEX(Calculation!C$2:C9627, r),
    asOf,   MIN($A2527,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2371249.315</v>
      </c>
    </row>
    <row r="2528">
      <c r="A2528" s="19">
        <v>44763.0</v>
      </c>
      <c r="B2528" s="23">
        <v>1.0765E7</v>
      </c>
      <c r="C2528" s="23">
        <f t="shared" si="1"/>
        <v>5610776.986</v>
      </c>
      <c r="D2528" s="18">
        <f>IF(A2528="","",MATCH(A2528,Calculation!B$2:B9627,1))</f>
        <v>2</v>
      </c>
      <c r="E2528" s="23">
        <f t="array" ref="E2528">IF(D2528="","",IF(D2528=1,0,INDEX(Calculation!Q$2:Q9627,D2528-1)))</f>
        <v>3232449.315</v>
      </c>
      <c r="F2528" s="23">
        <f t="array" ref="F2528">IF($A2528="","",
  LET(
    r, $D2528,
    startD, INDEX(Calculation!B$2:B9627, r),
    endD,   INDEX(Calculation!C$2:C9627, r),
    asOf,   MIN($A2528,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2378327.671</v>
      </c>
    </row>
    <row r="2529">
      <c r="A2529" s="19">
        <v>44764.0</v>
      </c>
      <c r="B2529" s="23">
        <v>1.0765E7</v>
      </c>
      <c r="C2529" s="23">
        <f t="shared" si="1"/>
        <v>5617855.342</v>
      </c>
      <c r="D2529" s="18">
        <f>IF(A2529="","",MATCH(A2529,Calculation!B$2:B9627,1))</f>
        <v>2</v>
      </c>
      <c r="E2529" s="23">
        <f t="array" ref="E2529">IF(D2529="","",IF(D2529=1,0,INDEX(Calculation!Q$2:Q9627,D2529-1)))</f>
        <v>3232449.315</v>
      </c>
      <c r="F2529" s="23">
        <f t="array" ref="F2529">IF($A2529="","",
  LET(
    r, $D2529,
    startD, INDEX(Calculation!B$2:B9627, r),
    endD,   INDEX(Calculation!C$2:C9627, r),
    asOf,   MIN($A2529,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2385406.027</v>
      </c>
    </row>
    <row r="2530">
      <c r="A2530" s="19">
        <v>44765.0</v>
      </c>
      <c r="B2530" s="23">
        <v>1.0765E7</v>
      </c>
      <c r="C2530" s="23">
        <f t="shared" si="1"/>
        <v>5624933.699</v>
      </c>
      <c r="D2530" s="18">
        <f>IF(A2530="","",MATCH(A2530,Calculation!B$2:B9627,1))</f>
        <v>2</v>
      </c>
      <c r="E2530" s="23">
        <f t="array" ref="E2530">IF(D2530="","",IF(D2530=1,0,INDEX(Calculation!Q$2:Q9627,D2530-1)))</f>
        <v>3232449.315</v>
      </c>
      <c r="F2530" s="23">
        <f t="array" ref="F2530">IF($A2530="","",
  LET(
    r, $D2530,
    startD, INDEX(Calculation!B$2:B9627, r),
    endD,   INDEX(Calculation!C$2:C9627, r),
    asOf,   MIN($A2530,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2392484.384</v>
      </c>
    </row>
    <row r="2531">
      <c r="A2531" s="19">
        <v>44766.0</v>
      </c>
      <c r="B2531" s="23">
        <v>1.0765E7</v>
      </c>
      <c r="C2531" s="23">
        <f t="shared" si="1"/>
        <v>5632012.055</v>
      </c>
      <c r="D2531" s="18">
        <f>IF(A2531="","",MATCH(A2531,Calculation!B$2:B9627,1))</f>
        <v>2</v>
      </c>
      <c r="E2531" s="23">
        <f t="array" ref="E2531">IF(D2531="","",IF(D2531=1,0,INDEX(Calculation!Q$2:Q9627,D2531-1)))</f>
        <v>3232449.315</v>
      </c>
      <c r="F2531" s="23">
        <f t="array" ref="F2531">IF($A2531="","",
  LET(
    r, $D2531,
    startD, INDEX(Calculation!B$2:B9627, r),
    endD,   INDEX(Calculation!C$2:C9627, r),
    asOf,   MIN($A2531,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2399562.74</v>
      </c>
    </row>
    <row r="2532">
      <c r="A2532" s="19">
        <v>44767.0</v>
      </c>
      <c r="B2532" s="23">
        <v>1.0765E7</v>
      </c>
      <c r="C2532" s="23">
        <f t="shared" si="1"/>
        <v>5639090.411</v>
      </c>
      <c r="D2532" s="18">
        <f>IF(A2532="","",MATCH(A2532,Calculation!B$2:B9627,1))</f>
        <v>2</v>
      </c>
      <c r="E2532" s="23">
        <f t="array" ref="E2532">IF(D2532="","",IF(D2532=1,0,INDEX(Calculation!Q$2:Q9627,D2532-1)))</f>
        <v>3232449.315</v>
      </c>
      <c r="F2532" s="23">
        <f t="array" ref="F2532">IF($A2532="","",
  LET(
    r, $D2532,
    startD, INDEX(Calculation!B$2:B9627, r),
    endD,   INDEX(Calculation!C$2:C9627, r),
    asOf,   MIN($A2532,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2406641.096</v>
      </c>
    </row>
    <row r="2533">
      <c r="A2533" s="19">
        <v>44768.0</v>
      </c>
      <c r="B2533" s="23">
        <v>1.0765E7</v>
      </c>
      <c r="C2533" s="23">
        <f t="shared" si="1"/>
        <v>5646168.767</v>
      </c>
      <c r="D2533" s="18">
        <f>IF(A2533="","",MATCH(A2533,Calculation!B$2:B9627,1))</f>
        <v>2</v>
      </c>
      <c r="E2533" s="23">
        <f t="array" ref="E2533">IF(D2533="","",IF(D2533=1,0,INDEX(Calculation!Q$2:Q9627,D2533-1)))</f>
        <v>3232449.315</v>
      </c>
      <c r="F2533" s="23">
        <f t="array" ref="F2533">IF($A2533="","",
  LET(
    r, $D2533,
    startD, INDEX(Calculation!B$2:B9627, r),
    endD,   INDEX(Calculation!C$2:C9627, r),
    asOf,   MIN($A2533,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2413719.452</v>
      </c>
    </row>
    <row r="2534">
      <c r="A2534" s="19">
        <v>44769.0</v>
      </c>
      <c r="B2534" s="23">
        <v>1.0765E7</v>
      </c>
      <c r="C2534" s="23">
        <f t="shared" si="1"/>
        <v>5653247.123</v>
      </c>
      <c r="D2534" s="18">
        <f>IF(A2534="","",MATCH(A2534,Calculation!B$2:B9627,1))</f>
        <v>2</v>
      </c>
      <c r="E2534" s="23">
        <f t="array" ref="E2534">IF(D2534="","",IF(D2534=1,0,INDEX(Calculation!Q$2:Q9627,D2534-1)))</f>
        <v>3232449.315</v>
      </c>
      <c r="F2534" s="23">
        <f t="array" ref="F2534">IF($A2534="","",
  LET(
    r, $D2534,
    startD, INDEX(Calculation!B$2:B9627, r),
    endD,   INDEX(Calculation!C$2:C9627, r),
    asOf,   MIN($A2534,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2420797.808</v>
      </c>
    </row>
    <row r="2535">
      <c r="A2535" s="19">
        <v>44770.0</v>
      </c>
      <c r="B2535" s="23">
        <v>1.0765E7</v>
      </c>
      <c r="C2535" s="23">
        <f t="shared" si="1"/>
        <v>5660325.479</v>
      </c>
      <c r="D2535" s="18">
        <f>IF(A2535="","",MATCH(A2535,Calculation!B$2:B9627,1))</f>
        <v>2</v>
      </c>
      <c r="E2535" s="23">
        <f t="array" ref="E2535">IF(D2535="","",IF(D2535=1,0,INDEX(Calculation!Q$2:Q9627,D2535-1)))</f>
        <v>3232449.315</v>
      </c>
      <c r="F2535" s="23">
        <f t="array" ref="F2535">IF($A2535="","",
  LET(
    r, $D2535,
    startD, INDEX(Calculation!B$2:B9627, r),
    endD,   INDEX(Calculation!C$2:C9627, r),
    asOf,   MIN($A2535,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2427876.164</v>
      </c>
    </row>
    <row r="2536">
      <c r="A2536" s="19">
        <v>44771.0</v>
      </c>
      <c r="B2536" s="23">
        <v>1.0765E7</v>
      </c>
      <c r="C2536" s="23">
        <f t="shared" si="1"/>
        <v>5667403.836</v>
      </c>
      <c r="D2536" s="18">
        <f>IF(A2536="","",MATCH(A2536,Calculation!B$2:B9627,1))</f>
        <v>2</v>
      </c>
      <c r="E2536" s="23">
        <f t="array" ref="E2536">IF(D2536="","",IF(D2536=1,0,INDEX(Calculation!Q$2:Q9627,D2536-1)))</f>
        <v>3232449.315</v>
      </c>
      <c r="F2536" s="23">
        <f t="array" ref="F2536">IF($A2536="","",
  LET(
    r, $D2536,
    startD, INDEX(Calculation!B$2:B9627, r),
    endD,   INDEX(Calculation!C$2:C9627, r),
    asOf,   MIN($A2536,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2434954.521</v>
      </c>
    </row>
    <row r="2537">
      <c r="A2537" s="19">
        <v>44772.0</v>
      </c>
      <c r="B2537" s="23">
        <v>1.0765E7</v>
      </c>
      <c r="C2537" s="23">
        <f t="shared" si="1"/>
        <v>5674482.192</v>
      </c>
      <c r="D2537" s="18">
        <f>IF(A2537="","",MATCH(A2537,Calculation!B$2:B9627,1))</f>
        <v>2</v>
      </c>
      <c r="E2537" s="23">
        <f t="array" ref="E2537">IF(D2537="","",IF(D2537=1,0,INDEX(Calculation!Q$2:Q9627,D2537-1)))</f>
        <v>3232449.315</v>
      </c>
      <c r="F2537" s="23">
        <f t="array" ref="F2537">IF($A2537="","",
  LET(
    r, $D2537,
    startD, INDEX(Calculation!B$2:B9627, r),
    endD,   INDEX(Calculation!C$2:C9627, r),
    asOf,   MIN($A2537,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2442032.877</v>
      </c>
    </row>
    <row r="2538">
      <c r="A2538" s="19">
        <v>44773.0</v>
      </c>
      <c r="B2538" s="23">
        <v>1.0765E7</v>
      </c>
      <c r="C2538" s="23">
        <f t="shared" si="1"/>
        <v>5681560.548</v>
      </c>
      <c r="D2538" s="18">
        <f>IF(A2538="","",MATCH(A2538,Calculation!B$2:B9627,1))</f>
        <v>2</v>
      </c>
      <c r="E2538" s="23">
        <f t="array" ref="E2538">IF(D2538="","",IF(D2538=1,0,INDEX(Calculation!Q$2:Q9627,D2538-1)))</f>
        <v>3232449.315</v>
      </c>
      <c r="F2538" s="23">
        <f t="array" ref="F2538">IF($A2538="","",
  LET(
    r, $D2538,
    startD, INDEX(Calculation!B$2:B9627, r),
    endD,   INDEX(Calculation!C$2:C9627, r),
    asOf,   MIN($A2538,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2449111.233</v>
      </c>
    </row>
    <row r="2539">
      <c r="A2539" s="19">
        <v>44774.0</v>
      </c>
      <c r="B2539" s="23">
        <v>1.0765E7</v>
      </c>
      <c r="C2539" s="23">
        <f t="shared" si="1"/>
        <v>5688638.904</v>
      </c>
      <c r="D2539" s="18">
        <f>IF(A2539="","",MATCH(A2539,Calculation!B$2:B9627,1))</f>
        <v>2</v>
      </c>
      <c r="E2539" s="23">
        <f t="array" ref="E2539">IF(D2539="","",IF(D2539=1,0,INDEX(Calculation!Q$2:Q9627,D2539-1)))</f>
        <v>3232449.315</v>
      </c>
      <c r="F2539" s="23">
        <f t="array" ref="F2539">IF($A2539="","",
  LET(
    r, $D2539,
    startD, INDEX(Calculation!B$2:B9627, r),
    endD,   INDEX(Calculation!C$2:C9627, r),
    asOf,   MIN($A2539,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2456189.589</v>
      </c>
    </row>
    <row r="2540">
      <c r="A2540" s="19">
        <v>44775.0</v>
      </c>
      <c r="B2540" s="23">
        <v>1.0765E7</v>
      </c>
      <c r="C2540" s="23">
        <f t="shared" si="1"/>
        <v>5695717.26</v>
      </c>
      <c r="D2540" s="18">
        <f>IF(A2540="","",MATCH(A2540,Calculation!B$2:B9627,1))</f>
        <v>2</v>
      </c>
      <c r="E2540" s="23">
        <f t="array" ref="E2540">IF(D2540="","",IF(D2540=1,0,INDEX(Calculation!Q$2:Q9627,D2540-1)))</f>
        <v>3232449.315</v>
      </c>
      <c r="F2540" s="23">
        <f t="array" ref="F2540">IF($A2540="","",
  LET(
    r, $D2540,
    startD, INDEX(Calculation!B$2:B9627, r),
    endD,   INDEX(Calculation!C$2:C9627, r),
    asOf,   MIN($A2540,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2463267.945</v>
      </c>
    </row>
    <row r="2541">
      <c r="A2541" s="19">
        <v>44776.0</v>
      </c>
      <c r="B2541" s="23">
        <v>1.0765E7</v>
      </c>
      <c r="C2541" s="23">
        <f t="shared" si="1"/>
        <v>5702795.616</v>
      </c>
      <c r="D2541" s="18">
        <f>IF(A2541="","",MATCH(A2541,Calculation!B$2:B9627,1))</f>
        <v>2</v>
      </c>
      <c r="E2541" s="23">
        <f t="array" ref="E2541">IF(D2541="","",IF(D2541=1,0,INDEX(Calculation!Q$2:Q9627,D2541-1)))</f>
        <v>3232449.315</v>
      </c>
      <c r="F2541" s="23">
        <f t="array" ref="F2541">IF($A2541="","",
  LET(
    r, $D2541,
    startD, INDEX(Calculation!B$2:B9627, r),
    endD,   INDEX(Calculation!C$2:C9627, r),
    asOf,   MIN($A2541,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2470346.301</v>
      </c>
    </row>
    <row r="2542">
      <c r="A2542" s="19">
        <v>44777.0</v>
      </c>
      <c r="B2542" s="23">
        <v>1.0765E7</v>
      </c>
      <c r="C2542" s="23">
        <f t="shared" si="1"/>
        <v>5709873.973</v>
      </c>
      <c r="D2542" s="18">
        <f>IF(A2542="","",MATCH(A2542,Calculation!B$2:B9627,1))</f>
        <v>2</v>
      </c>
      <c r="E2542" s="23">
        <f t="array" ref="E2542">IF(D2542="","",IF(D2542=1,0,INDEX(Calculation!Q$2:Q9627,D2542-1)))</f>
        <v>3232449.315</v>
      </c>
      <c r="F2542" s="23">
        <f t="array" ref="F2542">IF($A2542="","",
  LET(
    r, $D2542,
    startD, INDEX(Calculation!B$2:B9627, r),
    endD,   INDEX(Calculation!C$2:C9627, r),
    asOf,   MIN($A2542,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2477424.658</v>
      </c>
    </row>
    <row r="2543">
      <c r="A2543" s="19">
        <v>44778.0</v>
      </c>
      <c r="B2543" s="23">
        <v>1.0765E7</v>
      </c>
      <c r="C2543" s="23">
        <f t="shared" si="1"/>
        <v>5716952.329</v>
      </c>
      <c r="D2543" s="18">
        <f>IF(A2543="","",MATCH(A2543,Calculation!B$2:B9627,1))</f>
        <v>2</v>
      </c>
      <c r="E2543" s="23">
        <f t="array" ref="E2543">IF(D2543="","",IF(D2543=1,0,INDEX(Calculation!Q$2:Q9627,D2543-1)))</f>
        <v>3232449.315</v>
      </c>
      <c r="F2543" s="23">
        <f t="array" ref="F2543">IF($A2543="","",
  LET(
    r, $D2543,
    startD, INDEX(Calculation!B$2:B9627, r),
    endD,   INDEX(Calculation!C$2:C9627, r),
    asOf,   MIN($A2543,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2484503.014</v>
      </c>
    </row>
    <row r="2544">
      <c r="A2544" s="19">
        <v>44779.0</v>
      </c>
      <c r="B2544" s="23">
        <v>1.0765E7</v>
      </c>
      <c r="C2544" s="23">
        <f t="shared" si="1"/>
        <v>5724030.685</v>
      </c>
      <c r="D2544" s="18">
        <f>IF(A2544="","",MATCH(A2544,Calculation!B$2:B9627,1))</f>
        <v>2</v>
      </c>
      <c r="E2544" s="23">
        <f t="array" ref="E2544">IF(D2544="","",IF(D2544=1,0,INDEX(Calculation!Q$2:Q9627,D2544-1)))</f>
        <v>3232449.315</v>
      </c>
      <c r="F2544" s="23">
        <f t="array" ref="F2544">IF($A2544="","",
  LET(
    r, $D2544,
    startD, INDEX(Calculation!B$2:B9627, r),
    endD,   INDEX(Calculation!C$2:C9627, r),
    asOf,   MIN($A2544,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2491581.37</v>
      </c>
    </row>
    <row r="2545">
      <c r="A2545" s="19">
        <v>44780.0</v>
      </c>
      <c r="B2545" s="23">
        <v>1.0765E7</v>
      </c>
      <c r="C2545" s="23">
        <f t="shared" si="1"/>
        <v>5731109.041</v>
      </c>
      <c r="D2545" s="18">
        <f>IF(A2545="","",MATCH(A2545,Calculation!B$2:B9627,1))</f>
        <v>2</v>
      </c>
      <c r="E2545" s="23">
        <f t="array" ref="E2545">IF(D2545="","",IF(D2545=1,0,INDEX(Calculation!Q$2:Q9627,D2545-1)))</f>
        <v>3232449.315</v>
      </c>
      <c r="F2545" s="23">
        <f t="array" ref="F2545">IF($A2545="","",
  LET(
    r, $D2545,
    startD, INDEX(Calculation!B$2:B9627, r),
    endD,   INDEX(Calculation!C$2:C9627, r),
    asOf,   MIN($A2545,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2498659.726</v>
      </c>
    </row>
    <row r="2546">
      <c r="A2546" s="19">
        <v>44781.0</v>
      </c>
      <c r="B2546" s="23">
        <v>1.0765E7</v>
      </c>
      <c r="C2546" s="23">
        <f t="shared" si="1"/>
        <v>5738187.397</v>
      </c>
      <c r="D2546" s="18">
        <f>IF(A2546="","",MATCH(A2546,Calculation!B$2:B9627,1))</f>
        <v>2</v>
      </c>
      <c r="E2546" s="23">
        <f t="array" ref="E2546">IF(D2546="","",IF(D2546=1,0,INDEX(Calculation!Q$2:Q9627,D2546-1)))</f>
        <v>3232449.315</v>
      </c>
      <c r="F2546" s="23">
        <f t="array" ref="F2546">IF($A2546="","",
  LET(
    r, $D2546,
    startD, INDEX(Calculation!B$2:B9627, r),
    endD,   INDEX(Calculation!C$2:C9627, r),
    asOf,   MIN($A2546,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2505738.082</v>
      </c>
    </row>
    <row r="2547">
      <c r="A2547" s="19">
        <v>44782.0</v>
      </c>
      <c r="B2547" s="23">
        <v>1.0765E7</v>
      </c>
      <c r="C2547" s="23">
        <f t="shared" si="1"/>
        <v>5745265.753</v>
      </c>
      <c r="D2547" s="18">
        <f>IF(A2547="","",MATCH(A2547,Calculation!B$2:B9627,1))</f>
        <v>2</v>
      </c>
      <c r="E2547" s="23">
        <f t="array" ref="E2547">IF(D2547="","",IF(D2547=1,0,INDEX(Calculation!Q$2:Q9627,D2547-1)))</f>
        <v>3232449.315</v>
      </c>
      <c r="F2547" s="23">
        <f t="array" ref="F2547">IF($A2547="","",
  LET(
    r, $D2547,
    startD, INDEX(Calculation!B$2:B9627, r),
    endD,   INDEX(Calculation!C$2:C9627, r),
    asOf,   MIN($A2547,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2512816.438</v>
      </c>
    </row>
    <row r="2548">
      <c r="A2548" s="19">
        <v>44783.0</v>
      </c>
      <c r="B2548" s="23">
        <v>1.0765E7</v>
      </c>
      <c r="C2548" s="23">
        <f t="shared" si="1"/>
        <v>5752344.11</v>
      </c>
      <c r="D2548" s="18">
        <f>IF(A2548="","",MATCH(A2548,Calculation!B$2:B9627,1))</f>
        <v>2</v>
      </c>
      <c r="E2548" s="23">
        <f t="array" ref="E2548">IF(D2548="","",IF(D2548=1,0,INDEX(Calculation!Q$2:Q9627,D2548-1)))</f>
        <v>3232449.315</v>
      </c>
      <c r="F2548" s="23">
        <f t="array" ref="F2548">IF($A2548="","",
  LET(
    r, $D2548,
    startD, INDEX(Calculation!B$2:B9627, r),
    endD,   INDEX(Calculation!C$2:C9627, r),
    asOf,   MIN($A2548,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2519894.795</v>
      </c>
    </row>
    <row r="2549">
      <c r="A2549" s="19">
        <v>44784.0</v>
      </c>
      <c r="B2549" s="23">
        <v>1.0765E7</v>
      </c>
      <c r="C2549" s="23">
        <f t="shared" si="1"/>
        <v>5759422.466</v>
      </c>
      <c r="D2549" s="18">
        <f>IF(A2549="","",MATCH(A2549,Calculation!B$2:B9627,1))</f>
        <v>2</v>
      </c>
      <c r="E2549" s="23">
        <f t="array" ref="E2549">IF(D2549="","",IF(D2549=1,0,INDEX(Calculation!Q$2:Q9627,D2549-1)))</f>
        <v>3232449.315</v>
      </c>
      <c r="F2549" s="23">
        <f t="array" ref="F2549">IF($A2549="","",
  LET(
    r, $D2549,
    startD, INDEX(Calculation!B$2:B9627, r),
    endD,   INDEX(Calculation!C$2:C9627, r),
    asOf,   MIN($A2549,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2526973.151</v>
      </c>
    </row>
    <row r="2550">
      <c r="A2550" s="19">
        <v>44785.0</v>
      </c>
      <c r="B2550" s="23">
        <v>1.0765E7</v>
      </c>
      <c r="C2550" s="23">
        <f t="shared" si="1"/>
        <v>5766500.822</v>
      </c>
      <c r="D2550" s="18">
        <f>IF(A2550="","",MATCH(A2550,Calculation!B$2:B9627,1))</f>
        <v>2</v>
      </c>
      <c r="E2550" s="23">
        <f t="array" ref="E2550">IF(D2550="","",IF(D2550=1,0,INDEX(Calculation!Q$2:Q9627,D2550-1)))</f>
        <v>3232449.315</v>
      </c>
      <c r="F2550" s="23">
        <f t="array" ref="F2550">IF($A2550="","",
  LET(
    r, $D2550,
    startD, INDEX(Calculation!B$2:B9627, r),
    endD,   INDEX(Calculation!C$2:C9627, r),
    asOf,   MIN($A2550,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2534051.507</v>
      </c>
    </row>
    <row r="2551">
      <c r="A2551" s="19">
        <v>44786.0</v>
      </c>
      <c r="B2551" s="23">
        <v>1.0765E7</v>
      </c>
      <c r="C2551" s="23">
        <f t="shared" si="1"/>
        <v>5773579.178</v>
      </c>
      <c r="D2551" s="18">
        <f>IF(A2551="","",MATCH(A2551,Calculation!B$2:B9627,1))</f>
        <v>2</v>
      </c>
      <c r="E2551" s="23">
        <f t="array" ref="E2551">IF(D2551="","",IF(D2551=1,0,INDEX(Calculation!Q$2:Q9627,D2551-1)))</f>
        <v>3232449.315</v>
      </c>
      <c r="F2551" s="23">
        <f t="array" ref="F2551">IF($A2551="","",
  LET(
    r, $D2551,
    startD, INDEX(Calculation!B$2:B9627, r),
    endD,   INDEX(Calculation!C$2:C9627, r),
    asOf,   MIN($A2551,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2541129.863</v>
      </c>
    </row>
    <row r="2552">
      <c r="A2552" s="19">
        <v>44787.0</v>
      </c>
      <c r="B2552" s="23">
        <v>1.0765E7</v>
      </c>
      <c r="C2552" s="23">
        <f t="shared" si="1"/>
        <v>5780657.534</v>
      </c>
      <c r="D2552" s="18">
        <f>IF(A2552="","",MATCH(A2552,Calculation!B$2:B9627,1))</f>
        <v>2</v>
      </c>
      <c r="E2552" s="23">
        <f t="array" ref="E2552">IF(D2552="","",IF(D2552=1,0,INDEX(Calculation!Q$2:Q9627,D2552-1)))</f>
        <v>3232449.315</v>
      </c>
      <c r="F2552" s="23">
        <f t="array" ref="F2552">IF($A2552="","",
  LET(
    r, $D2552,
    startD, INDEX(Calculation!B$2:B9627, r),
    endD,   INDEX(Calculation!C$2:C9627, r),
    asOf,   MIN($A2552,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2548208.219</v>
      </c>
    </row>
    <row r="2553">
      <c r="A2553" s="19">
        <v>44788.0</v>
      </c>
      <c r="B2553" s="23">
        <v>1.0765E7</v>
      </c>
      <c r="C2553" s="23">
        <f t="shared" si="1"/>
        <v>5787735.89</v>
      </c>
      <c r="D2553" s="18">
        <f>IF(A2553="","",MATCH(A2553,Calculation!B$2:B9627,1))</f>
        <v>2</v>
      </c>
      <c r="E2553" s="23">
        <f t="array" ref="E2553">IF(D2553="","",IF(D2553=1,0,INDEX(Calculation!Q$2:Q9627,D2553-1)))</f>
        <v>3232449.315</v>
      </c>
      <c r="F2553" s="23">
        <f t="array" ref="F2553">IF($A2553="","",
  LET(
    r, $D2553,
    startD, INDEX(Calculation!B$2:B9627, r),
    endD,   INDEX(Calculation!C$2:C9627, r),
    asOf,   MIN($A2553,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2555286.575</v>
      </c>
    </row>
    <row r="2554">
      <c r="A2554" s="19">
        <v>44789.0</v>
      </c>
      <c r="B2554" s="23">
        <v>1.0765E7</v>
      </c>
      <c r="C2554" s="23">
        <f t="shared" si="1"/>
        <v>5794814.247</v>
      </c>
      <c r="D2554" s="18">
        <f>IF(A2554="","",MATCH(A2554,Calculation!B$2:B9627,1))</f>
        <v>2</v>
      </c>
      <c r="E2554" s="23">
        <f t="array" ref="E2554">IF(D2554="","",IF(D2554=1,0,INDEX(Calculation!Q$2:Q9627,D2554-1)))</f>
        <v>3232449.315</v>
      </c>
      <c r="F2554" s="23">
        <f t="array" ref="F2554">IF($A2554="","",
  LET(
    r, $D2554,
    startD, INDEX(Calculation!B$2:B9627, r),
    endD,   INDEX(Calculation!C$2:C9627, r),
    asOf,   MIN($A2554,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2562364.932</v>
      </c>
    </row>
    <row r="2555">
      <c r="A2555" s="19">
        <v>44790.0</v>
      </c>
      <c r="B2555" s="23">
        <v>1.0765E7</v>
      </c>
      <c r="C2555" s="23">
        <f t="shared" si="1"/>
        <v>5801892.603</v>
      </c>
      <c r="D2555" s="18">
        <f>IF(A2555="","",MATCH(A2555,Calculation!B$2:B9627,1))</f>
        <v>2</v>
      </c>
      <c r="E2555" s="23">
        <f t="array" ref="E2555">IF(D2555="","",IF(D2555=1,0,INDEX(Calculation!Q$2:Q9627,D2555-1)))</f>
        <v>3232449.315</v>
      </c>
      <c r="F2555" s="23">
        <f t="array" ref="F2555">IF($A2555="","",
  LET(
    r, $D2555,
    startD, INDEX(Calculation!B$2:B9627, r),
    endD,   INDEX(Calculation!C$2:C9627, r),
    asOf,   MIN($A2555,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2569443.288</v>
      </c>
    </row>
    <row r="2556">
      <c r="A2556" s="19">
        <v>44791.0</v>
      </c>
      <c r="B2556" s="23">
        <v>1.0765E7</v>
      </c>
      <c r="C2556" s="23">
        <f t="shared" si="1"/>
        <v>5808970.959</v>
      </c>
      <c r="D2556" s="18">
        <f>IF(A2556="","",MATCH(A2556,Calculation!B$2:B9627,1))</f>
        <v>2</v>
      </c>
      <c r="E2556" s="23">
        <f t="array" ref="E2556">IF(D2556="","",IF(D2556=1,0,INDEX(Calculation!Q$2:Q9627,D2556-1)))</f>
        <v>3232449.315</v>
      </c>
      <c r="F2556" s="23">
        <f t="array" ref="F2556">IF($A2556="","",
  LET(
    r, $D2556,
    startD, INDEX(Calculation!B$2:B9627, r),
    endD,   INDEX(Calculation!C$2:C9627, r),
    asOf,   MIN($A2556,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2576521.644</v>
      </c>
    </row>
    <row r="2557">
      <c r="A2557" s="19">
        <v>44792.0</v>
      </c>
      <c r="B2557" s="23">
        <v>1.0765E7</v>
      </c>
      <c r="C2557" s="23">
        <f t="shared" si="1"/>
        <v>5816049.315</v>
      </c>
      <c r="D2557" s="18">
        <f>IF(A2557="","",MATCH(A2557,Calculation!B$2:B9627,1))</f>
        <v>2</v>
      </c>
      <c r="E2557" s="23">
        <f t="array" ref="E2557">IF(D2557="","",IF(D2557=1,0,INDEX(Calculation!Q$2:Q9627,D2557-1)))</f>
        <v>3232449.315</v>
      </c>
      <c r="F2557" s="23">
        <f t="array" ref="F2557">IF($A2557="","",
  LET(
    r, $D2557,
    startD, INDEX(Calculation!B$2:B9627, r),
    endD,   INDEX(Calculation!C$2:C9627, r),
    asOf,   MIN($A2557,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2583600</v>
      </c>
    </row>
    <row r="2558">
      <c r="A2558" s="19">
        <v>44793.0</v>
      </c>
      <c r="B2558" s="23">
        <v>1.0765E7</v>
      </c>
      <c r="C2558" s="23">
        <f t="shared" si="1"/>
        <v>5823127.671</v>
      </c>
      <c r="D2558" s="18">
        <f>IF(A2558="","",MATCH(A2558,Calculation!B$2:B9627,1))</f>
        <v>2</v>
      </c>
      <c r="E2558" s="23">
        <f t="array" ref="E2558">IF(D2558="","",IF(D2558=1,0,INDEX(Calculation!Q$2:Q9627,D2558-1)))</f>
        <v>3232449.315</v>
      </c>
      <c r="F2558" s="23">
        <f t="array" ref="F2558">IF($A2558="","",
  LET(
    r, $D2558,
    startD, INDEX(Calculation!B$2:B9627, r),
    endD,   INDEX(Calculation!C$2:C9627, r),
    asOf,   MIN($A2558,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2590678.356</v>
      </c>
    </row>
    <row r="2559">
      <c r="A2559" s="19">
        <v>44794.0</v>
      </c>
      <c r="B2559" s="23">
        <v>1.0765E7</v>
      </c>
      <c r="C2559" s="23">
        <f t="shared" si="1"/>
        <v>5830206.027</v>
      </c>
      <c r="D2559" s="18">
        <f>IF(A2559="","",MATCH(A2559,Calculation!B$2:B9627,1))</f>
        <v>2</v>
      </c>
      <c r="E2559" s="23">
        <f t="array" ref="E2559">IF(D2559="","",IF(D2559=1,0,INDEX(Calculation!Q$2:Q9627,D2559-1)))</f>
        <v>3232449.315</v>
      </c>
      <c r="F2559" s="23">
        <f t="array" ref="F2559">IF($A2559="","",
  LET(
    r, $D2559,
    startD, INDEX(Calculation!B$2:B9627, r),
    endD,   INDEX(Calculation!C$2:C9627, r),
    asOf,   MIN($A2559,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2597756.712</v>
      </c>
    </row>
    <row r="2560">
      <c r="A2560" s="19">
        <v>44795.0</v>
      </c>
      <c r="B2560" s="23">
        <v>1.0765E7</v>
      </c>
      <c r="C2560" s="23">
        <f t="shared" si="1"/>
        <v>5837284.384</v>
      </c>
      <c r="D2560" s="18">
        <f>IF(A2560="","",MATCH(A2560,Calculation!B$2:B9627,1))</f>
        <v>2</v>
      </c>
      <c r="E2560" s="23">
        <f t="array" ref="E2560">IF(D2560="","",IF(D2560=1,0,INDEX(Calculation!Q$2:Q9627,D2560-1)))</f>
        <v>3232449.315</v>
      </c>
      <c r="F2560" s="23">
        <f t="array" ref="F2560">IF($A2560="","",
  LET(
    r, $D2560,
    startD, INDEX(Calculation!B$2:B9627, r),
    endD,   INDEX(Calculation!C$2:C9627, r),
    asOf,   MIN($A2560,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2604835.068</v>
      </c>
    </row>
    <row r="2561">
      <c r="A2561" s="19">
        <v>44796.0</v>
      </c>
      <c r="B2561" s="23">
        <v>1.0765E7</v>
      </c>
      <c r="C2561" s="23">
        <f t="shared" si="1"/>
        <v>5844362.74</v>
      </c>
      <c r="D2561" s="18">
        <f>IF(A2561="","",MATCH(A2561,Calculation!B$2:B9627,1))</f>
        <v>2</v>
      </c>
      <c r="E2561" s="23">
        <f t="array" ref="E2561">IF(D2561="","",IF(D2561=1,0,INDEX(Calculation!Q$2:Q9627,D2561-1)))</f>
        <v>3232449.315</v>
      </c>
      <c r="F2561" s="23">
        <f t="array" ref="F2561">IF($A2561="","",
  LET(
    r, $D2561,
    startD, INDEX(Calculation!B$2:B9627, r),
    endD,   INDEX(Calculation!C$2:C9627, r),
    asOf,   MIN($A2561,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2611913.425</v>
      </c>
    </row>
    <row r="2562">
      <c r="A2562" s="19">
        <v>44797.0</v>
      </c>
      <c r="B2562" s="23">
        <v>1.0765E7</v>
      </c>
      <c r="C2562" s="23">
        <f t="shared" si="1"/>
        <v>5851441.096</v>
      </c>
      <c r="D2562" s="18">
        <f>IF(A2562="","",MATCH(A2562,Calculation!B$2:B9627,1))</f>
        <v>2</v>
      </c>
      <c r="E2562" s="23">
        <f t="array" ref="E2562">IF(D2562="","",IF(D2562=1,0,INDEX(Calculation!Q$2:Q9627,D2562-1)))</f>
        <v>3232449.315</v>
      </c>
      <c r="F2562" s="23">
        <f t="array" ref="F2562">IF($A2562="","",
  LET(
    r, $D2562,
    startD, INDEX(Calculation!B$2:B9627, r),
    endD,   INDEX(Calculation!C$2:C9627, r),
    asOf,   MIN($A2562,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2618991.781</v>
      </c>
    </row>
    <row r="2563">
      <c r="A2563" s="19">
        <v>44798.0</v>
      </c>
      <c r="B2563" s="23">
        <v>1.0765E7</v>
      </c>
      <c r="C2563" s="23">
        <f t="shared" si="1"/>
        <v>5858519.452</v>
      </c>
      <c r="D2563" s="18">
        <f>IF(A2563="","",MATCH(A2563,Calculation!B$2:B9627,1))</f>
        <v>2</v>
      </c>
      <c r="E2563" s="23">
        <f t="array" ref="E2563">IF(D2563="","",IF(D2563=1,0,INDEX(Calculation!Q$2:Q9627,D2563-1)))</f>
        <v>3232449.315</v>
      </c>
      <c r="F2563" s="23">
        <f t="array" ref="F2563">IF($A2563="","",
  LET(
    r, $D2563,
    startD, INDEX(Calculation!B$2:B9627, r),
    endD,   INDEX(Calculation!C$2:C9627, r),
    asOf,   MIN($A2563,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2626070.137</v>
      </c>
    </row>
    <row r="2564">
      <c r="A2564" s="19">
        <v>44799.0</v>
      </c>
      <c r="B2564" s="23">
        <v>1.0765E7</v>
      </c>
      <c r="C2564" s="23">
        <f t="shared" si="1"/>
        <v>5865597.808</v>
      </c>
      <c r="D2564" s="18">
        <f>IF(A2564="","",MATCH(A2564,Calculation!B$2:B9627,1))</f>
        <v>2</v>
      </c>
      <c r="E2564" s="23">
        <f t="array" ref="E2564">IF(D2564="","",IF(D2564=1,0,INDEX(Calculation!Q$2:Q9627,D2564-1)))</f>
        <v>3232449.315</v>
      </c>
      <c r="F2564" s="23">
        <f t="array" ref="F2564">IF($A2564="","",
  LET(
    r, $D2564,
    startD, INDEX(Calculation!B$2:B9627, r),
    endD,   INDEX(Calculation!C$2:C9627, r),
    asOf,   MIN($A2564,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2633148.493</v>
      </c>
    </row>
    <row r="2565">
      <c r="A2565" s="19">
        <v>44800.0</v>
      </c>
      <c r="B2565" s="23">
        <v>1.0765E7</v>
      </c>
      <c r="C2565" s="23">
        <f t="shared" si="1"/>
        <v>5872676.164</v>
      </c>
      <c r="D2565" s="18">
        <f>IF(A2565="","",MATCH(A2565,Calculation!B$2:B9627,1))</f>
        <v>2</v>
      </c>
      <c r="E2565" s="23">
        <f t="array" ref="E2565">IF(D2565="","",IF(D2565=1,0,INDEX(Calculation!Q$2:Q9627,D2565-1)))</f>
        <v>3232449.315</v>
      </c>
      <c r="F2565" s="23">
        <f t="array" ref="F2565">IF($A2565="","",
  LET(
    r, $D2565,
    startD, INDEX(Calculation!B$2:B9627, r),
    endD,   INDEX(Calculation!C$2:C9627, r),
    asOf,   MIN($A2565,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2640226.849</v>
      </c>
    </row>
    <row r="2566">
      <c r="A2566" s="19">
        <v>44801.0</v>
      </c>
      <c r="B2566" s="23">
        <v>1.0765E7</v>
      </c>
      <c r="C2566" s="23">
        <f t="shared" si="1"/>
        <v>5879754.521</v>
      </c>
      <c r="D2566" s="18">
        <f>IF(A2566="","",MATCH(A2566,Calculation!B$2:B9627,1))</f>
        <v>2</v>
      </c>
      <c r="E2566" s="23">
        <f t="array" ref="E2566">IF(D2566="","",IF(D2566=1,0,INDEX(Calculation!Q$2:Q9627,D2566-1)))</f>
        <v>3232449.315</v>
      </c>
      <c r="F2566" s="23">
        <f t="array" ref="F2566">IF($A2566="","",
  LET(
    r, $D2566,
    startD, INDEX(Calculation!B$2:B9627, r),
    endD,   INDEX(Calculation!C$2:C9627, r),
    asOf,   MIN($A2566,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2647305.205</v>
      </c>
    </row>
    <row r="2567">
      <c r="A2567" s="19">
        <v>44802.0</v>
      </c>
      <c r="B2567" s="23">
        <v>1.0765E7</v>
      </c>
      <c r="C2567" s="23">
        <f t="shared" si="1"/>
        <v>5886832.877</v>
      </c>
      <c r="D2567" s="18">
        <f>IF(A2567="","",MATCH(A2567,Calculation!B$2:B9627,1))</f>
        <v>2</v>
      </c>
      <c r="E2567" s="23">
        <f t="array" ref="E2567">IF(D2567="","",IF(D2567=1,0,INDEX(Calculation!Q$2:Q9627,D2567-1)))</f>
        <v>3232449.315</v>
      </c>
      <c r="F2567" s="23">
        <f t="array" ref="F2567">IF($A2567="","",
  LET(
    r, $D2567,
    startD, INDEX(Calculation!B$2:B9627, r),
    endD,   INDEX(Calculation!C$2:C9627, r),
    asOf,   MIN($A2567,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2654383.562</v>
      </c>
    </row>
    <row r="2568">
      <c r="A2568" s="19">
        <v>44803.0</v>
      </c>
      <c r="B2568" s="23">
        <v>1.0765E7</v>
      </c>
      <c r="C2568" s="23">
        <f t="shared" si="1"/>
        <v>5893911.233</v>
      </c>
      <c r="D2568" s="18">
        <f>IF(A2568="","",MATCH(A2568,Calculation!B$2:B9627,1))</f>
        <v>2</v>
      </c>
      <c r="E2568" s="23">
        <f t="array" ref="E2568">IF(D2568="","",IF(D2568=1,0,INDEX(Calculation!Q$2:Q9627,D2568-1)))</f>
        <v>3232449.315</v>
      </c>
      <c r="F2568" s="23">
        <f t="array" ref="F2568">IF($A2568="","",
  LET(
    r, $D2568,
    startD, INDEX(Calculation!B$2:B9627, r),
    endD,   INDEX(Calculation!C$2:C9627, r),
    asOf,   MIN($A2568,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2661461.918</v>
      </c>
    </row>
    <row r="2569">
      <c r="A2569" s="19">
        <v>44804.0</v>
      </c>
      <c r="B2569" s="23">
        <v>1.0765E7</v>
      </c>
      <c r="C2569" s="23">
        <f t="shared" si="1"/>
        <v>5900989.589</v>
      </c>
      <c r="D2569" s="18">
        <f>IF(A2569="","",MATCH(A2569,Calculation!B$2:B9627,1))</f>
        <v>2</v>
      </c>
      <c r="E2569" s="23">
        <f t="array" ref="E2569">IF(D2569="","",IF(D2569=1,0,INDEX(Calculation!Q$2:Q9627,D2569-1)))</f>
        <v>3232449.315</v>
      </c>
      <c r="F2569" s="23">
        <f t="array" ref="F2569">IF($A2569="","",
  LET(
    r, $D2569,
    startD, INDEX(Calculation!B$2:B9627, r),
    endD,   INDEX(Calculation!C$2:C9627, r),
    asOf,   MIN($A2569,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2668540.274</v>
      </c>
    </row>
    <row r="2570">
      <c r="A2570" s="19">
        <v>44805.0</v>
      </c>
      <c r="B2570" s="23">
        <v>1.0765E7</v>
      </c>
      <c r="C2570" s="23">
        <f t="shared" si="1"/>
        <v>5908067.945</v>
      </c>
      <c r="D2570" s="18">
        <f>IF(A2570="","",MATCH(A2570,Calculation!B$2:B9627,1))</f>
        <v>2</v>
      </c>
      <c r="E2570" s="23">
        <f t="array" ref="E2570">IF(D2570="","",IF(D2570=1,0,INDEX(Calculation!Q$2:Q9627,D2570-1)))</f>
        <v>3232449.315</v>
      </c>
      <c r="F2570" s="23">
        <f t="array" ref="F2570">IF($A2570="","",
  LET(
    r, $D2570,
    startD, INDEX(Calculation!B$2:B9627, r),
    endD,   INDEX(Calculation!C$2:C9627, r),
    asOf,   MIN($A2570,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2675618.63</v>
      </c>
    </row>
    <row r="2571">
      <c r="A2571" s="19">
        <v>44806.0</v>
      </c>
      <c r="B2571" s="23">
        <v>1.0765E7</v>
      </c>
      <c r="C2571" s="23">
        <f t="shared" si="1"/>
        <v>5915146.301</v>
      </c>
      <c r="D2571" s="18">
        <f>IF(A2571="","",MATCH(A2571,Calculation!B$2:B9627,1))</f>
        <v>2</v>
      </c>
      <c r="E2571" s="23">
        <f t="array" ref="E2571">IF(D2571="","",IF(D2571=1,0,INDEX(Calculation!Q$2:Q9627,D2571-1)))</f>
        <v>3232449.315</v>
      </c>
      <c r="F2571" s="23">
        <f t="array" ref="F2571">IF($A2571="","",
  LET(
    r, $D2571,
    startD, INDEX(Calculation!B$2:B9627, r),
    endD,   INDEX(Calculation!C$2:C9627, r),
    asOf,   MIN($A2571,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2682696.986</v>
      </c>
    </row>
    <row r="2572">
      <c r="A2572" s="19">
        <v>44807.0</v>
      </c>
      <c r="B2572" s="23">
        <v>1.0765E7</v>
      </c>
      <c r="C2572" s="23">
        <f t="shared" si="1"/>
        <v>5922224.658</v>
      </c>
      <c r="D2572" s="18">
        <f>IF(A2572="","",MATCH(A2572,Calculation!B$2:B9627,1))</f>
        <v>2</v>
      </c>
      <c r="E2572" s="23">
        <f t="array" ref="E2572">IF(D2572="","",IF(D2572=1,0,INDEX(Calculation!Q$2:Q9627,D2572-1)))</f>
        <v>3232449.315</v>
      </c>
      <c r="F2572" s="23">
        <f t="array" ref="F2572">IF($A2572="","",
  LET(
    r, $D2572,
    startD, INDEX(Calculation!B$2:B9627, r),
    endD,   INDEX(Calculation!C$2:C9627, r),
    asOf,   MIN($A2572,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2689775.342</v>
      </c>
    </row>
    <row r="2573">
      <c r="A2573" s="19">
        <v>44808.0</v>
      </c>
      <c r="B2573" s="23">
        <v>1.0765E7</v>
      </c>
      <c r="C2573" s="23">
        <f t="shared" si="1"/>
        <v>5929303.014</v>
      </c>
      <c r="D2573" s="18">
        <f>IF(A2573="","",MATCH(A2573,Calculation!B$2:B9627,1))</f>
        <v>2</v>
      </c>
      <c r="E2573" s="23">
        <f t="array" ref="E2573">IF(D2573="","",IF(D2573=1,0,INDEX(Calculation!Q$2:Q9627,D2573-1)))</f>
        <v>3232449.315</v>
      </c>
      <c r="F2573" s="23">
        <f t="array" ref="F2573">IF($A2573="","",
  LET(
    r, $D2573,
    startD, INDEX(Calculation!B$2:B9627, r),
    endD,   INDEX(Calculation!C$2:C9627, r),
    asOf,   MIN($A2573,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2696853.699</v>
      </c>
    </row>
    <row r="2574">
      <c r="A2574" s="19">
        <v>44809.0</v>
      </c>
      <c r="B2574" s="23">
        <v>1.0765E7</v>
      </c>
      <c r="C2574" s="23">
        <f t="shared" si="1"/>
        <v>5936381.37</v>
      </c>
      <c r="D2574" s="18">
        <f>IF(A2574="","",MATCH(A2574,Calculation!B$2:B9627,1))</f>
        <v>2</v>
      </c>
      <c r="E2574" s="23">
        <f t="array" ref="E2574">IF(D2574="","",IF(D2574=1,0,INDEX(Calculation!Q$2:Q9627,D2574-1)))</f>
        <v>3232449.315</v>
      </c>
      <c r="F2574" s="23">
        <f t="array" ref="F2574">IF($A2574="","",
  LET(
    r, $D2574,
    startD, INDEX(Calculation!B$2:B9627, r),
    endD,   INDEX(Calculation!C$2:C9627, r),
    asOf,   MIN($A2574,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2703932.055</v>
      </c>
    </row>
    <row r="2575">
      <c r="A2575" s="19">
        <v>44810.0</v>
      </c>
      <c r="B2575" s="23">
        <v>1.0765E7</v>
      </c>
      <c r="C2575" s="23">
        <f t="shared" si="1"/>
        <v>5943459.726</v>
      </c>
      <c r="D2575" s="18">
        <f>IF(A2575="","",MATCH(A2575,Calculation!B$2:B9627,1))</f>
        <v>2</v>
      </c>
      <c r="E2575" s="23">
        <f t="array" ref="E2575">IF(D2575="","",IF(D2575=1,0,INDEX(Calculation!Q$2:Q9627,D2575-1)))</f>
        <v>3232449.315</v>
      </c>
      <c r="F2575" s="23">
        <f t="array" ref="F2575">IF($A2575="","",
  LET(
    r, $D2575,
    startD, INDEX(Calculation!B$2:B9627, r),
    endD,   INDEX(Calculation!C$2:C9627, r),
    asOf,   MIN($A2575,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2711010.411</v>
      </c>
    </row>
    <row r="2576">
      <c r="A2576" s="19">
        <v>44811.0</v>
      </c>
      <c r="B2576" s="23">
        <v>1.0765E7</v>
      </c>
      <c r="C2576" s="23">
        <f t="shared" si="1"/>
        <v>5950538.082</v>
      </c>
      <c r="D2576" s="18">
        <f>IF(A2576="","",MATCH(A2576,Calculation!B$2:B9627,1))</f>
        <v>2</v>
      </c>
      <c r="E2576" s="23">
        <f t="array" ref="E2576">IF(D2576="","",IF(D2576=1,0,INDEX(Calculation!Q$2:Q9627,D2576-1)))</f>
        <v>3232449.315</v>
      </c>
      <c r="F2576" s="23">
        <f t="array" ref="F2576">IF($A2576="","",
  LET(
    r, $D2576,
    startD, INDEX(Calculation!B$2:B9627, r),
    endD,   INDEX(Calculation!C$2:C9627, r),
    asOf,   MIN($A2576,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2718088.767</v>
      </c>
    </row>
    <row r="2577">
      <c r="A2577" s="19">
        <v>44812.0</v>
      </c>
      <c r="B2577" s="23">
        <v>1.0765E7</v>
      </c>
      <c r="C2577" s="23">
        <f t="shared" si="1"/>
        <v>5957616.438</v>
      </c>
      <c r="D2577" s="18">
        <f>IF(A2577="","",MATCH(A2577,Calculation!B$2:B9627,1))</f>
        <v>2</v>
      </c>
      <c r="E2577" s="23">
        <f t="array" ref="E2577">IF(D2577="","",IF(D2577=1,0,INDEX(Calculation!Q$2:Q9627,D2577-1)))</f>
        <v>3232449.315</v>
      </c>
      <c r="F2577" s="23">
        <f t="array" ref="F2577">IF($A2577="","",
  LET(
    r, $D2577,
    startD, INDEX(Calculation!B$2:B9627, r),
    endD,   INDEX(Calculation!C$2:C9627, r),
    asOf,   MIN($A2577,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2725167.123</v>
      </c>
    </row>
    <row r="2578">
      <c r="A2578" s="19">
        <v>44813.0</v>
      </c>
      <c r="B2578" s="23">
        <v>1.0765E7</v>
      </c>
      <c r="C2578" s="23">
        <f t="shared" si="1"/>
        <v>5964694.795</v>
      </c>
      <c r="D2578" s="18">
        <f>IF(A2578="","",MATCH(A2578,Calculation!B$2:B9627,1))</f>
        <v>2</v>
      </c>
      <c r="E2578" s="23">
        <f t="array" ref="E2578">IF(D2578="","",IF(D2578=1,0,INDEX(Calculation!Q$2:Q9627,D2578-1)))</f>
        <v>3232449.315</v>
      </c>
      <c r="F2578" s="23">
        <f t="array" ref="F2578">IF($A2578="","",
  LET(
    r, $D2578,
    startD, INDEX(Calculation!B$2:B9627, r),
    endD,   INDEX(Calculation!C$2:C9627, r),
    asOf,   MIN($A2578,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2732245.479</v>
      </c>
    </row>
    <row r="2579">
      <c r="A2579" s="19">
        <v>44814.0</v>
      </c>
      <c r="B2579" s="23">
        <v>1.0765E7</v>
      </c>
      <c r="C2579" s="23">
        <f t="shared" si="1"/>
        <v>5971773.151</v>
      </c>
      <c r="D2579" s="18">
        <f>IF(A2579="","",MATCH(A2579,Calculation!B$2:B9627,1))</f>
        <v>2</v>
      </c>
      <c r="E2579" s="23">
        <f t="array" ref="E2579">IF(D2579="","",IF(D2579=1,0,INDEX(Calculation!Q$2:Q9627,D2579-1)))</f>
        <v>3232449.315</v>
      </c>
      <c r="F2579" s="23">
        <f t="array" ref="F2579">IF($A2579="","",
  LET(
    r, $D2579,
    startD, INDEX(Calculation!B$2:B9627, r),
    endD,   INDEX(Calculation!C$2:C9627, r),
    asOf,   MIN($A2579,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2739323.836</v>
      </c>
    </row>
    <row r="2580">
      <c r="A2580" s="19">
        <v>44815.0</v>
      </c>
      <c r="B2580" s="23">
        <v>1.0765E7</v>
      </c>
      <c r="C2580" s="23">
        <f t="shared" si="1"/>
        <v>5978851.507</v>
      </c>
      <c r="D2580" s="18">
        <f>IF(A2580="","",MATCH(A2580,Calculation!B$2:B9627,1))</f>
        <v>2</v>
      </c>
      <c r="E2580" s="23">
        <f t="array" ref="E2580">IF(D2580="","",IF(D2580=1,0,INDEX(Calculation!Q$2:Q9627,D2580-1)))</f>
        <v>3232449.315</v>
      </c>
      <c r="F2580" s="23">
        <f t="array" ref="F2580">IF($A2580="","",
  LET(
    r, $D2580,
    startD, INDEX(Calculation!B$2:B9627, r),
    endD,   INDEX(Calculation!C$2:C9627, r),
    asOf,   MIN($A2580,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2746402.192</v>
      </c>
    </row>
    <row r="2581">
      <c r="A2581" s="19">
        <v>44816.0</v>
      </c>
      <c r="B2581" s="23">
        <v>1.0765E7</v>
      </c>
      <c r="C2581" s="23">
        <f t="shared" si="1"/>
        <v>5985929.863</v>
      </c>
      <c r="D2581" s="18">
        <f>IF(A2581="","",MATCH(A2581,Calculation!B$2:B9627,1))</f>
        <v>2</v>
      </c>
      <c r="E2581" s="23">
        <f t="array" ref="E2581">IF(D2581="","",IF(D2581=1,0,INDEX(Calculation!Q$2:Q9627,D2581-1)))</f>
        <v>3232449.315</v>
      </c>
      <c r="F2581" s="23">
        <f t="array" ref="F2581">IF($A2581="","",
  LET(
    r, $D2581,
    startD, INDEX(Calculation!B$2:B9627, r),
    endD,   INDEX(Calculation!C$2:C9627, r),
    asOf,   MIN($A2581,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2753480.548</v>
      </c>
    </row>
    <row r="2582">
      <c r="A2582" s="19">
        <v>44817.0</v>
      </c>
      <c r="B2582" s="23">
        <v>1.0765E7</v>
      </c>
      <c r="C2582" s="23">
        <f t="shared" si="1"/>
        <v>5993008.219</v>
      </c>
      <c r="D2582" s="18">
        <f>IF(A2582="","",MATCH(A2582,Calculation!B$2:B9627,1))</f>
        <v>2</v>
      </c>
      <c r="E2582" s="23">
        <f t="array" ref="E2582">IF(D2582="","",IF(D2582=1,0,INDEX(Calculation!Q$2:Q9627,D2582-1)))</f>
        <v>3232449.315</v>
      </c>
      <c r="F2582" s="23">
        <f t="array" ref="F2582">IF($A2582="","",
  LET(
    r, $D2582,
    startD, INDEX(Calculation!B$2:B9627, r),
    endD,   INDEX(Calculation!C$2:C9627, r),
    asOf,   MIN($A2582,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2760558.904</v>
      </c>
    </row>
    <row r="2583">
      <c r="A2583" s="19">
        <v>44818.0</v>
      </c>
      <c r="B2583" s="23">
        <v>1.0765E7</v>
      </c>
      <c r="C2583" s="23">
        <f t="shared" si="1"/>
        <v>6000086.575</v>
      </c>
      <c r="D2583" s="18">
        <f>IF(A2583="","",MATCH(A2583,Calculation!B$2:B9627,1))</f>
        <v>2</v>
      </c>
      <c r="E2583" s="23">
        <f t="array" ref="E2583">IF(D2583="","",IF(D2583=1,0,INDEX(Calculation!Q$2:Q9627,D2583-1)))</f>
        <v>3232449.315</v>
      </c>
      <c r="F2583" s="23">
        <f t="array" ref="F2583">IF($A2583="","",
  LET(
    r, $D2583,
    startD, INDEX(Calculation!B$2:B9627, r),
    endD,   INDEX(Calculation!C$2:C9627, r),
    asOf,   MIN($A2583,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2767637.26</v>
      </c>
    </row>
    <row r="2584">
      <c r="A2584" s="19">
        <v>44819.0</v>
      </c>
      <c r="B2584" s="23">
        <v>1.0765E7</v>
      </c>
      <c r="C2584" s="23">
        <f t="shared" si="1"/>
        <v>6007164.932</v>
      </c>
      <c r="D2584" s="18">
        <f>IF(A2584="","",MATCH(A2584,Calculation!B$2:B9627,1))</f>
        <v>2</v>
      </c>
      <c r="E2584" s="23">
        <f t="array" ref="E2584">IF(D2584="","",IF(D2584=1,0,INDEX(Calculation!Q$2:Q9627,D2584-1)))</f>
        <v>3232449.315</v>
      </c>
      <c r="F2584" s="23">
        <f t="array" ref="F2584">IF($A2584="","",
  LET(
    r, $D2584,
    startD, INDEX(Calculation!B$2:B9627, r),
    endD,   INDEX(Calculation!C$2:C9627, r),
    asOf,   MIN($A2584,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2774715.616</v>
      </c>
    </row>
    <row r="2585">
      <c r="A2585" s="19">
        <v>44820.0</v>
      </c>
      <c r="B2585" s="23">
        <v>1.0765E7</v>
      </c>
      <c r="C2585" s="23">
        <f t="shared" si="1"/>
        <v>6014243.288</v>
      </c>
      <c r="D2585" s="18">
        <f>IF(A2585="","",MATCH(A2585,Calculation!B$2:B9627,1))</f>
        <v>2</v>
      </c>
      <c r="E2585" s="23">
        <f t="array" ref="E2585">IF(D2585="","",IF(D2585=1,0,INDEX(Calculation!Q$2:Q9627,D2585-1)))</f>
        <v>3232449.315</v>
      </c>
      <c r="F2585" s="23">
        <f t="array" ref="F2585">IF($A2585="","",
  LET(
    r, $D2585,
    startD, INDEX(Calculation!B$2:B9627, r),
    endD,   INDEX(Calculation!C$2:C9627, r),
    asOf,   MIN($A2585,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2781793.973</v>
      </c>
    </row>
    <row r="2586">
      <c r="A2586" s="19">
        <v>44821.0</v>
      </c>
      <c r="B2586" s="23">
        <v>1.0765E7</v>
      </c>
      <c r="C2586" s="23">
        <f t="shared" si="1"/>
        <v>6021321.644</v>
      </c>
      <c r="D2586" s="18">
        <f>IF(A2586="","",MATCH(A2586,Calculation!B$2:B9627,1))</f>
        <v>2</v>
      </c>
      <c r="E2586" s="23">
        <f t="array" ref="E2586">IF(D2586="","",IF(D2586=1,0,INDEX(Calculation!Q$2:Q9627,D2586-1)))</f>
        <v>3232449.315</v>
      </c>
      <c r="F2586" s="23">
        <f t="array" ref="F2586">IF($A2586="","",
  LET(
    r, $D2586,
    startD, INDEX(Calculation!B$2:B9627, r),
    endD,   INDEX(Calculation!C$2:C9627, r),
    asOf,   MIN($A2586,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2788872.329</v>
      </c>
    </row>
    <row r="2587">
      <c r="A2587" s="19">
        <v>44822.0</v>
      </c>
      <c r="B2587" s="23">
        <v>1.0765E7</v>
      </c>
      <c r="C2587" s="23">
        <f t="shared" si="1"/>
        <v>6028400</v>
      </c>
      <c r="D2587" s="18">
        <f>IF(A2587="","",MATCH(A2587,Calculation!B$2:B9627,1))</f>
        <v>2</v>
      </c>
      <c r="E2587" s="23">
        <f t="array" ref="E2587">IF(D2587="","",IF(D2587=1,0,INDEX(Calculation!Q$2:Q9627,D2587-1)))</f>
        <v>3232449.315</v>
      </c>
      <c r="F2587" s="23">
        <f t="array" ref="F2587">IF($A2587="","",
  LET(
    r, $D2587,
    startD, INDEX(Calculation!B$2:B9627, r),
    endD,   INDEX(Calculation!C$2:C9627, r),
    asOf,   MIN($A2587,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2795950.685</v>
      </c>
    </row>
    <row r="2588">
      <c r="A2588" s="19">
        <v>44823.0</v>
      </c>
      <c r="B2588" s="23">
        <v>1.0765E7</v>
      </c>
      <c r="C2588" s="23">
        <f t="shared" si="1"/>
        <v>6035478.356</v>
      </c>
      <c r="D2588" s="18">
        <f>IF(A2588="","",MATCH(A2588,Calculation!B$2:B9627,1))</f>
        <v>2</v>
      </c>
      <c r="E2588" s="23">
        <f t="array" ref="E2588">IF(D2588="","",IF(D2588=1,0,INDEX(Calculation!Q$2:Q9627,D2588-1)))</f>
        <v>3232449.315</v>
      </c>
      <c r="F2588" s="23">
        <f t="array" ref="F2588">IF($A2588="","",
  LET(
    r, $D2588,
    startD, INDEX(Calculation!B$2:B9627, r),
    endD,   INDEX(Calculation!C$2:C9627, r),
    asOf,   MIN($A2588,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2803029.041</v>
      </c>
    </row>
    <row r="2589">
      <c r="A2589" s="19">
        <v>44824.0</v>
      </c>
      <c r="B2589" s="23">
        <v>1.0765E7</v>
      </c>
      <c r="C2589" s="23">
        <f t="shared" si="1"/>
        <v>6042556.712</v>
      </c>
      <c r="D2589" s="18">
        <f>IF(A2589="","",MATCH(A2589,Calculation!B$2:B9627,1))</f>
        <v>2</v>
      </c>
      <c r="E2589" s="23">
        <f t="array" ref="E2589">IF(D2589="","",IF(D2589=1,0,INDEX(Calculation!Q$2:Q9627,D2589-1)))</f>
        <v>3232449.315</v>
      </c>
      <c r="F2589" s="23">
        <f t="array" ref="F2589">IF($A2589="","",
  LET(
    r, $D2589,
    startD, INDEX(Calculation!B$2:B9627, r),
    endD,   INDEX(Calculation!C$2:C9627, r),
    asOf,   MIN($A2589,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2810107.397</v>
      </c>
    </row>
    <row r="2590">
      <c r="A2590" s="19">
        <v>44825.0</v>
      </c>
      <c r="B2590" s="23">
        <v>1.0765E7</v>
      </c>
      <c r="C2590" s="23">
        <f t="shared" si="1"/>
        <v>6049635.068</v>
      </c>
      <c r="D2590" s="18">
        <f>IF(A2590="","",MATCH(A2590,Calculation!B$2:B9627,1))</f>
        <v>2</v>
      </c>
      <c r="E2590" s="23">
        <f t="array" ref="E2590">IF(D2590="","",IF(D2590=1,0,INDEX(Calculation!Q$2:Q9627,D2590-1)))</f>
        <v>3232449.315</v>
      </c>
      <c r="F2590" s="23">
        <f t="array" ref="F2590">IF($A2590="","",
  LET(
    r, $D2590,
    startD, INDEX(Calculation!B$2:B9627, r),
    endD,   INDEX(Calculation!C$2:C9627, r),
    asOf,   MIN($A2590,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2817185.753</v>
      </c>
    </row>
    <row r="2591">
      <c r="A2591" s="19">
        <v>44826.0</v>
      </c>
      <c r="B2591" s="23">
        <v>1.0765E7</v>
      </c>
      <c r="C2591" s="23">
        <f t="shared" si="1"/>
        <v>6056713.425</v>
      </c>
      <c r="D2591" s="18">
        <f>IF(A2591="","",MATCH(A2591,Calculation!B$2:B9627,1))</f>
        <v>2</v>
      </c>
      <c r="E2591" s="23">
        <f t="array" ref="E2591">IF(D2591="","",IF(D2591=1,0,INDEX(Calculation!Q$2:Q9627,D2591-1)))</f>
        <v>3232449.315</v>
      </c>
      <c r="F2591" s="23">
        <f t="array" ref="F2591">IF($A2591="","",
  LET(
    r, $D2591,
    startD, INDEX(Calculation!B$2:B9627, r),
    endD,   INDEX(Calculation!C$2:C9627, r),
    asOf,   MIN($A2591,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2824264.11</v>
      </c>
    </row>
    <row r="2592">
      <c r="A2592" s="19">
        <v>44827.0</v>
      </c>
      <c r="B2592" s="23">
        <v>1.0765E7</v>
      </c>
      <c r="C2592" s="23">
        <f t="shared" si="1"/>
        <v>6063791.781</v>
      </c>
      <c r="D2592" s="18">
        <f>IF(A2592="","",MATCH(A2592,Calculation!B$2:B9627,1))</f>
        <v>2</v>
      </c>
      <c r="E2592" s="23">
        <f t="array" ref="E2592">IF(D2592="","",IF(D2592=1,0,INDEX(Calculation!Q$2:Q9627,D2592-1)))</f>
        <v>3232449.315</v>
      </c>
      <c r="F2592" s="23">
        <f t="array" ref="F2592">IF($A2592="","",
  LET(
    r, $D2592,
    startD, INDEX(Calculation!B$2:B9627, r),
    endD,   INDEX(Calculation!C$2:C9627, r),
    asOf,   MIN($A2592,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2831342.466</v>
      </c>
    </row>
    <row r="2593">
      <c r="A2593" s="19">
        <v>44828.0</v>
      </c>
      <c r="B2593" s="23">
        <v>1.0765E7</v>
      </c>
      <c r="C2593" s="23">
        <f t="shared" si="1"/>
        <v>6070870.137</v>
      </c>
      <c r="D2593" s="18">
        <f>IF(A2593="","",MATCH(A2593,Calculation!B$2:B9627,1))</f>
        <v>2</v>
      </c>
      <c r="E2593" s="23">
        <f t="array" ref="E2593">IF(D2593="","",IF(D2593=1,0,INDEX(Calculation!Q$2:Q9627,D2593-1)))</f>
        <v>3232449.315</v>
      </c>
      <c r="F2593" s="23">
        <f t="array" ref="F2593">IF($A2593="","",
  LET(
    r, $D2593,
    startD, INDEX(Calculation!B$2:B9627, r),
    endD,   INDEX(Calculation!C$2:C9627, r),
    asOf,   MIN($A2593,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2838420.822</v>
      </c>
    </row>
    <row r="2594">
      <c r="A2594" s="19">
        <v>44829.0</v>
      </c>
      <c r="B2594" s="23">
        <v>1.0765E7</v>
      </c>
      <c r="C2594" s="23">
        <f t="shared" si="1"/>
        <v>6077948.493</v>
      </c>
      <c r="D2594" s="18">
        <f>IF(A2594="","",MATCH(A2594,Calculation!B$2:B9627,1))</f>
        <v>2</v>
      </c>
      <c r="E2594" s="23">
        <f t="array" ref="E2594">IF(D2594="","",IF(D2594=1,0,INDEX(Calculation!Q$2:Q9627,D2594-1)))</f>
        <v>3232449.315</v>
      </c>
      <c r="F2594" s="23">
        <f t="array" ref="F2594">IF($A2594="","",
  LET(
    r, $D2594,
    startD, INDEX(Calculation!B$2:B9627, r),
    endD,   INDEX(Calculation!C$2:C9627, r),
    asOf,   MIN($A2594,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2845499.178</v>
      </c>
    </row>
    <row r="2595">
      <c r="A2595" s="19">
        <v>44830.0</v>
      </c>
      <c r="B2595" s="23">
        <v>1.0765E7</v>
      </c>
      <c r="C2595" s="23">
        <f t="shared" si="1"/>
        <v>6085026.849</v>
      </c>
      <c r="D2595" s="18">
        <f>IF(A2595="","",MATCH(A2595,Calculation!B$2:B9627,1))</f>
        <v>2</v>
      </c>
      <c r="E2595" s="23">
        <f t="array" ref="E2595">IF(D2595="","",IF(D2595=1,0,INDEX(Calculation!Q$2:Q9627,D2595-1)))</f>
        <v>3232449.315</v>
      </c>
      <c r="F2595" s="23">
        <f t="array" ref="F2595">IF($A2595="","",
  LET(
    r, $D2595,
    startD, INDEX(Calculation!B$2:B9627, r),
    endD,   INDEX(Calculation!C$2:C9627, r),
    asOf,   MIN($A2595,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2852577.534</v>
      </c>
    </row>
    <row r="2596">
      <c r="A2596" s="19">
        <v>44831.0</v>
      </c>
      <c r="B2596" s="23">
        <v>1.0765E7</v>
      </c>
      <c r="C2596" s="23">
        <f t="shared" si="1"/>
        <v>6092105.205</v>
      </c>
      <c r="D2596" s="18">
        <f>IF(A2596="","",MATCH(A2596,Calculation!B$2:B9627,1))</f>
        <v>2</v>
      </c>
      <c r="E2596" s="23">
        <f t="array" ref="E2596">IF(D2596="","",IF(D2596=1,0,INDEX(Calculation!Q$2:Q9627,D2596-1)))</f>
        <v>3232449.315</v>
      </c>
      <c r="F2596" s="23">
        <f t="array" ref="F2596">IF($A2596="","",
  LET(
    r, $D2596,
    startD, INDEX(Calculation!B$2:B9627, r),
    endD,   INDEX(Calculation!C$2:C9627, r),
    asOf,   MIN($A2596,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2859655.89</v>
      </c>
    </row>
    <row r="2597">
      <c r="A2597" s="19">
        <v>44832.0</v>
      </c>
      <c r="B2597" s="23">
        <v>1.0765E7</v>
      </c>
      <c r="C2597" s="23">
        <f t="shared" si="1"/>
        <v>6099183.562</v>
      </c>
      <c r="D2597" s="18">
        <f>IF(A2597="","",MATCH(A2597,Calculation!B$2:B9627,1))</f>
        <v>2</v>
      </c>
      <c r="E2597" s="23">
        <f t="array" ref="E2597">IF(D2597="","",IF(D2597=1,0,INDEX(Calculation!Q$2:Q9627,D2597-1)))</f>
        <v>3232449.315</v>
      </c>
      <c r="F2597" s="23">
        <f t="array" ref="F2597">IF($A2597="","",
  LET(
    r, $D2597,
    startD, INDEX(Calculation!B$2:B9627, r),
    endD,   INDEX(Calculation!C$2:C9627, r),
    asOf,   MIN($A2597,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2866734.247</v>
      </c>
    </row>
    <row r="2598">
      <c r="A2598" s="19">
        <v>44833.0</v>
      </c>
      <c r="B2598" s="23">
        <v>1.0765E7</v>
      </c>
      <c r="C2598" s="23">
        <f t="shared" si="1"/>
        <v>6106261.918</v>
      </c>
      <c r="D2598" s="18">
        <f>IF(A2598="","",MATCH(A2598,Calculation!B$2:B9627,1))</f>
        <v>2</v>
      </c>
      <c r="E2598" s="23">
        <f t="array" ref="E2598">IF(D2598="","",IF(D2598=1,0,INDEX(Calculation!Q$2:Q9627,D2598-1)))</f>
        <v>3232449.315</v>
      </c>
      <c r="F2598" s="23">
        <f t="array" ref="F2598">IF($A2598="","",
  LET(
    r, $D2598,
    startD, INDEX(Calculation!B$2:B9627, r),
    endD,   INDEX(Calculation!C$2:C9627, r),
    asOf,   MIN($A2598,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2873812.603</v>
      </c>
    </row>
    <row r="2599">
      <c r="A2599" s="19">
        <v>44834.0</v>
      </c>
      <c r="B2599" s="23">
        <v>1.0765E7</v>
      </c>
      <c r="C2599" s="23">
        <f t="shared" si="1"/>
        <v>6113340.274</v>
      </c>
      <c r="D2599" s="18">
        <f>IF(A2599="","",MATCH(A2599,Calculation!B$2:B9627,1))</f>
        <v>2</v>
      </c>
      <c r="E2599" s="23">
        <f t="array" ref="E2599">IF(D2599="","",IF(D2599=1,0,INDEX(Calculation!Q$2:Q9627,D2599-1)))</f>
        <v>3232449.315</v>
      </c>
      <c r="F2599" s="23">
        <f t="array" ref="F2599">IF($A2599="","",
  LET(
    r, $D2599,
    startD, INDEX(Calculation!B$2:B9627, r),
    endD,   INDEX(Calculation!C$2:C9627, r),
    asOf,   MIN($A2599,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2880890.959</v>
      </c>
    </row>
    <row r="2600">
      <c r="A2600" s="19">
        <v>44835.0</v>
      </c>
      <c r="B2600" s="23">
        <v>1.0765E7</v>
      </c>
      <c r="C2600" s="23">
        <f t="shared" si="1"/>
        <v>6120418.63</v>
      </c>
      <c r="D2600" s="18">
        <f>IF(A2600="","",MATCH(A2600,Calculation!B$2:B9627,1))</f>
        <v>2</v>
      </c>
      <c r="E2600" s="23">
        <f t="array" ref="E2600">IF(D2600="","",IF(D2600=1,0,INDEX(Calculation!Q$2:Q9627,D2600-1)))</f>
        <v>3232449.315</v>
      </c>
      <c r="F2600" s="23">
        <f t="array" ref="F2600">IF($A2600="","",
  LET(
    r, $D2600,
    startD, INDEX(Calculation!B$2:B9627, r),
    endD,   INDEX(Calculation!C$2:C9627, r),
    asOf,   MIN($A2600,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2887969.315</v>
      </c>
    </row>
    <row r="2601">
      <c r="A2601" s="19">
        <v>44836.0</v>
      </c>
      <c r="B2601" s="23">
        <v>1.0765E7</v>
      </c>
      <c r="C2601" s="23">
        <f t="shared" si="1"/>
        <v>6127496.986</v>
      </c>
      <c r="D2601" s="18">
        <f>IF(A2601="","",MATCH(A2601,Calculation!B$2:B9627,1))</f>
        <v>2</v>
      </c>
      <c r="E2601" s="23">
        <f t="array" ref="E2601">IF(D2601="","",IF(D2601=1,0,INDEX(Calculation!Q$2:Q9627,D2601-1)))</f>
        <v>3232449.315</v>
      </c>
      <c r="F2601" s="23">
        <f t="array" ref="F2601">IF($A2601="","",
  LET(
    r, $D2601,
    startD, INDEX(Calculation!B$2:B9627, r),
    endD,   INDEX(Calculation!C$2:C9627, r),
    asOf,   MIN($A2601,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2895047.671</v>
      </c>
    </row>
    <row r="2602">
      <c r="A2602" s="19">
        <v>44837.0</v>
      </c>
      <c r="B2602" s="23">
        <v>1.0765E7</v>
      </c>
      <c r="C2602" s="23">
        <f t="shared" si="1"/>
        <v>6134575.342</v>
      </c>
      <c r="D2602" s="18">
        <f>IF(A2602="","",MATCH(A2602,Calculation!B$2:B9627,1))</f>
        <v>2</v>
      </c>
      <c r="E2602" s="23">
        <f t="array" ref="E2602">IF(D2602="","",IF(D2602=1,0,INDEX(Calculation!Q$2:Q9627,D2602-1)))</f>
        <v>3232449.315</v>
      </c>
      <c r="F2602" s="23">
        <f t="array" ref="F2602">IF($A2602="","",
  LET(
    r, $D2602,
    startD, INDEX(Calculation!B$2:B9627, r),
    endD,   INDEX(Calculation!C$2:C9627, r),
    asOf,   MIN($A2602,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2902126.027</v>
      </c>
    </row>
    <row r="2603">
      <c r="A2603" s="19">
        <v>44838.0</v>
      </c>
      <c r="B2603" s="23">
        <v>1.0765E7</v>
      </c>
      <c r="C2603" s="23">
        <f t="shared" si="1"/>
        <v>6141653.699</v>
      </c>
      <c r="D2603" s="18">
        <f>IF(A2603="","",MATCH(A2603,Calculation!B$2:B9627,1))</f>
        <v>2</v>
      </c>
      <c r="E2603" s="23">
        <f t="array" ref="E2603">IF(D2603="","",IF(D2603=1,0,INDEX(Calculation!Q$2:Q9627,D2603-1)))</f>
        <v>3232449.315</v>
      </c>
      <c r="F2603" s="23">
        <f t="array" ref="F2603">IF($A2603="","",
  LET(
    r, $D2603,
    startD, INDEX(Calculation!B$2:B9627, r),
    endD,   INDEX(Calculation!C$2:C9627, r),
    asOf,   MIN($A2603,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2909204.384</v>
      </c>
    </row>
    <row r="2604">
      <c r="A2604" s="19">
        <v>44839.0</v>
      </c>
      <c r="B2604" s="23">
        <v>1.0765E7</v>
      </c>
      <c r="C2604" s="23">
        <f t="shared" si="1"/>
        <v>6148732.055</v>
      </c>
      <c r="D2604" s="18">
        <f>IF(A2604="","",MATCH(A2604,Calculation!B$2:B9627,1))</f>
        <v>2</v>
      </c>
      <c r="E2604" s="23">
        <f t="array" ref="E2604">IF(D2604="","",IF(D2604=1,0,INDEX(Calculation!Q$2:Q9627,D2604-1)))</f>
        <v>3232449.315</v>
      </c>
      <c r="F2604" s="23">
        <f t="array" ref="F2604">IF($A2604="","",
  LET(
    r, $D2604,
    startD, INDEX(Calculation!B$2:B9627, r),
    endD,   INDEX(Calculation!C$2:C9627, r),
    asOf,   MIN($A2604,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2916282.74</v>
      </c>
    </row>
    <row r="2605">
      <c r="A2605" s="19">
        <v>44840.0</v>
      </c>
      <c r="B2605" s="23">
        <v>1.0765E7</v>
      </c>
      <c r="C2605" s="23">
        <f t="shared" si="1"/>
        <v>6155810.411</v>
      </c>
      <c r="D2605" s="18">
        <f>IF(A2605="","",MATCH(A2605,Calculation!B$2:B9627,1))</f>
        <v>2</v>
      </c>
      <c r="E2605" s="23">
        <f t="array" ref="E2605">IF(D2605="","",IF(D2605=1,0,INDEX(Calculation!Q$2:Q9627,D2605-1)))</f>
        <v>3232449.315</v>
      </c>
      <c r="F2605" s="23">
        <f t="array" ref="F2605">IF($A2605="","",
  LET(
    r, $D2605,
    startD, INDEX(Calculation!B$2:B9627, r),
    endD,   INDEX(Calculation!C$2:C9627, r),
    asOf,   MIN($A2605,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2923361.096</v>
      </c>
    </row>
    <row r="2606">
      <c r="A2606" s="19">
        <v>44841.0</v>
      </c>
      <c r="B2606" s="23">
        <v>1.0765E7</v>
      </c>
      <c r="C2606" s="23">
        <f t="shared" si="1"/>
        <v>6162888.767</v>
      </c>
      <c r="D2606" s="18">
        <f>IF(A2606="","",MATCH(A2606,Calculation!B$2:B9627,1))</f>
        <v>2</v>
      </c>
      <c r="E2606" s="23">
        <f t="array" ref="E2606">IF(D2606="","",IF(D2606=1,0,INDEX(Calculation!Q$2:Q9627,D2606-1)))</f>
        <v>3232449.315</v>
      </c>
      <c r="F2606" s="23">
        <f t="array" ref="F2606">IF($A2606="","",
  LET(
    r, $D2606,
    startD, INDEX(Calculation!B$2:B9627, r),
    endD,   INDEX(Calculation!C$2:C9627, r),
    asOf,   MIN($A2606,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2930439.452</v>
      </c>
    </row>
    <row r="2607">
      <c r="A2607" s="19">
        <v>44842.0</v>
      </c>
      <c r="B2607" s="23">
        <v>1.0765E7</v>
      </c>
      <c r="C2607" s="23">
        <f t="shared" si="1"/>
        <v>6169967.123</v>
      </c>
      <c r="D2607" s="18">
        <f>IF(A2607="","",MATCH(A2607,Calculation!B$2:B9627,1))</f>
        <v>2</v>
      </c>
      <c r="E2607" s="23">
        <f t="array" ref="E2607">IF(D2607="","",IF(D2607=1,0,INDEX(Calculation!Q$2:Q9627,D2607-1)))</f>
        <v>3232449.315</v>
      </c>
      <c r="F2607" s="23">
        <f t="array" ref="F2607">IF($A2607="","",
  LET(
    r, $D2607,
    startD, INDEX(Calculation!B$2:B9627, r),
    endD,   INDEX(Calculation!C$2:C9627, r),
    asOf,   MIN($A2607,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2937517.808</v>
      </c>
    </row>
    <row r="2608">
      <c r="A2608" s="19">
        <v>44843.0</v>
      </c>
      <c r="B2608" s="23">
        <v>1.0765E7</v>
      </c>
      <c r="C2608" s="23">
        <f t="shared" si="1"/>
        <v>6177045.479</v>
      </c>
      <c r="D2608" s="18">
        <f>IF(A2608="","",MATCH(A2608,Calculation!B$2:B9627,1))</f>
        <v>2</v>
      </c>
      <c r="E2608" s="23">
        <f t="array" ref="E2608">IF(D2608="","",IF(D2608=1,0,INDEX(Calculation!Q$2:Q9627,D2608-1)))</f>
        <v>3232449.315</v>
      </c>
      <c r="F2608" s="23">
        <f t="array" ref="F2608">IF($A2608="","",
  LET(
    r, $D2608,
    startD, INDEX(Calculation!B$2:B9627, r),
    endD,   INDEX(Calculation!C$2:C9627, r),
    asOf,   MIN($A2608,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2944596.164</v>
      </c>
    </row>
    <row r="2609">
      <c r="A2609" s="19">
        <v>44844.0</v>
      </c>
      <c r="B2609" s="23">
        <v>1.0765E7</v>
      </c>
      <c r="C2609" s="23">
        <f t="shared" si="1"/>
        <v>6184123.836</v>
      </c>
      <c r="D2609" s="18">
        <f>IF(A2609="","",MATCH(A2609,Calculation!B$2:B9627,1))</f>
        <v>2</v>
      </c>
      <c r="E2609" s="23">
        <f t="array" ref="E2609">IF(D2609="","",IF(D2609=1,0,INDEX(Calculation!Q$2:Q9627,D2609-1)))</f>
        <v>3232449.315</v>
      </c>
      <c r="F2609" s="23">
        <f t="array" ref="F2609">IF($A2609="","",
  LET(
    r, $D2609,
    startD, INDEX(Calculation!B$2:B9627, r),
    endD,   INDEX(Calculation!C$2:C9627, r),
    asOf,   MIN($A2609,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2951674.521</v>
      </c>
    </row>
    <row r="2610">
      <c r="A2610" s="19">
        <v>44845.0</v>
      </c>
      <c r="B2610" s="23">
        <v>1.0765E7</v>
      </c>
      <c r="C2610" s="23">
        <f t="shared" si="1"/>
        <v>6191202.192</v>
      </c>
      <c r="D2610" s="18">
        <f>IF(A2610="","",MATCH(A2610,Calculation!B$2:B9627,1))</f>
        <v>2</v>
      </c>
      <c r="E2610" s="23">
        <f t="array" ref="E2610">IF(D2610="","",IF(D2610=1,0,INDEX(Calculation!Q$2:Q9627,D2610-1)))</f>
        <v>3232449.315</v>
      </c>
      <c r="F2610" s="23">
        <f t="array" ref="F2610">IF($A2610="","",
  LET(
    r, $D2610,
    startD, INDEX(Calculation!B$2:B9627, r),
    endD,   INDEX(Calculation!C$2:C9627, r),
    asOf,   MIN($A2610,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2958752.877</v>
      </c>
    </row>
    <row r="2611">
      <c r="A2611" s="19">
        <v>44846.0</v>
      </c>
      <c r="B2611" s="23">
        <v>1.0765E7</v>
      </c>
      <c r="C2611" s="23">
        <f t="shared" si="1"/>
        <v>6198280.548</v>
      </c>
      <c r="D2611" s="18">
        <f>IF(A2611="","",MATCH(A2611,Calculation!B$2:B9627,1))</f>
        <v>2</v>
      </c>
      <c r="E2611" s="23">
        <f t="array" ref="E2611">IF(D2611="","",IF(D2611=1,0,INDEX(Calculation!Q$2:Q9627,D2611-1)))</f>
        <v>3232449.315</v>
      </c>
      <c r="F2611" s="23">
        <f t="array" ref="F2611">IF($A2611="","",
  LET(
    r, $D2611,
    startD, INDEX(Calculation!B$2:B9627, r),
    endD,   INDEX(Calculation!C$2:C9627, r),
    asOf,   MIN($A2611,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2965831.233</v>
      </c>
    </row>
    <row r="2612">
      <c r="A2612" s="19">
        <v>44847.0</v>
      </c>
      <c r="B2612" s="23">
        <v>1.0765E7</v>
      </c>
      <c r="C2612" s="23">
        <f t="shared" si="1"/>
        <v>6205358.904</v>
      </c>
      <c r="D2612" s="18">
        <f>IF(A2612="","",MATCH(A2612,Calculation!B$2:B9627,1))</f>
        <v>2</v>
      </c>
      <c r="E2612" s="23">
        <f t="array" ref="E2612">IF(D2612="","",IF(D2612=1,0,INDEX(Calculation!Q$2:Q9627,D2612-1)))</f>
        <v>3232449.315</v>
      </c>
      <c r="F2612" s="23">
        <f t="array" ref="F2612">IF($A2612="","",
  LET(
    r, $D2612,
    startD, INDEX(Calculation!B$2:B9627, r),
    endD,   INDEX(Calculation!C$2:C9627, r),
    asOf,   MIN($A2612,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2972909.589</v>
      </c>
    </row>
    <row r="2613">
      <c r="A2613" s="19">
        <v>44848.0</v>
      </c>
      <c r="B2613" s="23">
        <v>1.0765E7</v>
      </c>
      <c r="C2613" s="23">
        <f t="shared" si="1"/>
        <v>6212437.26</v>
      </c>
      <c r="D2613" s="18">
        <f>IF(A2613="","",MATCH(A2613,Calculation!B$2:B9627,1))</f>
        <v>2</v>
      </c>
      <c r="E2613" s="23">
        <f t="array" ref="E2613">IF(D2613="","",IF(D2613=1,0,INDEX(Calculation!Q$2:Q9627,D2613-1)))</f>
        <v>3232449.315</v>
      </c>
      <c r="F2613" s="23">
        <f t="array" ref="F2613">IF($A2613="","",
  LET(
    r, $D2613,
    startD, INDEX(Calculation!B$2:B9627, r),
    endD,   INDEX(Calculation!C$2:C9627, r),
    asOf,   MIN($A2613,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2979987.945</v>
      </c>
    </row>
    <row r="2614">
      <c r="A2614" s="19">
        <v>44849.0</v>
      </c>
      <c r="B2614" s="23">
        <v>1.0765E7</v>
      </c>
      <c r="C2614" s="23">
        <f t="shared" si="1"/>
        <v>6219515.616</v>
      </c>
      <c r="D2614" s="18">
        <f>IF(A2614="","",MATCH(A2614,Calculation!B$2:B9627,1))</f>
        <v>2</v>
      </c>
      <c r="E2614" s="23">
        <f t="array" ref="E2614">IF(D2614="","",IF(D2614=1,0,INDEX(Calculation!Q$2:Q9627,D2614-1)))</f>
        <v>3232449.315</v>
      </c>
      <c r="F2614" s="23">
        <f t="array" ref="F2614">IF($A2614="","",
  LET(
    r, $D2614,
    startD, INDEX(Calculation!B$2:B9627, r),
    endD,   INDEX(Calculation!C$2:C9627, r),
    asOf,   MIN($A2614,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2987066.301</v>
      </c>
    </row>
    <row r="2615">
      <c r="A2615" s="19">
        <v>44850.0</v>
      </c>
      <c r="B2615" s="23">
        <v>1.0765E7</v>
      </c>
      <c r="C2615" s="23">
        <f t="shared" si="1"/>
        <v>6226593.973</v>
      </c>
      <c r="D2615" s="18">
        <f>IF(A2615="","",MATCH(A2615,Calculation!B$2:B9627,1))</f>
        <v>2</v>
      </c>
      <c r="E2615" s="23">
        <f t="array" ref="E2615">IF(D2615="","",IF(D2615=1,0,INDEX(Calculation!Q$2:Q9627,D2615-1)))</f>
        <v>3232449.315</v>
      </c>
      <c r="F2615" s="23">
        <f t="array" ref="F2615">IF($A2615="","",
  LET(
    r, $D2615,
    startD, INDEX(Calculation!B$2:B9627, r),
    endD,   INDEX(Calculation!C$2:C9627, r),
    asOf,   MIN($A2615,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2994144.658</v>
      </c>
    </row>
    <row r="2616">
      <c r="A2616" s="19">
        <v>44851.0</v>
      </c>
      <c r="B2616" s="23">
        <v>1.0765E7</v>
      </c>
      <c r="C2616" s="23">
        <f t="shared" si="1"/>
        <v>6233672.329</v>
      </c>
      <c r="D2616" s="18">
        <f>IF(A2616="","",MATCH(A2616,Calculation!B$2:B9627,1))</f>
        <v>2</v>
      </c>
      <c r="E2616" s="23">
        <f t="array" ref="E2616">IF(D2616="","",IF(D2616=1,0,INDEX(Calculation!Q$2:Q9627,D2616-1)))</f>
        <v>3232449.315</v>
      </c>
      <c r="F2616" s="23">
        <f t="array" ref="F2616">IF($A2616="","",
  LET(
    r, $D2616,
    startD, INDEX(Calculation!B$2:B9627, r),
    endD,   INDEX(Calculation!C$2:C9627, r),
    asOf,   MIN($A2616,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3001223.014</v>
      </c>
    </row>
    <row r="2617">
      <c r="A2617" s="19">
        <v>44852.0</v>
      </c>
      <c r="B2617" s="23">
        <v>1.0765E7</v>
      </c>
      <c r="C2617" s="23">
        <f t="shared" si="1"/>
        <v>6240750.685</v>
      </c>
      <c r="D2617" s="18">
        <f>IF(A2617="","",MATCH(A2617,Calculation!B$2:B9627,1))</f>
        <v>2</v>
      </c>
      <c r="E2617" s="23">
        <f t="array" ref="E2617">IF(D2617="","",IF(D2617=1,0,INDEX(Calculation!Q$2:Q9627,D2617-1)))</f>
        <v>3232449.315</v>
      </c>
      <c r="F2617" s="23">
        <f t="array" ref="F2617">IF($A2617="","",
  LET(
    r, $D2617,
    startD, INDEX(Calculation!B$2:B9627, r),
    endD,   INDEX(Calculation!C$2:C9627, r),
    asOf,   MIN($A2617,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3008301.37</v>
      </c>
    </row>
    <row r="2618">
      <c r="A2618" s="19">
        <v>44853.0</v>
      </c>
      <c r="B2618" s="23">
        <v>1.0765E7</v>
      </c>
      <c r="C2618" s="23">
        <f t="shared" si="1"/>
        <v>6247829.041</v>
      </c>
      <c r="D2618" s="18">
        <f>IF(A2618="","",MATCH(A2618,Calculation!B$2:B9627,1))</f>
        <v>2</v>
      </c>
      <c r="E2618" s="23">
        <f t="array" ref="E2618">IF(D2618="","",IF(D2618=1,0,INDEX(Calculation!Q$2:Q9627,D2618-1)))</f>
        <v>3232449.315</v>
      </c>
      <c r="F2618" s="23">
        <f t="array" ref="F2618">IF($A2618="","",
  LET(
    r, $D2618,
    startD, INDEX(Calculation!B$2:B9627, r),
    endD,   INDEX(Calculation!C$2:C9627, r),
    asOf,   MIN($A2618,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3015379.726</v>
      </c>
    </row>
    <row r="2619">
      <c r="A2619" s="19">
        <v>44854.0</v>
      </c>
      <c r="B2619" s="23">
        <v>1.0765E7</v>
      </c>
      <c r="C2619" s="23">
        <f t="shared" si="1"/>
        <v>6254907.397</v>
      </c>
      <c r="D2619" s="18">
        <f>IF(A2619="","",MATCH(A2619,Calculation!B$2:B9627,1))</f>
        <v>2</v>
      </c>
      <c r="E2619" s="23">
        <f t="array" ref="E2619">IF(D2619="","",IF(D2619=1,0,INDEX(Calculation!Q$2:Q9627,D2619-1)))</f>
        <v>3232449.315</v>
      </c>
      <c r="F2619" s="23">
        <f t="array" ref="F2619">IF($A2619="","",
  LET(
    r, $D2619,
    startD, INDEX(Calculation!B$2:B9627, r),
    endD,   INDEX(Calculation!C$2:C9627, r),
    asOf,   MIN($A2619,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3022458.082</v>
      </c>
    </row>
    <row r="2620">
      <c r="A2620" s="19">
        <v>44855.0</v>
      </c>
      <c r="B2620" s="23">
        <v>1.0765E7</v>
      </c>
      <c r="C2620" s="23">
        <f t="shared" si="1"/>
        <v>6261985.753</v>
      </c>
      <c r="D2620" s="18">
        <f>IF(A2620="","",MATCH(A2620,Calculation!B$2:B9627,1))</f>
        <v>2</v>
      </c>
      <c r="E2620" s="23">
        <f t="array" ref="E2620">IF(D2620="","",IF(D2620=1,0,INDEX(Calculation!Q$2:Q9627,D2620-1)))</f>
        <v>3232449.315</v>
      </c>
      <c r="F2620" s="23">
        <f t="array" ref="F2620">IF($A2620="","",
  LET(
    r, $D2620,
    startD, INDEX(Calculation!B$2:B9627, r),
    endD,   INDEX(Calculation!C$2:C9627, r),
    asOf,   MIN($A2620,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3029536.438</v>
      </c>
    </row>
    <row r="2621">
      <c r="A2621" s="19">
        <v>44856.0</v>
      </c>
      <c r="B2621" s="23">
        <v>1.0765E7</v>
      </c>
      <c r="C2621" s="23">
        <f t="shared" si="1"/>
        <v>6269064.11</v>
      </c>
      <c r="D2621" s="18">
        <f>IF(A2621="","",MATCH(A2621,Calculation!B$2:B9627,1))</f>
        <v>2</v>
      </c>
      <c r="E2621" s="23">
        <f t="array" ref="E2621">IF(D2621="","",IF(D2621=1,0,INDEX(Calculation!Q$2:Q9627,D2621-1)))</f>
        <v>3232449.315</v>
      </c>
      <c r="F2621" s="23">
        <f t="array" ref="F2621">IF($A2621="","",
  LET(
    r, $D2621,
    startD, INDEX(Calculation!B$2:B9627, r),
    endD,   INDEX(Calculation!C$2:C9627, r),
    asOf,   MIN($A2621,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3036614.795</v>
      </c>
    </row>
    <row r="2622">
      <c r="A2622" s="19">
        <v>44857.0</v>
      </c>
      <c r="B2622" s="23">
        <v>1.0765E7</v>
      </c>
      <c r="C2622" s="23">
        <f t="shared" si="1"/>
        <v>6276142.466</v>
      </c>
      <c r="D2622" s="18">
        <f>IF(A2622="","",MATCH(A2622,Calculation!B$2:B9627,1))</f>
        <v>2</v>
      </c>
      <c r="E2622" s="23">
        <f t="array" ref="E2622">IF(D2622="","",IF(D2622=1,0,INDEX(Calculation!Q$2:Q9627,D2622-1)))</f>
        <v>3232449.315</v>
      </c>
      <c r="F2622" s="23">
        <f t="array" ref="F2622">IF($A2622="","",
  LET(
    r, $D2622,
    startD, INDEX(Calculation!B$2:B9627, r),
    endD,   INDEX(Calculation!C$2:C9627, r),
    asOf,   MIN($A2622,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3043693.151</v>
      </c>
    </row>
    <row r="2623">
      <c r="A2623" s="19">
        <v>44858.0</v>
      </c>
      <c r="B2623" s="23">
        <v>1.0765E7</v>
      </c>
      <c r="C2623" s="23">
        <f t="shared" si="1"/>
        <v>6283220.822</v>
      </c>
      <c r="D2623" s="18">
        <f>IF(A2623="","",MATCH(A2623,Calculation!B$2:B9627,1))</f>
        <v>2</v>
      </c>
      <c r="E2623" s="23">
        <f t="array" ref="E2623">IF(D2623="","",IF(D2623=1,0,INDEX(Calculation!Q$2:Q9627,D2623-1)))</f>
        <v>3232449.315</v>
      </c>
      <c r="F2623" s="23">
        <f t="array" ref="F2623">IF($A2623="","",
  LET(
    r, $D2623,
    startD, INDEX(Calculation!B$2:B9627, r),
    endD,   INDEX(Calculation!C$2:C9627, r),
    asOf,   MIN($A2623,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3050771.507</v>
      </c>
    </row>
    <row r="2624">
      <c r="A2624" s="19">
        <v>44859.0</v>
      </c>
      <c r="B2624" s="23">
        <v>1.0765E7</v>
      </c>
      <c r="C2624" s="23">
        <f t="shared" si="1"/>
        <v>6290299.178</v>
      </c>
      <c r="D2624" s="18">
        <f>IF(A2624="","",MATCH(A2624,Calculation!B$2:B9627,1))</f>
        <v>2</v>
      </c>
      <c r="E2624" s="23">
        <f t="array" ref="E2624">IF(D2624="","",IF(D2624=1,0,INDEX(Calculation!Q$2:Q9627,D2624-1)))</f>
        <v>3232449.315</v>
      </c>
      <c r="F2624" s="23">
        <f t="array" ref="F2624">IF($A2624="","",
  LET(
    r, $D2624,
    startD, INDEX(Calculation!B$2:B9627, r),
    endD,   INDEX(Calculation!C$2:C9627, r),
    asOf,   MIN($A2624,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3057849.863</v>
      </c>
    </row>
    <row r="2625">
      <c r="A2625" s="19">
        <v>44860.0</v>
      </c>
      <c r="B2625" s="23">
        <v>1.0765E7</v>
      </c>
      <c r="C2625" s="23">
        <f t="shared" si="1"/>
        <v>6297377.534</v>
      </c>
      <c r="D2625" s="18">
        <f>IF(A2625="","",MATCH(A2625,Calculation!B$2:B9627,1))</f>
        <v>2</v>
      </c>
      <c r="E2625" s="23">
        <f t="array" ref="E2625">IF(D2625="","",IF(D2625=1,0,INDEX(Calculation!Q$2:Q9627,D2625-1)))</f>
        <v>3232449.315</v>
      </c>
      <c r="F2625" s="23">
        <f t="array" ref="F2625">IF($A2625="","",
  LET(
    r, $D2625,
    startD, INDEX(Calculation!B$2:B9627, r),
    endD,   INDEX(Calculation!C$2:C9627, r),
    asOf,   MIN($A2625,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3064928.219</v>
      </c>
    </row>
    <row r="2626">
      <c r="A2626" s="19">
        <v>44861.0</v>
      </c>
      <c r="B2626" s="23">
        <v>1.0765E7</v>
      </c>
      <c r="C2626" s="23">
        <f t="shared" si="1"/>
        <v>6304455.89</v>
      </c>
      <c r="D2626" s="18">
        <f>IF(A2626="","",MATCH(A2626,Calculation!B$2:B9627,1))</f>
        <v>2</v>
      </c>
      <c r="E2626" s="23">
        <f t="array" ref="E2626">IF(D2626="","",IF(D2626=1,0,INDEX(Calculation!Q$2:Q9627,D2626-1)))</f>
        <v>3232449.315</v>
      </c>
      <c r="F2626" s="23">
        <f t="array" ref="F2626">IF($A2626="","",
  LET(
    r, $D2626,
    startD, INDEX(Calculation!B$2:B9627, r),
    endD,   INDEX(Calculation!C$2:C9627, r),
    asOf,   MIN($A2626,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3072006.575</v>
      </c>
    </row>
    <row r="2627">
      <c r="A2627" s="19">
        <v>44862.0</v>
      </c>
      <c r="B2627" s="23">
        <v>1.0765E7</v>
      </c>
      <c r="C2627" s="23">
        <f t="shared" si="1"/>
        <v>6311534.247</v>
      </c>
      <c r="D2627" s="18">
        <f>IF(A2627="","",MATCH(A2627,Calculation!B$2:B9627,1))</f>
        <v>2</v>
      </c>
      <c r="E2627" s="23">
        <f t="array" ref="E2627">IF(D2627="","",IF(D2627=1,0,INDEX(Calculation!Q$2:Q9627,D2627-1)))</f>
        <v>3232449.315</v>
      </c>
      <c r="F2627" s="23">
        <f t="array" ref="F2627">IF($A2627="","",
  LET(
    r, $D2627,
    startD, INDEX(Calculation!B$2:B9627, r),
    endD,   INDEX(Calculation!C$2:C9627, r),
    asOf,   MIN($A2627,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3079084.932</v>
      </c>
    </row>
    <row r="2628">
      <c r="A2628" s="19">
        <v>44863.0</v>
      </c>
      <c r="B2628" s="23">
        <v>1.0765E7</v>
      </c>
      <c r="C2628" s="23">
        <f t="shared" si="1"/>
        <v>6318612.603</v>
      </c>
      <c r="D2628" s="18">
        <f>IF(A2628="","",MATCH(A2628,Calculation!B$2:B9627,1))</f>
        <v>2</v>
      </c>
      <c r="E2628" s="23">
        <f t="array" ref="E2628">IF(D2628="","",IF(D2628=1,0,INDEX(Calculation!Q$2:Q9627,D2628-1)))</f>
        <v>3232449.315</v>
      </c>
      <c r="F2628" s="23">
        <f t="array" ref="F2628">IF($A2628="","",
  LET(
    r, $D2628,
    startD, INDEX(Calculation!B$2:B9627, r),
    endD,   INDEX(Calculation!C$2:C9627, r),
    asOf,   MIN($A2628,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3086163.288</v>
      </c>
    </row>
    <row r="2629">
      <c r="A2629" s="19">
        <v>44864.0</v>
      </c>
      <c r="B2629" s="23">
        <v>1.0765E7</v>
      </c>
      <c r="C2629" s="23">
        <f t="shared" si="1"/>
        <v>6325690.959</v>
      </c>
      <c r="D2629" s="18">
        <f>IF(A2629="","",MATCH(A2629,Calculation!B$2:B9627,1))</f>
        <v>2</v>
      </c>
      <c r="E2629" s="23">
        <f t="array" ref="E2629">IF(D2629="","",IF(D2629=1,0,INDEX(Calculation!Q$2:Q9627,D2629-1)))</f>
        <v>3232449.315</v>
      </c>
      <c r="F2629" s="23">
        <f t="array" ref="F2629">IF($A2629="","",
  LET(
    r, $D2629,
    startD, INDEX(Calculation!B$2:B9627, r),
    endD,   INDEX(Calculation!C$2:C9627, r),
    asOf,   MIN($A2629,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3093241.644</v>
      </c>
    </row>
    <row r="2630">
      <c r="A2630" s="19">
        <v>44865.0</v>
      </c>
      <c r="B2630" s="23">
        <v>1.0765E7</v>
      </c>
      <c r="C2630" s="23">
        <f t="shared" si="1"/>
        <v>6332769.315</v>
      </c>
      <c r="D2630" s="18">
        <f>IF(A2630="","",MATCH(A2630,Calculation!B$2:B9627,1))</f>
        <v>2</v>
      </c>
      <c r="E2630" s="23">
        <f t="array" ref="E2630">IF(D2630="","",IF(D2630=1,0,INDEX(Calculation!Q$2:Q9627,D2630-1)))</f>
        <v>3232449.315</v>
      </c>
      <c r="F2630" s="23">
        <f t="array" ref="F2630">IF($A2630="","",
  LET(
    r, $D2630,
    startD, INDEX(Calculation!B$2:B9627, r),
    endD,   INDEX(Calculation!C$2:C9627, r),
    asOf,   MIN($A2630,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3100320</v>
      </c>
    </row>
    <row r="2631">
      <c r="A2631" s="19">
        <v>44866.0</v>
      </c>
      <c r="B2631" s="23">
        <v>1.0765E7</v>
      </c>
      <c r="C2631" s="23">
        <f t="shared" si="1"/>
        <v>6339847.671</v>
      </c>
      <c r="D2631" s="18">
        <f>IF(A2631="","",MATCH(A2631,Calculation!B$2:B9627,1))</f>
        <v>2</v>
      </c>
      <c r="E2631" s="23">
        <f t="array" ref="E2631">IF(D2631="","",IF(D2631=1,0,INDEX(Calculation!Q$2:Q9627,D2631-1)))</f>
        <v>3232449.315</v>
      </c>
      <c r="F2631" s="23">
        <f t="array" ref="F2631">IF($A2631="","",
  LET(
    r, $D2631,
    startD, INDEX(Calculation!B$2:B9627, r),
    endD,   INDEX(Calculation!C$2:C9627, r),
    asOf,   MIN($A2631,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3107398.356</v>
      </c>
    </row>
    <row r="2632">
      <c r="A2632" s="19">
        <v>44867.0</v>
      </c>
      <c r="B2632" s="23">
        <v>1.0765E7</v>
      </c>
      <c r="C2632" s="23">
        <f t="shared" si="1"/>
        <v>6346926.027</v>
      </c>
      <c r="D2632" s="18">
        <f>IF(A2632="","",MATCH(A2632,Calculation!B$2:B9627,1))</f>
        <v>2</v>
      </c>
      <c r="E2632" s="23">
        <f t="array" ref="E2632">IF(D2632="","",IF(D2632=1,0,INDEX(Calculation!Q$2:Q9627,D2632-1)))</f>
        <v>3232449.315</v>
      </c>
      <c r="F2632" s="23">
        <f t="array" ref="F2632">IF($A2632="","",
  LET(
    r, $D2632,
    startD, INDEX(Calculation!B$2:B9627, r),
    endD,   INDEX(Calculation!C$2:C9627, r),
    asOf,   MIN($A2632,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3114476.712</v>
      </c>
    </row>
    <row r="2633">
      <c r="A2633" s="19">
        <v>44868.0</v>
      </c>
      <c r="B2633" s="23">
        <v>1.0765E7</v>
      </c>
      <c r="C2633" s="23">
        <f t="shared" si="1"/>
        <v>6354004.384</v>
      </c>
      <c r="D2633" s="18">
        <f>IF(A2633="","",MATCH(A2633,Calculation!B$2:B9627,1))</f>
        <v>2</v>
      </c>
      <c r="E2633" s="23">
        <f t="array" ref="E2633">IF(D2633="","",IF(D2633=1,0,INDEX(Calculation!Q$2:Q9627,D2633-1)))</f>
        <v>3232449.315</v>
      </c>
      <c r="F2633" s="23">
        <f t="array" ref="F2633">IF($A2633="","",
  LET(
    r, $D2633,
    startD, INDEX(Calculation!B$2:B9627, r),
    endD,   INDEX(Calculation!C$2:C9627, r),
    asOf,   MIN($A2633,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3121555.068</v>
      </c>
    </row>
    <row r="2634">
      <c r="A2634" s="19">
        <v>44869.0</v>
      </c>
      <c r="B2634" s="23">
        <v>1.0765E7</v>
      </c>
      <c r="C2634" s="23">
        <f t="shared" si="1"/>
        <v>6361082.74</v>
      </c>
      <c r="D2634" s="18">
        <f>IF(A2634="","",MATCH(A2634,Calculation!B$2:B9627,1))</f>
        <v>2</v>
      </c>
      <c r="E2634" s="23">
        <f t="array" ref="E2634">IF(D2634="","",IF(D2634=1,0,INDEX(Calculation!Q$2:Q9627,D2634-1)))</f>
        <v>3232449.315</v>
      </c>
      <c r="F2634" s="23">
        <f t="array" ref="F2634">IF($A2634="","",
  LET(
    r, $D2634,
    startD, INDEX(Calculation!B$2:B9627, r),
    endD,   INDEX(Calculation!C$2:C9627, r),
    asOf,   MIN($A2634,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3128633.425</v>
      </c>
    </row>
    <row r="2635">
      <c r="A2635" s="19">
        <v>44870.0</v>
      </c>
      <c r="B2635" s="23">
        <v>1.0765E7</v>
      </c>
      <c r="C2635" s="23">
        <f t="shared" si="1"/>
        <v>6368161.096</v>
      </c>
      <c r="D2635" s="18">
        <f>IF(A2635="","",MATCH(A2635,Calculation!B$2:B9627,1))</f>
        <v>2</v>
      </c>
      <c r="E2635" s="23">
        <f t="array" ref="E2635">IF(D2635="","",IF(D2635=1,0,INDEX(Calculation!Q$2:Q9627,D2635-1)))</f>
        <v>3232449.315</v>
      </c>
      <c r="F2635" s="23">
        <f t="array" ref="F2635">IF($A2635="","",
  LET(
    r, $D2635,
    startD, INDEX(Calculation!B$2:B9627, r),
    endD,   INDEX(Calculation!C$2:C9627, r),
    asOf,   MIN($A2635,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3135711.781</v>
      </c>
    </row>
    <row r="2636">
      <c r="A2636" s="19">
        <v>44871.0</v>
      </c>
      <c r="B2636" s="23">
        <v>1.0765E7</v>
      </c>
      <c r="C2636" s="23">
        <f t="shared" si="1"/>
        <v>6375239.452</v>
      </c>
      <c r="D2636" s="18">
        <f>IF(A2636="","",MATCH(A2636,Calculation!B$2:B9627,1))</f>
        <v>2</v>
      </c>
      <c r="E2636" s="23">
        <f t="array" ref="E2636">IF(D2636="","",IF(D2636=1,0,INDEX(Calculation!Q$2:Q9627,D2636-1)))</f>
        <v>3232449.315</v>
      </c>
      <c r="F2636" s="23">
        <f t="array" ref="F2636">IF($A2636="","",
  LET(
    r, $D2636,
    startD, INDEX(Calculation!B$2:B9627, r),
    endD,   INDEX(Calculation!C$2:C9627, r),
    asOf,   MIN($A2636,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3142790.137</v>
      </c>
    </row>
    <row r="2637">
      <c r="A2637" s="19">
        <v>44872.0</v>
      </c>
      <c r="B2637" s="23">
        <v>1.0765E7</v>
      </c>
      <c r="C2637" s="23">
        <f t="shared" si="1"/>
        <v>6382317.808</v>
      </c>
      <c r="D2637" s="18">
        <f>IF(A2637="","",MATCH(A2637,Calculation!B$2:B9627,1))</f>
        <v>2</v>
      </c>
      <c r="E2637" s="23">
        <f t="array" ref="E2637">IF(D2637="","",IF(D2637=1,0,INDEX(Calculation!Q$2:Q9627,D2637-1)))</f>
        <v>3232449.315</v>
      </c>
      <c r="F2637" s="23">
        <f t="array" ref="F2637">IF($A2637="","",
  LET(
    r, $D2637,
    startD, INDEX(Calculation!B$2:B9627, r),
    endD,   INDEX(Calculation!C$2:C9627, r),
    asOf,   MIN($A2637,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3149868.493</v>
      </c>
    </row>
    <row r="2638">
      <c r="A2638" s="19">
        <v>44873.0</v>
      </c>
      <c r="B2638" s="23">
        <v>1.0765E7</v>
      </c>
      <c r="C2638" s="23">
        <f t="shared" si="1"/>
        <v>6389396.164</v>
      </c>
      <c r="D2638" s="18">
        <f>IF(A2638="","",MATCH(A2638,Calculation!B$2:B9627,1))</f>
        <v>2</v>
      </c>
      <c r="E2638" s="23">
        <f t="array" ref="E2638">IF(D2638="","",IF(D2638=1,0,INDEX(Calculation!Q$2:Q9627,D2638-1)))</f>
        <v>3232449.315</v>
      </c>
      <c r="F2638" s="23">
        <f t="array" ref="F2638">IF($A2638="","",
  LET(
    r, $D2638,
    startD, INDEX(Calculation!B$2:B9627, r),
    endD,   INDEX(Calculation!C$2:C9627, r),
    asOf,   MIN($A2638,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3156946.849</v>
      </c>
    </row>
    <row r="2639">
      <c r="A2639" s="19">
        <v>44874.0</v>
      </c>
      <c r="B2639" s="23">
        <v>1.0765E7</v>
      </c>
      <c r="C2639" s="23">
        <f t="shared" si="1"/>
        <v>6396474.521</v>
      </c>
      <c r="D2639" s="18">
        <f>IF(A2639="","",MATCH(A2639,Calculation!B$2:B9627,1))</f>
        <v>2</v>
      </c>
      <c r="E2639" s="23">
        <f t="array" ref="E2639">IF(D2639="","",IF(D2639=1,0,INDEX(Calculation!Q$2:Q9627,D2639-1)))</f>
        <v>3232449.315</v>
      </c>
      <c r="F2639" s="23">
        <f t="array" ref="F2639">IF($A2639="","",
  LET(
    r, $D2639,
    startD, INDEX(Calculation!B$2:B9627, r),
    endD,   INDEX(Calculation!C$2:C9627, r),
    asOf,   MIN($A2639,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3164025.205</v>
      </c>
    </row>
    <row r="2640">
      <c r="A2640" s="19">
        <v>44875.0</v>
      </c>
      <c r="B2640" s="23">
        <v>1.0765E7</v>
      </c>
      <c r="C2640" s="23">
        <f t="shared" si="1"/>
        <v>6403552.877</v>
      </c>
      <c r="D2640" s="18">
        <f>IF(A2640="","",MATCH(A2640,Calculation!B$2:B9627,1))</f>
        <v>2</v>
      </c>
      <c r="E2640" s="23">
        <f t="array" ref="E2640">IF(D2640="","",IF(D2640=1,0,INDEX(Calculation!Q$2:Q9627,D2640-1)))</f>
        <v>3232449.315</v>
      </c>
      <c r="F2640" s="23">
        <f t="array" ref="F2640">IF($A2640="","",
  LET(
    r, $D2640,
    startD, INDEX(Calculation!B$2:B9627, r),
    endD,   INDEX(Calculation!C$2:C9627, r),
    asOf,   MIN($A2640,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3171103.562</v>
      </c>
    </row>
    <row r="2641">
      <c r="A2641" s="19">
        <v>44876.0</v>
      </c>
      <c r="B2641" s="23">
        <v>1.0765E7</v>
      </c>
      <c r="C2641" s="23">
        <f t="shared" si="1"/>
        <v>6410631.233</v>
      </c>
      <c r="D2641" s="18">
        <f>IF(A2641="","",MATCH(A2641,Calculation!B$2:B9627,1))</f>
        <v>2</v>
      </c>
      <c r="E2641" s="23">
        <f t="array" ref="E2641">IF(D2641="","",IF(D2641=1,0,INDEX(Calculation!Q$2:Q9627,D2641-1)))</f>
        <v>3232449.315</v>
      </c>
      <c r="F2641" s="23">
        <f t="array" ref="F2641">IF($A2641="","",
  LET(
    r, $D2641,
    startD, INDEX(Calculation!B$2:B9627, r),
    endD,   INDEX(Calculation!C$2:C9627, r),
    asOf,   MIN($A2641,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3178181.918</v>
      </c>
    </row>
    <row r="2642">
      <c r="A2642" s="19">
        <v>44877.0</v>
      </c>
      <c r="B2642" s="23">
        <v>1.0765E7</v>
      </c>
      <c r="C2642" s="23">
        <f t="shared" si="1"/>
        <v>6417709.589</v>
      </c>
      <c r="D2642" s="18">
        <f>IF(A2642="","",MATCH(A2642,Calculation!B$2:B9627,1))</f>
        <v>2</v>
      </c>
      <c r="E2642" s="23">
        <f t="array" ref="E2642">IF(D2642="","",IF(D2642=1,0,INDEX(Calculation!Q$2:Q9627,D2642-1)))</f>
        <v>3232449.315</v>
      </c>
      <c r="F2642" s="23">
        <f t="array" ref="F2642">IF($A2642="","",
  LET(
    r, $D2642,
    startD, INDEX(Calculation!B$2:B9627, r),
    endD,   INDEX(Calculation!C$2:C9627, r),
    asOf,   MIN($A2642,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3185260.274</v>
      </c>
    </row>
    <row r="2643">
      <c r="A2643" s="19">
        <v>44878.0</v>
      </c>
      <c r="B2643" s="23">
        <v>1.0765E7</v>
      </c>
      <c r="C2643" s="23">
        <f t="shared" si="1"/>
        <v>6424787.945</v>
      </c>
      <c r="D2643" s="18">
        <f>IF(A2643="","",MATCH(A2643,Calculation!B$2:B9627,1))</f>
        <v>2</v>
      </c>
      <c r="E2643" s="23">
        <f t="array" ref="E2643">IF(D2643="","",IF(D2643=1,0,INDEX(Calculation!Q$2:Q9627,D2643-1)))</f>
        <v>3232449.315</v>
      </c>
      <c r="F2643" s="23">
        <f t="array" ref="F2643">IF($A2643="","",
  LET(
    r, $D2643,
    startD, INDEX(Calculation!B$2:B9627, r),
    endD,   INDEX(Calculation!C$2:C9627, r),
    asOf,   MIN($A2643,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3192338.63</v>
      </c>
    </row>
    <row r="2644">
      <c r="A2644" s="19">
        <v>44879.0</v>
      </c>
      <c r="B2644" s="23">
        <v>1.0765E7</v>
      </c>
      <c r="C2644" s="23">
        <f t="shared" si="1"/>
        <v>6431866.301</v>
      </c>
      <c r="D2644" s="18">
        <f>IF(A2644="","",MATCH(A2644,Calculation!B$2:B9627,1))</f>
        <v>2</v>
      </c>
      <c r="E2644" s="23">
        <f t="array" ref="E2644">IF(D2644="","",IF(D2644=1,0,INDEX(Calculation!Q$2:Q9627,D2644-1)))</f>
        <v>3232449.315</v>
      </c>
      <c r="F2644" s="23">
        <f t="array" ref="F2644">IF($A2644="","",
  LET(
    r, $D2644,
    startD, INDEX(Calculation!B$2:B9627, r),
    endD,   INDEX(Calculation!C$2:C9627, r),
    asOf,   MIN($A2644,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3199416.986</v>
      </c>
    </row>
    <row r="2645">
      <c r="A2645" s="19">
        <v>44880.0</v>
      </c>
      <c r="B2645" s="23">
        <v>1.0765E7</v>
      </c>
      <c r="C2645" s="23">
        <f t="shared" si="1"/>
        <v>6438944.658</v>
      </c>
      <c r="D2645" s="18">
        <f>IF(A2645="","",MATCH(A2645,Calculation!B$2:B9627,1))</f>
        <v>2</v>
      </c>
      <c r="E2645" s="23">
        <f t="array" ref="E2645">IF(D2645="","",IF(D2645=1,0,INDEX(Calculation!Q$2:Q9627,D2645-1)))</f>
        <v>3232449.315</v>
      </c>
      <c r="F2645" s="23">
        <f t="array" ref="F2645">IF($A2645="","",
  LET(
    r, $D2645,
    startD, INDEX(Calculation!B$2:B9627, r),
    endD,   INDEX(Calculation!C$2:C9627, r),
    asOf,   MIN($A2645,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3206495.342</v>
      </c>
    </row>
    <row r="2646">
      <c r="A2646" s="19">
        <v>44881.0</v>
      </c>
      <c r="B2646" s="23">
        <v>1.0765E7</v>
      </c>
      <c r="C2646" s="23">
        <f t="shared" si="1"/>
        <v>6446023.014</v>
      </c>
      <c r="D2646" s="18">
        <f>IF(A2646="","",MATCH(A2646,Calculation!B$2:B9627,1))</f>
        <v>2</v>
      </c>
      <c r="E2646" s="23">
        <f t="array" ref="E2646">IF(D2646="","",IF(D2646=1,0,INDEX(Calculation!Q$2:Q9627,D2646-1)))</f>
        <v>3232449.315</v>
      </c>
      <c r="F2646" s="23">
        <f t="array" ref="F2646">IF($A2646="","",
  LET(
    r, $D2646,
    startD, INDEX(Calculation!B$2:B9627, r),
    endD,   INDEX(Calculation!C$2:C9627, r),
    asOf,   MIN($A2646,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3213573.699</v>
      </c>
    </row>
    <row r="2647">
      <c r="A2647" s="19">
        <v>44882.0</v>
      </c>
      <c r="B2647" s="23">
        <v>1.0765E7</v>
      </c>
      <c r="C2647" s="23">
        <f t="shared" si="1"/>
        <v>6453101.37</v>
      </c>
      <c r="D2647" s="18">
        <f>IF(A2647="","",MATCH(A2647,Calculation!B$2:B9627,1))</f>
        <v>2</v>
      </c>
      <c r="E2647" s="23">
        <f t="array" ref="E2647">IF(D2647="","",IF(D2647=1,0,INDEX(Calculation!Q$2:Q9627,D2647-1)))</f>
        <v>3232449.315</v>
      </c>
      <c r="F2647" s="23">
        <f t="array" ref="F2647">IF($A2647="","",
  LET(
    r, $D2647,
    startD, INDEX(Calculation!B$2:B9627, r),
    endD,   INDEX(Calculation!C$2:C9627, r),
    asOf,   MIN($A2647,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3220652.055</v>
      </c>
    </row>
    <row r="2648">
      <c r="A2648" s="19">
        <v>44883.0</v>
      </c>
      <c r="B2648" s="23">
        <v>1.0765E7</v>
      </c>
      <c r="C2648" s="23">
        <f t="shared" si="1"/>
        <v>6460179.726</v>
      </c>
      <c r="D2648" s="18">
        <f>IF(A2648="","",MATCH(A2648,Calculation!B$2:B9627,1))</f>
        <v>2</v>
      </c>
      <c r="E2648" s="23">
        <f t="array" ref="E2648">IF(D2648="","",IF(D2648=1,0,INDEX(Calculation!Q$2:Q9627,D2648-1)))</f>
        <v>3232449.315</v>
      </c>
      <c r="F2648" s="23">
        <f t="array" ref="F2648">IF($A2648="","",
  LET(
    r, $D2648,
    startD, INDEX(Calculation!B$2:B9627, r),
    endD,   INDEX(Calculation!C$2:C9627, r),
    asOf,   MIN($A2648,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3227730.411</v>
      </c>
    </row>
    <row r="2649">
      <c r="A2649" s="19">
        <v>44884.0</v>
      </c>
      <c r="B2649" s="23">
        <v>1.0765E7</v>
      </c>
      <c r="C2649" s="23">
        <f t="shared" si="1"/>
        <v>6467258.082</v>
      </c>
      <c r="D2649" s="18">
        <f>IF(A2649="","",MATCH(A2649,Calculation!B$2:B9627,1))</f>
        <v>2</v>
      </c>
      <c r="E2649" s="23">
        <f t="array" ref="E2649">IF(D2649="","",IF(D2649=1,0,INDEX(Calculation!Q$2:Q9627,D2649-1)))</f>
        <v>3232449.315</v>
      </c>
      <c r="F2649" s="23">
        <f t="array" ref="F2649">IF($A2649="","",
  LET(
    r, $D2649,
    startD, INDEX(Calculation!B$2:B9627, r),
    endD,   INDEX(Calculation!C$2:C9627, r),
    asOf,   MIN($A2649,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3234808.767</v>
      </c>
    </row>
    <row r="2650">
      <c r="A2650" s="19">
        <v>44885.0</v>
      </c>
      <c r="B2650" s="23">
        <v>1.0765E7</v>
      </c>
      <c r="C2650" s="23">
        <f t="shared" si="1"/>
        <v>6474336.438</v>
      </c>
      <c r="D2650" s="18">
        <f>IF(A2650="","",MATCH(A2650,Calculation!B$2:B9627,1))</f>
        <v>2</v>
      </c>
      <c r="E2650" s="23">
        <f t="array" ref="E2650">IF(D2650="","",IF(D2650=1,0,INDEX(Calculation!Q$2:Q9627,D2650-1)))</f>
        <v>3232449.315</v>
      </c>
      <c r="F2650" s="23">
        <f t="array" ref="F2650">IF($A2650="","",
  LET(
    r, $D2650,
    startD, INDEX(Calculation!B$2:B9627, r),
    endD,   INDEX(Calculation!C$2:C9627, r),
    asOf,   MIN($A2650,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3241887.123</v>
      </c>
    </row>
    <row r="2651">
      <c r="A2651" s="19">
        <v>44886.0</v>
      </c>
      <c r="B2651" s="23">
        <v>1.0765E7</v>
      </c>
      <c r="C2651" s="23">
        <f t="shared" si="1"/>
        <v>6481414.795</v>
      </c>
      <c r="D2651" s="18">
        <f>IF(A2651="","",MATCH(A2651,Calculation!B$2:B9627,1))</f>
        <v>2</v>
      </c>
      <c r="E2651" s="23">
        <f t="array" ref="E2651">IF(D2651="","",IF(D2651=1,0,INDEX(Calculation!Q$2:Q9627,D2651-1)))</f>
        <v>3232449.315</v>
      </c>
      <c r="F2651" s="23">
        <f t="array" ref="F2651">IF($A2651="","",
  LET(
    r, $D2651,
    startD, INDEX(Calculation!B$2:B9627, r),
    endD,   INDEX(Calculation!C$2:C9627, r),
    asOf,   MIN($A2651,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3248965.479</v>
      </c>
    </row>
    <row r="2652">
      <c r="A2652" s="19">
        <v>44887.0</v>
      </c>
      <c r="B2652" s="23">
        <v>1.0765E7</v>
      </c>
      <c r="C2652" s="23">
        <f t="shared" si="1"/>
        <v>6488493.151</v>
      </c>
      <c r="D2652" s="18">
        <f>IF(A2652="","",MATCH(A2652,Calculation!B$2:B9627,1))</f>
        <v>2</v>
      </c>
      <c r="E2652" s="23">
        <f t="array" ref="E2652">IF(D2652="","",IF(D2652=1,0,INDEX(Calculation!Q$2:Q9627,D2652-1)))</f>
        <v>3232449.315</v>
      </c>
      <c r="F2652" s="23">
        <f t="array" ref="F2652">IF($A2652="","",
  LET(
    r, $D2652,
    startD, INDEX(Calculation!B$2:B9627, r),
    endD,   INDEX(Calculation!C$2:C9627, r),
    asOf,   MIN($A2652,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3256043.836</v>
      </c>
    </row>
    <row r="2653">
      <c r="A2653" s="19">
        <v>44888.0</v>
      </c>
      <c r="B2653" s="23">
        <v>1.0765E7</v>
      </c>
      <c r="C2653" s="23">
        <f t="shared" si="1"/>
        <v>6495571.507</v>
      </c>
      <c r="D2653" s="18">
        <f>IF(A2653="","",MATCH(A2653,Calculation!B$2:B9627,1))</f>
        <v>2</v>
      </c>
      <c r="E2653" s="23">
        <f t="array" ref="E2653">IF(D2653="","",IF(D2653=1,0,INDEX(Calculation!Q$2:Q9627,D2653-1)))</f>
        <v>3232449.315</v>
      </c>
      <c r="F2653" s="23">
        <f t="array" ref="F2653">IF($A2653="","",
  LET(
    r, $D2653,
    startD, INDEX(Calculation!B$2:B9627, r),
    endD,   INDEX(Calculation!C$2:C9627, r),
    asOf,   MIN($A2653,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3263122.192</v>
      </c>
    </row>
    <row r="2654">
      <c r="A2654" s="19">
        <v>44889.0</v>
      </c>
      <c r="B2654" s="23">
        <v>1.0765E7</v>
      </c>
      <c r="C2654" s="23">
        <f t="shared" si="1"/>
        <v>6502649.863</v>
      </c>
      <c r="D2654" s="18">
        <f>IF(A2654="","",MATCH(A2654,Calculation!B$2:B9627,1))</f>
        <v>2</v>
      </c>
      <c r="E2654" s="23">
        <f t="array" ref="E2654">IF(D2654="","",IF(D2654=1,0,INDEX(Calculation!Q$2:Q9627,D2654-1)))</f>
        <v>3232449.315</v>
      </c>
      <c r="F2654" s="23">
        <f t="array" ref="F2654">IF($A2654="","",
  LET(
    r, $D2654,
    startD, INDEX(Calculation!B$2:B9627, r),
    endD,   INDEX(Calculation!C$2:C9627, r),
    asOf,   MIN($A2654,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3270200.548</v>
      </c>
    </row>
    <row r="2655">
      <c r="A2655" s="19">
        <v>44890.0</v>
      </c>
      <c r="B2655" s="23">
        <v>1.0765E7</v>
      </c>
      <c r="C2655" s="23">
        <f t="shared" si="1"/>
        <v>6509728.219</v>
      </c>
      <c r="D2655" s="18">
        <f>IF(A2655="","",MATCH(A2655,Calculation!B$2:B9627,1))</f>
        <v>2</v>
      </c>
      <c r="E2655" s="23">
        <f t="array" ref="E2655">IF(D2655="","",IF(D2655=1,0,INDEX(Calculation!Q$2:Q9627,D2655-1)))</f>
        <v>3232449.315</v>
      </c>
      <c r="F2655" s="23">
        <f t="array" ref="F2655">IF($A2655="","",
  LET(
    r, $D2655,
    startD, INDEX(Calculation!B$2:B9627, r),
    endD,   INDEX(Calculation!C$2:C9627, r),
    asOf,   MIN($A2655,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3277278.904</v>
      </c>
    </row>
    <row r="2656">
      <c r="A2656" s="19">
        <v>44891.0</v>
      </c>
      <c r="B2656" s="23">
        <v>1.0765E7</v>
      </c>
      <c r="C2656" s="23">
        <f t="shared" si="1"/>
        <v>6516806.575</v>
      </c>
      <c r="D2656" s="18">
        <f>IF(A2656="","",MATCH(A2656,Calculation!B$2:B9627,1))</f>
        <v>2</v>
      </c>
      <c r="E2656" s="23">
        <f t="array" ref="E2656">IF(D2656="","",IF(D2656=1,0,INDEX(Calculation!Q$2:Q9627,D2656-1)))</f>
        <v>3232449.315</v>
      </c>
      <c r="F2656" s="23">
        <f t="array" ref="F2656">IF($A2656="","",
  LET(
    r, $D2656,
    startD, INDEX(Calculation!B$2:B9627, r),
    endD,   INDEX(Calculation!C$2:C9627, r),
    asOf,   MIN($A2656,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3284357.26</v>
      </c>
    </row>
    <row r="2657">
      <c r="A2657" s="19">
        <v>44892.0</v>
      </c>
      <c r="B2657" s="23">
        <v>1.0765E7</v>
      </c>
      <c r="C2657" s="23">
        <f t="shared" si="1"/>
        <v>6523884.932</v>
      </c>
      <c r="D2657" s="18">
        <f>IF(A2657="","",MATCH(A2657,Calculation!B$2:B9627,1))</f>
        <v>2</v>
      </c>
      <c r="E2657" s="23">
        <f t="array" ref="E2657">IF(D2657="","",IF(D2657=1,0,INDEX(Calculation!Q$2:Q9627,D2657-1)))</f>
        <v>3232449.315</v>
      </c>
      <c r="F2657" s="23">
        <f t="array" ref="F2657">IF($A2657="","",
  LET(
    r, $D2657,
    startD, INDEX(Calculation!B$2:B9627, r),
    endD,   INDEX(Calculation!C$2:C9627, r),
    asOf,   MIN($A2657,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3291435.616</v>
      </c>
    </row>
    <row r="2658">
      <c r="A2658" s="19">
        <v>44893.0</v>
      </c>
      <c r="B2658" s="23">
        <v>1.0765E7</v>
      </c>
      <c r="C2658" s="23">
        <f t="shared" si="1"/>
        <v>6530963.288</v>
      </c>
      <c r="D2658" s="18">
        <f>IF(A2658="","",MATCH(A2658,Calculation!B$2:B9627,1))</f>
        <v>2</v>
      </c>
      <c r="E2658" s="23">
        <f t="array" ref="E2658">IF(D2658="","",IF(D2658=1,0,INDEX(Calculation!Q$2:Q9627,D2658-1)))</f>
        <v>3232449.315</v>
      </c>
      <c r="F2658" s="23">
        <f t="array" ref="F2658">IF($A2658="","",
  LET(
    r, $D2658,
    startD, INDEX(Calculation!B$2:B9627, r),
    endD,   INDEX(Calculation!C$2:C9627, r),
    asOf,   MIN($A2658,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3298513.973</v>
      </c>
    </row>
    <row r="2659">
      <c r="A2659" s="19">
        <v>44894.0</v>
      </c>
      <c r="B2659" s="23">
        <v>1.0765E7</v>
      </c>
      <c r="C2659" s="23">
        <f t="shared" si="1"/>
        <v>6538041.644</v>
      </c>
      <c r="D2659" s="18">
        <f>IF(A2659="","",MATCH(A2659,Calculation!B$2:B9627,1))</f>
        <v>2</v>
      </c>
      <c r="E2659" s="23">
        <f t="array" ref="E2659">IF(D2659="","",IF(D2659=1,0,INDEX(Calculation!Q$2:Q9627,D2659-1)))</f>
        <v>3232449.315</v>
      </c>
      <c r="F2659" s="23">
        <f t="array" ref="F2659">IF($A2659="","",
  LET(
    r, $D2659,
    startD, INDEX(Calculation!B$2:B9627, r),
    endD,   INDEX(Calculation!C$2:C9627, r),
    asOf,   MIN($A2659,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3305592.329</v>
      </c>
    </row>
    <row r="2660">
      <c r="A2660" s="19">
        <v>44895.0</v>
      </c>
      <c r="B2660" s="23">
        <v>1.0765E7</v>
      </c>
      <c r="C2660" s="23">
        <f t="shared" si="1"/>
        <v>6545120</v>
      </c>
      <c r="D2660" s="18">
        <f>IF(A2660="","",MATCH(A2660,Calculation!B$2:B9627,1))</f>
        <v>2</v>
      </c>
      <c r="E2660" s="23">
        <f t="array" ref="E2660">IF(D2660="","",IF(D2660=1,0,INDEX(Calculation!Q$2:Q9627,D2660-1)))</f>
        <v>3232449.315</v>
      </c>
      <c r="F2660" s="23">
        <f t="array" ref="F2660">IF($A2660="","",
  LET(
    r, $D2660,
    startD, INDEX(Calculation!B$2:B9627, r),
    endD,   INDEX(Calculation!C$2:C9627, r),
    asOf,   MIN($A2660,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3312670.685</v>
      </c>
    </row>
    <row r="2661">
      <c r="A2661" s="19">
        <v>44896.0</v>
      </c>
      <c r="B2661" s="23">
        <v>1.0765E7</v>
      </c>
      <c r="C2661" s="23">
        <f t="shared" si="1"/>
        <v>6552198.356</v>
      </c>
      <c r="D2661" s="18">
        <f>IF(A2661="","",MATCH(A2661,Calculation!B$2:B9627,1))</f>
        <v>2</v>
      </c>
      <c r="E2661" s="23">
        <f t="array" ref="E2661">IF(D2661="","",IF(D2661=1,0,INDEX(Calculation!Q$2:Q9627,D2661-1)))</f>
        <v>3232449.315</v>
      </c>
      <c r="F2661" s="23">
        <f t="array" ref="F2661">IF($A2661="","",
  LET(
    r, $D2661,
    startD, INDEX(Calculation!B$2:B9627, r),
    endD,   INDEX(Calculation!C$2:C9627, r),
    asOf,   MIN($A2661,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3319749.041</v>
      </c>
    </row>
    <row r="2662">
      <c r="A2662" s="19">
        <v>44897.0</v>
      </c>
      <c r="B2662" s="23">
        <v>1.0765E7</v>
      </c>
      <c r="C2662" s="23">
        <f t="shared" si="1"/>
        <v>6559276.712</v>
      </c>
      <c r="D2662" s="18">
        <f>IF(A2662="","",MATCH(A2662,Calculation!B$2:B9627,1))</f>
        <v>2</v>
      </c>
      <c r="E2662" s="23">
        <f t="array" ref="E2662">IF(D2662="","",IF(D2662=1,0,INDEX(Calculation!Q$2:Q9627,D2662-1)))</f>
        <v>3232449.315</v>
      </c>
      <c r="F2662" s="23">
        <f t="array" ref="F2662">IF($A2662="","",
  LET(
    r, $D2662,
    startD, INDEX(Calculation!B$2:B9627, r),
    endD,   INDEX(Calculation!C$2:C9627, r),
    asOf,   MIN($A2662,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3326827.397</v>
      </c>
    </row>
    <row r="2663">
      <c r="A2663" s="19">
        <v>44898.0</v>
      </c>
      <c r="B2663" s="23">
        <v>1.0765E7</v>
      </c>
      <c r="C2663" s="23">
        <f t="shared" si="1"/>
        <v>6566355.068</v>
      </c>
      <c r="D2663" s="18">
        <f>IF(A2663="","",MATCH(A2663,Calculation!B$2:B9627,1))</f>
        <v>2</v>
      </c>
      <c r="E2663" s="23">
        <f t="array" ref="E2663">IF(D2663="","",IF(D2663=1,0,INDEX(Calculation!Q$2:Q9627,D2663-1)))</f>
        <v>3232449.315</v>
      </c>
      <c r="F2663" s="23">
        <f t="array" ref="F2663">IF($A2663="","",
  LET(
    r, $D2663,
    startD, INDEX(Calculation!B$2:B9627, r),
    endD,   INDEX(Calculation!C$2:C9627, r),
    asOf,   MIN($A2663,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3333905.753</v>
      </c>
    </row>
    <row r="2664">
      <c r="A2664" s="19">
        <v>44899.0</v>
      </c>
      <c r="B2664" s="23">
        <v>1.0765E7</v>
      </c>
      <c r="C2664" s="23">
        <f t="shared" si="1"/>
        <v>6573433.425</v>
      </c>
      <c r="D2664" s="18">
        <f>IF(A2664="","",MATCH(A2664,Calculation!B$2:B9627,1))</f>
        <v>2</v>
      </c>
      <c r="E2664" s="23">
        <f t="array" ref="E2664">IF(D2664="","",IF(D2664=1,0,INDEX(Calculation!Q$2:Q9627,D2664-1)))</f>
        <v>3232449.315</v>
      </c>
      <c r="F2664" s="23">
        <f t="array" ref="F2664">IF($A2664="","",
  LET(
    r, $D2664,
    startD, INDEX(Calculation!B$2:B9627, r),
    endD,   INDEX(Calculation!C$2:C9627, r),
    asOf,   MIN($A2664,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3340984.11</v>
      </c>
    </row>
    <row r="2665">
      <c r="A2665" s="19">
        <v>44900.0</v>
      </c>
      <c r="B2665" s="23">
        <v>1.0765E7</v>
      </c>
      <c r="C2665" s="23">
        <f t="shared" si="1"/>
        <v>6580511.781</v>
      </c>
      <c r="D2665" s="18">
        <f>IF(A2665="","",MATCH(A2665,Calculation!B$2:B9627,1))</f>
        <v>2</v>
      </c>
      <c r="E2665" s="23">
        <f t="array" ref="E2665">IF(D2665="","",IF(D2665=1,0,INDEX(Calculation!Q$2:Q9627,D2665-1)))</f>
        <v>3232449.315</v>
      </c>
      <c r="F2665" s="23">
        <f t="array" ref="F2665">IF($A2665="","",
  LET(
    r, $D2665,
    startD, INDEX(Calculation!B$2:B9627, r),
    endD,   INDEX(Calculation!C$2:C9627, r),
    asOf,   MIN($A2665,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3348062.466</v>
      </c>
    </row>
    <row r="2666">
      <c r="A2666" s="19">
        <v>44901.0</v>
      </c>
      <c r="B2666" s="23">
        <v>1.0765E7</v>
      </c>
      <c r="C2666" s="23">
        <f t="shared" si="1"/>
        <v>6587590.137</v>
      </c>
      <c r="D2666" s="18">
        <f>IF(A2666="","",MATCH(A2666,Calculation!B$2:B9627,1))</f>
        <v>2</v>
      </c>
      <c r="E2666" s="23">
        <f t="array" ref="E2666">IF(D2666="","",IF(D2666=1,0,INDEX(Calculation!Q$2:Q9627,D2666-1)))</f>
        <v>3232449.315</v>
      </c>
      <c r="F2666" s="23">
        <f t="array" ref="F2666">IF($A2666="","",
  LET(
    r, $D2666,
    startD, INDEX(Calculation!B$2:B9627, r),
    endD,   INDEX(Calculation!C$2:C9627, r),
    asOf,   MIN($A2666,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3355140.822</v>
      </c>
    </row>
    <row r="2667">
      <c r="A2667" s="19">
        <v>44902.0</v>
      </c>
      <c r="B2667" s="23">
        <v>1.0765E7</v>
      </c>
      <c r="C2667" s="23">
        <f t="shared" si="1"/>
        <v>6594668.493</v>
      </c>
      <c r="D2667" s="18">
        <f>IF(A2667="","",MATCH(A2667,Calculation!B$2:B9627,1))</f>
        <v>2</v>
      </c>
      <c r="E2667" s="23">
        <f t="array" ref="E2667">IF(D2667="","",IF(D2667=1,0,INDEX(Calculation!Q$2:Q9627,D2667-1)))</f>
        <v>3232449.315</v>
      </c>
      <c r="F2667" s="23">
        <f t="array" ref="F2667">IF($A2667="","",
  LET(
    r, $D2667,
    startD, INDEX(Calculation!B$2:B9627, r),
    endD,   INDEX(Calculation!C$2:C9627, r),
    asOf,   MIN($A2667,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3362219.178</v>
      </c>
    </row>
    <row r="2668">
      <c r="A2668" s="19">
        <v>44903.0</v>
      </c>
      <c r="B2668" s="23">
        <v>1.0765E7</v>
      </c>
      <c r="C2668" s="23">
        <f t="shared" si="1"/>
        <v>6601746.849</v>
      </c>
      <c r="D2668" s="18">
        <f>IF(A2668="","",MATCH(A2668,Calculation!B$2:B9627,1))</f>
        <v>2</v>
      </c>
      <c r="E2668" s="23">
        <f t="array" ref="E2668">IF(D2668="","",IF(D2668=1,0,INDEX(Calculation!Q$2:Q9627,D2668-1)))</f>
        <v>3232449.315</v>
      </c>
      <c r="F2668" s="23">
        <f t="array" ref="F2668">IF($A2668="","",
  LET(
    r, $D2668,
    startD, INDEX(Calculation!B$2:B9627, r),
    endD,   INDEX(Calculation!C$2:C9627, r),
    asOf,   MIN($A2668,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3369297.534</v>
      </c>
    </row>
    <row r="2669">
      <c r="A2669" s="19">
        <v>44904.0</v>
      </c>
      <c r="B2669" s="23">
        <v>1.0765E7</v>
      </c>
      <c r="C2669" s="23">
        <f t="shared" si="1"/>
        <v>6608825.205</v>
      </c>
      <c r="D2669" s="18">
        <f>IF(A2669="","",MATCH(A2669,Calculation!B$2:B9627,1))</f>
        <v>2</v>
      </c>
      <c r="E2669" s="23">
        <f t="array" ref="E2669">IF(D2669="","",IF(D2669=1,0,INDEX(Calculation!Q$2:Q9627,D2669-1)))</f>
        <v>3232449.315</v>
      </c>
      <c r="F2669" s="23">
        <f t="array" ref="F2669">IF($A2669="","",
  LET(
    r, $D2669,
    startD, INDEX(Calculation!B$2:B9627, r),
    endD,   INDEX(Calculation!C$2:C9627, r),
    asOf,   MIN($A2669,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3376375.89</v>
      </c>
    </row>
    <row r="2670">
      <c r="A2670" s="19">
        <v>44905.0</v>
      </c>
      <c r="B2670" s="23">
        <v>1.0765E7</v>
      </c>
      <c r="C2670" s="23">
        <f t="shared" si="1"/>
        <v>6615903.562</v>
      </c>
      <c r="D2670" s="18">
        <f>IF(A2670="","",MATCH(A2670,Calculation!B$2:B9627,1))</f>
        <v>2</v>
      </c>
      <c r="E2670" s="23">
        <f t="array" ref="E2670">IF(D2670="","",IF(D2670=1,0,INDEX(Calculation!Q$2:Q9627,D2670-1)))</f>
        <v>3232449.315</v>
      </c>
      <c r="F2670" s="23">
        <f t="array" ref="F2670">IF($A2670="","",
  LET(
    r, $D2670,
    startD, INDEX(Calculation!B$2:B9627, r),
    endD,   INDEX(Calculation!C$2:C9627, r),
    asOf,   MIN($A2670,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3383454.247</v>
      </c>
    </row>
    <row r="2671">
      <c r="A2671" s="19">
        <v>44906.0</v>
      </c>
      <c r="B2671" s="23">
        <v>1.0765E7</v>
      </c>
      <c r="C2671" s="23">
        <f t="shared" si="1"/>
        <v>6622981.918</v>
      </c>
      <c r="D2671" s="18">
        <f>IF(A2671="","",MATCH(A2671,Calculation!B$2:B9627,1))</f>
        <v>2</v>
      </c>
      <c r="E2671" s="23">
        <f t="array" ref="E2671">IF(D2671="","",IF(D2671=1,0,INDEX(Calculation!Q$2:Q9627,D2671-1)))</f>
        <v>3232449.315</v>
      </c>
      <c r="F2671" s="23">
        <f t="array" ref="F2671">IF($A2671="","",
  LET(
    r, $D2671,
    startD, INDEX(Calculation!B$2:B9627, r),
    endD,   INDEX(Calculation!C$2:C9627, r),
    asOf,   MIN($A2671,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3390532.603</v>
      </c>
    </row>
    <row r="2672">
      <c r="A2672" s="19">
        <v>44907.0</v>
      </c>
      <c r="B2672" s="23">
        <v>1.0765E7</v>
      </c>
      <c r="C2672" s="23">
        <f t="shared" si="1"/>
        <v>6630060.274</v>
      </c>
      <c r="D2672" s="18">
        <f>IF(A2672="","",MATCH(A2672,Calculation!B$2:B9627,1))</f>
        <v>2</v>
      </c>
      <c r="E2672" s="23">
        <f t="array" ref="E2672">IF(D2672="","",IF(D2672=1,0,INDEX(Calculation!Q$2:Q9627,D2672-1)))</f>
        <v>3232449.315</v>
      </c>
      <c r="F2672" s="23">
        <f t="array" ref="F2672">IF($A2672="","",
  LET(
    r, $D2672,
    startD, INDEX(Calculation!B$2:B9627, r),
    endD,   INDEX(Calculation!C$2:C9627, r),
    asOf,   MIN($A2672,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3397610.959</v>
      </c>
    </row>
    <row r="2673">
      <c r="A2673" s="19">
        <v>44908.0</v>
      </c>
      <c r="B2673" s="23">
        <v>1.0765E7</v>
      </c>
      <c r="C2673" s="23">
        <f t="shared" si="1"/>
        <v>6637138.63</v>
      </c>
      <c r="D2673" s="18">
        <f>IF(A2673="","",MATCH(A2673,Calculation!B$2:B9627,1))</f>
        <v>2</v>
      </c>
      <c r="E2673" s="23">
        <f t="array" ref="E2673">IF(D2673="","",IF(D2673=1,0,INDEX(Calculation!Q$2:Q9627,D2673-1)))</f>
        <v>3232449.315</v>
      </c>
      <c r="F2673" s="23">
        <f t="array" ref="F2673">IF($A2673="","",
  LET(
    r, $D2673,
    startD, INDEX(Calculation!B$2:B9627, r),
    endD,   INDEX(Calculation!C$2:C9627, r),
    asOf,   MIN($A2673,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3404689.315</v>
      </c>
    </row>
    <row r="2674">
      <c r="A2674" s="19">
        <v>44909.0</v>
      </c>
      <c r="B2674" s="23">
        <v>1.0765E7</v>
      </c>
      <c r="C2674" s="23">
        <f t="shared" si="1"/>
        <v>6644216.986</v>
      </c>
      <c r="D2674" s="18">
        <f>IF(A2674="","",MATCH(A2674,Calculation!B$2:B9627,1))</f>
        <v>2</v>
      </c>
      <c r="E2674" s="23">
        <f t="array" ref="E2674">IF(D2674="","",IF(D2674=1,0,INDEX(Calculation!Q$2:Q9627,D2674-1)))</f>
        <v>3232449.315</v>
      </c>
      <c r="F2674" s="23">
        <f t="array" ref="F2674">IF($A2674="","",
  LET(
    r, $D2674,
    startD, INDEX(Calculation!B$2:B9627, r),
    endD,   INDEX(Calculation!C$2:C9627, r),
    asOf,   MIN($A2674,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3411767.671</v>
      </c>
    </row>
    <row r="2675">
      <c r="A2675" s="19">
        <v>44910.0</v>
      </c>
      <c r="B2675" s="23">
        <v>1.0765E7</v>
      </c>
      <c r="C2675" s="23">
        <f t="shared" si="1"/>
        <v>6651295.342</v>
      </c>
      <c r="D2675" s="18">
        <f>IF(A2675="","",MATCH(A2675,Calculation!B$2:B9627,1))</f>
        <v>2</v>
      </c>
      <c r="E2675" s="23">
        <f t="array" ref="E2675">IF(D2675="","",IF(D2675=1,0,INDEX(Calculation!Q$2:Q9627,D2675-1)))</f>
        <v>3232449.315</v>
      </c>
      <c r="F2675" s="23">
        <f t="array" ref="F2675">IF($A2675="","",
  LET(
    r, $D2675,
    startD, INDEX(Calculation!B$2:B9627, r),
    endD,   INDEX(Calculation!C$2:C9627, r),
    asOf,   MIN($A2675,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3418846.027</v>
      </c>
    </row>
    <row r="2676">
      <c r="A2676" s="19">
        <v>44911.0</v>
      </c>
      <c r="B2676" s="23">
        <v>1.0765E7</v>
      </c>
      <c r="C2676" s="23">
        <f t="shared" si="1"/>
        <v>6658373.699</v>
      </c>
      <c r="D2676" s="18">
        <f>IF(A2676="","",MATCH(A2676,Calculation!B$2:B9627,1))</f>
        <v>2</v>
      </c>
      <c r="E2676" s="23">
        <f t="array" ref="E2676">IF(D2676="","",IF(D2676=1,0,INDEX(Calculation!Q$2:Q9627,D2676-1)))</f>
        <v>3232449.315</v>
      </c>
      <c r="F2676" s="23">
        <f t="array" ref="F2676">IF($A2676="","",
  LET(
    r, $D2676,
    startD, INDEX(Calculation!B$2:B9627, r),
    endD,   INDEX(Calculation!C$2:C9627, r),
    asOf,   MIN($A2676,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3425924.384</v>
      </c>
    </row>
    <row r="2677">
      <c r="A2677" s="19">
        <v>44912.0</v>
      </c>
      <c r="B2677" s="23">
        <v>1.0765E7</v>
      </c>
      <c r="C2677" s="23">
        <f t="shared" si="1"/>
        <v>6665452.055</v>
      </c>
      <c r="D2677" s="18">
        <f>IF(A2677="","",MATCH(A2677,Calculation!B$2:B9627,1))</f>
        <v>2</v>
      </c>
      <c r="E2677" s="23">
        <f t="array" ref="E2677">IF(D2677="","",IF(D2677=1,0,INDEX(Calculation!Q$2:Q9627,D2677-1)))</f>
        <v>3232449.315</v>
      </c>
      <c r="F2677" s="23">
        <f t="array" ref="F2677">IF($A2677="","",
  LET(
    r, $D2677,
    startD, INDEX(Calculation!B$2:B9627, r),
    endD,   INDEX(Calculation!C$2:C9627, r),
    asOf,   MIN($A2677,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3433002.74</v>
      </c>
    </row>
    <row r="2678">
      <c r="A2678" s="19">
        <v>44913.0</v>
      </c>
      <c r="B2678" s="23">
        <v>1.0765E7</v>
      </c>
      <c r="C2678" s="23">
        <f t="shared" si="1"/>
        <v>6672530.411</v>
      </c>
      <c r="D2678" s="18">
        <f>IF(A2678="","",MATCH(A2678,Calculation!B$2:B9627,1))</f>
        <v>2</v>
      </c>
      <c r="E2678" s="23">
        <f t="array" ref="E2678">IF(D2678="","",IF(D2678=1,0,INDEX(Calculation!Q$2:Q9627,D2678-1)))</f>
        <v>3232449.315</v>
      </c>
      <c r="F2678" s="23">
        <f t="array" ref="F2678">IF($A2678="","",
  LET(
    r, $D2678,
    startD, INDEX(Calculation!B$2:B9627, r),
    endD,   INDEX(Calculation!C$2:C9627, r),
    asOf,   MIN($A2678,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3440081.096</v>
      </c>
    </row>
    <row r="2679">
      <c r="A2679" s="19">
        <v>44914.0</v>
      </c>
      <c r="B2679" s="23">
        <v>1.0765E7</v>
      </c>
      <c r="C2679" s="23">
        <f t="shared" si="1"/>
        <v>6679608.767</v>
      </c>
      <c r="D2679" s="18">
        <f>IF(A2679="","",MATCH(A2679,Calculation!B$2:B9627,1))</f>
        <v>2</v>
      </c>
      <c r="E2679" s="23">
        <f t="array" ref="E2679">IF(D2679="","",IF(D2679=1,0,INDEX(Calculation!Q$2:Q9627,D2679-1)))</f>
        <v>3232449.315</v>
      </c>
      <c r="F2679" s="23">
        <f t="array" ref="F2679">IF($A2679="","",
  LET(
    r, $D2679,
    startD, INDEX(Calculation!B$2:B9627, r),
    endD,   INDEX(Calculation!C$2:C9627, r),
    asOf,   MIN($A2679,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3447159.452</v>
      </c>
    </row>
    <row r="2680">
      <c r="A2680" s="19">
        <v>44915.0</v>
      </c>
      <c r="B2680" s="23">
        <v>1.0765E7</v>
      </c>
      <c r="C2680" s="23">
        <f t="shared" si="1"/>
        <v>6686687.123</v>
      </c>
      <c r="D2680" s="18">
        <f>IF(A2680="","",MATCH(A2680,Calculation!B$2:B9627,1))</f>
        <v>2</v>
      </c>
      <c r="E2680" s="23">
        <f t="array" ref="E2680">IF(D2680="","",IF(D2680=1,0,INDEX(Calculation!Q$2:Q9627,D2680-1)))</f>
        <v>3232449.315</v>
      </c>
      <c r="F2680" s="23">
        <f t="array" ref="F2680">IF($A2680="","",
  LET(
    r, $D2680,
    startD, INDEX(Calculation!B$2:B9627, r),
    endD,   INDEX(Calculation!C$2:C9627, r),
    asOf,   MIN($A2680,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3454237.808</v>
      </c>
    </row>
    <row r="2681">
      <c r="A2681" s="19">
        <v>44916.0</v>
      </c>
      <c r="B2681" s="23">
        <v>1.0765E7</v>
      </c>
      <c r="C2681" s="23">
        <f t="shared" si="1"/>
        <v>6693765.479</v>
      </c>
      <c r="D2681" s="18">
        <f>IF(A2681="","",MATCH(A2681,Calculation!B$2:B9627,1))</f>
        <v>2</v>
      </c>
      <c r="E2681" s="23">
        <f t="array" ref="E2681">IF(D2681="","",IF(D2681=1,0,INDEX(Calculation!Q$2:Q9627,D2681-1)))</f>
        <v>3232449.315</v>
      </c>
      <c r="F2681" s="23">
        <f t="array" ref="F2681">IF($A2681="","",
  LET(
    r, $D2681,
    startD, INDEX(Calculation!B$2:B9627, r),
    endD,   INDEX(Calculation!C$2:C9627, r),
    asOf,   MIN($A2681,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3461316.164</v>
      </c>
    </row>
    <row r="2682">
      <c r="A2682" s="19">
        <v>44917.0</v>
      </c>
      <c r="B2682" s="23">
        <v>1.0765E7</v>
      </c>
      <c r="C2682" s="23">
        <f t="shared" si="1"/>
        <v>6700843.836</v>
      </c>
      <c r="D2682" s="18">
        <f>IF(A2682="","",MATCH(A2682,Calculation!B$2:B9627,1))</f>
        <v>2</v>
      </c>
      <c r="E2682" s="23">
        <f t="array" ref="E2682">IF(D2682="","",IF(D2682=1,0,INDEX(Calculation!Q$2:Q9627,D2682-1)))</f>
        <v>3232449.315</v>
      </c>
      <c r="F2682" s="23">
        <f t="array" ref="F2682">IF($A2682="","",
  LET(
    r, $D2682,
    startD, INDEX(Calculation!B$2:B9627, r),
    endD,   INDEX(Calculation!C$2:C9627, r),
    asOf,   MIN($A2682,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3468394.521</v>
      </c>
    </row>
    <row r="2683">
      <c r="A2683" s="19">
        <v>44918.0</v>
      </c>
      <c r="B2683" s="23">
        <v>1.0765E7</v>
      </c>
      <c r="C2683" s="23">
        <f t="shared" si="1"/>
        <v>6707922.192</v>
      </c>
      <c r="D2683" s="18">
        <f>IF(A2683="","",MATCH(A2683,Calculation!B$2:B9627,1))</f>
        <v>2</v>
      </c>
      <c r="E2683" s="23">
        <f t="array" ref="E2683">IF(D2683="","",IF(D2683=1,0,INDEX(Calculation!Q$2:Q9627,D2683-1)))</f>
        <v>3232449.315</v>
      </c>
      <c r="F2683" s="23">
        <f t="array" ref="F2683">IF($A2683="","",
  LET(
    r, $D2683,
    startD, INDEX(Calculation!B$2:B9627, r),
    endD,   INDEX(Calculation!C$2:C9627, r),
    asOf,   MIN($A2683,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3475472.877</v>
      </c>
    </row>
    <row r="2684">
      <c r="A2684" s="19">
        <v>44919.0</v>
      </c>
      <c r="B2684" s="23">
        <v>1.0765E7</v>
      </c>
      <c r="C2684" s="23">
        <f t="shared" si="1"/>
        <v>6715000.548</v>
      </c>
      <c r="D2684" s="18">
        <f>IF(A2684="","",MATCH(A2684,Calculation!B$2:B9627,1))</f>
        <v>2</v>
      </c>
      <c r="E2684" s="23">
        <f t="array" ref="E2684">IF(D2684="","",IF(D2684=1,0,INDEX(Calculation!Q$2:Q9627,D2684-1)))</f>
        <v>3232449.315</v>
      </c>
      <c r="F2684" s="23">
        <f t="array" ref="F2684">IF($A2684="","",
  LET(
    r, $D2684,
    startD, INDEX(Calculation!B$2:B9627, r),
    endD,   INDEX(Calculation!C$2:C9627, r),
    asOf,   MIN($A2684,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3482551.233</v>
      </c>
    </row>
    <row r="2685">
      <c r="A2685" s="19">
        <v>44920.0</v>
      </c>
      <c r="B2685" s="23">
        <v>1.0765E7</v>
      </c>
      <c r="C2685" s="23">
        <f t="shared" si="1"/>
        <v>6722078.904</v>
      </c>
      <c r="D2685" s="18">
        <f>IF(A2685="","",MATCH(A2685,Calculation!B$2:B9627,1))</f>
        <v>2</v>
      </c>
      <c r="E2685" s="23">
        <f t="array" ref="E2685">IF(D2685="","",IF(D2685=1,0,INDEX(Calculation!Q$2:Q9627,D2685-1)))</f>
        <v>3232449.315</v>
      </c>
      <c r="F2685" s="23">
        <f t="array" ref="F2685">IF($A2685="","",
  LET(
    r, $D2685,
    startD, INDEX(Calculation!B$2:B9627, r),
    endD,   INDEX(Calculation!C$2:C9627, r),
    asOf,   MIN($A2685,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3489629.589</v>
      </c>
    </row>
    <row r="2686">
      <c r="A2686" s="19">
        <v>44921.0</v>
      </c>
      <c r="B2686" s="23">
        <v>1.0765E7</v>
      </c>
      <c r="C2686" s="23">
        <f t="shared" si="1"/>
        <v>6729157.26</v>
      </c>
      <c r="D2686" s="18">
        <f>IF(A2686="","",MATCH(A2686,Calculation!B$2:B9627,1))</f>
        <v>2</v>
      </c>
      <c r="E2686" s="23">
        <f t="array" ref="E2686">IF(D2686="","",IF(D2686=1,0,INDEX(Calculation!Q$2:Q9627,D2686-1)))</f>
        <v>3232449.315</v>
      </c>
      <c r="F2686" s="23">
        <f t="array" ref="F2686">IF($A2686="","",
  LET(
    r, $D2686,
    startD, INDEX(Calculation!B$2:B9627, r),
    endD,   INDEX(Calculation!C$2:C9627, r),
    asOf,   MIN($A2686,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3496707.945</v>
      </c>
    </row>
    <row r="2687">
      <c r="A2687" s="19">
        <v>44922.0</v>
      </c>
      <c r="B2687" s="23">
        <v>1.0765E7</v>
      </c>
      <c r="C2687" s="23">
        <f t="shared" si="1"/>
        <v>6736235.616</v>
      </c>
      <c r="D2687" s="18">
        <f>IF(A2687="","",MATCH(A2687,Calculation!B$2:B9627,1))</f>
        <v>2</v>
      </c>
      <c r="E2687" s="23">
        <f t="array" ref="E2687">IF(D2687="","",IF(D2687=1,0,INDEX(Calculation!Q$2:Q9627,D2687-1)))</f>
        <v>3232449.315</v>
      </c>
      <c r="F2687" s="23">
        <f t="array" ref="F2687">IF($A2687="","",
  LET(
    r, $D2687,
    startD, INDEX(Calculation!B$2:B9627, r),
    endD,   INDEX(Calculation!C$2:C9627, r),
    asOf,   MIN($A2687,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3503786.301</v>
      </c>
    </row>
    <row r="2688">
      <c r="A2688" s="19">
        <v>44923.0</v>
      </c>
      <c r="B2688" s="23">
        <v>1.0765E7</v>
      </c>
      <c r="C2688" s="23">
        <f t="shared" si="1"/>
        <v>6743313.973</v>
      </c>
      <c r="D2688" s="18">
        <f>IF(A2688="","",MATCH(A2688,Calculation!B$2:B9627,1))</f>
        <v>2</v>
      </c>
      <c r="E2688" s="23">
        <f t="array" ref="E2688">IF(D2688="","",IF(D2688=1,0,INDEX(Calculation!Q$2:Q9627,D2688-1)))</f>
        <v>3232449.315</v>
      </c>
      <c r="F2688" s="23">
        <f t="array" ref="F2688">IF($A2688="","",
  LET(
    r, $D2688,
    startD, INDEX(Calculation!B$2:B9627, r),
    endD,   INDEX(Calculation!C$2:C9627, r),
    asOf,   MIN($A2688,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3510864.658</v>
      </c>
    </row>
    <row r="2689">
      <c r="A2689" s="19">
        <v>44924.0</v>
      </c>
      <c r="B2689" s="23">
        <v>1.0765E7</v>
      </c>
      <c r="C2689" s="23">
        <f t="shared" si="1"/>
        <v>6750392.329</v>
      </c>
      <c r="D2689" s="18">
        <f>IF(A2689="","",MATCH(A2689,Calculation!B$2:B9627,1))</f>
        <v>2</v>
      </c>
      <c r="E2689" s="23">
        <f t="array" ref="E2689">IF(D2689="","",IF(D2689=1,0,INDEX(Calculation!Q$2:Q9627,D2689-1)))</f>
        <v>3232449.315</v>
      </c>
      <c r="F2689" s="23">
        <f t="array" ref="F2689">IF($A2689="","",
  LET(
    r, $D2689,
    startD, INDEX(Calculation!B$2:B9627, r),
    endD,   INDEX(Calculation!C$2:C9627, r),
    asOf,   MIN($A2689,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3517943.014</v>
      </c>
    </row>
    <row r="2690">
      <c r="A2690" s="19">
        <v>44925.0</v>
      </c>
      <c r="B2690" s="23">
        <v>1.0765E7</v>
      </c>
      <c r="C2690" s="23">
        <f t="shared" si="1"/>
        <v>6757470.685</v>
      </c>
      <c r="D2690" s="18">
        <f>IF(A2690="","",MATCH(A2690,Calculation!B$2:B9627,1))</f>
        <v>2</v>
      </c>
      <c r="E2690" s="23">
        <f t="array" ref="E2690">IF(D2690="","",IF(D2690=1,0,INDEX(Calculation!Q$2:Q9627,D2690-1)))</f>
        <v>3232449.315</v>
      </c>
      <c r="F2690" s="23">
        <f t="array" ref="F2690">IF($A2690="","",
  LET(
    r, $D2690,
    startD, INDEX(Calculation!B$2:B9627, r),
    endD,   INDEX(Calculation!C$2:C9627, r),
    asOf,   MIN($A2690,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3525021.37</v>
      </c>
    </row>
    <row r="2691">
      <c r="A2691" s="19">
        <v>44926.0</v>
      </c>
      <c r="B2691" s="23">
        <v>1.0765E7</v>
      </c>
      <c r="C2691" s="23">
        <f t="shared" si="1"/>
        <v>6764549.041</v>
      </c>
      <c r="D2691" s="18">
        <f>IF(A2691="","",MATCH(A2691,Calculation!B$2:B9627,1))</f>
        <v>2</v>
      </c>
      <c r="E2691" s="23">
        <f t="array" ref="E2691">IF(D2691="","",IF(D2691=1,0,INDEX(Calculation!Q$2:Q9627,D2691-1)))</f>
        <v>3232449.315</v>
      </c>
      <c r="F2691" s="23">
        <f t="array" ref="F2691">IF($A2691="","",
  LET(
    r, $D2691,
    startD, INDEX(Calculation!B$2:B9627, r),
    endD,   INDEX(Calculation!C$2:C9627, r),
    asOf,   MIN($A2691,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3532099.726</v>
      </c>
    </row>
    <row r="2692">
      <c r="A2692" s="19">
        <v>44927.0</v>
      </c>
      <c r="B2692" s="23">
        <v>1.0765E7</v>
      </c>
      <c r="C2692" s="23">
        <f t="shared" si="1"/>
        <v>6771627.397</v>
      </c>
      <c r="D2692" s="18">
        <f>IF(A2692="","",MATCH(A2692,Calculation!B$2:B9627,1))</f>
        <v>2</v>
      </c>
      <c r="E2692" s="23">
        <f t="array" ref="E2692">IF(D2692="","",IF(D2692=1,0,INDEX(Calculation!Q$2:Q9627,D2692-1)))</f>
        <v>3232449.315</v>
      </c>
      <c r="F2692" s="23">
        <f t="array" ref="F2692">IF($A2692="","",
  LET(
    r, $D2692,
    startD, INDEX(Calculation!B$2:B9627, r),
    endD,   INDEX(Calculation!C$2:C9627, r),
    asOf,   MIN($A2692,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3539178.082</v>
      </c>
    </row>
    <row r="2693">
      <c r="A2693" s="19">
        <v>44928.0</v>
      </c>
      <c r="B2693" s="23">
        <v>1.0765E7</v>
      </c>
      <c r="C2693" s="23">
        <f t="shared" si="1"/>
        <v>6778705.753</v>
      </c>
      <c r="D2693" s="18">
        <f>IF(A2693="","",MATCH(A2693,Calculation!B$2:B9627,1))</f>
        <v>2</v>
      </c>
      <c r="E2693" s="23">
        <f t="array" ref="E2693">IF(D2693="","",IF(D2693=1,0,INDEX(Calculation!Q$2:Q9627,D2693-1)))</f>
        <v>3232449.315</v>
      </c>
      <c r="F2693" s="23">
        <f t="array" ref="F2693">IF($A2693="","",
  LET(
    r, $D2693,
    startD, INDEX(Calculation!B$2:B9627, r),
    endD,   INDEX(Calculation!C$2:C9627, r),
    asOf,   MIN($A2693,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3546256.438</v>
      </c>
    </row>
    <row r="2694">
      <c r="A2694" s="19">
        <v>44929.0</v>
      </c>
      <c r="B2694" s="23">
        <v>1.0765E7</v>
      </c>
      <c r="C2694" s="23">
        <f t="shared" si="1"/>
        <v>6785784.11</v>
      </c>
      <c r="D2694" s="18">
        <f>IF(A2694="","",MATCH(A2694,Calculation!B$2:B9627,1))</f>
        <v>2</v>
      </c>
      <c r="E2694" s="23">
        <f t="array" ref="E2694">IF(D2694="","",IF(D2694=1,0,INDEX(Calculation!Q$2:Q9627,D2694-1)))</f>
        <v>3232449.315</v>
      </c>
      <c r="F2694" s="23">
        <f t="array" ref="F2694">IF($A2694="","",
  LET(
    r, $D2694,
    startD, INDEX(Calculation!B$2:B9627, r),
    endD,   INDEX(Calculation!C$2:C9627, r),
    asOf,   MIN($A2694,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3553334.795</v>
      </c>
    </row>
    <row r="2695">
      <c r="A2695" s="19">
        <v>44930.0</v>
      </c>
      <c r="B2695" s="23">
        <v>1.0765E7</v>
      </c>
      <c r="C2695" s="23">
        <f t="shared" si="1"/>
        <v>6792862.466</v>
      </c>
      <c r="D2695" s="18">
        <f>IF(A2695="","",MATCH(A2695,Calculation!B$2:B9627,1))</f>
        <v>2</v>
      </c>
      <c r="E2695" s="23">
        <f t="array" ref="E2695">IF(D2695="","",IF(D2695=1,0,INDEX(Calculation!Q$2:Q9627,D2695-1)))</f>
        <v>3232449.315</v>
      </c>
      <c r="F2695" s="23">
        <f t="array" ref="F2695">IF($A2695="","",
  LET(
    r, $D2695,
    startD, INDEX(Calculation!B$2:B9627, r),
    endD,   INDEX(Calculation!C$2:C9627, r),
    asOf,   MIN($A2695,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3560413.151</v>
      </c>
    </row>
    <row r="2696">
      <c r="A2696" s="19">
        <v>44931.0</v>
      </c>
      <c r="B2696" s="23">
        <v>1.0765E7</v>
      </c>
      <c r="C2696" s="23">
        <f t="shared" si="1"/>
        <v>6799940.822</v>
      </c>
      <c r="D2696" s="18">
        <f>IF(A2696="","",MATCH(A2696,Calculation!B$2:B9627,1))</f>
        <v>2</v>
      </c>
      <c r="E2696" s="23">
        <f t="array" ref="E2696">IF(D2696="","",IF(D2696=1,0,INDEX(Calculation!Q$2:Q9627,D2696-1)))</f>
        <v>3232449.315</v>
      </c>
      <c r="F2696" s="23">
        <f t="array" ref="F2696">IF($A2696="","",
  LET(
    r, $D2696,
    startD, INDEX(Calculation!B$2:B9627, r),
    endD,   INDEX(Calculation!C$2:C9627, r),
    asOf,   MIN($A2696,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3567491.507</v>
      </c>
    </row>
    <row r="2697">
      <c r="A2697" s="19">
        <v>44932.0</v>
      </c>
      <c r="B2697" s="23">
        <v>1.0765E7</v>
      </c>
      <c r="C2697" s="23">
        <f t="shared" si="1"/>
        <v>6807019.178</v>
      </c>
      <c r="D2697" s="18">
        <f>IF(A2697="","",MATCH(A2697,Calculation!B$2:B9627,1))</f>
        <v>2</v>
      </c>
      <c r="E2697" s="23">
        <f t="array" ref="E2697">IF(D2697="","",IF(D2697=1,0,INDEX(Calculation!Q$2:Q9627,D2697-1)))</f>
        <v>3232449.315</v>
      </c>
      <c r="F2697" s="23">
        <f t="array" ref="F2697">IF($A2697="","",
  LET(
    r, $D2697,
    startD, INDEX(Calculation!B$2:B9627, r),
    endD,   INDEX(Calculation!C$2:C9627, r),
    asOf,   MIN($A2697,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3574569.863</v>
      </c>
    </row>
    <row r="2698">
      <c r="A2698" s="19">
        <v>44933.0</v>
      </c>
      <c r="B2698" s="23">
        <v>1.0765E7</v>
      </c>
      <c r="C2698" s="23">
        <f t="shared" si="1"/>
        <v>6814097.534</v>
      </c>
      <c r="D2698" s="18">
        <f>IF(A2698="","",MATCH(A2698,Calculation!B$2:B9627,1))</f>
        <v>2</v>
      </c>
      <c r="E2698" s="23">
        <f t="array" ref="E2698">IF(D2698="","",IF(D2698=1,0,INDEX(Calculation!Q$2:Q9627,D2698-1)))</f>
        <v>3232449.315</v>
      </c>
      <c r="F2698" s="23">
        <f t="array" ref="F2698">IF($A2698="","",
  LET(
    r, $D2698,
    startD, INDEX(Calculation!B$2:B9627, r),
    endD,   INDEX(Calculation!C$2:C9627, r),
    asOf,   MIN($A2698,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3581648.219</v>
      </c>
    </row>
    <row r="2699">
      <c r="A2699" s="19">
        <v>44934.0</v>
      </c>
      <c r="B2699" s="23">
        <v>1.0765E7</v>
      </c>
      <c r="C2699" s="23">
        <f t="shared" si="1"/>
        <v>6821175.89</v>
      </c>
      <c r="D2699" s="18">
        <f>IF(A2699="","",MATCH(A2699,Calculation!B$2:B9627,1))</f>
        <v>2</v>
      </c>
      <c r="E2699" s="23">
        <f t="array" ref="E2699">IF(D2699="","",IF(D2699=1,0,INDEX(Calculation!Q$2:Q9627,D2699-1)))</f>
        <v>3232449.315</v>
      </c>
      <c r="F2699" s="23">
        <f t="array" ref="F2699">IF($A2699="","",
  LET(
    r, $D2699,
    startD, INDEX(Calculation!B$2:B9627, r),
    endD,   INDEX(Calculation!C$2:C9627, r),
    asOf,   MIN($A2699,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3588726.575</v>
      </c>
    </row>
    <row r="2700">
      <c r="A2700" s="19">
        <v>44935.0</v>
      </c>
      <c r="B2700" s="23">
        <v>1.0765E7</v>
      </c>
      <c r="C2700" s="23">
        <f t="shared" si="1"/>
        <v>6828254.247</v>
      </c>
      <c r="D2700" s="18">
        <f>IF(A2700="","",MATCH(A2700,Calculation!B$2:B9627,1))</f>
        <v>2</v>
      </c>
      <c r="E2700" s="23">
        <f t="array" ref="E2700">IF(D2700="","",IF(D2700=1,0,INDEX(Calculation!Q$2:Q9627,D2700-1)))</f>
        <v>3232449.315</v>
      </c>
      <c r="F2700" s="23">
        <f t="array" ref="F2700">IF($A2700="","",
  LET(
    r, $D2700,
    startD, INDEX(Calculation!B$2:B9627, r),
    endD,   INDEX(Calculation!C$2:C9627, r),
    asOf,   MIN($A2700,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3595804.932</v>
      </c>
    </row>
    <row r="2701">
      <c r="A2701" s="19">
        <v>44936.0</v>
      </c>
      <c r="B2701" s="23">
        <v>1.0765E7</v>
      </c>
      <c r="C2701" s="23">
        <f t="shared" si="1"/>
        <v>6835332.603</v>
      </c>
      <c r="D2701" s="18">
        <f>IF(A2701="","",MATCH(A2701,Calculation!B$2:B9627,1))</f>
        <v>2</v>
      </c>
      <c r="E2701" s="23">
        <f t="array" ref="E2701">IF(D2701="","",IF(D2701=1,0,INDEX(Calculation!Q$2:Q9627,D2701-1)))</f>
        <v>3232449.315</v>
      </c>
      <c r="F2701" s="23">
        <f t="array" ref="F2701">IF($A2701="","",
  LET(
    r, $D2701,
    startD, INDEX(Calculation!B$2:B9627, r),
    endD,   INDEX(Calculation!C$2:C9627, r),
    asOf,   MIN($A2701,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3602883.288</v>
      </c>
    </row>
    <row r="2702">
      <c r="A2702" s="19">
        <v>44937.0</v>
      </c>
      <c r="B2702" s="23">
        <v>1.0765E7</v>
      </c>
      <c r="C2702" s="23">
        <f t="shared" si="1"/>
        <v>6842410.959</v>
      </c>
      <c r="D2702" s="18">
        <f>IF(A2702="","",MATCH(A2702,Calculation!B$2:B9627,1))</f>
        <v>2</v>
      </c>
      <c r="E2702" s="23">
        <f t="array" ref="E2702">IF(D2702="","",IF(D2702=1,0,INDEX(Calculation!Q$2:Q9627,D2702-1)))</f>
        <v>3232449.315</v>
      </c>
      <c r="F2702" s="23">
        <f t="array" ref="F2702">IF($A2702="","",
  LET(
    r, $D2702,
    startD, INDEX(Calculation!B$2:B9627, r),
    endD,   INDEX(Calculation!C$2:C9627, r),
    asOf,   MIN($A2702,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3609961.644</v>
      </c>
    </row>
    <row r="2703">
      <c r="A2703" s="19">
        <v>44938.0</v>
      </c>
      <c r="B2703" s="23">
        <v>1.0765E7</v>
      </c>
      <c r="C2703" s="23">
        <f t="shared" si="1"/>
        <v>6849489.315</v>
      </c>
      <c r="D2703" s="18">
        <f>IF(A2703="","",MATCH(A2703,Calculation!B$2:B9627,1))</f>
        <v>2</v>
      </c>
      <c r="E2703" s="23">
        <f t="array" ref="E2703">IF(D2703="","",IF(D2703=1,0,INDEX(Calculation!Q$2:Q9627,D2703-1)))</f>
        <v>3232449.315</v>
      </c>
      <c r="F2703" s="23">
        <f t="array" ref="F2703">IF($A2703="","",
  LET(
    r, $D2703,
    startD, INDEX(Calculation!B$2:B9627, r),
    endD,   INDEX(Calculation!C$2:C9627, r),
    asOf,   MIN($A2703,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3617040</v>
      </c>
    </row>
    <row r="2704">
      <c r="A2704" s="19">
        <v>44939.0</v>
      </c>
      <c r="B2704" s="23">
        <v>1.0765E7</v>
      </c>
      <c r="C2704" s="23">
        <f t="shared" si="1"/>
        <v>6856567.671</v>
      </c>
      <c r="D2704" s="18">
        <f>IF(A2704="","",MATCH(A2704,Calculation!B$2:B9627,1))</f>
        <v>2</v>
      </c>
      <c r="E2704" s="23">
        <f t="array" ref="E2704">IF(D2704="","",IF(D2704=1,0,INDEX(Calculation!Q$2:Q9627,D2704-1)))</f>
        <v>3232449.315</v>
      </c>
      <c r="F2704" s="23">
        <f t="array" ref="F2704">IF($A2704="","",
  LET(
    r, $D2704,
    startD, INDEX(Calculation!B$2:B9627, r),
    endD,   INDEX(Calculation!C$2:C9627, r),
    asOf,   MIN($A2704,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3624118.356</v>
      </c>
    </row>
    <row r="2705">
      <c r="A2705" s="19">
        <v>44940.0</v>
      </c>
      <c r="B2705" s="23">
        <v>1.0765E7</v>
      </c>
      <c r="C2705" s="23">
        <f t="shared" si="1"/>
        <v>6863646.027</v>
      </c>
      <c r="D2705" s="18">
        <f>IF(A2705="","",MATCH(A2705,Calculation!B$2:B9627,1))</f>
        <v>2</v>
      </c>
      <c r="E2705" s="23">
        <f t="array" ref="E2705">IF(D2705="","",IF(D2705=1,0,INDEX(Calculation!Q$2:Q9627,D2705-1)))</f>
        <v>3232449.315</v>
      </c>
      <c r="F2705" s="23">
        <f t="array" ref="F2705">IF($A2705="","",
  LET(
    r, $D2705,
    startD, INDEX(Calculation!B$2:B9627, r),
    endD,   INDEX(Calculation!C$2:C9627, r),
    asOf,   MIN($A2705,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3631196.712</v>
      </c>
    </row>
    <row r="2706">
      <c r="A2706" s="19">
        <v>44941.0</v>
      </c>
      <c r="B2706" s="23">
        <v>1.0765E7</v>
      </c>
      <c r="C2706" s="23">
        <f t="shared" si="1"/>
        <v>6870724.384</v>
      </c>
      <c r="D2706" s="18">
        <f>IF(A2706="","",MATCH(A2706,Calculation!B$2:B9627,1))</f>
        <v>2</v>
      </c>
      <c r="E2706" s="23">
        <f t="array" ref="E2706">IF(D2706="","",IF(D2706=1,0,INDEX(Calculation!Q$2:Q9627,D2706-1)))</f>
        <v>3232449.315</v>
      </c>
      <c r="F2706" s="23">
        <f t="array" ref="F2706">IF($A2706="","",
  LET(
    r, $D2706,
    startD, INDEX(Calculation!B$2:B9627, r),
    endD,   INDEX(Calculation!C$2:C9627, r),
    asOf,   MIN($A2706,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3638275.068</v>
      </c>
    </row>
    <row r="2707">
      <c r="A2707" s="19">
        <v>44942.0</v>
      </c>
      <c r="B2707" s="23">
        <v>1.0765E7</v>
      </c>
      <c r="C2707" s="23">
        <f t="shared" si="1"/>
        <v>6877802.74</v>
      </c>
      <c r="D2707" s="18">
        <f>IF(A2707="","",MATCH(A2707,Calculation!B$2:B9627,1))</f>
        <v>2</v>
      </c>
      <c r="E2707" s="23">
        <f t="array" ref="E2707">IF(D2707="","",IF(D2707=1,0,INDEX(Calculation!Q$2:Q9627,D2707-1)))</f>
        <v>3232449.315</v>
      </c>
      <c r="F2707" s="23">
        <f t="array" ref="F2707">IF($A2707="","",
  LET(
    r, $D2707,
    startD, INDEX(Calculation!B$2:B9627, r),
    endD,   INDEX(Calculation!C$2:C9627, r),
    asOf,   MIN($A2707,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3645353.425</v>
      </c>
    </row>
    <row r="2708">
      <c r="A2708" s="19">
        <v>44943.0</v>
      </c>
      <c r="B2708" s="23">
        <v>1.0765E7</v>
      </c>
      <c r="C2708" s="23">
        <f t="shared" si="1"/>
        <v>6884881.096</v>
      </c>
      <c r="D2708" s="18">
        <f>IF(A2708="","",MATCH(A2708,Calculation!B$2:B9627,1))</f>
        <v>2</v>
      </c>
      <c r="E2708" s="23">
        <f t="array" ref="E2708">IF(D2708="","",IF(D2708=1,0,INDEX(Calculation!Q$2:Q9627,D2708-1)))</f>
        <v>3232449.315</v>
      </c>
      <c r="F2708" s="23">
        <f t="array" ref="F2708">IF($A2708="","",
  LET(
    r, $D2708,
    startD, INDEX(Calculation!B$2:B9627, r),
    endD,   INDEX(Calculation!C$2:C9627, r),
    asOf,   MIN($A2708,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3652431.781</v>
      </c>
    </row>
    <row r="2709">
      <c r="A2709" s="19">
        <v>44944.0</v>
      </c>
      <c r="B2709" s="23">
        <v>1.0765E7</v>
      </c>
      <c r="C2709" s="23">
        <f t="shared" si="1"/>
        <v>6891959.452</v>
      </c>
      <c r="D2709" s="18">
        <f>IF(A2709="","",MATCH(A2709,Calculation!B$2:B9627,1))</f>
        <v>2</v>
      </c>
      <c r="E2709" s="23">
        <f t="array" ref="E2709">IF(D2709="","",IF(D2709=1,0,INDEX(Calculation!Q$2:Q9627,D2709-1)))</f>
        <v>3232449.315</v>
      </c>
      <c r="F2709" s="23">
        <f t="array" ref="F2709">IF($A2709="","",
  LET(
    r, $D2709,
    startD, INDEX(Calculation!B$2:B9627, r),
    endD,   INDEX(Calculation!C$2:C9627, r),
    asOf,   MIN($A2709,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3659510.137</v>
      </c>
    </row>
    <row r="2710">
      <c r="A2710" s="19">
        <v>44945.0</v>
      </c>
      <c r="B2710" s="23">
        <v>1.0765E7</v>
      </c>
      <c r="C2710" s="23">
        <f t="shared" si="1"/>
        <v>6899037.808</v>
      </c>
      <c r="D2710" s="18">
        <f>IF(A2710="","",MATCH(A2710,Calculation!B$2:B9627,1))</f>
        <v>2</v>
      </c>
      <c r="E2710" s="23">
        <f t="array" ref="E2710">IF(D2710="","",IF(D2710=1,0,INDEX(Calculation!Q$2:Q9627,D2710-1)))</f>
        <v>3232449.315</v>
      </c>
      <c r="F2710" s="23">
        <f t="array" ref="F2710">IF($A2710="","",
  LET(
    r, $D2710,
    startD, INDEX(Calculation!B$2:B9627, r),
    endD,   INDEX(Calculation!C$2:C9627, r),
    asOf,   MIN($A2710,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3666588.493</v>
      </c>
    </row>
    <row r="2711">
      <c r="A2711" s="19">
        <v>44946.0</v>
      </c>
      <c r="B2711" s="23">
        <v>1.0765E7</v>
      </c>
      <c r="C2711" s="23">
        <f t="shared" si="1"/>
        <v>6906116.164</v>
      </c>
      <c r="D2711" s="18">
        <f>IF(A2711="","",MATCH(A2711,Calculation!B$2:B9627,1))</f>
        <v>2</v>
      </c>
      <c r="E2711" s="23">
        <f t="array" ref="E2711">IF(D2711="","",IF(D2711=1,0,INDEX(Calculation!Q$2:Q9627,D2711-1)))</f>
        <v>3232449.315</v>
      </c>
      <c r="F2711" s="23">
        <f t="array" ref="F2711">IF($A2711="","",
  LET(
    r, $D2711,
    startD, INDEX(Calculation!B$2:B9627, r),
    endD,   INDEX(Calculation!C$2:C9627, r),
    asOf,   MIN($A2711,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3673666.849</v>
      </c>
    </row>
    <row r="2712">
      <c r="A2712" s="19">
        <v>44947.0</v>
      </c>
      <c r="B2712" s="23">
        <v>1.0765E7</v>
      </c>
      <c r="C2712" s="23">
        <f t="shared" si="1"/>
        <v>6913194.521</v>
      </c>
      <c r="D2712" s="18">
        <f>IF(A2712="","",MATCH(A2712,Calculation!B$2:B9627,1))</f>
        <v>2</v>
      </c>
      <c r="E2712" s="23">
        <f t="array" ref="E2712">IF(D2712="","",IF(D2712=1,0,INDEX(Calculation!Q$2:Q9627,D2712-1)))</f>
        <v>3232449.315</v>
      </c>
      <c r="F2712" s="23">
        <f t="array" ref="F2712">IF($A2712="","",
  LET(
    r, $D2712,
    startD, INDEX(Calculation!B$2:B9627, r),
    endD,   INDEX(Calculation!C$2:C9627, r),
    asOf,   MIN($A2712,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3680745.205</v>
      </c>
    </row>
    <row r="2713">
      <c r="A2713" s="19">
        <v>44948.0</v>
      </c>
      <c r="B2713" s="23">
        <v>1.0765E7</v>
      </c>
      <c r="C2713" s="23">
        <f t="shared" si="1"/>
        <v>6920272.877</v>
      </c>
      <c r="D2713" s="18">
        <f>IF(A2713="","",MATCH(A2713,Calculation!B$2:B9627,1))</f>
        <v>2</v>
      </c>
      <c r="E2713" s="23">
        <f t="array" ref="E2713">IF(D2713="","",IF(D2713=1,0,INDEX(Calculation!Q$2:Q9627,D2713-1)))</f>
        <v>3232449.315</v>
      </c>
      <c r="F2713" s="23">
        <f t="array" ref="F2713">IF($A2713="","",
  LET(
    r, $D2713,
    startD, INDEX(Calculation!B$2:B9627, r),
    endD,   INDEX(Calculation!C$2:C9627, r),
    asOf,   MIN($A2713,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3687823.562</v>
      </c>
    </row>
    <row r="2714">
      <c r="A2714" s="19">
        <v>44949.0</v>
      </c>
      <c r="B2714" s="23">
        <v>1.0765E7</v>
      </c>
      <c r="C2714" s="23">
        <f t="shared" si="1"/>
        <v>6927351.233</v>
      </c>
      <c r="D2714" s="18">
        <f>IF(A2714="","",MATCH(A2714,Calculation!B$2:B9627,1))</f>
        <v>2</v>
      </c>
      <c r="E2714" s="23">
        <f t="array" ref="E2714">IF(D2714="","",IF(D2714=1,0,INDEX(Calculation!Q$2:Q9627,D2714-1)))</f>
        <v>3232449.315</v>
      </c>
      <c r="F2714" s="23">
        <f t="array" ref="F2714">IF($A2714="","",
  LET(
    r, $D2714,
    startD, INDEX(Calculation!B$2:B9627, r),
    endD,   INDEX(Calculation!C$2:C9627, r),
    asOf,   MIN($A2714,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3694901.918</v>
      </c>
    </row>
    <row r="2715">
      <c r="A2715" s="19">
        <v>44950.0</v>
      </c>
      <c r="B2715" s="23">
        <v>1.0765E7</v>
      </c>
      <c r="C2715" s="23">
        <f t="shared" si="1"/>
        <v>6934429.589</v>
      </c>
      <c r="D2715" s="18">
        <f>IF(A2715="","",MATCH(A2715,Calculation!B$2:B9627,1))</f>
        <v>2</v>
      </c>
      <c r="E2715" s="23">
        <f t="array" ref="E2715">IF(D2715="","",IF(D2715=1,0,INDEX(Calculation!Q$2:Q9627,D2715-1)))</f>
        <v>3232449.315</v>
      </c>
      <c r="F2715" s="23">
        <f t="array" ref="F2715">IF($A2715="","",
  LET(
    r, $D2715,
    startD, INDEX(Calculation!B$2:B9627, r),
    endD,   INDEX(Calculation!C$2:C9627, r),
    asOf,   MIN($A2715,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3701980.274</v>
      </c>
    </row>
    <row r="2716">
      <c r="A2716" s="19">
        <v>44951.0</v>
      </c>
      <c r="B2716" s="23">
        <v>1.0765E7</v>
      </c>
      <c r="C2716" s="23">
        <f t="shared" si="1"/>
        <v>6941507.945</v>
      </c>
      <c r="D2716" s="18">
        <f>IF(A2716="","",MATCH(A2716,Calculation!B$2:B9627,1))</f>
        <v>2</v>
      </c>
      <c r="E2716" s="23">
        <f t="array" ref="E2716">IF(D2716="","",IF(D2716=1,0,INDEX(Calculation!Q$2:Q9627,D2716-1)))</f>
        <v>3232449.315</v>
      </c>
      <c r="F2716" s="23">
        <f t="array" ref="F2716">IF($A2716="","",
  LET(
    r, $D2716,
    startD, INDEX(Calculation!B$2:B9627, r),
    endD,   INDEX(Calculation!C$2:C9627, r),
    asOf,   MIN($A2716,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3709058.63</v>
      </c>
    </row>
    <row r="2717">
      <c r="A2717" s="19">
        <v>44952.0</v>
      </c>
      <c r="B2717" s="23">
        <v>1.0765E7</v>
      </c>
      <c r="C2717" s="23">
        <f t="shared" si="1"/>
        <v>6948586.301</v>
      </c>
      <c r="D2717" s="18">
        <f>IF(A2717="","",MATCH(A2717,Calculation!B$2:B9627,1))</f>
        <v>2</v>
      </c>
      <c r="E2717" s="23">
        <f t="array" ref="E2717">IF(D2717="","",IF(D2717=1,0,INDEX(Calculation!Q$2:Q9627,D2717-1)))</f>
        <v>3232449.315</v>
      </c>
      <c r="F2717" s="23">
        <f t="array" ref="F2717">IF($A2717="","",
  LET(
    r, $D2717,
    startD, INDEX(Calculation!B$2:B9627, r),
    endD,   INDEX(Calculation!C$2:C9627, r),
    asOf,   MIN($A2717,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3716136.986</v>
      </c>
    </row>
    <row r="2718">
      <c r="A2718" s="19">
        <v>44953.0</v>
      </c>
      <c r="B2718" s="23">
        <v>1.0765E7</v>
      </c>
      <c r="C2718" s="23">
        <f t="shared" si="1"/>
        <v>6955664.658</v>
      </c>
      <c r="D2718" s="18">
        <f>IF(A2718="","",MATCH(A2718,Calculation!B$2:B9627,1))</f>
        <v>2</v>
      </c>
      <c r="E2718" s="23">
        <f t="array" ref="E2718">IF(D2718="","",IF(D2718=1,0,INDEX(Calculation!Q$2:Q9627,D2718-1)))</f>
        <v>3232449.315</v>
      </c>
      <c r="F2718" s="23">
        <f t="array" ref="F2718">IF($A2718="","",
  LET(
    r, $D2718,
    startD, INDEX(Calculation!B$2:B9627, r),
    endD,   INDEX(Calculation!C$2:C9627, r),
    asOf,   MIN($A2718,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3723215.342</v>
      </c>
    </row>
    <row r="2719">
      <c r="A2719" s="19">
        <v>44954.0</v>
      </c>
      <c r="B2719" s="23">
        <v>1.0765E7</v>
      </c>
      <c r="C2719" s="23">
        <f t="shared" si="1"/>
        <v>6962743.014</v>
      </c>
      <c r="D2719" s="18">
        <f>IF(A2719="","",MATCH(A2719,Calculation!B$2:B9627,1))</f>
        <v>2</v>
      </c>
      <c r="E2719" s="23">
        <f t="array" ref="E2719">IF(D2719="","",IF(D2719=1,0,INDEX(Calculation!Q$2:Q9627,D2719-1)))</f>
        <v>3232449.315</v>
      </c>
      <c r="F2719" s="23">
        <f t="array" ref="F2719">IF($A2719="","",
  LET(
    r, $D2719,
    startD, INDEX(Calculation!B$2:B9627, r),
    endD,   INDEX(Calculation!C$2:C9627, r),
    asOf,   MIN($A2719,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3730293.699</v>
      </c>
    </row>
    <row r="2720">
      <c r="A2720" s="19">
        <v>44955.0</v>
      </c>
      <c r="B2720" s="23">
        <v>1.0765E7</v>
      </c>
      <c r="C2720" s="23">
        <f t="shared" si="1"/>
        <v>6969821.37</v>
      </c>
      <c r="D2720" s="18">
        <f>IF(A2720="","",MATCH(A2720,Calculation!B$2:B9627,1))</f>
        <v>2</v>
      </c>
      <c r="E2720" s="23">
        <f t="array" ref="E2720">IF(D2720="","",IF(D2720=1,0,INDEX(Calculation!Q$2:Q9627,D2720-1)))</f>
        <v>3232449.315</v>
      </c>
      <c r="F2720" s="23">
        <f t="array" ref="F2720">IF($A2720="","",
  LET(
    r, $D2720,
    startD, INDEX(Calculation!B$2:B9627, r),
    endD,   INDEX(Calculation!C$2:C9627, r),
    asOf,   MIN($A2720,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3737372.055</v>
      </c>
    </row>
    <row r="2721">
      <c r="A2721" s="19">
        <v>44956.0</v>
      </c>
      <c r="B2721" s="23">
        <v>1.0765E7</v>
      </c>
      <c r="C2721" s="23">
        <f t="shared" si="1"/>
        <v>6976899.726</v>
      </c>
      <c r="D2721" s="18">
        <f>IF(A2721="","",MATCH(A2721,Calculation!B$2:B9627,1))</f>
        <v>2</v>
      </c>
      <c r="E2721" s="23">
        <f t="array" ref="E2721">IF(D2721="","",IF(D2721=1,0,INDEX(Calculation!Q$2:Q9627,D2721-1)))</f>
        <v>3232449.315</v>
      </c>
      <c r="F2721" s="23">
        <f t="array" ref="F2721">IF($A2721="","",
  LET(
    r, $D2721,
    startD, INDEX(Calculation!B$2:B9627, r),
    endD,   INDEX(Calculation!C$2:C9627, r),
    asOf,   MIN($A2721,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3744450.411</v>
      </c>
    </row>
    <row r="2722">
      <c r="A2722" s="19">
        <v>44957.0</v>
      </c>
      <c r="B2722" s="23">
        <v>1.0765E7</v>
      </c>
      <c r="C2722" s="23">
        <f t="shared" si="1"/>
        <v>6983978.082</v>
      </c>
      <c r="D2722" s="18">
        <f>IF(A2722="","",MATCH(A2722,Calculation!B$2:B9627,1))</f>
        <v>2</v>
      </c>
      <c r="E2722" s="23">
        <f t="array" ref="E2722">IF(D2722="","",IF(D2722=1,0,INDEX(Calculation!Q$2:Q9627,D2722-1)))</f>
        <v>3232449.315</v>
      </c>
      <c r="F2722" s="23">
        <f t="array" ref="F2722">IF($A2722="","",
  LET(
    r, $D2722,
    startD, INDEX(Calculation!B$2:B9627, r),
    endD,   INDEX(Calculation!C$2:C9627, r),
    asOf,   MIN($A2722,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3751528.767</v>
      </c>
    </row>
    <row r="2723">
      <c r="A2723" s="19">
        <v>44958.0</v>
      </c>
      <c r="B2723" s="23">
        <v>1.0765E7</v>
      </c>
      <c r="C2723" s="23">
        <f t="shared" si="1"/>
        <v>6991056.438</v>
      </c>
      <c r="D2723" s="18">
        <f>IF(A2723="","",MATCH(A2723,Calculation!B$2:B9627,1))</f>
        <v>2</v>
      </c>
      <c r="E2723" s="23">
        <f t="array" ref="E2723">IF(D2723="","",IF(D2723=1,0,INDEX(Calculation!Q$2:Q9627,D2723-1)))</f>
        <v>3232449.315</v>
      </c>
      <c r="F2723" s="23">
        <f t="array" ref="F2723">IF($A2723="","",
  LET(
    r, $D2723,
    startD, INDEX(Calculation!B$2:B9627, r),
    endD,   INDEX(Calculation!C$2:C9627, r),
    asOf,   MIN($A2723,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3758607.123</v>
      </c>
    </row>
    <row r="2724">
      <c r="A2724" s="19">
        <v>44959.0</v>
      </c>
      <c r="B2724" s="23">
        <v>1.0765E7</v>
      </c>
      <c r="C2724" s="23">
        <f t="shared" si="1"/>
        <v>6998134.795</v>
      </c>
      <c r="D2724" s="18">
        <f>IF(A2724="","",MATCH(A2724,Calculation!B$2:B9627,1))</f>
        <v>2</v>
      </c>
      <c r="E2724" s="23">
        <f t="array" ref="E2724">IF(D2724="","",IF(D2724=1,0,INDEX(Calculation!Q$2:Q9627,D2724-1)))</f>
        <v>3232449.315</v>
      </c>
      <c r="F2724" s="23">
        <f t="array" ref="F2724">IF($A2724="","",
  LET(
    r, $D2724,
    startD, INDEX(Calculation!B$2:B9627, r),
    endD,   INDEX(Calculation!C$2:C9627, r),
    asOf,   MIN($A2724,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3765685.479</v>
      </c>
    </row>
    <row r="2725">
      <c r="A2725" s="19">
        <v>44960.0</v>
      </c>
      <c r="B2725" s="23">
        <v>1.0765E7</v>
      </c>
      <c r="C2725" s="23">
        <f t="shared" si="1"/>
        <v>7005213.151</v>
      </c>
      <c r="D2725" s="18">
        <f>IF(A2725="","",MATCH(A2725,Calculation!B$2:B9627,1))</f>
        <v>2</v>
      </c>
      <c r="E2725" s="23">
        <f t="array" ref="E2725">IF(D2725="","",IF(D2725=1,0,INDEX(Calculation!Q$2:Q9627,D2725-1)))</f>
        <v>3232449.315</v>
      </c>
      <c r="F2725" s="23">
        <f t="array" ref="F2725">IF($A2725="","",
  LET(
    r, $D2725,
    startD, INDEX(Calculation!B$2:B9627, r),
    endD,   INDEX(Calculation!C$2:C9627, r),
    asOf,   MIN($A2725,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3772763.836</v>
      </c>
    </row>
    <row r="2726">
      <c r="A2726" s="19">
        <v>44961.0</v>
      </c>
      <c r="B2726" s="23">
        <v>1.0765E7</v>
      </c>
      <c r="C2726" s="23">
        <f t="shared" si="1"/>
        <v>7012291.507</v>
      </c>
      <c r="D2726" s="18">
        <f>IF(A2726="","",MATCH(A2726,Calculation!B$2:B9627,1))</f>
        <v>2</v>
      </c>
      <c r="E2726" s="23">
        <f t="array" ref="E2726">IF(D2726="","",IF(D2726=1,0,INDEX(Calculation!Q$2:Q9627,D2726-1)))</f>
        <v>3232449.315</v>
      </c>
      <c r="F2726" s="23">
        <f t="array" ref="F2726">IF($A2726="","",
  LET(
    r, $D2726,
    startD, INDEX(Calculation!B$2:B9627, r),
    endD,   INDEX(Calculation!C$2:C9627, r),
    asOf,   MIN($A2726,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3779842.192</v>
      </c>
    </row>
    <row r="2727">
      <c r="A2727" s="19">
        <v>44962.0</v>
      </c>
      <c r="B2727" s="23">
        <v>1.0765E7</v>
      </c>
      <c r="C2727" s="23">
        <f t="shared" si="1"/>
        <v>7019369.863</v>
      </c>
      <c r="D2727" s="18">
        <f>IF(A2727="","",MATCH(A2727,Calculation!B$2:B9627,1))</f>
        <v>2</v>
      </c>
      <c r="E2727" s="23">
        <f t="array" ref="E2727">IF(D2727="","",IF(D2727=1,0,INDEX(Calculation!Q$2:Q9627,D2727-1)))</f>
        <v>3232449.315</v>
      </c>
      <c r="F2727" s="23">
        <f t="array" ref="F2727">IF($A2727="","",
  LET(
    r, $D2727,
    startD, INDEX(Calculation!B$2:B9627, r),
    endD,   INDEX(Calculation!C$2:C9627, r),
    asOf,   MIN($A2727,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3786920.548</v>
      </c>
    </row>
    <row r="2728">
      <c r="A2728" s="19">
        <v>44963.0</v>
      </c>
      <c r="B2728" s="23">
        <v>1.0765E7</v>
      </c>
      <c r="C2728" s="23">
        <f t="shared" si="1"/>
        <v>7026448.219</v>
      </c>
      <c r="D2728" s="18">
        <f>IF(A2728="","",MATCH(A2728,Calculation!B$2:B9627,1))</f>
        <v>2</v>
      </c>
      <c r="E2728" s="23">
        <f t="array" ref="E2728">IF(D2728="","",IF(D2728=1,0,INDEX(Calculation!Q$2:Q9627,D2728-1)))</f>
        <v>3232449.315</v>
      </c>
      <c r="F2728" s="23">
        <f t="array" ref="F2728">IF($A2728="","",
  LET(
    r, $D2728,
    startD, INDEX(Calculation!B$2:B9627, r),
    endD,   INDEX(Calculation!C$2:C9627, r),
    asOf,   MIN($A2728,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3793998.904</v>
      </c>
    </row>
    <row r="2729">
      <c r="A2729" s="19">
        <v>44964.0</v>
      </c>
      <c r="B2729" s="23">
        <v>1.0765E7</v>
      </c>
      <c r="C2729" s="23">
        <f t="shared" si="1"/>
        <v>7033526.575</v>
      </c>
      <c r="D2729" s="18">
        <f>IF(A2729="","",MATCH(A2729,Calculation!B$2:B9627,1))</f>
        <v>2</v>
      </c>
      <c r="E2729" s="23">
        <f t="array" ref="E2729">IF(D2729="","",IF(D2729=1,0,INDEX(Calculation!Q$2:Q9627,D2729-1)))</f>
        <v>3232449.315</v>
      </c>
      <c r="F2729" s="23">
        <f t="array" ref="F2729">IF($A2729="","",
  LET(
    r, $D2729,
    startD, INDEX(Calculation!B$2:B9627, r),
    endD,   INDEX(Calculation!C$2:C9627, r),
    asOf,   MIN($A2729,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3801077.26</v>
      </c>
    </row>
    <row r="2730">
      <c r="A2730" s="19">
        <v>44965.0</v>
      </c>
      <c r="B2730" s="23">
        <v>1.0765E7</v>
      </c>
      <c r="C2730" s="23">
        <f t="shared" si="1"/>
        <v>7040604.932</v>
      </c>
      <c r="D2730" s="18">
        <f>IF(A2730="","",MATCH(A2730,Calculation!B$2:B9627,1))</f>
        <v>2</v>
      </c>
      <c r="E2730" s="23">
        <f t="array" ref="E2730">IF(D2730="","",IF(D2730=1,0,INDEX(Calculation!Q$2:Q9627,D2730-1)))</f>
        <v>3232449.315</v>
      </c>
      <c r="F2730" s="23">
        <f t="array" ref="F2730">IF($A2730="","",
  LET(
    r, $D2730,
    startD, INDEX(Calculation!B$2:B9627, r),
    endD,   INDEX(Calculation!C$2:C9627, r),
    asOf,   MIN($A2730,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3808155.616</v>
      </c>
    </row>
    <row r="2731">
      <c r="A2731" s="19">
        <v>44966.0</v>
      </c>
      <c r="B2731" s="23">
        <v>1.0765E7</v>
      </c>
      <c r="C2731" s="23">
        <f t="shared" si="1"/>
        <v>7047683.288</v>
      </c>
      <c r="D2731" s="18">
        <f>IF(A2731="","",MATCH(A2731,Calculation!B$2:B9627,1))</f>
        <v>2</v>
      </c>
      <c r="E2731" s="23">
        <f t="array" ref="E2731">IF(D2731="","",IF(D2731=1,0,INDEX(Calculation!Q$2:Q9627,D2731-1)))</f>
        <v>3232449.315</v>
      </c>
      <c r="F2731" s="23">
        <f t="array" ref="F2731">IF($A2731="","",
  LET(
    r, $D2731,
    startD, INDEX(Calculation!B$2:B9627, r),
    endD,   INDEX(Calculation!C$2:C9627, r),
    asOf,   MIN($A2731,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3815233.973</v>
      </c>
    </row>
    <row r="2732">
      <c r="A2732" s="19">
        <v>44967.0</v>
      </c>
      <c r="B2732" s="23">
        <v>1.0765E7</v>
      </c>
      <c r="C2732" s="23">
        <f t="shared" si="1"/>
        <v>7054761.644</v>
      </c>
      <c r="D2732" s="18">
        <f>IF(A2732="","",MATCH(A2732,Calculation!B$2:B9627,1))</f>
        <v>2</v>
      </c>
      <c r="E2732" s="23">
        <f t="array" ref="E2732">IF(D2732="","",IF(D2732=1,0,INDEX(Calculation!Q$2:Q9627,D2732-1)))</f>
        <v>3232449.315</v>
      </c>
      <c r="F2732" s="23">
        <f t="array" ref="F2732">IF($A2732="","",
  LET(
    r, $D2732,
    startD, INDEX(Calculation!B$2:B9627, r),
    endD,   INDEX(Calculation!C$2:C9627, r),
    asOf,   MIN($A2732,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3822312.329</v>
      </c>
    </row>
    <row r="2733">
      <c r="A2733" s="19">
        <v>44968.0</v>
      </c>
      <c r="B2733" s="23">
        <v>1.0765E7</v>
      </c>
      <c r="C2733" s="23">
        <f t="shared" si="1"/>
        <v>7061840</v>
      </c>
      <c r="D2733" s="18">
        <f>IF(A2733="","",MATCH(A2733,Calculation!B$2:B9627,1))</f>
        <v>2</v>
      </c>
      <c r="E2733" s="23">
        <f t="array" ref="E2733">IF(D2733="","",IF(D2733=1,0,INDEX(Calculation!Q$2:Q9627,D2733-1)))</f>
        <v>3232449.315</v>
      </c>
      <c r="F2733" s="23">
        <f t="array" ref="F2733">IF($A2733="","",
  LET(
    r, $D2733,
    startD, INDEX(Calculation!B$2:B9627, r),
    endD,   INDEX(Calculation!C$2:C9627, r),
    asOf,   MIN($A2733,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3829390.685</v>
      </c>
    </row>
    <row r="2734">
      <c r="A2734" s="19">
        <v>44969.0</v>
      </c>
      <c r="B2734" s="23">
        <v>1.0765E7</v>
      </c>
      <c r="C2734" s="23">
        <f t="shared" si="1"/>
        <v>7068918.356</v>
      </c>
      <c r="D2734" s="18">
        <f>IF(A2734="","",MATCH(A2734,Calculation!B$2:B9627,1))</f>
        <v>2</v>
      </c>
      <c r="E2734" s="23">
        <f t="array" ref="E2734">IF(D2734="","",IF(D2734=1,0,INDEX(Calculation!Q$2:Q9627,D2734-1)))</f>
        <v>3232449.315</v>
      </c>
      <c r="F2734" s="23">
        <f t="array" ref="F2734">IF($A2734="","",
  LET(
    r, $D2734,
    startD, INDEX(Calculation!B$2:B9627, r),
    endD,   INDEX(Calculation!C$2:C9627, r),
    asOf,   MIN($A2734,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3836469.041</v>
      </c>
    </row>
    <row r="2735">
      <c r="A2735" s="19">
        <v>44970.0</v>
      </c>
      <c r="B2735" s="23">
        <v>1.0765E7</v>
      </c>
      <c r="C2735" s="23">
        <f t="shared" si="1"/>
        <v>7075996.712</v>
      </c>
      <c r="D2735" s="18">
        <f>IF(A2735="","",MATCH(A2735,Calculation!B$2:B9627,1))</f>
        <v>2</v>
      </c>
      <c r="E2735" s="23">
        <f t="array" ref="E2735">IF(D2735="","",IF(D2735=1,0,INDEX(Calculation!Q$2:Q9627,D2735-1)))</f>
        <v>3232449.315</v>
      </c>
      <c r="F2735" s="23">
        <f t="array" ref="F2735">IF($A2735="","",
  LET(
    r, $D2735,
    startD, INDEX(Calculation!B$2:B9627, r),
    endD,   INDEX(Calculation!C$2:C9627, r),
    asOf,   MIN($A2735,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3843547.397</v>
      </c>
    </row>
    <row r="2736">
      <c r="A2736" s="19">
        <v>44971.0</v>
      </c>
      <c r="B2736" s="23">
        <v>1.0765E7</v>
      </c>
      <c r="C2736" s="23">
        <f t="shared" si="1"/>
        <v>7083075.068</v>
      </c>
      <c r="D2736" s="18">
        <f>IF(A2736="","",MATCH(A2736,Calculation!B$2:B9627,1))</f>
        <v>2</v>
      </c>
      <c r="E2736" s="23">
        <f t="array" ref="E2736">IF(D2736="","",IF(D2736=1,0,INDEX(Calculation!Q$2:Q9627,D2736-1)))</f>
        <v>3232449.315</v>
      </c>
      <c r="F2736" s="23">
        <f t="array" ref="F2736">IF($A2736="","",
  LET(
    r, $D2736,
    startD, INDEX(Calculation!B$2:B9627, r),
    endD,   INDEX(Calculation!C$2:C9627, r),
    asOf,   MIN($A2736,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3850625.753</v>
      </c>
    </row>
    <row r="2737">
      <c r="A2737" s="19">
        <v>44972.0</v>
      </c>
      <c r="B2737" s="23">
        <v>1.0765E7</v>
      </c>
      <c r="C2737" s="23">
        <f t="shared" si="1"/>
        <v>7090153.425</v>
      </c>
      <c r="D2737" s="18">
        <f>IF(A2737="","",MATCH(A2737,Calculation!B$2:B9627,1))</f>
        <v>2</v>
      </c>
      <c r="E2737" s="23">
        <f t="array" ref="E2737">IF(D2737="","",IF(D2737=1,0,INDEX(Calculation!Q$2:Q9627,D2737-1)))</f>
        <v>3232449.315</v>
      </c>
      <c r="F2737" s="23">
        <f t="array" ref="F2737">IF($A2737="","",
  LET(
    r, $D2737,
    startD, INDEX(Calculation!B$2:B9627, r),
    endD,   INDEX(Calculation!C$2:C9627, r),
    asOf,   MIN($A2737,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3857704.11</v>
      </c>
    </row>
    <row r="2738">
      <c r="A2738" s="19">
        <v>44973.0</v>
      </c>
      <c r="B2738" s="23">
        <v>1.0765E7</v>
      </c>
      <c r="C2738" s="23">
        <f t="shared" si="1"/>
        <v>7097231.781</v>
      </c>
      <c r="D2738" s="18">
        <f>IF(A2738="","",MATCH(A2738,Calculation!B$2:B9627,1))</f>
        <v>2</v>
      </c>
      <c r="E2738" s="23">
        <f t="array" ref="E2738">IF(D2738="","",IF(D2738=1,0,INDEX(Calculation!Q$2:Q9627,D2738-1)))</f>
        <v>3232449.315</v>
      </c>
      <c r="F2738" s="23">
        <f t="array" ref="F2738">IF($A2738="","",
  LET(
    r, $D2738,
    startD, INDEX(Calculation!B$2:B9627, r),
    endD,   INDEX(Calculation!C$2:C9627, r),
    asOf,   MIN($A2738,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3864782.466</v>
      </c>
    </row>
    <row r="2739">
      <c r="A2739" s="19">
        <v>44974.0</v>
      </c>
      <c r="B2739" s="23">
        <v>1.0765E7</v>
      </c>
      <c r="C2739" s="23">
        <f t="shared" si="1"/>
        <v>7104310.137</v>
      </c>
      <c r="D2739" s="18">
        <f>IF(A2739="","",MATCH(A2739,Calculation!B$2:B9627,1))</f>
        <v>2</v>
      </c>
      <c r="E2739" s="23">
        <f t="array" ref="E2739">IF(D2739="","",IF(D2739=1,0,INDEX(Calculation!Q$2:Q9627,D2739-1)))</f>
        <v>3232449.315</v>
      </c>
      <c r="F2739" s="23">
        <f t="array" ref="F2739">IF($A2739="","",
  LET(
    r, $D2739,
    startD, INDEX(Calculation!B$2:B9627, r),
    endD,   INDEX(Calculation!C$2:C9627, r),
    asOf,   MIN($A2739,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3871860.822</v>
      </c>
    </row>
    <row r="2740">
      <c r="A2740" s="19">
        <v>44975.0</v>
      </c>
      <c r="B2740" s="23">
        <v>1.0765E7</v>
      </c>
      <c r="C2740" s="23">
        <f t="shared" si="1"/>
        <v>7111388.493</v>
      </c>
      <c r="D2740" s="18">
        <f>IF(A2740="","",MATCH(A2740,Calculation!B$2:B9627,1))</f>
        <v>2</v>
      </c>
      <c r="E2740" s="23">
        <f t="array" ref="E2740">IF(D2740="","",IF(D2740=1,0,INDEX(Calculation!Q$2:Q9627,D2740-1)))</f>
        <v>3232449.315</v>
      </c>
      <c r="F2740" s="23">
        <f t="array" ref="F2740">IF($A2740="","",
  LET(
    r, $D2740,
    startD, INDEX(Calculation!B$2:B9627, r),
    endD,   INDEX(Calculation!C$2:C9627, r),
    asOf,   MIN($A2740,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3878939.178</v>
      </c>
    </row>
    <row r="2741">
      <c r="A2741" s="19">
        <v>44976.0</v>
      </c>
      <c r="B2741" s="23">
        <v>1.0765E7</v>
      </c>
      <c r="C2741" s="23">
        <f t="shared" si="1"/>
        <v>7118466.849</v>
      </c>
      <c r="D2741" s="18">
        <f>IF(A2741="","",MATCH(A2741,Calculation!B$2:B9627,1))</f>
        <v>2</v>
      </c>
      <c r="E2741" s="23">
        <f t="array" ref="E2741">IF(D2741="","",IF(D2741=1,0,INDEX(Calculation!Q$2:Q9627,D2741-1)))</f>
        <v>3232449.315</v>
      </c>
      <c r="F2741" s="23">
        <f t="array" ref="F2741">IF($A2741="","",
  LET(
    r, $D2741,
    startD, INDEX(Calculation!B$2:B9627, r),
    endD,   INDEX(Calculation!C$2:C9627, r),
    asOf,   MIN($A2741,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3886017.534</v>
      </c>
    </row>
    <row r="2742">
      <c r="A2742" s="19">
        <v>44977.0</v>
      </c>
      <c r="B2742" s="23">
        <v>1.0765E7</v>
      </c>
      <c r="C2742" s="23">
        <f t="shared" si="1"/>
        <v>7125545.205</v>
      </c>
      <c r="D2742" s="18">
        <f>IF(A2742="","",MATCH(A2742,Calculation!B$2:B9627,1))</f>
        <v>2</v>
      </c>
      <c r="E2742" s="23">
        <f t="array" ref="E2742">IF(D2742="","",IF(D2742=1,0,INDEX(Calculation!Q$2:Q9627,D2742-1)))</f>
        <v>3232449.315</v>
      </c>
      <c r="F2742" s="23">
        <f t="array" ref="F2742">IF($A2742="","",
  LET(
    r, $D2742,
    startD, INDEX(Calculation!B$2:B9627, r),
    endD,   INDEX(Calculation!C$2:C9627, r),
    asOf,   MIN($A2742,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3893095.89</v>
      </c>
    </row>
    <row r="2743">
      <c r="A2743" s="19">
        <v>44978.0</v>
      </c>
      <c r="B2743" s="23">
        <v>1.0765E7</v>
      </c>
      <c r="C2743" s="23">
        <f t="shared" si="1"/>
        <v>7132623.562</v>
      </c>
      <c r="D2743" s="18">
        <f>IF(A2743="","",MATCH(A2743,Calculation!B$2:B9627,1))</f>
        <v>2</v>
      </c>
      <c r="E2743" s="23">
        <f t="array" ref="E2743">IF(D2743="","",IF(D2743=1,0,INDEX(Calculation!Q$2:Q9627,D2743-1)))</f>
        <v>3232449.315</v>
      </c>
      <c r="F2743" s="23">
        <f t="array" ref="F2743">IF($A2743="","",
  LET(
    r, $D2743,
    startD, INDEX(Calculation!B$2:B9627, r),
    endD,   INDEX(Calculation!C$2:C9627, r),
    asOf,   MIN($A2743,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3900174.247</v>
      </c>
    </row>
    <row r="2744">
      <c r="A2744" s="19">
        <v>44979.0</v>
      </c>
      <c r="B2744" s="23">
        <v>1.0765E7</v>
      </c>
      <c r="C2744" s="23">
        <f t="shared" si="1"/>
        <v>7139701.918</v>
      </c>
      <c r="D2744" s="18">
        <f>IF(A2744="","",MATCH(A2744,Calculation!B$2:B9627,1))</f>
        <v>2</v>
      </c>
      <c r="E2744" s="23">
        <f t="array" ref="E2744">IF(D2744="","",IF(D2744=1,0,INDEX(Calculation!Q$2:Q9627,D2744-1)))</f>
        <v>3232449.315</v>
      </c>
      <c r="F2744" s="23">
        <f t="array" ref="F2744">IF($A2744="","",
  LET(
    r, $D2744,
    startD, INDEX(Calculation!B$2:B9627, r),
    endD,   INDEX(Calculation!C$2:C9627, r),
    asOf,   MIN($A2744,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3907252.603</v>
      </c>
    </row>
    <row r="2745">
      <c r="A2745" s="19">
        <v>44980.0</v>
      </c>
      <c r="B2745" s="23">
        <v>1.0765E7</v>
      </c>
      <c r="C2745" s="23">
        <f t="shared" si="1"/>
        <v>7146780.274</v>
      </c>
      <c r="D2745" s="18">
        <f>IF(A2745="","",MATCH(A2745,Calculation!B$2:B9627,1))</f>
        <v>2</v>
      </c>
      <c r="E2745" s="23">
        <f t="array" ref="E2745">IF(D2745="","",IF(D2745=1,0,INDEX(Calculation!Q$2:Q9627,D2745-1)))</f>
        <v>3232449.315</v>
      </c>
      <c r="F2745" s="23">
        <f t="array" ref="F2745">IF($A2745="","",
  LET(
    r, $D2745,
    startD, INDEX(Calculation!B$2:B9627, r),
    endD,   INDEX(Calculation!C$2:C9627, r),
    asOf,   MIN($A2745,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3914330.959</v>
      </c>
    </row>
    <row r="2746">
      <c r="A2746" s="19">
        <v>44981.0</v>
      </c>
      <c r="B2746" s="23">
        <v>1.0765E7</v>
      </c>
      <c r="C2746" s="23">
        <f t="shared" si="1"/>
        <v>7153858.63</v>
      </c>
      <c r="D2746" s="18">
        <f>IF(A2746="","",MATCH(A2746,Calculation!B$2:B9627,1))</f>
        <v>2</v>
      </c>
      <c r="E2746" s="23">
        <f t="array" ref="E2746">IF(D2746="","",IF(D2746=1,0,INDEX(Calculation!Q$2:Q9627,D2746-1)))</f>
        <v>3232449.315</v>
      </c>
      <c r="F2746" s="23">
        <f t="array" ref="F2746">IF($A2746="","",
  LET(
    r, $D2746,
    startD, INDEX(Calculation!B$2:B9627, r),
    endD,   INDEX(Calculation!C$2:C9627, r),
    asOf,   MIN($A2746,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3921409.315</v>
      </c>
    </row>
    <row r="2747">
      <c r="A2747" s="19">
        <v>44982.0</v>
      </c>
      <c r="B2747" s="23">
        <v>1.0765E7</v>
      </c>
      <c r="C2747" s="23">
        <f t="shared" si="1"/>
        <v>7160936.986</v>
      </c>
      <c r="D2747" s="18">
        <f>IF(A2747="","",MATCH(A2747,Calculation!B$2:B9627,1))</f>
        <v>2</v>
      </c>
      <c r="E2747" s="23">
        <f t="array" ref="E2747">IF(D2747="","",IF(D2747=1,0,INDEX(Calculation!Q$2:Q9627,D2747-1)))</f>
        <v>3232449.315</v>
      </c>
      <c r="F2747" s="23">
        <f t="array" ref="F2747">IF($A2747="","",
  LET(
    r, $D2747,
    startD, INDEX(Calculation!B$2:B9627, r),
    endD,   INDEX(Calculation!C$2:C9627, r),
    asOf,   MIN($A2747,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3928487.671</v>
      </c>
    </row>
    <row r="2748">
      <c r="A2748" s="19">
        <v>44983.0</v>
      </c>
      <c r="B2748" s="23">
        <v>1.0765E7</v>
      </c>
      <c r="C2748" s="23">
        <f t="shared" si="1"/>
        <v>7168015.342</v>
      </c>
      <c r="D2748" s="18">
        <f>IF(A2748="","",MATCH(A2748,Calculation!B$2:B9627,1))</f>
        <v>2</v>
      </c>
      <c r="E2748" s="23">
        <f t="array" ref="E2748">IF(D2748="","",IF(D2748=1,0,INDEX(Calculation!Q$2:Q9627,D2748-1)))</f>
        <v>3232449.315</v>
      </c>
      <c r="F2748" s="23">
        <f t="array" ref="F2748">IF($A2748="","",
  LET(
    r, $D2748,
    startD, INDEX(Calculation!B$2:B9627, r),
    endD,   INDEX(Calculation!C$2:C9627, r),
    asOf,   MIN($A2748,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3935566.027</v>
      </c>
    </row>
    <row r="2749">
      <c r="A2749" s="19">
        <v>44984.0</v>
      </c>
      <c r="B2749" s="23">
        <v>1.0765E7</v>
      </c>
      <c r="C2749" s="23">
        <f t="shared" si="1"/>
        <v>7175093.699</v>
      </c>
      <c r="D2749" s="18">
        <f>IF(A2749="","",MATCH(A2749,Calculation!B$2:B9627,1))</f>
        <v>2</v>
      </c>
      <c r="E2749" s="23">
        <f t="array" ref="E2749">IF(D2749="","",IF(D2749=1,0,INDEX(Calculation!Q$2:Q9627,D2749-1)))</f>
        <v>3232449.315</v>
      </c>
      <c r="F2749" s="23">
        <f t="array" ref="F2749">IF($A2749="","",
  LET(
    r, $D2749,
    startD, INDEX(Calculation!B$2:B9627, r),
    endD,   INDEX(Calculation!C$2:C9627, r),
    asOf,   MIN($A2749,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3942644.384</v>
      </c>
    </row>
    <row r="2750">
      <c r="A2750" s="19">
        <v>44985.0</v>
      </c>
      <c r="B2750" s="23">
        <v>1.0765E7</v>
      </c>
      <c r="C2750" s="23">
        <f t="shared" si="1"/>
        <v>7182172.055</v>
      </c>
      <c r="D2750" s="18">
        <f>IF(A2750="","",MATCH(A2750,Calculation!B$2:B9627,1))</f>
        <v>2</v>
      </c>
      <c r="E2750" s="23">
        <f t="array" ref="E2750">IF(D2750="","",IF(D2750=1,0,INDEX(Calculation!Q$2:Q9627,D2750-1)))</f>
        <v>3232449.315</v>
      </c>
      <c r="F2750" s="23">
        <f t="array" ref="F2750">IF($A2750="","",
  LET(
    r, $D2750,
    startD, INDEX(Calculation!B$2:B9627, r),
    endD,   INDEX(Calculation!C$2:C9627, r),
    asOf,   MIN($A2750,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3949722.74</v>
      </c>
    </row>
    <row r="2751">
      <c r="A2751" s="19">
        <v>44986.0</v>
      </c>
      <c r="B2751" s="23">
        <v>1.0765E7</v>
      </c>
      <c r="C2751" s="23">
        <f t="shared" si="1"/>
        <v>7189250.411</v>
      </c>
      <c r="D2751" s="18">
        <f>IF(A2751="","",MATCH(A2751,Calculation!B$2:B9627,1))</f>
        <v>2</v>
      </c>
      <c r="E2751" s="23">
        <f t="array" ref="E2751">IF(D2751="","",IF(D2751=1,0,INDEX(Calculation!Q$2:Q9627,D2751-1)))</f>
        <v>3232449.315</v>
      </c>
      <c r="F2751" s="23">
        <f t="array" ref="F2751">IF($A2751="","",
  LET(
    r, $D2751,
    startD, INDEX(Calculation!B$2:B9627, r),
    endD,   INDEX(Calculation!C$2:C9627, r),
    asOf,   MIN($A2751,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3956801.096</v>
      </c>
    </row>
    <row r="2752">
      <c r="A2752" s="19">
        <v>44987.0</v>
      </c>
      <c r="B2752" s="23">
        <v>1.0765E7</v>
      </c>
      <c r="C2752" s="23">
        <f t="shared" si="1"/>
        <v>7196328.767</v>
      </c>
      <c r="D2752" s="18">
        <f>IF(A2752="","",MATCH(A2752,Calculation!B$2:B9627,1))</f>
        <v>2</v>
      </c>
      <c r="E2752" s="23">
        <f t="array" ref="E2752">IF(D2752="","",IF(D2752=1,0,INDEX(Calculation!Q$2:Q9627,D2752-1)))</f>
        <v>3232449.315</v>
      </c>
      <c r="F2752" s="23">
        <f t="array" ref="F2752">IF($A2752="","",
  LET(
    r, $D2752,
    startD, INDEX(Calculation!B$2:B9627, r),
    endD,   INDEX(Calculation!C$2:C9627, r),
    asOf,   MIN($A2752,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3963879.452</v>
      </c>
    </row>
    <row r="2753">
      <c r="A2753" s="19">
        <v>44988.0</v>
      </c>
      <c r="B2753" s="23">
        <v>1.0765E7</v>
      </c>
      <c r="C2753" s="23">
        <f t="shared" si="1"/>
        <v>7203407.123</v>
      </c>
      <c r="D2753" s="18">
        <f>IF(A2753="","",MATCH(A2753,Calculation!B$2:B9627,1))</f>
        <v>2</v>
      </c>
      <c r="E2753" s="23">
        <f t="array" ref="E2753">IF(D2753="","",IF(D2753=1,0,INDEX(Calculation!Q$2:Q9627,D2753-1)))</f>
        <v>3232449.315</v>
      </c>
      <c r="F2753" s="23">
        <f t="array" ref="F2753">IF($A2753="","",
  LET(
    r, $D2753,
    startD, INDEX(Calculation!B$2:B9627, r),
    endD,   INDEX(Calculation!C$2:C9627, r),
    asOf,   MIN($A2753,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3970957.808</v>
      </c>
    </row>
    <row r="2754">
      <c r="A2754" s="19">
        <v>44989.0</v>
      </c>
      <c r="B2754" s="23">
        <v>1.0765E7</v>
      </c>
      <c r="C2754" s="23">
        <f t="shared" si="1"/>
        <v>7210485.479</v>
      </c>
      <c r="D2754" s="18">
        <f>IF(A2754="","",MATCH(A2754,Calculation!B$2:B9627,1))</f>
        <v>2</v>
      </c>
      <c r="E2754" s="23">
        <f t="array" ref="E2754">IF(D2754="","",IF(D2754=1,0,INDEX(Calculation!Q$2:Q9627,D2754-1)))</f>
        <v>3232449.315</v>
      </c>
      <c r="F2754" s="23">
        <f t="array" ref="F2754">IF($A2754="","",
  LET(
    r, $D2754,
    startD, INDEX(Calculation!B$2:B9627, r),
    endD,   INDEX(Calculation!C$2:C9627, r),
    asOf,   MIN($A2754,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3978036.164</v>
      </c>
    </row>
    <row r="2755">
      <c r="A2755" s="19">
        <v>44990.0</v>
      </c>
      <c r="B2755" s="23">
        <v>1.0765E7</v>
      </c>
      <c r="C2755" s="23">
        <f t="shared" si="1"/>
        <v>7217563.836</v>
      </c>
      <c r="D2755" s="18">
        <f>IF(A2755="","",MATCH(A2755,Calculation!B$2:B9627,1))</f>
        <v>2</v>
      </c>
      <c r="E2755" s="23">
        <f t="array" ref="E2755">IF(D2755="","",IF(D2755=1,0,INDEX(Calculation!Q$2:Q9627,D2755-1)))</f>
        <v>3232449.315</v>
      </c>
      <c r="F2755" s="23">
        <f t="array" ref="F2755">IF($A2755="","",
  LET(
    r, $D2755,
    startD, INDEX(Calculation!B$2:B9627, r),
    endD,   INDEX(Calculation!C$2:C9627, r),
    asOf,   MIN($A2755,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3985114.521</v>
      </c>
    </row>
    <row r="2756">
      <c r="A2756" s="19">
        <v>44991.0</v>
      </c>
      <c r="B2756" s="23">
        <v>1.0765E7</v>
      </c>
      <c r="C2756" s="23">
        <f t="shared" si="1"/>
        <v>7224642.192</v>
      </c>
      <c r="D2756" s="18">
        <f>IF(A2756="","",MATCH(A2756,Calculation!B$2:B9627,1))</f>
        <v>2</v>
      </c>
      <c r="E2756" s="23">
        <f t="array" ref="E2756">IF(D2756="","",IF(D2756=1,0,INDEX(Calculation!Q$2:Q9627,D2756-1)))</f>
        <v>3232449.315</v>
      </c>
      <c r="F2756" s="23">
        <f t="array" ref="F2756">IF($A2756="","",
  LET(
    r, $D2756,
    startD, INDEX(Calculation!B$2:B9627, r),
    endD,   INDEX(Calculation!C$2:C9627, r),
    asOf,   MIN($A2756,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3992192.877</v>
      </c>
    </row>
    <row r="2757">
      <c r="A2757" s="19">
        <v>44992.0</v>
      </c>
      <c r="B2757" s="23">
        <v>1.0765E7</v>
      </c>
      <c r="C2757" s="23">
        <f t="shared" si="1"/>
        <v>7231720.548</v>
      </c>
      <c r="D2757" s="18">
        <f>IF(A2757="","",MATCH(A2757,Calculation!B$2:B9627,1))</f>
        <v>2</v>
      </c>
      <c r="E2757" s="23">
        <f t="array" ref="E2757">IF(D2757="","",IF(D2757=1,0,INDEX(Calculation!Q$2:Q9627,D2757-1)))</f>
        <v>3232449.315</v>
      </c>
      <c r="F2757" s="23">
        <f t="array" ref="F2757">IF($A2757="","",
  LET(
    r, $D2757,
    startD, INDEX(Calculation!B$2:B9627, r),
    endD,   INDEX(Calculation!C$2:C9627, r),
    asOf,   MIN($A2757,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3999271.233</v>
      </c>
    </row>
    <row r="2758">
      <c r="A2758" s="19">
        <v>44993.0</v>
      </c>
      <c r="B2758" s="23">
        <v>1.0765E7</v>
      </c>
      <c r="C2758" s="23">
        <f t="shared" si="1"/>
        <v>7238798.904</v>
      </c>
      <c r="D2758" s="18">
        <f>IF(A2758="","",MATCH(A2758,Calculation!B$2:B9627,1))</f>
        <v>2</v>
      </c>
      <c r="E2758" s="23">
        <f t="array" ref="E2758">IF(D2758="","",IF(D2758=1,0,INDEX(Calculation!Q$2:Q9627,D2758-1)))</f>
        <v>3232449.315</v>
      </c>
      <c r="F2758" s="23">
        <f t="array" ref="F2758">IF($A2758="","",
  LET(
    r, $D2758,
    startD, INDEX(Calculation!B$2:B9627, r),
    endD,   INDEX(Calculation!C$2:C9627, r),
    asOf,   MIN($A2758,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4006349.589</v>
      </c>
    </row>
    <row r="2759">
      <c r="A2759" s="19">
        <v>44994.0</v>
      </c>
      <c r="B2759" s="23">
        <v>1.0765E7</v>
      </c>
      <c r="C2759" s="23">
        <f t="shared" si="1"/>
        <v>7245877.26</v>
      </c>
      <c r="D2759" s="18">
        <f>IF(A2759="","",MATCH(A2759,Calculation!B$2:B9627,1))</f>
        <v>2</v>
      </c>
      <c r="E2759" s="23">
        <f t="array" ref="E2759">IF(D2759="","",IF(D2759=1,0,INDEX(Calculation!Q$2:Q9627,D2759-1)))</f>
        <v>3232449.315</v>
      </c>
      <c r="F2759" s="23">
        <f t="array" ref="F2759">IF($A2759="","",
  LET(
    r, $D2759,
    startD, INDEX(Calculation!B$2:B9627, r),
    endD,   INDEX(Calculation!C$2:C9627, r),
    asOf,   MIN($A2759,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4013427.945</v>
      </c>
    </row>
    <row r="2760">
      <c r="A2760" s="19">
        <v>44995.0</v>
      </c>
      <c r="B2760" s="23">
        <v>1.0765E7</v>
      </c>
      <c r="C2760" s="23">
        <f t="shared" si="1"/>
        <v>7252955.616</v>
      </c>
      <c r="D2760" s="18">
        <f>IF(A2760="","",MATCH(A2760,Calculation!B$2:B9627,1))</f>
        <v>2</v>
      </c>
      <c r="E2760" s="23">
        <f t="array" ref="E2760">IF(D2760="","",IF(D2760=1,0,INDEX(Calculation!Q$2:Q9627,D2760-1)))</f>
        <v>3232449.315</v>
      </c>
      <c r="F2760" s="23">
        <f t="array" ref="F2760">IF($A2760="","",
  LET(
    r, $D2760,
    startD, INDEX(Calculation!B$2:B9627, r),
    endD,   INDEX(Calculation!C$2:C9627, r),
    asOf,   MIN($A2760,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4020506.301</v>
      </c>
    </row>
    <row r="2761">
      <c r="A2761" s="19">
        <v>44996.0</v>
      </c>
      <c r="B2761" s="23">
        <v>1.0765E7</v>
      </c>
      <c r="C2761" s="23">
        <f t="shared" si="1"/>
        <v>7260033.973</v>
      </c>
      <c r="D2761" s="18">
        <f>IF(A2761="","",MATCH(A2761,Calculation!B$2:B9627,1))</f>
        <v>2</v>
      </c>
      <c r="E2761" s="23">
        <f t="array" ref="E2761">IF(D2761="","",IF(D2761=1,0,INDEX(Calculation!Q$2:Q9627,D2761-1)))</f>
        <v>3232449.315</v>
      </c>
      <c r="F2761" s="23">
        <f t="array" ref="F2761">IF($A2761="","",
  LET(
    r, $D2761,
    startD, INDEX(Calculation!B$2:B9627, r),
    endD,   INDEX(Calculation!C$2:C9627, r),
    asOf,   MIN($A2761,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4027584.658</v>
      </c>
    </row>
    <row r="2762">
      <c r="A2762" s="19">
        <v>44997.0</v>
      </c>
      <c r="B2762" s="23">
        <v>1.0765E7</v>
      </c>
      <c r="C2762" s="23">
        <f t="shared" si="1"/>
        <v>7267112.329</v>
      </c>
      <c r="D2762" s="18">
        <f>IF(A2762="","",MATCH(A2762,Calculation!B$2:B9627,1))</f>
        <v>2</v>
      </c>
      <c r="E2762" s="23">
        <f t="array" ref="E2762">IF(D2762="","",IF(D2762=1,0,INDEX(Calculation!Q$2:Q9627,D2762-1)))</f>
        <v>3232449.315</v>
      </c>
      <c r="F2762" s="23">
        <f t="array" ref="F2762">IF($A2762="","",
  LET(
    r, $D2762,
    startD, INDEX(Calculation!B$2:B9627, r),
    endD,   INDEX(Calculation!C$2:C9627, r),
    asOf,   MIN($A2762,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4034663.014</v>
      </c>
    </row>
    <row r="2763">
      <c r="A2763" s="19">
        <v>44998.0</v>
      </c>
      <c r="B2763" s="23">
        <v>1.0765E7</v>
      </c>
      <c r="C2763" s="23">
        <f t="shared" si="1"/>
        <v>7274190.685</v>
      </c>
      <c r="D2763" s="18">
        <f>IF(A2763="","",MATCH(A2763,Calculation!B$2:B9627,1))</f>
        <v>2</v>
      </c>
      <c r="E2763" s="23">
        <f t="array" ref="E2763">IF(D2763="","",IF(D2763=1,0,INDEX(Calculation!Q$2:Q9627,D2763-1)))</f>
        <v>3232449.315</v>
      </c>
      <c r="F2763" s="23">
        <f t="array" ref="F2763">IF($A2763="","",
  LET(
    r, $D2763,
    startD, INDEX(Calculation!B$2:B9627, r),
    endD,   INDEX(Calculation!C$2:C9627, r),
    asOf,   MIN($A2763,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4041741.37</v>
      </c>
    </row>
    <row r="2764">
      <c r="A2764" s="19">
        <v>44999.0</v>
      </c>
      <c r="B2764" s="23">
        <v>1.0765E7</v>
      </c>
      <c r="C2764" s="23">
        <f t="shared" si="1"/>
        <v>7281269.041</v>
      </c>
      <c r="D2764" s="18">
        <f>IF(A2764="","",MATCH(A2764,Calculation!B$2:B9627,1))</f>
        <v>2</v>
      </c>
      <c r="E2764" s="23">
        <f t="array" ref="E2764">IF(D2764="","",IF(D2764=1,0,INDEX(Calculation!Q$2:Q9627,D2764-1)))</f>
        <v>3232449.315</v>
      </c>
      <c r="F2764" s="23">
        <f t="array" ref="F2764">IF($A2764="","",
  LET(
    r, $D2764,
    startD, INDEX(Calculation!B$2:B9627, r),
    endD,   INDEX(Calculation!C$2:C9627, r),
    asOf,   MIN($A2764,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4048819.726</v>
      </c>
    </row>
    <row r="2765">
      <c r="A2765" s="19">
        <v>45000.0</v>
      </c>
      <c r="B2765" s="23">
        <v>1.0765E7</v>
      </c>
      <c r="C2765" s="23">
        <f t="shared" si="1"/>
        <v>7288347.397</v>
      </c>
      <c r="D2765" s="18">
        <f>IF(A2765="","",MATCH(A2765,Calculation!B$2:B9627,1))</f>
        <v>2</v>
      </c>
      <c r="E2765" s="23">
        <f t="array" ref="E2765">IF(D2765="","",IF(D2765=1,0,INDEX(Calculation!Q$2:Q9627,D2765-1)))</f>
        <v>3232449.315</v>
      </c>
      <c r="F2765" s="23">
        <f t="array" ref="F2765">IF($A2765="","",
  LET(
    r, $D2765,
    startD, INDEX(Calculation!B$2:B9627, r),
    endD,   INDEX(Calculation!C$2:C9627, r),
    asOf,   MIN($A2765,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4055898.082</v>
      </c>
    </row>
    <row r="2766">
      <c r="A2766" s="19">
        <v>45001.0</v>
      </c>
      <c r="B2766" s="23">
        <v>1.0765E7</v>
      </c>
      <c r="C2766" s="23">
        <f t="shared" si="1"/>
        <v>7295425.753</v>
      </c>
      <c r="D2766" s="18">
        <f>IF(A2766="","",MATCH(A2766,Calculation!B$2:B9627,1))</f>
        <v>2</v>
      </c>
      <c r="E2766" s="23">
        <f t="array" ref="E2766">IF(D2766="","",IF(D2766=1,0,INDEX(Calculation!Q$2:Q9627,D2766-1)))</f>
        <v>3232449.315</v>
      </c>
      <c r="F2766" s="23">
        <f t="array" ref="F2766">IF($A2766="","",
  LET(
    r, $D2766,
    startD, INDEX(Calculation!B$2:B9627, r),
    endD,   INDEX(Calculation!C$2:C9627, r),
    asOf,   MIN($A2766,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4062976.438</v>
      </c>
    </row>
    <row r="2767">
      <c r="A2767" s="19">
        <v>45002.0</v>
      </c>
      <c r="B2767" s="23">
        <v>1.0765E7</v>
      </c>
      <c r="C2767" s="23">
        <f t="shared" si="1"/>
        <v>7302504.11</v>
      </c>
      <c r="D2767" s="18">
        <f>IF(A2767="","",MATCH(A2767,Calculation!B$2:B9627,1))</f>
        <v>2</v>
      </c>
      <c r="E2767" s="23">
        <f t="array" ref="E2767">IF(D2767="","",IF(D2767=1,0,INDEX(Calculation!Q$2:Q9627,D2767-1)))</f>
        <v>3232449.315</v>
      </c>
      <c r="F2767" s="23">
        <f t="array" ref="F2767">IF($A2767="","",
  LET(
    r, $D2767,
    startD, INDEX(Calculation!B$2:B9627, r),
    endD,   INDEX(Calculation!C$2:C9627, r),
    asOf,   MIN($A2767,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4070054.795</v>
      </c>
    </row>
    <row r="2768">
      <c r="A2768" s="19">
        <v>45003.0</v>
      </c>
      <c r="B2768" s="23">
        <v>1.0765E7</v>
      </c>
      <c r="C2768" s="23">
        <f t="shared" si="1"/>
        <v>7309582.466</v>
      </c>
      <c r="D2768" s="18">
        <f>IF(A2768="","",MATCH(A2768,Calculation!B$2:B9627,1))</f>
        <v>2</v>
      </c>
      <c r="E2768" s="23">
        <f t="array" ref="E2768">IF(D2768="","",IF(D2768=1,0,INDEX(Calculation!Q$2:Q9627,D2768-1)))</f>
        <v>3232449.315</v>
      </c>
      <c r="F2768" s="23">
        <f t="array" ref="F2768">IF($A2768="","",
  LET(
    r, $D2768,
    startD, INDEX(Calculation!B$2:B9627, r),
    endD,   INDEX(Calculation!C$2:C9627, r),
    asOf,   MIN($A2768,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4077133.151</v>
      </c>
    </row>
    <row r="2769">
      <c r="A2769" s="19">
        <v>45004.0</v>
      </c>
      <c r="B2769" s="23">
        <v>1.0765E7</v>
      </c>
      <c r="C2769" s="23">
        <f t="shared" si="1"/>
        <v>7316660.822</v>
      </c>
      <c r="D2769" s="18">
        <f>IF(A2769="","",MATCH(A2769,Calculation!B$2:B9627,1))</f>
        <v>2</v>
      </c>
      <c r="E2769" s="23">
        <f t="array" ref="E2769">IF(D2769="","",IF(D2769=1,0,INDEX(Calculation!Q$2:Q9627,D2769-1)))</f>
        <v>3232449.315</v>
      </c>
      <c r="F2769" s="23">
        <f t="array" ref="F2769">IF($A2769="","",
  LET(
    r, $D2769,
    startD, INDEX(Calculation!B$2:B9627, r),
    endD,   INDEX(Calculation!C$2:C9627, r),
    asOf,   MIN($A2769,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4084211.507</v>
      </c>
    </row>
    <row r="2770">
      <c r="A2770" s="19">
        <v>45005.0</v>
      </c>
      <c r="B2770" s="23">
        <v>1.0765E7</v>
      </c>
      <c r="C2770" s="23">
        <f t="shared" si="1"/>
        <v>7323739.178</v>
      </c>
      <c r="D2770" s="18">
        <f>IF(A2770="","",MATCH(A2770,Calculation!B$2:B9627,1))</f>
        <v>2</v>
      </c>
      <c r="E2770" s="23">
        <f t="array" ref="E2770">IF(D2770="","",IF(D2770=1,0,INDEX(Calculation!Q$2:Q9627,D2770-1)))</f>
        <v>3232449.315</v>
      </c>
      <c r="F2770" s="23">
        <f t="array" ref="F2770">IF($A2770="","",
  LET(
    r, $D2770,
    startD, INDEX(Calculation!B$2:B9627, r),
    endD,   INDEX(Calculation!C$2:C9627, r),
    asOf,   MIN($A2770,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4091289.863</v>
      </c>
    </row>
    <row r="2771">
      <c r="A2771" s="19">
        <v>45006.0</v>
      </c>
      <c r="B2771" s="23">
        <v>1.0765E7</v>
      </c>
      <c r="C2771" s="23">
        <f t="shared" si="1"/>
        <v>7330817.534</v>
      </c>
      <c r="D2771" s="18">
        <f>IF(A2771="","",MATCH(A2771,Calculation!B$2:B9627,1))</f>
        <v>2</v>
      </c>
      <c r="E2771" s="23">
        <f t="array" ref="E2771">IF(D2771="","",IF(D2771=1,0,INDEX(Calculation!Q$2:Q9627,D2771-1)))</f>
        <v>3232449.315</v>
      </c>
      <c r="F2771" s="23">
        <f t="array" ref="F2771">IF($A2771="","",
  LET(
    r, $D2771,
    startD, INDEX(Calculation!B$2:B9627, r),
    endD,   INDEX(Calculation!C$2:C9627, r),
    asOf,   MIN($A2771,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4098368.219</v>
      </c>
    </row>
    <row r="2772">
      <c r="A2772" s="19">
        <v>45007.0</v>
      </c>
      <c r="B2772" s="23">
        <v>1.0765E7</v>
      </c>
      <c r="C2772" s="23">
        <f t="shared" si="1"/>
        <v>7337895.89</v>
      </c>
      <c r="D2772" s="18">
        <f>IF(A2772="","",MATCH(A2772,Calculation!B$2:B9627,1))</f>
        <v>2</v>
      </c>
      <c r="E2772" s="23">
        <f t="array" ref="E2772">IF(D2772="","",IF(D2772=1,0,INDEX(Calculation!Q$2:Q9627,D2772-1)))</f>
        <v>3232449.315</v>
      </c>
      <c r="F2772" s="23">
        <f t="array" ref="F2772">IF($A2772="","",
  LET(
    r, $D2772,
    startD, INDEX(Calculation!B$2:B9627, r),
    endD,   INDEX(Calculation!C$2:C9627, r),
    asOf,   MIN($A2772,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4105446.575</v>
      </c>
    </row>
    <row r="2773">
      <c r="A2773" s="19">
        <v>45008.0</v>
      </c>
      <c r="B2773" s="23">
        <v>1.0765E7</v>
      </c>
      <c r="C2773" s="23">
        <f t="shared" si="1"/>
        <v>7344974.247</v>
      </c>
      <c r="D2773" s="18">
        <f>IF(A2773="","",MATCH(A2773,Calculation!B$2:B9627,1))</f>
        <v>2</v>
      </c>
      <c r="E2773" s="23">
        <f t="array" ref="E2773">IF(D2773="","",IF(D2773=1,0,INDEX(Calculation!Q$2:Q9627,D2773-1)))</f>
        <v>3232449.315</v>
      </c>
      <c r="F2773" s="23">
        <f t="array" ref="F2773">IF($A2773="","",
  LET(
    r, $D2773,
    startD, INDEX(Calculation!B$2:B9627, r),
    endD,   INDEX(Calculation!C$2:C9627, r),
    asOf,   MIN($A2773,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4112524.932</v>
      </c>
    </row>
    <row r="2774">
      <c r="A2774" s="19">
        <v>45009.0</v>
      </c>
      <c r="B2774" s="23">
        <v>1.0765E7</v>
      </c>
      <c r="C2774" s="23">
        <f t="shared" si="1"/>
        <v>7352052.603</v>
      </c>
      <c r="D2774" s="18">
        <f>IF(A2774="","",MATCH(A2774,Calculation!B$2:B9627,1))</f>
        <v>2</v>
      </c>
      <c r="E2774" s="23">
        <f t="array" ref="E2774">IF(D2774="","",IF(D2774=1,0,INDEX(Calculation!Q$2:Q9627,D2774-1)))</f>
        <v>3232449.315</v>
      </c>
      <c r="F2774" s="23">
        <f t="array" ref="F2774">IF($A2774="","",
  LET(
    r, $D2774,
    startD, INDEX(Calculation!B$2:B9627, r),
    endD,   INDEX(Calculation!C$2:C9627, r),
    asOf,   MIN($A2774,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4119603.288</v>
      </c>
    </row>
    <row r="2775">
      <c r="A2775" s="19">
        <v>45010.0</v>
      </c>
      <c r="B2775" s="23">
        <v>1.0765E7</v>
      </c>
      <c r="C2775" s="23">
        <f t="shared" si="1"/>
        <v>7359130.959</v>
      </c>
      <c r="D2775" s="18">
        <f>IF(A2775="","",MATCH(A2775,Calculation!B$2:B9627,1))</f>
        <v>2</v>
      </c>
      <c r="E2775" s="23">
        <f t="array" ref="E2775">IF(D2775="","",IF(D2775=1,0,INDEX(Calculation!Q$2:Q9627,D2775-1)))</f>
        <v>3232449.315</v>
      </c>
      <c r="F2775" s="23">
        <f t="array" ref="F2775">IF($A2775="","",
  LET(
    r, $D2775,
    startD, INDEX(Calculation!B$2:B9627, r),
    endD,   INDEX(Calculation!C$2:C9627, r),
    asOf,   MIN($A2775,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4126681.644</v>
      </c>
    </row>
    <row r="2776">
      <c r="A2776" s="19">
        <v>45011.0</v>
      </c>
      <c r="B2776" s="23">
        <v>1.0765E7</v>
      </c>
      <c r="C2776" s="23">
        <f t="shared" si="1"/>
        <v>7366209.315</v>
      </c>
      <c r="D2776" s="18">
        <f>IF(A2776="","",MATCH(A2776,Calculation!B$2:B9627,1))</f>
        <v>2</v>
      </c>
      <c r="E2776" s="23">
        <f t="array" ref="E2776">IF(D2776="","",IF(D2776=1,0,INDEX(Calculation!Q$2:Q9627,D2776-1)))</f>
        <v>3232449.315</v>
      </c>
      <c r="F2776" s="23">
        <f t="array" ref="F2776">IF($A2776="","",
  LET(
    r, $D2776,
    startD, INDEX(Calculation!B$2:B9627, r),
    endD,   INDEX(Calculation!C$2:C9627, r),
    asOf,   MIN($A2776,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4133760</v>
      </c>
    </row>
    <row r="2777">
      <c r="A2777" s="19">
        <v>45012.0</v>
      </c>
      <c r="B2777" s="23">
        <v>1.0765E7</v>
      </c>
      <c r="C2777" s="23">
        <f t="shared" si="1"/>
        <v>7373287.671</v>
      </c>
      <c r="D2777" s="18">
        <f>IF(A2777="","",MATCH(A2777,Calculation!B$2:B9627,1))</f>
        <v>2</v>
      </c>
      <c r="E2777" s="23">
        <f t="array" ref="E2777">IF(D2777="","",IF(D2777=1,0,INDEX(Calculation!Q$2:Q9627,D2777-1)))</f>
        <v>3232449.315</v>
      </c>
      <c r="F2777" s="23">
        <f t="array" ref="F2777">IF($A2777="","",
  LET(
    r, $D2777,
    startD, INDEX(Calculation!B$2:B9627, r),
    endD,   INDEX(Calculation!C$2:C9627, r),
    asOf,   MIN($A2777,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4140838.356</v>
      </c>
    </row>
    <row r="2778">
      <c r="A2778" s="19">
        <v>45013.0</v>
      </c>
      <c r="B2778" s="23">
        <v>1.0765E7</v>
      </c>
      <c r="C2778" s="23">
        <f t="shared" si="1"/>
        <v>7380366.027</v>
      </c>
      <c r="D2778" s="18">
        <f>IF(A2778="","",MATCH(A2778,Calculation!B$2:B9627,1))</f>
        <v>2</v>
      </c>
      <c r="E2778" s="23">
        <f t="array" ref="E2778">IF(D2778="","",IF(D2778=1,0,INDEX(Calculation!Q$2:Q9627,D2778-1)))</f>
        <v>3232449.315</v>
      </c>
      <c r="F2778" s="23">
        <f t="array" ref="F2778">IF($A2778="","",
  LET(
    r, $D2778,
    startD, INDEX(Calculation!B$2:B9627, r),
    endD,   INDEX(Calculation!C$2:C9627, r),
    asOf,   MIN($A2778,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4147916.712</v>
      </c>
    </row>
    <row r="2779">
      <c r="A2779" s="19">
        <v>45014.0</v>
      </c>
      <c r="B2779" s="23">
        <v>1.0765E7</v>
      </c>
      <c r="C2779" s="23">
        <f t="shared" si="1"/>
        <v>7387444.384</v>
      </c>
      <c r="D2779" s="18">
        <f>IF(A2779="","",MATCH(A2779,Calculation!B$2:B9627,1))</f>
        <v>2</v>
      </c>
      <c r="E2779" s="23">
        <f t="array" ref="E2779">IF(D2779="","",IF(D2779=1,0,INDEX(Calculation!Q$2:Q9627,D2779-1)))</f>
        <v>3232449.315</v>
      </c>
      <c r="F2779" s="23">
        <f t="array" ref="F2779">IF($A2779="","",
  LET(
    r, $D2779,
    startD, INDEX(Calculation!B$2:B9627, r),
    endD,   INDEX(Calculation!C$2:C9627, r),
    asOf,   MIN($A2779,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4154995.068</v>
      </c>
    </row>
    <row r="2780">
      <c r="A2780" s="19">
        <v>45015.0</v>
      </c>
      <c r="B2780" s="23">
        <v>1.0765E7</v>
      </c>
      <c r="C2780" s="23">
        <f t="shared" si="1"/>
        <v>7394522.74</v>
      </c>
      <c r="D2780" s="18">
        <f>IF(A2780="","",MATCH(A2780,Calculation!B$2:B9627,1))</f>
        <v>2</v>
      </c>
      <c r="E2780" s="23">
        <f t="array" ref="E2780">IF(D2780="","",IF(D2780=1,0,INDEX(Calculation!Q$2:Q9627,D2780-1)))</f>
        <v>3232449.315</v>
      </c>
      <c r="F2780" s="23">
        <f t="array" ref="F2780">IF($A2780="","",
  LET(
    r, $D2780,
    startD, INDEX(Calculation!B$2:B9627, r),
    endD,   INDEX(Calculation!C$2:C9627, r),
    asOf,   MIN($A2780,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4162073.425</v>
      </c>
    </row>
    <row r="2781">
      <c r="A2781" s="19">
        <v>45016.0</v>
      </c>
      <c r="B2781" s="23">
        <v>1.0765E7</v>
      </c>
      <c r="C2781" s="23">
        <f t="shared" si="1"/>
        <v>7401601.096</v>
      </c>
      <c r="D2781" s="18">
        <f>IF(A2781="","",MATCH(A2781,Calculation!B$2:B9627,1))</f>
        <v>2</v>
      </c>
      <c r="E2781" s="23">
        <f t="array" ref="E2781">IF(D2781="","",IF(D2781=1,0,INDEX(Calculation!Q$2:Q9627,D2781-1)))</f>
        <v>3232449.315</v>
      </c>
      <c r="F2781" s="23">
        <f t="array" ref="F2781">IF($A2781="","",
  LET(
    r, $D2781,
    startD, INDEX(Calculation!B$2:B9627, r),
    endD,   INDEX(Calculation!C$2:C9627, r),
    asOf,   MIN($A2781,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4169151.781</v>
      </c>
    </row>
    <row r="2782">
      <c r="A2782" s="19">
        <v>45017.0</v>
      </c>
      <c r="B2782" s="23">
        <v>1.0765E7</v>
      </c>
      <c r="C2782" s="23">
        <f t="shared" si="1"/>
        <v>7408679.452</v>
      </c>
      <c r="D2782" s="18">
        <f>IF(A2782="","",MATCH(A2782,Calculation!B$2:B9627,1))</f>
        <v>2</v>
      </c>
      <c r="E2782" s="23">
        <f t="array" ref="E2782">IF(D2782="","",IF(D2782=1,0,INDEX(Calculation!Q$2:Q9627,D2782-1)))</f>
        <v>3232449.315</v>
      </c>
      <c r="F2782" s="23">
        <f t="array" ref="F2782">IF($A2782="","",
  LET(
    r, $D2782,
    startD, INDEX(Calculation!B$2:B9627, r),
    endD,   INDEX(Calculation!C$2:C9627, r),
    asOf,   MIN($A2782,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4176230.137</v>
      </c>
    </row>
    <row r="2783">
      <c r="A2783" s="19">
        <v>45018.0</v>
      </c>
      <c r="B2783" s="23">
        <v>1.0765E7</v>
      </c>
      <c r="C2783" s="23">
        <f t="shared" si="1"/>
        <v>7415757.808</v>
      </c>
      <c r="D2783" s="18">
        <f>IF(A2783="","",MATCH(A2783,Calculation!B$2:B9627,1))</f>
        <v>2</v>
      </c>
      <c r="E2783" s="23">
        <f t="array" ref="E2783">IF(D2783="","",IF(D2783=1,0,INDEX(Calculation!Q$2:Q9627,D2783-1)))</f>
        <v>3232449.315</v>
      </c>
      <c r="F2783" s="23">
        <f t="array" ref="F2783">IF($A2783="","",
  LET(
    r, $D2783,
    startD, INDEX(Calculation!B$2:B9627, r),
    endD,   INDEX(Calculation!C$2:C9627, r),
    asOf,   MIN($A2783,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4183308.493</v>
      </c>
    </row>
    <row r="2784">
      <c r="A2784" s="19">
        <v>45019.0</v>
      </c>
      <c r="B2784" s="23">
        <v>1.0765E7</v>
      </c>
      <c r="C2784" s="23">
        <f t="shared" si="1"/>
        <v>7422836.164</v>
      </c>
      <c r="D2784" s="18">
        <f>IF(A2784="","",MATCH(A2784,Calculation!B$2:B9627,1))</f>
        <v>2</v>
      </c>
      <c r="E2784" s="23">
        <f t="array" ref="E2784">IF(D2784="","",IF(D2784=1,0,INDEX(Calculation!Q$2:Q9627,D2784-1)))</f>
        <v>3232449.315</v>
      </c>
      <c r="F2784" s="23">
        <f t="array" ref="F2784">IF($A2784="","",
  LET(
    r, $D2784,
    startD, INDEX(Calculation!B$2:B9627, r),
    endD,   INDEX(Calculation!C$2:C9627, r),
    asOf,   MIN($A2784,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4190386.849</v>
      </c>
    </row>
    <row r="2785">
      <c r="A2785" s="19">
        <v>45020.0</v>
      </c>
      <c r="B2785" s="23">
        <v>1.0765E7</v>
      </c>
      <c r="C2785" s="23">
        <f t="shared" si="1"/>
        <v>7429914.521</v>
      </c>
      <c r="D2785" s="18">
        <f>IF(A2785="","",MATCH(A2785,Calculation!B$2:B9627,1))</f>
        <v>2</v>
      </c>
      <c r="E2785" s="23">
        <f t="array" ref="E2785">IF(D2785="","",IF(D2785=1,0,INDEX(Calculation!Q$2:Q9627,D2785-1)))</f>
        <v>3232449.315</v>
      </c>
      <c r="F2785" s="23">
        <f t="array" ref="F2785">IF($A2785="","",
  LET(
    r, $D2785,
    startD, INDEX(Calculation!B$2:B9627, r),
    endD,   INDEX(Calculation!C$2:C9627, r),
    asOf,   MIN($A2785,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4197465.205</v>
      </c>
    </row>
    <row r="2786">
      <c r="A2786" s="19">
        <v>45021.0</v>
      </c>
      <c r="B2786" s="23">
        <v>1.0765E7</v>
      </c>
      <c r="C2786" s="23">
        <f t="shared" si="1"/>
        <v>7436992.877</v>
      </c>
      <c r="D2786" s="18">
        <f>IF(A2786="","",MATCH(A2786,Calculation!B$2:B9627,1))</f>
        <v>2</v>
      </c>
      <c r="E2786" s="23">
        <f t="array" ref="E2786">IF(D2786="","",IF(D2786=1,0,INDEX(Calculation!Q$2:Q9627,D2786-1)))</f>
        <v>3232449.315</v>
      </c>
      <c r="F2786" s="23">
        <f t="array" ref="F2786">IF($A2786="","",
  LET(
    r, $D2786,
    startD, INDEX(Calculation!B$2:B9627, r),
    endD,   INDEX(Calculation!C$2:C9627, r),
    asOf,   MIN($A2786,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4204543.562</v>
      </c>
    </row>
    <row r="2787">
      <c r="A2787" s="19">
        <v>45022.0</v>
      </c>
      <c r="B2787" s="23">
        <v>1.0765E7</v>
      </c>
      <c r="C2787" s="23">
        <f t="shared" si="1"/>
        <v>7444071.233</v>
      </c>
      <c r="D2787" s="18">
        <f>IF(A2787="","",MATCH(A2787,Calculation!B$2:B9627,1))</f>
        <v>2</v>
      </c>
      <c r="E2787" s="23">
        <f t="array" ref="E2787">IF(D2787="","",IF(D2787=1,0,INDEX(Calculation!Q$2:Q9627,D2787-1)))</f>
        <v>3232449.315</v>
      </c>
      <c r="F2787" s="23">
        <f t="array" ref="F2787">IF($A2787="","",
  LET(
    r, $D2787,
    startD, INDEX(Calculation!B$2:B9627, r),
    endD,   INDEX(Calculation!C$2:C9627, r),
    asOf,   MIN($A2787,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4211621.918</v>
      </c>
    </row>
    <row r="2788">
      <c r="A2788" s="19">
        <v>45023.0</v>
      </c>
      <c r="B2788" s="23">
        <v>1.0765E7</v>
      </c>
      <c r="C2788" s="23">
        <f t="shared" si="1"/>
        <v>7451149.589</v>
      </c>
      <c r="D2788" s="18">
        <f>IF(A2788="","",MATCH(A2788,Calculation!B$2:B9627,1))</f>
        <v>2</v>
      </c>
      <c r="E2788" s="23">
        <f t="array" ref="E2788">IF(D2788="","",IF(D2788=1,0,INDEX(Calculation!Q$2:Q9627,D2788-1)))</f>
        <v>3232449.315</v>
      </c>
      <c r="F2788" s="23">
        <f t="array" ref="F2788">IF($A2788="","",
  LET(
    r, $D2788,
    startD, INDEX(Calculation!B$2:B9627, r),
    endD,   INDEX(Calculation!C$2:C9627, r),
    asOf,   MIN($A2788,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4218700.274</v>
      </c>
    </row>
    <row r="2789">
      <c r="A2789" s="19">
        <v>45024.0</v>
      </c>
      <c r="B2789" s="23">
        <v>1.0765E7</v>
      </c>
      <c r="C2789" s="23">
        <f t="shared" si="1"/>
        <v>7458227.945</v>
      </c>
      <c r="D2789" s="18">
        <f>IF(A2789="","",MATCH(A2789,Calculation!B$2:B9627,1))</f>
        <v>2</v>
      </c>
      <c r="E2789" s="23">
        <f t="array" ref="E2789">IF(D2789="","",IF(D2789=1,0,INDEX(Calculation!Q$2:Q9627,D2789-1)))</f>
        <v>3232449.315</v>
      </c>
      <c r="F2789" s="23">
        <f t="array" ref="F2789">IF($A2789="","",
  LET(
    r, $D2789,
    startD, INDEX(Calculation!B$2:B9627, r),
    endD,   INDEX(Calculation!C$2:C9627, r),
    asOf,   MIN($A2789,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4225778.63</v>
      </c>
    </row>
    <row r="2790">
      <c r="A2790" s="19">
        <v>45025.0</v>
      </c>
      <c r="B2790" s="23">
        <v>1.0765E7</v>
      </c>
      <c r="C2790" s="23">
        <f t="shared" si="1"/>
        <v>7465306.301</v>
      </c>
      <c r="D2790" s="18">
        <f>IF(A2790="","",MATCH(A2790,Calculation!B$2:B9627,1))</f>
        <v>2</v>
      </c>
      <c r="E2790" s="23">
        <f t="array" ref="E2790">IF(D2790="","",IF(D2790=1,0,INDEX(Calculation!Q$2:Q9627,D2790-1)))</f>
        <v>3232449.315</v>
      </c>
      <c r="F2790" s="23">
        <f t="array" ref="F2790">IF($A2790="","",
  LET(
    r, $D2790,
    startD, INDEX(Calculation!B$2:B9627, r),
    endD,   INDEX(Calculation!C$2:C9627, r),
    asOf,   MIN($A2790,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4232856.986</v>
      </c>
    </row>
    <row r="2791">
      <c r="A2791" s="19">
        <v>45026.0</v>
      </c>
      <c r="B2791" s="23">
        <v>1.0765E7</v>
      </c>
      <c r="C2791" s="23">
        <f t="shared" si="1"/>
        <v>7472384.658</v>
      </c>
      <c r="D2791" s="18">
        <f>IF(A2791="","",MATCH(A2791,Calculation!B$2:B9627,1))</f>
        <v>2</v>
      </c>
      <c r="E2791" s="23">
        <f t="array" ref="E2791">IF(D2791="","",IF(D2791=1,0,INDEX(Calculation!Q$2:Q9627,D2791-1)))</f>
        <v>3232449.315</v>
      </c>
      <c r="F2791" s="23">
        <f t="array" ref="F2791">IF($A2791="","",
  LET(
    r, $D2791,
    startD, INDEX(Calculation!B$2:B9627, r),
    endD,   INDEX(Calculation!C$2:C9627, r),
    asOf,   MIN($A2791,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4239935.342</v>
      </c>
    </row>
    <row r="2792">
      <c r="A2792" s="19">
        <v>45027.0</v>
      </c>
      <c r="B2792" s="23">
        <v>1.0765E7</v>
      </c>
      <c r="C2792" s="23">
        <f t="shared" si="1"/>
        <v>7479463.014</v>
      </c>
      <c r="D2792" s="18">
        <f>IF(A2792="","",MATCH(A2792,Calculation!B$2:B9627,1))</f>
        <v>2</v>
      </c>
      <c r="E2792" s="23">
        <f t="array" ref="E2792">IF(D2792="","",IF(D2792=1,0,INDEX(Calculation!Q$2:Q9627,D2792-1)))</f>
        <v>3232449.315</v>
      </c>
      <c r="F2792" s="23">
        <f t="array" ref="F2792">IF($A2792="","",
  LET(
    r, $D2792,
    startD, INDEX(Calculation!B$2:B9627, r),
    endD,   INDEX(Calculation!C$2:C9627, r),
    asOf,   MIN($A2792,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4247013.699</v>
      </c>
    </row>
    <row r="2793">
      <c r="A2793" s="19">
        <v>45028.0</v>
      </c>
      <c r="B2793" s="23">
        <v>1.0765E7</v>
      </c>
      <c r="C2793" s="23">
        <f t="shared" si="1"/>
        <v>7486541.37</v>
      </c>
      <c r="D2793" s="18">
        <f>IF(A2793="","",MATCH(A2793,Calculation!B$2:B9627,1))</f>
        <v>2</v>
      </c>
      <c r="E2793" s="23">
        <f t="array" ref="E2793">IF(D2793="","",IF(D2793=1,0,INDEX(Calculation!Q$2:Q9627,D2793-1)))</f>
        <v>3232449.315</v>
      </c>
      <c r="F2793" s="23">
        <f t="array" ref="F2793">IF($A2793="","",
  LET(
    r, $D2793,
    startD, INDEX(Calculation!B$2:B9627, r),
    endD,   INDEX(Calculation!C$2:C9627, r),
    asOf,   MIN($A2793,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4254092.055</v>
      </c>
    </row>
    <row r="2794">
      <c r="A2794" s="19">
        <v>45029.0</v>
      </c>
      <c r="B2794" s="23">
        <v>1.0765E7</v>
      </c>
      <c r="C2794" s="23">
        <f t="shared" si="1"/>
        <v>7493619.726</v>
      </c>
      <c r="D2794" s="18">
        <f>IF(A2794="","",MATCH(A2794,Calculation!B$2:B9627,1))</f>
        <v>2</v>
      </c>
      <c r="E2794" s="23">
        <f t="array" ref="E2794">IF(D2794="","",IF(D2794=1,0,INDEX(Calculation!Q$2:Q9627,D2794-1)))</f>
        <v>3232449.315</v>
      </c>
      <c r="F2794" s="23">
        <f t="array" ref="F2794">IF($A2794="","",
  LET(
    r, $D2794,
    startD, INDEX(Calculation!B$2:B9627, r),
    endD,   INDEX(Calculation!C$2:C9627, r),
    asOf,   MIN($A2794,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4261170.411</v>
      </c>
    </row>
    <row r="2795">
      <c r="A2795" s="19">
        <v>45030.0</v>
      </c>
      <c r="B2795" s="23">
        <v>1.0765E7</v>
      </c>
      <c r="C2795" s="23">
        <f t="shared" si="1"/>
        <v>7500698.082</v>
      </c>
      <c r="D2795" s="18">
        <f>IF(A2795="","",MATCH(A2795,Calculation!B$2:B9627,1))</f>
        <v>2</v>
      </c>
      <c r="E2795" s="23">
        <f t="array" ref="E2795">IF(D2795="","",IF(D2795=1,0,INDEX(Calculation!Q$2:Q9627,D2795-1)))</f>
        <v>3232449.315</v>
      </c>
      <c r="F2795" s="23">
        <f t="array" ref="F2795">IF($A2795="","",
  LET(
    r, $D2795,
    startD, INDEX(Calculation!B$2:B9627, r),
    endD,   INDEX(Calculation!C$2:C9627, r),
    asOf,   MIN($A2795,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4268248.767</v>
      </c>
    </row>
    <row r="2796">
      <c r="A2796" s="19">
        <v>45031.0</v>
      </c>
      <c r="B2796" s="23">
        <v>1.0765E7</v>
      </c>
      <c r="C2796" s="23">
        <f t="shared" si="1"/>
        <v>7507776.438</v>
      </c>
      <c r="D2796" s="18">
        <f>IF(A2796="","",MATCH(A2796,Calculation!B$2:B9627,1))</f>
        <v>2</v>
      </c>
      <c r="E2796" s="23">
        <f t="array" ref="E2796">IF(D2796="","",IF(D2796=1,0,INDEX(Calculation!Q$2:Q9627,D2796-1)))</f>
        <v>3232449.315</v>
      </c>
      <c r="F2796" s="23">
        <f t="array" ref="F2796">IF($A2796="","",
  LET(
    r, $D2796,
    startD, INDEX(Calculation!B$2:B9627, r),
    endD,   INDEX(Calculation!C$2:C9627, r),
    asOf,   MIN($A2796,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4275327.123</v>
      </c>
    </row>
    <row r="2797">
      <c r="A2797" s="19">
        <v>45032.0</v>
      </c>
      <c r="B2797" s="23">
        <v>1.0765E7</v>
      </c>
      <c r="C2797" s="23">
        <f t="shared" si="1"/>
        <v>7514854.795</v>
      </c>
      <c r="D2797" s="18">
        <f>IF(A2797="","",MATCH(A2797,Calculation!B$2:B9627,1))</f>
        <v>2</v>
      </c>
      <c r="E2797" s="23">
        <f t="array" ref="E2797">IF(D2797="","",IF(D2797=1,0,INDEX(Calculation!Q$2:Q9627,D2797-1)))</f>
        <v>3232449.315</v>
      </c>
      <c r="F2797" s="23">
        <f t="array" ref="F2797">IF($A2797="","",
  LET(
    r, $D2797,
    startD, INDEX(Calculation!B$2:B9627, r),
    endD,   INDEX(Calculation!C$2:C9627, r),
    asOf,   MIN($A2797,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4282405.479</v>
      </c>
    </row>
    <row r="2798">
      <c r="A2798" s="19">
        <v>45033.0</v>
      </c>
      <c r="B2798" s="23">
        <v>1.0765E7</v>
      </c>
      <c r="C2798" s="23">
        <f t="shared" si="1"/>
        <v>7521933.151</v>
      </c>
      <c r="D2798" s="18">
        <f>IF(A2798="","",MATCH(A2798,Calculation!B$2:B9627,1))</f>
        <v>2</v>
      </c>
      <c r="E2798" s="23">
        <f t="array" ref="E2798">IF(D2798="","",IF(D2798=1,0,INDEX(Calculation!Q$2:Q9627,D2798-1)))</f>
        <v>3232449.315</v>
      </c>
      <c r="F2798" s="23">
        <f t="array" ref="F2798">IF($A2798="","",
  LET(
    r, $D2798,
    startD, INDEX(Calculation!B$2:B9627, r),
    endD,   INDEX(Calculation!C$2:C9627, r),
    asOf,   MIN($A2798,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4289483.836</v>
      </c>
    </row>
    <row r="2799">
      <c r="A2799" s="19">
        <v>45034.0</v>
      </c>
      <c r="B2799" s="23">
        <v>1.0765E7</v>
      </c>
      <c r="C2799" s="23">
        <f t="shared" si="1"/>
        <v>7529011.507</v>
      </c>
      <c r="D2799" s="18">
        <f>IF(A2799="","",MATCH(A2799,Calculation!B$2:B9627,1))</f>
        <v>2</v>
      </c>
      <c r="E2799" s="23">
        <f t="array" ref="E2799">IF(D2799="","",IF(D2799=1,0,INDEX(Calculation!Q$2:Q9627,D2799-1)))</f>
        <v>3232449.315</v>
      </c>
      <c r="F2799" s="23">
        <f t="array" ref="F2799">IF($A2799="","",
  LET(
    r, $D2799,
    startD, INDEX(Calculation!B$2:B9627, r),
    endD,   INDEX(Calculation!C$2:C9627, r),
    asOf,   MIN($A2799,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4296562.192</v>
      </c>
    </row>
    <row r="2800">
      <c r="A2800" s="19">
        <v>45035.0</v>
      </c>
      <c r="B2800" s="23">
        <v>1.0765E7</v>
      </c>
      <c r="C2800" s="23">
        <f t="shared" si="1"/>
        <v>7536089.863</v>
      </c>
      <c r="D2800" s="18">
        <f>IF(A2800="","",MATCH(A2800,Calculation!B$2:B9627,1))</f>
        <v>2</v>
      </c>
      <c r="E2800" s="23">
        <f t="array" ref="E2800">IF(D2800="","",IF(D2800=1,0,INDEX(Calculation!Q$2:Q9627,D2800-1)))</f>
        <v>3232449.315</v>
      </c>
      <c r="F2800" s="23">
        <f t="array" ref="F2800">IF($A2800="","",
  LET(
    r, $D2800,
    startD, INDEX(Calculation!B$2:B9627, r),
    endD,   INDEX(Calculation!C$2:C9627, r),
    asOf,   MIN($A2800,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4303640.548</v>
      </c>
    </row>
    <row r="2801">
      <c r="A2801" s="19">
        <v>45036.0</v>
      </c>
      <c r="B2801" s="23">
        <v>1.0765E7</v>
      </c>
      <c r="C2801" s="23">
        <f t="shared" si="1"/>
        <v>7543168.219</v>
      </c>
      <c r="D2801" s="18">
        <f>IF(A2801="","",MATCH(A2801,Calculation!B$2:B9627,1))</f>
        <v>2</v>
      </c>
      <c r="E2801" s="23">
        <f t="array" ref="E2801">IF(D2801="","",IF(D2801=1,0,INDEX(Calculation!Q$2:Q9627,D2801-1)))</f>
        <v>3232449.315</v>
      </c>
      <c r="F2801" s="23">
        <f t="array" ref="F2801">IF($A2801="","",
  LET(
    r, $D2801,
    startD, INDEX(Calculation!B$2:B9627, r),
    endD,   INDEX(Calculation!C$2:C9627, r),
    asOf,   MIN($A2801,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4310718.904</v>
      </c>
    </row>
    <row r="2802">
      <c r="A2802" s="19">
        <v>45037.0</v>
      </c>
      <c r="B2802" s="23">
        <v>1.0765E7</v>
      </c>
      <c r="C2802" s="23">
        <f t="shared" si="1"/>
        <v>7550246.575</v>
      </c>
      <c r="D2802" s="18">
        <f>IF(A2802="","",MATCH(A2802,Calculation!B$2:B9627,1))</f>
        <v>2</v>
      </c>
      <c r="E2802" s="23">
        <f t="array" ref="E2802">IF(D2802="","",IF(D2802=1,0,INDEX(Calculation!Q$2:Q9627,D2802-1)))</f>
        <v>3232449.315</v>
      </c>
      <c r="F2802" s="23">
        <f t="array" ref="F2802">IF($A2802="","",
  LET(
    r, $D2802,
    startD, INDEX(Calculation!B$2:B9627, r),
    endD,   INDEX(Calculation!C$2:C9627, r),
    asOf,   MIN($A2802,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4317797.26</v>
      </c>
    </row>
    <row r="2803">
      <c r="A2803" s="19">
        <v>45038.0</v>
      </c>
      <c r="B2803" s="23">
        <v>1.0765E7</v>
      </c>
      <c r="C2803" s="23">
        <f t="shared" si="1"/>
        <v>7557324.932</v>
      </c>
      <c r="D2803" s="18">
        <f>IF(A2803="","",MATCH(A2803,Calculation!B$2:B9627,1))</f>
        <v>2</v>
      </c>
      <c r="E2803" s="23">
        <f t="array" ref="E2803">IF(D2803="","",IF(D2803=1,0,INDEX(Calculation!Q$2:Q9627,D2803-1)))</f>
        <v>3232449.315</v>
      </c>
      <c r="F2803" s="23">
        <f t="array" ref="F2803">IF($A2803="","",
  LET(
    r, $D2803,
    startD, INDEX(Calculation!B$2:B9627, r),
    endD,   INDEX(Calculation!C$2:C9627, r),
    asOf,   MIN($A2803,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4324875.616</v>
      </c>
    </row>
    <row r="2804">
      <c r="A2804" s="19">
        <v>45039.0</v>
      </c>
      <c r="B2804" s="23">
        <v>1.0765E7</v>
      </c>
      <c r="C2804" s="23">
        <f t="shared" si="1"/>
        <v>7564403.288</v>
      </c>
      <c r="D2804" s="18">
        <f>IF(A2804="","",MATCH(A2804,Calculation!B$2:B9627,1))</f>
        <v>2</v>
      </c>
      <c r="E2804" s="23">
        <f t="array" ref="E2804">IF(D2804="","",IF(D2804=1,0,INDEX(Calculation!Q$2:Q9627,D2804-1)))</f>
        <v>3232449.315</v>
      </c>
      <c r="F2804" s="23">
        <f t="array" ref="F2804">IF($A2804="","",
  LET(
    r, $D2804,
    startD, INDEX(Calculation!B$2:B9627, r),
    endD,   INDEX(Calculation!C$2:C9627, r),
    asOf,   MIN($A2804,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4331953.973</v>
      </c>
    </row>
    <row r="2805">
      <c r="A2805" s="19">
        <v>45040.0</v>
      </c>
      <c r="B2805" s="23">
        <v>1.0765E7</v>
      </c>
      <c r="C2805" s="23">
        <f t="shared" si="1"/>
        <v>7571481.644</v>
      </c>
      <c r="D2805" s="18">
        <f>IF(A2805="","",MATCH(A2805,Calculation!B$2:B9627,1))</f>
        <v>2</v>
      </c>
      <c r="E2805" s="23">
        <f t="array" ref="E2805">IF(D2805="","",IF(D2805=1,0,INDEX(Calculation!Q$2:Q9627,D2805-1)))</f>
        <v>3232449.315</v>
      </c>
      <c r="F2805" s="23">
        <f t="array" ref="F2805">IF($A2805="","",
  LET(
    r, $D2805,
    startD, INDEX(Calculation!B$2:B9627, r),
    endD,   INDEX(Calculation!C$2:C9627, r),
    asOf,   MIN($A2805,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4339032.329</v>
      </c>
    </row>
    <row r="2806">
      <c r="A2806" s="19">
        <v>45041.0</v>
      </c>
      <c r="B2806" s="23">
        <v>1.0765E7</v>
      </c>
      <c r="C2806" s="23">
        <f t="shared" si="1"/>
        <v>7578560</v>
      </c>
      <c r="D2806" s="18">
        <f>IF(A2806="","",MATCH(A2806,Calculation!B$2:B9627,1))</f>
        <v>2</v>
      </c>
      <c r="E2806" s="23">
        <f t="array" ref="E2806">IF(D2806="","",IF(D2806=1,0,INDEX(Calculation!Q$2:Q9627,D2806-1)))</f>
        <v>3232449.315</v>
      </c>
      <c r="F2806" s="23">
        <f t="array" ref="F2806">IF($A2806="","",
  LET(
    r, $D2806,
    startD, INDEX(Calculation!B$2:B9627, r),
    endD,   INDEX(Calculation!C$2:C9627, r),
    asOf,   MIN($A2806,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4346110.685</v>
      </c>
    </row>
    <row r="2807">
      <c r="A2807" s="19">
        <v>45042.0</v>
      </c>
      <c r="B2807" s="23">
        <v>1.0765E7</v>
      </c>
      <c r="C2807" s="23">
        <f t="shared" si="1"/>
        <v>7585638.356</v>
      </c>
      <c r="D2807" s="18">
        <f>IF(A2807="","",MATCH(A2807,Calculation!B$2:B9627,1))</f>
        <v>2</v>
      </c>
      <c r="E2807" s="23">
        <f t="array" ref="E2807">IF(D2807="","",IF(D2807=1,0,INDEX(Calculation!Q$2:Q9627,D2807-1)))</f>
        <v>3232449.315</v>
      </c>
      <c r="F2807" s="23">
        <f t="array" ref="F2807">IF($A2807="","",
  LET(
    r, $D2807,
    startD, INDEX(Calculation!B$2:B9627, r),
    endD,   INDEX(Calculation!C$2:C9627, r),
    asOf,   MIN($A2807,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4353189.041</v>
      </c>
    </row>
    <row r="2808">
      <c r="A2808" s="19">
        <v>45043.0</v>
      </c>
      <c r="B2808" s="23">
        <v>1.0765E7</v>
      </c>
      <c r="C2808" s="23">
        <f t="shared" si="1"/>
        <v>7592716.712</v>
      </c>
      <c r="D2808" s="18">
        <f>IF(A2808="","",MATCH(A2808,Calculation!B$2:B9627,1))</f>
        <v>2</v>
      </c>
      <c r="E2808" s="23">
        <f t="array" ref="E2808">IF(D2808="","",IF(D2808=1,0,INDEX(Calculation!Q$2:Q9627,D2808-1)))</f>
        <v>3232449.315</v>
      </c>
      <c r="F2808" s="23">
        <f t="array" ref="F2808">IF($A2808="","",
  LET(
    r, $D2808,
    startD, INDEX(Calculation!B$2:B9627, r),
    endD,   INDEX(Calculation!C$2:C9627, r),
    asOf,   MIN($A2808,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4360267.397</v>
      </c>
    </row>
    <row r="2809">
      <c r="A2809" s="19">
        <v>45044.0</v>
      </c>
      <c r="B2809" s="23">
        <v>1.0765E7</v>
      </c>
      <c r="C2809" s="23">
        <f t="shared" si="1"/>
        <v>7599795.068</v>
      </c>
      <c r="D2809" s="18">
        <f>IF(A2809="","",MATCH(A2809,Calculation!B$2:B9627,1))</f>
        <v>2</v>
      </c>
      <c r="E2809" s="23">
        <f t="array" ref="E2809">IF(D2809="","",IF(D2809=1,0,INDEX(Calculation!Q$2:Q9627,D2809-1)))</f>
        <v>3232449.315</v>
      </c>
      <c r="F2809" s="23">
        <f t="array" ref="F2809">IF($A2809="","",
  LET(
    r, $D2809,
    startD, INDEX(Calculation!B$2:B9627, r),
    endD,   INDEX(Calculation!C$2:C9627, r),
    asOf,   MIN($A2809,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4367345.753</v>
      </c>
    </row>
    <row r="2810">
      <c r="A2810" s="19">
        <v>45045.0</v>
      </c>
      <c r="B2810" s="23">
        <v>1.0765E7</v>
      </c>
      <c r="C2810" s="23">
        <f t="shared" si="1"/>
        <v>7606873.425</v>
      </c>
      <c r="D2810" s="18">
        <f>IF(A2810="","",MATCH(A2810,Calculation!B$2:B9627,1))</f>
        <v>2</v>
      </c>
      <c r="E2810" s="23">
        <f t="array" ref="E2810">IF(D2810="","",IF(D2810=1,0,INDEX(Calculation!Q$2:Q9627,D2810-1)))</f>
        <v>3232449.315</v>
      </c>
      <c r="F2810" s="23">
        <f t="array" ref="F2810">IF($A2810="","",
  LET(
    r, $D2810,
    startD, INDEX(Calculation!B$2:B9627, r),
    endD,   INDEX(Calculation!C$2:C9627, r),
    asOf,   MIN($A2810,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4374424.11</v>
      </c>
    </row>
    <row r="2811">
      <c r="A2811" s="19">
        <v>45046.0</v>
      </c>
      <c r="B2811" s="23">
        <v>1.0765E7</v>
      </c>
      <c r="C2811" s="23">
        <f t="shared" si="1"/>
        <v>7613951.781</v>
      </c>
      <c r="D2811" s="18">
        <f>IF(A2811="","",MATCH(A2811,Calculation!B$2:B9627,1))</f>
        <v>2</v>
      </c>
      <c r="E2811" s="23">
        <f t="array" ref="E2811">IF(D2811="","",IF(D2811=1,0,INDEX(Calculation!Q$2:Q9627,D2811-1)))</f>
        <v>3232449.315</v>
      </c>
      <c r="F2811" s="23">
        <f t="array" ref="F2811">IF($A2811="","",
  LET(
    r, $D2811,
    startD, INDEX(Calculation!B$2:B9627, r),
    endD,   INDEX(Calculation!C$2:C9627, r),
    asOf,   MIN($A2811,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4381502.466</v>
      </c>
    </row>
    <row r="2812">
      <c r="A2812" s="19">
        <v>45047.0</v>
      </c>
      <c r="B2812" s="23">
        <v>1.0765E7</v>
      </c>
      <c r="C2812" s="23">
        <f t="shared" si="1"/>
        <v>7621030.137</v>
      </c>
      <c r="D2812" s="18">
        <f>IF(A2812="","",MATCH(A2812,Calculation!B$2:B9627,1))</f>
        <v>2</v>
      </c>
      <c r="E2812" s="23">
        <f t="array" ref="E2812">IF(D2812="","",IF(D2812=1,0,INDEX(Calculation!Q$2:Q9627,D2812-1)))</f>
        <v>3232449.315</v>
      </c>
      <c r="F2812" s="23">
        <f t="array" ref="F2812">IF($A2812="","",
  LET(
    r, $D2812,
    startD, INDEX(Calculation!B$2:B9627, r),
    endD,   INDEX(Calculation!C$2:C9627, r),
    asOf,   MIN($A2812,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4388580.822</v>
      </c>
    </row>
    <row r="2813">
      <c r="A2813" s="19">
        <v>45048.0</v>
      </c>
      <c r="B2813" s="23">
        <v>1.0765E7</v>
      </c>
      <c r="C2813" s="23">
        <f t="shared" si="1"/>
        <v>7628108.493</v>
      </c>
      <c r="D2813" s="18">
        <f>IF(A2813="","",MATCH(A2813,Calculation!B$2:B9627,1))</f>
        <v>2</v>
      </c>
      <c r="E2813" s="23">
        <f t="array" ref="E2813">IF(D2813="","",IF(D2813=1,0,INDEX(Calculation!Q$2:Q9627,D2813-1)))</f>
        <v>3232449.315</v>
      </c>
      <c r="F2813" s="23">
        <f t="array" ref="F2813">IF($A2813="","",
  LET(
    r, $D2813,
    startD, INDEX(Calculation!B$2:B9627, r),
    endD,   INDEX(Calculation!C$2:C9627, r),
    asOf,   MIN($A2813,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4395659.178</v>
      </c>
    </row>
    <row r="2814">
      <c r="A2814" s="19">
        <v>45049.0</v>
      </c>
      <c r="B2814" s="23">
        <v>1.0765E7</v>
      </c>
      <c r="C2814" s="23">
        <f t="shared" si="1"/>
        <v>7635186.849</v>
      </c>
      <c r="D2814" s="18">
        <f>IF(A2814="","",MATCH(A2814,Calculation!B$2:B9627,1))</f>
        <v>2</v>
      </c>
      <c r="E2814" s="23">
        <f t="array" ref="E2814">IF(D2814="","",IF(D2814=1,0,INDEX(Calculation!Q$2:Q9627,D2814-1)))</f>
        <v>3232449.315</v>
      </c>
      <c r="F2814" s="23">
        <f t="array" ref="F2814">IF($A2814="","",
  LET(
    r, $D2814,
    startD, INDEX(Calculation!B$2:B9627, r),
    endD,   INDEX(Calculation!C$2:C9627, r),
    asOf,   MIN($A2814,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4402737.534</v>
      </c>
    </row>
    <row r="2815">
      <c r="A2815" s="19">
        <v>45050.0</v>
      </c>
      <c r="B2815" s="23">
        <v>1.0765E7</v>
      </c>
      <c r="C2815" s="23">
        <f t="shared" si="1"/>
        <v>7642265.205</v>
      </c>
      <c r="D2815" s="18">
        <f>IF(A2815="","",MATCH(A2815,Calculation!B$2:B9627,1))</f>
        <v>2</v>
      </c>
      <c r="E2815" s="23">
        <f t="array" ref="E2815">IF(D2815="","",IF(D2815=1,0,INDEX(Calculation!Q$2:Q9627,D2815-1)))</f>
        <v>3232449.315</v>
      </c>
      <c r="F2815" s="23">
        <f t="array" ref="F2815">IF($A2815="","",
  LET(
    r, $D2815,
    startD, INDEX(Calculation!B$2:B9627, r),
    endD,   INDEX(Calculation!C$2:C9627, r),
    asOf,   MIN($A2815,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4409815.89</v>
      </c>
    </row>
    <row r="2816">
      <c r="A2816" s="19">
        <v>45051.0</v>
      </c>
      <c r="B2816" s="23">
        <v>1.0765E7</v>
      </c>
      <c r="C2816" s="23">
        <f t="shared" si="1"/>
        <v>7649343.562</v>
      </c>
      <c r="D2816" s="18">
        <f>IF(A2816="","",MATCH(A2816,Calculation!B$2:B9627,1))</f>
        <v>2</v>
      </c>
      <c r="E2816" s="23">
        <f t="array" ref="E2816">IF(D2816="","",IF(D2816=1,0,INDEX(Calculation!Q$2:Q9627,D2816-1)))</f>
        <v>3232449.315</v>
      </c>
      <c r="F2816" s="23">
        <f t="array" ref="F2816">IF($A2816="","",
  LET(
    r, $D2816,
    startD, INDEX(Calculation!B$2:B9627, r),
    endD,   INDEX(Calculation!C$2:C9627, r),
    asOf,   MIN($A2816,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4416894.247</v>
      </c>
    </row>
    <row r="2817">
      <c r="A2817" s="19">
        <v>45052.0</v>
      </c>
      <c r="B2817" s="23">
        <v>1.0765E7</v>
      </c>
      <c r="C2817" s="23">
        <f t="shared" si="1"/>
        <v>7656421.918</v>
      </c>
      <c r="D2817" s="18">
        <f>IF(A2817="","",MATCH(A2817,Calculation!B$2:B9627,1))</f>
        <v>2</v>
      </c>
      <c r="E2817" s="23">
        <f t="array" ref="E2817">IF(D2817="","",IF(D2817=1,0,INDEX(Calculation!Q$2:Q9627,D2817-1)))</f>
        <v>3232449.315</v>
      </c>
      <c r="F2817" s="23">
        <f t="array" ref="F2817">IF($A2817="","",
  LET(
    r, $D2817,
    startD, INDEX(Calculation!B$2:B9627, r),
    endD,   INDEX(Calculation!C$2:C9627, r),
    asOf,   MIN($A2817,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4423972.603</v>
      </c>
    </row>
    <row r="2818">
      <c r="A2818" s="19">
        <v>45053.0</v>
      </c>
      <c r="B2818" s="23">
        <v>1.0765E7</v>
      </c>
      <c r="C2818" s="23">
        <f t="shared" si="1"/>
        <v>7663500.274</v>
      </c>
      <c r="D2818" s="18">
        <f>IF(A2818="","",MATCH(A2818,Calculation!B$2:B9627,1))</f>
        <v>2</v>
      </c>
      <c r="E2818" s="23">
        <f t="array" ref="E2818">IF(D2818="","",IF(D2818=1,0,INDEX(Calculation!Q$2:Q9627,D2818-1)))</f>
        <v>3232449.315</v>
      </c>
      <c r="F2818" s="23">
        <f t="array" ref="F2818">IF($A2818="","",
  LET(
    r, $D2818,
    startD, INDEX(Calculation!B$2:B9627, r),
    endD,   INDEX(Calculation!C$2:C9627, r),
    asOf,   MIN($A2818,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4431050.959</v>
      </c>
    </row>
    <row r="2819">
      <c r="A2819" s="19">
        <v>45054.0</v>
      </c>
      <c r="B2819" s="23">
        <v>1.0765E7</v>
      </c>
      <c r="C2819" s="23">
        <f t="shared" si="1"/>
        <v>7670578.63</v>
      </c>
      <c r="D2819" s="18">
        <f>IF(A2819="","",MATCH(A2819,Calculation!B$2:B9627,1))</f>
        <v>2</v>
      </c>
      <c r="E2819" s="23">
        <f t="array" ref="E2819">IF(D2819="","",IF(D2819=1,0,INDEX(Calculation!Q$2:Q9627,D2819-1)))</f>
        <v>3232449.315</v>
      </c>
      <c r="F2819" s="23">
        <f t="array" ref="F2819">IF($A2819="","",
  LET(
    r, $D2819,
    startD, INDEX(Calculation!B$2:B9627, r),
    endD,   INDEX(Calculation!C$2:C9627, r),
    asOf,   MIN($A2819,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4438129.315</v>
      </c>
    </row>
    <row r="2820">
      <c r="A2820" s="19">
        <v>45055.0</v>
      </c>
      <c r="B2820" s="23">
        <v>1.0765E7</v>
      </c>
      <c r="C2820" s="23">
        <f t="shared" si="1"/>
        <v>7677656.986</v>
      </c>
      <c r="D2820" s="18">
        <f>IF(A2820="","",MATCH(A2820,Calculation!B$2:B9627,1))</f>
        <v>2</v>
      </c>
      <c r="E2820" s="23">
        <f t="array" ref="E2820">IF(D2820="","",IF(D2820=1,0,INDEX(Calculation!Q$2:Q9627,D2820-1)))</f>
        <v>3232449.315</v>
      </c>
      <c r="F2820" s="23">
        <f t="array" ref="F2820">IF($A2820="","",
  LET(
    r, $D2820,
    startD, INDEX(Calculation!B$2:B9627, r),
    endD,   INDEX(Calculation!C$2:C9627, r),
    asOf,   MIN($A2820,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4445207.671</v>
      </c>
    </row>
    <row r="2821">
      <c r="A2821" s="19">
        <v>45056.0</v>
      </c>
      <c r="B2821" s="23">
        <v>1.0765E7</v>
      </c>
      <c r="C2821" s="23">
        <f t="shared" si="1"/>
        <v>7684735.342</v>
      </c>
      <c r="D2821" s="18">
        <f>IF(A2821="","",MATCH(A2821,Calculation!B$2:B9627,1))</f>
        <v>2</v>
      </c>
      <c r="E2821" s="23">
        <f t="array" ref="E2821">IF(D2821="","",IF(D2821=1,0,INDEX(Calculation!Q$2:Q9627,D2821-1)))</f>
        <v>3232449.315</v>
      </c>
      <c r="F2821" s="23">
        <f t="array" ref="F2821">IF($A2821="","",
  LET(
    r, $D2821,
    startD, INDEX(Calculation!B$2:B9627, r),
    endD,   INDEX(Calculation!C$2:C9627, r),
    asOf,   MIN($A2821,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4452286.027</v>
      </c>
    </row>
    <row r="2822">
      <c r="A2822" s="19">
        <v>45057.0</v>
      </c>
      <c r="B2822" s="23">
        <v>1.0765E7</v>
      </c>
      <c r="C2822" s="23">
        <f t="shared" si="1"/>
        <v>7691813.699</v>
      </c>
      <c r="D2822" s="18">
        <f>IF(A2822="","",MATCH(A2822,Calculation!B$2:B9627,1))</f>
        <v>2</v>
      </c>
      <c r="E2822" s="23">
        <f t="array" ref="E2822">IF(D2822="","",IF(D2822=1,0,INDEX(Calculation!Q$2:Q9627,D2822-1)))</f>
        <v>3232449.315</v>
      </c>
      <c r="F2822" s="23">
        <f t="array" ref="F2822">IF($A2822="","",
  LET(
    r, $D2822,
    startD, INDEX(Calculation!B$2:B9627, r),
    endD,   INDEX(Calculation!C$2:C9627, r),
    asOf,   MIN($A2822,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4459364.384</v>
      </c>
    </row>
    <row r="2823">
      <c r="A2823" s="19">
        <v>45058.0</v>
      </c>
      <c r="B2823" s="23">
        <v>1.0765E7</v>
      </c>
      <c r="C2823" s="23">
        <f t="shared" si="1"/>
        <v>7698892.055</v>
      </c>
      <c r="D2823" s="18">
        <f>IF(A2823="","",MATCH(A2823,Calculation!B$2:B9627,1))</f>
        <v>2</v>
      </c>
      <c r="E2823" s="23">
        <f t="array" ref="E2823">IF(D2823="","",IF(D2823=1,0,INDEX(Calculation!Q$2:Q9627,D2823-1)))</f>
        <v>3232449.315</v>
      </c>
      <c r="F2823" s="23">
        <f t="array" ref="F2823">IF($A2823="","",
  LET(
    r, $D2823,
    startD, INDEX(Calculation!B$2:B9627, r),
    endD,   INDEX(Calculation!C$2:C9627, r),
    asOf,   MIN($A2823,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4466442.74</v>
      </c>
    </row>
    <row r="2824">
      <c r="A2824" s="19">
        <v>45059.0</v>
      </c>
      <c r="B2824" s="23">
        <v>1.0765E7</v>
      </c>
      <c r="C2824" s="23">
        <f t="shared" si="1"/>
        <v>7705970.411</v>
      </c>
      <c r="D2824" s="18">
        <f>IF(A2824="","",MATCH(A2824,Calculation!B$2:B9627,1))</f>
        <v>2</v>
      </c>
      <c r="E2824" s="23">
        <f t="array" ref="E2824">IF(D2824="","",IF(D2824=1,0,INDEX(Calculation!Q$2:Q9627,D2824-1)))</f>
        <v>3232449.315</v>
      </c>
      <c r="F2824" s="23">
        <f t="array" ref="F2824">IF($A2824="","",
  LET(
    r, $D2824,
    startD, INDEX(Calculation!B$2:B9627, r),
    endD,   INDEX(Calculation!C$2:C9627, r),
    asOf,   MIN($A2824,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4473521.096</v>
      </c>
    </row>
    <row r="2825">
      <c r="A2825" s="19">
        <v>45060.0</v>
      </c>
      <c r="B2825" s="23">
        <v>1.0765E7</v>
      </c>
      <c r="C2825" s="23">
        <f t="shared" si="1"/>
        <v>7713048.767</v>
      </c>
      <c r="D2825" s="18">
        <f>IF(A2825="","",MATCH(A2825,Calculation!B$2:B9627,1))</f>
        <v>2</v>
      </c>
      <c r="E2825" s="23">
        <f t="array" ref="E2825">IF(D2825="","",IF(D2825=1,0,INDEX(Calculation!Q$2:Q9627,D2825-1)))</f>
        <v>3232449.315</v>
      </c>
      <c r="F2825" s="23">
        <f t="array" ref="F2825">IF($A2825="","",
  LET(
    r, $D2825,
    startD, INDEX(Calculation!B$2:B9627, r),
    endD,   INDEX(Calculation!C$2:C9627, r),
    asOf,   MIN($A2825,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4480599.452</v>
      </c>
    </row>
    <row r="2826">
      <c r="A2826" s="19">
        <v>45061.0</v>
      </c>
      <c r="B2826" s="23">
        <v>1.0765E7</v>
      </c>
      <c r="C2826" s="23">
        <f t="shared" si="1"/>
        <v>7720127.123</v>
      </c>
      <c r="D2826" s="18">
        <f>IF(A2826="","",MATCH(A2826,Calculation!B$2:B9627,1))</f>
        <v>2</v>
      </c>
      <c r="E2826" s="23">
        <f t="array" ref="E2826">IF(D2826="","",IF(D2826=1,0,INDEX(Calculation!Q$2:Q9627,D2826-1)))</f>
        <v>3232449.315</v>
      </c>
      <c r="F2826" s="23">
        <f t="array" ref="F2826">IF($A2826="","",
  LET(
    r, $D2826,
    startD, INDEX(Calculation!B$2:B9627, r),
    endD,   INDEX(Calculation!C$2:C9627, r),
    asOf,   MIN($A2826,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4487677.808</v>
      </c>
    </row>
    <row r="2827">
      <c r="A2827" s="19">
        <v>45062.0</v>
      </c>
      <c r="B2827" s="23">
        <v>1.0765E7</v>
      </c>
      <c r="C2827" s="23">
        <f t="shared" si="1"/>
        <v>7727205.479</v>
      </c>
      <c r="D2827" s="18">
        <f>IF(A2827="","",MATCH(A2827,Calculation!B$2:B9627,1))</f>
        <v>2</v>
      </c>
      <c r="E2827" s="23">
        <f t="array" ref="E2827">IF(D2827="","",IF(D2827=1,0,INDEX(Calculation!Q$2:Q9627,D2827-1)))</f>
        <v>3232449.315</v>
      </c>
      <c r="F2827" s="23">
        <f t="array" ref="F2827">IF($A2827="","",
  LET(
    r, $D2827,
    startD, INDEX(Calculation!B$2:B9627, r),
    endD,   INDEX(Calculation!C$2:C9627, r),
    asOf,   MIN($A2827,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4494756.164</v>
      </c>
    </row>
    <row r="2828">
      <c r="A2828" s="19">
        <v>45063.0</v>
      </c>
      <c r="B2828" s="23">
        <v>1.0765E7</v>
      </c>
      <c r="C2828" s="23">
        <f t="shared" si="1"/>
        <v>7734283.836</v>
      </c>
      <c r="D2828" s="18">
        <f>IF(A2828="","",MATCH(A2828,Calculation!B$2:B9627,1))</f>
        <v>2</v>
      </c>
      <c r="E2828" s="23">
        <f t="array" ref="E2828">IF(D2828="","",IF(D2828=1,0,INDEX(Calculation!Q$2:Q9627,D2828-1)))</f>
        <v>3232449.315</v>
      </c>
      <c r="F2828" s="23">
        <f t="array" ref="F2828">IF($A2828="","",
  LET(
    r, $D2828,
    startD, INDEX(Calculation!B$2:B9627, r),
    endD,   INDEX(Calculation!C$2:C9627, r),
    asOf,   MIN($A2828,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4501834.521</v>
      </c>
    </row>
    <row r="2829">
      <c r="A2829" s="19">
        <v>45064.0</v>
      </c>
      <c r="B2829" s="23">
        <v>1.0765E7</v>
      </c>
      <c r="C2829" s="23">
        <f t="shared" si="1"/>
        <v>7741362.192</v>
      </c>
      <c r="D2829" s="18">
        <f>IF(A2829="","",MATCH(A2829,Calculation!B$2:B9627,1))</f>
        <v>2</v>
      </c>
      <c r="E2829" s="23">
        <f t="array" ref="E2829">IF(D2829="","",IF(D2829=1,0,INDEX(Calculation!Q$2:Q9627,D2829-1)))</f>
        <v>3232449.315</v>
      </c>
      <c r="F2829" s="23">
        <f t="array" ref="F2829">IF($A2829="","",
  LET(
    r, $D2829,
    startD, INDEX(Calculation!B$2:B9627, r),
    endD,   INDEX(Calculation!C$2:C9627, r),
    asOf,   MIN($A2829,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4508912.877</v>
      </c>
    </row>
    <row r="2830">
      <c r="A2830" s="19">
        <v>45065.0</v>
      </c>
      <c r="B2830" s="23">
        <v>1.0765E7</v>
      </c>
      <c r="C2830" s="23">
        <f t="shared" si="1"/>
        <v>7748440.548</v>
      </c>
      <c r="D2830" s="18">
        <f>IF(A2830="","",MATCH(A2830,Calculation!B$2:B9627,1))</f>
        <v>2</v>
      </c>
      <c r="E2830" s="23">
        <f t="array" ref="E2830">IF(D2830="","",IF(D2830=1,0,INDEX(Calculation!Q$2:Q9627,D2830-1)))</f>
        <v>3232449.315</v>
      </c>
      <c r="F2830" s="23">
        <f t="array" ref="F2830">IF($A2830="","",
  LET(
    r, $D2830,
    startD, INDEX(Calculation!B$2:B9627, r),
    endD,   INDEX(Calculation!C$2:C9627, r),
    asOf,   MIN($A2830,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4515991.233</v>
      </c>
    </row>
    <row r="2831">
      <c r="A2831" s="19">
        <v>45066.0</v>
      </c>
      <c r="B2831" s="23">
        <v>1.0765E7</v>
      </c>
      <c r="C2831" s="23">
        <f t="shared" si="1"/>
        <v>7755518.904</v>
      </c>
      <c r="D2831" s="18">
        <f>IF(A2831="","",MATCH(A2831,Calculation!B$2:B9627,1))</f>
        <v>2</v>
      </c>
      <c r="E2831" s="23">
        <f t="array" ref="E2831">IF(D2831="","",IF(D2831=1,0,INDEX(Calculation!Q$2:Q9627,D2831-1)))</f>
        <v>3232449.315</v>
      </c>
      <c r="F2831" s="23">
        <f t="array" ref="F2831">IF($A2831="","",
  LET(
    r, $D2831,
    startD, INDEX(Calculation!B$2:B9627, r),
    endD,   INDEX(Calculation!C$2:C9627, r),
    asOf,   MIN($A2831,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4523069.589</v>
      </c>
    </row>
    <row r="2832">
      <c r="A2832" s="19">
        <v>45067.0</v>
      </c>
      <c r="B2832" s="23">
        <v>1.0765E7</v>
      </c>
      <c r="C2832" s="23">
        <f t="shared" si="1"/>
        <v>7762597.26</v>
      </c>
      <c r="D2832" s="18">
        <f>IF(A2832="","",MATCH(A2832,Calculation!B$2:B9627,1))</f>
        <v>2</v>
      </c>
      <c r="E2832" s="23">
        <f t="array" ref="E2832">IF(D2832="","",IF(D2832=1,0,INDEX(Calculation!Q$2:Q9627,D2832-1)))</f>
        <v>3232449.315</v>
      </c>
      <c r="F2832" s="23">
        <f t="array" ref="F2832">IF($A2832="","",
  LET(
    r, $D2832,
    startD, INDEX(Calculation!B$2:B9627, r),
    endD,   INDEX(Calculation!C$2:C9627, r),
    asOf,   MIN($A2832,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4530147.945</v>
      </c>
    </row>
    <row r="2833">
      <c r="A2833" s="19">
        <v>45068.0</v>
      </c>
      <c r="B2833" s="23">
        <v>1.0765E7</v>
      </c>
      <c r="C2833" s="23">
        <f t="shared" si="1"/>
        <v>7769675.616</v>
      </c>
      <c r="D2833" s="18">
        <f>IF(A2833="","",MATCH(A2833,Calculation!B$2:B9627,1))</f>
        <v>2</v>
      </c>
      <c r="E2833" s="23">
        <f t="array" ref="E2833">IF(D2833="","",IF(D2833=1,0,INDEX(Calculation!Q$2:Q9627,D2833-1)))</f>
        <v>3232449.315</v>
      </c>
      <c r="F2833" s="23">
        <f t="array" ref="F2833">IF($A2833="","",
  LET(
    r, $D2833,
    startD, INDEX(Calculation!B$2:B9627, r),
    endD,   INDEX(Calculation!C$2:C9627, r),
    asOf,   MIN($A2833,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4537226.301</v>
      </c>
    </row>
    <row r="2834">
      <c r="A2834" s="19">
        <v>45069.0</v>
      </c>
      <c r="B2834" s="23">
        <v>1.0765E7</v>
      </c>
      <c r="C2834" s="23">
        <f t="shared" si="1"/>
        <v>7776753.973</v>
      </c>
      <c r="D2834" s="18">
        <f>IF(A2834="","",MATCH(A2834,Calculation!B$2:B9627,1))</f>
        <v>2</v>
      </c>
      <c r="E2834" s="23">
        <f t="array" ref="E2834">IF(D2834="","",IF(D2834=1,0,INDEX(Calculation!Q$2:Q9627,D2834-1)))</f>
        <v>3232449.315</v>
      </c>
      <c r="F2834" s="23">
        <f t="array" ref="F2834">IF($A2834="","",
  LET(
    r, $D2834,
    startD, INDEX(Calculation!B$2:B9627, r),
    endD,   INDEX(Calculation!C$2:C9627, r),
    asOf,   MIN($A2834,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4544304.658</v>
      </c>
    </row>
    <row r="2835">
      <c r="A2835" s="19">
        <v>45070.0</v>
      </c>
      <c r="B2835" s="23">
        <v>1.0765E7</v>
      </c>
      <c r="C2835" s="23">
        <f t="shared" si="1"/>
        <v>7783832.329</v>
      </c>
      <c r="D2835" s="18">
        <f>IF(A2835="","",MATCH(A2835,Calculation!B$2:B9627,1))</f>
        <v>2</v>
      </c>
      <c r="E2835" s="23">
        <f t="array" ref="E2835">IF(D2835="","",IF(D2835=1,0,INDEX(Calculation!Q$2:Q9627,D2835-1)))</f>
        <v>3232449.315</v>
      </c>
      <c r="F2835" s="23">
        <f t="array" ref="F2835">IF($A2835="","",
  LET(
    r, $D2835,
    startD, INDEX(Calculation!B$2:B9627, r),
    endD,   INDEX(Calculation!C$2:C9627, r),
    asOf,   MIN($A2835,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4551383.014</v>
      </c>
    </row>
    <row r="2836">
      <c r="A2836" s="19">
        <v>45071.0</v>
      </c>
      <c r="B2836" s="23">
        <v>1.0765E7</v>
      </c>
      <c r="C2836" s="23">
        <f t="shared" si="1"/>
        <v>7790910.685</v>
      </c>
      <c r="D2836" s="18">
        <f>IF(A2836="","",MATCH(A2836,Calculation!B$2:B9627,1))</f>
        <v>2</v>
      </c>
      <c r="E2836" s="23">
        <f t="array" ref="E2836">IF(D2836="","",IF(D2836=1,0,INDEX(Calculation!Q$2:Q9627,D2836-1)))</f>
        <v>3232449.315</v>
      </c>
      <c r="F2836" s="23">
        <f t="array" ref="F2836">IF($A2836="","",
  LET(
    r, $D2836,
    startD, INDEX(Calculation!B$2:B9627, r),
    endD,   INDEX(Calculation!C$2:C9627, r),
    asOf,   MIN($A2836,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4558461.37</v>
      </c>
    </row>
    <row r="2837">
      <c r="A2837" s="19">
        <v>45072.0</v>
      </c>
      <c r="B2837" s="23">
        <v>1.0765E7</v>
      </c>
      <c r="C2837" s="23">
        <f t="shared" si="1"/>
        <v>7797989.041</v>
      </c>
      <c r="D2837" s="18">
        <f>IF(A2837="","",MATCH(A2837,Calculation!B$2:B9627,1))</f>
        <v>2</v>
      </c>
      <c r="E2837" s="23">
        <f t="array" ref="E2837">IF(D2837="","",IF(D2837=1,0,INDEX(Calculation!Q$2:Q9627,D2837-1)))</f>
        <v>3232449.315</v>
      </c>
      <c r="F2837" s="23">
        <f t="array" ref="F2837">IF($A2837="","",
  LET(
    r, $D2837,
    startD, INDEX(Calculation!B$2:B9627, r),
    endD,   INDEX(Calculation!C$2:C9627, r),
    asOf,   MIN($A2837,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4565539.726</v>
      </c>
    </row>
    <row r="2838">
      <c r="A2838" s="19">
        <v>45073.0</v>
      </c>
      <c r="B2838" s="23">
        <v>1.0765E7</v>
      </c>
      <c r="C2838" s="23">
        <f t="shared" si="1"/>
        <v>7805067.397</v>
      </c>
      <c r="D2838" s="18">
        <f>IF(A2838="","",MATCH(A2838,Calculation!B$2:B9627,1))</f>
        <v>2</v>
      </c>
      <c r="E2838" s="23">
        <f t="array" ref="E2838">IF(D2838="","",IF(D2838=1,0,INDEX(Calculation!Q$2:Q9627,D2838-1)))</f>
        <v>3232449.315</v>
      </c>
      <c r="F2838" s="23">
        <f t="array" ref="F2838">IF($A2838="","",
  LET(
    r, $D2838,
    startD, INDEX(Calculation!B$2:B9627, r),
    endD,   INDEX(Calculation!C$2:C9627, r),
    asOf,   MIN($A2838,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4572618.082</v>
      </c>
    </row>
    <row r="2839">
      <c r="A2839" s="19">
        <v>45074.0</v>
      </c>
      <c r="B2839" s="23">
        <v>1.0765E7</v>
      </c>
      <c r="C2839" s="23">
        <f t="shared" si="1"/>
        <v>7812145.753</v>
      </c>
      <c r="D2839" s="18">
        <f>IF(A2839="","",MATCH(A2839,Calculation!B$2:B9627,1))</f>
        <v>2</v>
      </c>
      <c r="E2839" s="23">
        <f t="array" ref="E2839">IF(D2839="","",IF(D2839=1,0,INDEX(Calculation!Q$2:Q9627,D2839-1)))</f>
        <v>3232449.315</v>
      </c>
      <c r="F2839" s="23">
        <f t="array" ref="F2839">IF($A2839="","",
  LET(
    r, $D2839,
    startD, INDEX(Calculation!B$2:B9627, r),
    endD,   INDEX(Calculation!C$2:C9627, r),
    asOf,   MIN($A2839,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4579696.438</v>
      </c>
    </row>
    <row r="2840">
      <c r="A2840" s="19">
        <v>45075.0</v>
      </c>
      <c r="B2840" s="23">
        <v>1.0765E7</v>
      </c>
      <c r="C2840" s="23">
        <f t="shared" si="1"/>
        <v>7819224.11</v>
      </c>
      <c r="D2840" s="18">
        <f>IF(A2840="","",MATCH(A2840,Calculation!B$2:B9627,1))</f>
        <v>2</v>
      </c>
      <c r="E2840" s="23">
        <f t="array" ref="E2840">IF(D2840="","",IF(D2840=1,0,INDEX(Calculation!Q$2:Q9627,D2840-1)))</f>
        <v>3232449.315</v>
      </c>
      <c r="F2840" s="23">
        <f t="array" ref="F2840">IF($A2840="","",
  LET(
    r, $D2840,
    startD, INDEX(Calculation!B$2:B9627, r),
    endD,   INDEX(Calculation!C$2:C9627, r),
    asOf,   MIN($A2840,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4586774.795</v>
      </c>
    </row>
    <row r="2841">
      <c r="A2841" s="19">
        <v>45076.0</v>
      </c>
      <c r="B2841" s="23">
        <v>1.0765E7</v>
      </c>
      <c r="C2841" s="23">
        <f t="shared" si="1"/>
        <v>7826302.466</v>
      </c>
      <c r="D2841" s="18">
        <f>IF(A2841="","",MATCH(A2841,Calculation!B$2:B9627,1))</f>
        <v>2</v>
      </c>
      <c r="E2841" s="23">
        <f t="array" ref="E2841">IF(D2841="","",IF(D2841=1,0,INDEX(Calculation!Q$2:Q9627,D2841-1)))</f>
        <v>3232449.315</v>
      </c>
      <c r="F2841" s="23">
        <f t="array" ref="F2841">IF($A2841="","",
  LET(
    r, $D2841,
    startD, INDEX(Calculation!B$2:B9627, r),
    endD,   INDEX(Calculation!C$2:C9627, r),
    asOf,   MIN($A2841,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4593853.151</v>
      </c>
    </row>
    <row r="2842">
      <c r="A2842" s="19">
        <v>45077.0</v>
      </c>
      <c r="B2842" s="23">
        <v>1.0765E7</v>
      </c>
      <c r="C2842" s="23">
        <f t="shared" si="1"/>
        <v>7833380.822</v>
      </c>
      <c r="D2842" s="18">
        <f>IF(A2842="","",MATCH(A2842,Calculation!B$2:B9627,1))</f>
        <v>2</v>
      </c>
      <c r="E2842" s="23">
        <f t="array" ref="E2842">IF(D2842="","",IF(D2842=1,0,INDEX(Calculation!Q$2:Q9627,D2842-1)))</f>
        <v>3232449.315</v>
      </c>
      <c r="F2842" s="23">
        <f t="array" ref="F2842">IF($A2842="","",
  LET(
    r, $D2842,
    startD, INDEX(Calculation!B$2:B9627, r),
    endD,   INDEX(Calculation!C$2:C9627, r),
    asOf,   MIN($A2842,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4600931.507</v>
      </c>
    </row>
    <row r="2843">
      <c r="A2843" s="19">
        <v>45078.0</v>
      </c>
      <c r="B2843" s="23">
        <v>1.0765E7</v>
      </c>
      <c r="C2843" s="23">
        <f t="shared" si="1"/>
        <v>7840459.178</v>
      </c>
      <c r="D2843" s="18">
        <f>IF(A2843="","",MATCH(A2843,Calculation!B$2:B9627,1))</f>
        <v>2</v>
      </c>
      <c r="E2843" s="23">
        <f t="array" ref="E2843">IF(D2843="","",IF(D2843=1,0,INDEX(Calculation!Q$2:Q9627,D2843-1)))</f>
        <v>3232449.315</v>
      </c>
      <c r="F2843" s="23">
        <f t="array" ref="F2843">IF($A2843="","",
  LET(
    r, $D2843,
    startD, INDEX(Calculation!B$2:B9627, r),
    endD,   INDEX(Calculation!C$2:C9627, r),
    asOf,   MIN($A2843,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4608009.863</v>
      </c>
    </row>
    <row r="2844">
      <c r="A2844" s="19">
        <v>45079.0</v>
      </c>
      <c r="B2844" s="23">
        <v>1.0765E7</v>
      </c>
      <c r="C2844" s="23">
        <f t="shared" si="1"/>
        <v>7847537.534</v>
      </c>
      <c r="D2844" s="18">
        <f>IF(A2844="","",MATCH(A2844,Calculation!B$2:B9627,1))</f>
        <v>2</v>
      </c>
      <c r="E2844" s="23">
        <f t="array" ref="E2844">IF(D2844="","",IF(D2844=1,0,INDEX(Calculation!Q$2:Q9627,D2844-1)))</f>
        <v>3232449.315</v>
      </c>
      <c r="F2844" s="23">
        <f t="array" ref="F2844">IF($A2844="","",
  LET(
    r, $D2844,
    startD, INDEX(Calculation!B$2:B9627, r),
    endD,   INDEX(Calculation!C$2:C9627, r),
    asOf,   MIN($A2844,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4615088.219</v>
      </c>
    </row>
    <row r="2845">
      <c r="A2845" s="19">
        <v>45080.0</v>
      </c>
      <c r="B2845" s="23">
        <v>1.0765E7</v>
      </c>
      <c r="C2845" s="23">
        <f t="shared" si="1"/>
        <v>7854615.89</v>
      </c>
      <c r="D2845" s="18">
        <f>IF(A2845="","",MATCH(A2845,Calculation!B$2:B9627,1))</f>
        <v>2</v>
      </c>
      <c r="E2845" s="23">
        <f t="array" ref="E2845">IF(D2845="","",IF(D2845=1,0,INDEX(Calculation!Q$2:Q9627,D2845-1)))</f>
        <v>3232449.315</v>
      </c>
      <c r="F2845" s="23">
        <f t="array" ref="F2845">IF($A2845="","",
  LET(
    r, $D2845,
    startD, INDEX(Calculation!B$2:B9627, r),
    endD,   INDEX(Calculation!C$2:C9627, r),
    asOf,   MIN($A2845,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4622166.575</v>
      </c>
    </row>
    <row r="2846">
      <c r="A2846" s="19">
        <v>45081.0</v>
      </c>
      <c r="B2846" s="23">
        <v>1.0765E7</v>
      </c>
      <c r="C2846" s="23">
        <f t="shared" si="1"/>
        <v>7861694.247</v>
      </c>
      <c r="D2846" s="18">
        <f>IF(A2846="","",MATCH(A2846,Calculation!B$2:B9627,1))</f>
        <v>2</v>
      </c>
      <c r="E2846" s="23">
        <f t="array" ref="E2846">IF(D2846="","",IF(D2846=1,0,INDEX(Calculation!Q$2:Q9627,D2846-1)))</f>
        <v>3232449.315</v>
      </c>
      <c r="F2846" s="23">
        <f t="array" ref="F2846">IF($A2846="","",
  LET(
    r, $D2846,
    startD, INDEX(Calculation!B$2:B9627, r),
    endD,   INDEX(Calculation!C$2:C9627, r),
    asOf,   MIN($A2846,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4629244.932</v>
      </c>
    </row>
    <row r="2847">
      <c r="A2847" s="19">
        <v>45082.0</v>
      </c>
      <c r="B2847" s="23">
        <v>1.0765E7</v>
      </c>
      <c r="C2847" s="23">
        <f t="shared" si="1"/>
        <v>7868772.603</v>
      </c>
      <c r="D2847" s="18">
        <f>IF(A2847="","",MATCH(A2847,Calculation!B$2:B9627,1))</f>
        <v>2</v>
      </c>
      <c r="E2847" s="23">
        <f t="array" ref="E2847">IF(D2847="","",IF(D2847=1,0,INDEX(Calculation!Q$2:Q9627,D2847-1)))</f>
        <v>3232449.315</v>
      </c>
      <c r="F2847" s="23">
        <f t="array" ref="F2847">IF($A2847="","",
  LET(
    r, $D2847,
    startD, INDEX(Calculation!B$2:B9627, r),
    endD,   INDEX(Calculation!C$2:C9627, r),
    asOf,   MIN($A2847,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4636323.288</v>
      </c>
    </row>
    <row r="2848">
      <c r="A2848" s="19">
        <v>45083.0</v>
      </c>
      <c r="B2848" s="23">
        <v>1.0765E7</v>
      </c>
      <c r="C2848" s="23">
        <f t="shared" si="1"/>
        <v>7875850.959</v>
      </c>
      <c r="D2848" s="18">
        <f>IF(A2848="","",MATCH(A2848,Calculation!B$2:B9627,1))</f>
        <v>2</v>
      </c>
      <c r="E2848" s="23">
        <f t="array" ref="E2848">IF(D2848="","",IF(D2848=1,0,INDEX(Calculation!Q$2:Q9627,D2848-1)))</f>
        <v>3232449.315</v>
      </c>
      <c r="F2848" s="23">
        <f t="array" ref="F2848">IF($A2848="","",
  LET(
    r, $D2848,
    startD, INDEX(Calculation!B$2:B9627, r),
    endD,   INDEX(Calculation!C$2:C9627, r),
    asOf,   MIN($A2848,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4643401.644</v>
      </c>
    </row>
    <row r="2849">
      <c r="A2849" s="19">
        <v>45084.0</v>
      </c>
      <c r="B2849" s="23">
        <v>1.0765E7</v>
      </c>
      <c r="C2849" s="23">
        <f t="shared" si="1"/>
        <v>7882929.315</v>
      </c>
      <c r="D2849" s="18">
        <f>IF(A2849="","",MATCH(A2849,Calculation!B$2:B9627,1))</f>
        <v>2</v>
      </c>
      <c r="E2849" s="23">
        <f t="array" ref="E2849">IF(D2849="","",IF(D2849=1,0,INDEX(Calculation!Q$2:Q9627,D2849-1)))</f>
        <v>3232449.315</v>
      </c>
      <c r="F2849" s="23">
        <f t="array" ref="F2849">IF($A2849="","",
  LET(
    r, $D2849,
    startD, INDEX(Calculation!B$2:B9627, r),
    endD,   INDEX(Calculation!C$2:C9627, r),
    asOf,   MIN($A2849,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4650480</v>
      </c>
    </row>
    <row r="2850">
      <c r="A2850" s="19">
        <v>45085.0</v>
      </c>
      <c r="B2850" s="23">
        <v>1.0765E7</v>
      </c>
      <c r="C2850" s="23">
        <f t="shared" si="1"/>
        <v>7890007.671</v>
      </c>
      <c r="D2850" s="18">
        <f>IF(A2850="","",MATCH(A2850,Calculation!B$2:B9627,1))</f>
        <v>2</v>
      </c>
      <c r="E2850" s="23">
        <f t="array" ref="E2850">IF(D2850="","",IF(D2850=1,0,INDEX(Calculation!Q$2:Q9627,D2850-1)))</f>
        <v>3232449.315</v>
      </c>
      <c r="F2850" s="23">
        <f t="array" ref="F2850">IF($A2850="","",
  LET(
    r, $D2850,
    startD, INDEX(Calculation!B$2:B9627, r),
    endD,   INDEX(Calculation!C$2:C9627, r),
    asOf,   MIN($A2850,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4657558.356</v>
      </c>
    </row>
    <row r="2851">
      <c r="A2851" s="19">
        <v>45086.0</v>
      </c>
      <c r="B2851" s="23">
        <v>1.0765E7</v>
      </c>
      <c r="C2851" s="23">
        <f t="shared" si="1"/>
        <v>7897086.027</v>
      </c>
      <c r="D2851" s="18">
        <f>IF(A2851="","",MATCH(A2851,Calculation!B$2:B9627,1))</f>
        <v>2</v>
      </c>
      <c r="E2851" s="23">
        <f t="array" ref="E2851">IF(D2851="","",IF(D2851=1,0,INDEX(Calculation!Q$2:Q9627,D2851-1)))</f>
        <v>3232449.315</v>
      </c>
      <c r="F2851" s="23">
        <f t="array" ref="F2851">IF($A2851="","",
  LET(
    r, $D2851,
    startD, INDEX(Calculation!B$2:B9627, r),
    endD,   INDEX(Calculation!C$2:C9627, r),
    asOf,   MIN($A2851,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4664636.712</v>
      </c>
    </row>
    <row r="2852">
      <c r="A2852" s="19">
        <v>45087.0</v>
      </c>
      <c r="B2852" s="23">
        <v>1.0765E7</v>
      </c>
      <c r="C2852" s="23">
        <f t="shared" si="1"/>
        <v>7904164.384</v>
      </c>
      <c r="D2852" s="18">
        <f>IF(A2852="","",MATCH(A2852,Calculation!B$2:B9627,1))</f>
        <v>2</v>
      </c>
      <c r="E2852" s="23">
        <f t="array" ref="E2852">IF(D2852="","",IF(D2852=1,0,INDEX(Calculation!Q$2:Q9627,D2852-1)))</f>
        <v>3232449.315</v>
      </c>
      <c r="F2852" s="23">
        <f t="array" ref="F2852">IF($A2852="","",
  LET(
    r, $D2852,
    startD, INDEX(Calculation!B$2:B9627, r),
    endD,   INDEX(Calculation!C$2:C9627, r),
    asOf,   MIN($A2852,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4671715.068</v>
      </c>
    </row>
    <row r="2853">
      <c r="A2853" s="19">
        <v>45088.0</v>
      </c>
      <c r="B2853" s="23">
        <v>1.0765E7</v>
      </c>
      <c r="C2853" s="23">
        <f t="shared" si="1"/>
        <v>7911242.74</v>
      </c>
      <c r="D2853" s="18">
        <f>IF(A2853="","",MATCH(A2853,Calculation!B$2:B9627,1))</f>
        <v>2</v>
      </c>
      <c r="E2853" s="23">
        <f t="array" ref="E2853">IF(D2853="","",IF(D2853=1,0,INDEX(Calculation!Q$2:Q9627,D2853-1)))</f>
        <v>3232449.315</v>
      </c>
      <c r="F2853" s="23">
        <f t="array" ref="F2853">IF($A2853="","",
  LET(
    r, $D2853,
    startD, INDEX(Calculation!B$2:B9627, r),
    endD,   INDEX(Calculation!C$2:C9627, r),
    asOf,   MIN($A2853,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4678793.425</v>
      </c>
    </row>
    <row r="2854">
      <c r="A2854" s="19">
        <v>45089.0</v>
      </c>
      <c r="B2854" s="23">
        <v>1.0765E7</v>
      </c>
      <c r="C2854" s="23">
        <f t="shared" si="1"/>
        <v>7918321.096</v>
      </c>
      <c r="D2854" s="18">
        <f>IF(A2854="","",MATCH(A2854,Calculation!B$2:B9627,1))</f>
        <v>2</v>
      </c>
      <c r="E2854" s="23">
        <f t="array" ref="E2854">IF(D2854="","",IF(D2854=1,0,INDEX(Calculation!Q$2:Q9627,D2854-1)))</f>
        <v>3232449.315</v>
      </c>
      <c r="F2854" s="23">
        <f t="array" ref="F2854">IF($A2854="","",
  LET(
    r, $D2854,
    startD, INDEX(Calculation!B$2:B9627, r),
    endD,   INDEX(Calculation!C$2:C9627, r),
    asOf,   MIN($A2854,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4685871.781</v>
      </c>
    </row>
    <row r="2855">
      <c r="A2855" s="19">
        <v>45090.0</v>
      </c>
      <c r="B2855" s="23">
        <v>1.0765E7</v>
      </c>
      <c r="C2855" s="23">
        <f t="shared" si="1"/>
        <v>7925399.452</v>
      </c>
      <c r="D2855" s="18">
        <f>IF(A2855="","",MATCH(A2855,Calculation!B$2:B9627,1))</f>
        <v>2</v>
      </c>
      <c r="E2855" s="23">
        <f t="array" ref="E2855">IF(D2855="","",IF(D2855=1,0,INDEX(Calculation!Q$2:Q9627,D2855-1)))</f>
        <v>3232449.315</v>
      </c>
      <c r="F2855" s="23">
        <f t="array" ref="F2855">IF($A2855="","",
  LET(
    r, $D2855,
    startD, INDEX(Calculation!B$2:B9627, r),
    endD,   INDEX(Calculation!C$2:C9627, r),
    asOf,   MIN($A2855,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4692950.137</v>
      </c>
    </row>
    <row r="2856">
      <c r="A2856" s="19">
        <v>45091.0</v>
      </c>
      <c r="B2856" s="23">
        <v>1.0765E7</v>
      </c>
      <c r="C2856" s="23">
        <f t="shared" si="1"/>
        <v>7932477.808</v>
      </c>
      <c r="D2856" s="18">
        <f>IF(A2856="","",MATCH(A2856,Calculation!B$2:B9627,1))</f>
        <v>2</v>
      </c>
      <c r="E2856" s="23">
        <f t="array" ref="E2856">IF(D2856="","",IF(D2856=1,0,INDEX(Calculation!Q$2:Q9627,D2856-1)))</f>
        <v>3232449.315</v>
      </c>
      <c r="F2856" s="23">
        <f t="array" ref="F2856">IF($A2856="","",
  LET(
    r, $D2856,
    startD, INDEX(Calculation!B$2:B9627, r),
    endD,   INDEX(Calculation!C$2:C9627, r),
    asOf,   MIN($A2856,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4700028.493</v>
      </c>
    </row>
    <row r="2857">
      <c r="A2857" s="19">
        <v>45092.0</v>
      </c>
      <c r="B2857" s="23">
        <v>1.0765E7</v>
      </c>
      <c r="C2857" s="23">
        <f t="shared" si="1"/>
        <v>7939556.164</v>
      </c>
      <c r="D2857" s="18">
        <f>IF(A2857="","",MATCH(A2857,Calculation!B$2:B9627,1))</f>
        <v>2</v>
      </c>
      <c r="E2857" s="23">
        <f t="array" ref="E2857">IF(D2857="","",IF(D2857=1,0,INDEX(Calculation!Q$2:Q9627,D2857-1)))</f>
        <v>3232449.315</v>
      </c>
      <c r="F2857" s="23">
        <f t="array" ref="F2857">IF($A2857="","",
  LET(
    r, $D2857,
    startD, INDEX(Calculation!B$2:B9627, r),
    endD,   INDEX(Calculation!C$2:C9627, r),
    asOf,   MIN($A2857,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4707106.849</v>
      </c>
    </row>
    <row r="2858">
      <c r="A2858" s="19">
        <v>45093.0</v>
      </c>
      <c r="B2858" s="23">
        <v>1.0765E7</v>
      </c>
      <c r="C2858" s="23">
        <f t="shared" si="1"/>
        <v>7946634.521</v>
      </c>
      <c r="D2858" s="18">
        <f>IF(A2858="","",MATCH(A2858,Calculation!B$2:B9627,1))</f>
        <v>2</v>
      </c>
      <c r="E2858" s="23">
        <f t="array" ref="E2858">IF(D2858="","",IF(D2858=1,0,INDEX(Calculation!Q$2:Q9627,D2858-1)))</f>
        <v>3232449.315</v>
      </c>
      <c r="F2858" s="23">
        <f t="array" ref="F2858">IF($A2858="","",
  LET(
    r, $D2858,
    startD, INDEX(Calculation!B$2:B9627, r),
    endD,   INDEX(Calculation!C$2:C9627, r),
    asOf,   MIN($A2858,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4714185.205</v>
      </c>
    </row>
    <row r="2859">
      <c r="A2859" s="19">
        <v>45094.0</v>
      </c>
      <c r="B2859" s="23">
        <v>1.0765E7</v>
      </c>
      <c r="C2859" s="23">
        <f t="shared" si="1"/>
        <v>7953712.877</v>
      </c>
      <c r="D2859" s="18">
        <f>IF(A2859="","",MATCH(A2859,Calculation!B$2:B9627,1))</f>
        <v>2</v>
      </c>
      <c r="E2859" s="23">
        <f t="array" ref="E2859">IF(D2859="","",IF(D2859=1,0,INDEX(Calculation!Q$2:Q9627,D2859-1)))</f>
        <v>3232449.315</v>
      </c>
      <c r="F2859" s="23">
        <f t="array" ref="F2859">IF($A2859="","",
  LET(
    r, $D2859,
    startD, INDEX(Calculation!B$2:B9627, r),
    endD,   INDEX(Calculation!C$2:C9627, r),
    asOf,   MIN($A2859,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4721263.562</v>
      </c>
    </row>
    <row r="2860">
      <c r="A2860" s="19">
        <v>45095.0</v>
      </c>
      <c r="B2860" s="23">
        <v>1.0765E7</v>
      </c>
      <c r="C2860" s="23">
        <f t="shared" si="1"/>
        <v>7960791.233</v>
      </c>
      <c r="D2860" s="18">
        <f>IF(A2860="","",MATCH(A2860,Calculation!B$2:B9627,1))</f>
        <v>2</v>
      </c>
      <c r="E2860" s="23">
        <f t="array" ref="E2860">IF(D2860="","",IF(D2860=1,0,INDEX(Calculation!Q$2:Q9627,D2860-1)))</f>
        <v>3232449.315</v>
      </c>
      <c r="F2860" s="23">
        <f t="array" ref="F2860">IF($A2860="","",
  LET(
    r, $D2860,
    startD, INDEX(Calculation!B$2:B9627, r),
    endD,   INDEX(Calculation!C$2:C9627, r),
    asOf,   MIN($A2860,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4728341.918</v>
      </c>
    </row>
    <row r="2861">
      <c r="A2861" s="19">
        <v>45096.0</v>
      </c>
      <c r="B2861" s="23">
        <v>1.0765E7</v>
      </c>
      <c r="C2861" s="23">
        <f t="shared" si="1"/>
        <v>7967869.589</v>
      </c>
      <c r="D2861" s="18">
        <f>IF(A2861="","",MATCH(A2861,Calculation!B$2:B9627,1))</f>
        <v>2</v>
      </c>
      <c r="E2861" s="23">
        <f t="array" ref="E2861">IF(D2861="","",IF(D2861=1,0,INDEX(Calculation!Q$2:Q9627,D2861-1)))</f>
        <v>3232449.315</v>
      </c>
      <c r="F2861" s="23">
        <f t="array" ref="F2861">IF($A2861="","",
  LET(
    r, $D2861,
    startD, INDEX(Calculation!B$2:B9627, r),
    endD,   INDEX(Calculation!C$2:C9627, r),
    asOf,   MIN($A2861,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4735420.274</v>
      </c>
    </row>
    <row r="2862">
      <c r="A2862" s="19">
        <v>45097.0</v>
      </c>
      <c r="B2862" s="23">
        <v>1.0765E7</v>
      </c>
      <c r="C2862" s="23">
        <f t="shared" si="1"/>
        <v>7974947.945</v>
      </c>
      <c r="D2862" s="18">
        <f>IF(A2862="","",MATCH(A2862,Calculation!B$2:B9627,1))</f>
        <v>2</v>
      </c>
      <c r="E2862" s="23">
        <f t="array" ref="E2862">IF(D2862="","",IF(D2862=1,0,INDEX(Calculation!Q$2:Q9627,D2862-1)))</f>
        <v>3232449.315</v>
      </c>
      <c r="F2862" s="23">
        <f t="array" ref="F2862">IF($A2862="","",
  LET(
    r, $D2862,
    startD, INDEX(Calculation!B$2:B9627, r),
    endD,   INDEX(Calculation!C$2:C9627, r),
    asOf,   MIN($A2862,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4742498.63</v>
      </c>
    </row>
    <row r="2863">
      <c r="A2863" s="19">
        <v>45098.0</v>
      </c>
      <c r="B2863" s="23">
        <v>1.0765E7</v>
      </c>
      <c r="C2863" s="23">
        <f t="shared" si="1"/>
        <v>7982026.301</v>
      </c>
      <c r="D2863" s="18">
        <f>IF(A2863="","",MATCH(A2863,Calculation!B$2:B9627,1))</f>
        <v>2</v>
      </c>
      <c r="E2863" s="23">
        <f t="array" ref="E2863">IF(D2863="","",IF(D2863=1,0,INDEX(Calculation!Q$2:Q9627,D2863-1)))</f>
        <v>3232449.315</v>
      </c>
      <c r="F2863" s="23">
        <f t="array" ref="F2863">IF($A2863="","",
  LET(
    r, $D2863,
    startD, INDEX(Calculation!B$2:B9627, r),
    endD,   INDEX(Calculation!C$2:C9627, r),
    asOf,   MIN($A2863,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4749576.986</v>
      </c>
    </row>
    <row r="2864">
      <c r="A2864" s="19">
        <v>45099.0</v>
      </c>
      <c r="B2864" s="23">
        <v>1.0765E7</v>
      </c>
      <c r="C2864" s="23">
        <f t="shared" si="1"/>
        <v>7989104.658</v>
      </c>
      <c r="D2864" s="18">
        <f>IF(A2864="","",MATCH(A2864,Calculation!B$2:B9627,1))</f>
        <v>2</v>
      </c>
      <c r="E2864" s="23">
        <f t="array" ref="E2864">IF(D2864="","",IF(D2864=1,0,INDEX(Calculation!Q$2:Q9627,D2864-1)))</f>
        <v>3232449.315</v>
      </c>
      <c r="F2864" s="23">
        <f t="array" ref="F2864">IF($A2864="","",
  LET(
    r, $D2864,
    startD, INDEX(Calculation!B$2:B9627, r),
    endD,   INDEX(Calculation!C$2:C9627, r),
    asOf,   MIN($A2864,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4756655.342</v>
      </c>
    </row>
    <row r="2865">
      <c r="A2865" s="19">
        <v>45100.0</v>
      </c>
      <c r="B2865" s="23">
        <v>1.0765E7</v>
      </c>
      <c r="C2865" s="23">
        <f t="shared" si="1"/>
        <v>7996183.014</v>
      </c>
      <c r="D2865" s="18">
        <f>IF(A2865="","",MATCH(A2865,Calculation!B$2:B9627,1))</f>
        <v>2</v>
      </c>
      <c r="E2865" s="23">
        <f t="array" ref="E2865">IF(D2865="","",IF(D2865=1,0,INDEX(Calculation!Q$2:Q9627,D2865-1)))</f>
        <v>3232449.315</v>
      </c>
      <c r="F2865" s="23">
        <f t="array" ref="F2865">IF($A2865="","",
  LET(
    r, $D2865,
    startD, INDEX(Calculation!B$2:B9627, r),
    endD,   INDEX(Calculation!C$2:C9627, r),
    asOf,   MIN($A2865,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4763733.699</v>
      </c>
    </row>
    <row r="2866">
      <c r="A2866" s="19">
        <v>45101.0</v>
      </c>
      <c r="B2866" s="23">
        <v>1.0765E7</v>
      </c>
      <c r="C2866" s="23">
        <f t="shared" si="1"/>
        <v>8003261.37</v>
      </c>
      <c r="D2866" s="18">
        <f>IF(A2866="","",MATCH(A2866,Calculation!B$2:B9627,1))</f>
        <v>2</v>
      </c>
      <c r="E2866" s="23">
        <f t="array" ref="E2866">IF(D2866="","",IF(D2866=1,0,INDEX(Calculation!Q$2:Q9627,D2866-1)))</f>
        <v>3232449.315</v>
      </c>
      <c r="F2866" s="23">
        <f t="array" ref="F2866">IF($A2866="","",
  LET(
    r, $D2866,
    startD, INDEX(Calculation!B$2:B9627, r),
    endD,   INDEX(Calculation!C$2:C9627, r),
    asOf,   MIN($A2866,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4770812.055</v>
      </c>
    </row>
    <row r="2867">
      <c r="A2867" s="19">
        <v>45102.0</v>
      </c>
      <c r="B2867" s="23">
        <v>1.0765E7</v>
      </c>
      <c r="C2867" s="23">
        <f t="shared" si="1"/>
        <v>8010339.726</v>
      </c>
      <c r="D2867" s="18">
        <f>IF(A2867="","",MATCH(A2867,Calculation!B$2:B9627,1))</f>
        <v>2</v>
      </c>
      <c r="E2867" s="23">
        <f t="array" ref="E2867">IF(D2867="","",IF(D2867=1,0,INDEX(Calculation!Q$2:Q9627,D2867-1)))</f>
        <v>3232449.315</v>
      </c>
      <c r="F2867" s="23">
        <f t="array" ref="F2867">IF($A2867="","",
  LET(
    r, $D2867,
    startD, INDEX(Calculation!B$2:B9627, r),
    endD,   INDEX(Calculation!C$2:C9627, r),
    asOf,   MIN($A2867,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4777890.411</v>
      </c>
    </row>
    <row r="2868">
      <c r="A2868" s="19">
        <v>45103.0</v>
      </c>
      <c r="B2868" s="23">
        <v>1.0765E7</v>
      </c>
      <c r="C2868" s="23">
        <f t="shared" si="1"/>
        <v>8017418.082</v>
      </c>
      <c r="D2868" s="18">
        <f>IF(A2868="","",MATCH(A2868,Calculation!B$2:B9627,1))</f>
        <v>2</v>
      </c>
      <c r="E2868" s="23">
        <f t="array" ref="E2868">IF(D2868="","",IF(D2868=1,0,INDEX(Calculation!Q$2:Q9627,D2868-1)))</f>
        <v>3232449.315</v>
      </c>
      <c r="F2868" s="23">
        <f t="array" ref="F2868">IF($A2868="","",
  LET(
    r, $D2868,
    startD, INDEX(Calculation!B$2:B9627, r),
    endD,   INDEX(Calculation!C$2:C9627, r),
    asOf,   MIN($A2868,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4784968.767</v>
      </c>
    </row>
    <row r="2869">
      <c r="A2869" s="19">
        <v>45104.0</v>
      </c>
      <c r="B2869" s="23">
        <v>1.0765E7</v>
      </c>
      <c r="C2869" s="23">
        <f t="shared" si="1"/>
        <v>8024496.438</v>
      </c>
      <c r="D2869" s="18">
        <f>IF(A2869="","",MATCH(A2869,Calculation!B$2:B9627,1))</f>
        <v>2</v>
      </c>
      <c r="E2869" s="23">
        <f t="array" ref="E2869">IF(D2869="","",IF(D2869=1,0,INDEX(Calculation!Q$2:Q9627,D2869-1)))</f>
        <v>3232449.315</v>
      </c>
      <c r="F2869" s="23">
        <f t="array" ref="F2869">IF($A2869="","",
  LET(
    r, $D2869,
    startD, INDEX(Calculation!B$2:B9627, r),
    endD,   INDEX(Calculation!C$2:C9627, r),
    asOf,   MIN($A2869,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4792047.123</v>
      </c>
    </row>
    <row r="2870">
      <c r="A2870" s="19">
        <v>45105.0</v>
      </c>
      <c r="B2870" s="23">
        <v>1.0765E7</v>
      </c>
      <c r="C2870" s="23">
        <f t="shared" si="1"/>
        <v>8031574.795</v>
      </c>
      <c r="D2870" s="18">
        <f>IF(A2870="","",MATCH(A2870,Calculation!B$2:B9627,1))</f>
        <v>2</v>
      </c>
      <c r="E2870" s="23">
        <f t="array" ref="E2870">IF(D2870="","",IF(D2870=1,0,INDEX(Calculation!Q$2:Q9627,D2870-1)))</f>
        <v>3232449.315</v>
      </c>
      <c r="F2870" s="23">
        <f t="array" ref="F2870">IF($A2870="","",
  LET(
    r, $D2870,
    startD, INDEX(Calculation!B$2:B9627, r),
    endD,   INDEX(Calculation!C$2:C9627, r),
    asOf,   MIN($A2870,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4799125.479</v>
      </c>
    </row>
    <row r="2871">
      <c r="A2871" s="19">
        <v>45106.0</v>
      </c>
      <c r="B2871" s="23">
        <v>1.0765E7</v>
      </c>
      <c r="C2871" s="23">
        <f t="shared" si="1"/>
        <v>8038653.151</v>
      </c>
      <c r="D2871" s="18">
        <f>IF(A2871="","",MATCH(A2871,Calculation!B$2:B9627,1))</f>
        <v>2</v>
      </c>
      <c r="E2871" s="23">
        <f t="array" ref="E2871">IF(D2871="","",IF(D2871=1,0,INDEX(Calculation!Q$2:Q9627,D2871-1)))</f>
        <v>3232449.315</v>
      </c>
      <c r="F2871" s="23">
        <f t="array" ref="F2871">IF($A2871="","",
  LET(
    r, $D2871,
    startD, INDEX(Calculation!B$2:B9627, r),
    endD,   INDEX(Calculation!C$2:C9627, r),
    asOf,   MIN($A2871,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4806203.836</v>
      </c>
    </row>
    <row r="2872">
      <c r="A2872" s="19">
        <v>45107.0</v>
      </c>
      <c r="B2872" s="23">
        <v>1.0765E7</v>
      </c>
      <c r="C2872" s="23">
        <f t="shared" si="1"/>
        <v>8045731.507</v>
      </c>
      <c r="D2872" s="18">
        <f>IF(A2872="","",MATCH(A2872,Calculation!B$2:B9627,1))</f>
        <v>2</v>
      </c>
      <c r="E2872" s="23">
        <f t="array" ref="E2872">IF(D2872="","",IF(D2872=1,0,INDEX(Calculation!Q$2:Q9627,D2872-1)))</f>
        <v>3232449.315</v>
      </c>
      <c r="F2872" s="23">
        <f t="array" ref="F2872">IF($A2872="","",
  LET(
    r, $D2872,
    startD, INDEX(Calculation!B$2:B9627, r),
    endD,   INDEX(Calculation!C$2:C9627, r),
    asOf,   MIN($A2872,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4813282.192</v>
      </c>
    </row>
    <row r="2873">
      <c r="A2873" s="19">
        <v>45108.0</v>
      </c>
      <c r="B2873" s="23">
        <v>1.0765E7</v>
      </c>
      <c r="C2873" s="23">
        <f t="shared" si="1"/>
        <v>8052809.863</v>
      </c>
      <c r="D2873" s="18">
        <f>IF(A2873="","",MATCH(A2873,Calculation!B$2:B9627,1))</f>
        <v>2</v>
      </c>
      <c r="E2873" s="23">
        <f t="array" ref="E2873">IF(D2873="","",IF(D2873=1,0,INDEX(Calculation!Q$2:Q9627,D2873-1)))</f>
        <v>3232449.315</v>
      </c>
      <c r="F2873" s="23">
        <f t="array" ref="F2873">IF($A2873="","",
  LET(
    r, $D2873,
    startD, INDEX(Calculation!B$2:B9627, r),
    endD,   INDEX(Calculation!C$2:C9627, r),
    asOf,   MIN($A2873,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4820360.548</v>
      </c>
    </row>
    <row r="2874">
      <c r="A2874" s="19">
        <v>45109.0</v>
      </c>
      <c r="B2874" s="23">
        <v>1.0765E7</v>
      </c>
      <c r="C2874" s="23">
        <f t="shared" si="1"/>
        <v>8059888.219</v>
      </c>
      <c r="D2874" s="18">
        <f>IF(A2874="","",MATCH(A2874,Calculation!B$2:B9627,1))</f>
        <v>2</v>
      </c>
      <c r="E2874" s="23">
        <f t="array" ref="E2874">IF(D2874="","",IF(D2874=1,0,INDEX(Calculation!Q$2:Q9627,D2874-1)))</f>
        <v>3232449.315</v>
      </c>
      <c r="F2874" s="23">
        <f t="array" ref="F2874">IF($A2874="","",
  LET(
    r, $D2874,
    startD, INDEX(Calculation!B$2:B9627, r),
    endD,   INDEX(Calculation!C$2:C9627, r),
    asOf,   MIN($A2874,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4827438.904</v>
      </c>
    </row>
    <row r="2875">
      <c r="A2875" s="19">
        <v>45110.0</v>
      </c>
      <c r="B2875" s="23">
        <v>1.0765E7</v>
      </c>
      <c r="C2875" s="23">
        <f t="shared" si="1"/>
        <v>8066966.575</v>
      </c>
      <c r="D2875" s="18">
        <f>IF(A2875="","",MATCH(A2875,Calculation!B$2:B9627,1))</f>
        <v>2</v>
      </c>
      <c r="E2875" s="23">
        <f t="array" ref="E2875">IF(D2875="","",IF(D2875=1,0,INDEX(Calculation!Q$2:Q9627,D2875-1)))</f>
        <v>3232449.315</v>
      </c>
      <c r="F2875" s="23">
        <f t="array" ref="F2875">IF($A2875="","",
  LET(
    r, $D2875,
    startD, INDEX(Calculation!B$2:B9627, r),
    endD,   INDEX(Calculation!C$2:C9627, r),
    asOf,   MIN($A2875,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4834517.26</v>
      </c>
    </row>
    <row r="2876">
      <c r="A2876" s="19">
        <v>45111.0</v>
      </c>
      <c r="B2876" s="23">
        <v>1.0765E7</v>
      </c>
      <c r="C2876" s="23">
        <f t="shared" si="1"/>
        <v>8074044.932</v>
      </c>
      <c r="D2876" s="18">
        <f>IF(A2876="","",MATCH(A2876,Calculation!B$2:B9627,1))</f>
        <v>2</v>
      </c>
      <c r="E2876" s="23">
        <f t="array" ref="E2876">IF(D2876="","",IF(D2876=1,0,INDEX(Calculation!Q$2:Q9627,D2876-1)))</f>
        <v>3232449.315</v>
      </c>
      <c r="F2876" s="23">
        <f t="array" ref="F2876">IF($A2876="","",
  LET(
    r, $D2876,
    startD, INDEX(Calculation!B$2:B9627, r),
    endD,   INDEX(Calculation!C$2:C9627, r),
    asOf,   MIN($A2876,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4841595.616</v>
      </c>
    </row>
    <row r="2877">
      <c r="A2877" s="19">
        <v>45112.0</v>
      </c>
      <c r="B2877" s="23">
        <v>1.0765E7</v>
      </c>
      <c r="C2877" s="23">
        <f t="shared" si="1"/>
        <v>8081123.288</v>
      </c>
      <c r="D2877" s="18">
        <f>IF(A2877="","",MATCH(A2877,Calculation!B$2:B9627,1))</f>
        <v>2</v>
      </c>
      <c r="E2877" s="23">
        <f t="array" ref="E2877">IF(D2877="","",IF(D2877=1,0,INDEX(Calculation!Q$2:Q9627,D2877-1)))</f>
        <v>3232449.315</v>
      </c>
      <c r="F2877" s="23">
        <f t="array" ref="F2877">IF($A2877="","",
  LET(
    r, $D2877,
    startD, INDEX(Calculation!B$2:B9627, r),
    endD,   INDEX(Calculation!C$2:C9627, r),
    asOf,   MIN($A2877,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4848673.973</v>
      </c>
    </row>
    <row r="2878">
      <c r="A2878" s="19">
        <v>45113.0</v>
      </c>
      <c r="B2878" s="23">
        <v>1.0765E7</v>
      </c>
      <c r="C2878" s="23">
        <f t="shared" si="1"/>
        <v>8088201.644</v>
      </c>
      <c r="D2878" s="18">
        <f>IF(A2878="","",MATCH(A2878,Calculation!B$2:B9627,1))</f>
        <v>2</v>
      </c>
      <c r="E2878" s="23">
        <f t="array" ref="E2878">IF(D2878="","",IF(D2878=1,0,INDEX(Calculation!Q$2:Q9627,D2878-1)))</f>
        <v>3232449.315</v>
      </c>
      <c r="F2878" s="23">
        <f t="array" ref="F2878">IF($A2878="","",
  LET(
    r, $D2878,
    startD, INDEX(Calculation!B$2:B9627, r),
    endD,   INDEX(Calculation!C$2:C9627, r),
    asOf,   MIN($A2878,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4855752.329</v>
      </c>
    </row>
    <row r="2879">
      <c r="A2879" s="19">
        <v>45114.0</v>
      </c>
      <c r="B2879" s="23">
        <v>1.0765E7</v>
      </c>
      <c r="C2879" s="23">
        <f t="shared" si="1"/>
        <v>8095280</v>
      </c>
      <c r="D2879" s="18">
        <f>IF(A2879="","",MATCH(A2879,Calculation!B$2:B9627,1))</f>
        <v>2</v>
      </c>
      <c r="E2879" s="23">
        <f t="array" ref="E2879">IF(D2879="","",IF(D2879=1,0,INDEX(Calculation!Q$2:Q9627,D2879-1)))</f>
        <v>3232449.315</v>
      </c>
      <c r="F2879" s="23">
        <f t="array" ref="F2879">IF($A2879="","",
  LET(
    r, $D2879,
    startD, INDEX(Calculation!B$2:B9627, r),
    endD,   INDEX(Calculation!C$2:C9627, r),
    asOf,   MIN($A2879,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4862830.685</v>
      </c>
    </row>
    <row r="2880">
      <c r="A2880" s="19">
        <v>45115.0</v>
      </c>
      <c r="B2880" s="23">
        <v>1.0765E7</v>
      </c>
      <c r="C2880" s="23">
        <f t="shared" si="1"/>
        <v>8102358.356</v>
      </c>
      <c r="D2880" s="18">
        <f>IF(A2880="","",MATCH(A2880,Calculation!B$2:B9627,1))</f>
        <v>2</v>
      </c>
      <c r="E2880" s="23">
        <f t="array" ref="E2880">IF(D2880="","",IF(D2880=1,0,INDEX(Calculation!Q$2:Q9627,D2880-1)))</f>
        <v>3232449.315</v>
      </c>
      <c r="F2880" s="23">
        <f t="array" ref="F2880">IF($A2880="","",
  LET(
    r, $D2880,
    startD, INDEX(Calculation!B$2:B9627, r),
    endD,   INDEX(Calculation!C$2:C9627, r),
    asOf,   MIN($A2880,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4869909.041</v>
      </c>
    </row>
    <row r="2881">
      <c r="A2881" s="19">
        <v>45116.0</v>
      </c>
      <c r="B2881" s="23">
        <v>1.0765E7</v>
      </c>
      <c r="C2881" s="23">
        <f t="shared" si="1"/>
        <v>8109436.712</v>
      </c>
      <c r="D2881" s="18">
        <f>IF(A2881="","",MATCH(A2881,Calculation!B$2:B9627,1))</f>
        <v>2</v>
      </c>
      <c r="E2881" s="23">
        <f t="array" ref="E2881">IF(D2881="","",IF(D2881=1,0,INDEX(Calculation!Q$2:Q9627,D2881-1)))</f>
        <v>3232449.315</v>
      </c>
      <c r="F2881" s="23">
        <f t="array" ref="F2881">IF($A2881="","",
  LET(
    r, $D2881,
    startD, INDEX(Calculation!B$2:B9627, r),
    endD,   INDEX(Calculation!C$2:C9627, r),
    asOf,   MIN($A2881,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4876987.397</v>
      </c>
    </row>
    <row r="2882">
      <c r="A2882" s="19">
        <v>45117.0</v>
      </c>
      <c r="B2882" s="23">
        <v>1.0765E7</v>
      </c>
      <c r="C2882" s="23">
        <f t="shared" si="1"/>
        <v>8116515.068</v>
      </c>
      <c r="D2882" s="18">
        <f>IF(A2882="","",MATCH(A2882,Calculation!B$2:B9627,1))</f>
        <v>2</v>
      </c>
      <c r="E2882" s="23">
        <f t="array" ref="E2882">IF(D2882="","",IF(D2882=1,0,INDEX(Calculation!Q$2:Q9627,D2882-1)))</f>
        <v>3232449.315</v>
      </c>
      <c r="F2882" s="23">
        <f t="array" ref="F2882">IF($A2882="","",
  LET(
    r, $D2882,
    startD, INDEX(Calculation!B$2:B9627, r),
    endD,   INDEX(Calculation!C$2:C9627, r),
    asOf,   MIN($A2882,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4884065.753</v>
      </c>
    </row>
    <row r="2883">
      <c r="A2883" s="19">
        <v>45118.0</v>
      </c>
      <c r="B2883" s="23">
        <v>1.0765E7</v>
      </c>
      <c r="C2883" s="23">
        <f t="shared" si="1"/>
        <v>8123593.425</v>
      </c>
      <c r="D2883" s="18">
        <f>IF(A2883="","",MATCH(A2883,Calculation!B$2:B9627,1))</f>
        <v>2</v>
      </c>
      <c r="E2883" s="23">
        <f t="array" ref="E2883">IF(D2883="","",IF(D2883=1,0,INDEX(Calculation!Q$2:Q9627,D2883-1)))</f>
        <v>3232449.315</v>
      </c>
      <c r="F2883" s="23">
        <f t="array" ref="F2883">IF($A2883="","",
  LET(
    r, $D2883,
    startD, INDEX(Calculation!B$2:B9627, r),
    endD,   INDEX(Calculation!C$2:C9627, r),
    asOf,   MIN($A2883,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4891144.11</v>
      </c>
    </row>
    <row r="2884">
      <c r="A2884" s="19">
        <v>45119.0</v>
      </c>
      <c r="B2884" s="23">
        <v>1.0765E7</v>
      </c>
      <c r="C2884" s="23">
        <f t="shared" si="1"/>
        <v>8130671.781</v>
      </c>
      <c r="D2884" s="18">
        <f>IF(A2884="","",MATCH(A2884,Calculation!B$2:B9627,1))</f>
        <v>2</v>
      </c>
      <c r="E2884" s="23">
        <f t="array" ref="E2884">IF(D2884="","",IF(D2884=1,0,INDEX(Calculation!Q$2:Q9627,D2884-1)))</f>
        <v>3232449.315</v>
      </c>
      <c r="F2884" s="23">
        <f t="array" ref="F2884">IF($A2884="","",
  LET(
    r, $D2884,
    startD, INDEX(Calculation!B$2:B9627, r),
    endD,   INDEX(Calculation!C$2:C9627, r),
    asOf,   MIN($A2884,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4898222.466</v>
      </c>
    </row>
    <row r="2885">
      <c r="A2885" s="19">
        <v>45120.0</v>
      </c>
      <c r="B2885" s="23">
        <v>1.0765E7</v>
      </c>
      <c r="C2885" s="23">
        <f t="shared" si="1"/>
        <v>8137750.137</v>
      </c>
      <c r="D2885" s="18">
        <f>IF(A2885="","",MATCH(A2885,Calculation!B$2:B9627,1))</f>
        <v>2</v>
      </c>
      <c r="E2885" s="23">
        <f t="array" ref="E2885">IF(D2885="","",IF(D2885=1,0,INDEX(Calculation!Q$2:Q9627,D2885-1)))</f>
        <v>3232449.315</v>
      </c>
      <c r="F2885" s="23">
        <f t="array" ref="F2885">IF($A2885="","",
  LET(
    r, $D2885,
    startD, INDEX(Calculation!B$2:B9627, r),
    endD,   INDEX(Calculation!C$2:C9627, r),
    asOf,   MIN($A2885,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4905300.822</v>
      </c>
    </row>
    <row r="2886">
      <c r="A2886" s="19">
        <v>45121.0</v>
      </c>
      <c r="B2886" s="23">
        <v>1.0765E7</v>
      </c>
      <c r="C2886" s="23">
        <f t="shared" si="1"/>
        <v>8144828.493</v>
      </c>
      <c r="D2886" s="18">
        <f>IF(A2886="","",MATCH(A2886,Calculation!B$2:B9627,1))</f>
        <v>2</v>
      </c>
      <c r="E2886" s="23">
        <f t="array" ref="E2886">IF(D2886="","",IF(D2886=1,0,INDEX(Calculation!Q$2:Q9627,D2886-1)))</f>
        <v>3232449.315</v>
      </c>
      <c r="F2886" s="23">
        <f t="array" ref="F2886">IF($A2886="","",
  LET(
    r, $D2886,
    startD, INDEX(Calculation!B$2:B9627, r),
    endD,   INDEX(Calculation!C$2:C9627, r),
    asOf,   MIN($A2886,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4912379.178</v>
      </c>
    </row>
    <row r="2887">
      <c r="A2887" s="19">
        <v>45122.0</v>
      </c>
      <c r="B2887" s="23">
        <v>1.0765E7</v>
      </c>
      <c r="C2887" s="23">
        <f t="shared" si="1"/>
        <v>8151906.849</v>
      </c>
      <c r="D2887" s="18">
        <f>IF(A2887="","",MATCH(A2887,Calculation!B$2:B9627,1))</f>
        <v>2</v>
      </c>
      <c r="E2887" s="23">
        <f t="array" ref="E2887">IF(D2887="","",IF(D2887=1,0,INDEX(Calculation!Q$2:Q9627,D2887-1)))</f>
        <v>3232449.315</v>
      </c>
      <c r="F2887" s="23">
        <f t="array" ref="F2887">IF($A2887="","",
  LET(
    r, $D2887,
    startD, INDEX(Calculation!B$2:B9627, r),
    endD,   INDEX(Calculation!C$2:C9627, r),
    asOf,   MIN($A2887,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4919457.534</v>
      </c>
    </row>
    <row r="2888">
      <c r="A2888" s="19">
        <v>45123.0</v>
      </c>
      <c r="B2888" s="23">
        <v>1.0765E7</v>
      </c>
      <c r="C2888" s="23">
        <f t="shared" si="1"/>
        <v>8158985.205</v>
      </c>
      <c r="D2888" s="18">
        <f>IF(A2888="","",MATCH(A2888,Calculation!B$2:B9627,1))</f>
        <v>2</v>
      </c>
      <c r="E2888" s="23">
        <f t="array" ref="E2888">IF(D2888="","",IF(D2888=1,0,INDEX(Calculation!Q$2:Q9627,D2888-1)))</f>
        <v>3232449.315</v>
      </c>
      <c r="F2888" s="23">
        <f t="array" ref="F2888">IF($A2888="","",
  LET(
    r, $D2888,
    startD, INDEX(Calculation!B$2:B9627, r),
    endD,   INDEX(Calculation!C$2:C9627, r),
    asOf,   MIN($A2888,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4926535.89</v>
      </c>
    </row>
    <row r="2889">
      <c r="A2889" s="19">
        <v>45124.0</v>
      </c>
      <c r="B2889" s="23">
        <v>1.0765E7</v>
      </c>
      <c r="C2889" s="23">
        <f t="shared" si="1"/>
        <v>8166063.562</v>
      </c>
      <c r="D2889" s="18">
        <f>IF(A2889="","",MATCH(A2889,Calculation!B$2:B9627,1))</f>
        <v>2</v>
      </c>
      <c r="E2889" s="23">
        <f t="array" ref="E2889">IF(D2889="","",IF(D2889=1,0,INDEX(Calculation!Q$2:Q9627,D2889-1)))</f>
        <v>3232449.315</v>
      </c>
      <c r="F2889" s="23">
        <f t="array" ref="F2889">IF($A2889="","",
  LET(
    r, $D2889,
    startD, INDEX(Calculation!B$2:B9627, r),
    endD,   INDEX(Calculation!C$2:C9627, r),
    asOf,   MIN($A2889,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4933614.247</v>
      </c>
    </row>
    <row r="2890">
      <c r="A2890" s="19">
        <v>45125.0</v>
      </c>
      <c r="B2890" s="23">
        <v>1.0765E7</v>
      </c>
      <c r="C2890" s="23">
        <f t="shared" si="1"/>
        <v>8173141.918</v>
      </c>
      <c r="D2890" s="18">
        <f>IF(A2890="","",MATCH(A2890,Calculation!B$2:B9627,1))</f>
        <v>2</v>
      </c>
      <c r="E2890" s="23">
        <f t="array" ref="E2890">IF(D2890="","",IF(D2890=1,0,INDEX(Calculation!Q$2:Q9627,D2890-1)))</f>
        <v>3232449.315</v>
      </c>
      <c r="F2890" s="23">
        <f t="array" ref="F2890">IF($A2890="","",
  LET(
    r, $D2890,
    startD, INDEX(Calculation!B$2:B9627, r),
    endD,   INDEX(Calculation!C$2:C9627, r),
    asOf,   MIN($A2890,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4940692.603</v>
      </c>
    </row>
    <row r="2891">
      <c r="A2891" s="19">
        <v>45126.0</v>
      </c>
      <c r="B2891" s="23">
        <v>1.0765E7</v>
      </c>
      <c r="C2891" s="23">
        <f t="shared" si="1"/>
        <v>8180220.274</v>
      </c>
      <c r="D2891" s="18">
        <f>IF(A2891="","",MATCH(A2891,Calculation!B$2:B9627,1))</f>
        <v>2</v>
      </c>
      <c r="E2891" s="23">
        <f t="array" ref="E2891">IF(D2891="","",IF(D2891=1,0,INDEX(Calculation!Q$2:Q9627,D2891-1)))</f>
        <v>3232449.315</v>
      </c>
      <c r="F2891" s="23">
        <f t="array" ref="F2891">IF($A2891="","",
  LET(
    r, $D2891,
    startD, INDEX(Calculation!B$2:B9627, r),
    endD,   INDEX(Calculation!C$2:C9627, r),
    asOf,   MIN($A2891,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4947770.959</v>
      </c>
    </row>
    <row r="2892">
      <c r="A2892" s="19">
        <v>45127.0</v>
      </c>
      <c r="B2892" s="23">
        <v>1.0765E7</v>
      </c>
      <c r="C2892" s="23">
        <f t="shared" si="1"/>
        <v>8187298.63</v>
      </c>
      <c r="D2892" s="18">
        <f>IF(A2892="","",MATCH(A2892,Calculation!B$2:B9627,1))</f>
        <v>2</v>
      </c>
      <c r="E2892" s="23">
        <f t="array" ref="E2892">IF(D2892="","",IF(D2892=1,0,INDEX(Calculation!Q$2:Q9627,D2892-1)))</f>
        <v>3232449.315</v>
      </c>
      <c r="F2892" s="23">
        <f t="array" ref="F2892">IF($A2892="","",
  LET(
    r, $D2892,
    startD, INDEX(Calculation!B$2:B9627, r),
    endD,   INDEX(Calculation!C$2:C9627, r),
    asOf,   MIN($A2892,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4954849.315</v>
      </c>
    </row>
    <row r="2893">
      <c r="A2893" s="19">
        <v>45128.0</v>
      </c>
      <c r="B2893" s="23">
        <v>1.0765E7</v>
      </c>
      <c r="C2893" s="23">
        <f t="shared" si="1"/>
        <v>8194376.986</v>
      </c>
      <c r="D2893" s="18">
        <f>IF(A2893="","",MATCH(A2893,Calculation!B$2:B9627,1))</f>
        <v>2</v>
      </c>
      <c r="E2893" s="23">
        <f t="array" ref="E2893">IF(D2893="","",IF(D2893=1,0,INDEX(Calculation!Q$2:Q9627,D2893-1)))</f>
        <v>3232449.315</v>
      </c>
      <c r="F2893" s="23">
        <f t="array" ref="F2893">IF($A2893="","",
  LET(
    r, $D2893,
    startD, INDEX(Calculation!B$2:B9627, r),
    endD,   INDEX(Calculation!C$2:C9627, r),
    asOf,   MIN($A2893,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4961927.671</v>
      </c>
    </row>
    <row r="2894">
      <c r="A2894" s="19">
        <v>45129.0</v>
      </c>
      <c r="B2894" s="23">
        <v>1.0765E7</v>
      </c>
      <c r="C2894" s="23">
        <f t="shared" si="1"/>
        <v>8201455.342</v>
      </c>
      <c r="D2894" s="18">
        <f>IF(A2894="","",MATCH(A2894,Calculation!B$2:B9627,1))</f>
        <v>2</v>
      </c>
      <c r="E2894" s="23">
        <f t="array" ref="E2894">IF(D2894="","",IF(D2894=1,0,INDEX(Calculation!Q$2:Q9627,D2894-1)))</f>
        <v>3232449.315</v>
      </c>
      <c r="F2894" s="23">
        <f t="array" ref="F2894">IF($A2894="","",
  LET(
    r, $D2894,
    startD, INDEX(Calculation!B$2:B9627, r),
    endD,   INDEX(Calculation!C$2:C9627, r),
    asOf,   MIN($A2894,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4969006.027</v>
      </c>
    </row>
    <row r="2895">
      <c r="A2895" s="19">
        <v>45130.0</v>
      </c>
      <c r="B2895" s="23">
        <v>1.0765E7</v>
      </c>
      <c r="C2895" s="23">
        <f t="shared" si="1"/>
        <v>8208533.699</v>
      </c>
      <c r="D2895" s="18">
        <f>IF(A2895="","",MATCH(A2895,Calculation!B$2:B9627,1))</f>
        <v>2</v>
      </c>
      <c r="E2895" s="23">
        <f t="array" ref="E2895">IF(D2895="","",IF(D2895=1,0,INDEX(Calculation!Q$2:Q9627,D2895-1)))</f>
        <v>3232449.315</v>
      </c>
      <c r="F2895" s="23">
        <f t="array" ref="F2895">IF($A2895="","",
  LET(
    r, $D2895,
    startD, INDEX(Calculation!B$2:B9627, r),
    endD,   INDEX(Calculation!C$2:C9627, r),
    asOf,   MIN($A2895,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4976084.384</v>
      </c>
    </row>
    <row r="2896">
      <c r="A2896" s="19">
        <v>45131.0</v>
      </c>
      <c r="B2896" s="23">
        <v>1.0765E7</v>
      </c>
      <c r="C2896" s="23">
        <f t="shared" si="1"/>
        <v>8215612.055</v>
      </c>
      <c r="D2896" s="18">
        <f>IF(A2896="","",MATCH(A2896,Calculation!B$2:B9627,1))</f>
        <v>2</v>
      </c>
      <c r="E2896" s="23">
        <f t="array" ref="E2896">IF(D2896="","",IF(D2896=1,0,INDEX(Calculation!Q$2:Q9627,D2896-1)))</f>
        <v>3232449.315</v>
      </c>
      <c r="F2896" s="23">
        <f t="array" ref="F2896">IF($A2896="","",
  LET(
    r, $D2896,
    startD, INDEX(Calculation!B$2:B9627, r),
    endD,   INDEX(Calculation!C$2:C9627, r),
    asOf,   MIN($A2896,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4983162.74</v>
      </c>
    </row>
    <row r="2897">
      <c r="A2897" s="19">
        <v>45132.0</v>
      </c>
      <c r="B2897" s="23">
        <v>1.0765E7</v>
      </c>
      <c r="C2897" s="23">
        <f t="shared" si="1"/>
        <v>8222690.411</v>
      </c>
      <c r="D2897" s="18">
        <f>IF(A2897="","",MATCH(A2897,Calculation!B$2:B9627,1))</f>
        <v>2</v>
      </c>
      <c r="E2897" s="23">
        <f t="array" ref="E2897">IF(D2897="","",IF(D2897=1,0,INDEX(Calculation!Q$2:Q9627,D2897-1)))</f>
        <v>3232449.315</v>
      </c>
      <c r="F2897" s="23">
        <f t="array" ref="F2897">IF($A2897="","",
  LET(
    r, $D2897,
    startD, INDEX(Calculation!B$2:B9627, r),
    endD,   INDEX(Calculation!C$2:C9627, r),
    asOf,   MIN($A2897,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4990241.096</v>
      </c>
    </row>
    <row r="2898">
      <c r="A2898" s="19">
        <v>45133.0</v>
      </c>
      <c r="B2898" s="23">
        <v>1.0765E7</v>
      </c>
      <c r="C2898" s="23">
        <f t="shared" si="1"/>
        <v>8229768.767</v>
      </c>
      <c r="D2898" s="18">
        <f>IF(A2898="","",MATCH(A2898,Calculation!B$2:B9627,1))</f>
        <v>2</v>
      </c>
      <c r="E2898" s="23">
        <f t="array" ref="E2898">IF(D2898="","",IF(D2898=1,0,INDEX(Calculation!Q$2:Q9627,D2898-1)))</f>
        <v>3232449.315</v>
      </c>
      <c r="F2898" s="23">
        <f t="array" ref="F2898">IF($A2898="","",
  LET(
    r, $D2898,
    startD, INDEX(Calculation!B$2:B9627, r),
    endD,   INDEX(Calculation!C$2:C9627, r),
    asOf,   MIN($A2898,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4997319.452</v>
      </c>
    </row>
    <row r="2899">
      <c r="A2899" s="19">
        <v>45134.0</v>
      </c>
      <c r="B2899" s="23">
        <v>1.0765E7</v>
      </c>
      <c r="C2899" s="23">
        <f t="shared" si="1"/>
        <v>8236847.123</v>
      </c>
      <c r="D2899" s="18">
        <f>IF(A2899="","",MATCH(A2899,Calculation!B$2:B9627,1))</f>
        <v>2</v>
      </c>
      <c r="E2899" s="23">
        <f t="array" ref="E2899">IF(D2899="","",IF(D2899=1,0,INDEX(Calculation!Q$2:Q9627,D2899-1)))</f>
        <v>3232449.315</v>
      </c>
      <c r="F2899" s="23">
        <f t="array" ref="F2899">IF($A2899="","",
  LET(
    r, $D2899,
    startD, INDEX(Calculation!B$2:B9627, r),
    endD,   INDEX(Calculation!C$2:C9627, r),
    asOf,   MIN($A2899,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5004397.808</v>
      </c>
    </row>
    <row r="2900">
      <c r="A2900" s="19">
        <v>45135.0</v>
      </c>
      <c r="B2900" s="23">
        <v>1.0765E7</v>
      </c>
      <c r="C2900" s="23">
        <f t="shared" si="1"/>
        <v>8243925.479</v>
      </c>
      <c r="D2900" s="18">
        <f>IF(A2900="","",MATCH(A2900,Calculation!B$2:B9627,1))</f>
        <v>2</v>
      </c>
      <c r="E2900" s="23">
        <f t="array" ref="E2900">IF(D2900="","",IF(D2900=1,0,INDEX(Calculation!Q$2:Q9627,D2900-1)))</f>
        <v>3232449.315</v>
      </c>
      <c r="F2900" s="23">
        <f t="array" ref="F2900">IF($A2900="","",
  LET(
    r, $D2900,
    startD, INDEX(Calculation!B$2:B9627, r),
    endD,   INDEX(Calculation!C$2:C9627, r),
    asOf,   MIN($A2900,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5011476.164</v>
      </c>
    </row>
    <row r="2901">
      <c r="A2901" s="19">
        <v>45136.0</v>
      </c>
      <c r="B2901" s="23">
        <v>1.0765E7</v>
      </c>
      <c r="C2901" s="23">
        <f t="shared" si="1"/>
        <v>8251003.836</v>
      </c>
      <c r="D2901" s="18">
        <f>IF(A2901="","",MATCH(A2901,Calculation!B$2:B9627,1))</f>
        <v>2</v>
      </c>
      <c r="E2901" s="23">
        <f t="array" ref="E2901">IF(D2901="","",IF(D2901=1,0,INDEX(Calculation!Q$2:Q9627,D2901-1)))</f>
        <v>3232449.315</v>
      </c>
      <c r="F2901" s="23">
        <f t="array" ref="F2901">IF($A2901="","",
  LET(
    r, $D2901,
    startD, INDEX(Calculation!B$2:B9627, r),
    endD,   INDEX(Calculation!C$2:C9627, r),
    asOf,   MIN($A2901,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5018554.521</v>
      </c>
    </row>
    <row r="2902">
      <c r="A2902" s="19">
        <v>45137.0</v>
      </c>
      <c r="B2902" s="23">
        <v>1.0765E7</v>
      </c>
      <c r="C2902" s="23">
        <f t="shared" si="1"/>
        <v>8258082.192</v>
      </c>
      <c r="D2902" s="18">
        <f>IF(A2902="","",MATCH(A2902,Calculation!B$2:B9627,1))</f>
        <v>2</v>
      </c>
      <c r="E2902" s="23">
        <f t="array" ref="E2902">IF(D2902="","",IF(D2902=1,0,INDEX(Calculation!Q$2:Q9627,D2902-1)))</f>
        <v>3232449.315</v>
      </c>
      <c r="F2902" s="23">
        <f t="array" ref="F2902">IF($A2902="","",
  LET(
    r, $D2902,
    startD, INDEX(Calculation!B$2:B9627, r),
    endD,   INDEX(Calculation!C$2:C9627, r),
    asOf,   MIN($A2902,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5025632.877</v>
      </c>
    </row>
    <row r="2903">
      <c r="A2903" s="19">
        <v>45138.0</v>
      </c>
      <c r="B2903" s="23">
        <v>1.0765E7</v>
      </c>
      <c r="C2903" s="23">
        <f t="shared" si="1"/>
        <v>8265160.548</v>
      </c>
      <c r="D2903" s="18">
        <f>IF(A2903="","",MATCH(A2903,Calculation!B$2:B9627,1))</f>
        <v>2</v>
      </c>
      <c r="E2903" s="23">
        <f t="array" ref="E2903">IF(D2903="","",IF(D2903=1,0,INDEX(Calculation!Q$2:Q9627,D2903-1)))</f>
        <v>3232449.315</v>
      </c>
      <c r="F2903" s="23">
        <f t="array" ref="F2903">IF($A2903="","",
  LET(
    r, $D2903,
    startD, INDEX(Calculation!B$2:B9627, r),
    endD,   INDEX(Calculation!C$2:C9627, r),
    asOf,   MIN($A2903,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5032711.233</v>
      </c>
    </row>
    <row r="2904">
      <c r="A2904" s="19">
        <v>45139.0</v>
      </c>
      <c r="B2904" s="23">
        <v>1.0765E7</v>
      </c>
      <c r="C2904" s="23">
        <f t="shared" si="1"/>
        <v>8272238.904</v>
      </c>
      <c r="D2904" s="18">
        <f>IF(A2904="","",MATCH(A2904,Calculation!B$2:B9627,1))</f>
        <v>2</v>
      </c>
      <c r="E2904" s="23">
        <f t="array" ref="E2904">IF(D2904="","",IF(D2904=1,0,INDEX(Calculation!Q$2:Q9627,D2904-1)))</f>
        <v>3232449.315</v>
      </c>
      <c r="F2904" s="23">
        <f t="array" ref="F2904">IF($A2904="","",
  LET(
    r, $D2904,
    startD, INDEX(Calculation!B$2:B9627, r),
    endD,   INDEX(Calculation!C$2:C9627, r),
    asOf,   MIN($A2904,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5039789.589</v>
      </c>
    </row>
    <row r="2905">
      <c r="A2905" s="19">
        <v>45140.0</v>
      </c>
      <c r="B2905" s="23">
        <v>1.0765E7</v>
      </c>
      <c r="C2905" s="23">
        <f t="shared" si="1"/>
        <v>8279317.26</v>
      </c>
      <c r="D2905" s="18">
        <f>IF(A2905="","",MATCH(A2905,Calculation!B$2:B9627,1))</f>
        <v>2</v>
      </c>
      <c r="E2905" s="23">
        <f t="array" ref="E2905">IF(D2905="","",IF(D2905=1,0,INDEX(Calculation!Q$2:Q9627,D2905-1)))</f>
        <v>3232449.315</v>
      </c>
      <c r="F2905" s="23">
        <f t="array" ref="F2905">IF($A2905="","",
  LET(
    r, $D2905,
    startD, INDEX(Calculation!B$2:B9627, r),
    endD,   INDEX(Calculation!C$2:C9627, r),
    asOf,   MIN($A2905,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5046867.945</v>
      </c>
    </row>
    <row r="2906">
      <c r="A2906" s="19">
        <v>45141.0</v>
      </c>
      <c r="B2906" s="23">
        <v>1.0765E7</v>
      </c>
      <c r="C2906" s="23">
        <f t="shared" si="1"/>
        <v>8286395.616</v>
      </c>
      <c r="D2906" s="18">
        <f>IF(A2906="","",MATCH(A2906,Calculation!B$2:B9627,1))</f>
        <v>2</v>
      </c>
      <c r="E2906" s="23">
        <f t="array" ref="E2906">IF(D2906="","",IF(D2906=1,0,INDEX(Calculation!Q$2:Q9627,D2906-1)))</f>
        <v>3232449.315</v>
      </c>
      <c r="F2906" s="23">
        <f t="array" ref="F2906">IF($A2906="","",
  LET(
    r, $D2906,
    startD, INDEX(Calculation!B$2:B9627, r),
    endD,   INDEX(Calculation!C$2:C9627, r),
    asOf,   MIN($A2906,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5053946.301</v>
      </c>
    </row>
    <row r="2907">
      <c r="A2907" s="19">
        <v>45142.0</v>
      </c>
      <c r="B2907" s="23">
        <v>1.0765E7</v>
      </c>
      <c r="C2907" s="23">
        <f t="shared" si="1"/>
        <v>8293473.973</v>
      </c>
      <c r="D2907" s="18">
        <f>IF(A2907="","",MATCH(A2907,Calculation!B$2:B9627,1))</f>
        <v>2</v>
      </c>
      <c r="E2907" s="23">
        <f t="array" ref="E2907">IF(D2907="","",IF(D2907=1,0,INDEX(Calculation!Q$2:Q9627,D2907-1)))</f>
        <v>3232449.315</v>
      </c>
      <c r="F2907" s="23">
        <f t="array" ref="F2907">IF($A2907="","",
  LET(
    r, $D2907,
    startD, INDEX(Calculation!B$2:B9627, r),
    endD,   INDEX(Calculation!C$2:C9627, r),
    asOf,   MIN($A2907,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5061024.658</v>
      </c>
    </row>
    <row r="2908">
      <c r="A2908" s="19">
        <v>45143.0</v>
      </c>
      <c r="B2908" s="23">
        <v>1.0765E7</v>
      </c>
      <c r="C2908" s="23">
        <f t="shared" si="1"/>
        <v>8300552.329</v>
      </c>
      <c r="D2908" s="18">
        <f>IF(A2908="","",MATCH(A2908,Calculation!B$2:B9627,1))</f>
        <v>2</v>
      </c>
      <c r="E2908" s="23">
        <f t="array" ref="E2908">IF(D2908="","",IF(D2908=1,0,INDEX(Calculation!Q$2:Q9627,D2908-1)))</f>
        <v>3232449.315</v>
      </c>
      <c r="F2908" s="23">
        <f t="array" ref="F2908">IF($A2908="","",
  LET(
    r, $D2908,
    startD, INDEX(Calculation!B$2:B9627, r),
    endD,   INDEX(Calculation!C$2:C9627, r),
    asOf,   MIN($A2908,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5068103.014</v>
      </c>
    </row>
    <row r="2909">
      <c r="A2909" s="19">
        <v>45144.0</v>
      </c>
      <c r="B2909" s="23">
        <v>1.0765E7</v>
      </c>
      <c r="C2909" s="23">
        <f t="shared" si="1"/>
        <v>8307630.685</v>
      </c>
      <c r="D2909" s="18">
        <f>IF(A2909="","",MATCH(A2909,Calculation!B$2:B9627,1))</f>
        <v>2</v>
      </c>
      <c r="E2909" s="23">
        <f t="array" ref="E2909">IF(D2909="","",IF(D2909=1,0,INDEX(Calculation!Q$2:Q9627,D2909-1)))</f>
        <v>3232449.315</v>
      </c>
      <c r="F2909" s="23">
        <f t="array" ref="F2909">IF($A2909="","",
  LET(
    r, $D2909,
    startD, INDEX(Calculation!B$2:B9627, r),
    endD,   INDEX(Calculation!C$2:C9627, r),
    asOf,   MIN($A2909,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5075181.37</v>
      </c>
    </row>
    <row r="2910">
      <c r="A2910" s="19">
        <v>45145.0</v>
      </c>
      <c r="B2910" s="23">
        <v>1.0765E7</v>
      </c>
      <c r="C2910" s="23">
        <f t="shared" si="1"/>
        <v>8314709.041</v>
      </c>
      <c r="D2910" s="18">
        <f>IF(A2910="","",MATCH(A2910,Calculation!B$2:B9627,1))</f>
        <v>2</v>
      </c>
      <c r="E2910" s="23">
        <f t="array" ref="E2910">IF(D2910="","",IF(D2910=1,0,INDEX(Calculation!Q$2:Q9627,D2910-1)))</f>
        <v>3232449.315</v>
      </c>
      <c r="F2910" s="23">
        <f t="array" ref="F2910">IF($A2910="","",
  LET(
    r, $D2910,
    startD, INDEX(Calculation!B$2:B9627, r),
    endD,   INDEX(Calculation!C$2:C9627, r),
    asOf,   MIN($A2910,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5082259.726</v>
      </c>
    </row>
    <row r="2911">
      <c r="A2911" s="19">
        <v>45146.0</v>
      </c>
      <c r="B2911" s="23">
        <v>1.0765E7</v>
      </c>
      <c r="C2911" s="23">
        <f t="shared" si="1"/>
        <v>8321787.397</v>
      </c>
      <c r="D2911" s="18">
        <f>IF(A2911="","",MATCH(A2911,Calculation!B$2:B9627,1))</f>
        <v>2</v>
      </c>
      <c r="E2911" s="23">
        <f t="array" ref="E2911">IF(D2911="","",IF(D2911=1,0,INDEX(Calculation!Q$2:Q9627,D2911-1)))</f>
        <v>3232449.315</v>
      </c>
      <c r="F2911" s="23">
        <f t="array" ref="F2911">IF($A2911="","",
  LET(
    r, $D2911,
    startD, INDEX(Calculation!B$2:B9627, r),
    endD,   INDEX(Calculation!C$2:C9627, r),
    asOf,   MIN($A2911,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5089338.082</v>
      </c>
    </row>
    <row r="2912">
      <c r="A2912" s="19">
        <v>45147.0</v>
      </c>
      <c r="B2912" s="23">
        <v>1.0765E7</v>
      </c>
      <c r="C2912" s="23">
        <f t="shared" si="1"/>
        <v>8328865.753</v>
      </c>
      <c r="D2912" s="18">
        <f>IF(A2912="","",MATCH(A2912,Calculation!B$2:B9627,1))</f>
        <v>2</v>
      </c>
      <c r="E2912" s="23">
        <f t="array" ref="E2912">IF(D2912="","",IF(D2912=1,0,INDEX(Calculation!Q$2:Q9627,D2912-1)))</f>
        <v>3232449.315</v>
      </c>
      <c r="F2912" s="23">
        <f t="array" ref="F2912">IF($A2912="","",
  LET(
    r, $D2912,
    startD, INDEX(Calculation!B$2:B9627, r),
    endD,   INDEX(Calculation!C$2:C9627, r),
    asOf,   MIN($A2912,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5096416.438</v>
      </c>
    </row>
    <row r="2913">
      <c r="A2913" s="19">
        <v>45148.0</v>
      </c>
      <c r="B2913" s="23">
        <v>1.0765E7</v>
      </c>
      <c r="C2913" s="23">
        <f t="shared" si="1"/>
        <v>8335944.11</v>
      </c>
      <c r="D2913" s="18">
        <f>IF(A2913="","",MATCH(A2913,Calculation!B$2:B9627,1))</f>
        <v>2</v>
      </c>
      <c r="E2913" s="23">
        <f t="array" ref="E2913">IF(D2913="","",IF(D2913=1,0,INDEX(Calculation!Q$2:Q9627,D2913-1)))</f>
        <v>3232449.315</v>
      </c>
      <c r="F2913" s="23">
        <f t="array" ref="F2913">IF($A2913="","",
  LET(
    r, $D2913,
    startD, INDEX(Calculation!B$2:B9627, r),
    endD,   INDEX(Calculation!C$2:C9627, r),
    asOf,   MIN($A2913,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5103494.795</v>
      </c>
    </row>
    <row r="2914">
      <c r="A2914" s="19">
        <v>45149.0</v>
      </c>
      <c r="B2914" s="23">
        <v>1.0765E7</v>
      </c>
      <c r="C2914" s="23">
        <f t="shared" si="1"/>
        <v>8343022.466</v>
      </c>
      <c r="D2914" s="18">
        <f>IF(A2914="","",MATCH(A2914,Calculation!B$2:B9627,1))</f>
        <v>2</v>
      </c>
      <c r="E2914" s="23">
        <f t="array" ref="E2914">IF(D2914="","",IF(D2914=1,0,INDEX(Calculation!Q$2:Q9627,D2914-1)))</f>
        <v>3232449.315</v>
      </c>
      <c r="F2914" s="23">
        <f t="array" ref="F2914">IF($A2914="","",
  LET(
    r, $D2914,
    startD, INDEX(Calculation!B$2:B9627, r),
    endD,   INDEX(Calculation!C$2:C9627, r),
    asOf,   MIN($A2914,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5110573.151</v>
      </c>
    </row>
    <row r="2915">
      <c r="A2915" s="19">
        <v>45150.0</v>
      </c>
      <c r="B2915" s="23">
        <v>1.0765E7</v>
      </c>
      <c r="C2915" s="23">
        <f t="shared" si="1"/>
        <v>8350100.822</v>
      </c>
      <c r="D2915" s="18">
        <f>IF(A2915="","",MATCH(A2915,Calculation!B$2:B9627,1))</f>
        <v>2</v>
      </c>
      <c r="E2915" s="23">
        <f t="array" ref="E2915">IF(D2915="","",IF(D2915=1,0,INDEX(Calculation!Q$2:Q9627,D2915-1)))</f>
        <v>3232449.315</v>
      </c>
      <c r="F2915" s="23">
        <f t="array" ref="F2915">IF($A2915="","",
  LET(
    r, $D2915,
    startD, INDEX(Calculation!B$2:B9627, r),
    endD,   INDEX(Calculation!C$2:C9627, r),
    asOf,   MIN($A2915,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5117651.507</v>
      </c>
    </row>
    <row r="2916">
      <c r="A2916" s="19">
        <v>45151.0</v>
      </c>
      <c r="B2916" s="23">
        <v>1.0765E7</v>
      </c>
      <c r="C2916" s="23">
        <f t="shared" si="1"/>
        <v>8357179.178</v>
      </c>
      <c r="D2916" s="18">
        <f>IF(A2916="","",MATCH(A2916,Calculation!B$2:B9627,1))</f>
        <v>2</v>
      </c>
      <c r="E2916" s="23">
        <f t="array" ref="E2916">IF(D2916="","",IF(D2916=1,0,INDEX(Calculation!Q$2:Q9627,D2916-1)))</f>
        <v>3232449.315</v>
      </c>
      <c r="F2916" s="23">
        <f t="array" ref="F2916">IF($A2916="","",
  LET(
    r, $D2916,
    startD, INDEX(Calculation!B$2:B9627, r),
    endD,   INDEX(Calculation!C$2:C9627, r),
    asOf,   MIN($A2916,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5124729.863</v>
      </c>
    </row>
    <row r="2917">
      <c r="A2917" s="19">
        <v>45152.0</v>
      </c>
      <c r="B2917" s="23">
        <v>1.0765E7</v>
      </c>
      <c r="C2917" s="23">
        <f t="shared" si="1"/>
        <v>8364257.534</v>
      </c>
      <c r="D2917" s="18">
        <f>IF(A2917="","",MATCH(A2917,Calculation!B$2:B9627,1))</f>
        <v>2</v>
      </c>
      <c r="E2917" s="23">
        <f t="array" ref="E2917">IF(D2917="","",IF(D2917=1,0,INDEX(Calculation!Q$2:Q9627,D2917-1)))</f>
        <v>3232449.315</v>
      </c>
      <c r="F2917" s="23">
        <f t="array" ref="F2917">IF($A2917="","",
  LET(
    r, $D2917,
    startD, INDEX(Calculation!B$2:B9627, r),
    endD,   INDEX(Calculation!C$2:C9627, r),
    asOf,   MIN($A2917,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5131808.219</v>
      </c>
    </row>
    <row r="2918">
      <c r="A2918" s="19">
        <v>45153.0</v>
      </c>
      <c r="B2918" s="23">
        <v>1.0765E7</v>
      </c>
      <c r="C2918" s="23">
        <f t="shared" si="1"/>
        <v>8371335.89</v>
      </c>
      <c r="D2918" s="18">
        <f>IF(A2918="","",MATCH(A2918,Calculation!B$2:B9627,1))</f>
        <v>2</v>
      </c>
      <c r="E2918" s="23">
        <f t="array" ref="E2918">IF(D2918="","",IF(D2918=1,0,INDEX(Calculation!Q$2:Q9627,D2918-1)))</f>
        <v>3232449.315</v>
      </c>
      <c r="F2918" s="23">
        <f t="array" ref="F2918">IF($A2918="","",
  LET(
    r, $D2918,
    startD, INDEX(Calculation!B$2:B9627, r),
    endD,   INDEX(Calculation!C$2:C9627, r),
    asOf,   MIN($A2918,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5138886.575</v>
      </c>
    </row>
    <row r="2919">
      <c r="A2919" s="19">
        <v>45154.0</v>
      </c>
      <c r="B2919" s="23">
        <v>1.0765E7</v>
      </c>
      <c r="C2919" s="23">
        <f t="shared" si="1"/>
        <v>8378414.247</v>
      </c>
      <c r="D2919" s="18">
        <f>IF(A2919="","",MATCH(A2919,Calculation!B$2:B9627,1))</f>
        <v>2</v>
      </c>
      <c r="E2919" s="23">
        <f t="array" ref="E2919">IF(D2919="","",IF(D2919=1,0,INDEX(Calculation!Q$2:Q9627,D2919-1)))</f>
        <v>3232449.315</v>
      </c>
      <c r="F2919" s="23">
        <f t="array" ref="F2919">IF($A2919="","",
  LET(
    r, $D2919,
    startD, INDEX(Calculation!B$2:B9627, r),
    endD,   INDEX(Calculation!C$2:C9627, r),
    asOf,   MIN($A2919,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5145964.932</v>
      </c>
    </row>
    <row r="2920">
      <c r="A2920" s="19">
        <v>45155.0</v>
      </c>
      <c r="B2920" s="23">
        <v>1.0765E7</v>
      </c>
      <c r="C2920" s="23">
        <f t="shared" si="1"/>
        <v>8385492.603</v>
      </c>
      <c r="D2920" s="18">
        <f>IF(A2920="","",MATCH(A2920,Calculation!B$2:B9627,1))</f>
        <v>2</v>
      </c>
      <c r="E2920" s="23">
        <f t="array" ref="E2920">IF(D2920="","",IF(D2920=1,0,INDEX(Calculation!Q$2:Q9627,D2920-1)))</f>
        <v>3232449.315</v>
      </c>
      <c r="F2920" s="23">
        <f t="array" ref="F2920">IF($A2920="","",
  LET(
    r, $D2920,
    startD, INDEX(Calculation!B$2:B9627, r),
    endD,   INDEX(Calculation!C$2:C9627, r),
    asOf,   MIN($A2920,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5153043.288</v>
      </c>
    </row>
    <row r="2921">
      <c r="A2921" s="19">
        <v>45156.0</v>
      </c>
      <c r="B2921" s="23">
        <v>1.0765E7</v>
      </c>
      <c r="C2921" s="23">
        <f t="shared" si="1"/>
        <v>8392570.959</v>
      </c>
      <c r="D2921" s="18">
        <f>IF(A2921="","",MATCH(A2921,Calculation!B$2:B9627,1))</f>
        <v>2</v>
      </c>
      <c r="E2921" s="23">
        <f t="array" ref="E2921">IF(D2921="","",IF(D2921=1,0,INDEX(Calculation!Q$2:Q9627,D2921-1)))</f>
        <v>3232449.315</v>
      </c>
      <c r="F2921" s="23">
        <f t="array" ref="F2921">IF($A2921="","",
  LET(
    r, $D2921,
    startD, INDEX(Calculation!B$2:B9627, r),
    endD,   INDEX(Calculation!C$2:C9627, r),
    asOf,   MIN($A2921,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5160121.644</v>
      </c>
    </row>
    <row r="2922">
      <c r="A2922" s="19">
        <v>45157.0</v>
      </c>
      <c r="B2922" s="23">
        <v>1.0765E7</v>
      </c>
      <c r="C2922" s="23">
        <f t="shared" si="1"/>
        <v>8399649.315</v>
      </c>
      <c r="D2922" s="18">
        <f>IF(A2922="","",MATCH(A2922,Calculation!B$2:B9627,1))</f>
        <v>2</v>
      </c>
      <c r="E2922" s="23">
        <f t="array" ref="E2922">IF(D2922="","",IF(D2922=1,0,INDEX(Calculation!Q$2:Q9627,D2922-1)))</f>
        <v>3232449.315</v>
      </c>
      <c r="F2922" s="23">
        <f t="array" ref="F2922">IF($A2922="","",
  LET(
    r, $D2922,
    startD, INDEX(Calculation!B$2:B9627, r),
    endD,   INDEX(Calculation!C$2:C9627, r),
    asOf,   MIN($A2922,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5167200</v>
      </c>
    </row>
    <row r="2923">
      <c r="A2923" s="19">
        <v>45158.0</v>
      </c>
      <c r="B2923" s="23">
        <v>1.0765E7</v>
      </c>
      <c r="C2923" s="23">
        <f t="shared" si="1"/>
        <v>8406727.671</v>
      </c>
      <c r="D2923" s="18">
        <f>IF(A2923="","",MATCH(A2923,Calculation!B$2:B9627,1))</f>
        <v>2</v>
      </c>
      <c r="E2923" s="23">
        <f t="array" ref="E2923">IF(D2923="","",IF(D2923=1,0,INDEX(Calculation!Q$2:Q9627,D2923-1)))</f>
        <v>3232449.315</v>
      </c>
      <c r="F2923" s="23">
        <f t="array" ref="F2923">IF($A2923="","",
  LET(
    r, $D2923,
    startD, INDEX(Calculation!B$2:B9627, r),
    endD,   INDEX(Calculation!C$2:C9627, r),
    asOf,   MIN($A2923,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5174278.356</v>
      </c>
    </row>
    <row r="2924">
      <c r="A2924" s="19">
        <v>45159.0</v>
      </c>
      <c r="B2924" s="23">
        <v>1.0765E7</v>
      </c>
      <c r="C2924" s="23">
        <f t="shared" si="1"/>
        <v>8413806.027</v>
      </c>
      <c r="D2924" s="18">
        <f>IF(A2924="","",MATCH(A2924,Calculation!B$2:B9627,1))</f>
        <v>2</v>
      </c>
      <c r="E2924" s="23">
        <f t="array" ref="E2924">IF(D2924="","",IF(D2924=1,0,INDEX(Calculation!Q$2:Q9627,D2924-1)))</f>
        <v>3232449.315</v>
      </c>
      <c r="F2924" s="23">
        <f t="array" ref="F2924">IF($A2924="","",
  LET(
    r, $D2924,
    startD, INDEX(Calculation!B$2:B9627, r),
    endD,   INDEX(Calculation!C$2:C9627, r),
    asOf,   MIN($A2924,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5181356.712</v>
      </c>
    </row>
    <row r="2925">
      <c r="A2925" s="19">
        <v>45160.0</v>
      </c>
      <c r="B2925" s="23">
        <v>1.0765E7</v>
      </c>
      <c r="C2925" s="23">
        <f t="shared" si="1"/>
        <v>8420884.384</v>
      </c>
      <c r="D2925" s="18">
        <f>IF(A2925="","",MATCH(A2925,Calculation!B$2:B9627,1))</f>
        <v>2</v>
      </c>
      <c r="E2925" s="23">
        <f t="array" ref="E2925">IF(D2925="","",IF(D2925=1,0,INDEX(Calculation!Q$2:Q9627,D2925-1)))</f>
        <v>3232449.315</v>
      </c>
      <c r="F2925" s="23">
        <f t="array" ref="F2925">IF($A2925="","",
  LET(
    r, $D2925,
    startD, INDEX(Calculation!B$2:B9627, r),
    endD,   INDEX(Calculation!C$2:C9627, r),
    asOf,   MIN($A2925,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5188435.068</v>
      </c>
    </row>
    <row r="2926">
      <c r="A2926" s="19">
        <v>45161.0</v>
      </c>
      <c r="B2926" s="23">
        <v>1.0765E7</v>
      </c>
      <c r="C2926" s="23">
        <f t="shared" si="1"/>
        <v>8427962.74</v>
      </c>
      <c r="D2926" s="18">
        <f>IF(A2926="","",MATCH(A2926,Calculation!B$2:B9627,1))</f>
        <v>2</v>
      </c>
      <c r="E2926" s="23">
        <f t="array" ref="E2926">IF(D2926="","",IF(D2926=1,0,INDEX(Calculation!Q$2:Q9627,D2926-1)))</f>
        <v>3232449.315</v>
      </c>
      <c r="F2926" s="23">
        <f t="array" ref="F2926">IF($A2926="","",
  LET(
    r, $D2926,
    startD, INDEX(Calculation!B$2:B9627, r),
    endD,   INDEX(Calculation!C$2:C9627, r),
    asOf,   MIN($A2926,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5195513.425</v>
      </c>
    </row>
    <row r="2927">
      <c r="A2927" s="19">
        <v>45162.0</v>
      </c>
      <c r="B2927" s="23">
        <v>1.0765E7</v>
      </c>
      <c r="C2927" s="23">
        <f t="shared" si="1"/>
        <v>8435041.096</v>
      </c>
      <c r="D2927" s="18">
        <f>IF(A2927="","",MATCH(A2927,Calculation!B$2:B9627,1))</f>
        <v>2</v>
      </c>
      <c r="E2927" s="23">
        <f t="array" ref="E2927">IF(D2927="","",IF(D2927=1,0,INDEX(Calculation!Q$2:Q9627,D2927-1)))</f>
        <v>3232449.315</v>
      </c>
      <c r="F2927" s="23">
        <f t="array" ref="F2927">IF($A2927="","",
  LET(
    r, $D2927,
    startD, INDEX(Calculation!B$2:B9627, r),
    endD,   INDEX(Calculation!C$2:C9627, r),
    asOf,   MIN($A2927,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5202591.781</v>
      </c>
    </row>
    <row r="2928">
      <c r="A2928" s="19">
        <v>45163.0</v>
      </c>
      <c r="B2928" s="23">
        <v>1.0765E7</v>
      </c>
      <c r="C2928" s="23">
        <f t="shared" si="1"/>
        <v>8442119.452</v>
      </c>
      <c r="D2928" s="18">
        <f>IF(A2928="","",MATCH(A2928,Calculation!B$2:B9627,1))</f>
        <v>2</v>
      </c>
      <c r="E2928" s="23">
        <f t="array" ref="E2928">IF(D2928="","",IF(D2928=1,0,INDEX(Calculation!Q$2:Q9627,D2928-1)))</f>
        <v>3232449.315</v>
      </c>
      <c r="F2928" s="23">
        <f t="array" ref="F2928">IF($A2928="","",
  LET(
    r, $D2928,
    startD, INDEX(Calculation!B$2:B9627, r),
    endD,   INDEX(Calculation!C$2:C9627, r),
    asOf,   MIN($A2928,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5209670.137</v>
      </c>
    </row>
    <row r="2929">
      <c r="A2929" s="19">
        <v>45164.0</v>
      </c>
      <c r="B2929" s="23">
        <v>1.0765E7</v>
      </c>
      <c r="C2929" s="23">
        <f t="shared" si="1"/>
        <v>8449197.808</v>
      </c>
      <c r="D2929" s="18">
        <f>IF(A2929="","",MATCH(A2929,Calculation!B$2:B9627,1))</f>
        <v>2</v>
      </c>
      <c r="E2929" s="23">
        <f t="array" ref="E2929">IF(D2929="","",IF(D2929=1,0,INDEX(Calculation!Q$2:Q9627,D2929-1)))</f>
        <v>3232449.315</v>
      </c>
      <c r="F2929" s="23">
        <f t="array" ref="F2929">IF($A2929="","",
  LET(
    r, $D2929,
    startD, INDEX(Calculation!B$2:B9627, r),
    endD,   INDEX(Calculation!C$2:C9627, r),
    asOf,   MIN($A2929,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5216748.493</v>
      </c>
    </row>
    <row r="2930">
      <c r="A2930" s="19">
        <v>45165.0</v>
      </c>
      <c r="B2930" s="23">
        <v>1.0765E7</v>
      </c>
      <c r="C2930" s="23">
        <f t="shared" si="1"/>
        <v>8456276.164</v>
      </c>
      <c r="D2930" s="18">
        <f>IF(A2930="","",MATCH(A2930,Calculation!B$2:B9627,1))</f>
        <v>2</v>
      </c>
      <c r="E2930" s="23">
        <f t="array" ref="E2930">IF(D2930="","",IF(D2930=1,0,INDEX(Calculation!Q$2:Q9627,D2930-1)))</f>
        <v>3232449.315</v>
      </c>
      <c r="F2930" s="23">
        <f t="array" ref="F2930">IF($A2930="","",
  LET(
    r, $D2930,
    startD, INDEX(Calculation!B$2:B9627, r),
    endD,   INDEX(Calculation!C$2:C9627, r),
    asOf,   MIN($A2930,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5223826.849</v>
      </c>
    </row>
    <row r="2931">
      <c r="A2931" s="19">
        <v>45166.0</v>
      </c>
      <c r="B2931" s="23">
        <v>1.0765E7</v>
      </c>
      <c r="C2931" s="23">
        <f t="shared" si="1"/>
        <v>8463354.521</v>
      </c>
      <c r="D2931" s="18">
        <f>IF(A2931="","",MATCH(A2931,Calculation!B$2:B9627,1))</f>
        <v>2</v>
      </c>
      <c r="E2931" s="23">
        <f t="array" ref="E2931">IF(D2931="","",IF(D2931=1,0,INDEX(Calculation!Q$2:Q9627,D2931-1)))</f>
        <v>3232449.315</v>
      </c>
      <c r="F2931" s="23">
        <f t="array" ref="F2931">IF($A2931="","",
  LET(
    r, $D2931,
    startD, INDEX(Calculation!B$2:B9627, r),
    endD,   INDEX(Calculation!C$2:C9627, r),
    asOf,   MIN($A2931,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5230905.205</v>
      </c>
    </row>
    <row r="2932">
      <c r="A2932" s="19">
        <v>45167.0</v>
      </c>
      <c r="B2932" s="23">
        <v>1.0765E7</v>
      </c>
      <c r="C2932" s="23">
        <f t="shared" si="1"/>
        <v>8470432.877</v>
      </c>
      <c r="D2932" s="18">
        <f>IF(A2932="","",MATCH(A2932,Calculation!B$2:B9627,1))</f>
        <v>2</v>
      </c>
      <c r="E2932" s="23">
        <f t="array" ref="E2932">IF(D2932="","",IF(D2932=1,0,INDEX(Calculation!Q$2:Q9627,D2932-1)))</f>
        <v>3232449.315</v>
      </c>
      <c r="F2932" s="23">
        <f t="array" ref="F2932">IF($A2932="","",
  LET(
    r, $D2932,
    startD, INDEX(Calculation!B$2:B9627, r),
    endD,   INDEX(Calculation!C$2:C9627, r),
    asOf,   MIN($A2932,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5237983.562</v>
      </c>
    </row>
    <row r="2933">
      <c r="A2933" s="19">
        <v>45168.0</v>
      </c>
      <c r="B2933" s="23">
        <v>1.0765E7</v>
      </c>
      <c r="C2933" s="23">
        <f t="shared" si="1"/>
        <v>8477511.233</v>
      </c>
      <c r="D2933" s="18">
        <f>IF(A2933="","",MATCH(A2933,Calculation!B$2:B9627,1))</f>
        <v>2</v>
      </c>
      <c r="E2933" s="23">
        <f t="array" ref="E2933">IF(D2933="","",IF(D2933=1,0,INDEX(Calculation!Q$2:Q9627,D2933-1)))</f>
        <v>3232449.315</v>
      </c>
      <c r="F2933" s="23">
        <f t="array" ref="F2933">IF($A2933="","",
  LET(
    r, $D2933,
    startD, INDEX(Calculation!B$2:B9627, r),
    endD,   INDEX(Calculation!C$2:C9627, r),
    asOf,   MIN($A2933,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5245061.918</v>
      </c>
    </row>
    <row r="2934">
      <c r="A2934" s="19">
        <v>45169.0</v>
      </c>
      <c r="B2934" s="23">
        <v>1.0765E7</v>
      </c>
      <c r="C2934" s="23">
        <f t="shared" si="1"/>
        <v>8484589.589</v>
      </c>
      <c r="D2934" s="18">
        <f>IF(A2934="","",MATCH(A2934,Calculation!B$2:B9627,1))</f>
        <v>2</v>
      </c>
      <c r="E2934" s="23">
        <f t="array" ref="E2934">IF(D2934="","",IF(D2934=1,0,INDEX(Calculation!Q$2:Q9627,D2934-1)))</f>
        <v>3232449.315</v>
      </c>
      <c r="F2934" s="23">
        <f t="array" ref="F2934">IF($A2934="","",
  LET(
    r, $D2934,
    startD, INDEX(Calculation!B$2:B9627, r),
    endD,   INDEX(Calculation!C$2:C9627, r),
    asOf,   MIN($A2934,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5252140.274</v>
      </c>
    </row>
    <row r="2935">
      <c r="A2935" s="19">
        <v>45170.0</v>
      </c>
      <c r="B2935" s="23">
        <v>1.0765E7</v>
      </c>
      <c r="C2935" s="23">
        <f t="shared" si="1"/>
        <v>8491667.945</v>
      </c>
      <c r="D2935" s="18">
        <f>IF(A2935="","",MATCH(A2935,Calculation!B$2:B9627,1))</f>
        <v>2</v>
      </c>
      <c r="E2935" s="23">
        <f t="array" ref="E2935">IF(D2935="","",IF(D2935=1,0,INDEX(Calculation!Q$2:Q9627,D2935-1)))</f>
        <v>3232449.315</v>
      </c>
      <c r="F2935" s="23">
        <f t="array" ref="F2935">IF($A2935="","",
  LET(
    r, $D2935,
    startD, INDEX(Calculation!B$2:B9627, r),
    endD,   INDEX(Calculation!C$2:C9627, r),
    asOf,   MIN($A2935,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5259218.63</v>
      </c>
    </row>
    <row r="2936">
      <c r="A2936" s="19">
        <v>45171.0</v>
      </c>
      <c r="B2936" s="23">
        <v>1.0765E7</v>
      </c>
      <c r="C2936" s="23">
        <f t="shared" si="1"/>
        <v>8498746.301</v>
      </c>
      <c r="D2936" s="18">
        <f>IF(A2936="","",MATCH(A2936,Calculation!B$2:B9627,1))</f>
        <v>2</v>
      </c>
      <c r="E2936" s="23">
        <f t="array" ref="E2936">IF(D2936="","",IF(D2936=1,0,INDEX(Calculation!Q$2:Q9627,D2936-1)))</f>
        <v>3232449.315</v>
      </c>
      <c r="F2936" s="23">
        <f t="array" ref="F2936">IF($A2936="","",
  LET(
    r, $D2936,
    startD, INDEX(Calculation!B$2:B9627, r),
    endD,   INDEX(Calculation!C$2:C9627, r),
    asOf,   MIN($A2936,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5266296.986</v>
      </c>
    </row>
    <row r="2937">
      <c r="A2937" s="19">
        <v>45172.0</v>
      </c>
      <c r="B2937" s="23">
        <v>1.0765E7</v>
      </c>
      <c r="C2937" s="23">
        <f t="shared" si="1"/>
        <v>8505824.658</v>
      </c>
      <c r="D2937" s="18">
        <f>IF(A2937="","",MATCH(A2937,Calculation!B$2:B9627,1))</f>
        <v>2</v>
      </c>
      <c r="E2937" s="23">
        <f t="array" ref="E2937">IF(D2937="","",IF(D2937=1,0,INDEX(Calculation!Q$2:Q9627,D2937-1)))</f>
        <v>3232449.315</v>
      </c>
      <c r="F2937" s="23">
        <f t="array" ref="F2937">IF($A2937="","",
  LET(
    r, $D2937,
    startD, INDEX(Calculation!B$2:B9627, r),
    endD,   INDEX(Calculation!C$2:C9627, r),
    asOf,   MIN($A2937,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5273375.342</v>
      </c>
    </row>
    <row r="2938">
      <c r="A2938" s="19">
        <v>45173.0</v>
      </c>
      <c r="B2938" s="23">
        <v>1.0765E7</v>
      </c>
      <c r="C2938" s="23">
        <f t="shared" si="1"/>
        <v>8512903.014</v>
      </c>
      <c r="D2938" s="18">
        <f>IF(A2938="","",MATCH(A2938,Calculation!B$2:B9627,1))</f>
        <v>2</v>
      </c>
      <c r="E2938" s="23">
        <f t="array" ref="E2938">IF(D2938="","",IF(D2938=1,0,INDEX(Calculation!Q$2:Q9627,D2938-1)))</f>
        <v>3232449.315</v>
      </c>
      <c r="F2938" s="23">
        <f t="array" ref="F2938">IF($A2938="","",
  LET(
    r, $D2938,
    startD, INDEX(Calculation!B$2:B9627, r),
    endD,   INDEX(Calculation!C$2:C9627, r),
    asOf,   MIN($A2938,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5280453.699</v>
      </c>
    </row>
    <row r="2939">
      <c r="A2939" s="19">
        <v>45174.0</v>
      </c>
      <c r="B2939" s="23">
        <v>1.0765E7</v>
      </c>
      <c r="C2939" s="23">
        <f t="shared" si="1"/>
        <v>8519981.37</v>
      </c>
      <c r="D2939" s="18">
        <f>IF(A2939="","",MATCH(A2939,Calculation!B$2:B9627,1))</f>
        <v>2</v>
      </c>
      <c r="E2939" s="23">
        <f t="array" ref="E2939">IF(D2939="","",IF(D2939=1,0,INDEX(Calculation!Q$2:Q9627,D2939-1)))</f>
        <v>3232449.315</v>
      </c>
      <c r="F2939" s="23">
        <f t="array" ref="F2939">IF($A2939="","",
  LET(
    r, $D2939,
    startD, INDEX(Calculation!B$2:B9627, r),
    endD,   INDEX(Calculation!C$2:C9627, r),
    asOf,   MIN($A2939,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5287532.055</v>
      </c>
    </row>
    <row r="2940">
      <c r="A2940" s="19">
        <v>45175.0</v>
      </c>
      <c r="B2940" s="23">
        <v>1.0765E7</v>
      </c>
      <c r="C2940" s="23">
        <f t="shared" si="1"/>
        <v>8527059.726</v>
      </c>
      <c r="D2940" s="18">
        <f>IF(A2940="","",MATCH(A2940,Calculation!B$2:B9627,1))</f>
        <v>2</v>
      </c>
      <c r="E2940" s="23">
        <f t="array" ref="E2940">IF(D2940="","",IF(D2940=1,0,INDEX(Calculation!Q$2:Q9627,D2940-1)))</f>
        <v>3232449.315</v>
      </c>
      <c r="F2940" s="23">
        <f t="array" ref="F2940">IF($A2940="","",
  LET(
    r, $D2940,
    startD, INDEX(Calculation!B$2:B9627, r),
    endD,   INDEX(Calculation!C$2:C9627, r),
    asOf,   MIN($A2940,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5294610.411</v>
      </c>
    </row>
    <row r="2941">
      <c r="A2941" s="19">
        <v>45176.0</v>
      </c>
      <c r="B2941" s="23">
        <v>1.0765E7</v>
      </c>
      <c r="C2941" s="23">
        <f t="shared" si="1"/>
        <v>8534138.082</v>
      </c>
      <c r="D2941" s="18">
        <f>IF(A2941="","",MATCH(A2941,Calculation!B$2:B9627,1))</f>
        <v>2</v>
      </c>
      <c r="E2941" s="23">
        <f t="array" ref="E2941">IF(D2941="","",IF(D2941=1,0,INDEX(Calculation!Q$2:Q9627,D2941-1)))</f>
        <v>3232449.315</v>
      </c>
      <c r="F2941" s="23">
        <f t="array" ref="F2941">IF($A2941="","",
  LET(
    r, $D2941,
    startD, INDEX(Calculation!B$2:B9627, r),
    endD,   INDEX(Calculation!C$2:C9627, r),
    asOf,   MIN($A2941,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5301688.767</v>
      </c>
    </row>
    <row r="2942">
      <c r="A2942" s="19">
        <v>45177.0</v>
      </c>
      <c r="B2942" s="23">
        <v>1.0765E7</v>
      </c>
      <c r="C2942" s="23">
        <f t="shared" si="1"/>
        <v>8541216.438</v>
      </c>
      <c r="D2942" s="18">
        <f>IF(A2942="","",MATCH(A2942,Calculation!B$2:B9627,1))</f>
        <v>2</v>
      </c>
      <c r="E2942" s="23">
        <f t="array" ref="E2942">IF(D2942="","",IF(D2942=1,0,INDEX(Calculation!Q$2:Q9627,D2942-1)))</f>
        <v>3232449.315</v>
      </c>
      <c r="F2942" s="23">
        <f t="array" ref="F2942">IF($A2942="","",
  LET(
    r, $D2942,
    startD, INDEX(Calculation!B$2:B9627, r),
    endD,   INDEX(Calculation!C$2:C9627, r),
    asOf,   MIN($A2942,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5308767.123</v>
      </c>
    </row>
    <row r="2943">
      <c r="A2943" s="19">
        <v>45178.0</v>
      </c>
      <c r="B2943" s="23">
        <v>1.0765E7</v>
      </c>
      <c r="C2943" s="23">
        <f t="shared" si="1"/>
        <v>8548294.795</v>
      </c>
      <c r="D2943" s="18">
        <f>IF(A2943="","",MATCH(A2943,Calculation!B$2:B9627,1))</f>
        <v>2</v>
      </c>
      <c r="E2943" s="23">
        <f t="array" ref="E2943">IF(D2943="","",IF(D2943=1,0,INDEX(Calculation!Q$2:Q9627,D2943-1)))</f>
        <v>3232449.315</v>
      </c>
      <c r="F2943" s="23">
        <f t="array" ref="F2943">IF($A2943="","",
  LET(
    r, $D2943,
    startD, INDEX(Calculation!B$2:B9627, r),
    endD,   INDEX(Calculation!C$2:C9627, r),
    asOf,   MIN($A2943,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5315845.479</v>
      </c>
    </row>
    <row r="2944">
      <c r="A2944" s="19">
        <v>45179.0</v>
      </c>
      <c r="B2944" s="23">
        <v>1.0765E7</v>
      </c>
      <c r="C2944" s="23">
        <f t="shared" si="1"/>
        <v>8555373.151</v>
      </c>
      <c r="D2944" s="18">
        <f>IF(A2944="","",MATCH(A2944,Calculation!B$2:B9627,1))</f>
        <v>2</v>
      </c>
      <c r="E2944" s="23">
        <f t="array" ref="E2944">IF(D2944="","",IF(D2944=1,0,INDEX(Calculation!Q$2:Q9627,D2944-1)))</f>
        <v>3232449.315</v>
      </c>
      <c r="F2944" s="23">
        <f t="array" ref="F2944">IF($A2944="","",
  LET(
    r, $D2944,
    startD, INDEX(Calculation!B$2:B9627, r),
    endD,   INDEX(Calculation!C$2:C9627, r),
    asOf,   MIN($A2944,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5322923.836</v>
      </c>
    </row>
    <row r="2945">
      <c r="A2945" s="19">
        <v>45180.0</v>
      </c>
      <c r="B2945" s="23">
        <v>1.0765E7</v>
      </c>
      <c r="C2945" s="23">
        <f t="shared" si="1"/>
        <v>8562451.507</v>
      </c>
      <c r="D2945" s="18">
        <f>IF(A2945="","",MATCH(A2945,Calculation!B$2:B9627,1))</f>
        <v>2</v>
      </c>
      <c r="E2945" s="23">
        <f t="array" ref="E2945">IF(D2945="","",IF(D2945=1,0,INDEX(Calculation!Q$2:Q9627,D2945-1)))</f>
        <v>3232449.315</v>
      </c>
      <c r="F2945" s="23">
        <f t="array" ref="F2945">IF($A2945="","",
  LET(
    r, $D2945,
    startD, INDEX(Calculation!B$2:B9627, r),
    endD,   INDEX(Calculation!C$2:C9627, r),
    asOf,   MIN($A2945,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5330002.192</v>
      </c>
    </row>
    <row r="2946">
      <c r="A2946" s="19">
        <v>45181.0</v>
      </c>
      <c r="B2946" s="23">
        <v>1.0765E7</v>
      </c>
      <c r="C2946" s="23">
        <f t="shared" si="1"/>
        <v>8569529.863</v>
      </c>
      <c r="D2946" s="18">
        <f>IF(A2946="","",MATCH(A2946,Calculation!B$2:B9627,1))</f>
        <v>2</v>
      </c>
      <c r="E2946" s="23">
        <f t="array" ref="E2946">IF(D2946="","",IF(D2946=1,0,INDEX(Calculation!Q$2:Q9627,D2946-1)))</f>
        <v>3232449.315</v>
      </c>
      <c r="F2946" s="23">
        <f t="array" ref="F2946">IF($A2946="","",
  LET(
    r, $D2946,
    startD, INDEX(Calculation!B$2:B9627, r),
    endD,   INDEX(Calculation!C$2:C9627, r),
    asOf,   MIN($A2946,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5337080.548</v>
      </c>
    </row>
    <row r="2947">
      <c r="A2947" s="19">
        <v>45182.0</v>
      </c>
      <c r="B2947" s="23">
        <v>1.0765E7</v>
      </c>
      <c r="C2947" s="23">
        <f t="shared" si="1"/>
        <v>8576608.219</v>
      </c>
      <c r="D2947" s="18">
        <f>IF(A2947="","",MATCH(A2947,Calculation!B$2:B9627,1))</f>
        <v>2</v>
      </c>
      <c r="E2947" s="23">
        <f t="array" ref="E2947">IF(D2947="","",IF(D2947=1,0,INDEX(Calculation!Q$2:Q9627,D2947-1)))</f>
        <v>3232449.315</v>
      </c>
      <c r="F2947" s="23">
        <f t="array" ref="F2947">IF($A2947="","",
  LET(
    r, $D2947,
    startD, INDEX(Calculation!B$2:B9627, r),
    endD,   INDEX(Calculation!C$2:C9627, r),
    asOf,   MIN($A2947,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5344158.904</v>
      </c>
    </row>
    <row r="2948">
      <c r="A2948" s="19">
        <v>45183.0</v>
      </c>
      <c r="B2948" s="23">
        <v>1.0765E7</v>
      </c>
      <c r="C2948" s="23">
        <f t="shared" si="1"/>
        <v>8583686.575</v>
      </c>
      <c r="D2948" s="18">
        <f>IF(A2948="","",MATCH(A2948,Calculation!B$2:B9627,1))</f>
        <v>2</v>
      </c>
      <c r="E2948" s="23">
        <f t="array" ref="E2948">IF(D2948="","",IF(D2948=1,0,INDEX(Calculation!Q$2:Q9627,D2948-1)))</f>
        <v>3232449.315</v>
      </c>
      <c r="F2948" s="23">
        <f t="array" ref="F2948">IF($A2948="","",
  LET(
    r, $D2948,
    startD, INDEX(Calculation!B$2:B9627, r),
    endD,   INDEX(Calculation!C$2:C9627, r),
    asOf,   MIN($A2948,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5351237.26</v>
      </c>
    </row>
    <row r="2949">
      <c r="A2949" s="19">
        <v>45184.0</v>
      </c>
      <c r="B2949" s="23">
        <v>1.0765E7</v>
      </c>
      <c r="C2949" s="23">
        <f t="shared" si="1"/>
        <v>8590764.932</v>
      </c>
      <c r="D2949" s="18">
        <f>IF(A2949="","",MATCH(A2949,Calculation!B$2:B9627,1))</f>
        <v>2</v>
      </c>
      <c r="E2949" s="23">
        <f t="array" ref="E2949">IF(D2949="","",IF(D2949=1,0,INDEX(Calculation!Q$2:Q9627,D2949-1)))</f>
        <v>3232449.315</v>
      </c>
      <c r="F2949" s="23">
        <f t="array" ref="F2949">IF($A2949="","",
  LET(
    r, $D2949,
    startD, INDEX(Calculation!B$2:B9627, r),
    endD,   INDEX(Calculation!C$2:C9627, r),
    asOf,   MIN($A2949,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5358315.616</v>
      </c>
    </row>
    <row r="2950">
      <c r="A2950" s="19">
        <v>45185.0</v>
      </c>
      <c r="B2950" s="23">
        <v>1.0765E7</v>
      </c>
      <c r="C2950" s="23">
        <f t="shared" si="1"/>
        <v>8597843.288</v>
      </c>
      <c r="D2950" s="18">
        <f>IF(A2950="","",MATCH(A2950,Calculation!B$2:B9627,1))</f>
        <v>2</v>
      </c>
      <c r="E2950" s="23">
        <f t="array" ref="E2950">IF(D2950="","",IF(D2950=1,0,INDEX(Calculation!Q$2:Q9627,D2950-1)))</f>
        <v>3232449.315</v>
      </c>
      <c r="F2950" s="23">
        <f t="array" ref="F2950">IF($A2950="","",
  LET(
    r, $D2950,
    startD, INDEX(Calculation!B$2:B9627, r),
    endD,   INDEX(Calculation!C$2:C9627, r),
    asOf,   MIN($A2950,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5365393.973</v>
      </c>
    </row>
    <row r="2951">
      <c r="A2951" s="19">
        <v>45186.0</v>
      </c>
      <c r="B2951" s="23">
        <v>1.0765E7</v>
      </c>
      <c r="C2951" s="23">
        <f t="shared" si="1"/>
        <v>8604921.644</v>
      </c>
      <c r="D2951" s="18">
        <f>IF(A2951="","",MATCH(A2951,Calculation!B$2:B9627,1))</f>
        <v>2</v>
      </c>
      <c r="E2951" s="23">
        <f t="array" ref="E2951">IF(D2951="","",IF(D2951=1,0,INDEX(Calculation!Q$2:Q9627,D2951-1)))</f>
        <v>3232449.315</v>
      </c>
      <c r="F2951" s="23">
        <f t="array" ref="F2951">IF($A2951="","",
  LET(
    r, $D2951,
    startD, INDEX(Calculation!B$2:B9627, r),
    endD,   INDEX(Calculation!C$2:C9627, r),
    asOf,   MIN($A2951,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5372472.329</v>
      </c>
    </row>
    <row r="2952">
      <c r="A2952" s="19">
        <v>45187.0</v>
      </c>
      <c r="B2952" s="23">
        <v>1.0765E7</v>
      </c>
      <c r="C2952" s="23">
        <f t="shared" si="1"/>
        <v>8612000</v>
      </c>
      <c r="D2952" s="18">
        <f>IF(A2952="","",MATCH(A2952,Calculation!B$2:B9627,1))</f>
        <v>2</v>
      </c>
      <c r="E2952" s="23">
        <f t="array" ref="E2952">IF(D2952="","",IF(D2952=1,0,INDEX(Calculation!Q$2:Q9627,D2952-1)))</f>
        <v>3232449.315</v>
      </c>
      <c r="F2952" s="23">
        <f t="array" ref="F2952">IF($A2952="","",
  LET(
    r, $D2952,
    startD, INDEX(Calculation!B$2:B9627, r),
    endD,   INDEX(Calculation!C$2:C9627, r),
    asOf,   MIN($A2952,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5379550.685</v>
      </c>
    </row>
    <row r="2953">
      <c r="A2953" s="19">
        <v>45188.0</v>
      </c>
      <c r="B2953" s="23">
        <v>1.0765E7</v>
      </c>
      <c r="C2953" s="23">
        <f t="shared" si="1"/>
        <v>8619078.356</v>
      </c>
      <c r="D2953" s="18">
        <f>IF(A2953="","",MATCH(A2953,Calculation!B$2:B9627,1))</f>
        <v>2</v>
      </c>
      <c r="E2953" s="23">
        <f t="array" ref="E2953">IF(D2953="","",IF(D2953=1,0,INDEX(Calculation!Q$2:Q9627,D2953-1)))</f>
        <v>3232449.315</v>
      </c>
      <c r="F2953" s="23">
        <f t="array" ref="F2953">IF($A2953="","",
  LET(
    r, $D2953,
    startD, INDEX(Calculation!B$2:B9627, r),
    endD,   INDEX(Calculation!C$2:C9627, r),
    asOf,   MIN($A2953,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5386629.041</v>
      </c>
    </row>
    <row r="2954">
      <c r="A2954" s="19">
        <v>45189.0</v>
      </c>
      <c r="B2954" s="23">
        <v>1.0765E7</v>
      </c>
      <c r="C2954" s="23">
        <f t="shared" si="1"/>
        <v>8626156.712</v>
      </c>
      <c r="D2954" s="18">
        <f>IF(A2954="","",MATCH(A2954,Calculation!B$2:B9627,1))</f>
        <v>2</v>
      </c>
      <c r="E2954" s="23">
        <f t="array" ref="E2954">IF(D2954="","",IF(D2954=1,0,INDEX(Calculation!Q$2:Q9627,D2954-1)))</f>
        <v>3232449.315</v>
      </c>
      <c r="F2954" s="23">
        <f t="array" ref="F2954">IF($A2954="","",
  LET(
    r, $D2954,
    startD, INDEX(Calculation!B$2:B9627, r),
    endD,   INDEX(Calculation!C$2:C9627, r),
    asOf,   MIN($A2954,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5393707.397</v>
      </c>
    </row>
    <row r="2955">
      <c r="A2955" s="19">
        <v>45190.0</v>
      </c>
      <c r="B2955" s="23">
        <v>1.0765E7</v>
      </c>
      <c r="C2955" s="23">
        <f t="shared" si="1"/>
        <v>8633235.068</v>
      </c>
      <c r="D2955" s="18">
        <f>IF(A2955="","",MATCH(A2955,Calculation!B$2:B9627,1))</f>
        <v>2</v>
      </c>
      <c r="E2955" s="23">
        <f t="array" ref="E2955">IF(D2955="","",IF(D2955=1,0,INDEX(Calculation!Q$2:Q9627,D2955-1)))</f>
        <v>3232449.315</v>
      </c>
      <c r="F2955" s="23">
        <f t="array" ref="F2955">IF($A2955="","",
  LET(
    r, $D2955,
    startD, INDEX(Calculation!B$2:B9627, r),
    endD,   INDEX(Calculation!C$2:C9627, r),
    asOf,   MIN($A2955,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5400785.753</v>
      </c>
    </row>
    <row r="2956">
      <c r="A2956" s="19">
        <v>45191.0</v>
      </c>
      <c r="B2956" s="23">
        <v>1.0765E7</v>
      </c>
      <c r="C2956" s="23">
        <f t="shared" si="1"/>
        <v>8640313.425</v>
      </c>
      <c r="D2956" s="18">
        <f>IF(A2956="","",MATCH(A2956,Calculation!B$2:B9627,1))</f>
        <v>2</v>
      </c>
      <c r="E2956" s="23">
        <f t="array" ref="E2956">IF(D2956="","",IF(D2956=1,0,INDEX(Calculation!Q$2:Q9627,D2956-1)))</f>
        <v>3232449.315</v>
      </c>
      <c r="F2956" s="23">
        <f t="array" ref="F2956">IF($A2956="","",
  LET(
    r, $D2956,
    startD, INDEX(Calculation!B$2:B9627, r),
    endD,   INDEX(Calculation!C$2:C9627, r),
    asOf,   MIN($A2956,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5407864.11</v>
      </c>
    </row>
    <row r="2957">
      <c r="A2957" s="19">
        <v>45192.0</v>
      </c>
      <c r="B2957" s="23">
        <v>1.0765E7</v>
      </c>
      <c r="C2957" s="23">
        <f t="shared" si="1"/>
        <v>8647391.781</v>
      </c>
      <c r="D2957" s="18">
        <f>IF(A2957="","",MATCH(A2957,Calculation!B$2:B9627,1))</f>
        <v>2</v>
      </c>
      <c r="E2957" s="23">
        <f t="array" ref="E2957">IF(D2957="","",IF(D2957=1,0,INDEX(Calculation!Q$2:Q9627,D2957-1)))</f>
        <v>3232449.315</v>
      </c>
      <c r="F2957" s="23">
        <f t="array" ref="F2957">IF($A2957="","",
  LET(
    r, $D2957,
    startD, INDEX(Calculation!B$2:B9627, r),
    endD,   INDEX(Calculation!C$2:C9627, r),
    asOf,   MIN($A2957,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5414942.466</v>
      </c>
    </row>
    <row r="2958">
      <c r="A2958" s="19">
        <v>45193.0</v>
      </c>
      <c r="B2958" s="23">
        <v>1.0765E7</v>
      </c>
      <c r="C2958" s="23">
        <f t="shared" si="1"/>
        <v>8654470.137</v>
      </c>
      <c r="D2958" s="18">
        <f>IF(A2958="","",MATCH(A2958,Calculation!B$2:B9627,1))</f>
        <v>2</v>
      </c>
      <c r="E2958" s="23">
        <f t="array" ref="E2958">IF(D2958="","",IF(D2958=1,0,INDEX(Calculation!Q$2:Q9627,D2958-1)))</f>
        <v>3232449.315</v>
      </c>
      <c r="F2958" s="23">
        <f t="array" ref="F2958">IF($A2958="","",
  LET(
    r, $D2958,
    startD, INDEX(Calculation!B$2:B9627, r),
    endD,   INDEX(Calculation!C$2:C9627, r),
    asOf,   MIN($A2958,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5422020.822</v>
      </c>
    </row>
    <row r="2959">
      <c r="A2959" s="19">
        <v>45194.0</v>
      </c>
      <c r="B2959" s="23">
        <v>1.0765E7</v>
      </c>
      <c r="C2959" s="23">
        <f t="shared" si="1"/>
        <v>8661548.493</v>
      </c>
      <c r="D2959" s="18">
        <f>IF(A2959="","",MATCH(A2959,Calculation!B$2:B9627,1))</f>
        <v>2</v>
      </c>
      <c r="E2959" s="23">
        <f t="array" ref="E2959">IF(D2959="","",IF(D2959=1,0,INDEX(Calculation!Q$2:Q9627,D2959-1)))</f>
        <v>3232449.315</v>
      </c>
      <c r="F2959" s="23">
        <f t="array" ref="F2959">IF($A2959="","",
  LET(
    r, $D2959,
    startD, INDEX(Calculation!B$2:B9627, r),
    endD,   INDEX(Calculation!C$2:C9627, r),
    asOf,   MIN($A2959,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5429099.178</v>
      </c>
    </row>
    <row r="2960">
      <c r="A2960" s="19">
        <v>45195.0</v>
      </c>
      <c r="B2960" s="23">
        <v>1.0765E7</v>
      </c>
      <c r="C2960" s="23">
        <f t="shared" si="1"/>
        <v>8668626.849</v>
      </c>
      <c r="D2960" s="18">
        <f>IF(A2960="","",MATCH(A2960,Calculation!B$2:B9627,1))</f>
        <v>2</v>
      </c>
      <c r="E2960" s="23">
        <f t="array" ref="E2960">IF(D2960="","",IF(D2960=1,0,INDEX(Calculation!Q$2:Q9627,D2960-1)))</f>
        <v>3232449.315</v>
      </c>
      <c r="F2960" s="23">
        <f t="array" ref="F2960">IF($A2960="","",
  LET(
    r, $D2960,
    startD, INDEX(Calculation!B$2:B9627, r),
    endD,   INDEX(Calculation!C$2:C9627, r),
    asOf,   MIN($A2960,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5436177.534</v>
      </c>
    </row>
    <row r="2961">
      <c r="A2961" s="19">
        <v>45196.0</v>
      </c>
      <c r="B2961" s="23">
        <v>1.0765E7</v>
      </c>
      <c r="C2961" s="23">
        <f t="shared" si="1"/>
        <v>8675705.205</v>
      </c>
      <c r="D2961" s="18">
        <f>IF(A2961="","",MATCH(A2961,Calculation!B$2:B9627,1))</f>
        <v>2</v>
      </c>
      <c r="E2961" s="23">
        <f t="array" ref="E2961">IF(D2961="","",IF(D2961=1,0,INDEX(Calculation!Q$2:Q9627,D2961-1)))</f>
        <v>3232449.315</v>
      </c>
      <c r="F2961" s="23">
        <f t="array" ref="F2961">IF($A2961="","",
  LET(
    r, $D2961,
    startD, INDEX(Calculation!B$2:B9627, r),
    endD,   INDEX(Calculation!C$2:C9627, r),
    asOf,   MIN($A2961,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5443255.89</v>
      </c>
    </row>
    <row r="2962">
      <c r="A2962" s="19">
        <v>45197.0</v>
      </c>
      <c r="B2962" s="23">
        <v>1.0765E7</v>
      </c>
      <c r="C2962" s="23">
        <f t="shared" si="1"/>
        <v>8682783.562</v>
      </c>
      <c r="D2962" s="18">
        <f>IF(A2962="","",MATCH(A2962,Calculation!B$2:B9627,1))</f>
        <v>2</v>
      </c>
      <c r="E2962" s="23">
        <f t="array" ref="E2962">IF(D2962="","",IF(D2962=1,0,INDEX(Calculation!Q$2:Q9627,D2962-1)))</f>
        <v>3232449.315</v>
      </c>
      <c r="F2962" s="23">
        <f t="array" ref="F2962">IF($A2962="","",
  LET(
    r, $D2962,
    startD, INDEX(Calculation!B$2:B9627, r),
    endD,   INDEX(Calculation!C$2:C9627, r),
    asOf,   MIN($A2962,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5450334.247</v>
      </c>
    </row>
    <row r="2963">
      <c r="A2963" s="19">
        <v>45198.0</v>
      </c>
      <c r="B2963" s="23">
        <v>1.0765E7</v>
      </c>
      <c r="C2963" s="23">
        <f t="shared" si="1"/>
        <v>8689861.918</v>
      </c>
      <c r="D2963" s="18">
        <f>IF(A2963="","",MATCH(A2963,Calculation!B$2:B9627,1))</f>
        <v>2</v>
      </c>
      <c r="E2963" s="23">
        <f t="array" ref="E2963">IF(D2963="","",IF(D2963=1,0,INDEX(Calculation!Q$2:Q9627,D2963-1)))</f>
        <v>3232449.315</v>
      </c>
      <c r="F2963" s="23">
        <f t="array" ref="F2963">IF($A2963="","",
  LET(
    r, $D2963,
    startD, INDEX(Calculation!B$2:B9627, r),
    endD,   INDEX(Calculation!C$2:C9627, r),
    asOf,   MIN($A2963,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5457412.603</v>
      </c>
    </row>
    <row r="2964">
      <c r="A2964" s="19">
        <v>45199.0</v>
      </c>
      <c r="B2964" s="23">
        <v>1.0765E7</v>
      </c>
      <c r="C2964" s="23">
        <f t="shared" si="1"/>
        <v>8696940.274</v>
      </c>
      <c r="D2964" s="18">
        <f>IF(A2964="","",MATCH(A2964,Calculation!B$2:B9627,1))</f>
        <v>2</v>
      </c>
      <c r="E2964" s="23">
        <f t="array" ref="E2964">IF(D2964="","",IF(D2964=1,0,INDEX(Calculation!Q$2:Q9627,D2964-1)))</f>
        <v>3232449.315</v>
      </c>
      <c r="F2964" s="23">
        <f t="array" ref="F2964">IF($A2964="","",
  LET(
    r, $D2964,
    startD, INDEX(Calculation!B$2:B9627, r),
    endD,   INDEX(Calculation!C$2:C9627, r),
    asOf,   MIN($A2964,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5464490.959</v>
      </c>
    </row>
    <row r="2965">
      <c r="A2965" s="19">
        <v>45200.0</v>
      </c>
      <c r="B2965" s="23">
        <v>1.0765E7</v>
      </c>
      <c r="C2965" s="23">
        <f t="shared" si="1"/>
        <v>8704018.63</v>
      </c>
      <c r="D2965" s="18">
        <f>IF(A2965="","",MATCH(A2965,Calculation!B$2:B9627,1))</f>
        <v>2</v>
      </c>
      <c r="E2965" s="23">
        <f t="array" ref="E2965">IF(D2965="","",IF(D2965=1,0,INDEX(Calculation!Q$2:Q9627,D2965-1)))</f>
        <v>3232449.315</v>
      </c>
      <c r="F2965" s="23">
        <f t="array" ref="F2965">IF($A2965="","",
  LET(
    r, $D2965,
    startD, INDEX(Calculation!B$2:B9627, r),
    endD,   INDEX(Calculation!C$2:C9627, r),
    asOf,   MIN($A2965,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5471569.315</v>
      </c>
    </row>
    <row r="2966">
      <c r="A2966" s="19">
        <v>45201.0</v>
      </c>
      <c r="B2966" s="23">
        <v>1.0765E7</v>
      </c>
      <c r="C2966" s="23">
        <f t="shared" si="1"/>
        <v>8711096.986</v>
      </c>
      <c r="D2966" s="18">
        <f>IF(A2966="","",MATCH(A2966,Calculation!B$2:B9627,1))</f>
        <v>2</v>
      </c>
      <c r="E2966" s="23">
        <f t="array" ref="E2966">IF(D2966="","",IF(D2966=1,0,INDEX(Calculation!Q$2:Q9627,D2966-1)))</f>
        <v>3232449.315</v>
      </c>
      <c r="F2966" s="23">
        <f t="array" ref="F2966">IF($A2966="","",
  LET(
    r, $D2966,
    startD, INDEX(Calculation!B$2:B9627, r),
    endD,   INDEX(Calculation!C$2:C9627, r),
    asOf,   MIN($A2966,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5478647.671</v>
      </c>
    </row>
    <row r="2967">
      <c r="A2967" s="19">
        <v>45202.0</v>
      </c>
      <c r="B2967" s="23">
        <v>1.0765E7</v>
      </c>
      <c r="C2967" s="23">
        <f t="shared" si="1"/>
        <v>8718175.342</v>
      </c>
      <c r="D2967" s="18">
        <f>IF(A2967="","",MATCH(A2967,Calculation!B$2:B9627,1))</f>
        <v>2</v>
      </c>
      <c r="E2967" s="23">
        <f t="array" ref="E2967">IF(D2967="","",IF(D2967=1,0,INDEX(Calculation!Q$2:Q9627,D2967-1)))</f>
        <v>3232449.315</v>
      </c>
      <c r="F2967" s="23">
        <f t="array" ref="F2967">IF($A2967="","",
  LET(
    r, $D2967,
    startD, INDEX(Calculation!B$2:B9627, r),
    endD,   INDEX(Calculation!C$2:C9627, r),
    asOf,   MIN($A2967,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5485726.027</v>
      </c>
    </row>
    <row r="2968">
      <c r="A2968" s="19">
        <v>45203.0</v>
      </c>
      <c r="B2968" s="23">
        <v>1.0765E7</v>
      </c>
      <c r="C2968" s="23">
        <f t="shared" si="1"/>
        <v>8725253.699</v>
      </c>
      <c r="D2968" s="18">
        <f>IF(A2968="","",MATCH(A2968,Calculation!B$2:B9627,1))</f>
        <v>2</v>
      </c>
      <c r="E2968" s="23">
        <f t="array" ref="E2968">IF(D2968="","",IF(D2968=1,0,INDEX(Calculation!Q$2:Q9627,D2968-1)))</f>
        <v>3232449.315</v>
      </c>
      <c r="F2968" s="23">
        <f t="array" ref="F2968">IF($A2968="","",
  LET(
    r, $D2968,
    startD, INDEX(Calculation!B$2:B9627, r),
    endD,   INDEX(Calculation!C$2:C9627, r),
    asOf,   MIN($A2968,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5492804.384</v>
      </c>
    </row>
    <row r="2969">
      <c r="A2969" s="19">
        <v>45204.0</v>
      </c>
      <c r="B2969" s="23">
        <v>1.0765E7</v>
      </c>
      <c r="C2969" s="23">
        <f t="shared" si="1"/>
        <v>8732332.055</v>
      </c>
      <c r="D2969" s="18">
        <f>IF(A2969="","",MATCH(A2969,Calculation!B$2:B9627,1))</f>
        <v>2</v>
      </c>
      <c r="E2969" s="23">
        <f t="array" ref="E2969">IF(D2969="","",IF(D2969=1,0,INDEX(Calculation!Q$2:Q9627,D2969-1)))</f>
        <v>3232449.315</v>
      </c>
      <c r="F2969" s="23">
        <f t="array" ref="F2969">IF($A2969="","",
  LET(
    r, $D2969,
    startD, INDEX(Calculation!B$2:B9627, r),
    endD,   INDEX(Calculation!C$2:C9627, r),
    asOf,   MIN($A2969,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5499882.74</v>
      </c>
    </row>
    <row r="2970">
      <c r="A2970" s="19">
        <v>45205.0</v>
      </c>
      <c r="B2970" s="23">
        <v>1.0765E7</v>
      </c>
      <c r="C2970" s="23">
        <f t="shared" si="1"/>
        <v>8739410.411</v>
      </c>
      <c r="D2970" s="18">
        <f>IF(A2970="","",MATCH(A2970,Calculation!B$2:B9627,1))</f>
        <v>2</v>
      </c>
      <c r="E2970" s="23">
        <f t="array" ref="E2970">IF(D2970="","",IF(D2970=1,0,INDEX(Calculation!Q$2:Q9627,D2970-1)))</f>
        <v>3232449.315</v>
      </c>
      <c r="F2970" s="23">
        <f t="array" ref="F2970">IF($A2970="","",
  LET(
    r, $D2970,
    startD, INDEX(Calculation!B$2:B9627, r),
    endD,   INDEX(Calculation!C$2:C9627, r),
    asOf,   MIN($A2970,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5506961.096</v>
      </c>
    </row>
    <row r="2971">
      <c r="A2971" s="19">
        <v>45206.0</v>
      </c>
      <c r="B2971" s="23">
        <v>1.0765E7</v>
      </c>
      <c r="C2971" s="23">
        <f t="shared" si="1"/>
        <v>8746488.767</v>
      </c>
      <c r="D2971" s="18">
        <f>IF(A2971="","",MATCH(A2971,Calculation!B$2:B9627,1))</f>
        <v>2</v>
      </c>
      <c r="E2971" s="23">
        <f t="array" ref="E2971">IF(D2971="","",IF(D2971=1,0,INDEX(Calculation!Q$2:Q9627,D2971-1)))</f>
        <v>3232449.315</v>
      </c>
      <c r="F2971" s="23">
        <f t="array" ref="F2971">IF($A2971="","",
  LET(
    r, $D2971,
    startD, INDEX(Calculation!B$2:B9627, r),
    endD,   INDEX(Calculation!C$2:C9627, r),
    asOf,   MIN($A2971,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5514039.452</v>
      </c>
    </row>
    <row r="2972">
      <c r="A2972" s="19">
        <v>45207.0</v>
      </c>
      <c r="B2972" s="23">
        <v>1.0765E7</v>
      </c>
      <c r="C2972" s="23">
        <f t="shared" si="1"/>
        <v>8753567.123</v>
      </c>
      <c r="D2972" s="18">
        <f>IF(A2972="","",MATCH(A2972,Calculation!B$2:B9627,1))</f>
        <v>2</v>
      </c>
      <c r="E2972" s="23">
        <f t="array" ref="E2972">IF(D2972="","",IF(D2972=1,0,INDEX(Calculation!Q$2:Q9627,D2972-1)))</f>
        <v>3232449.315</v>
      </c>
      <c r="F2972" s="23">
        <f t="array" ref="F2972">IF($A2972="","",
  LET(
    r, $D2972,
    startD, INDEX(Calculation!B$2:B9627, r),
    endD,   INDEX(Calculation!C$2:C9627, r),
    asOf,   MIN($A2972,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5521117.808</v>
      </c>
    </row>
    <row r="2973">
      <c r="A2973" s="19">
        <v>45208.0</v>
      </c>
      <c r="B2973" s="23">
        <v>1.0765E7</v>
      </c>
      <c r="C2973" s="23">
        <f t="shared" si="1"/>
        <v>8760645.479</v>
      </c>
      <c r="D2973" s="18">
        <f>IF(A2973="","",MATCH(A2973,Calculation!B$2:B9627,1))</f>
        <v>2</v>
      </c>
      <c r="E2973" s="23">
        <f t="array" ref="E2973">IF(D2973="","",IF(D2973=1,0,INDEX(Calculation!Q$2:Q9627,D2973-1)))</f>
        <v>3232449.315</v>
      </c>
      <c r="F2973" s="23">
        <f t="array" ref="F2973">IF($A2973="","",
  LET(
    r, $D2973,
    startD, INDEX(Calculation!B$2:B9627, r),
    endD,   INDEX(Calculation!C$2:C9627, r),
    asOf,   MIN($A2973,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5528196.164</v>
      </c>
    </row>
    <row r="2974">
      <c r="A2974" s="19">
        <v>45209.0</v>
      </c>
      <c r="B2974" s="23">
        <v>1.0765E7</v>
      </c>
      <c r="C2974" s="23">
        <f t="shared" si="1"/>
        <v>8767723.836</v>
      </c>
      <c r="D2974" s="18">
        <f>IF(A2974="","",MATCH(A2974,Calculation!B$2:B9627,1))</f>
        <v>2</v>
      </c>
      <c r="E2974" s="23">
        <f t="array" ref="E2974">IF(D2974="","",IF(D2974=1,0,INDEX(Calculation!Q$2:Q9627,D2974-1)))</f>
        <v>3232449.315</v>
      </c>
      <c r="F2974" s="23">
        <f t="array" ref="F2974">IF($A2974="","",
  LET(
    r, $D2974,
    startD, INDEX(Calculation!B$2:B9627, r),
    endD,   INDEX(Calculation!C$2:C9627, r),
    asOf,   MIN($A2974,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5535274.521</v>
      </c>
    </row>
    <row r="2975">
      <c r="A2975" s="19">
        <v>45210.0</v>
      </c>
      <c r="B2975" s="23">
        <v>1.0765E7</v>
      </c>
      <c r="C2975" s="23">
        <f t="shared" si="1"/>
        <v>8774802.192</v>
      </c>
      <c r="D2975" s="18">
        <f>IF(A2975="","",MATCH(A2975,Calculation!B$2:B9627,1))</f>
        <v>2</v>
      </c>
      <c r="E2975" s="23">
        <f t="array" ref="E2975">IF(D2975="","",IF(D2975=1,0,INDEX(Calculation!Q$2:Q9627,D2975-1)))</f>
        <v>3232449.315</v>
      </c>
      <c r="F2975" s="23">
        <f t="array" ref="F2975">IF($A2975="","",
  LET(
    r, $D2975,
    startD, INDEX(Calculation!B$2:B9627, r),
    endD,   INDEX(Calculation!C$2:C9627, r),
    asOf,   MIN($A2975,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5542352.877</v>
      </c>
    </row>
    <row r="2976">
      <c r="A2976" s="19">
        <v>45211.0</v>
      </c>
      <c r="B2976" s="23">
        <v>1.0765E7</v>
      </c>
      <c r="C2976" s="23">
        <f t="shared" si="1"/>
        <v>8781880.548</v>
      </c>
      <c r="D2976" s="18">
        <f>IF(A2976="","",MATCH(A2976,Calculation!B$2:B9627,1))</f>
        <v>2</v>
      </c>
      <c r="E2976" s="23">
        <f t="array" ref="E2976">IF(D2976="","",IF(D2976=1,0,INDEX(Calculation!Q$2:Q9627,D2976-1)))</f>
        <v>3232449.315</v>
      </c>
      <c r="F2976" s="23">
        <f t="array" ref="F2976">IF($A2976="","",
  LET(
    r, $D2976,
    startD, INDEX(Calculation!B$2:B9627, r),
    endD,   INDEX(Calculation!C$2:C9627, r),
    asOf,   MIN($A2976,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5549431.233</v>
      </c>
    </row>
    <row r="2977">
      <c r="A2977" s="19">
        <v>45212.0</v>
      </c>
      <c r="B2977" s="23">
        <v>1.0765E7</v>
      </c>
      <c r="C2977" s="23">
        <f t="shared" si="1"/>
        <v>8788958.904</v>
      </c>
      <c r="D2977" s="18">
        <f>IF(A2977="","",MATCH(A2977,Calculation!B$2:B9627,1))</f>
        <v>2</v>
      </c>
      <c r="E2977" s="23">
        <f t="array" ref="E2977">IF(D2977="","",IF(D2977=1,0,INDEX(Calculation!Q$2:Q9627,D2977-1)))</f>
        <v>3232449.315</v>
      </c>
      <c r="F2977" s="23">
        <f t="array" ref="F2977">IF($A2977="","",
  LET(
    r, $D2977,
    startD, INDEX(Calculation!B$2:B9627, r),
    endD,   INDEX(Calculation!C$2:C9627, r),
    asOf,   MIN($A2977,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5556509.589</v>
      </c>
    </row>
    <row r="2978">
      <c r="A2978" s="19">
        <v>45213.0</v>
      </c>
      <c r="B2978" s="23">
        <v>1.0765E7</v>
      </c>
      <c r="C2978" s="23">
        <f t="shared" si="1"/>
        <v>8796037.26</v>
      </c>
      <c r="D2978" s="18">
        <f>IF(A2978="","",MATCH(A2978,Calculation!B$2:B9627,1))</f>
        <v>2</v>
      </c>
      <c r="E2978" s="23">
        <f t="array" ref="E2978">IF(D2978="","",IF(D2978=1,0,INDEX(Calculation!Q$2:Q9627,D2978-1)))</f>
        <v>3232449.315</v>
      </c>
      <c r="F2978" s="23">
        <f t="array" ref="F2978">IF($A2978="","",
  LET(
    r, $D2978,
    startD, INDEX(Calculation!B$2:B9627, r),
    endD,   INDEX(Calculation!C$2:C9627, r),
    asOf,   MIN($A2978,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5563587.945</v>
      </c>
    </row>
    <row r="2979">
      <c r="A2979" s="19">
        <v>45214.0</v>
      </c>
      <c r="B2979" s="23">
        <v>1.0765E7</v>
      </c>
      <c r="C2979" s="23">
        <f t="shared" si="1"/>
        <v>8803115.616</v>
      </c>
      <c r="D2979" s="18">
        <f>IF(A2979="","",MATCH(A2979,Calculation!B$2:B9627,1))</f>
        <v>2</v>
      </c>
      <c r="E2979" s="23">
        <f t="array" ref="E2979">IF(D2979="","",IF(D2979=1,0,INDEX(Calculation!Q$2:Q9627,D2979-1)))</f>
        <v>3232449.315</v>
      </c>
      <c r="F2979" s="23">
        <f t="array" ref="F2979">IF($A2979="","",
  LET(
    r, $D2979,
    startD, INDEX(Calculation!B$2:B9627, r),
    endD,   INDEX(Calculation!C$2:C9627, r),
    asOf,   MIN($A2979,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5570666.301</v>
      </c>
    </row>
    <row r="2980">
      <c r="A2980" s="19">
        <v>45215.0</v>
      </c>
      <c r="B2980" s="23">
        <v>1.0765E7</v>
      </c>
      <c r="C2980" s="23">
        <f t="shared" si="1"/>
        <v>8810193.973</v>
      </c>
      <c r="D2980" s="18">
        <f>IF(A2980="","",MATCH(A2980,Calculation!B$2:B9627,1))</f>
        <v>2</v>
      </c>
      <c r="E2980" s="23">
        <f t="array" ref="E2980">IF(D2980="","",IF(D2980=1,0,INDEX(Calculation!Q$2:Q9627,D2980-1)))</f>
        <v>3232449.315</v>
      </c>
      <c r="F2980" s="23">
        <f t="array" ref="F2980">IF($A2980="","",
  LET(
    r, $D2980,
    startD, INDEX(Calculation!B$2:B9627, r),
    endD,   INDEX(Calculation!C$2:C9627, r),
    asOf,   MIN($A2980,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5577744.658</v>
      </c>
    </row>
    <row r="2981">
      <c r="A2981" s="19">
        <v>45216.0</v>
      </c>
      <c r="B2981" s="23">
        <v>1.0765E7</v>
      </c>
      <c r="C2981" s="23">
        <f t="shared" si="1"/>
        <v>8817272.329</v>
      </c>
      <c r="D2981" s="18">
        <f>IF(A2981="","",MATCH(A2981,Calculation!B$2:B9627,1))</f>
        <v>2</v>
      </c>
      <c r="E2981" s="23">
        <f t="array" ref="E2981">IF(D2981="","",IF(D2981=1,0,INDEX(Calculation!Q$2:Q9627,D2981-1)))</f>
        <v>3232449.315</v>
      </c>
      <c r="F2981" s="23">
        <f t="array" ref="F2981">IF($A2981="","",
  LET(
    r, $D2981,
    startD, INDEX(Calculation!B$2:B9627, r),
    endD,   INDEX(Calculation!C$2:C9627, r),
    asOf,   MIN($A2981,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5584823.014</v>
      </c>
    </row>
    <row r="2982">
      <c r="A2982" s="19">
        <v>45217.0</v>
      </c>
      <c r="B2982" s="23">
        <v>1.0765E7</v>
      </c>
      <c r="C2982" s="23">
        <f t="shared" si="1"/>
        <v>8824350.685</v>
      </c>
      <c r="D2982" s="18">
        <f>IF(A2982="","",MATCH(A2982,Calculation!B$2:B9627,1))</f>
        <v>2</v>
      </c>
      <c r="E2982" s="23">
        <f t="array" ref="E2982">IF(D2982="","",IF(D2982=1,0,INDEX(Calculation!Q$2:Q9627,D2982-1)))</f>
        <v>3232449.315</v>
      </c>
      <c r="F2982" s="23">
        <f t="array" ref="F2982">IF($A2982="","",
  LET(
    r, $D2982,
    startD, INDEX(Calculation!B$2:B9627, r),
    endD,   INDEX(Calculation!C$2:C9627, r),
    asOf,   MIN($A2982,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5591901.37</v>
      </c>
    </row>
    <row r="2983">
      <c r="A2983" s="19">
        <v>45218.0</v>
      </c>
      <c r="B2983" s="23">
        <v>1.0765E7</v>
      </c>
      <c r="C2983" s="23">
        <f t="shared" si="1"/>
        <v>8831429.041</v>
      </c>
      <c r="D2983" s="18">
        <f>IF(A2983="","",MATCH(A2983,Calculation!B$2:B9627,1))</f>
        <v>2</v>
      </c>
      <c r="E2983" s="23">
        <f t="array" ref="E2983">IF(D2983="","",IF(D2983=1,0,INDEX(Calculation!Q$2:Q9627,D2983-1)))</f>
        <v>3232449.315</v>
      </c>
      <c r="F2983" s="23">
        <f t="array" ref="F2983">IF($A2983="","",
  LET(
    r, $D2983,
    startD, INDEX(Calculation!B$2:B9627, r),
    endD,   INDEX(Calculation!C$2:C9627, r),
    asOf,   MIN($A2983,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5598979.726</v>
      </c>
    </row>
    <row r="2984">
      <c r="A2984" s="19">
        <v>45219.0</v>
      </c>
      <c r="B2984" s="23">
        <v>1.0765E7</v>
      </c>
      <c r="C2984" s="23">
        <f t="shared" si="1"/>
        <v>8838507.397</v>
      </c>
      <c r="D2984" s="18">
        <f>IF(A2984="","",MATCH(A2984,Calculation!B$2:B9627,1))</f>
        <v>2</v>
      </c>
      <c r="E2984" s="23">
        <f t="array" ref="E2984">IF(D2984="","",IF(D2984=1,0,INDEX(Calculation!Q$2:Q9627,D2984-1)))</f>
        <v>3232449.315</v>
      </c>
      <c r="F2984" s="23">
        <f t="array" ref="F2984">IF($A2984="","",
  LET(
    r, $D2984,
    startD, INDEX(Calculation!B$2:B9627, r),
    endD,   INDEX(Calculation!C$2:C9627, r),
    asOf,   MIN($A2984,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5606058.082</v>
      </c>
    </row>
    <row r="2985">
      <c r="A2985" s="19">
        <v>45220.0</v>
      </c>
      <c r="B2985" s="23">
        <v>1.0765E7</v>
      </c>
      <c r="C2985" s="23">
        <f t="shared" si="1"/>
        <v>8845585.753</v>
      </c>
      <c r="D2985" s="18">
        <f>IF(A2985="","",MATCH(A2985,Calculation!B$2:B9627,1))</f>
        <v>2</v>
      </c>
      <c r="E2985" s="23">
        <f t="array" ref="E2985">IF(D2985="","",IF(D2985=1,0,INDEX(Calculation!Q$2:Q9627,D2985-1)))</f>
        <v>3232449.315</v>
      </c>
      <c r="F2985" s="23">
        <f t="array" ref="F2985">IF($A2985="","",
  LET(
    r, $D2985,
    startD, INDEX(Calculation!B$2:B9627, r),
    endD,   INDEX(Calculation!C$2:C9627, r),
    asOf,   MIN($A2985,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5613136.438</v>
      </c>
    </row>
    <row r="2986">
      <c r="A2986" s="19">
        <v>45221.0</v>
      </c>
      <c r="B2986" s="23">
        <v>1.0765E7</v>
      </c>
      <c r="C2986" s="23">
        <f t="shared" si="1"/>
        <v>8852664.11</v>
      </c>
      <c r="D2986" s="18">
        <f>IF(A2986="","",MATCH(A2986,Calculation!B$2:B9627,1))</f>
        <v>2</v>
      </c>
      <c r="E2986" s="23">
        <f t="array" ref="E2986">IF(D2986="","",IF(D2986=1,0,INDEX(Calculation!Q$2:Q9627,D2986-1)))</f>
        <v>3232449.315</v>
      </c>
      <c r="F2986" s="23">
        <f t="array" ref="F2986">IF($A2986="","",
  LET(
    r, $D2986,
    startD, INDEX(Calculation!B$2:B9627, r),
    endD,   INDEX(Calculation!C$2:C9627, r),
    asOf,   MIN($A2986,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5620214.795</v>
      </c>
    </row>
    <row r="2987">
      <c r="A2987" s="19">
        <v>45222.0</v>
      </c>
      <c r="B2987" s="23">
        <v>1.0765E7</v>
      </c>
      <c r="C2987" s="23">
        <f t="shared" si="1"/>
        <v>8859742.466</v>
      </c>
      <c r="D2987" s="18">
        <f>IF(A2987="","",MATCH(A2987,Calculation!B$2:B9627,1))</f>
        <v>2</v>
      </c>
      <c r="E2987" s="23">
        <f t="array" ref="E2987">IF(D2987="","",IF(D2987=1,0,INDEX(Calculation!Q$2:Q9627,D2987-1)))</f>
        <v>3232449.315</v>
      </c>
      <c r="F2987" s="23">
        <f t="array" ref="F2987">IF($A2987="","",
  LET(
    r, $D2987,
    startD, INDEX(Calculation!B$2:B9627, r),
    endD,   INDEX(Calculation!C$2:C9627, r),
    asOf,   MIN($A2987,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5627293.151</v>
      </c>
    </row>
    <row r="2988">
      <c r="A2988" s="19">
        <v>45223.0</v>
      </c>
      <c r="B2988" s="23">
        <v>1.0765E7</v>
      </c>
      <c r="C2988" s="23">
        <f t="shared" si="1"/>
        <v>8866820.822</v>
      </c>
      <c r="D2988" s="18">
        <f>IF(A2988="","",MATCH(A2988,Calculation!B$2:B9627,1))</f>
        <v>2</v>
      </c>
      <c r="E2988" s="23">
        <f t="array" ref="E2988">IF(D2988="","",IF(D2988=1,0,INDEX(Calculation!Q$2:Q9627,D2988-1)))</f>
        <v>3232449.315</v>
      </c>
      <c r="F2988" s="23">
        <f t="array" ref="F2988">IF($A2988="","",
  LET(
    r, $D2988,
    startD, INDEX(Calculation!B$2:B9627, r),
    endD,   INDEX(Calculation!C$2:C9627, r),
    asOf,   MIN($A2988,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5634371.507</v>
      </c>
    </row>
    <row r="2989">
      <c r="A2989" s="19">
        <v>45224.0</v>
      </c>
      <c r="B2989" s="23">
        <v>1.0765E7</v>
      </c>
      <c r="C2989" s="23">
        <f t="shared" si="1"/>
        <v>8873899.178</v>
      </c>
      <c r="D2989" s="18">
        <f>IF(A2989="","",MATCH(A2989,Calculation!B$2:B9627,1))</f>
        <v>2</v>
      </c>
      <c r="E2989" s="23">
        <f t="array" ref="E2989">IF(D2989="","",IF(D2989=1,0,INDEX(Calculation!Q$2:Q9627,D2989-1)))</f>
        <v>3232449.315</v>
      </c>
      <c r="F2989" s="23">
        <f t="array" ref="F2989">IF($A2989="","",
  LET(
    r, $D2989,
    startD, INDEX(Calculation!B$2:B9627, r),
    endD,   INDEX(Calculation!C$2:C9627, r),
    asOf,   MIN($A2989,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5641449.863</v>
      </c>
    </row>
    <row r="2990">
      <c r="A2990" s="19">
        <v>45225.0</v>
      </c>
      <c r="B2990" s="23">
        <v>1.0765E7</v>
      </c>
      <c r="C2990" s="23">
        <f t="shared" si="1"/>
        <v>8880977.534</v>
      </c>
      <c r="D2990" s="18">
        <f>IF(A2990="","",MATCH(A2990,Calculation!B$2:B9627,1))</f>
        <v>2</v>
      </c>
      <c r="E2990" s="23">
        <f t="array" ref="E2990">IF(D2990="","",IF(D2990=1,0,INDEX(Calculation!Q$2:Q9627,D2990-1)))</f>
        <v>3232449.315</v>
      </c>
      <c r="F2990" s="23">
        <f t="array" ref="F2990">IF($A2990="","",
  LET(
    r, $D2990,
    startD, INDEX(Calculation!B$2:B9627, r),
    endD,   INDEX(Calculation!C$2:C9627, r),
    asOf,   MIN($A2990,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5648528.219</v>
      </c>
    </row>
    <row r="2991">
      <c r="A2991" s="19">
        <v>45226.0</v>
      </c>
      <c r="B2991" s="23">
        <v>1.0765E7</v>
      </c>
      <c r="C2991" s="23">
        <f t="shared" si="1"/>
        <v>8888055.89</v>
      </c>
      <c r="D2991" s="18">
        <f>IF(A2991="","",MATCH(A2991,Calculation!B$2:B9627,1))</f>
        <v>2</v>
      </c>
      <c r="E2991" s="23">
        <f t="array" ref="E2991">IF(D2991="","",IF(D2991=1,0,INDEX(Calculation!Q$2:Q9627,D2991-1)))</f>
        <v>3232449.315</v>
      </c>
      <c r="F2991" s="23">
        <f t="array" ref="F2991">IF($A2991="","",
  LET(
    r, $D2991,
    startD, INDEX(Calculation!B$2:B9627, r),
    endD,   INDEX(Calculation!C$2:C9627, r),
    asOf,   MIN($A2991,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5655606.575</v>
      </c>
    </row>
    <row r="2992">
      <c r="A2992" s="19">
        <v>45227.0</v>
      </c>
      <c r="B2992" s="23">
        <v>1.0765E7</v>
      </c>
      <c r="C2992" s="23">
        <f t="shared" si="1"/>
        <v>8895134.247</v>
      </c>
      <c r="D2992" s="18">
        <f>IF(A2992="","",MATCH(A2992,Calculation!B$2:B9627,1))</f>
        <v>2</v>
      </c>
      <c r="E2992" s="23">
        <f t="array" ref="E2992">IF(D2992="","",IF(D2992=1,0,INDEX(Calculation!Q$2:Q9627,D2992-1)))</f>
        <v>3232449.315</v>
      </c>
      <c r="F2992" s="23">
        <f t="array" ref="F2992">IF($A2992="","",
  LET(
    r, $D2992,
    startD, INDEX(Calculation!B$2:B9627, r),
    endD,   INDEX(Calculation!C$2:C9627, r),
    asOf,   MIN($A2992,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5662684.932</v>
      </c>
    </row>
    <row r="2993">
      <c r="A2993" s="19">
        <v>45228.0</v>
      </c>
      <c r="B2993" s="23">
        <v>1.0765E7</v>
      </c>
      <c r="C2993" s="23">
        <f t="shared" si="1"/>
        <v>8902212.603</v>
      </c>
      <c r="D2993" s="18">
        <f>IF(A2993="","",MATCH(A2993,Calculation!B$2:B9627,1))</f>
        <v>2</v>
      </c>
      <c r="E2993" s="23">
        <f t="array" ref="E2993">IF(D2993="","",IF(D2993=1,0,INDEX(Calculation!Q$2:Q9627,D2993-1)))</f>
        <v>3232449.315</v>
      </c>
      <c r="F2993" s="23">
        <f t="array" ref="F2993">IF($A2993="","",
  LET(
    r, $D2993,
    startD, INDEX(Calculation!B$2:B9627, r),
    endD,   INDEX(Calculation!C$2:C9627, r),
    asOf,   MIN($A2993,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5669763.288</v>
      </c>
    </row>
    <row r="2994">
      <c r="A2994" s="19">
        <v>45229.0</v>
      </c>
      <c r="B2994" s="23">
        <v>1.0765E7</v>
      </c>
      <c r="C2994" s="23">
        <f t="shared" si="1"/>
        <v>8909290.959</v>
      </c>
      <c r="D2994" s="18">
        <f>IF(A2994="","",MATCH(A2994,Calculation!B$2:B9627,1))</f>
        <v>2</v>
      </c>
      <c r="E2994" s="23">
        <f t="array" ref="E2994">IF(D2994="","",IF(D2994=1,0,INDEX(Calculation!Q$2:Q9627,D2994-1)))</f>
        <v>3232449.315</v>
      </c>
      <c r="F2994" s="23">
        <f t="array" ref="F2994">IF($A2994="","",
  LET(
    r, $D2994,
    startD, INDEX(Calculation!B$2:B9627, r),
    endD,   INDEX(Calculation!C$2:C9627, r),
    asOf,   MIN($A2994,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5676841.644</v>
      </c>
    </row>
    <row r="2995">
      <c r="A2995" s="19">
        <v>45230.0</v>
      </c>
      <c r="B2995" s="23">
        <v>1.0765E7</v>
      </c>
      <c r="C2995" s="23">
        <f t="shared" si="1"/>
        <v>8916369.315</v>
      </c>
      <c r="D2995" s="18">
        <f>IF(A2995="","",MATCH(A2995,Calculation!B$2:B9627,1))</f>
        <v>2</v>
      </c>
      <c r="E2995" s="23">
        <f t="array" ref="E2995">IF(D2995="","",IF(D2995=1,0,INDEX(Calculation!Q$2:Q9627,D2995-1)))</f>
        <v>3232449.315</v>
      </c>
      <c r="F2995" s="23">
        <f t="array" ref="F2995">IF($A2995="","",
  LET(
    r, $D2995,
    startD, INDEX(Calculation!B$2:B9627, r),
    endD,   INDEX(Calculation!C$2:C9627, r),
    asOf,   MIN($A2995,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5683920</v>
      </c>
    </row>
    <row r="2996">
      <c r="A2996" s="19">
        <v>45231.0</v>
      </c>
      <c r="B2996" s="23">
        <v>1.0765E7</v>
      </c>
      <c r="C2996" s="23">
        <f t="shared" si="1"/>
        <v>8923447.671</v>
      </c>
      <c r="D2996" s="18">
        <f>IF(A2996="","",MATCH(A2996,Calculation!B$2:B9627,1))</f>
        <v>2</v>
      </c>
      <c r="E2996" s="23">
        <f t="array" ref="E2996">IF(D2996="","",IF(D2996=1,0,INDEX(Calculation!Q$2:Q9627,D2996-1)))</f>
        <v>3232449.315</v>
      </c>
      <c r="F2996" s="23">
        <f t="array" ref="F2996">IF($A2996="","",
  LET(
    r, $D2996,
    startD, INDEX(Calculation!B$2:B9627, r),
    endD,   INDEX(Calculation!C$2:C9627, r),
    asOf,   MIN($A2996,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5690998.356</v>
      </c>
    </row>
    <row r="2997">
      <c r="A2997" s="19">
        <v>45232.0</v>
      </c>
      <c r="B2997" s="23">
        <v>1.0765E7</v>
      </c>
      <c r="C2997" s="23">
        <f t="shared" si="1"/>
        <v>8930526.027</v>
      </c>
      <c r="D2997" s="18">
        <f>IF(A2997="","",MATCH(A2997,Calculation!B$2:B9627,1))</f>
        <v>2</v>
      </c>
      <c r="E2997" s="23">
        <f t="array" ref="E2997">IF(D2997="","",IF(D2997=1,0,INDEX(Calculation!Q$2:Q9627,D2997-1)))</f>
        <v>3232449.315</v>
      </c>
      <c r="F2997" s="23">
        <f t="array" ref="F2997">IF($A2997="","",
  LET(
    r, $D2997,
    startD, INDEX(Calculation!B$2:B9627, r),
    endD,   INDEX(Calculation!C$2:C9627, r),
    asOf,   MIN($A2997,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5698076.712</v>
      </c>
    </row>
    <row r="2998">
      <c r="A2998" s="19">
        <v>45233.0</v>
      </c>
      <c r="B2998" s="23">
        <v>1.0765E7</v>
      </c>
      <c r="C2998" s="23">
        <f t="shared" si="1"/>
        <v>8937604.384</v>
      </c>
      <c r="D2998" s="18">
        <f>IF(A2998="","",MATCH(A2998,Calculation!B$2:B9627,1))</f>
        <v>2</v>
      </c>
      <c r="E2998" s="23">
        <f t="array" ref="E2998">IF(D2998="","",IF(D2998=1,0,INDEX(Calculation!Q$2:Q9627,D2998-1)))</f>
        <v>3232449.315</v>
      </c>
      <c r="F2998" s="23">
        <f t="array" ref="F2998">IF($A2998="","",
  LET(
    r, $D2998,
    startD, INDEX(Calculation!B$2:B9627, r),
    endD,   INDEX(Calculation!C$2:C9627, r),
    asOf,   MIN($A2998,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5705155.068</v>
      </c>
    </row>
    <row r="2999">
      <c r="A2999" s="19">
        <v>45234.0</v>
      </c>
      <c r="B2999" s="23">
        <v>1.0765E7</v>
      </c>
      <c r="C2999" s="23">
        <f t="shared" si="1"/>
        <v>8944682.74</v>
      </c>
      <c r="D2999" s="18">
        <f>IF(A2999="","",MATCH(A2999,Calculation!B$2:B9627,1))</f>
        <v>2</v>
      </c>
      <c r="E2999" s="23">
        <f t="array" ref="E2999">IF(D2999="","",IF(D2999=1,0,INDEX(Calculation!Q$2:Q9627,D2999-1)))</f>
        <v>3232449.315</v>
      </c>
      <c r="F2999" s="23">
        <f t="array" ref="F2999">IF($A2999="","",
  LET(
    r, $D2999,
    startD, INDEX(Calculation!B$2:B9627, r),
    endD,   INDEX(Calculation!C$2:C9627, r),
    asOf,   MIN($A2999,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5712233.425</v>
      </c>
    </row>
    <row r="3000">
      <c r="A3000" s="19">
        <v>45235.0</v>
      </c>
      <c r="B3000" s="23">
        <v>1.0765E7</v>
      </c>
      <c r="C3000" s="23">
        <f t="shared" si="1"/>
        <v>8951761.096</v>
      </c>
      <c r="D3000" s="18">
        <f>IF(A3000="","",MATCH(A3000,Calculation!B$2:B9627,1))</f>
        <v>2</v>
      </c>
      <c r="E3000" s="23">
        <f t="array" ref="E3000">IF(D3000="","",IF(D3000=1,0,INDEX(Calculation!Q$2:Q9627,D3000-1)))</f>
        <v>3232449.315</v>
      </c>
      <c r="F3000" s="23">
        <f t="array" ref="F3000">IF($A3000="","",
  LET(
    r, $D3000,
    startD, INDEX(Calculation!B$2:B9627, r),
    endD,   INDEX(Calculation!C$2:C9627, r),
    asOf,   MIN($A3000,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5719311.781</v>
      </c>
    </row>
    <row r="3001">
      <c r="A3001" s="19">
        <v>45236.0</v>
      </c>
      <c r="B3001" s="23">
        <v>1.0765E7</v>
      </c>
      <c r="C3001" s="23">
        <f t="shared" si="1"/>
        <v>8958839.452</v>
      </c>
      <c r="D3001" s="18">
        <f>IF(A3001="","",MATCH(A3001,Calculation!B$2:B9627,1))</f>
        <v>2</v>
      </c>
      <c r="E3001" s="23">
        <f t="array" ref="E3001">IF(D3001="","",IF(D3001=1,0,INDEX(Calculation!Q$2:Q9627,D3001-1)))</f>
        <v>3232449.315</v>
      </c>
      <c r="F3001" s="23">
        <f t="array" ref="F3001">IF($A3001="","",
  LET(
    r, $D3001,
    startD, INDEX(Calculation!B$2:B9627, r),
    endD,   INDEX(Calculation!C$2:C9627, r),
    asOf,   MIN($A3001,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5726390.137</v>
      </c>
    </row>
    <row r="3002">
      <c r="A3002" s="19">
        <v>45237.0</v>
      </c>
      <c r="B3002" s="23">
        <v>1.0765E7</v>
      </c>
      <c r="C3002" s="23">
        <f t="shared" si="1"/>
        <v>8965917.808</v>
      </c>
      <c r="D3002" s="18">
        <f>IF(A3002="","",MATCH(A3002,Calculation!B$2:B9627,1))</f>
        <v>2</v>
      </c>
      <c r="E3002" s="23">
        <f t="array" ref="E3002">IF(D3002="","",IF(D3002=1,0,INDEX(Calculation!Q$2:Q9627,D3002-1)))</f>
        <v>3232449.315</v>
      </c>
      <c r="F3002" s="23">
        <f t="array" ref="F3002">IF($A3002="","",
  LET(
    r, $D3002,
    startD, INDEX(Calculation!B$2:B9627, r),
    endD,   INDEX(Calculation!C$2:C9627, r),
    asOf,   MIN($A3002,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5733468.493</v>
      </c>
    </row>
    <row r="3003">
      <c r="A3003" s="19">
        <v>45238.0</v>
      </c>
      <c r="B3003" s="23">
        <v>1.0765E7</v>
      </c>
      <c r="C3003" s="23">
        <f t="shared" si="1"/>
        <v>8972996.164</v>
      </c>
      <c r="D3003" s="18">
        <f>IF(A3003="","",MATCH(A3003,Calculation!B$2:B9627,1))</f>
        <v>2</v>
      </c>
      <c r="E3003" s="23">
        <f t="array" ref="E3003">IF(D3003="","",IF(D3003=1,0,INDEX(Calculation!Q$2:Q9627,D3003-1)))</f>
        <v>3232449.315</v>
      </c>
      <c r="F3003" s="23">
        <f t="array" ref="F3003">IF($A3003="","",
  LET(
    r, $D3003,
    startD, INDEX(Calculation!B$2:B9627, r),
    endD,   INDEX(Calculation!C$2:C9627, r),
    asOf,   MIN($A3003,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5740546.849</v>
      </c>
    </row>
    <row r="3004">
      <c r="A3004" s="19">
        <v>45239.0</v>
      </c>
      <c r="B3004" s="23">
        <v>1.0765E7</v>
      </c>
      <c r="C3004" s="23">
        <f t="shared" si="1"/>
        <v>8980074.521</v>
      </c>
      <c r="D3004" s="18">
        <f>IF(A3004="","",MATCH(A3004,Calculation!B$2:B9627,1))</f>
        <v>2</v>
      </c>
      <c r="E3004" s="23">
        <f t="array" ref="E3004">IF(D3004="","",IF(D3004=1,0,INDEX(Calculation!Q$2:Q9627,D3004-1)))</f>
        <v>3232449.315</v>
      </c>
      <c r="F3004" s="23">
        <f t="array" ref="F3004">IF($A3004="","",
  LET(
    r, $D3004,
    startD, INDEX(Calculation!B$2:B9627, r),
    endD,   INDEX(Calculation!C$2:C9627, r),
    asOf,   MIN($A3004,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5747625.205</v>
      </c>
    </row>
    <row r="3005">
      <c r="A3005" s="19">
        <v>45240.0</v>
      </c>
      <c r="B3005" s="23">
        <v>1.0765E7</v>
      </c>
      <c r="C3005" s="23">
        <f t="shared" si="1"/>
        <v>8987152.877</v>
      </c>
      <c r="D3005" s="18">
        <f>IF(A3005="","",MATCH(A3005,Calculation!B$2:B9627,1))</f>
        <v>2</v>
      </c>
      <c r="E3005" s="23">
        <f t="array" ref="E3005">IF(D3005="","",IF(D3005=1,0,INDEX(Calculation!Q$2:Q9627,D3005-1)))</f>
        <v>3232449.315</v>
      </c>
      <c r="F3005" s="23">
        <f t="array" ref="F3005">IF($A3005="","",
  LET(
    r, $D3005,
    startD, INDEX(Calculation!B$2:B9627, r),
    endD,   INDEX(Calculation!C$2:C9627, r),
    asOf,   MIN($A3005,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5754703.562</v>
      </c>
    </row>
    <row r="3006">
      <c r="A3006" s="19">
        <v>45241.0</v>
      </c>
      <c r="B3006" s="23">
        <v>1.0765E7</v>
      </c>
      <c r="C3006" s="23">
        <f t="shared" si="1"/>
        <v>8994231.233</v>
      </c>
      <c r="D3006" s="18">
        <f>IF(A3006="","",MATCH(A3006,Calculation!B$2:B9627,1))</f>
        <v>2</v>
      </c>
      <c r="E3006" s="23">
        <f t="array" ref="E3006">IF(D3006="","",IF(D3006=1,0,INDEX(Calculation!Q$2:Q9627,D3006-1)))</f>
        <v>3232449.315</v>
      </c>
      <c r="F3006" s="23">
        <f t="array" ref="F3006">IF($A3006="","",
  LET(
    r, $D3006,
    startD, INDEX(Calculation!B$2:B9627, r),
    endD,   INDEX(Calculation!C$2:C9627, r),
    asOf,   MIN($A3006,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5761781.918</v>
      </c>
    </row>
    <row r="3007">
      <c r="A3007" s="19">
        <v>45242.0</v>
      </c>
      <c r="B3007" s="23">
        <v>1.0765E7</v>
      </c>
      <c r="C3007" s="23">
        <f t="shared" si="1"/>
        <v>9001309.589</v>
      </c>
      <c r="D3007" s="18">
        <f>IF(A3007="","",MATCH(A3007,Calculation!B$2:B9627,1))</f>
        <v>2</v>
      </c>
      <c r="E3007" s="23">
        <f t="array" ref="E3007">IF(D3007="","",IF(D3007=1,0,INDEX(Calculation!Q$2:Q9627,D3007-1)))</f>
        <v>3232449.315</v>
      </c>
      <c r="F3007" s="23">
        <f t="array" ref="F3007">IF($A3007="","",
  LET(
    r, $D3007,
    startD, INDEX(Calculation!B$2:B9627, r),
    endD,   INDEX(Calculation!C$2:C9627, r),
    asOf,   MIN($A3007,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5768860.274</v>
      </c>
    </row>
    <row r="3008">
      <c r="A3008" s="19">
        <v>45243.0</v>
      </c>
      <c r="B3008" s="23">
        <v>1.0765E7</v>
      </c>
      <c r="C3008" s="23">
        <f t="shared" si="1"/>
        <v>9008387.945</v>
      </c>
      <c r="D3008" s="18">
        <f>IF(A3008="","",MATCH(A3008,Calculation!B$2:B9627,1))</f>
        <v>2</v>
      </c>
      <c r="E3008" s="23">
        <f t="array" ref="E3008">IF(D3008="","",IF(D3008=1,0,INDEX(Calculation!Q$2:Q9627,D3008-1)))</f>
        <v>3232449.315</v>
      </c>
      <c r="F3008" s="23">
        <f t="array" ref="F3008">IF($A3008="","",
  LET(
    r, $D3008,
    startD, INDEX(Calculation!B$2:B9627, r),
    endD,   INDEX(Calculation!C$2:C9627, r),
    asOf,   MIN($A3008,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5775938.63</v>
      </c>
    </row>
    <row r="3009">
      <c r="A3009" s="19">
        <v>45244.0</v>
      </c>
      <c r="B3009" s="23">
        <v>1.0765E7</v>
      </c>
      <c r="C3009" s="23">
        <f t="shared" si="1"/>
        <v>9015466.301</v>
      </c>
      <c r="D3009" s="18">
        <f>IF(A3009="","",MATCH(A3009,Calculation!B$2:B9627,1))</f>
        <v>2</v>
      </c>
      <c r="E3009" s="23">
        <f t="array" ref="E3009">IF(D3009="","",IF(D3009=1,0,INDEX(Calculation!Q$2:Q9627,D3009-1)))</f>
        <v>3232449.315</v>
      </c>
      <c r="F3009" s="23">
        <f t="array" ref="F3009">IF($A3009="","",
  LET(
    r, $D3009,
    startD, INDEX(Calculation!B$2:B9627, r),
    endD,   INDEX(Calculation!C$2:C9627, r),
    asOf,   MIN($A3009,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5783016.986</v>
      </c>
    </row>
    <row r="3010">
      <c r="A3010" s="19">
        <v>45245.0</v>
      </c>
      <c r="B3010" s="23">
        <v>1.0765E7</v>
      </c>
      <c r="C3010" s="23">
        <f t="shared" si="1"/>
        <v>9022544.658</v>
      </c>
      <c r="D3010" s="18">
        <f>IF(A3010="","",MATCH(A3010,Calculation!B$2:B9627,1))</f>
        <v>2</v>
      </c>
      <c r="E3010" s="23">
        <f t="array" ref="E3010">IF(D3010="","",IF(D3010=1,0,INDEX(Calculation!Q$2:Q9627,D3010-1)))</f>
        <v>3232449.315</v>
      </c>
      <c r="F3010" s="23">
        <f t="array" ref="F3010">IF($A3010="","",
  LET(
    r, $D3010,
    startD, INDEX(Calculation!B$2:B9627, r),
    endD,   INDEX(Calculation!C$2:C9627, r),
    asOf,   MIN($A3010,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5790095.342</v>
      </c>
    </row>
    <row r="3011">
      <c r="A3011" s="19">
        <v>45246.0</v>
      </c>
      <c r="B3011" s="23">
        <v>1.0765E7</v>
      </c>
      <c r="C3011" s="23">
        <f t="shared" si="1"/>
        <v>9029623.014</v>
      </c>
      <c r="D3011" s="18">
        <f>IF(A3011="","",MATCH(A3011,Calculation!B$2:B9627,1))</f>
        <v>2</v>
      </c>
      <c r="E3011" s="23">
        <f t="array" ref="E3011">IF(D3011="","",IF(D3011=1,0,INDEX(Calculation!Q$2:Q9627,D3011-1)))</f>
        <v>3232449.315</v>
      </c>
      <c r="F3011" s="23">
        <f t="array" ref="F3011">IF($A3011="","",
  LET(
    r, $D3011,
    startD, INDEX(Calculation!B$2:B9627, r),
    endD,   INDEX(Calculation!C$2:C9627, r),
    asOf,   MIN($A3011,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5797173.699</v>
      </c>
    </row>
    <row r="3012">
      <c r="A3012" s="19">
        <v>45247.0</v>
      </c>
      <c r="B3012" s="23">
        <v>1.0765E7</v>
      </c>
      <c r="C3012" s="23">
        <f t="shared" si="1"/>
        <v>9036701.37</v>
      </c>
      <c r="D3012" s="18">
        <f>IF(A3012="","",MATCH(A3012,Calculation!B$2:B9627,1))</f>
        <v>2</v>
      </c>
      <c r="E3012" s="23">
        <f t="array" ref="E3012">IF(D3012="","",IF(D3012=1,0,INDEX(Calculation!Q$2:Q9627,D3012-1)))</f>
        <v>3232449.315</v>
      </c>
      <c r="F3012" s="23">
        <f t="array" ref="F3012">IF($A3012="","",
  LET(
    r, $D3012,
    startD, INDEX(Calculation!B$2:B9627, r),
    endD,   INDEX(Calculation!C$2:C9627, r),
    asOf,   MIN($A3012,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5804252.055</v>
      </c>
    </row>
    <row r="3013">
      <c r="A3013" s="19">
        <v>45248.0</v>
      </c>
      <c r="B3013" s="23">
        <v>1.0765E7</v>
      </c>
      <c r="C3013" s="23">
        <f t="shared" si="1"/>
        <v>9043779.726</v>
      </c>
      <c r="D3013" s="18">
        <f>IF(A3013="","",MATCH(A3013,Calculation!B$2:B9627,1))</f>
        <v>2</v>
      </c>
      <c r="E3013" s="23">
        <f t="array" ref="E3013">IF(D3013="","",IF(D3013=1,0,INDEX(Calculation!Q$2:Q9627,D3013-1)))</f>
        <v>3232449.315</v>
      </c>
      <c r="F3013" s="23">
        <f t="array" ref="F3013">IF($A3013="","",
  LET(
    r, $D3013,
    startD, INDEX(Calculation!B$2:B9627, r),
    endD,   INDEX(Calculation!C$2:C9627, r),
    asOf,   MIN($A3013,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5811330.411</v>
      </c>
    </row>
    <row r="3014">
      <c r="A3014" s="19">
        <v>45249.0</v>
      </c>
      <c r="B3014" s="23">
        <v>1.0765E7</v>
      </c>
      <c r="C3014" s="23">
        <f t="shared" si="1"/>
        <v>9050858.082</v>
      </c>
      <c r="D3014" s="18">
        <f>IF(A3014="","",MATCH(A3014,Calculation!B$2:B9627,1))</f>
        <v>2</v>
      </c>
      <c r="E3014" s="23">
        <f t="array" ref="E3014">IF(D3014="","",IF(D3014=1,0,INDEX(Calculation!Q$2:Q9627,D3014-1)))</f>
        <v>3232449.315</v>
      </c>
      <c r="F3014" s="23">
        <f t="array" ref="F3014">IF($A3014="","",
  LET(
    r, $D3014,
    startD, INDEX(Calculation!B$2:B9627, r),
    endD,   INDEX(Calculation!C$2:C9627, r),
    asOf,   MIN($A3014,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5818408.767</v>
      </c>
    </row>
    <row r="3015">
      <c r="A3015" s="19">
        <v>45250.0</v>
      </c>
      <c r="B3015" s="23">
        <v>1.0765E7</v>
      </c>
      <c r="C3015" s="23">
        <f t="shared" si="1"/>
        <v>9057936.438</v>
      </c>
      <c r="D3015" s="18">
        <f>IF(A3015="","",MATCH(A3015,Calculation!B$2:B9627,1))</f>
        <v>2</v>
      </c>
      <c r="E3015" s="23">
        <f t="array" ref="E3015">IF(D3015="","",IF(D3015=1,0,INDEX(Calculation!Q$2:Q9627,D3015-1)))</f>
        <v>3232449.315</v>
      </c>
      <c r="F3015" s="23">
        <f t="array" ref="F3015">IF($A3015="","",
  LET(
    r, $D3015,
    startD, INDEX(Calculation!B$2:B9627, r),
    endD,   INDEX(Calculation!C$2:C9627, r),
    asOf,   MIN($A3015,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5825487.123</v>
      </c>
    </row>
    <row r="3016">
      <c r="A3016" s="19">
        <v>45251.0</v>
      </c>
      <c r="B3016" s="23">
        <v>1.0765E7</v>
      </c>
      <c r="C3016" s="23">
        <f t="shared" si="1"/>
        <v>9065014.795</v>
      </c>
      <c r="D3016" s="18">
        <f>IF(A3016="","",MATCH(A3016,Calculation!B$2:B9627,1))</f>
        <v>2</v>
      </c>
      <c r="E3016" s="23">
        <f t="array" ref="E3016">IF(D3016="","",IF(D3016=1,0,INDEX(Calculation!Q$2:Q9627,D3016-1)))</f>
        <v>3232449.315</v>
      </c>
      <c r="F3016" s="23">
        <f t="array" ref="F3016">IF($A3016="","",
  LET(
    r, $D3016,
    startD, INDEX(Calculation!B$2:B9627, r),
    endD,   INDEX(Calculation!C$2:C9627, r),
    asOf,   MIN($A3016,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5832565.479</v>
      </c>
    </row>
    <row r="3017">
      <c r="A3017" s="19">
        <v>45252.0</v>
      </c>
      <c r="B3017" s="23">
        <v>1.0765E7</v>
      </c>
      <c r="C3017" s="23">
        <f t="shared" si="1"/>
        <v>9072093.151</v>
      </c>
      <c r="D3017" s="18">
        <f>IF(A3017="","",MATCH(A3017,Calculation!B$2:B9627,1))</f>
        <v>2</v>
      </c>
      <c r="E3017" s="23">
        <f t="array" ref="E3017">IF(D3017="","",IF(D3017=1,0,INDEX(Calculation!Q$2:Q9627,D3017-1)))</f>
        <v>3232449.315</v>
      </c>
      <c r="F3017" s="23">
        <f t="array" ref="F3017">IF($A3017="","",
  LET(
    r, $D3017,
    startD, INDEX(Calculation!B$2:B9627, r),
    endD,   INDEX(Calculation!C$2:C9627, r),
    asOf,   MIN($A3017,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5839643.836</v>
      </c>
    </row>
    <row r="3018">
      <c r="A3018" s="19">
        <v>45253.0</v>
      </c>
      <c r="B3018" s="23">
        <v>1.0765E7</v>
      </c>
      <c r="C3018" s="23">
        <f t="shared" si="1"/>
        <v>9079171.507</v>
      </c>
      <c r="D3018" s="18">
        <f>IF(A3018="","",MATCH(A3018,Calculation!B$2:B9627,1))</f>
        <v>2</v>
      </c>
      <c r="E3018" s="23">
        <f t="array" ref="E3018">IF(D3018="","",IF(D3018=1,0,INDEX(Calculation!Q$2:Q9627,D3018-1)))</f>
        <v>3232449.315</v>
      </c>
      <c r="F3018" s="23">
        <f t="array" ref="F3018">IF($A3018="","",
  LET(
    r, $D3018,
    startD, INDEX(Calculation!B$2:B9627, r),
    endD,   INDEX(Calculation!C$2:C9627, r),
    asOf,   MIN($A3018,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5846722.192</v>
      </c>
    </row>
    <row r="3019">
      <c r="A3019" s="19">
        <v>45254.0</v>
      </c>
      <c r="B3019" s="23">
        <v>1.0765E7</v>
      </c>
      <c r="C3019" s="23">
        <f t="shared" si="1"/>
        <v>9086249.863</v>
      </c>
      <c r="D3019" s="18">
        <f>IF(A3019="","",MATCH(A3019,Calculation!B$2:B9627,1))</f>
        <v>2</v>
      </c>
      <c r="E3019" s="23">
        <f t="array" ref="E3019">IF(D3019="","",IF(D3019=1,0,INDEX(Calculation!Q$2:Q9627,D3019-1)))</f>
        <v>3232449.315</v>
      </c>
      <c r="F3019" s="23">
        <f t="array" ref="F3019">IF($A3019="","",
  LET(
    r, $D3019,
    startD, INDEX(Calculation!B$2:B9627, r),
    endD,   INDEX(Calculation!C$2:C9627, r),
    asOf,   MIN($A3019,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5853800.548</v>
      </c>
    </row>
    <row r="3020">
      <c r="A3020" s="19">
        <v>45255.0</v>
      </c>
      <c r="B3020" s="23">
        <v>1.0765E7</v>
      </c>
      <c r="C3020" s="23">
        <f t="shared" si="1"/>
        <v>9093328.219</v>
      </c>
      <c r="D3020" s="18">
        <f>IF(A3020="","",MATCH(A3020,Calculation!B$2:B9627,1))</f>
        <v>2</v>
      </c>
      <c r="E3020" s="23">
        <f t="array" ref="E3020">IF(D3020="","",IF(D3020=1,0,INDEX(Calculation!Q$2:Q9627,D3020-1)))</f>
        <v>3232449.315</v>
      </c>
      <c r="F3020" s="23">
        <f t="array" ref="F3020">IF($A3020="","",
  LET(
    r, $D3020,
    startD, INDEX(Calculation!B$2:B9627, r),
    endD,   INDEX(Calculation!C$2:C9627, r),
    asOf,   MIN($A3020,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5860878.904</v>
      </c>
    </row>
    <row r="3021">
      <c r="A3021" s="19">
        <v>45256.0</v>
      </c>
      <c r="B3021" s="23">
        <v>1.0765E7</v>
      </c>
      <c r="C3021" s="23">
        <f t="shared" si="1"/>
        <v>9100406.575</v>
      </c>
      <c r="D3021" s="18">
        <f>IF(A3021="","",MATCH(A3021,Calculation!B$2:B9627,1))</f>
        <v>2</v>
      </c>
      <c r="E3021" s="23">
        <f t="array" ref="E3021">IF(D3021="","",IF(D3021=1,0,INDEX(Calculation!Q$2:Q9627,D3021-1)))</f>
        <v>3232449.315</v>
      </c>
      <c r="F3021" s="23">
        <f t="array" ref="F3021">IF($A3021="","",
  LET(
    r, $D3021,
    startD, INDEX(Calculation!B$2:B9627, r),
    endD,   INDEX(Calculation!C$2:C9627, r),
    asOf,   MIN($A3021,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5867957.26</v>
      </c>
    </row>
    <row r="3022">
      <c r="A3022" s="19">
        <v>45257.0</v>
      </c>
      <c r="B3022" s="23">
        <v>1.0765E7</v>
      </c>
      <c r="C3022" s="23">
        <f t="shared" si="1"/>
        <v>9107484.932</v>
      </c>
      <c r="D3022" s="18">
        <f>IF(A3022="","",MATCH(A3022,Calculation!B$2:B9627,1))</f>
        <v>2</v>
      </c>
      <c r="E3022" s="23">
        <f t="array" ref="E3022">IF(D3022="","",IF(D3022=1,0,INDEX(Calculation!Q$2:Q9627,D3022-1)))</f>
        <v>3232449.315</v>
      </c>
      <c r="F3022" s="23">
        <f t="array" ref="F3022">IF($A3022="","",
  LET(
    r, $D3022,
    startD, INDEX(Calculation!B$2:B9627, r),
    endD,   INDEX(Calculation!C$2:C9627, r),
    asOf,   MIN($A3022,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5875035.616</v>
      </c>
    </row>
    <row r="3023">
      <c r="A3023" s="19">
        <v>45258.0</v>
      </c>
      <c r="B3023" s="23">
        <v>1.0765E7</v>
      </c>
      <c r="C3023" s="23">
        <f t="shared" si="1"/>
        <v>9114563.288</v>
      </c>
      <c r="D3023" s="18">
        <f>IF(A3023="","",MATCH(A3023,Calculation!B$2:B9627,1))</f>
        <v>2</v>
      </c>
      <c r="E3023" s="23">
        <f t="array" ref="E3023">IF(D3023="","",IF(D3023=1,0,INDEX(Calculation!Q$2:Q9627,D3023-1)))</f>
        <v>3232449.315</v>
      </c>
      <c r="F3023" s="23">
        <f t="array" ref="F3023">IF($A3023="","",
  LET(
    r, $D3023,
    startD, INDEX(Calculation!B$2:B9627, r),
    endD,   INDEX(Calculation!C$2:C9627, r),
    asOf,   MIN($A3023,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5882113.973</v>
      </c>
    </row>
    <row r="3024">
      <c r="A3024" s="19">
        <v>45259.0</v>
      </c>
      <c r="B3024" s="23">
        <v>1.0765E7</v>
      </c>
      <c r="C3024" s="23">
        <f t="shared" si="1"/>
        <v>9121641.644</v>
      </c>
      <c r="D3024" s="18">
        <f>IF(A3024="","",MATCH(A3024,Calculation!B$2:B9627,1))</f>
        <v>2</v>
      </c>
      <c r="E3024" s="23">
        <f t="array" ref="E3024">IF(D3024="","",IF(D3024=1,0,INDEX(Calculation!Q$2:Q9627,D3024-1)))</f>
        <v>3232449.315</v>
      </c>
      <c r="F3024" s="23">
        <f t="array" ref="F3024">IF($A3024="","",
  LET(
    r, $D3024,
    startD, INDEX(Calculation!B$2:B9627, r),
    endD,   INDEX(Calculation!C$2:C9627, r),
    asOf,   MIN($A3024,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5889192.329</v>
      </c>
    </row>
    <row r="3025">
      <c r="A3025" s="19">
        <v>45260.0</v>
      </c>
      <c r="B3025" s="23">
        <v>1.0765E7</v>
      </c>
      <c r="C3025" s="23">
        <f t="shared" si="1"/>
        <v>9128720</v>
      </c>
      <c r="D3025" s="18">
        <f>IF(A3025="","",MATCH(A3025,Calculation!B$2:B9627,1))</f>
        <v>2</v>
      </c>
      <c r="E3025" s="23">
        <f t="array" ref="E3025">IF(D3025="","",IF(D3025=1,0,INDEX(Calculation!Q$2:Q9627,D3025-1)))</f>
        <v>3232449.315</v>
      </c>
      <c r="F3025" s="23">
        <f t="array" ref="F3025">IF($A3025="","",
  LET(
    r, $D3025,
    startD, INDEX(Calculation!B$2:B9627, r),
    endD,   INDEX(Calculation!C$2:C9627, r),
    asOf,   MIN($A3025,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5896270.685</v>
      </c>
    </row>
    <row r="3026">
      <c r="A3026" s="19">
        <v>45261.0</v>
      </c>
      <c r="B3026" s="23">
        <v>1.0765E7</v>
      </c>
      <c r="C3026" s="23">
        <f t="shared" si="1"/>
        <v>9135798.356</v>
      </c>
      <c r="D3026" s="18">
        <f>IF(A3026="","",MATCH(A3026,Calculation!B$2:B9627,1))</f>
        <v>2</v>
      </c>
      <c r="E3026" s="23">
        <f t="array" ref="E3026">IF(D3026="","",IF(D3026=1,0,INDEX(Calculation!Q$2:Q9627,D3026-1)))</f>
        <v>3232449.315</v>
      </c>
      <c r="F3026" s="23">
        <f t="array" ref="F3026">IF($A3026="","",
  LET(
    r, $D3026,
    startD, INDEX(Calculation!B$2:B9627, r),
    endD,   INDEX(Calculation!C$2:C9627, r),
    asOf,   MIN($A3026,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5903349.041</v>
      </c>
    </row>
    <row r="3027">
      <c r="A3027" s="19">
        <v>45262.0</v>
      </c>
      <c r="B3027" s="23">
        <v>1.0765E7</v>
      </c>
      <c r="C3027" s="23">
        <f t="shared" si="1"/>
        <v>9142876.712</v>
      </c>
      <c r="D3027" s="18">
        <f>IF(A3027="","",MATCH(A3027,Calculation!B$2:B9627,1))</f>
        <v>2</v>
      </c>
      <c r="E3027" s="23">
        <f t="array" ref="E3027">IF(D3027="","",IF(D3027=1,0,INDEX(Calculation!Q$2:Q9627,D3027-1)))</f>
        <v>3232449.315</v>
      </c>
      <c r="F3027" s="23">
        <f t="array" ref="F3027">IF($A3027="","",
  LET(
    r, $D3027,
    startD, INDEX(Calculation!B$2:B9627, r),
    endD,   INDEX(Calculation!C$2:C9627, r),
    asOf,   MIN($A3027,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5910427.397</v>
      </c>
    </row>
    <row r="3028">
      <c r="A3028" s="19">
        <v>45263.0</v>
      </c>
      <c r="B3028" s="23">
        <v>1.0765E7</v>
      </c>
      <c r="C3028" s="23">
        <f t="shared" si="1"/>
        <v>9149955.068</v>
      </c>
      <c r="D3028" s="18">
        <f>IF(A3028="","",MATCH(A3028,Calculation!B$2:B9627,1))</f>
        <v>2</v>
      </c>
      <c r="E3028" s="23">
        <f t="array" ref="E3028">IF(D3028="","",IF(D3028=1,0,INDEX(Calculation!Q$2:Q9627,D3028-1)))</f>
        <v>3232449.315</v>
      </c>
      <c r="F3028" s="23">
        <f t="array" ref="F3028">IF($A3028="","",
  LET(
    r, $D3028,
    startD, INDEX(Calculation!B$2:B9627, r),
    endD,   INDEX(Calculation!C$2:C9627, r),
    asOf,   MIN($A3028,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5917505.753</v>
      </c>
    </row>
    <row r="3029">
      <c r="A3029" s="19">
        <v>45264.0</v>
      </c>
      <c r="B3029" s="23">
        <v>1.0765E7</v>
      </c>
      <c r="C3029" s="23">
        <f t="shared" si="1"/>
        <v>9157033.425</v>
      </c>
      <c r="D3029" s="18">
        <f>IF(A3029="","",MATCH(A3029,Calculation!B$2:B9627,1))</f>
        <v>2</v>
      </c>
      <c r="E3029" s="23">
        <f t="array" ref="E3029">IF(D3029="","",IF(D3029=1,0,INDEX(Calculation!Q$2:Q9627,D3029-1)))</f>
        <v>3232449.315</v>
      </c>
      <c r="F3029" s="23">
        <f t="array" ref="F3029">IF($A3029="","",
  LET(
    r, $D3029,
    startD, INDEX(Calculation!B$2:B9627, r),
    endD,   INDEX(Calculation!C$2:C9627, r),
    asOf,   MIN($A3029,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5924584.11</v>
      </c>
    </row>
    <row r="3030">
      <c r="A3030" s="19">
        <v>45265.0</v>
      </c>
      <c r="B3030" s="23">
        <v>1.0765E7</v>
      </c>
      <c r="C3030" s="23">
        <f t="shared" si="1"/>
        <v>9164111.781</v>
      </c>
      <c r="D3030" s="18">
        <f>IF(A3030="","",MATCH(A3030,Calculation!B$2:B9627,1))</f>
        <v>2</v>
      </c>
      <c r="E3030" s="23">
        <f t="array" ref="E3030">IF(D3030="","",IF(D3030=1,0,INDEX(Calculation!Q$2:Q9627,D3030-1)))</f>
        <v>3232449.315</v>
      </c>
      <c r="F3030" s="23">
        <f t="array" ref="F3030">IF($A3030="","",
  LET(
    r, $D3030,
    startD, INDEX(Calculation!B$2:B9627, r),
    endD,   INDEX(Calculation!C$2:C9627, r),
    asOf,   MIN($A3030,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5931662.466</v>
      </c>
    </row>
    <row r="3031">
      <c r="A3031" s="19">
        <v>45266.0</v>
      </c>
      <c r="B3031" s="23">
        <v>1.0765E7</v>
      </c>
      <c r="C3031" s="23">
        <f t="shared" si="1"/>
        <v>9171190.137</v>
      </c>
      <c r="D3031" s="18">
        <f>IF(A3031="","",MATCH(A3031,Calculation!B$2:B9627,1))</f>
        <v>2</v>
      </c>
      <c r="E3031" s="23">
        <f t="array" ref="E3031">IF(D3031="","",IF(D3031=1,0,INDEX(Calculation!Q$2:Q9627,D3031-1)))</f>
        <v>3232449.315</v>
      </c>
      <c r="F3031" s="23">
        <f t="array" ref="F3031">IF($A3031="","",
  LET(
    r, $D3031,
    startD, INDEX(Calculation!B$2:B9627, r),
    endD,   INDEX(Calculation!C$2:C9627, r),
    asOf,   MIN($A3031,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5938740.822</v>
      </c>
    </row>
    <row r="3032">
      <c r="A3032" s="19">
        <v>45267.0</v>
      </c>
      <c r="B3032" s="23">
        <v>1.0765E7</v>
      </c>
      <c r="C3032" s="23">
        <f t="shared" si="1"/>
        <v>9178268.493</v>
      </c>
      <c r="D3032" s="18">
        <f>IF(A3032="","",MATCH(A3032,Calculation!B$2:B9627,1))</f>
        <v>2</v>
      </c>
      <c r="E3032" s="23">
        <f t="array" ref="E3032">IF(D3032="","",IF(D3032=1,0,INDEX(Calculation!Q$2:Q9627,D3032-1)))</f>
        <v>3232449.315</v>
      </c>
      <c r="F3032" s="23">
        <f t="array" ref="F3032">IF($A3032="","",
  LET(
    r, $D3032,
    startD, INDEX(Calculation!B$2:B9627, r),
    endD,   INDEX(Calculation!C$2:C9627, r),
    asOf,   MIN($A3032,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5945819.178</v>
      </c>
    </row>
    <row r="3033">
      <c r="A3033" s="19">
        <v>45268.0</v>
      </c>
      <c r="B3033" s="23">
        <v>1.0765E7</v>
      </c>
      <c r="C3033" s="23">
        <f t="shared" si="1"/>
        <v>9185346.849</v>
      </c>
      <c r="D3033" s="18">
        <f>IF(A3033="","",MATCH(A3033,Calculation!B$2:B9627,1))</f>
        <v>2</v>
      </c>
      <c r="E3033" s="23">
        <f t="array" ref="E3033">IF(D3033="","",IF(D3033=1,0,INDEX(Calculation!Q$2:Q9627,D3033-1)))</f>
        <v>3232449.315</v>
      </c>
      <c r="F3033" s="23">
        <f t="array" ref="F3033">IF($A3033="","",
  LET(
    r, $D3033,
    startD, INDEX(Calculation!B$2:B9627, r),
    endD,   INDEX(Calculation!C$2:C9627, r),
    asOf,   MIN($A3033,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5952897.534</v>
      </c>
    </row>
    <row r="3034">
      <c r="A3034" s="19">
        <v>45269.0</v>
      </c>
      <c r="B3034" s="23">
        <v>1.0765E7</v>
      </c>
      <c r="C3034" s="23">
        <f t="shared" si="1"/>
        <v>9192425.205</v>
      </c>
      <c r="D3034" s="18">
        <f>IF(A3034="","",MATCH(A3034,Calculation!B$2:B9627,1))</f>
        <v>2</v>
      </c>
      <c r="E3034" s="23">
        <f t="array" ref="E3034">IF(D3034="","",IF(D3034=1,0,INDEX(Calculation!Q$2:Q9627,D3034-1)))</f>
        <v>3232449.315</v>
      </c>
      <c r="F3034" s="23">
        <f t="array" ref="F3034">IF($A3034="","",
  LET(
    r, $D3034,
    startD, INDEX(Calculation!B$2:B9627, r),
    endD,   INDEX(Calculation!C$2:C9627, r),
    asOf,   MIN($A3034,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5959975.89</v>
      </c>
    </row>
    <row r="3035">
      <c r="A3035" s="19">
        <v>45270.0</v>
      </c>
      <c r="B3035" s="23">
        <v>1.0765E7</v>
      </c>
      <c r="C3035" s="23">
        <f t="shared" si="1"/>
        <v>9199503.562</v>
      </c>
      <c r="D3035" s="18">
        <f>IF(A3035="","",MATCH(A3035,Calculation!B$2:B9627,1))</f>
        <v>2</v>
      </c>
      <c r="E3035" s="23">
        <f t="array" ref="E3035">IF(D3035="","",IF(D3035=1,0,INDEX(Calculation!Q$2:Q9627,D3035-1)))</f>
        <v>3232449.315</v>
      </c>
      <c r="F3035" s="23">
        <f t="array" ref="F3035">IF($A3035="","",
  LET(
    r, $D3035,
    startD, INDEX(Calculation!B$2:B9627, r),
    endD,   INDEX(Calculation!C$2:C9627, r),
    asOf,   MIN($A3035,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5967054.247</v>
      </c>
    </row>
    <row r="3036">
      <c r="A3036" s="19">
        <v>45271.0</v>
      </c>
      <c r="B3036" s="23">
        <v>1.0765E7</v>
      </c>
      <c r="C3036" s="23">
        <f t="shared" si="1"/>
        <v>9206581.918</v>
      </c>
      <c r="D3036" s="18">
        <f>IF(A3036="","",MATCH(A3036,Calculation!B$2:B9627,1))</f>
        <v>2</v>
      </c>
      <c r="E3036" s="23">
        <f t="array" ref="E3036">IF(D3036="","",IF(D3036=1,0,INDEX(Calculation!Q$2:Q9627,D3036-1)))</f>
        <v>3232449.315</v>
      </c>
      <c r="F3036" s="23">
        <f t="array" ref="F3036">IF($A3036="","",
  LET(
    r, $D3036,
    startD, INDEX(Calculation!B$2:B9627, r),
    endD,   INDEX(Calculation!C$2:C9627, r),
    asOf,   MIN($A3036,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5974132.603</v>
      </c>
    </row>
    <row r="3037">
      <c r="A3037" s="19">
        <v>45272.0</v>
      </c>
      <c r="B3037" s="23">
        <v>1.0765E7</v>
      </c>
      <c r="C3037" s="23">
        <f t="shared" si="1"/>
        <v>9213660.274</v>
      </c>
      <c r="D3037" s="18">
        <f>IF(A3037="","",MATCH(A3037,Calculation!B$2:B9627,1))</f>
        <v>2</v>
      </c>
      <c r="E3037" s="23">
        <f t="array" ref="E3037">IF(D3037="","",IF(D3037=1,0,INDEX(Calculation!Q$2:Q9627,D3037-1)))</f>
        <v>3232449.315</v>
      </c>
      <c r="F3037" s="23">
        <f t="array" ref="F3037">IF($A3037="","",
  LET(
    r, $D3037,
    startD, INDEX(Calculation!B$2:B9627, r),
    endD,   INDEX(Calculation!C$2:C9627, r),
    asOf,   MIN($A3037,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5981210.959</v>
      </c>
    </row>
    <row r="3038">
      <c r="A3038" s="19">
        <v>45273.0</v>
      </c>
      <c r="B3038" s="23">
        <v>1.0765E7</v>
      </c>
      <c r="C3038" s="23">
        <f t="shared" si="1"/>
        <v>9220738.63</v>
      </c>
      <c r="D3038" s="18">
        <f>IF(A3038="","",MATCH(A3038,Calculation!B$2:B9627,1))</f>
        <v>2</v>
      </c>
      <c r="E3038" s="23">
        <f t="array" ref="E3038">IF(D3038="","",IF(D3038=1,0,INDEX(Calculation!Q$2:Q9627,D3038-1)))</f>
        <v>3232449.315</v>
      </c>
      <c r="F3038" s="23">
        <f t="array" ref="F3038">IF($A3038="","",
  LET(
    r, $D3038,
    startD, INDEX(Calculation!B$2:B9627, r),
    endD,   INDEX(Calculation!C$2:C9627, r),
    asOf,   MIN($A3038,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5988289.315</v>
      </c>
    </row>
    <row r="3039">
      <c r="A3039" s="19">
        <v>45274.0</v>
      </c>
      <c r="B3039" s="23">
        <v>1.0765E7</v>
      </c>
      <c r="C3039" s="23">
        <f t="shared" si="1"/>
        <v>9227816.986</v>
      </c>
      <c r="D3039" s="18">
        <f>IF(A3039="","",MATCH(A3039,Calculation!B$2:B9627,1))</f>
        <v>2</v>
      </c>
      <c r="E3039" s="23">
        <f t="array" ref="E3039">IF(D3039="","",IF(D3039=1,0,INDEX(Calculation!Q$2:Q9627,D3039-1)))</f>
        <v>3232449.315</v>
      </c>
      <c r="F3039" s="23">
        <f t="array" ref="F3039">IF($A3039="","",
  LET(
    r, $D3039,
    startD, INDEX(Calculation!B$2:B9627, r),
    endD,   INDEX(Calculation!C$2:C9627, r),
    asOf,   MIN($A3039,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5995367.671</v>
      </c>
    </row>
    <row r="3040">
      <c r="A3040" s="19">
        <v>45275.0</v>
      </c>
      <c r="B3040" s="23">
        <v>1.0765E7</v>
      </c>
      <c r="C3040" s="23">
        <f t="shared" si="1"/>
        <v>9234895.342</v>
      </c>
      <c r="D3040" s="18">
        <f>IF(A3040="","",MATCH(A3040,Calculation!B$2:B9627,1))</f>
        <v>2</v>
      </c>
      <c r="E3040" s="23">
        <f t="array" ref="E3040">IF(D3040="","",IF(D3040=1,0,INDEX(Calculation!Q$2:Q9627,D3040-1)))</f>
        <v>3232449.315</v>
      </c>
      <c r="F3040" s="23">
        <f t="array" ref="F3040">IF($A3040="","",
  LET(
    r, $D3040,
    startD, INDEX(Calculation!B$2:B9627, r),
    endD,   INDEX(Calculation!C$2:C9627, r),
    asOf,   MIN($A3040,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6002446.027</v>
      </c>
    </row>
    <row r="3041">
      <c r="A3041" s="19">
        <v>45276.0</v>
      </c>
      <c r="B3041" s="23">
        <v>1.0765E7</v>
      </c>
      <c r="C3041" s="23">
        <f t="shared" si="1"/>
        <v>9241973.699</v>
      </c>
      <c r="D3041" s="18">
        <f>IF(A3041="","",MATCH(A3041,Calculation!B$2:B9627,1))</f>
        <v>2</v>
      </c>
      <c r="E3041" s="23">
        <f t="array" ref="E3041">IF(D3041="","",IF(D3041=1,0,INDEX(Calculation!Q$2:Q9627,D3041-1)))</f>
        <v>3232449.315</v>
      </c>
      <c r="F3041" s="23">
        <f t="array" ref="F3041">IF($A3041="","",
  LET(
    r, $D3041,
    startD, INDEX(Calculation!B$2:B9627, r),
    endD,   INDEX(Calculation!C$2:C9627, r),
    asOf,   MIN($A3041,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6009524.384</v>
      </c>
    </row>
    <row r="3042">
      <c r="A3042" s="19">
        <v>45277.0</v>
      </c>
      <c r="B3042" s="23">
        <v>1.0765E7</v>
      </c>
      <c r="C3042" s="23">
        <f t="shared" si="1"/>
        <v>9249052.055</v>
      </c>
      <c r="D3042" s="18">
        <f>IF(A3042="","",MATCH(A3042,Calculation!B$2:B9627,1))</f>
        <v>2</v>
      </c>
      <c r="E3042" s="23">
        <f t="array" ref="E3042">IF(D3042="","",IF(D3042=1,0,INDEX(Calculation!Q$2:Q9627,D3042-1)))</f>
        <v>3232449.315</v>
      </c>
      <c r="F3042" s="23">
        <f t="array" ref="F3042">IF($A3042="","",
  LET(
    r, $D3042,
    startD, INDEX(Calculation!B$2:B9627, r),
    endD,   INDEX(Calculation!C$2:C9627, r),
    asOf,   MIN($A3042,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6016602.74</v>
      </c>
    </row>
    <row r="3043">
      <c r="A3043" s="19">
        <v>45278.0</v>
      </c>
      <c r="B3043" s="23">
        <v>1.0765E7</v>
      </c>
      <c r="C3043" s="23">
        <f t="shared" si="1"/>
        <v>9256130.411</v>
      </c>
      <c r="D3043" s="18">
        <f>IF(A3043="","",MATCH(A3043,Calculation!B$2:B9627,1))</f>
        <v>2</v>
      </c>
      <c r="E3043" s="23">
        <f t="array" ref="E3043">IF(D3043="","",IF(D3043=1,0,INDEX(Calculation!Q$2:Q9627,D3043-1)))</f>
        <v>3232449.315</v>
      </c>
      <c r="F3043" s="23">
        <f t="array" ref="F3043">IF($A3043="","",
  LET(
    r, $D3043,
    startD, INDEX(Calculation!B$2:B9627, r),
    endD,   INDEX(Calculation!C$2:C9627, r),
    asOf,   MIN($A3043,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6023681.096</v>
      </c>
    </row>
    <row r="3044">
      <c r="A3044" s="19">
        <v>45279.0</v>
      </c>
      <c r="B3044" s="23">
        <v>1.0765E7</v>
      </c>
      <c r="C3044" s="23">
        <f t="shared" si="1"/>
        <v>9263208.767</v>
      </c>
      <c r="D3044" s="18">
        <f>IF(A3044="","",MATCH(A3044,Calculation!B$2:B9627,1))</f>
        <v>2</v>
      </c>
      <c r="E3044" s="23">
        <f t="array" ref="E3044">IF(D3044="","",IF(D3044=1,0,INDEX(Calculation!Q$2:Q9627,D3044-1)))</f>
        <v>3232449.315</v>
      </c>
      <c r="F3044" s="23">
        <f t="array" ref="F3044">IF($A3044="","",
  LET(
    r, $D3044,
    startD, INDEX(Calculation!B$2:B9627, r),
    endD,   INDEX(Calculation!C$2:C9627, r),
    asOf,   MIN($A3044,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6030759.452</v>
      </c>
    </row>
    <row r="3045">
      <c r="A3045" s="19">
        <v>45280.0</v>
      </c>
      <c r="B3045" s="23">
        <v>1.0765E7</v>
      </c>
      <c r="C3045" s="23">
        <f t="shared" si="1"/>
        <v>9270287.123</v>
      </c>
      <c r="D3045" s="18">
        <f>IF(A3045="","",MATCH(A3045,Calculation!B$2:B9627,1))</f>
        <v>2</v>
      </c>
      <c r="E3045" s="23">
        <f t="array" ref="E3045">IF(D3045="","",IF(D3045=1,0,INDEX(Calculation!Q$2:Q9627,D3045-1)))</f>
        <v>3232449.315</v>
      </c>
      <c r="F3045" s="23">
        <f t="array" ref="F3045">IF($A3045="","",
  LET(
    r, $D3045,
    startD, INDEX(Calculation!B$2:B9627, r),
    endD,   INDEX(Calculation!C$2:C9627, r),
    asOf,   MIN($A3045,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6037837.808</v>
      </c>
    </row>
    <row r="3046">
      <c r="A3046" s="19">
        <v>45281.0</v>
      </c>
      <c r="B3046" s="23">
        <v>1.0765E7</v>
      </c>
      <c r="C3046" s="23">
        <f t="shared" si="1"/>
        <v>9277365.479</v>
      </c>
      <c r="D3046" s="18">
        <f>IF(A3046="","",MATCH(A3046,Calculation!B$2:B9627,1))</f>
        <v>2</v>
      </c>
      <c r="E3046" s="23">
        <f t="array" ref="E3046">IF(D3046="","",IF(D3046=1,0,INDEX(Calculation!Q$2:Q9627,D3046-1)))</f>
        <v>3232449.315</v>
      </c>
      <c r="F3046" s="23">
        <f t="array" ref="F3046">IF($A3046="","",
  LET(
    r, $D3046,
    startD, INDEX(Calculation!B$2:B9627, r),
    endD,   INDEX(Calculation!C$2:C9627, r),
    asOf,   MIN($A3046,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6044916.164</v>
      </c>
    </row>
    <row r="3047">
      <c r="A3047" s="19">
        <v>45282.0</v>
      </c>
      <c r="B3047" s="23">
        <v>1.0765E7</v>
      </c>
      <c r="C3047" s="23">
        <f t="shared" si="1"/>
        <v>9284443.836</v>
      </c>
      <c r="D3047" s="18">
        <f>IF(A3047="","",MATCH(A3047,Calculation!B$2:B9627,1))</f>
        <v>2</v>
      </c>
      <c r="E3047" s="23">
        <f t="array" ref="E3047">IF(D3047="","",IF(D3047=1,0,INDEX(Calculation!Q$2:Q9627,D3047-1)))</f>
        <v>3232449.315</v>
      </c>
      <c r="F3047" s="23">
        <f t="array" ref="F3047">IF($A3047="","",
  LET(
    r, $D3047,
    startD, INDEX(Calculation!B$2:B9627, r),
    endD,   INDEX(Calculation!C$2:C9627, r),
    asOf,   MIN($A3047,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6051994.521</v>
      </c>
    </row>
    <row r="3048">
      <c r="A3048" s="19">
        <v>45283.0</v>
      </c>
      <c r="B3048" s="23">
        <v>1.0765E7</v>
      </c>
      <c r="C3048" s="23">
        <f t="shared" si="1"/>
        <v>9291522.192</v>
      </c>
      <c r="D3048" s="18">
        <f>IF(A3048="","",MATCH(A3048,Calculation!B$2:B9627,1))</f>
        <v>2</v>
      </c>
      <c r="E3048" s="23">
        <f t="array" ref="E3048">IF(D3048="","",IF(D3048=1,0,INDEX(Calculation!Q$2:Q9627,D3048-1)))</f>
        <v>3232449.315</v>
      </c>
      <c r="F3048" s="23">
        <f t="array" ref="F3048">IF($A3048="","",
  LET(
    r, $D3048,
    startD, INDEX(Calculation!B$2:B9627, r),
    endD,   INDEX(Calculation!C$2:C9627, r),
    asOf,   MIN($A3048,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6059072.877</v>
      </c>
    </row>
    <row r="3049">
      <c r="A3049" s="19">
        <v>45284.0</v>
      </c>
      <c r="B3049" s="23">
        <v>1.0765E7</v>
      </c>
      <c r="C3049" s="23">
        <f t="shared" si="1"/>
        <v>9298600.548</v>
      </c>
      <c r="D3049" s="18">
        <f>IF(A3049="","",MATCH(A3049,Calculation!B$2:B9627,1))</f>
        <v>2</v>
      </c>
      <c r="E3049" s="23">
        <f t="array" ref="E3049">IF(D3049="","",IF(D3049=1,0,INDEX(Calculation!Q$2:Q9627,D3049-1)))</f>
        <v>3232449.315</v>
      </c>
      <c r="F3049" s="23">
        <f t="array" ref="F3049">IF($A3049="","",
  LET(
    r, $D3049,
    startD, INDEX(Calculation!B$2:B9627, r),
    endD,   INDEX(Calculation!C$2:C9627, r),
    asOf,   MIN($A3049,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6066151.233</v>
      </c>
    </row>
    <row r="3050">
      <c r="A3050" s="19">
        <v>45285.0</v>
      </c>
      <c r="B3050" s="23">
        <v>1.0765E7</v>
      </c>
      <c r="C3050" s="23">
        <f t="shared" si="1"/>
        <v>9305678.904</v>
      </c>
      <c r="D3050" s="18">
        <f>IF(A3050="","",MATCH(A3050,Calculation!B$2:B9627,1))</f>
        <v>2</v>
      </c>
      <c r="E3050" s="23">
        <f t="array" ref="E3050">IF(D3050="","",IF(D3050=1,0,INDEX(Calculation!Q$2:Q9627,D3050-1)))</f>
        <v>3232449.315</v>
      </c>
      <c r="F3050" s="23">
        <f t="array" ref="F3050">IF($A3050="","",
  LET(
    r, $D3050,
    startD, INDEX(Calculation!B$2:B9627, r),
    endD,   INDEX(Calculation!C$2:C9627, r),
    asOf,   MIN($A3050,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6073229.589</v>
      </c>
    </row>
    <row r="3051">
      <c r="A3051" s="19">
        <v>45286.0</v>
      </c>
      <c r="B3051" s="23">
        <v>1.0765E7</v>
      </c>
      <c r="C3051" s="23">
        <f t="shared" si="1"/>
        <v>9312757.26</v>
      </c>
      <c r="D3051" s="18">
        <f>IF(A3051="","",MATCH(A3051,Calculation!B$2:B9627,1))</f>
        <v>2</v>
      </c>
      <c r="E3051" s="23">
        <f t="array" ref="E3051">IF(D3051="","",IF(D3051=1,0,INDEX(Calculation!Q$2:Q9627,D3051-1)))</f>
        <v>3232449.315</v>
      </c>
      <c r="F3051" s="23">
        <f t="array" ref="F3051">IF($A3051="","",
  LET(
    r, $D3051,
    startD, INDEX(Calculation!B$2:B9627, r),
    endD,   INDEX(Calculation!C$2:C9627, r),
    asOf,   MIN($A3051,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6080307.945</v>
      </c>
    </row>
    <row r="3052">
      <c r="A3052" s="19">
        <v>45287.0</v>
      </c>
      <c r="B3052" s="23">
        <v>1.0765E7</v>
      </c>
      <c r="C3052" s="23">
        <f t="shared" si="1"/>
        <v>9319835.616</v>
      </c>
      <c r="D3052" s="18">
        <f>IF(A3052="","",MATCH(A3052,Calculation!B$2:B9627,1))</f>
        <v>2</v>
      </c>
      <c r="E3052" s="23">
        <f t="array" ref="E3052">IF(D3052="","",IF(D3052=1,0,INDEX(Calculation!Q$2:Q9627,D3052-1)))</f>
        <v>3232449.315</v>
      </c>
      <c r="F3052" s="23">
        <f t="array" ref="F3052">IF($A3052="","",
  LET(
    r, $D3052,
    startD, INDEX(Calculation!B$2:B9627, r),
    endD,   INDEX(Calculation!C$2:C9627, r),
    asOf,   MIN($A3052,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6087386.301</v>
      </c>
    </row>
    <row r="3053">
      <c r="A3053" s="19">
        <v>45288.0</v>
      </c>
      <c r="B3053" s="23">
        <v>1.0765E7</v>
      </c>
      <c r="C3053" s="23">
        <f t="shared" si="1"/>
        <v>9326913.973</v>
      </c>
      <c r="D3053" s="18">
        <f>IF(A3053="","",MATCH(A3053,Calculation!B$2:B9627,1))</f>
        <v>2</v>
      </c>
      <c r="E3053" s="23">
        <f t="array" ref="E3053">IF(D3053="","",IF(D3053=1,0,INDEX(Calculation!Q$2:Q9627,D3053-1)))</f>
        <v>3232449.315</v>
      </c>
      <c r="F3053" s="23">
        <f t="array" ref="F3053">IF($A3053="","",
  LET(
    r, $D3053,
    startD, INDEX(Calculation!B$2:B9627, r),
    endD,   INDEX(Calculation!C$2:C9627, r),
    asOf,   MIN($A3053,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6094464.658</v>
      </c>
    </row>
    <row r="3054">
      <c r="A3054" s="19">
        <v>45289.0</v>
      </c>
      <c r="B3054" s="23">
        <v>1.0765E7</v>
      </c>
      <c r="C3054" s="23">
        <f t="shared" si="1"/>
        <v>9333992.329</v>
      </c>
      <c r="D3054" s="18">
        <f>IF(A3054="","",MATCH(A3054,Calculation!B$2:B9627,1))</f>
        <v>2</v>
      </c>
      <c r="E3054" s="23">
        <f t="array" ref="E3054">IF(D3054="","",IF(D3054=1,0,INDEX(Calculation!Q$2:Q9627,D3054-1)))</f>
        <v>3232449.315</v>
      </c>
      <c r="F3054" s="23">
        <f t="array" ref="F3054">IF($A3054="","",
  LET(
    r, $D3054,
    startD, INDEX(Calculation!B$2:B9627, r),
    endD,   INDEX(Calculation!C$2:C9627, r),
    asOf,   MIN($A3054,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6101543.014</v>
      </c>
    </row>
    <row r="3055">
      <c r="A3055" s="19">
        <v>45290.0</v>
      </c>
      <c r="B3055" s="23">
        <v>1.0765E7</v>
      </c>
      <c r="C3055" s="23">
        <f t="shared" si="1"/>
        <v>9341070.685</v>
      </c>
      <c r="D3055" s="18">
        <f>IF(A3055="","",MATCH(A3055,Calculation!B$2:B9627,1))</f>
        <v>2</v>
      </c>
      <c r="E3055" s="23">
        <f t="array" ref="E3055">IF(D3055="","",IF(D3055=1,0,INDEX(Calculation!Q$2:Q9627,D3055-1)))</f>
        <v>3232449.315</v>
      </c>
      <c r="F3055" s="23">
        <f t="array" ref="F3055">IF($A3055="","",
  LET(
    r, $D3055,
    startD, INDEX(Calculation!B$2:B9627, r),
    endD,   INDEX(Calculation!C$2:C9627, r),
    asOf,   MIN($A3055,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6108621.37</v>
      </c>
    </row>
    <row r="3056">
      <c r="A3056" s="19">
        <v>45291.0</v>
      </c>
      <c r="B3056" s="23">
        <v>1.0765E7</v>
      </c>
      <c r="C3056" s="23">
        <f t="shared" si="1"/>
        <v>9348149.041</v>
      </c>
      <c r="D3056" s="18">
        <f>IF(A3056="","",MATCH(A3056,Calculation!B$2:B9627,1))</f>
        <v>2</v>
      </c>
      <c r="E3056" s="23">
        <f t="array" ref="E3056">IF(D3056="","",IF(D3056=1,0,INDEX(Calculation!Q$2:Q9627,D3056-1)))</f>
        <v>3232449.315</v>
      </c>
      <c r="F3056" s="23">
        <f t="array" ref="F3056">IF($A3056="","",
  LET(
    r, $D3056,
    startD, INDEX(Calculation!B$2:B9627, r),
    endD,   INDEX(Calculation!C$2:C9627, r),
    asOf,   MIN($A3056,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6115699.726</v>
      </c>
    </row>
    <row r="3057">
      <c r="A3057" s="19">
        <v>45292.0</v>
      </c>
      <c r="B3057" s="23">
        <v>1.0765E7</v>
      </c>
      <c r="C3057" s="23">
        <f t="shared" si="1"/>
        <v>9355227.397</v>
      </c>
      <c r="D3057" s="18">
        <f>IF(A3057="","",MATCH(A3057,Calculation!B$2:B9627,1))</f>
        <v>2</v>
      </c>
      <c r="E3057" s="23">
        <f t="array" ref="E3057">IF(D3057="","",IF(D3057=1,0,INDEX(Calculation!Q$2:Q9627,D3057-1)))</f>
        <v>3232449.315</v>
      </c>
      <c r="F3057" s="23">
        <f t="array" ref="F3057">IF($A3057="","",
  LET(
    r, $D3057,
    startD, INDEX(Calculation!B$2:B9627, r),
    endD,   INDEX(Calculation!C$2:C9627, r),
    asOf,   MIN($A3057,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6122778.082</v>
      </c>
    </row>
    <row r="3058">
      <c r="A3058" s="19">
        <v>45293.0</v>
      </c>
      <c r="B3058" s="23">
        <v>1.0765E7</v>
      </c>
      <c r="C3058" s="23">
        <f t="shared" si="1"/>
        <v>9362305.753</v>
      </c>
      <c r="D3058" s="18">
        <f>IF(A3058="","",MATCH(A3058,Calculation!B$2:B9627,1))</f>
        <v>2</v>
      </c>
      <c r="E3058" s="23">
        <f t="array" ref="E3058">IF(D3058="","",IF(D3058=1,0,INDEX(Calculation!Q$2:Q9627,D3058-1)))</f>
        <v>3232449.315</v>
      </c>
      <c r="F3058" s="23">
        <f t="array" ref="F3058">IF($A3058="","",
  LET(
    r, $D3058,
    startD, INDEX(Calculation!B$2:B9627, r),
    endD,   INDEX(Calculation!C$2:C9627, r),
    asOf,   MIN($A3058,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6129856.438</v>
      </c>
    </row>
    <row r="3059">
      <c r="A3059" s="19">
        <v>45294.0</v>
      </c>
      <c r="B3059" s="23">
        <v>1.0765E7</v>
      </c>
      <c r="C3059" s="23">
        <f t="shared" si="1"/>
        <v>9369384.11</v>
      </c>
      <c r="D3059" s="18">
        <f>IF(A3059="","",MATCH(A3059,Calculation!B$2:B9627,1))</f>
        <v>2</v>
      </c>
      <c r="E3059" s="23">
        <f t="array" ref="E3059">IF(D3059="","",IF(D3059=1,0,INDEX(Calculation!Q$2:Q9627,D3059-1)))</f>
        <v>3232449.315</v>
      </c>
      <c r="F3059" s="23">
        <f t="array" ref="F3059">IF($A3059="","",
  LET(
    r, $D3059,
    startD, INDEX(Calculation!B$2:B9627, r),
    endD,   INDEX(Calculation!C$2:C9627, r),
    asOf,   MIN($A3059,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6136934.795</v>
      </c>
    </row>
    <row r="3060">
      <c r="A3060" s="19">
        <v>45295.0</v>
      </c>
      <c r="B3060" s="23">
        <v>1.0765E7</v>
      </c>
      <c r="C3060" s="23">
        <f t="shared" si="1"/>
        <v>9376462.466</v>
      </c>
      <c r="D3060" s="18">
        <f>IF(A3060="","",MATCH(A3060,Calculation!B$2:B9627,1))</f>
        <v>2</v>
      </c>
      <c r="E3060" s="23">
        <f t="array" ref="E3060">IF(D3060="","",IF(D3060=1,0,INDEX(Calculation!Q$2:Q9627,D3060-1)))</f>
        <v>3232449.315</v>
      </c>
      <c r="F3060" s="23">
        <f t="array" ref="F3060">IF($A3060="","",
  LET(
    r, $D3060,
    startD, INDEX(Calculation!B$2:B9627, r),
    endD,   INDEX(Calculation!C$2:C9627, r),
    asOf,   MIN($A3060,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6144013.151</v>
      </c>
    </row>
    <row r="3061">
      <c r="A3061" s="19">
        <v>45296.0</v>
      </c>
      <c r="B3061" s="23">
        <v>1.0765E7</v>
      </c>
      <c r="C3061" s="23">
        <f t="shared" si="1"/>
        <v>9383540.822</v>
      </c>
      <c r="D3061" s="18">
        <f>IF(A3061="","",MATCH(A3061,Calculation!B$2:B9627,1))</f>
        <v>2</v>
      </c>
      <c r="E3061" s="23">
        <f t="array" ref="E3061">IF(D3061="","",IF(D3061=1,0,INDEX(Calculation!Q$2:Q9627,D3061-1)))</f>
        <v>3232449.315</v>
      </c>
      <c r="F3061" s="23">
        <f t="array" ref="F3061">IF($A3061="","",
  LET(
    r, $D3061,
    startD, INDEX(Calculation!B$2:B9627, r),
    endD,   INDEX(Calculation!C$2:C9627, r),
    asOf,   MIN($A3061,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6151091.507</v>
      </c>
    </row>
    <row r="3062">
      <c r="A3062" s="19">
        <v>45297.0</v>
      </c>
      <c r="B3062" s="23">
        <v>1.0765E7</v>
      </c>
      <c r="C3062" s="23">
        <f t="shared" si="1"/>
        <v>9390619.178</v>
      </c>
      <c r="D3062" s="18">
        <f>IF(A3062="","",MATCH(A3062,Calculation!B$2:B9627,1))</f>
        <v>2</v>
      </c>
      <c r="E3062" s="23">
        <f t="array" ref="E3062">IF(D3062="","",IF(D3062=1,0,INDEX(Calculation!Q$2:Q9627,D3062-1)))</f>
        <v>3232449.315</v>
      </c>
      <c r="F3062" s="23">
        <f t="array" ref="F3062">IF($A3062="","",
  LET(
    r, $D3062,
    startD, INDEX(Calculation!B$2:B9627, r),
    endD,   INDEX(Calculation!C$2:C9627, r),
    asOf,   MIN($A3062,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6158169.863</v>
      </c>
    </row>
    <row r="3063">
      <c r="A3063" s="19">
        <v>45298.0</v>
      </c>
      <c r="B3063" s="23">
        <v>1.0765E7</v>
      </c>
      <c r="C3063" s="23">
        <f t="shared" si="1"/>
        <v>9397697.534</v>
      </c>
      <c r="D3063" s="18">
        <f>IF(A3063="","",MATCH(A3063,Calculation!B$2:B9627,1))</f>
        <v>2</v>
      </c>
      <c r="E3063" s="23">
        <f t="array" ref="E3063">IF(D3063="","",IF(D3063=1,0,INDEX(Calculation!Q$2:Q9627,D3063-1)))</f>
        <v>3232449.315</v>
      </c>
      <c r="F3063" s="23">
        <f t="array" ref="F3063">IF($A3063="","",
  LET(
    r, $D3063,
    startD, INDEX(Calculation!B$2:B9627, r),
    endD,   INDEX(Calculation!C$2:C9627, r),
    asOf,   MIN($A3063,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6165248.219</v>
      </c>
    </row>
    <row r="3064">
      <c r="A3064" s="19">
        <v>45299.0</v>
      </c>
      <c r="B3064" s="23">
        <v>1.0765E7</v>
      </c>
      <c r="C3064" s="23">
        <f t="shared" si="1"/>
        <v>9404775.89</v>
      </c>
      <c r="D3064" s="18">
        <f>IF(A3064="","",MATCH(A3064,Calculation!B$2:B9627,1))</f>
        <v>2</v>
      </c>
      <c r="E3064" s="23">
        <f t="array" ref="E3064">IF(D3064="","",IF(D3064=1,0,INDEX(Calculation!Q$2:Q9627,D3064-1)))</f>
        <v>3232449.315</v>
      </c>
      <c r="F3064" s="23">
        <f t="array" ref="F3064">IF($A3064="","",
  LET(
    r, $D3064,
    startD, INDEX(Calculation!B$2:B9627, r),
    endD,   INDEX(Calculation!C$2:C9627, r),
    asOf,   MIN($A3064,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6172326.575</v>
      </c>
    </row>
    <row r="3065">
      <c r="A3065" s="19">
        <v>45300.0</v>
      </c>
      <c r="B3065" s="23">
        <v>1.0765E7</v>
      </c>
      <c r="C3065" s="23">
        <f t="shared" si="1"/>
        <v>9411854.247</v>
      </c>
      <c r="D3065" s="18">
        <f>IF(A3065="","",MATCH(A3065,Calculation!B$2:B9627,1))</f>
        <v>2</v>
      </c>
      <c r="E3065" s="23">
        <f t="array" ref="E3065">IF(D3065="","",IF(D3065=1,0,INDEX(Calculation!Q$2:Q9627,D3065-1)))</f>
        <v>3232449.315</v>
      </c>
      <c r="F3065" s="23">
        <f t="array" ref="F3065">IF($A3065="","",
  LET(
    r, $D3065,
    startD, INDEX(Calculation!B$2:B9627, r),
    endD,   INDEX(Calculation!C$2:C9627, r),
    asOf,   MIN($A3065,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6179404.932</v>
      </c>
    </row>
    <row r="3066">
      <c r="A3066" s="19">
        <v>45301.0</v>
      </c>
      <c r="B3066" s="23">
        <v>1.0765E7</v>
      </c>
      <c r="C3066" s="23">
        <f t="shared" si="1"/>
        <v>9418932.603</v>
      </c>
      <c r="D3066" s="18">
        <f>IF(A3066="","",MATCH(A3066,Calculation!B$2:B9627,1))</f>
        <v>2</v>
      </c>
      <c r="E3066" s="23">
        <f t="array" ref="E3066">IF(D3066="","",IF(D3066=1,0,INDEX(Calculation!Q$2:Q9627,D3066-1)))</f>
        <v>3232449.315</v>
      </c>
      <c r="F3066" s="23">
        <f t="array" ref="F3066">IF($A3066="","",
  LET(
    r, $D3066,
    startD, INDEX(Calculation!B$2:B9627, r),
    endD,   INDEX(Calculation!C$2:C9627, r),
    asOf,   MIN($A3066,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6186483.288</v>
      </c>
    </row>
    <row r="3067">
      <c r="A3067" s="19">
        <v>45302.0</v>
      </c>
      <c r="B3067" s="23">
        <v>1.0765E7</v>
      </c>
      <c r="C3067" s="23">
        <f t="shared" si="1"/>
        <v>9426010.959</v>
      </c>
      <c r="D3067" s="18">
        <f>IF(A3067="","",MATCH(A3067,Calculation!B$2:B9627,1))</f>
        <v>2</v>
      </c>
      <c r="E3067" s="23">
        <f t="array" ref="E3067">IF(D3067="","",IF(D3067=1,0,INDEX(Calculation!Q$2:Q9627,D3067-1)))</f>
        <v>3232449.315</v>
      </c>
      <c r="F3067" s="23">
        <f t="array" ref="F3067">IF($A3067="","",
  LET(
    r, $D3067,
    startD, INDEX(Calculation!B$2:B9627, r),
    endD,   INDEX(Calculation!C$2:C9627, r),
    asOf,   MIN($A3067,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6193561.644</v>
      </c>
    </row>
    <row r="3068">
      <c r="A3068" s="19">
        <v>45303.0</v>
      </c>
      <c r="B3068" s="23">
        <v>1.0765E7</v>
      </c>
      <c r="C3068" s="23">
        <f t="shared" si="1"/>
        <v>9433089.315</v>
      </c>
      <c r="D3068" s="18">
        <f>IF(A3068="","",MATCH(A3068,Calculation!B$2:B9627,1))</f>
        <v>2</v>
      </c>
      <c r="E3068" s="23">
        <f t="array" ref="E3068">IF(D3068="","",IF(D3068=1,0,INDEX(Calculation!Q$2:Q9627,D3068-1)))</f>
        <v>3232449.315</v>
      </c>
      <c r="F3068" s="23">
        <f t="array" ref="F3068">IF($A3068="","",
  LET(
    r, $D3068,
    startD, INDEX(Calculation!B$2:B9627, r),
    endD,   INDEX(Calculation!C$2:C9627, r),
    asOf,   MIN($A3068,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6200640</v>
      </c>
    </row>
    <row r="3069">
      <c r="A3069" s="19">
        <v>45304.0</v>
      </c>
      <c r="B3069" s="23">
        <v>1.0765E7</v>
      </c>
      <c r="C3069" s="23">
        <f t="shared" si="1"/>
        <v>9440167.671</v>
      </c>
      <c r="D3069" s="18">
        <f>IF(A3069="","",MATCH(A3069,Calculation!B$2:B9627,1))</f>
        <v>2</v>
      </c>
      <c r="E3069" s="23">
        <f t="array" ref="E3069">IF(D3069="","",IF(D3069=1,0,INDEX(Calculation!Q$2:Q9627,D3069-1)))</f>
        <v>3232449.315</v>
      </c>
      <c r="F3069" s="23">
        <f t="array" ref="F3069">IF($A3069="","",
  LET(
    r, $D3069,
    startD, INDEX(Calculation!B$2:B9627, r),
    endD,   INDEX(Calculation!C$2:C9627, r),
    asOf,   MIN($A3069,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6207718.356</v>
      </c>
    </row>
    <row r="3070">
      <c r="A3070" s="19">
        <v>45305.0</v>
      </c>
      <c r="B3070" s="23">
        <v>1.0765E7</v>
      </c>
      <c r="C3070" s="23">
        <f t="shared" si="1"/>
        <v>9447246.027</v>
      </c>
      <c r="D3070" s="18">
        <f>IF(A3070="","",MATCH(A3070,Calculation!B$2:B9627,1))</f>
        <v>2</v>
      </c>
      <c r="E3070" s="23">
        <f t="array" ref="E3070">IF(D3070="","",IF(D3070=1,0,INDEX(Calculation!Q$2:Q9627,D3070-1)))</f>
        <v>3232449.315</v>
      </c>
      <c r="F3070" s="23">
        <f t="array" ref="F3070">IF($A3070="","",
  LET(
    r, $D3070,
    startD, INDEX(Calculation!B$2:B9627, r),
    endD,   INDEX(Calculation!C$2:C9627, r),
    asOf,   MIN($A3070,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6214796.712</v>
      </c>
    </row>
    <row r="3071">
      <c r="A3071" s="19">
        <v>45306.0</v>
      </c>
      <c r="B3071" s="23">
        <v>1.0765E7</v>
      </c>
      <c r="C3071" s="23">
        <f t="shared" si="1"/>
        <v>9454324.384</v>
      </c>
      <c r="D3071" s="18">
        <f>IF(A3071="","",MATCH(A3071,Calculation!B$2:B9627,1))</f>
        <v>2</v>
      </c>
      <c r="E3071" s="23">
        <f t="array" ref="E3071">IF(D3071="","",IF(D3071=1,0,INDEX(Calculation!Q$2:Q9627,D3071-1)))</f>
        <v>3232449.315</v>
      </c>
      <c r="F3071" s="23">
        <f t="array" ref="F3071">IF($A3071="","",
  LET(
    r, $D3071,
    startD, INDEX(Calculation!B$2:B9627, r),
    endD,   INDEX(Calculation!C$2:C9627, r),
    asOf,   MIN($A3071,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6221875.068</v>
      </c>
    </row>
    <row r="3072">
      <c r="A3072" s="19">
        <v>45307.0</v>
      </c>
      <c r="B3072" s="23">
        <v>1.0765E7</v>
      </c>
      <c r="C3072" s="23">
        <f t="shared" si="1"/>
        <v>9461402.74</v>
      </c>
      <c r="D3072" s="18">
        <f>IF(A3072="","",MATCH(A3072,Calculation!B$2:B9627,1))</f>
        <v>2</v>
      </c>
      <c r="E3072" s="23">
        <f t="array" ref="E3072">IF(D3072="","",IF(D3072=1,0,INDEX(Calculation!Q$2:Q9627,D3072-1)))</f>
        <v>3232449.315</v>
      </c>
      <c r="F3072" s="23">
        <f t="array" ref="F3072">IF($A3072="","",
  LET(
    r, $D3072,
    startD, INDEX(Calculation!B$2:B9627, r),
    endD,   INDEX(Calculation!C$2:C9627, r),
    asOf,   MIN($A3072,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6228953.425</v>
      </c>
    </row>
    <row r="3073">
      <c r="A3073" s="19">
        <v>45308.0</v>
      </c>
      <c r="B3073" s="23">
        <v>1.0765E7</v>
      </c>
      <c r="C3073" s="23">
        <f t="shared" si="1"/>
        <v>9468481.096</v>
      </c>
      <c r="D3073" s="18">
        <f>IF(A3073="","",MATCH(A3073,Calculation!B$2:B9627,1))</f>
        <v>2</v>
      </c>
      <c r="E3073" s="23">
        <f t="array" ref="E3073">IF(D3073="","",IF(D3073=1,0,INDEX(Calculation!Q$2:Q9627,D3073-1)))</f>
        <v>3232449.315</v>
      </c>
      <c r="F3073" s="23">
        <f t="array" ref="F3073">IF($A3073="","",
  LET(
    r, $D3073,
    startD, INDEX(Calculation!B$2:B9627, r),
    endD,   INDEX(Calculation!C$2:C9627, r),
    asOf,   MIN($A3073,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6236031.781</v>
      </c>
    </row>
    <row r="3074">
      <c r="A3074" s="19">
        <v>45309.0</v>
      </c>
      <c r="B3074" s="23">
        <v>1.0765E7</v>
      </c>
      <c r="C3074" s="23">
        <f t="shared" si="1"/>
        <v>9475559.452</v>
      </c>
      <c r="D3074" s="18">
        <f>IF(A3074="","",MATCH(A3074,Calculation!B$2:B9627,1))</f>
        <v>2</v>
      </c>
      <c r="E3074" s="23">
        <f t="array" ref="E3074">IF(D3074="","",IF(D3074=1,0,INDEX(Calculation!Q$2:Q9627,D3074-1)))</f>
        <v>3232449.315</v>
      </c>
      <c r="F3074" s="23">
        <f t="array" ref="F3074">IF($A3074="","",
  LET(
    r, $D3074,
    startD, INDEX(Calculation!B$2:B9627, r),
    endD,   INDEX(Calculation!C$2:C9627, r),
    asOf,   MIN($A3074,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6243110.137</v>
      </c>
    </row>
    <row r="3075">
      <c r="A3075" s="19">
        <v>45310.0</v>
      </c>
      <c r="B3075" s="23">
        <v>1.0765E7</v>
      </c>
      <c r="C3075" s="23">
        <f t="shared" si="1"/>
        <v>9482637.808</v>
      </c>
      <c r="D3075" s="18">
        <f>IF(A3075="","",MATCH(A3075,Calculation!B$2:B9627,1))</f>
        <v>2</v>
      </c>
      <c r="E3075" s="23">
        <f t="array" ref="E3075">IF(D3075="","",IF(D3075=1,0,INDEX(Calculation!Q$2:Q9627,D3075-1)))</f>
        <v>3232449.315</v>
      </c>
      <c r="F3075" s="23">
        <f t="array" ref="F3075">IF($A3075="","",
  LET(
    r, $D3075,
    startD, INDEX(Calculation!B$2:B9627, r),
    endD,   INDEX(Calculation!C$2:C9627, r),
    asOf,   MIN($A3075,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6250188.493</v>
      </c>
    </row>
    <row r="3076">
      <c r="A3076" s="19">
        <v>45311.0</v>
      </c>
      <c r="B3076" s="23">
        <v>1.0765E7</v>
      </c>
      <c r="C3076" s="23">
        <f t="shared" si="1"/>
        <v>9489716.164</v>
      </c>
      <c r="D3076" s="18">
        <f>IF(A3076="","",MATCH(A3076,Calculation!B$2:B9627,1))</f>
        <v>2</v>
      </c>
      <c r="E3076" s="23">
        <f t="array" ref="E3076">IF(D3076="","",IF(D3076=1,0,INDEX(Calculation!Q$2:Q9627,D3076-1)))</f>
        <v>3232449.315</v>
      </c>
      <c r="F3076" s="23">
        <f t="array" ref="F3076">IF($A3076="","",
  LET(
    r, $D3076,
    startD, INDEX(Calculation!B$2:B9627, r),
    endD,   INDEX(Calculation!C$2:C9627, r),
    asOf,   MIN($A3076,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6257266.849</v>
      </c>
    </row>
    <row r="3077">
      <c r="A3077" s="19">
        <v>45312.0</v>
      </c>
      <c r="B3077" s="23">
        <v>1.0765E7</v>
      </c>
      <c r="C3077" s="23">
        <f t="shared" si="1"/>
        <v>9496794.521</v>
      </c>
      <c r="D3077" s="18">
        <f>IF(A3077="","",MATCH(A3077,Calculation!B$2:B9627,1))</f>
        <v>2</v>
      </c>
      <c r="E3077" s="23">
        <f t="array" ref="E3077">IF(D3077="","",IF(D3077=1,0,INDEX(Calculation!Q$2:Q9627,D3077-1)))</f>
        <v>3232449.315</v>
      </c>
      <c r="F3077" s="23">
        <f t="array" ref="F3077">IF($A3077="","",
  LET(
    r, $D3077,
    startD, INDEX(Calculation!B$2:B9627, r),
    endD,   INDEX(Calculation!C$2:C9627, r),
    asOf,   MIN($A3077,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6264345.205</v>
      </c>
    </row>
    <row r="3078">
      <c r="A3078" s="19">
        <v>45313.0</v>
      </c>
      <c r="B3078" s="23">
        <v>1.0765E7</v>
      </c>
      <c r="C3078" s="23">
        <f t="shared" si="1"/>
        <v>9503872.877</v>
      </c>
      <c r="D3078" s="18">
        <f>IF(A3078="","",MATCH(A3078,Calculation!B$2:B9627,1))</f>
        <v>2</v>
      </c>
      <c r="E3078" s="23">
        <f t="array" ref="E3078">IF(D3078="","",IF(D3078=1,0,INDEX(Calculation!Q$2:Q9627,D3078-1)))</f>
        <v>3232449.315</v>
      </c>
      <c r="F3078" s="23">
        <f t="array" ref="F3078">IF($A3078="","",
  LET(
    r, $D3078,
    startD, INDEX(Calculation!B$2:B9627, r),
    endD,   INDEX(Calculation!C$2:C9627, r),
    asOf,   MIN($A3078,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6271423.562</v>
      </c>
    </row>
    <row r="3079">
      <c r="A3079" s="19">
        <v>45314.0</v>
      </c>
      <c r="B3079" s="23">
        <v>1.0765E7</v>
      </c>
      <c r="C3079" s="23">
        <f t="shared" si="1"/>
        <v>9510951.233</v>
      </c>
      <c r="D3079" s="18">
        <f>IF(A3079="","",MATCH(A3079,Calculation!B$2:B9627,1))</f>
        <v>2</v>
      </c>
      <c r="E3079" s="23">
        <f t="array" ref="E3079">IF(D3079="","",IF(D3079=1,0,INDEX(Calculation!Q$2:Q9627,D3079-1)))</f>
        <v>3232449.315</v>
      </c>
      <c r="F3079" s="23">
        <f t="array" ref="F3079">IF($A3079="","",
  LET(
    r, $D3079,
    startD, INDEX(Calculation!B$2:B9627, r),
    endD,   INDEX(Calculation!C$2:C9627, r),
    asOf,   MIN($A3079,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6278501.918</v>
      </c>
    </row>
    <row r="3080">
      <c r="A3080" s="19">
        <v>45315.0</v>
      </c>
      <c r="B3080" s="23">
        <v>1.0765E7</v>
      </c>
      <c r="C3080" s="23">
        <f t="shared" si="1"/>
        <v>9518029.589</v>
      </c>
      <c r="D3080" s="18">
        <f>IF(A3080="","",MATCH(A3080,Calculation!B$2:B9627,1))</f>
        <v>2</v>
      </c>
      <c r="E3080" s="23">
        <f t="array" ref="E3080">IF(D3080="","",IF(D3080=1,0,INDEX(Calculation!Q$2:Q9627,D3080-1)))</f>
        <v>3232449.315</v>
      </c>
      <c r="F3080" s="23">
        <f t="array" ref="F3080">IF($A3080="","",
  LET(
    r, $D3080,
    startD, INDEX(Calculation!B$2:B9627, r),
    endD,   INDEX(Calculation!C$2:C9627, r),
    asOf,   MIN($A3080,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6285580.274</v>
      </c>
    </row>
    <row r="3081">
      <c r="A3081" s="19">
        <v>45316.0</v>
      </c>
      <c r="B3081" s="23">
        <v>1.0765E7</v>
      </c>
      <c r="C3081" s="23">
        <f t="shared" si="1"/>
        <v>9525107.945</v>
      </c>
      <c r="D3081" s="18">
        <f>IF(A3081="","",MATCH(A3081,Calculation!B$2:B9627,1))</f>
        <v>2</v>
      </c>
      <c r="E3081" s="23">
        <f t="array" ref="E3081">IF(D3081="","",IF(D3081=1,0,INDEX(Calculation!Q$2:Q9627,D3081-1)))</f>
        <v>3232449.315</v>
      </c>
      <c r="F3081" s="23">
        <f t="array" ref="F3081">IF($A3081="","",
  LET(
    r, $D3081,
    startD, INDEX(Calculation!B$2:B9627, r),
    endD,   INDEX(Calculation!C$2:C9627, r),
    asOf,   MIN($A3081,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6292658.63</v>
      </c>
    </row>
    <row r="3082">
      <c r="A3082" s="19">
        <v>45317.0</v>
      </c>
      <c r="B3082" s="23">
        <v>1.0765E7</v>
      </c>
      <c r="C3082" s="23">
        <f t="shared" si="1"/>
        <v>9532186.301</v>
      </c>
      <c r="D3082" s="18">
        <f>IF(A3082="","",MATCH(A3082,Calculation!B$2:B9627,1))</f>
        <v>2</v>
      </c>
      <c r="E3082" s="23">
        <f t="array" ref="E3082">IF(D3082="","",IF(D3082=1,0,INDEX(Calculation!Q$2:Q9627,D3082-1)))</f>
        <v>3232449.315</v>
      </c>
      <c r="F3082" s="23">
        <f t="array" ref="F3082">IF($A3082="","",
  LET(
    r, $D3082,
    startD, INDEX(Calculation!B$2:B9627, r),
    endD,   INDEX(Calculation!C$2:C9627, r),
    asOf,   MIN($A3082,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6299736.986</v>
      </c>
    </row>
    <row r="3083">
      <c r="A3083" s="19">
        <v>45318.0</v>
      </c>
      <c r="B3083" s="23">
        <v>1.0765E7</v>
      </c>
      <c r="C3083" s="23">
        <f t="shared" si="1"/>
        <v>9539264.658</v>
      </c>
      <c r="D3083" s="18">
        <f>IF(A3083="","",MATCH(A3083,Calculation!B$2:B9627,1))</f>
        <v>2</v>
      </c>
      <c r="E3083" s="23">
        <f t="array" ref="E3083">IF(D3083="","",IF(D3083=1,0,INDEX(Calculation!Q$2:Q9627,D3083-1)))</f>
        <v>3232449.315</v>
      </c>
      <c r="F3083" s="23">
        <f t="array" ref="F3083">IF($A3083="","",
  LET(
    r, $D3083,
    startD, INDEX(Calculation!B$2:B9627, r),
    endD,   INDEX(Calculation!C$2:C9627, r),
    asOf,   MIN($A3083,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6306815.342</v>
      </c>
    </row>
    <row r="3084">
      <c r="A3084" s="19">
        <v>45319.0</v>
      </c>
      <c r="B3084" s="23">
        <v>1.0765E7</v>
      </c>
      <c r="C3084" s="23">
        <f t="shared" si="1"/>
        <v>9546343.014</v>
      </c>
      <c r="D3084" s="18">
        <f>IF(A3084="","",MATCH(A3084,Calculation!B$2:B9627,1))</f>
        <v>2</v>
      </c>
      <c r="E3084" s="23">
        <f t="array" ref="E3084">IF(D3084="","",IF(D3084=1,0,INDEX(Calculation!Q$2:Q9627,D3084-1)))</f>
        <v>3232449.315</v>
      </c>
      <c r="F3084" s="23">
        <f t="array" ref="F3084">IF($A3084="","",
  LET(
    r, $D3084,
    startD, INDEX(Calculation!B$2:B9627, r),
    endD,   INDEX(Calculation!C$2:C9627, r),
    asOf,   MIN($A3084,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6313893.699</v>
      </c>
    </row>
    <row r="3085">
      <c r="A3085" s="19">
        <v>45320.0</v>
      </c>
      <c r="B3085" s="23">
        <v>1.0765E7</v>
      </c>
      <c r="C3085" s="23">
        <f t="shared" si="1"/>
        <v>9553421.37</v>
      </c>
      <c r="D3085" s="18">
        <f>IF(A3085="","",MATCH(A3085,Calculation!B$2:B9627,1))</f>
        <v>2</v>
      </c>
      <c r="E3085" s="23">
        <f t="array" ref="E3085">IF(D3085="","",IF(D3085=1,0,INDEX(Calculation!Q$2:Q9627,D3085-1)))</f>
        <v>3232449.315</v>
      </c>
      <c r="F3085" s="23">
        <f t="array" ref="F3085">IF($A3085="","",
  LET(
    r, $D3085,
    startD, INDEX(Calculation!B$2:B9627, r),
    endD,   INDEX(Calculation!C$2:C9627, r),
    asOf,   MIN($A3085,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6320972.055</v>
      </c>
    </row>
    <row r="3086">
      <c r="A3086" s="19">
        <v>45321.0</v>
      </c>
      <c r="B3086" s="23">
        <v>1.0765E7</v>
      </c>
      <c r="C3086" s="23">
        <f t="shared" si="1"/>
        <v>9560499.726</v>
      </c>
      <c r="D3086" s="18">
        <f>IF(A3086="","",MATCH(A3086,Calculation!B$2:B9627,1))</f>
        <v>2</v>
      </c>
      <c r="E3086" s="23">
        <f t="array" ref="E3086">IF(D3086="","",IF(D3086=1,0,INDEX(Calculation!Q$2:Q9627,D3086-1)))</f>
        <v>3232449.315</v>
      </c>
      <c r="F3086" s="23">
        <f t="array" ref="F3086">IF($A3086="","",
  LET(
    r, $D3086,
    startD, INDEX(Calculation!B$2:B9627, r),
    endD,   INDEX(Calculation!C$2:C9627, r),
    asOf,   MIN($A3086,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6328050.411</v>
      </c>
    </row>
    <row r="3087">
      <c r="A3087" s="19">
        <v>45322.0</v>
      </c>
      <c r="B3087" s="23">
        <v>1.0765E7</v>
      </c>
      <c r="C3087" s="23">
        <f t="shared" si="1"/>
        <v>9567578.082</v>
      </c>
      <c r="D3087" s="18">
        <f>IF(A3087="","",MATCH(A3087,Calculation!B$2:B9627,1))</f>
        <v>2</v>
      </c>
      <c r="E3087" s="23">
        <f t="array" ref="E3087">IF(D3087="","",IF(D3087=1,0,INDEX(Calculation!Q$2:Q9627,D3087-1)))</f>
        <v>3232449.315</v>
      </c>
      <c r="F3087" s="23">
        <f t="array" ref="F3087">IF($A3087="","",
  LET(
    r, $D3087,
    startD, INDEX(Calculation!B$2:B9627, r),
    endD,   INDEX(Calculation!C$2:C9627, r),
    asOf,   MIN($A3087,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6335128.767</v>
      </c>
    </row>
    <row r="3088">
      <c r="A3088" s="19">
        <v>45323.0</v>
      </c>
      <c r="B3088" s="23">
        <v>1.0765E7</v>
      </c>
      <c r="C3088" s="23">
        <f t="shared" si="1"/>
        <v>9574656.438</v>
      </c>
      <c r="D3088" s="18">
        <f>IF(A3088="","",MATCH(A3088,Calculation!B$2:B9627,1))</f>
        <v>2</v>
      </c>
      <c r="E3088" s="23">
        <f t="array" ref="E3088">IF(D3088="","",IF(D3088=1,0,INDEX(Calculation!Q$2:Q9627,D3088-1)))</f>
        <v>3232449.315</v>
      </c>
      <c r="F3088" s="23">
        <f t="array" ref="F3088">IF($A3088="","",
  LET(
    r, $D3088,
    startD, INDEX(Calculation!B$2:B9627, r),
    endD,   INDEX(Calculation!C$2:C9627, r),
    asOf,   MIN($A3088,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6342207.123</v>
      </c>
    </row>
    <row r="3089">
      <c r="A3089" s="19">
        <v>45324.0</v>
      </c>
      <c r="B3089" s="23">
        <v>1.0765E7</v>
      </c>
      <c r="C3089" s="23">
        <f t="shared" si="1"/>
        <v>9581734.795</v>
      </c>
      <c r="D3089" s="18">
        <f>IF(A3089="","",MATCH(A3089,Calculation!B$2:B9627,1))</f>
        <v>2</v>
      </c>
      <c r="E3089" s="23">
        <f t="array" ref="E3089">IF(D3089="","",IF(D3089=1,0,INDEX(Calculation!Q$2:Q9627,D3089-1)))</f>
        <v>3232449.315</v>
      </c>
      <c r="F3089" s="23">
        <f t="array" ref="F3089">IF($A3089="","",
  LET(
    r, $D3089,
    startD, INDEX(Calculation!B$2:B9627, r),
    endD,   INDEX(Calculation!C$2:C9627, r),
    asOf,   MIN($A3089,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6349285.479</v>
      </c>
    </row>
    <row r="3090">
      <c r="A3090" s="19">
        <v>45325.0</v>
      </c>
      <c r="B3090" s="23">
        <v>1.0765E7</v>
      </c>
      <c r="C3090" s="23">
        <f t="shared" si="1"/>
        <v>9588813.151</v>
      </c>
      <c r="D3090" s="18">
        <f>IF(A3090="","",MATCH(A3090,Calculation!B$2:B9627,1))</f>
        <v>2</v>
      </c>
      <c r="E3090" s="23">
        <f t="array" ref="E3090">IF(D3090="","",IF(D3090=1,0,INDEX(Calculation!Q$2:Q9627,D3090-1)))</f>
        <v>3232449.315</v>
      </c>
      <c r="F3090" s="23">
        <f t="array" ref="F3090">IF($A3090="","",
  LET(
    r, $D3090,
    startD, INDEX(Calculation!B$2:B9627, r),
    endD,   INDEX(Calculation!C$2:C9627, r),
    asOf,   MIN($A3090,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6356363.836</v>
      </c>
    </row>
    <row r="3091">
      <c r="A3091" s="19">
        <v>45326.0</v>
      </c>
      <c r="B3091" s="23">
        <v>1.0765E7</v>
      </c>
      <c r="C3091" s="23">
        <f t="shared" si="1"/>
        <v>9595891.507</v>
      </c>
      <c r="D3091" s="18">
        <f>IF(A3091="","",MATCH(A3091,Calculation!B$2:B9627,1))</f>
        <v>2</v>
      </c>
      <c r="E3091" s="23">
        <f t="array" ref="E3091">IF(D3091="","",IF(D3091=1,0,INDEX(Calculation!Q$2:Q9627,D3091-1)))</f>
        <v>3232449.315</v>
      </c>
      <c r="F3091" s="23">
        <f t="array" ref="F3091">IF($A3091="","",
  LET(
    r, $D3091,
    startD, INDEX(Calculation!B$2:B9627, r),
    endD,   INDEX(Calculation!C$2:C9627, r),
    asOf,   MIN($A3091,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6363442.192</v>
      </c>
    </row>
    <row r="3092">
      <c r="A3092" s="19">
        <v>45327.0</v>
      </c>
      <c r="B3092" s="23">
        <v>1.0765E7</v>
      </c>
      <c r="C3092" s="23">
        <f t="shared" si="1"/>
        <v>9602969.863</v>
      </c>
      <c r="D3092" s="18">
        <f>IF(A3092="","",MATCH(A3092,Calculation!B$2:B9627,1))</f>
        <v>2</v>
      </c>
      <c r="E3092" s="23">
        <f t="array" ref="E3092">IF(D3092="","",IF(D3092=1,0,INDEX(Calculation!Q$2:Q9627,D3092-1)))</f>
        <v>3232449.315</v>
      </c>
      <c r="F3092" s="23">
        <f t="array" ref="F3092">IF($A3092="","",
  LET(
    r, $D3092,
    startD, INDEX(Calculation!B$2:B9627, r),
    endD,   INDEX(Calculation!C$2:C9627, r),
    asOf,   MIN($A3092,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6370520.548</v>
      </c>
    </row>
    <row r="3093">
      <c r="A3093" s="19">
        <v>45328.0</v>
      </c>
      <c r="B3093" s="23">
        <v>1.0765E7</v>
      </c>
      <c r="C3093" s="23">
        <f t="shared" si="1"/>
        <v>9610048.219</v>
      </c>
      <c r="D3093" s="18">
        <f>IF(A3093="","",MATCH(A3093,Calculation!B$2:B9627,1))</f>
        <v>2</v>
      </c>
      <c r="E3093" s="23">
        <f t="array" ref="E3093">IF(D3093="","",IF(D3093=1,0,INDEX(Calculation!Q$2:Q9627,D3093-1)))</f>
        <v>3232449.315</v>
      </c>
      <c r="F3093" s="23">
        <f t="array" ref="F3093">IF($A3093="","",
  LET(
    r, $D3093,
    startD, INDEX(Calculation!B$2:B9627, r),
    endD,   INDEX(Calculation!C$2:C9627, r),
    asOf,   MIN($A3093,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6377598.904</v>
      </c>
    </row>
    <row r="3094">
      <c r="A3094" s="19">
        <v>45329.0</v>
      </c>
      <c r="B3094" s="23">
        <v>1.0765E7</v>
      </c>
      <c r="C3094" s="23">
        <f t="shared" si="1"/>
        <v>9617126.575</v>
      </c>
      <c r="D3094" s="18">
        <f>IF(A3094="","",MATCH(A3094,Calculation!B$2:B9627,1))</f>
        <v>2</v>
      </c>
      <c r="E3094" s="23">
        <f t="array" ref="E3094">IF(D3094="","",IF(D3094=1,0,INDEX(Calculation!Q$2:Q9627,D3094-1)))</f>
        <v>3232449.315</v>
      </c>
      <c r="F3094" s="23">
        <f t="array" ref="F3094">IF($A3094="","",
  LET(
    r, $D3094,
    startD, INDEX(Calculation!B$2:B9627, r),
    endD,   INDEX(Calculation!C$2:C9627, r),
    asOf,   MIN($A3094,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6384677.26</v>
      </c>
    </row>
    <row r="3095">
      <c r="A3095" s="19">
        <v>45330.0</v>
      </c>
      <c r="B3095" s="23">
        <v>1.0765E7</v>
      </c>
      <c r="C3095" s="23">
        <f t="shared" si="1"/>
        <v>9624204.932</v>
      </c>
      <c r="D3095" s="18">
        <f>IF(A3095="","",MATCH(A3095,Calculation!B$2:B9627,1))</f>
        <v>2</v>
      </c>
      <c r="E3095" s="23">
        <f t="array" ref="E3095">IF(D3095="","",IF(D3095=1,0,INDEX(Calculation!Q$2:Q9627,D3095-1)))</f>
        <v>3232449.315</v>
      </c>
      <c r="F3095" s="23">
        <f t="array" ref="F3095">IF($A3095="","",
  LET(
    r, $D3095,
    startD, INDEX(Calculation!B$2:B9627, r),
    endD,   INDEX(Calculation!C$2:C9627, r),
    asOf,   MIN($A3095,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6391755.616</v>
      </c>
    </row>
    <row r="3096">
      <c r="A3096" s="19">
        <v>45331.0</v>
      </c>
      <c r="B3096" s="23">
        <v>1.0765E7</v>
      </c>
      <c r="C3096" s="23">
        <f t="shared" si="1"/>
        <v>9631283.288</v>
      </c>
      <c r="D3096" s="18">
        <f>IF(A3096="","",MATCH(A3096,Calculation!B$2:B9627,1))</f>
        <v>2</v>
      </c>
      <c r="E3096" s="23">
        <f t="array" ref="E3096">IF(D3096="","",IF(D3096=1,0,INDEX(Calculation!Q$2:Q9627,D3096-1)))</f>
        <v>3232449.315</v>
      </c>
      <c r="F3096" s="23">
        <f t="array" ref="F3096">IF($A3096="","",
  LET(
    r, $D3096,
    startD, INDEX(Calculation!B$2:B9627, r),
    endD,   INDEX(Calculation!C$2:C9627, r),
    asOf,   MIN($A3096,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6398833.973</v>
      </c>
    </row>
    <row r="3097">
      <c r="A3097" s="19">
        <v>45332.0</v>
      </c>
      <c r="B3097" s="23">
        <v>1.0765E7</v>
      </c>
      <c r="C3097" s="23">
        <f t="shared" si="1"/>
        <v>9638361.644</v>
      </c>
      <c r="D3097" s="18">
        <f>IF(A3097="","",MATCH(A3097,Calculation!B$2:B9627,1))</f>
        <v>2</v>
      </c>
      <c r="E3097" s="23">
        <f t="array" ref="E3097">IF(D3097="","",IF(D3097=1,0,INDEX(Calculation!Q$2:Q9627,D3097-1)))</f>
        <v>3232449.315</v>
      </c>
      <c r="F3097" s="23">
        <f t="array" ref="F3097">IF($A3097="","",
  LET(
    r, $D3097,
    startD, INDEX(Calculation!B$2:B9627, r),
    endD,   INDEX(Calculation!C$2:C9627, r),
    asOf,   MIN($A3097,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6405912.329</v>
      </c>
    </row>
    <row r="3098">
      <c r="A3098" s="19">
        <v>45333.0</v>
      </c>
      <c r="B3098" s="23">
        <v>1.0765E7</v>
      </c>
      <c r="C3098" s="23">
        <f t="shared" si="1"/>
        <v>9645440</v>
      </c>
      <c r="D3098" s="18">
        <f>IF(A3098="","",MATCH(A3098,Calculation!B$2:B9627,1))</f>
        <v>2</v>
      </c>
      <c r="E3098" s="23">
        <f t="array" ref="E3098">IF(D3098="","",IF(D3098=1,0,INDEX(Calculation!Q$2:Q9627,D3098-1)))</f>
        <v>3232449.315</v>
      </c>
      <c r="F3098" s="23">
        <f t="array" ref="F3098">IF($A3098="","",
  LET(
    r, $D3098,
    startD, INDEX(Calculation!B$2:B9627, r),
    endD,   INDEX(Calculation!C$2:C9627, r),
    asOf,   MIN($A3098,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6412990.685</v>
      </c>
    </row>
    <row r="3099">
      <c r="A3099" s="19">
        <v>45334.0</v>
      </c>
      <c r="B3099" s="23">
        <v>1.0765E7</v>
      </c>
      <c r="C3099" s="23">
        <f t="shared" si="1"/>
        <v>9652518.356</v>
      </c>
      <c r="D3099" s="18">
        <f>IF(A3099="","",MATCH(A3099,Calculation!B$2:B9627,1))</f>
        <v>2</v>
      </c>
      <c r="E3099" s="23">
        <f t="array" ref="E3099">IF(D3099="","",IF(D3099=1,0,INDEX(Calculation!Q$2:Q9627,D3099-1)))</f>
        <v>3232449.315</v>
      </c>
      <c r="F3099" s="23">
        <f t="array" ref="F3099">IF($A3099="","",
  LET(
    r, $D3099,
    startD, INDEX(Calculation!B$2:B9627, r),
    endD,   INDEX(Calculation!C$2:C9627, r),
    asOf,   MIN($A3099,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6420069.041</v>
      </c>
    </row>
    <row r="3100">
      <c r="A3100" s="19">
        <v>45335.0</v>
      </c>
      <c r="B3100" s="23">
        <v>1.0765E7</v>
      </c>
      <c r="C3100" s="23">
        <f t="shared" si="1"/>
        <v>9659596.712</v>
      </c>
      <c r="D3100" s="18">
        <f>IF(A3100="","",MATCH(A3100,Calculation!B$2:B9627,1))</f>
        <v>2</v>
      </c>
      <c r="E3100" s="23">
        <f t="array" ref="E3100">IF(D3100="","",IF(D3100=1,0,INDEX(Calculation!Q$2:Q9627,D3100-1)))</f>
        <v>3232449.315</v>
      </c>
      <c r="F3100" s="23">
        <f t="array" ref="F3100">IF($A3100="","",
  LET(
    r, $D3100,
    startD, INDEX(Calculation!B$2:B9627, r),
    endD,   INDEX(Calculation!C$2:C9627, r),
    asOf,   MIN($A3100,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6427147.397</v>
      </c>
    </row>
    <row r="3101">
      <c r="A3101" s="19">
        <v>45336.0</v>
      </c>
      <c r="B3101" s="23">
        <v>1.0765E7</v>
      </c>
      <c r="C3101" s="23">
        <f t="shared" si="1"/>
        <v>9666675.068</v>
      </c>
      <c r="D3101" s="18">
        <f>IF(A3101="","",MATCH(A3101,Calculation!B$2:B9627,1))</f>
        <v>2</v>
      </c>
      <c r="E3101" s="23">
        <f t="array" ref="E3101">IF(D3101="","",IF(D3101=1,0,INDEX(Calculation!Q$2:Q9627,D3101-1)))</f>
        <v>3232449.315</v>
      </c>
      <c r="F3101" s="23">
        <f t="array" ref="F3101">IF($A3101="","",
  LET(
    r, $D3101,
    startD, INDEX(Calculation!B$2:B9627, r),
    endD,   INDEX(Calculation!C$2:C9627, r),
    asOf,   MIN($A3101,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6434225.753</v>
      </c>
    </row>
    <row r="3102">
      <c r="A3102" s="19">
        <v>45337.0</v>
      </c>
      <c r="B3102" s="23">
        <v>1.0765E7</v>
      </c>
      <c r="C3102" s="23">
        <f t="shared" si="1"/>
        <v>9673753.425</v>
      </c>
      <c r="D3102" s="18">
        <f>IF(A3102="","",MATCH(A3102,Calculation!B$2:B9627,1))</f>
        <v>2</v>
      </c>
      <c r="E3102" s="23">
        <f t="array" ref="E3102">IF(D3102="","",IF(D3102=1,0,INDEX(Calculation!Q$2:Q9627,D3102-1)))</f>
        <v>3232449.315</v>
      </c>
      <c r="F3102" s="23">
        <f t="array" ref="F3102">IF($A3102="","",
  LET(
    r, $D3102,
    startD, INDEX(Calculation!B$2:B9627, r),
    endD,   INDEX(Calculation!C$2:C9627, r),
    asOf,   MIN($A3102,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6441304.11</v>
      </c>
    </row>
    <row r="3103">
      <c r="A3103" s="19">
        <v>45338.0</v>
      </c>
      <c r="B3103" s="23">
        <v>1.0765E7</v>
      </c>
      <c r="C3103" s="23">
        <f t="shared" si="1"/>
        <v>9680831.781</v>
      </c>
      <c r="D3103" s="18">
        <f>IF(A3103="","",MATCH(A3103,Calculation!B$2:B9627,1))</f>
        <v>2</v>
      </c>
      <c r="E3103" s="23">
        <f t="array" ref="E3103">IF(D3103="","",IF(D3103=1,0,INDEX(Calculation!Q$2:Q9627,D3103-1)))</f>
        <v>3232449.315</v>
      </c>
      <c r="F3103" s="23">
        <f t="array" ref="F3103">IF($A3103="","",
  LET(
    r, $D3103,
    startD, INDEX(Calculation!B$2:B9627, r),
    endD,   INDEX(Calculation!C$2:C9627, r),
    asOf,   MIN($A3103,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6448382.466</v>
      </c>
    </row>
    <row r="3104">
      <c r="A3104" s="19">
        <v>45339.0</v>
      </c>
      <c r="B3104" s="23">
        <v>1.0765E7</v>
      </c>
      <c r="C3104" s="23">
        <f t="shared" si="1"/>
        <v>9687910.137</v>
      </c>
      <c r="D3104" s="18">
        <f>IF(A3104="","",MATCH(A3104,Calculation!B$2:B9627,1))</f>
        <v>2</v>
      </c>
      <c r="E3104" s="23">
        <f t="array" ref="E3104">IF(D3104="","",IF(D3104=1,0,INDEX(Calculation!Q$2:Q9627,D3104-1)))</f>
        <v>3232449.315</v>
      </c>
      <c r="F3104" s="23">
        <f t="array" ref="F3104">IF($A3104="","",
  LET(
    r, $D3104,
    startD, INDEX(Calculation!B$2:B9627, r),
    endD,   INDEX(Calculation!C$2:C9627, r),
    asOf,   MIN($A3104,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6455460.822</v>
      </c>
    </row>
    <row r="3105">
      <c r="A3105" s="19">
        <v>45340.0</v>
      </c>
      <c r="B3105" s="23">
        <v>1.0765E7</v>
      </c>
      <c r="C3105" s="23">
        <f t="shared" si="1"/>
        <v>9694988.493</v>
      </c>
      <c r="D3105" s="18">
        <f>IF(A3105="","",MATCH(A3105,Calculation!B$2:B9627,1))</f>
        <v>2</v>
      </c>
      <c r="E3105" s="23">
        <f t="array" ref="E3105">IF(D3105="","",IF(D3105=1,0,INDEX(Calculation!Q$2:Q9627,D3105-1)))</f>
        <v>3232449.315</v>
      </c>
      <c r="F3105" s="23">
        <f t="array" ref="F3105">IF($A3105="","",
  LET(
    r, $D3105,
    startD, INDEX(Calculation!B$2:B9627, r),
    endD,   INDEX(Calculation!C$2:C9627, r),
    asOf,   MIN($A3105,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6462539.178</v>
      </c>
    </row>
    <row r="3106">
      <c r="A3106" s="19">
        <v>45341.0</v>
      </c>
      <c r="B3106" s="23">
        <v>1.0765E7</v>
      </c>
      <c r="C3106" s="23">
        <f t="shared" si="1"/>
        <v>9702066.849</v>
      </c>
      <c r="D3106" s="18">
        <f>IF(A3106="","",MATCH(A3106,Calculation!B$2:B9627,1))</f>
        <v>2</v>
      </c>
      <c r="E3106" s="23">
        <f t="array" ref="E3106">IF(D3106="","",IF(D3106=1,0,INDEX(Calculation!Q$2:Q9627,D3106-1)))</f>
        <v>3232449.315</v>
      </c>
      <c r="F3106" s="23">
        <f t="array" ref="F3106">IF($A3106="","",
  LET(
    r, $D3106,
    startD, INDEX(Calculation!B$2:B9627, r),
    endD,   INDEX(Calculation!C$2:C9627, r),
    asOf,   MIN($A3106,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6469617.534</v>
      </c>
    </row>
    <row r="3107">
      <c r="A3107" s="19">
        <v>45342.0</v>
      </c>
      <c r="B3107" s="23">
        <v>1.0765E7</v>
      </c>
      <c r="C3107" s="23">
        <f t="shared" si="1"/>
        <v>9709145.205</v>
      </c>
      <c r="D3107" s="18">
        <f>IF(A3107="","",MATCH(A3107,Calculation!B$2:B9627,1))</f>
        <v>2</v>
      </c>
      <c r="E3107" s="23">
        <f t="array" ref="E3107">IF(D3107="","",IF(D3107=1,0,INDEX(Calculation!Q$2:Q9627,D3107-1)))</f>
        <v>3232449.315</v>
      </c>
      <c r="F3107" s="23">
        <f t="array" ref="F3107">IF($A3107="","",
  LET(
    r, $D3107,
    startD, INDEX(Calculation!B$2:B9627, r),
    endD,   INDEX(Calculation!C$2:C9627, r),
    asOf,   MIN($A3107,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6476695.89</v>
      </c>
    </row>
    <row r="3108">
      <c r="A3108" s="19">
        <v>45343.0</v>
      </c>
      <c r="B3108" s="23">
        <v>1.0765E7</v>
      </c>
      <c r="C3108" s="23">
        <f t="shared" si="1"/>
        <v>9716223.562</v>
      </c>
      <c r="D3108" s="18">
        <f>IF(A3108="","",MATCH(A3108,Calculation!B$2:B9627,1))</f>
        <v>2</v>
      </c>
      <c r="E3108" s="23">
        <f t="array" ref="E3108">IF(D3108="","",IF(D3108=1,0,INDEX(Calculation!Q$2:Q9627,D3108-1)))</f>
        <v>3232449.315</v>
      </c>
      <c r="F3108" s="23">
        <f t="array" ref="F3108">IF($A3108="","",
  LET(
    r, $D3108,
    startD, INDEX(Calculation!B$2:B9627, r),
    endD,   INDEX(Calculation!C$2:C9627, r),
    asOf,   MIN($A3108,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6483774.247</v>
      </c>
    </row>
    <row r="3109">
      <c r="A3109" s="19">
        <v>45344.0</v>
      </c>
      <c r="B3109" s="23">
        <v>1.0765E7</v>
      </c>
      <c r="C3109" s="23">
        <f t="shared" si="1"/>
        <v>9723301.918</v>
      </c>
      <c r="D3109" s="18">
        <f>IF(A3109="","",MATCH(A3109,Calculation!B$2:B9627,1))</f>
        <v>2</v>
      </c>
      <c r="E3109" s="23">
        <f t="array" ref="E3109">IF(D3109="","",IF(D3109=1,0,INDEX(Calculation!Q$2:Q9627,D3109-1)))</f>
        <v>3232449.315</v>
      </c>
      <c r="F3109" s="23">
        <f t="array" ref="F3109">IF($A3109="","",
  LET(
    r, $D3109,
    startD, INDEX(Calculation!B$2:B9627, r),
    endD,   INDEX(Calculation!C$2:C9627, r),
    asOf,   MIN($A3109,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6490852.603</v>
      </c>
    </row>
    <row r="3110">
      <c r="A3110" s="19">
        <v>45345.0</v>
      </c>
      <c r="B3110" s="23">
        <v>1.0765E7</v>
      </c>
      <c r="C3110" s="23">
        <f t="shared" si="1"/>
        <v>9730380.274</v>
      </c>
      <c r="D3110" s="18">
        <f>IF(A3110="","",MATCH(A3110,Calculation!B$2:B9627,1))</f>
        <v>2</v>
      </c>
      <c r="E3110" s="23">
        <f t="array" ref="E3110">IF(D3110="","",IF(D3110=1,0,INDEX(Calculation!Q$2:Q9627,D3110-1)))</f>
        <v>3232449.315</v>
      </c>
      <c r="F3110" s="23">
        <f t="array" ref="F3110">IF($A3110="","",
  LET(
    r, $D3110,
    startD, INDEX(Calculation!B$2:B9627, r),
    endD,   INDEX(Calculation!C$2:C9627, r),
    asOf,   MIN($A3110,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6497930.959</v>
      </c>
    </row>
    <row r="3111">
      <c r="A3111" s="19">
        <v>45346.0</v>
      </c>
      <c r="B3111" s="23">
        <v>1.0765E7</v>
      </c>
      <c r="C3111" s="23">
        <f t="shared" si="1"/>
        <v>9737458.63</v>
      </c>
      <c r="D3111" s="18">
        <f>IF(A3111="","",MATCH(A3111,Calculation!B$2:B9627,1))</f>
        <v>2</v>
      </c>
      <c r="E3111" s="23">
        <f t="array" ref="E3111">IF(D3111="","",IF(D3111=1,0,INDEX(Calculation!Q$2:Q9627,D3111-1)))</f>
        <v>3232449.315</v>
      </c>
      <c r="F3111" s="23">
        <f t="array" ref="F3111">IF($A3111="","",
  LET(
    r, $D3111,
    startD, INDEX(Calculation!B$2:B9627, r),
    endD,   INDEX(Calculation!C$2:C9627, r),
    asOf,   MIN($A3111,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6505009.315</v>
      </c>
    </row>
    <row r="3112">
      <c r="A3112" s="19">
        <v>45347.0</v>
      </c>
      <c r="B3112" s="23">
        <v>1.0765E7</v>
      </c>
      <c r="C3112" s="23">
        <f t="shared" si="1"/>
        <v>9744536.986</v>
      </c>
      <c r="D3112" s="18">
        <f>IF(A3112="","",MATCH(A3112,Calculation!B$2:B9627,1))</f>
        <v>2</v>
      </c>
      <c r="E3112" s="23">
        <f t="array" ref="E3112">IF(D3112="","",IF(D3112=1,0,INDEX(Calculation!Q$2:Q9627,D3112-1)))</f>
        <v>3232449.315</v>
      </c>
      <c r="F3112" s="23">
        <f t="array" ref="F3112">IF($A3112="","",
  LET(
    r, $D3112,
    startD, INDEX(Calculation!B$2:B9627, r),
    endD,   INDEX(Calculation!C$2:C9627, r),
    asOf,   MIN($A3112,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6512087.671</v>
      </c>
    </row>
    <row r="3113">
      <c r="A3113" s="19">
        <v>45348.0</v>
      </c>
      <c r="B3113" s="23">
        <v>1.0765E7</v>
      </c>
      <c r="C3113" s="23">
        <f t="shared" si="1"/>
        <v>9751615.342</v>
      </c>
      <c r="D3113" s="18">
        <f>IF(A3113="","",MATCH(A3113,Calculation!B$2:B9627,1))</f>
        <v>2</v>
      </c>
      <c r="E3113" s="23">
        <f t="array" ref="E3113">IF(D3113="","",IF(D3113=1,0,INDEX(Calculation!Q$2:Q9627,D3113-1)))</f>
        <v>3232449.315</v>
      </c>
      <c r="F3113" s="23">
        <f t="array" ref="F3113">IF($A3113="","",
  LET(
    r, $D3113,
    startD, INDEX(Calculation!B$2:B9627, r),
    endD,   INDEX(Calculation!C$2:C9627, r),
    asOf,   MIN($A3113,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6519166.027</v>
      </c>
    </row>
    <row r="3114">
      <c r="A3114" s="19">
        <v>45349.0</v>
      </c>
      <c r="B3114" s="23">
        <v>1.0765E7</v>
      </c>
      <c r="C3114" s="23">
        <f t="shared" si="1"/>
        <v>9758693.699</v>
      </c>
      <c r="D3114" s="18">
        <f>IF(A3114="","",MATCH(A3114,Calculation!B$2:B9627,1))</f>
        <v>2</v>
      </c>
      <c r="E3114" s="23">
        <f t="array" ref="E3114">IF(D3114="","",IF(D3114=1,0,INDEX(Calculation!Q$2:Q9627,D3114-1)))</f>
        <v>3232449.315</v>
      </c>
      <c r="F3114" s="23">
        <f t="array" ref="F3114">IF($A3114="","",
  LET(
    r, $D3114,
    startD, INDEX(Calculation!B$2:B9627, r),
    endD,   INDEX(Calculation!C$2:C9627, r),
    asOf,   MIN($A3114,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6526244.384</v>
      </c>
    </row>
    <row r="3115">
      <c r="A3115" s="19">
        <v>45350.0</v>
      </c>
      <c r="B3115" s="23">
        <v>1.0765E7</v>
      </c>
      <c r="C3115" s="23">
        <f t="shared" si="1"/>
        <v>9765772.055</v>
      </c>
      <c r="D3115" s="18">
        <f>IF(A3115="","",MATCH(A3115,Calculation!B$2:B9627,1))</f>
        <v>2</v>
      </c>
      <c r="E3115" s="23">
        <f t="array" ref="E3115">IF(D3115="","",IF(D3115=1,0,INDEX(Calculation!Q$2:Q9627,D3115-1)))</f>
        <v>3232449.315</v>
      </c>
      <c r="F3115" s="23">
        <f t="array" ref="F3115">IF($A3115="","",
  LET(
    r, $D3115,
    startD, INDEX(Calculation!B$2:B9627, r),
    endD,   INDEX(Calculation!C$2:C9627, r),
    asOf,   MIN($A3115,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6533322.74</v>
      </c>
    </row>
    <row r="3116">
      <c r="A3116" s="19">
        <v>45351.0</v>
      </c>
      <c r="B3116" s="23">
        <v>1.0765E7</v>
      </c>
      <c r="C3116" s="23">
        <f t="shared" si="1"/>
        <v>9772850.411</v>
      </c>
      <c r="D3116" s="18">
        <f>IF(A3116="","",MATCH(A3116,Calculation!B$2:B9627,1))</f>
        <v>2</v>
      </c>
      <c r="E3116" s="23">
        <f t="array" ref="E3116">IF(D3116="","",IF(D3116=1,0,INDEX(Calculation!Q$2:Q9627,D3116-1)))</f>
        <v>3232449.315</v>
      </c>
      <c r="F3116" s="23">
        <f t="array" ref="F3116">IF($A3116="","",
  LET(
    r, $D3116,
    startD, INDEX(Calculation!B$2:B9627, r),
    endD,   INDEX(Calculation!C$2:C9627, r),
    asOf,   MIN($A3116,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6540401.096</v>
      </c>
    </row>
    <row r="3117">
      <c r="A3117" s="19">
        <v>45352.0</v>
      </c>
      <c r="B3117" s="23">
        <v>1.0765E7</v>
      </c>
      <c r="C3117" s="23">
        <f t="shared" si="1"/>
        <v>9779928.767</v>
      </c>
      <c r="D3117" s="18">
        <f>IF(A3117="","",MATCH(A3117,Calculation!B$2:B9627,1))</f>
        <v>2</v>
      </c>
      <c r="E3117" s="23">
        <f t="array" ref="E3117">IF(D3117="","",IF(D3117=1,0,INDEX(Calculation!Q$2:Q9627,D3117-1)))</f>
        <v>3232449.315</v>
      </c>
      <c r="F3117" s="23">
        <f t="array" ref="F3117">IF($A3117="","",
  LET(
    r, $D3117,
    startD, INDEX(Calculation!B$2:B9627, r),
    endD,   INDEX(Calculation!C$2:C9627, r),
    asOf,   MIN($A3117,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6547479.452</v>
      </c>
    </row>
    <row r="3118">
      <c r="A3118" s="19">
        <v>45353.0</v>
      </c>
      <c r="B3118" s="23">
        <v>1.0765E7</v>
      </c>
      <c r="C3118" s="23">
        <f t="shared" si="1"/>
        <v>9787007.123</v>
      </c>
      <c r="D3118" s="18">
        <f>IF(A3118="","",MATCH(A3118,Calculation!B$2:B9627,1))</f>
        <v>2</v>
      </c>
      <c r="E3118" s="23">
        <f t="array" ref="E3118">IF(D3118="","",IF(D3118=1,0,INDEX(Calculation!Q$2:Q9627,D3118-1)))</f>
        <v>3232449.315</v>
      </c>
      <c r="F3118" s="23">
        <f t="array" ref="F3118">IF($A3118="","",
  LET(
    r, $D3118,
    startD, INDEX(Calculation!B$2:B9627, r),
    endD,   INDEX(Calculation!C$2:C9627, r),
    asOf,   MIN($A3118,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6554557.808</v>
      </c>
    </row>
    <row r="3119">
      <c r="A3119" s="19">
        <v>45354.0</v>
      </c>
      <c r="B3119" s="23">
        <v>1.0765E7</v>
      </c>
      <c r="C3119" s="23">
        <f t="shared" si="1"/>
        <v>9794085.479</v>
      </c>
      <c r="D3119" s="18">
        <f>IF(A3119="","",MATCH(A3119,Calculation!B$2:B9627,1))</f>
        <v>2</v>
      </c>
      <c r="E3119" s="23">
        <f t="array" ref="E3119">IF(D3119="","",IF(D3119=1,0,INDEX(Calculation!Q$2:Q9627,D3119-1)))</f>
        <v>3232449.315</v>
      </c>
      <c r="F3119" s="23">
        <f t="array" ref="F3119">IF($A3119="","",
  LET(
    r, $D3119,
    startD, INDEX(Calculation!B$2:B9627, r),
    endD,   INDEX(Calculation!C$2:C9627, r),
    asOf,   MIN($A3119,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6561636.164</v>
      </c>
    </row>
    <row r="3120">
      <c r="A3120" s="19">
        <v>45355.0</v>
      </c>
      <c r="B3120" s="23">
        <v>1.0765E7</v>
      </c>
      <c r="C3120" s="23">
        <f t="shared" si="1"/>
        <v>9801163.836</v>
      </c>
      <c r="D3120" s="18">
        <f>IF(A3120="","",MATCH(A3120,Calculation!B$2:B9627,1))</f>
        <v>2</v>
      </c>
      <c r="E3120" s="23">
        <f t="array" ref="E3120">IF(D3120="","",IF(D3120=1,0,INDEX(Calculation!Q$2:Q9627,D3120-1)))</f>
        <v>3232449.315</v>
      </c>
      <c r="F3120" s="23">
        <f t="array" ref="F3120">IF($A3120="","",
  LET(
    r, $D3120,
    startD, INDEX(Calculation!B$2:B9627, r),
    endD,   INDEX(Calculation!C$2:C9627, r),
    asOf,   MIN($A3120,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6568714.521</v>
      </c>
    </row>
    <row r="3121">
      <c r="A3121" s="19">
        <v>45356.0</v>
      </c>
      <c r="B3121" s="23">
        <v>1.0765E7</v>
      </c>
      <c r="C3121" s="23">
        <f t="shared" si="1"/>
        <v>9808242.192</v>
      </c>
      <c r="D3121" s="18">
        <f>IF(A3121="","",MATCH(A3121,Calculation!B$2:B9627,1))</f>
        <v>2</v>
      </c>
      <c r="E3121" s="23">
        <f t="array" ref="E3121">IF(D3121="","",IF(D3121=1,0,INDEX(Calculation!Q$2:Q9627,D3121-1)))</f>
        <v>3232449.315</v>
      </c>
      <c r="F3121" s="23">
        <f t="array" ref="F3121">IF($A3121="","",
  LET(
    r, $D3121,
    startD, INDEX(Calculation!B$2:B9627, r),
    endD,   INDEX(Calculation!C$2:C9627, r),
    asOf,   MIN($A3121,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6575792.877</v>
      </c>
    </row>
    <row r="3122">
      <c r="A3122" s="19">
        <v>45357.0</v>
      </c>
      <c r="B3122" s="23">
        <v>1.0765E7</v>
      </c>
      <c r="C3122" s="23">
        <f t="shared" si="1"/>
        <v>9815320.548</v>
      </c>
      <c r="D3122" s="18">
        <f>IF(A3122="","",MATCH(A3122,Calculation!B$2:B9627,1))</f>
        <v>2</v>
      </c>
      <c r="E3122" s="23">
        <f t="array" ref="E3122">IF(D3122="","",IF(D3122=1,0,INDEX(Calculation!Q$2:Q9627,D3122-1)))</f>
        <v>3232449.315</v>
      </c>
      <c r="F3122" s="23">
        <f t="array" ref="F3122">IF($A3122="","",
  LET(
    r, $D3122,
    startD, INDEX(Calculation!B$2:B9627, r),
    endD,   INDEX(Calculation!C$2:C9627, r),
    asOf,   MIN($A3122,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6582871.233</v>
      </c>
    </row>
    <row r="3123">
      <c r="A3123" s="19">
        <v>45358.0</v>
      </c>
      <c r="B3123" s="23">
        <v>1.0765E7</v>
      </c>
      <c r="C3123" s="23">
        <f t="shared" si="1"/>
        <v>9822398.904</v>
      </c>
      <c r="D3123" s="18">
        <f>IF(A3123="","",MATCH(A3123,Calculation!B$2:B9627,1))</f>
        <v>2</v>
      </c>
      <c r="E3123" s="23">
        <f t="array" ref="E3123">IF(D3123="","",IF(D3123=1,0,INDEX(Calculation!Q$2:Q9627,D3123-1)))</f>
        <v>3232449.315</v>
      </c>
      <c r="F3123" s="23">
        <f t="array" ref="F3123">IF($A3123="","",
  LET(
    r, $D3123,
    startD, INDEX(Calculation!B$2:B9627, r),
    endD,   INDEX(Calculation!C$2:C9627, r),
    asOf,   MIN($A3123,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6589949.589</v>
      </c>
    </row>
    <row r="3124">
      <c r="A3124" s="19">
        <v>45359.0</v>
      </c>
      <c r="B3124" s="23">
        <v>1.0765E7</v>
      </c>
      <c r="C3124" s="23">
        <f t="shared" si="1"/>
        <v>9829477.26</v>
      </c>
      <c r="D3124" s="18">
        <f>IF(A3124="","",MATCH(A3124,Calculation!B$2:B9627,1))</f>
        <v>2</v>
      </c>
      <c r="E3124" s="23">
        <f t="array" ref="E3124">IF(D3124="","",IF(D3124=1,0,INDEX(Calculation!Q$2:Q9627,D3124-1)))</f>
        <v>3232449.315</v>
      </c>
      <c r="F3124" s="23">
        <f t="array" ref="F3124">IF($A3124="","",
  LET(
    r, $D3124,
    startD, INDEX(Calculation!B$2:B9627, r),
    endD,   INDEX(Calculation!C$2:C9627, r),
    asOf,   MIN($A3124,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6597027.945</v>
      </c>
    </row>
    <row r="3125">
      <c r="A3125" s="19">
        <v>45360.0</v>
      </c>
      <c r="B3125" s="23">
        <v>1.0765E7</v>
      </c>
      <c r="C3125" s="23">
        <f t="shared" si="1"/>
        <v>9836555.616</v>
      </c>
      <c r="D3125" s="18">
        <f>IF(A3125="","",MATCH(A3125,Calculation!B$2:B9627,1))</f>
        <v>2</v>
      </c>
      <c r="E3125" s="23">
        <f t="array" ref="E3125">IF(D3125="","",IF(D3125=1,0,INDEX(Calculation!Q$2:Q9627,D3125-1)))</f>
        <v>3232449.315</v>
      </c>
      <c r="F3125" s="23">
        <f t="array" ref="F3125">IF($A3125="","",
  LET(
    r, $D3125,
    startD, INDEX(Calculation!B$2:B9627, r),
    endD,   INDEX(Calculation!C$2:C9627, r),
    asOf,   MIN($A3125,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6604106.301</v>
      </c>
    </row>
    <row r="3126">
      <c r="A3126" s="19">
        <v>45361.0</v>
      </c>
      <c r="B3126" s="23">
        <v>1.0765E7</v>
      </c>
      <c r="C3126" s="23">
        <f t="shared" si="1"/>
        <v>9843633.973</v>
      </c>
      <c r="D3126" s="18">
        <f>IF(A3126="","",MATCH(A3126,Calculation!B$2:B9627,1))</f>
        <v>2</v>
      </c>
      <c r="E3126" s="23">
        <f t="array" ref="E3126">IF(D3126="","",IF(D3126=1,0,INDEX(Calculation!Q$2:Q9627,D3126-1)))</f>
        <v>3232449.315</v>
      </c>
      <c r="F3126" s="23">
        <f t="array" ref="F3126">IF($A3126="","",
  LET(
    r, $D3126,
    startD, INDEX(Calculation!B$2:B9627, r),
    endD,   INDEX(Calculation!C$2:C9627, r),
    asOf,   MIN($A3126,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6611184.658</v>
      </c>
    </row>
    <row r="3127">
      <c r="A3127" s="19">
        <v>45362.0</v>
      </c>
      <c r="B3127" s="23">
        <v>1.0765E7</v>
      </c>
      <c r="C3127" s="23">
        <f t="shared" si="1"/>
        <v>9850712.329</v>
      </c>
      <c r="D3127" s="18">
        <f>IF(A3127="","",MATCH(A3127,Calculation!B$2:B9627,1))</f>
        <v>2</v>
      </c>
      <c r="E3127" s="23">
        <f t="array" ref="E3127">IF(D3127="","",IF(D3127=1,0,INDEX(Calculation!Q$2:Q9627,D3127-1)))</f>
        <v>3232449.315</v>
      </c>
      <c r="F3127" s="23">
        <f t="array" ref="F3127">IF($A3127="","",
  LET(
    r, $D3127,
    startD, INDEX(Calculation!B$2:B9627, r),
    endD,   INDEX(Calculation!C$2:C9627, r),
    asOf,   MIN($A3127,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6618263.014</v>
      </c>
    </row>
    <row r="3128">
      <c r="A3128" s="19">
        <v>45363.0</v>
      </c>
      <c r="B3128" s="23">
        <v>1.0765E7</v>
      </c>
      <c r="C3128" s="23">
        <f t="shared" si="1"/>
        <v>9857790.685</v>
      </c>
      <c r="D3128" s="18">
        <f>IF(A3128="","",MATCH(A3128,Calculation!B$2:B9627,1))</f>
        <v>2</v>
      </c>
      <c r="E3128" s="23">
        <f t="array" ref="E3128">IF(D3128="","",IF(D3128=1,0,INDEX(Calculation!Q$2:Q9627,D3128-1)))</f>
        <v>3232449.315</v>
      </c>
      <c r="F3128" s="23">
        <f t="array" ref="F3128">IF($A3128="","",
  LET(
    r, $D3128,
    startD, INDEX(Calculation!B$2:B9627, r),
    endD,   INDEX(Calculation!C$2:C9627, r),
    asOf,   MIN($A3128,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6625341.37</v>
      </c>
    </row>
    <row r="3129">
      <c r="A3129" s="19">
        <v>45364.0</v>
      </c>
      <c r="B3129" s="23">
        <v>1.0765E7</v>
      </c>
      <c r="C3129" s="23">
        <f t="shared" si="1"/>
        <v>9864869.041</v>
      </c>
      <c r="D3129" s="18">
        <f>IF(A3129="","",MATCH(A3129,Calculation!B$2:B9627,1))</f>
        <v>2</v>
      </c>
      <c r="E3129" s="23">
        <f t="array" ref="E3129">IF(D3129="","",IF(D3129=1,0,INDEX(Calculation!Q$2:Q9627,D3129-1)))</f>
        <v>3232449.315</v>
      </c>
      <c r="F3129" s="23">
        <f t="array" ref="F3129">IF($A3129="","",
  LET(
    r, $D3129,
    startD, INDEX(Calculation!B$2:B9627, r),
    endD,   INDEX(Calculation!C$2:C9627, r),
    asOf,   MIN($A3129,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6632419.726</v>
      </c>
    </row>
    <row r="3130">
      <c r="A3130" s="19">
        <v>45365.0</v>
      </c>
      <c r="B3130" s="23">
        <v>1.0765E7</v>
      </c>
      <c r="C3130" s="23">
        <f t="shared" si="1"/>
        <v>9871947.397</v>
      </c>
      <c r="D3130" s="18">
        <f>IF(A3130="","",MATCH(A3130,Calculation!B$2:B9627,1))</f>
        <v>2</v>
      </c>
      <c r="E3130" s="23">
        <f t="array" ref="E3130">IF(D3130="","",IF(D3130=1,0,INDEX(Calculation!Q$2:Q9627,D3130-1)))</f>
        <v>3232449.315</v>
      </c>
      <c r="F3130" s="23">
        <f t="array" ref="F3130">IF($A3130="","",
  LET(
    r, $D3130,
    startD, INDEX(Calculation!B$2:B9627, r),
    endD,   INDEX(Calculation!C$2:C9627, r),
    asOf,   MIN($A3130,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6639498.082</v>
      </c>
    </row>
    <row r="3131">
      <c r="A3131" s="19">
        <v>45366.0</v>
      </c>
      <c r="B3131" s="23">
        <v>1.0765E7</v>
      </c>
      <c r="C3131" s="23">
        <f t="shared" si="1"/>
        <v>9879025.753</v>
      </c>
      <c r="D3131" s="18">
        <f>IF(A3131="","",MATCH(A3131,Calculation!B$2:B9627,1))</f>
        <v>2</v>
      </c>
      <c r="E3131" s="23">
        <f t="array" ref="E3131">IF(D3131="","",IF(D3131=1,0,INDEX(Calculation!Q$2:Q9627,D3131-1)))</f>
        <v>3232449.315</v>
      </c>
      <c r="F3131" s="23">
        <f t="array" ref="F3131">IF($A3131="","",
  LET(
    r, $D3131,
    startD, INDEX(Calculation!B$2:B9627, r),
    endD,   INDEX(Calculation!C$2:C9627, r),
    asOf,   MIN($A3131,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6646576.438</v>
      </c>
    </row>
    <row r="3132">
      <c r="A3132" s="19">
        <v>45367.0</v>
      </c>
      <c r="B3132" s="23">
        <v>1.0765E7</v>
      </c>
      <c r="C3132" s="23">
        <f t="shared" si="1"/>
        <v>9886104.11</v>
      </c>
      <c r="D3132" s="18">
        <f>IF(A3132="","",MATCH(A3132,Calculation!B$2:B9627,1))</f>
        <v>2</v>
      </c>
      <c r="E3132" s="23">
        <f t="array" ref="E3132">IF(D3132="","",IF(D3132=1,0,INDEX(Calculation!Q$2:Q9627,D3132-1)))</f>
        <v>3232449.315</v>
      </c>
      <c r="F3132" s="23">
        <f t="array" ref="F3132">IF($A3132="","",
  LET(
    r, $D3132,
    startD, INDEX(Calculation!B$2:B9627, r),
    endD,   INDEX(Calculation!C$2:C9627, r),
    asOf,   MIN($A3132,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6653654.795</v>
      </c>
    </row>
    <row r="3133">
      <c r="A3133" s="19">
        <v>45368.0</v>
      </c>
      <c r="B3133" s="23">
        <v>1.0765E7</v>
      </c>
      <c r="C3133" s="23">
        <f t="shared" si="1"/>
        <v>9893182.466</v>
      </c>
      <c r="D3133" s="18">
        <f>IF(A3133="","",MATCH(A3133,Calculation!B$2:B9627,1))</f>
        <v>2</v>
      </c>
      <c r="E3133" s="23">
        <f t="array" ref="E3133">IF(D3133="","",IF(D3133=1,0,INDEX(Calculation!Q$2:Q9627,D3133-1)))</f>
        <v>3232449.315</v>
      </c>
      <c r="F3133" s="23">
        <f t="array" ref="F3133">IF($A3133="","",
  LET(
    r, $D3133,
    startD, INDEX(Calculation!B$2:B9627, r),
    endD,   INDEX(Calculation!C$2:C9627, r),
    asOf,   MIN($A3133,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6660733.151</v>
      </c>
    </row>
    <row r="3134">
      <c r="A3134" s="19">
        <v>45369.0</v>
      </c>
      <c r="B3134" s="23">
        <v>1.0765E7</v>
      </c>
      <c r="C3134" s="23">
        <f t="shared" si="1"/>
        <v>9900260.822</v>
      </c>
      <c r="D3134" s="18">
        <f>IF(A3134="","",MATCH(A3134,Calculation!B$2:B9627,1))</f>
        <v>2</v>
      </c>
      <c r="E3134" s="23">
        <f t="array" ref="E3134">IF(D3134="","",IF(D3134=1,0,INDEX(Calculation!Q$2:Q9627,D3134-1)))</f>
        <v>3232449.315</v>
      </c>
      <c r="F3134" s="23">
        <f t="array" ref="F3134">IF($A3134="","",
  LET(
    r, $D3134,
    startD, INDEX(Calculation!B$2:B9627, r),
    endD,   INDEX(Calculation!C$2:C9627, r),
    asOf,   MIN($A3134,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6667811.507</v>
      </c>
    </row>
    <row r="3135">
      <c r="A3135" s="19">
        <v>45370.0</v>
      </c>
      <c r="B3135" s="23">
        <v>1.0765E7</v>
      </c>
      <c r="C3135" s="23">
        <f t="shared" si="1"/>
        <v>9907339.178</v>
      </c>
      <c r="D3135" s="18">
        <f>IF(A3135="","",MATCH(A3135,Calculation!B$2:B9627,1))</f>
        <v>2</v>
      </c>
      <c r="E3135" s="23">
        <f t="array" ref="E3135">IF(D3135="","",IF(D3135=1,0,INDEX(Calculation!Q$2:Q9627,D3135-1)))</f>
        <v>3232449.315</v>
      </c>
      <c r="F3135" s="23">
        <f t="array" ref="F3135">IF($A3135="","",
  LET(
    r, $D3135,
    startD, INDEX(Calculation!B$2:B9627, r),
    endD,   INDEX(Calculation!C$2:C9627, r),
    asOf,   MIN($A3135,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6674889.863</v>
      </c>
    </row>
    <row r="3136">
      <c r="A3136" s="19">
        <v>45371.0</v>
      </c>
      <c r="B3136" s="23">
        <v>1.0765E7</v>
      </c>
      <c r="C3136" s="23">
        <f t="shared" si="1"/>
        <v>9914417.534</v>
      </c>
      <c r="D3136" s="18">
        <f>IF(A3136="","",MATCH(A3136,Calculation!B$2:B9627,1))</f>
        <v>2</v>
      </c>
      <c r="E3136" s="23">
        <f t="array" ref="E3136">IF(D3136="","",IF(D3136=1,0,INDEX(Calculation!Q$2:Q9627,D3136-1)))</f>
        <v>3232449.315</v>
      </c>
      <c r="F3136" s="23">
        <f t="array" ref="F3136">IF($A3136="","",
  LET(
    r, $D3136,
    startD, INDEX(Calculation!B$2:B9627, r),
    endD,   INDEX(Calculation!C$2:C9627, r),
    asOf,   MIN($A3136,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6681968.219</v>
      </c>
    </row>
    <row r="3137">
      <c r="A3137" s="19">
        <v>45372.0</v>
      </c>
      <c r="B3137" s="23">
        <v>1.0765E7</v>
      </c>
      <c r="C3137" s="23">
        <f t="shared" si="1"/>
        <v>9921495.89</v>
      </c>
      <c r="D3137" s="18">
        <f>IF(A3137="","",MATCH(A3137,Calculation!B$2:B9627,1))</f>
        <v>2</v>
      </c>
      <c r="E3137" s="23">
        <f t="array" ref="E3137">IF(D3137="","",IF(D3137=1,0,INDEX(Calculation!Q$2:Q9627,D3137-1)))</f>
        <v>3232449.315</v>
      </c>
      <c r="F3137" s="23">
        <f t="array" ref="F3137">IF($A3137="","",
  LET(
    r, $D3137,
    startD, INDEX(Calculation!B$2:B9627, r),
    endD,   INDEX(Calculation!C$2:C9627, r),
    asOf,   MIN($A3137,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6689046.575</v>
      </c>
    </row>
    <row r="3138">
      <c r="A3138" s="19">
        <v>45373.0</v>
      </c>
      <c r="B3138" s="23">
        <v>1.0765E7</v>
      </c>
      <c r="C3138" s="23">
        <f t="shared" si="1"/>
        <v>9928574.247</v>
      </c>
      <c r="D3138" s="18">
        <f>IF(A3138="","",MATCH(A3138,Calculation!B$2:B9627,1))</f>
        <v>2</v>
      </c>
      <c r="E3138" s="23">
        <f t="array" ref="E3138">IF(D3138="","",IF(D3138=1,0,INDEX(Calculation!Q$2:Q9627,D3138-1)))</f>
        <v>3232449.315</v>
      </c>
      <c r="F3138" s="23">
        <f t="array" ref="F3138">IF($A3138="","",
  LET(
    r, $D3138,
    startD, INDEX(Calculation!B$2:B9627, r),
    endD,   INDEX(Calculation!C$2:C9627, r),
    asOf,   MIN($A3138,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6696124.932</v>
      </c>
    </row>
    <row r="3139">
      <c r="A3139" s="19">
        <v>45374.0</v>
      </c>
      <c r="B3139" s="23">
        <v>1.0765E7</v>
      </c>
      <c r="C3139" s="23">
        <f t="shared" si="1"/>
        <v>9935652.603</v>
      </c>
      <c r="D3139" s="18">
        <f>IF(A3139="","",MATCH(A3139,Calculation!B$2:B9627,1))</f>
        <v>2</v>
      </c>
      <c r="E3139" s="23">
        <f t="array" ref="E3139">IF(D3139="","",IF(D3139=1,0,INDEX(Calculation!Q$2:Q9627,D3139-1)))</f>
        <v>3232449.315</v>
      </c>
      <c r="F3139" s="23">
        <f t="array" ref="F3139">IF($A3139="","",
  LET(
    r, $D3139,
    startD, INDEX(Calculation!B$2:B9627, r),
    endD,   INDEX(Calculation!C$2:C9627, r),
    asOf,   MIN($A3139,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6703203.288</v>
      </c>
    </row>
    <row r="3140">
      <c r="A3140" s="19">
        <v>45375.0</v>
      </c>
      <c r="B3140" s="23">
        <v>1.0765E7</v>
      </c>
      <c r="C3140" s="23">
        <f t="shared" si="1"/>
        <v>9942730.959</v>
      </c>
      <c r="D3140" s="18">
        <f>IF(A3140="","",MATCH(A3140,Calculation!B$2:B9627,1))</f>
        <v>2</v>
      </c>
      <c r="E3140" s="23">
        <f t="array" ref="E3140">IF(D3140="","",IF(D3140=1,0,INDEX(Calculation!Q$2:Q9627,D3140-1)))</f>
        <v>3232449.315</v>
      </c>
      <c r="F3140" s="23">
        <f t="array" ref="F3140">IF($A3140="","",
  LET(
    r, $D3140,
    startD, INDEX(Calculation!B$2:B9627, r),
    endD,   INDEX(Calculation!C$2:C9627, r),
    asOf,   MIN($A3140,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6710281.644</v>
      </c>
    </row>
    <row r="3141">
      <c r="A3141" s="19">
        <v>45376.0</v>
      </c>
      <c r="B3141" s="23">
        <v>1.0765E7</v>
      </c>
      <c r="C3141" s="23">
        <f t="shared" si="1"/>
        <v>9949809.315</v>
      </c>
      <c r="D3141" s="18">
        <f>IF(A3141="","",MATCH(A3141,Calculation!B$2:B9627,1))</f>
        <v>2</v>
      </c>
      <c r="E3141" s="23">
        <f t="array" ref="E3141">IF(D3141="","",IF(D3141=1,0,INDEX(Calculation!Q$2:Q9627,D3141-1)))</f>
        <v>3232449.315</v>
      </c>
      <c r="F3141" s="23">
        <f t="array" ref="F3141">IF($A3141="","",
  LET(
    r, $D3141,
    startD, INDEX(Calculation!B$2:B9627, r),
    endD,   INDEX(Calculation!C$2:C9627, r),
    asOf,   MIN($A3141,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6717360</v>
      </c>
    </row>
    <row r="3142">
      <c r="A3142" s="19">
        <v>45377.0</v>
      </c>
      <c r="B3142" s="23">
        <v>1.0765E7</v>
      </c>
      <c r="C3142" s="23">
        <f t="shared" si="1"/>
        <v>9956887.671</v>
      </c>
      <c r="D3142" s="18">
        <f>IF(A3142="","",MATCH(A3142,Calculation!B$2:B9627,1))</f>
        <v>2</v>
      </c>
      <c r="E3142" s="23">
        <f t="array" ref="E3142">IF(D3142="","",IF(D3142=1,0,INDEX(Calculation!Q$2:Q9627,D3142-1)))</f>
        <v>3232449.315</v>
      </c>
      <c r="F3142" s="23">
        <f t="array" ref="F3142">IF($A3142="","",
  LET(
    r, $D3142,
    startD, INDEX(Calculation!B$2:B9627, r),
    endD,   INDEX(Calculation!C$2:C9627, r),
    asOf,   MIN($A3142,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6724438.356</v>
      </c>
    </row>
    <row r="3143">
      <c r="A3143" s="19">
        <v>45378.0</v>
      </c>
      <c r="B3143" s="23">
        <v>1.0765E7</v>
      </c>
      <c r="C3143" s="23">
        <f t="shared" si="1"/>
        <v>9963966.027</v>
      </c>
      <c r="D3143" s="18">
        <f>IF(A3143="","",MATCH(A3143,Calculation!B$2:B9627,1))</f>
        <v>2</v>
      </c>
      <c r="E3143" s="23">
        <f t="array" ref="E3143">IF(D3143="","",IF(D3143=1,0,INDEX(Calculation!Q$2:Q9627,D3143-1)))</f>
        <v>3232449.315</v>
      </c>
      <c r="F3143" s="23">
        <f t="array" ref="F3143">IF($A3143="","",
  LET(
    r, $D3143,
    startD, INDEX(Calculation!B$2:B9627, r),
    endD,   INDEX(Calculation!C$2:C9627, r),
    asOf,   MIN($A3143,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6731516.712</v>
      </c>
    </row>
    <row r="3144">
      <c r="A3144" s="19">
        <v>45379.0</v>
      </c>
      <c r="B3144" s="23">
        <v>1.0765E7</v>
      </c>
      <c r="C3144" s="23">
        <f t="shared" si="1"/>
        <v>9971044.384</v>
      </c>
      <c r="D3144" s="18">
        <f>IF(A3144="","",MATCH(A3144,Calculation!B$2:B9627,1))</f>
        <v>2</v>
      </c>
      <c r="E3144" s="23">
        <f t="array" ref="E3144">IF(D3144="","",IF(D3144=1,0,INDEX(Calculation!Q$2:Q9627,D3144-1)))</f>
        <v>3232449.315</v>
      </c>
      <c r="F3144" s="23">
        <f t="array" ref="F3144">IF($A3144="","",
  LET(
    r, $D3144,
    startD, INDEX(Calculation!B$2:B9627, r),
    endD,   INDEX(Calculation!C$2:C9627, r),
    asOf,   MIN($A3144,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6738595.068</v>
      </c>
    </row>
    <row r="3145">
      <c r="A3145" s="19">
        <v>45380.0</v>
      </c>
      <c r="B3145" s="23">
        <v>1.0765E7</v>
      </c>
      <c r="C3145" s="23">
        <f t="shared" si="1"/>
        <v>9978122.74</v>
      </c>
      <c r="D3145" s="18">
        <f>IF(A3145="","",MATCH(A3145,Calculation!B$2:B9627,1))</f>
        <v>2</v>
      </c>
      <c r="E3145" s="23">
        <f t="array" ref="E3145">IF(D3145="","",IF(D3145=1,0,INDEX(Calculation!Q$2:Q9627,D3145-1)))</f>
        <v>3232449.315</v>
      </c>
      <c r="F3145" s="23">
        <f t="array" ref="F3145">IF($A3145="","",
  LET(
    r, $D3145,
    startD, INDEX(Calculation!B$2:B9627, r),
    endD,   INDEX(Calculation!C$2:C9627, r),
    asOf,   MIN($A3145,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6745673.425</v>
      </c>
    </row>
    <row r="3146">
      <c r="A3146" s="19">
        <v>45381.0</v>
      </c>
      <c r="B3146" s="23">
        <v>1.0765E7</v>
      </c>
      <c r="C3146" s="23">
        <f t="shared" si="1"/>
        <v>9985201.096</v>
      </c>
      <c r="D3146" s="18">
        <f>IF(A3146="","",MATCH(A3146,Calculation!B$2:B9627,1))</f>
        <v>2</v>
      </c>
      <c r="E3146" s="23">
        <f t="array" ref="E3146">IF(D3146="","",IF(D3146=1,0,INDEX(Calculation!Q$2:Q9627,D3146-1)))</f>
        <v>3232449.315</v>
      </c>
      <c r="F3146" s="23">
        <f t="array" ref="F3146">IF($A3146="","",
  LET(
    r, $D3146,
    startD, INDEX(Calculation!B$2:B9627, r),
    endD,   INDEX(Calculation!C$2:C9627, r),
    asOf,   MIN($A3146,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6752751.781</v>
      </c>
    </row>
    <row r="3147">
      <c r="A3147" s="19">
        <v>45382.0</v>
      </c>
      <c r="B3147" s="23">
        <v>1.0765E7</v>
      </c>
      <c r="C3147" s="23">
        <f t="shared" si="1"/>
        <v>9992279.452</v>
      </c>
      <c r="D3147" s="18">
        <f>IF(A3147="","",MATCH(A3147,Calculation!B$2:B9627,1))</f>
        <v>2</v>
      </c>
      <c r="E3147" s="23">
        <f t="array" ref="E3147">IF(D3147="","",IF(D3147=1,0,INDEX(Calculation!Q$2:Q9627,D3147-1)))</f>
        <v>3232449.315</v>
      </c>
      <c r="F3147" s="23">
        <f t="array" ref="F3147">IF($A3147="","",
  LET(
    r, $D3147,
    startD, INDEX(Calculation!B$2:B9627, r),
    endD,   INDEX(Calculation!C$2:C9627, r),
    asOf,   MIN($A3147,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6759830.137</v>
      </c>
    </row>
    <row r="3148">
      <c r="A3148" s="19">
        <v>45383.0</v>
      </c>
      <c r="B3148" s="23">
        <v>1.0765E7</v>
      </c>
      <c r="C3148" s="23">
        <f t="shared" si="1"/>
        <v>9999357.808</v>
      </c>
      <c r="D3148" s="18">
        <f>IF(A3148="","",MATCH(A3148,Calculation!B$2:B9627,1))</f>
        <v>2</v>
      </c>
      <c r="E3148" s="23">
        <f t="array" ref="E3148">IF(D3148="","",IF(D3148=1,0,INDEX(Calculation!Q$2:Q9627,D3148-1)))</f>
        <v>3232449.315</v>
      </c>
      <c r="F3148" s="23">
        <f t="array" ref="F3148">IF($A3148="","",
  LET(
    r, $D3148,
    startD, INDEX(Calculation!B$2:B9627, r),
    endD,   INDEX(Calculation!C$2:C9627, r),
    asOf,   MIN($A3148,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6766908.493</v>
      </c>
    </row>
    <row r="3149">
      <c r="A3149" s="19">
        <v>45384.0</v>
      </c>
      <c r="B3149" s="23">
        <v>1.0765E7</v>
      </c>
      <c r="C3149" s="23">
        <f t="shared" si="1"/>
        <v>10006436.16</v>
      </c>
      <c r="D3149" s="18">
        <f>IF(A3149="","",MATCH(A3149,Calculation!B$2:B9627,1))</f>
        <v>2</v>
      </c>
      <c r="E3149" s="23">
        <f t="array" ref="E3149">IF(D3149="","",IF(D3149=1,0,INDEX(Calculation!Q$2:Q9627,D3149-1)))</f>
        <v>3232449.315</v>
      </c>
      <c r="F3149" s="23">
        <f t="array" ref="F3149">IF($A3149="","",
  LET(
    r, $D3149,
    startD, INDEX(Calculation!B$2:B9627, r),
    endD,   INDEX(Calculation!C$2:C9627, r),
    asOf,   MIN($A3149,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6773986.849</v>
      </c>
    </row>
    <row r="3150">
      <c r="A3150" s="19">
        <v>45385.0</v>
      </c>
      <c r="B3150" s="23">
        <v>1.0765E7</v>
      </c>
      <c r="C3150" s="23">
        <f t="shared" si="1"/>
        <v>10013514.52</v>
      </c>
      <c r="D3150" s="18">
        <f>IF(A3150="","",MATCH(A3150,Calculation!B$2:B9627,1))</f>
        <v>2</v>
      </c>
      <c r="E3150" s="23">
        <f t="array" ref="E3150">IF(D3150="","",IF(D3150=1,0,INDEX(Calculation!Q$2:Q9627,D3150-1)))</f>
        <v>3232449.315</v>
      </c>
      <c r="F3150" s="23">
        <f t="array" ref="F3150">IF($A3150="","",
  LET(
    r, $D3150,
    startD, INDEX(Calculation!B$2:B9627, r),
    endD,   INDEX(Calculation!C$2:C9627, r),
    asOf,   MIN($A3150,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6781065.205</v>
      </c>
    </row>
    <row r="3151">
      <c r="A3151" s="19">
        <v>45386.0</v>
      </c>
      <c r="B3151" s="23">
        <v>1.0765E7</v>
      </c>
      <c r="C3151" s="23">
        <f t="shared" si="1"/>
        <v>10020592.88</v>
      </c>
      <c r="D3151" s="18">
        <f>IF(A3151="","",MATCH(A3151,Calculation!B$2:B9627,1))</f>
        <v>2</v>
      </c>
      <c r="E3151" s="23">
        <f t="array" ref="E3151">IF(D3151="","",IF(D3151=1,0,INDEX(Calculation!Q$2:Q9627,D3151-1)))</f>
        <v>3232449.315</v>
      </c>
      <c r="F3151" s="23">
        <f t="array" ref="F3151">IF($A3151="","",
  LET(
    r, $D3151,
    startD, INDEX(Calculation!B$2:B9627, r),
    endD,   INDEX(Calculation!C$2:C9627, r),
    asOf,   MIN($A3151,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6788143.562</v>
      </c>
    </row>
    <row r="3152">
      <c r="A3152" s="19">
        <v>45387.0</v>
      </c>
      <c r="B3152" s="23">
        <v>1.0765E7</v>
      </c>
      <c r="C3152" s="23">
        <f t="shared" si="1"/>
        <v>10027671.23</v>
      </c>
      <c r="D3152" s="18">
        <f>IF(A3152="","",MATCH(A3152,Calculation!B$2:B9627,1))</f>
        <v>2</v>
      </c>
      <c r="E3152" s="23">
        <f t="array" ref="E3152">IF(D3152="","",IF(D3152=1,0,INDEX(Calculation!Q$2:Q9627,D3152-1)))</f>
        <v>3232449.315</v>
      </c>
      <c r="F3152" s="23">
        <f t="array" ref="F3152">IF($A3152="","",
  LET(
    r, $D3152,
    startD, INDEX(Calculation!B$2:B9627, r),
    endD,   INDEX(Calculation!C$2:C9627, r),
    asOf,   MIN($A3152,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6795221.918</v>
      </c>
    </row>
    <row r="3153">
      <c r="A3153" s="19">
        <v>45388.0</v>
      </c>
      <c r="B3153" s="23">
        <v>1.0765E7</v>
      </c>
      <c r="C3153" s="23">
        <f t="shared" si="1"/>
        <v>10034749.59</v>
      </c>
      <c r="D3153" s="18">
        <f>IF(A3153="","",MATCH(A3153,Calculation!B$2:B9627,1))</f>
        <v>2</v>
      </c>
      <c r="E3153" s="23">
        <f t="array" ref="E3153">IF(D3153="","",IF(D3153=1,0,INDEX(Calculation!Q$2:Q9627,D3153-1)))</f>
        <v>3232449.315</v>
      </c>
      <c r="F3153" s="23">
        <f t="array" ref="F3153">IF($A3153="","",
  LET(
    r, $D3153,
    startD, INDEX(Calculation!B$2:B9627, r),
    endD,   INDEX(Calculation!C$2:C9627, r),
    asOf,   MIN($A3153,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6802300.274</v>
      </c>
    </row>
    <row r="3154">
      <c r="A3154" s="19">
        <v>45389.0</v>
      </c>
      <c r="B3154" s="23">
        <v>1.0765E7</v>
      </c>
      <c r="C3154" s="23">
        <f t="shared" si="1"/>
        <v>10041827.95</v>
      </c>
      <c r="D3154" s="18">
        <f>IF(A3154="","",MATCH(A3154,Calculation!B$2:B9627,1))</f>
        <v>2</v>
      </c>
      <c r="E3154" s="23">
        <f t="array" ref="E3154">IF(D3154="","",IF(D3154=1,0,INDEX(Calculation!Q$2:Q9627,D3154-1)))</f>
        <v>3232449.315</v>
      </c>
      <c r="F3154" s="23">
        <f t="array" ref="F3154">IF($A3154="","",
  LET(
    r, $D3154,
    startD, INDEX(Calculation!B$2:B9627, r),
    endD,   INDEX(Calculation!C$2:C9627, r),
    asOf,   MIN($A3154,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6809378.63</v>
      </c>
    </row>
    <row r="3155">
      <c r="A3155" s="19">
        <v>45390.0</v>
      </c>
      <c r="B3155" s="23">
        <v>1.0765E7</v>
      </c>
      <c r="C3155" s="23">
        <f t="shared" si="1"/>
        <v>10048906.3</v>
      </c>
      <c r="D3155" s="18">
        <f>IF(A3155="","",MATCH(A3155,Calculation!B$2:B9627,1))</f>
        <v>2</v>
      </c>
      <c r="E3155" s="23">
        <f t="array" ref="E3155">IF(D3155="","",IF(D3155=1,0,INDEX(Calculation!Q$2:Q9627,D3155-1)))</f>
        <v>3232449.315</v>
      </c>
      <c r="F3155" s="23">
        <f t="array" ref="F3155">IF($A3155="","",
  LET(
    r, $D3155,
    startD, INDEX(Calculation!B$2:B9627, r),
    endD,   INDEX(Calculation!C$2:C9627, r),
    asOf,   MIN($A3155,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6816456.986</v>
      </c>
    </row>
    <row r="3156">
      <c r="A3156" s="19">
        <v>45391.0</v>
      </c>
      <c r="B3156" s="23">
        <v>1.0765E7</v>
      </c>
      <c r="C3156" s="23">
        <f t="shared" si="1"/>
        <v>10055984.66</v>
      </c>
      <c r="D3156" s="18">
        <f>IF(A3156="","",MATCH(A3156,Calculation!B$2:B9627,1))</f>
        <v>2</v>
      </c>
      <c r="E3156" s="23">
        <f t="array" ref="E3156">IF(D3156="","",IF(D3156=1,0,INDEX(Calculation!Q$2:Q9627,D3156-1)))</f>
        <v>3232449.315</v>
      </c>
      <c r="F3156" s="23">
        <f t="array" ref="F3156">IF($A3156="","",
  LET(
    r, $D3156,
    startD, INDEX(Calculation!B$2:B9627, r),
    endD,   INDEX(Calculation!C$2:C9627, r),
    asOf,   MIN($A3156,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6823535.342</v>
      </c>
    </row>
    <row r="3157">
      <c r="A3157" s="19">
        <v>45392.0</v>
      </c>
      <c r="B3157" s="23">
        <v>1.0765E7</v>
      </c>
      <c r="C3157" s="23">
        <f t="shared" si="1"/>
        <v>10063063.01</v>
      </c>
      <c r="D3157" s="18">
        <f>IF(A3157="","",MATCH(A3157,Calculation!B$2:B9627,1))</f>
        <v>2</v>
      </c>
      <c r="E3157" s="23">
        <f t="array" ref="E3157">IF(D3157="","",IF(D3157=1,0,INDEX(Calculation!Q$2:Q9627,D3157-1)))</f>
        <v>3232449.315</v>
      </c>
      <c r="F3157" s="23">
        <f t="array" ref="F3157">IF($A3157="","",
  LET(
    r, $D3157,
    startD, INDEX(Calculation!B$2:B9627, r),
    endD,   INDEX(Calculation!C$2:C9627, r),
    asOf,   MIN($A3157,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6830613.699</v>
      </c>
    </row>
    <row r="3158">
      <c r="A3158" s="19">
        <v>45393.0</v>
      </c>
      <c r="B3158" s="23">
        <v>1.0765E7</v>
      </c>
      <c r="C3158" s="23">
        <f t="shared" si="1"/>
        <v>10070141.37</v>
      </c>
      <c r="D3158" s="18">
        <f>IF(A3158="","",MATCH(A3158,Calculation!B$2:B9627,1))</f>
        <v>2</v>
      </c>
      <c r="E3158" s="23">
        <f t="array" ref="E3158">IF(D3158="","",IF(D3158=1,0,INDEX(Calculation!Q$2:Q9627,D3158-1)))</f>
        <v>3232449.315</v>
      </c>
      <c r="F3158" s="23">
        <f t="array" ref="F3158">IF($A3158="","",
  LET(
    r, $D3158,
    startD, INDEX(Calculation!B$2:B9627, r),
    endD,   INDEX(Calculation!C$2:C9627, r),
    asOf,   MIN($A3158,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6837692.055</v>
      </c>
    </row>
    <row r="3159">
      <c r="A3159" s="19">
        <v>45394.0</v>
      </c>
      <c r="B3159" s="23">
        <v>1.0765E7</v>
      </c>
      <c r="C3159" s="23">
        <f t="shared" si="1"/>
        <v>10077219.73</v>
      </c>
      <c r="D3159" s="18">
        <f>IF(A3159="","",MATCH(A3159,Calculation!B$2:B9627,1))</f>
        <v>2</v>
      </c>
      <c r="E3159" s="23">
        <f t="array" ref="E3159">IF(D3159="","",IF(D3159=1,0,INDEX(Calculation!Q$2:Q9627,D3159-1)))</f>
        <v>3232449.315</v>
      </c>
      <c r="F3159" s="23">
        <f t="array" ref="F3159">IF($A3159="","",
  LET(
    r, $D3159,
    startD, INDEX(Calculation!B$2:B9627, r),
    endD,   INDEX(Calculation!C$2:C9627, r),
    asOf,   MIN($A3159,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6844770.411</v>
      </c>
    </row>
    <row r="3160">
      <c r="A3160" s="19">
        <v>45395.0</v>
      </c>
      <c r="B3160" s="23">
        <v>1.0765E7</v>
      </c>
      <c r="C3160" s="23">
        <f t="shared" si="1"/>
        <v>10084298.08</v>
      </c>
      <c r="D3160" s="18">
        <f>IF(A3160="","",MATCH(A3160,Calculation!B$2:B9627,1))</f>
        <v>2</v>
      </c>
      <c r="E3160" s="23">
        <f t="array" ref="E3160">IF(D3160="","",IF(D3160=1,0,INDEX(Calculation!Q$2:Q9627,D3160-1)))</f>
        <v>3232449.315</v>
      </c>
      <c r="F3160" s="23">
        <f t="array" ref="F3160">IF($A3160="","",
  LET(
    r, $D3160,
    startD, INDEX(Calculation!B$2:B9627, r),
    endD,   INDEX(Calculation!C$2:C9627, r),
    asOf,   MIN($A3160,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6851848.767</v>
      </c>
    </row>
    <row r="3161">
      <c r="A3161" s="19">
        <v>45396.0</v>
      </c>
      <c r="B3161" s="23">
        <v>1.0765E7</v>
      </c>
      <c r="C3161" s="23">
        <f t="shared" si="1"/>
        <v>10091376.44</v>
      </c>
      <c r="D3161" s="18">
        <f>IF(A3161="","",MATCH(A3161,Calculation!B$2:B9627,1))</f>
        <v>2</v>
      </c>
      <c r="E3161" s="23">
        <f t="array" ref="E3161">IF(D3161="","",IF(D3161=1,0,INDEX(Calculation!Q$2:Q9627,D3161-1)))</f>
        <v>3232449.315</v>
      </c>
      <c r="F3161" s="23">
        <f t="array" ref="F3161">IF($A3161="","",
  LET(
    r, $D3161,
    startD, INDEX(Calculation!B$2:B9627, r),
    endD,   INDEX(Calculation!C$2:C9627, r),
    asOf,   MIN($A3161,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6858927.123</v>
      </c>
    </row>
    <row r="3162">
      <c r="A3162" s="19">
        <v>45397.0</v>
      </c>
      <c r="B3162" s="23">
        <v>1.0765E7</v>
      </c>
      <c r="C3162" s="23">
        <f t="shared" si="1"/>
        <v>10098454.79</v>
      </c>
      <c r="D3162" s="18">
        <f>IF(A3162="","",MATCH(A3162,Calculation!B$2:B9627,1))</f>
        <v>2</v>
      </c>
      <c r="E3162" s="23">
        <f t="array" ref="E3162">IF(D3162="","",IF(D3162=1,0,INDEX(Calculation!Q$2:Q9627,D3162-1)))</f>
        <v>3232449.315</v>
      </c>
      <c r="F3162" s="23">
        <f t="array" ref="F3162">IF($A3162="","",
  LET(
    r, $D3162,
    startD, INDEX(Calculation!B$2:B9627, r),
    endD,   INDEX(Calculation!C$2:C9627, r),
    asOf,   MIN($A3162,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6866005.479</v>
      </c>
    </row>
    <row r="3163">
      <c r="A3163" s="19">
        <v>45398.0</v>
      </c>
      <c r="B3163" s="23">
        <v>1.0765E7</v>
      </c>
      <c r="C3163" s="23">
        <f t="shared" si="1"/>
        <v>10105533.15</v>
      </c>
      <c r="D3163" s="18">
        <f>IF(A3163="","",MATCH(A3163,Calculation!B$2:B9627,1))</f>
        <v>2</v>
      </c>
      <c r="E3163" s="23">
        <f t="array" ref="E3163">IF(D3163="","",IF(D3163=1,0,INDEX(Calculation!Q$2:Q9627,D3163-1)))</f>
        <v>3232449.315</v>
      </c>
      <c r="F3163" s="23">
        <f t="array" ref="F3163">IF($A3163="","",
  LET(
    r, $D3163,
    startD, INDEX(Calculation!B$2:B9627, r),
    endD,   INDEX(Calculation!C$2:C9627, r),
    asOf,   MIN($A3163,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6873083.836</v>
      </c>
    </row>
    <row r="3164">
      <c r="A3164" s="19">
        <v>45399.0</v>
      </c>
      <c r="B3164" s="23">
        <v>1.0765E7</v>
      </c>
      <c r="C3164" s="23">
        <f t="shared" si="1"/>
        <v>10112611.51</v>
      </c>
      <c r="D3164" s="18">
        <f>IF(A3164="","",MATCH(A3164,Calculation!B$2:B9627,1))</f>
        <v>2</v>
      </c>
      <c r="E3164" s="23">
        <f t="array" ref="E3164">IF(D3164="","",IF(D3164=1,0,INDEX(Calculation!Q$2:Q9627,D3164-1)))</f>
        <v>3232449.315</v>
      </c>
      <c r="F3164" s="23">
        <f t="array" ref="F3164">IF($A3164="","",
  LET(
    r, $D3164,
    startD, INDEX(Calculation!B$2:B9627, r),
    endD,   INDEX(Calculation!C$2:C9627, r),
    asOf,   MIN($A3164,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6880162.192</v>
      </c>
    </row>
    <row r="3165">
      <c r="A3165" s="19">
        <v>45400.0</v>
      </c>
      <c r="B3165" s="23">
        <v>1.0765E7</v>
      </c>
      <c r="C3165" s="23">
        <f t="shared" si="1"/>
        <v>10119689.86</v>
      </c>
      <c r="D3165" s="18">
        <f>IF(A3165="","",MATCH(A3165,Calculation!B$2:B9627,1))</f>
        <v>2</v>
      </c>
      <c r="E3165" s="23">
        <f t="array" ref="E3165">IF(D3165="","",IF(D3165=1,0,INDEX(Calculation!Q$2:Q9627,D3165-1)))</f>
        <v>3232449.315</v>
      </c>
      <c r="F3165" s="23">
        <f t="array" ref="F3165">IF($A3165="","",
  LET(
    r, $D3165,
    startD, INDEX(Calculation!B$2:B9627, r),
    endD,   INDEX(Calculation!C$2:C9627, r),
    asOf,   MIN($A3165,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6887240.548</v>
      </c>
    </row>
    <row r="3166">
      <c r="A3166" s="19">
        <v>45401.0</v>
      </c>
      <c r="B3166" s="23">
        <v>1.0765E7</v>
      </c>
      <c r="C3166" s="23">
        <f t="shared" si="1"/>
        <v>10126768.22</v>
      </c>
      <c r="D3166" s="18">
        <f>IF(A3166="","",MATCH(A3166,Calculation!B$2:B9627,1))</f>
        <v>2</v>
      </c>
      <c r="E3166" s="23">
        <f t="array" ref="E3166">IF(D3166="","",IF(D3166=1,0,INDEX(Calculation!Q$2:Q9627,D3166-1)))</f>
        <v>3232449.315</v>
      </c>
      <c r="F3166" s="23">
        <f t="array" ref="F3166">IF($A3166="","",
  LET(
    r, $D3166,
    startD, INDEX(Calculation!B$2:B9627, r),
    endD,   INDEX(Calculation!C$2:C9627, r),
    asOf,   MIN($A3166,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6894318.904</v>
      </c>
    </row>
    <row r="3167">
      <c r="A3167" s="19">
        <v>45402.0</v>
      </c>
      <c r="B3167" s="23">
        <v>1.0765E7</v>
      </c>
      <c r="C3167" s="23">
        <f t="shared" si="1"/>
        <v>10133846.58</v>
      </c>
      <c r="D3167" s="18">
        <f>IF(A3167="","",MATCH(A3167,Calculation!B$2:B9627,1))</f>
        <v>2</v>
      </c>
      <c r="E3167" s="23">
        <f t="array" ref="E3167">IF(D3167="","",IF(D3167=1,0,INDEX(Calculation!Q$2:Q9627,D3167-1)))</f>
        <v>3232449.315</v>
      </c>
      <c r="F3167" s="23">
        <f t="array" ref="F3167">IF($A3167="","",
  LET(
    r, $D3167,
    startD, INDEX(Calculation!B$2:B9627, r),
    endD,   INDEX(Calculation!C$2:C9627, r),
    asOf,   MIN($A3167,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6901397.26</v>
      </c>
    </row>
    <row r="3168">
      <c r="A3168" s="19">
        <v>45403.0</v>
      </c>
      <c r="B3168" s="23">
        <v>1.0765E7</v>
      </c>
      <c r="C3168" s="23">
        <f t="shared" si="1"/>
        <v>10140924.93</v>
      </c>
      <c r="D3168" s="18">
        <f>IF(A3168="","",MATCH(A3168,Calculation!B$2:B9627,1))</f>
        <v>2</v>
      </c>
      <c r="E3168" s="23">
        <f t="array" ref="E3168">IF(D3168="","",IF(D3168=1,0,INDEX(Calculation!Q$2:Q9627,D3168-1)))</f>
        <v>3232449.315</v>
      </c>
      <c r="F3168" s="23">
        <f t="array" ref="F3168">IF($A3168="","",
  LET(
    r, $D3168,
    startD, INDEX(Calculation!B$2:B9627, r),
    endD,   INDEX(Calculation!C$2:C9627, r),
    asOf,   MIN($A3168,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6908475.616</v>
      </c>
    </row>
    <row r="3169">
      <c r="A3169" s="19">
        <v>45404.0</v>
      </c>
      <c r="B3169" s="23">
        <v>1.0765E7</v>
      </c>
      <c r="C3169" s="23">
        <f t="shared" si="1"/>
        <v>10148003.29</v>
      </c>
      <c r="D3169" s="18">
        <f>IF(A3169="","",MATCH(A3169,Calculation!B$2:B9627,1))</f>
        <v>2</v>
      </c>
      <c r="E3169" s="23">
        <f t="array" ref="E3169">IF(D3169="","",IF(D3169=1,0,INDEX(Calculation!Q$2:Q9627,D3169-1)))</f>
        <v>3232449.315</v>
      </c>
      <c r="F3169" s="23">
        <f t="array" ref="F3169">IF($A3169="","",
  LET(
    r, $D3169,
    startD, INDEX(Calculation!B$2:B9627, r),
    endD,   INDEX(Calculation!C$2:C9627, r),
    asOf,   MIN($A3169,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6915553.973</v>
      </c>
    </row>
    <row r="3170">
      <c r="A3170" s="19">
        <v>45405.0</v>
      </c>
      <c r="B3170" s="23">
        <v>1.0765E7</v>
      </c>
      <c r="C3170" s="23">
        <f t="shared" si="1"/>
        <v>10155081.64</v>
      </c>
      <c r="D3170" s="18">
        <f>IF(A3170="","",MATCH(A3170,Calculation!B$2:B9627,1))</f>
        <v>2</v>
      </c>
      <c r="E3170" s="23">
        <f t="array" ref="E3170">IF(D3170="","",IF(D3170=1,0,INDEX(Calculation!Q$2:Q9627,D3170-1)))</f>
        <v>3232449.315</v>
      </c>
      <c r="F3170" s="23">
        <f t="array" ref="F3170">IF($A3170="","",
  LET(
    r, $D3170,
    startD, INDEX(Calculation!B$2:B9627, r),
    endD,   INDEX(Calculation!C$2:C9627, r),
    asOf,   MIN($A3170,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6922632.329</v>
      </c>
    </row>
    <row r="3171">
      <c r="A3171" s="19">
        <v>45406.0</v>
      </c>
      <c r="B3171" s="23">
        <v>1.0765E7</v>
      </c>
      <c r="C3171" s="23">
        <f t="shared" si="1"/>
        <v>10162160</v>
      </c>
      <c r="D3171" s="18">
        <f>IF(A3171="","",MATCH(A3171,Calculation!B$2:B9627,1))</f>
        <v>2</v>
      </c>
      <c r="E3171" s="23">
        <f t="array" ref="E3171">IF(D3171="","",IF(D3171=1,0,INDEX(Calculation!Q$2:Q9627,D3171-1)))</f>
        <v>3232449.315</v>
      </c>
      <c r="F3171" s="23">
        <f t="array" ref="F3171">IF($A3171="","",
  LET(
    r, $D3171,
    startD, INDEX(Calculation!B$2:B9627, r),
    endD,   INDEX(Calculation!C$2:C9627, r),
    asOf,   MIN($A3171,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6929710.685</v>
      </c>
    </row>
    <row r="3172">
      <c r="A3172" s="19">
        <v>45407.0</v>
      </c>
      <c r="B3172" s="23">
        <v>1.0765E7</v>
      </c>
      <c r="C3172" s="23">
        <f t="shared" si="1"/>
        <v>10169238.36</v>
      </c>
      <c r="D3172" s="18">
        <f>IF(A3172="","",MATCH(A3172,Calculation!B$2:B9627,1))</f>
        <v>2</v>
      </c>
      <c r="E3172" s="23">
        <f t="array" ref="E3172">IF(D3172="","",IF(D3172=1,0,INDEX(Calculation!Q$2:Q9627,D3172-1)))</f>
        <v>3232449.315</v>
      </c>
      <c r="F3172" s="23">
        <f t="array" ref="F3172">IF($A3172="","",
  LET(
    r, $D3172,
    startD, INDEX(Calculation!B$2:B9627, r),
    endD,   INDEX(Calculation!C$2:C9627, r),
    asOf,   MIN($A3172,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6936789.041</v>
      </c>
    </row>
    <row r="3173">
      <c r="A3173" s="19">
        <v>45408.0</v>
      </c>
      <c r="B3173" s="23">
        <v>1.0765E7</v>
      </c>
      <c r="C3173" s="23">
        <f t="shared" si="1"/>
        <v>10176316.71</v>
      </c>
      <c r="D3173" s="18">
        <f>IF(A3173="","",MATCH(A3173,Calculation!B$2:B9627,1))</f>
        <v>2</v>
      </c>
      <c r="E3173" s="23">
        <f t="array" ref="E3173">IF(D3173="","",IF(D3173=1,0,INDEX(Calculation!Q$2:Q9627,D3173-1)))</f>
        <v>3232449.315</v>
      </c>
      <c r="F3173" s="23">
        <f t="array" ref="F3173">IF($A3173="","",
  LET(
    r, $D3173,
    startD, INDEX(Calculation!B$2:B9627, r),
    endD,   INDEX(Calculation!C$2:C9627, r),
    asOf,   MIN($A3173,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6943867.397</v>
      </c>
    </row>
    <row r="3174">
      <c r="A3174" s="19">
        <v>45409.0</v>
      </c>
      <c r="B3174" s="23">
        <v>1.0765E7</v>
      </c>
      <c r="C3174" s="23">
        <f t="shared" si="1"/>
        <v>10183395.07</v>
      </c>
      <c r="D3174" s="18">
        <f>IF(A3174="","",MATCH(A3174,Calculation!B$2:B9627,1))</f>
        <v>2</v>
      </c>
      <c r="E3174" s="23">
        <f t="array" ref="E3174">IF(D3174="","",IF(D3174=1,0,INDEX(Calculation!Q$2:Q9627,D3174-1)))</f>
        <v>3232449.315</v>
      </c>
      <c r="F3174" s="23">
        <f t="array" ref="F3174">IF($A3174="","",
  LET(
    r, $D3174,
    startD, INDEX(Calculation!B$2:B9627, r),
    endD,   INDEX(Calculation!C$2:C9627, r),
    asOf,   MIN($A3174,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6950945.753</v>
      </c>
    </row>
    <row r="3175">
      <c r="A3175" s="19">
        <v>45410.0</v>
      </c>
      <c r="B3175" s="23">
        <v>1.0765E7</v>
      </c>
      <c r="C3175" s="23">
        <f t="shared" si="1"/>
        <v>10190473.42</v>
      </c>
      <c r="D3175" s="18">
        <f>IF(A3175="","",MATCH(A3175,Calculation!B$2:B9627,1))</f>
        <v>2</v>
      </c>
      <c r="E3175" s="23">
        <f t="array" ref="E3175">IF(D3175="","",IF(D3175=1,0,INDEX(Calculation!Q$2:Q9627,D3175-1)))</f>
        <v>3232449.315</v>
      </c>
      <c r="F3175" s="23">
        <f t="array" ref="F3175">IF($A3175="","",
  LET(
    r, $D3175,
    startD, INDEX(Calculation!B$2:B9627, r),
    endD,   INDEX(Calculation!C$2:C9627, r),
    asOf,   MIN($A3175,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6958024.11</v>
      </c>
    </row>
    <row r="3176">
      <c r="A3176" s="19">
        <v>45411.0</v>
      </c>
      <c r="B3176" s="23">
        <v>1.0765E7</v>
      </c>
      <c r="C3176" s="23">
        <f t="shared" si="1"/>
        <v>10197551.78</v>
      </c>
      <c r="D3176" s="18">
        <f>IF(A3176="","",MATCH(A3176,Calculation!B$2:B9627,1))</f>
        <v>2</v>
      </c>
      <c r="E3176" s="23">
        <f t="array" ref="E3176">IF(D3176="","",IF(D3176=1,0,INDEX(Calculation!Q$2:Q9627,D3176-1)))</f>
        <v>3232449.315</v>
      </c>
      <c r="F3176" s="23">
        <f t="array" ref="F3176">IF($A3176="","",
  LET(
    r, $D3176,
    startD, INDEX(Calculation!B$2:B9627, r),
    endD,   INDEX(Calculation!C$2:C9627, r),
    asOf,   MIN($A3176,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6965102.466</v>
      </c>
    </row>
    <row r="3177">
      <c r="A3177" s="19">
        <v>45412.0</v>
      </c>
      <c r="B3177" s="23">
        <v>1.0765E7</v>
      </c>
      <c r="C3177" s="23">
        <f t="shared" si="1"/>
        <v>10204630.14</v>
      </c>
      <c r="D3177" s="18">
        <f>IF(A3177="","",MATCH(A3177,Calculation!B$2:B9627,1))</f>
        <v>2</v>
      </c>
      <c r="E3177" s="23">
        <f t="array" ref="E3177">IF(D3177="","",IF(D3177=1,0,INDEX(Calculation!Q$2:Q9627,D3177-1)))</f>
        <v>3232449.315</v>
      </c>
      <c r="F3177" s="23">
        <f t="array" ref="F3177">IF($A3177="","",
  LET(
    r, $D3177,
    startD, INDEX(Calculation!B$2:B9627, r),
    endD,   INDEX(Calculation!C$2:C9627, r),
    asOf,   MIN($A3177,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6972180.822</v>
      </c>
    </row>
    <row r="3178">
      <c r="A3178" s="19">
        <v>45413.0</v>
      </c>
      <c r="B3178" s="23">
        <v>1.0765E7</v>
      </c>
      <c r="C3178" s="23">
        <f t="shared" si="1"/>
        <v>10211708.49</v>
      </c>
      <c r="D3178" s="18">
        <f>IF(A3178="","",MATCH(A3178,Calculation!B$2:B9627,1))</f>
        <v>2</v>
      </c>
      <c r="E3178" s="23">
        <f t="array" ref="E3178">IF(D3178="","",IF(D3178=1,0,INDEX(Calculation!Q$2:Q9627,D3178-1)))</f>
        <v>3232449.315</v>
      </c>
      <c r="F3178" s="23">
        <f t="array" ref="F3178">IF($A3178="","",
  LET(
    r, $D3178,
    startD, INDEX(Calculation!B$2:B9627, r),
    endD,   INDEX(Calculation!C$2:C9627, r),
    asOf,   MIN($A3178,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6979259.178</v>
      </c>
    </row>
    <row r="3179">
      <c r="A3179" s="19">
        <v>45414.0</v>
      </c>
      <c r="B3179" s="23">
        <v>1.0765E7</v>
      </c>
      <c r="C3179" s="23">
        <f t="shared" si="1"/>
        <v>10218786.85</v>
      </c>
      <c r="D3179" s="18">
        <f>IF(A3179="","",MATCH(A3179,Calculation!B$2:B9627,1))</f>
        <v>2</v>
      </c>
      <c r="E3179" s="23">
        <f t="array" ref="E3179">IF(D3179="","",IF(D3179=1,0,INDEX(Calculation!Q$2:Q9627,D3179-1)))</f>
        <v>3232449.315</v>
      </c>
      <c r="F3179" s="23">
        <f t="array" ref="F3179">IF($A3179="","",
  LET(
    r, $D3179,
    startD, INDEX(Calculation!B$2:B9627, r),
    endD,   INDEX(Calculation!C$2:C9627, r),
    asOf,   MIN($A3179,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6986337.534</v>
      </c>
    </row>
    <row r="3180">
      <c r="A3180" s="19">
        <v>45415.0</v>
      </c>
      <c r="B3180" s="23">
        <v>1.0765E7</v>
      </c>
      <c r="C3180" s="23">
        <f t="shared" si="1"/>
        <v>10225865.21</v>
      </c>
      <c r="D3180" s="18">
        <f>IF(A3180="","",MATCH(A3180,Calculation!B$2:B9627,1))</f>
        <v>2</v>
      </c>
      <c r="E3180" s="23">
        <f t="array" ref="E3180">IF(D3180="","",IF(D3180=1,0,INDEX(Calculation!Q$2:Q9627,D3180-1)))</f>
        <v>3232449.315</v>
      </c>
      <c r="F3180" s="23">
        <f t="array" ref="F3180">IF($A3180="","",
  LET(
    r, $D3180,
    startD, INDEX(Calculation!B$2:B9627, r),
    endD,   INDEX(Calculation!C$2:C9627, r),
    asOf,   MIN($A3180,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6993415.89</v>
      </c>
    </row>
    <row r="3181">
      <c r="A3181" s="19">
        <v>45416.0</v>
      </c>
      <c r="B3181" s="23">
        <v>1.0765E7</v>
      </c>
      <c r="C3181" s="23">
        <f t="shared" si="1"/>
        <v>10232943.56</v>
      </c>
      <c r="D3181" s="18">
        <f>IF(A3181="","",MATCH(A3181,Calculation!B$2:B9627,1))</f>
        <v>2</v>
      </c>
      <c r="E3181" s="23">
        <f t="array" ref="E3181">IF(D3181="","",IF(D3181=1,0,INDEX(Calculation!Q$2:Q9627,D3181-1)))</f>
        <v>3232449.315</v>
      </c>
      <c r="F3181" s="23">
        <f t="array" ref="F3181">IF($A3181="","",
  LET(
    r, $D3181,
    startD, INDEX(Calculation!B$2:B9627, r),
    endD,   INDEX(Calculation!C$2:C9627, r),
    asOf,   MIN($A3181,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7000494.247</v>
      </c>
    </row>
    <row r="3182">
      <c r="A3182" s="19">
        <v>45417.0</v>
      </c>
      <c r="B3182" s="23">
        <v>1.0765E7</v>
      </c>
      <c r="C3182" s="23">
        <f t="shared" si="1"/>
        <v>10240021.92</v>
      </c>
      <c r="D3182" s="18">
        <f>IF(A3182="","",MATCH(A3182,Calculation!B$2:B9627,1))</f>
        <v>2</v>
      </c>
      <c r="E3182" s="23">
        <f t="array" ref="E3182">IF(D3182="","",IF(D3182=1,0,INDEX(Calculation!Q$2:Q9627,D3182-1)))</f>
        <v>3232449.315</v>
      </c>
      <c r="F3182" s="23">
        <f t="array" ref="F3182">IF($A3182="","",
  LET(
    r, $D3182,
    startD, INDEX(Calculation!B$2:B9627, r),
    endD,   INDEX(Calculation!C$2:C9627, r),
    asOf,   MIN($A3182,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7007572.603</v>
      </c>
    </row>
    <row r="3183">
      <c r="A3183" s="19">
        <v>45418.0</v>
      </c>
      <c r="B3183" s="23">
        <v>1.0765E7</v>
      </c>
      <c r="C3183" s="23">
        <f t="shared" si="1"/>
        <v>10247100.27</v>
      </c>
      <c r="D3183" s="18">
        <f>IF(A3183="","",MATCH(A3183,Calculation!B$2:B9627,1))</f>
        <v>2</v>
      </c>
      <c r="E3183" s="23">
        <f t="array" ref="E3183">IF(D3183="","",IF(D3183=1,0,INDEX(Calculation!Q$2:Q9627,D3183-1)))</f>
        <v>3232449.315</v>
      </c>
      <c r="F3183" s="23">
        <f t="array" ref="F3183">IF($A3183="","",
  LET(
    r, $D3183,
    startD, INDEX(Calculation!B$2:B9627, r),
    endD,   INDEX(Calculation!C$2:C9627, r),
    asOf,   MIN($A3183,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7014650.959</v>
      </c>
    </row>
    <row r="3184">
      <c r="A3184" s="19">
        <v>45419.0</v>
      </c>
      <c r="B3184" s="23">
        <v>1.0765E7</v>
      </c>
      <c r="C3184" s="23">
        <f t="shared" si="1"/>
        <v>10254178.63</v>
      </c>
      <c r="D3184" s="18">
        <f>IF(A3184="","",MATCH(A3184,Calculation!B$2:B9627,1))</f>
        <v>2</v>
      </c>
      <c r="E3184" s="23">
        <f t="array" ref="E3184">IF(D3184="","",IF(D3184=1,0,INDEX(Calculation!Q$2:Q9627,D3184-1)))</f>
        <v>3232449.315</v>
      </c>
      <c r="F3184" s="23">
        <f t="array" ref="F3184">IF($A3184="","",
  LET(
    r, $D3184,
    startD, INDEX(Calculation!B$2:B9627, r),
    endD,   INDEX(Calculation!C$2:C9627, r),
    asOf,   MIN($A3184,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7021729.315</v>
      </c>
    </row>
    <row r="3185">
      <c r="A3185" s="19">
        <v>45420.0</v>
      </c>
      <c r="B3185" s="23">
        <v>1.0765E7</v>
      </c>
      <c r="C3185" s="23">
        <f t="shared" si="1"/>
        <v>10261256.99</v>
      </c>
      <c r="D3185" s="18">
        <f>IF(A3185="","",MATCH(A3185,Calculation!B$2:B9627,1))</f>
        <v>2</v>
      </c>
      <c r="E3185" s="23">
        <f t="array" ref="E3185">IF(D3185="","",IF(D3185=1,0,INDEX(Calculation!Q$2:Q9627,D3185-1)))</f>
        <v>3232449.315</v>
      </c>
      <c r="F3185" s="23">
        <f t="array" ref="F3185">IF($A3185="","",
  LET(
    r, $D3185,
    startD, INDEX(Calculation!B$2:B9627, r),
    endD,   INDEX(Calculation!C$2:C9627, r),
    asOf,   MIN($A3185,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7028807.671</v>
      </c>
    </row>
    <row r="3186">
      <c r="A3186" s="19">
        <v>45421.0</v>
      </c>
      <c r="B3186" s="23">
        <v>1.0765E7</v>
      </c>
      <c r="C3186" s="23">
        <f t="shared" si="1"/>
        <v>10268335.34</v>
      </c>
      <c r="D3186" s="18">
        <f>IF(A3186="","",MATCH(A3186,Calculation!B$2:B9627,1))</f>
        <v>2</v>
      </c>
      <c r="E3186" s="23">
        <f t="array" ref="E3186">IF(D3186="","",IF(D3186=1,0,INDEX(Calculation!Q$2:Q9627,D3186-1)))</f>
        <v>3232449.315</v>
      </c>
      <c r="F3186" s="23">
        <f t="array" ref="F3186">IF($A3186="","",
  LET(
    r, $D3186,
    startD, INDEX(Calculation!B$2:B9627, r),
    endD,   INDEX(Calculation!C$2:C9627, r),
    asOf,   MIN($A3186,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7035886.027</v>
      </c>
    </row>
    <row r="3187">
      <c r="A3187" s="19">
        <v>45422.0</v>
      </c>
      <c r="B3187" s="23">
        <v>1.0765E7</v>
      </c>
      <c r="C3187" s="23">
        <f t="shared" si="1"/>
        <v>10275413.7</v>
      </c>
      <c r="D3187" s="18">
        <f>IF(A3187="","",MATCH(A3187,Calculation!B$2:B9627,1))</f>
        <v>2</v>
      </c>
      <c r="E3187" s="23">
        <f t="array" ref="E3187">IF(D3187="","",IF(D3187=1,0,INDEX(Calculation!Q$2:Q9627,D3187-1)))</f>
        <v>3232449.315</v>
      </c>
      <c r="F3187" s="23">
        <f t="array" ref="F3187">IF($A3187="","",
  LET(
    r, $D3187,
    startD, INDEX(Calculation!B$2:B9627, r),
    endD,   INDEX(Calculation!C$2:C9627, r),
    asOf,   MIN($A3187,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7042964.384</v>
      </c>
    </row>
    <row r="3188">
      <c r="A3188" s="19">
        <v>45423.0</v>
      </c>
      <c r="B3188" s="23">
        <v>1.0765E7</v>
      </c>
      <c r="C3188" s="23">
        <f t="shared" si="1"/>
        <v>10282492.05</v>
      </c>
      <c r="D3188" s="18">
        <f>IF(A3188="","",MATCH(A3188,Calculation!B$2:B9627,1))</f>
        <v>2</v>
      </c>
      <c r="E3188" s="23">
        <f t="array" ref="E3188">IF(D3188="","",IF(D3188=1,0,INDEX(Calculation!Q$2:Q9627,D3188-1)))</f>
        <v>3232449.315</v>
      </c>
      <c r="F3188" s="23">
        <f t="array" ref="F3188">IF($A3188="","",
  LET(
    r, $D3188,
    startD, INDEX(Calculation!B$2:B9627, r),
    endD,   INDEX(Calculation!C$2:C9627, r),
    asOf,   MIN($A3188,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7050042.74</v>
      </c>
    </row>
    <row r="3189">
      <c r="A3189" s="19">
        <v>45424.0</v>
      </c>
      <c r="B3189" s="23">
        <v>1.0765E7</v>
      </c>
      <c r="C3189" s="23">
        <f t="shared" si="1"/>
        <v>10289570.41</v>
      </c>
      <c r="D3189" s="18">
        <f>IF(A3189="","",MATCH(A3189,Calculation!B$2:B9627,1))</f>
        <v>2</v>
      </c>
      <c r="E3189" s="23">
        <f t="array" ref="E3189">IF(D3189="","",IF(D3189=1,0,INDEX(Calculation!Q$2:Q9627,D3189-1)))</f>
        <v>3232449.315</v>
      </c>
      <c r="F3189" s="23">
        <f t="array" ref="F3189">IF($A3189="","",
  LET(
    r, $D3189,
    startD, INDEX(Calculation!B$2:B9627, r),
    endD,   INDEX(Calculation!C$2:C9627, r),
    asOf,   MIN($A3189,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7057121.096</v>
      </c>
    </row>
    <row r="3190">
      <c r="A3190" s="19">
        <v>45425.0</v>
      </c>
      <c r="B3190" s="23">
        <v>1.0765E7</v>
      </c>
      <c r="C3190" s="23">
        <f t="shared" si="1"/>
        <v>10296648.77</v>
      </c>
      <c r="D3190" s="18">
        <f>IF(A3190="","",MATCH(A3190,Calculation!B$2:B9627,1))</f>
        <v>2</v>
      </c>
      <c r="E3190" s="23">
        <f t="array" ref="E3190">IF(D3190="","",IF(D3190=1,0,INDEX(Calculation!Q$2:Q9627,D3190-1)))</f>
        <v>3232449.315</v>
      </c>
      <c r="F3190" s="23">
        <f t="array" ref="F3190">IF($A3190="","",
  LET(
    r, $D3190,
    startD, INDEX(Calculation!B$2:B9627, r),
    endD,   INDEX(Calculation!C$2:C9627, r),
    asOf,   MIN($A3190,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7064199.452</v>
      </c>
    </row>
    <row r="3191">
      <c r="A3191" s="19">
        <v>45426.0</v>
      </c>
      <c r="B3191" s="23">
        <v>1.0765E7</v>
      </c>
      <c r="C3191" s="23">
        <f t="shared" si="1"/>
        <v>10303727.12</v>
      </c>
      <c r="D3191" s="18">
        <f>IF(A3191="","",MATCH(A3191,Calculation!B$2:B9627,1))</f>
        <v>2</v>
      </c>
      <c r="E3191" s="23">
        <f t="array" ref="E3191">IF(D3191="","",IF(D3191=1,0,INDEX(Calculation!Q$2:Q9627,D3191-1)))</f>
        <v>3232449.315</v>
      </c>
      <c r="F3191" s="23">
        <f t="array" ref="F3191">IF($A3191="","",
  LET(
    r, $D3191,
    startD, INDEX(Calculation!B$2:B9627, r),
    endD,   INDEX(Calculation!C$2:C9627, r),
    asOf,   MIN($A3191,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7071277.808</v>
      </c>
    </row>
    <row r="3192">
      <c r="A3192" s="19">
        <v>45427.0</v>
      </c>
      <c r="B3192" s="23">
        <v>1.0765E7</v>
      </c>
      <c r="C3192" s="23">
        <f t="shared" si="1"/>
        <v>10310805.48</v>
      </c>
      <c r="D3192" s="18">
        <f>IF(A3192="","",MATCH(A3192,Calculation!B$2:B9627,1))</f>
        <v>2</v>
      </c>
      <c r="E3192" s="23">
        <f t="array" ref="E3192">IF(D3192="","",IF(D3192=1,0,INDEX(Calculation!Q$2:Q9627,D3192-1)))</f>
        <v>3232449.315</v>
      </c>
      <c r="F3192" s="23">
        <f t="array" ref="F3192">IF($A3192="","",
  LET(
    r, $D3192,
    startD, INDEX(Calculation!B$2:B9627, r),
    endD,   INDEX(Calculation!C$2:C9627, r),
    asOf,   MIN($A3192,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7078356.164</v>
      </c>
    </row>
    <row r="3193">
      <c r="A3193" s="19">
        <v>45428.0</v>
      </c>
      <c r="B3193" s="23">
        <v>1.0765E7</v>
      </c>
      <c r="C3193" s="23">
        <f t="shared" si="1"/>
        <v>10317883.84</v>
      </c>
      <c r="D3193" s="18">
        <f>IF(A3193="","",MATCH(A3193,Calculation!B$2:B9627,1))</f>
        <v>2</v>
      </c>
      <c r="E3193" s="23">
        <f t="array" ref="E3193">IF(D3193="","",IF(D3193=1,0,INDEX(Calculation!Q$2:Q9627,D3193-1)))</f>
        <v>3232449.315</v>
      </c>
      <c r="F3193" s="23">
        <f t="array" ref="F3193">IF($A3193="","",
  LET(
    r, $D3193,
    startD, INDEX(Calculation!B$2:B9627, r),
    endD,   INDEX(Calculation!C$2:C9627, r),
    asOf,   MIN($A3193,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7085434.521</v>
      </c>
    </row>
    <row r="3194">
      <c r="A3194" s="19">
        <v>45429.0</v>
      </c>
      <c r="B3194" s="23">
        <v>1.0765E7</v>
      </c>
      <c r="C3194" s="23">
        <f t="shared" si="1"/>
        <v>10324962.19</v>
      </c>
      <c r="D3194" s="18">
        <f>IF(A3194="","",MATCH(A3194,Calculation!B$2:B9627,1))</f>
        <v>2</v>
      </c>
      <c r="E3194" s="23">
        <f t="array" ref="E3194">IF(D3194="","",IF(D3194=1,0,INDEX(Calculation!Q$2:Q9627,D3194-1)))</f>
        <v>3232449.315</v>
      </c>
      <c r="F3194" s="23">
        <f t="array" ref="F3194">IF($A3194="","",
  LET(
    r, $D3194,
    startD, INDEX(Calculation!B$2:B9627, r),
    endD,   INDEX(Calculation!C$2:C9627, r),
    asOf,   MIN($A3194,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7092512.877</v>
      </c>
    </row>
    <row r="3195">
      <c r="A3195" s="19">
        <v>45430.0</v>
      </c>
      <c r="B3195" s="23">
        <v>1.0765E7</v>
      </c>
      <c r="C3195" s="23">
        <f t="shared" si="1"/>
        <v>10332040.55</v>
      </c>
      <c r="D3195" s="18">
        <f>IF(A3195="","",MATCH(A3195,Calculation!B$2:B9627,1))</f>
        <v>2</v>
      </c>
      <c r="E3195" s="23">
        <f t="array" ref="E3195">IF(D3195="","",IF(D3195=1,0,INDEX(Calculation!Q$2:Q9627,D3195-1)))</f>
        <v>3232449.315</v>
      </c>
      <c r="F3195" s="23">
        <f t="array" ref="F3195">IF($A3195="","",
  LET(
    r, $D3195,
    startD, INDEX(Calculation!B$2:B9627, r),
    endD,   INDEX(Calculation!C$2:C9627, r),
    asOf,   MIN($A3195,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7099591.233</v>
      </c>
    </row>
    <row r="3196">
      <c r="A3196" s="19">
        <v>45431.0</v>
      </c>
      <c r="B3196" s="23">
        <v>1.0765E7</v>
      </c>
      <c r="C3196" s="23">
        <f t="shared" si="1"/>
        <v>10339118.9</v>
      </c>
      <c r="D3196" s="18">
        <f>IF(A3196="","",MATCH(A3196,Calculation!B$2:B9627,1))</f>
        <v>2</v>
      </c>
      <c r="E3196" s="23">
        <f t="array" ref="E3196">IF(D3196="","",IF(D3196=1,0,INDEX(Calculation!Q$2:Q9627,D3196-1)))</f>
        <v>3232449.315</v>
      </c>
      <c r="F3196" s="23">
        <f t="array" ref="F3196">IF($A3196="","",
  LET(
    r, $D3196,
    startD, INDEX(Calculation!B$2:B9627, r),
    endD,   INDEX(Calculation!C$2:C9627, r),
    asOf,   MIN($A3196,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7106669.589</v>
      </c>
    </row>
    <row r="3197">
      <c r="A3197" s="19">
        <v>45432.0</v>
      </c>
      <c r="B3197" s="23">
        <v>1.0765E7</v>
      </c>
      <c r="C3197" s="23">
        <f t="shared" si="1"/>
        <v>10346197.26</v>
      </c>
      <c r="D3197" s="18">
        <f>IF(A3197="","",MATCH(A3197,Calculation!B$2:B9627,1))</f>
        <v>2</v>
      </c>
      <c r="E3197" s="23">
        <f t="array" ref="E3197">IF(D3197="","",IF(D3197=1,0,INDEX(Calculation!Q$2:Q9627,D3197-1)))</f>
        <v>3232449.315</v>
      </c>
      <c r="F3197" s="23">
        <f t="array" ref="F3197">IF($A3197="","",
  LET(
    r, $D3197,
    startD, INDEX(Calculation!B$2:B9627, r),
    endD,   INDEX(Calculation!C$2:C9627, r),
    asOf,   MIN($A3197,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7113747.945</v>
      </c>
    </row>
    <row r="3198">
      <c r="A3198" s="19">
        <v>45433.0</v>
      </c>
      <c r="B3198" s="23">
        <v>1.0765E7</v>
      </c>
      <c r="C3198" s="23">
        <f t="shared" si="1"/>
        <v>10353275.62</v>
      </c>
      <c r="D3198" s="18">
        <f>IF(A3198="","",MATCH(A3198,Calculation!B$2:B9627,1))</f>
        <v>2</v>
      </c>
      <c r="E3198" s="23">
        <f t="array" ref="E3198">IF(D3198="","",IF(D3198=1,0,INDEX(Calculation!Q$2:Q9627,D3198-1)))</f>
        <v>3232449.315</v>
      </c>
      <c r="F3198" s="23">
        <f t="array" ref="F3198">IF($A3198="","",
  LET(
    r, $D3198,
    startD, INDEX(Calculation!B$2:B9627, r),
    endD,   INDEX(Calculation!C$2:C9627, r),
    asOf,   MIN($A3198,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7120826.301</v>
      </c>
    </row>
    <row r="3199">
      <c r="A3199" s="19">
        <v>45434.0</v>
      </c>
      <c r="B3199" s="23">
        <v>1.0765E7</v>
      </c>
      <c r="C3199" s="23">
        <f t="shared" si="1"/>
        <v>10360353.97</v>
      </c>
      <c r="D3199" s="18">
        <f>IF(A3199="","",MATCH(A3199,Calculation!B$2:B9627,1))</f>
        <v>2</v>
      </c>
      <c r="E3199" s="23">
        <f t="array" ref="E3199">IF(D3199="","",IF(D3199=1,0,INDEX(Calculation!Q$2:Q9627,D3199-1)))</f>
        <v>3232449.315</v>
      </c>
      <c r="F3199" s="23">
        <f t="array" ref="F3199">IF($A3199="","",
  LET(
    r, $D3199,
    startD, INDEX(Calculation!B$2:B9627, r),
    endD,   INDEX(Calculation!C$2:C9627, r),
    asOf,   MIN($A3199,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7127904.658</v>
      </c>
    </row>
    <row r="3200">
      <c r="A3200" s="19">
        <v>45435.0</v>
      </c>
      <c r="B3200" s="23">
        <v>1.0765E7</v>
      </c>
      <c r="C3200" s="23">
        <f t="shared" si="1"/>
        <v>10367432.33</v>
      </c>
      <c r="D3200" s="18">
        <f>IF(A3200="","",MATCH(A3200,Calculation!B$2:B9627,1))</f>
        <v>2</v>
      </c>
      <c r="E3200" s="23">
        <f t="array" ref="E3200">IF(D3200="","",IF(D3200=1,0,INDEX(Calculation!Q$2:Q9627,D3200-1)))</f>
        <v>3232449.315</v>
      </c>
      <c r="F3200" s="23">
        <f t="array" ref="F3200">IF($A3200="","",
  LET(
    r, $D3200,
    startD, INDEX(Calculation!B$2:B9627, r),
    endD,   INDEX(Calculation!C$2:C9627, r),
    asOf,   MIN($A3200,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7134983.014</v>
      </c>
    </row>
    <row r="3201">
      <c r="A3201" s="19">
        <v>45436.0</v>
      </c>
      <c r="B3201" s="23">
        <v>1.0765E7</v>
      </c>
      <c r="C3201" s="23">
        <f t="shared" si="1"/>
        <v>10374510.68</v>
      </c>
      <c r="D3201" s="18">
        <f>IF(A3201="","",MATCH(A3201,Calculation!B$2:B9627,1))</f>
        <v>2</v>
      </c>
      <c r="E3201" s="23">
        <f t="array" ref="E3201">IF(D3201="","",IF(D3201=1,0,INDEX(Calculation!Q$2:Q9627,D3201-1)))</f>
        <v>3232449.315</v>
      </c>
      <c r="F3201" s="23">
        <f t="array" ref="F3201">IF($A3201="","",
  LET(
    r, $D3201,
    startD, INDEX(Calculation!B$2:B9627, r),
    endD,   INDEX(Calculation!C$2:C9627, r),
    asOf,   MIN($A3201,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7142061.37</v>
      </c>
    </row>
    <row r="3202">
      <c r="A3202" s="19">
        <v>45437.0</v>
      </c>
      <c r="B3202" s="23">
        <v>1.0765E7</v>
      </c>
      <c r="C3202" s="23">
        <f t="shared" si="1"/>
        <v>10381589.04</v>
      </c>
      <c r="D3202" s="18">
        <f>IF(A3202="","",MATCH(A3202,Calculation!B$2:B9627,1))</f>
        <v>2</v>
      </c>
      <c r="E3202" s="23">
        <f t="array" ref="E3202">IF(D3202="","",IF(D3202=1,0,INDEX(Calculation!Q$2:Q9627,D3202-1)))</f>
        <v>3232449.315</v>
      </c>
      <c r="F3202" s="23">
        <f t="array" ref="F3202">IF($A3202="","",
  LET(
    r, $D3202,
    startD, INDEX(Calculation!B$2:B9627, r),
    endD,   INDEX(Calculation!C$2:C9627, r),
    asOf,   MIN($A3202,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7149139.726</v>
      </c>
    </row>
    <row r="3203">
      <c r="A3203" s="19">
        <v>45438.0</v>
      </c>
      <c r="B3203" s="23">
        <v>1.0765E7</v>
      </c>
      <c r="C3203" s="23">
        <f t="shared" si="1"/>
        <v>10388667.4</v>
      </c>
      <c r="D3203" s="18">
        <f>IF(A3203="","",MATCH(A3203,Calculation!B$2:B9627,1))</f>
        <v>2</v>
      </c>
      <c r="E3203" s="23">
        <f t="array" ref="E3203">IF(D3203="","",IF(D3203=1,0,INDEX(Calculation!Q$2:Q9627,D3203-1)))</f>
        <v>3232449.315</v>
      </c>
      <c r="F3203" s="23">
        <f t="array" ref="F3203">IF($A3203="","",
  LET(
    r, $D3203,
    startD, INDEX(Calculation!B$2:B9627, r),
    endD,   INDEX(Calculation!C$2:C9627, r),
    asOf,   MIN($A3203,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7156218.082</v>
      </c>
    </row>
    <row r="3204">
      <c r="A3204" s="19">
        <v>45439.0</v>
      </c>
      <c r="B3204" s="23">
        <v>1.0765E7</v>
      </c>
      <c r="C3204" s="23">
        <f t="shared" si="1"/>
        <v>10395745.75</v>
      </c>
      <c r="D3204" s="18">
        <f>IF(A3204="","",MATCH(A3204,Calculation!B$2:B9627,1))</f>
        <v>2</v>
      </c>
      <c r="E3204" s="23">
        <f t="array" ref="E3204">IF(D3204="","",IF(D3204=1,0,INDEX(Calculation!Q$2:Q9627,D3204-1)))</f>
        <v>3232449.315</v>
      </c>
      <c r="F3204" s="23">
        <f t="array" ref="F3204">IF($A3204="","",
  LET(
    r, $D3204,
    startD, INDEX(Calculation!B$2:B9627, r),
    endD,   INDEX(Calculation!C$2:C9627, r),
    asOf,   MIN($A3204,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7163296.438</v>
      </c>
    </row>
    <row r="3205">
      <c r="A3205" s="19">
        <v>45440.0</v>
      </c>
      <c r="B3205" s="23">
        <v>1.0765E7</v>
      </c>
      <c r="C3205" s="23">
        <f t="shared" si="1"/>
        <v>10402824.11</v>
      </c>
      <c r="D3205" s="18">
        <f>IF(A3205="","",MATCH(A3205,Calculation!B$2:B9627,1))</f>
        <v>2</v>
      </c>
      <c r="E3205" s="23">
        <f t="array" ref="E3205">IF(D3205="","",IF(D3205=1,0,INDEX(Calculation!Q$2:Q9627,D3205-1)))</f>
        <v>3232449.315</v>
      </c>
      <c r="F3205" s="23">
        <f t="array" ref="F3205">IF($A3205="","",
  LET(
    r, $D3205,
    startD, INDEX(Calculation!B$2:B9627, r),
    endD,   INDEX(Calculation!C$2:C9627, r),
    asOf,   MIN($A3205,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7170374.795</v>
      </c>
    </row>
    <row r="3206">
      <c r="A3206" s="19">
        <v>45441.0</v>
      </c>
      <c r="B3206" s="23">
        <v>1.0765E7</v>
      </c>
      <c r="C3206" s="23">
        <f t="shared" si="1"/>
        <v>10409902.47</v>
      </c>
      <c r="D3206" s="18">
        <f>IF(A3206="","",MATCH(A3206,Calculation!B$2:B9627,1))</f>
        <v>2</v>
      </c>
      <c r="E3206" s="23">
        <f t="array" ref="E3206">IF(D3206="","",IF(D3206=1,0,INDEX(Calculation!Q$2:Q9627,D3206-1)))</f>
        <v>3232449.315</v>
      </c>
      <c r="F3206" s="23">
        <f t="array" ref="F3206">IF($A3206="","",
  LET(
    r, $D3206,
    startD, INDEX(Calculation!B$2:B9627, r),
    endD,   INDEX(Calculation!C$2:C9627, r),
    asOf,   MIN($A3206,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7177453.151</v>
      </c>
    </row>
    <row r="3207">
      <c r="A3207" s="19">
        <v>45442.0</v>
      </c>
      <c r="B3207" s="23">
        <v>1.0765E7</v>
      </c>
      <c r="C3207" s="23">
        <f t="shared" si="1"/>
        <v>10416980.82</v>
      </c>
      <c r="D3207" s="18">
        <f>IF(A3207="","",MATCH(A3207,Calculation!B$2:B9627,1))</f>
        <v>2</v>
      </c>
      <c r="E3207" s="23">
        <f t="array" ref="E3207">IF(D3207="","",IF(D3207=1,0,INDEX(Calculation!Q$2:Q9627,D3207-1)))</f>
        <v>3232449.315</v>
      </c>
      <c r="F3207" s="23">
        <f t="array" ref="F3207">IF($A3207="","",
  LET(
    r, $D3207,
    startD, INDEX(Calculation!B$2:B9627, r),
    endD,   INDEX(Calculation!C$2:C9627, r),
    asOf,   MIN($A3207,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7184531.507</v>
      </c>
    </row>
    <row r="3208">
      <c r="A3208" s="19">
        <v>45443.0</v>
      </c>
      <c r="B3208" s="23">
        <v>1.0765E7</v>
      </c>
      <c r="C3208" s="23">
        <f t="shared" si="1"/>
        <v>10424059.18</v>
      </c>
      <c r="D3208" s="18">
        <f>IF(A3208="","",MATCH(A3208,Calculation!B$2:B9627,1))</f>
        <v>2</v>
      </c>
      <c r="E3208" s="23">
        <f t="array" ref="E3208">IF(D3208="","",IF(D3208=1,0,INDEX(Calculation!Q$2:Q9627,D3208-1)))</f>
        <v>3232449.315</v>
      </c>
      <c r="F3208" s="23">
        <f t="array" ref="F3208">IF($A3208="","",
  LET(
    r, $D3208,
    startD, INDEX(Calculation!B$2:B9627, r),
    endD,   INDEX(Calculation!C$2:C9627, r),
    asOf,   MIN($A3208,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7191609.863</v>
      </c>
    </row>
    <row r="3209">
      <c r="A3209" s="19">
        <v>45444.0</v>
      </c>
      <c r="B3209" s="23">
        <v>1.0765E7</v>
      </c>
      <c r="C3209" s="23">
        <f t="shared" si="1"/>
        <v>10431137.53</v>
      </c>
      <c r="D3209" s="18">
        <f>IF(A3209="","",MATCH(A3209,Calculation!B$2:B9627,1))</f>
        <v>2</v>
      </c>
      <c r="E3209" s="23">
        <f t="array" ref="E3209">IF(D3209="","",IF(D3209=1,0,INDEX(Calculation!Q$2:Q9627,D3209-1)))</f>
        <v>3232449.315</v>
      </c>
      <c r="F3209" s="23">
        <f t="array" ref="F3209">IF($A3209="","",
  LET(
    r, $D3209,
    startD, INDEX(Calculation!B$2:B9627, r),
    endD,   INDEX(Calculation!C$2:C9627, r),
    asOf,   MIN($A3209,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7198688.219</v>
      </c>
    </row>
    <row r="3210">
      <c r="A3210" s="19">
        <v>45445.0</v>
      </c>
      <c r="B3210" s="23">
        <v>1.0765E7</v>
      </c>
      <c r="C3210" s="23">
        <f t="shared" si="1"/>
        <v>10438215.89</v>
      </c>
      <c r="D3210" s="18">
        <f>IF(A3210="","",MATCH(A3210,Calculation!B$2:B9627,1))</f>
        <v>2</v>
      </c>
      <c r="E3210" s="23">
        <f t="array" ref="E3210">IF(D3210="","",IF(D3210=1,0,INDEX(Calculation!Q$2:Q9627,D3210-1)))</f>
        <v>3232449.315</v>
      </c>
      <c r="F3210" s="23">
        <f t="array" ref="F3210">IF($A3210="","",
  LET(
    r, $D3210,
    startD, INDEX(Calculation!B$2:B9627, r),
    endD,   INDEX(Calculation!C$2:C9627, r),
    asOf,   MIN($A3210,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7205766.575</v>
      </c>
    </row>
    <row r="3211">
      <c r="A3211" s="19">
        <v>45446.0</v>
      </c>
      <c r="B3211" s="23">
        <v>1.0765E7</v>
      </c>
      <c r="C3211" s="23">
        <f t="shared" si="1"/>
        <v>10445294.25</v>
      </c>
      <c r="D3211" s="18">
        <f>IF(A3211="","",MATCH(A3211,Calculation!B$2:B9627,1))</f>
        <v>2</v>
      </c>
      <c r="E3211" s="23">
        <f t="array" ref="E3211">IF(D3211="","",IF(D3211=1,0,INDEX(Calculation!Q$2:Q9627,D3211-1)))</f>
        <v>3232449.315</v>
      </c>
      <c r="F3211" s="23">
        <f t="array" ref="F3211">IF($A3211="","",
  LET(
    r, $D3211,
    startD, INDEX(Calculation!B$2:B9627, r),
    endD,   INDEX(Calculation!C$2:C9627, r),
    asOf,   MIN($A3211,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7212844.932</v>
      </c>
    </row>
    <row r="3212">
      <c r="A3212" s="19">
        <v>45447.0</v>
      </c>
      <c r="B3212" s="23">
        <v>1.0765E7</v>
      </c>
      <c r="C3212" s="23">
        <f t="shared" si="1"/>
        <v>10452372.6</v>
      </c>
      <c r="D3212" s="18">
        <f>IF(A3212="","",MATCH(A3212,Calculation!B$2:B9627,1))</f>
        <v>2</v>
      </c>
      <c r="E3212" s="23">
        <f t="array" ref="E3212">IF(D3212="","",IF(D3212=1,0,INDEX(Calculation!Q$2:Q9627,D3212-1)))</f>
        <v>3232449.315</v>
      </c>
      <c r="F3212" s="23">
        <f t="array" ref="F3212">IF($A3212="","",
  LET(
    r, $D3212,
    startD, INDEX(Calculation!B$2:B9627, r),
    endD,   INDEX(Calculation!C$2:C9627, r),
    asOf,   MIN($A3212,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7219923.288</v>
      </c>
    </row>
    <row r="3213">
      <c r="A3213" s="19">
        <v>45448.0</v>
      </c>
      <c r="B3213" s="23">
        <v>1.0765E7</v>
      </c>
      <c r="C3213" s="23">
        <f t="shared" si="1"/>
        <v>10459450.96</v>
      </c>
      <c r="D3213" s="18">
        <f>IF(A3213="","",MATCH(A3213,Calculation!B$2:B9627,1))</f>
        <v>2</v>
      </c>
      <c r="E3213" s="23">
        <f t="array" ref="E3213">IF(D3213="","",IF(D3213=1,0,INDEX(Calculation!Q$2:Q9627,D3213-1)))</f>
        <v>3232449.315</v>
      </c>
      <c r="F3213" s="23">
        <f t="array" ref="F3213">IF($A3213="","",
  LET(
    r, $D3213,
    startD, INDEX(Calculation!B$2:B9627, r),
    endD,   INDEX(Calculation!C$2:C9627, r),
    asOf,   MIN($A3213,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7227001.644</v>
      </c>
    </row>
    <row r="3214">
      <c r="A3214" s="19">
        <v>45449.0</v>
      </c>
      <c r="B3214" s="23">
        <v>1.0765E7</v>
      </c>
      <c r="C3214" s="23">
        <f t="shared" si="1"/>
        <v>10466529.32</v>
      </c>
      <c r="D3214" s="18">
        <f>IF(A3214="","",MATCH(A3214,Calculation!B$2:B9627,1))</f>
        <v>2</v>
      </c>
      <c r="E3214" s="23">
        <f t="array" ref="E3214">IF(D3214="","",IF(D3214=1,0,INDEX(Calculation!Q$2:Q9627,D3214-1)))</f>
        <v>3232449.315</v>
      </c>
      <c r="F3214" s="23">
        <f t="array" ref="F3214">IF($A3214="","",
  LET(
    r, $D3214,
    startD, INDEX(Calculation!B$2:B9627, r),
    endD,   INDEX(Calculation!C$2:C9627, r),
    asOf,   MIN($A3214,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7234080</v>
      </c>
    </row>
    <row r="3215">
      <c r="A3215" s="19">
        <v>45450.0</v>
      </c>
      <c r="B3215" s="23">
        <v>1.0765E7</v>
      </c>
      <c r="C3215" s="23">
        <f t="shared" si="1"/>
        <v>10473607.67</v>
      </c>
      <c r="D3215" s="18">
        <f>IF(A3215="","",MATCH(A3215,Calculation!B$2:B9627,1))</f>
        <v>2</v>
      </c>
      <c r="E3215" s="23">
        <f t="array" ref="E3215">IF(D3215="","",IF(D3215=1,0,INDEX(Calculation!Q$2:Q9627,D3215-1)))</f>
        <v>3232449.315</v>
      </c>
      <c r="F3215" s="23">
        <f t="array" ref="F3215">IF($A3215="","",
  LET(
    r, $D3215,
    startD, INDEX(Calculation!B$2:B9627, r),
    endD,   INDEX(Calculation!C$2:C9627, r),
    asOf,   MIN($A3215,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7241158.356</v>
      </c>
    </row>
    <row r="3216">
      <c r="A3216" s="19">
        <v>45451.0</v>
      </c>
      <c r="B3216" s="23">
        <v>1.0765E7</v>
      </c>
      <c r="C3216" s="23">
        <f t="shared" si="1"/>
        <v>10480686.03</v>
      </c>
      <c r="D3216" s="18">
        <f>IF(A3216="","",MATCH(A3216,Calculation!B$2:B9627,1))</f>
        <v>2</v>
      </c>
      <c r="E3216" s="23">
        <f t="array" ref="E3216">IF(D3216="","",IF(D3216=1,0,INDEX(Calculation!Q$2:Q9627,D3216-1)))</f>
        <v>3232449.315</v>
      </c>
      <c r="F3216" s="23">
        <f t="array" ref="F3216">IF($A3216="","",
  LET(
    r, $D3216,
    startD, INDEX(Calculation!B$2:B9627, r),
    endD,   INDEX(Calculation!C$2:C9627, r),
    asOf,   MIN($A3216,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7248236.712</v>
      </c>
    </row>
    <row r="3217">
      <c r="A3217" s="19">
        <v>45452.0</v>
      </c>
      <c r="B3217" s="23">
        <v>1.0765E7</v>
      </c>
      <c r="C3217" s="23">
        <f t="shared" si="1"/>
        <v>10487764.38</v>
      </c>
      <c r="D3217" s="18">
        <f>IF(A3217="","",MATCH(A3217,Calculation!B$2:B9627,1))</f>
        <v>2</v>
      </c>
      <c r="E3217" s="23">
        <f t="array" ref="E3217">IF(D3217="","",IF(D3217=1,0,INDEX(Calculation!Q$2:Q9627,D3217-1)))</f>
        <v>3232449.315</v>
      </c>
      <c r="F3217" s="23">
        <f t="array" ref="F3217">IF($A3217="","",
  LET(
    r, $D3217,
    startD, INDEX(Calculation!B$2:B9627, r),
    endD,   INDEX(Calculation!C$2:C9627, r),
    asOf,   MIN($A3217,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7255315.068</v>
      </c>
    </row>
    <row r="3218">
      <c r="A3218" s="19">
        <v>45453.0</v>
      </c>
      <c r="B3218" s="23">
        <v>1.0765E7</v>
      </c>
      <c r="C3218" s="23">
        <f t="shared" si="1"/>
        <v>10494842.74</v>
      </c>
      <c r="D3218" s="18">
        <f>IF(A3218="","",MATCH(A3218,Calculation!B$2:B9627,1))</f>
        <v>2</v>
      </c>
      <c r="E3218" s="23">
        <f t="array" ref="E3218">IF(D3218="","",IF(D3218=1,0,INDEX(Calculation!Q$2:Q9627,D3218-1)))</f>
        <v>3232449.315</v>
      </c>
      <c r="F3218" s="23">
        <f t="array" ref="F3218">IF($A3218="","",
  LET(
    r, $D3218,
    startD, INDEX(Calculation!B$2:B9627, r),
    endD,   INDEX(Calculation!C$2:C9627, r),
    asOf,   MIN($A3218,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7262393.425</v>
      </c>
    </row>
    <row r="3219">
      <c r="A3219" s="19">
        <v>45454.0</v>
      </c>
      <c r="B3219" s="23">
        <v>1.0765E7</v>
      </c>
      <c r="C3219" s="23">
        <f t="shared" si="1"/>
        <v>10501921.1</v>
      </c>
      <c r="D3219" s="18">
        <f>IF(A3219="","",MATCH(A3219,Calculation!B$2:B9627,1))</f>
        <v>2</v>
      </c>
      <c r="E3219" s="23">
        <f t="array" ref="E3219">IF(D3219="","",IF(D3219=1,0,INDEX(Calculation!Q$2:Q9627,D3219-1)))</f>
        <v>3232449.315</v>
      </c>
      <c r="F3219" s="23">
        <f t="array" ref="F3219">IF($A3219="","",
  LET(
    r, $D3219,
    startD, INDEX(Calculation!B$2:B9627, r),
    endD,   INDEX(Calculation!C$2:C9627, r),
    asOf,   MIN($A3219,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7269471.781</v>
      </c>
    </row>
    <row r="3220">
      <c r="A3220" s="19">
        <v>45455.0</v>
      </c>
      <c r="B3220" s="23">
        <v>1.0765E7</v>
      </c>
      <c r="C3220" s="23">
        <f t="shared" si="1"/>
        <v>10508999.45</v>
      </c>
      <c r="D3220" s="18">
        <f>IF(A3220="","",MATCH(A3220,Calculation!B$2:B9627,1))</f>
        <v>2</v>
      </c>
      <c r="E3220" s="23">
        <f t="array" ref="E3220">IF(D3220="","",IF(D3220=1,0,INDEX(Calculation!Q$2:Q9627,D3220-1)))</f>
        <v>3232449.315</v>
      </c>
      <c r="F3220" s="23">
        <f t="array" ref="F3220">IF($A3220="","",
  LET(
    r, $D3220,
    startD, INDEX(Calculation!B$2:B9627, r),
    endD,   INDEX(Calculation!C$2:C9627, r),
    asOf,   MIN($A3220,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7276550.137</v>
      </c>
    </row>
    <row r="3221">
      <c r="A3221" s="19">
        <v>45456.0</v>
      </c>
      <c r="B3221" s="23">
        <v>1.0765E7</v>
      </c>
      <c r="C3221" s="23">
        <f t="shared" si="1"/>
        <v>10516077.81</v>
      </c>
      <c r="D3221" s="18">
        <f>IF(A3221="","",MATCH(A3221,Calculation!B$2:B9627,1))</f>
        <v>2</v>
      </c>
      <c r="E3221" s="23">
        <f t="array" ref="E3221">IF(D3221="","",IF(D3221=1,0,INDEX(Calculation!Q$2:Q9627,D3221-1)))</f>
        <v>3232449.315</v>
      </c>
      <c r="F3221" s="23">
        <f t="array" ref="F3221">IF($A3221="","",
  LET(
    r, $D3221,
    startD, INDEX(Calculation!B$2:B9627, r),
    endD,   INDEX(Calculation!C$2:C9627, r),
    asOf,   MIN($A3221,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7283628.493</v>
      </c>
    </row>
    <row r="3222">
      <c r="A3222" s="19">
        <v>45457.0</v>
      </c>
      <c r="B3222" s="23">
        <v>1.0765E7</v>
      </c>
      <c r="C3222" s="23">
        <f t="shared" si="1"/>
        <v>10523156.16</v>
      </c>
      <c r="D3222" s="18">
        <f>IF(A3222="","",MATCH(A3222,Calculation!B$2:B9627,1))</f>
        <v>2</v>
      </c>
      <c r="E3222" s="23">
        <f t="array" ref="E3222">IF(D3222="","",IF(D3222=1,0,INDEX(Calculation!Q$2:Q9627,D3222-1)))</f>
        <v>3232449.315</v>
      </c>
      <c r="F3222" s="23">
        <f t="array" ref="F3222">IF($A3222="","",
  LET(
    r, $D3222,
    startD, INDEX(Calculation!B$2:B9627, r),
    endD,   INDEX(Calculation!C$2:C9627, r),
    asOf,   MIN($A3222,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7290706.849</v>
      </c>
    </row>
    <row r="3223">
      <c r="A3223" s="19">
        <v>45458.0</v>
      </c>
      <c r="B3223" s="23">
        <v>1.0765E7</v>
      </c>
      <c r="C3223" s="23">
        <f t="shared" si="1"/>
        <v>10530234.52</v>
      </c>
      <c r="D3223" s="18">
        <f>IF(A3223="","",MATCH(A3223,Calculation!B$2:B9627,1))</f>
        <v>2</v>
      </c>
      <c r="E3223" s="23">
        <f t="array" ref="E3223">IF(D3223="","",IF(D3223=1,0,INDEX(Calculation!Q$2:Q9627,D3223-1)))</f>
        <v>3232449.315</v>
      </c>
      <c r="F3223" s="23">
        <f t="array" ref="F3223">IF($A3223="","",
  LET(
    r, $D3223,
    startD, INDEX(Calculation!B$2:B9627, r),
    endD,   INDEX(Calculation!C$2:C9627, r),
    asOf,   MIN($A3223,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7297785.205</v>
      </c>
    </row>
    <row r="3224">
      <c r="A3224" s="19">
        <v>45459.0</v>
      </c>
      <c r="B3224" s="23">
        <v>1.0765E7</v>
      </c>
      <c r="C3224" s="23">
        <f t="shared" si="1"/>
        <v>10537312.88</v>
      </c>
      <c r="D3224" s="18">
        <f>IF(A3224="","",MATCH(A3224,Calculation!B$2:B9627,1))</f>
        <v>2</v>
      </c>
      <c r="E3224" s="23">
        <f t="array" ref="E3224">IF(D3224="","",IF(D3224=1,0,INDEX(Calculation!Q$2:Q9627,D3224-1)))</f>
        <v>3232449.315</v>
      </c>
      <c r="F3224" s="23">
        <f t="array" ref="F3224">IF($A3224="","",
  LET(
    r, $D3224,
    startD, INDEX(Calculation!B$2:B9627, r),
    endD,   INDEX(Calculation!C$2:C9627, r),
    asOf,   MIN($A3224,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7304863.562</v>
      </c>
    </row>
    <row r="3225">
      <c r="A3225" s="19">
        <v>45460.0</v>
      </c>
      <c r="B3225" s="23">
        <v>1.0765E7</v>
      </c>
      <c r="C3225" s="23">
        <f t="shared" si="1"/>
        <v>10544391.23</v>
      </c>
      <c r="D3225" s="18">
        <f>IF(A3225="","",MATCH(A3225,Calculation!B$2:B9627,1))</f>
        <v>2</v>
      </c>
      <c r="E3225" s="23">
        <f t="array" ref="E3225">IF(D3225="","",IF(D3225=1,0,INDEX(Calculation!Q$2:Q9627,D3225-1)))</f>
        <v>3232449.315</v>
      </c>
      <c r="F3225" s="23">
        <f t="array" ref="F3225">IF($A3225="","",
  LET(
    r, $D3225,
    startD, INDEX(Calculation!B$2:B9627, r),
    endD,   INDEX(Calculation!C$2:C9627, r),
    asOf,   MIN($A3225,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7311941.918</v>
      </c>
    </row>
    <row r="3226">
      <c r="A3226" s="19">
        <v>45461.0</v>
      </c>
      <c r="B3226" s="23">
        <v>1.0765E7</v>
      </c>
      <c r="C3226" s="23">
        <f t="shared" si="1"/>
        <v>10551469.59</v>
      </c>
      <c r="D3226" s="18">
        <f>IF(A3226="","",MATCH(A3226,Calculation!B$2:B9627,1))</f>
        <v>2</v>
      </c>
      <c r="E3226" s="23">
        <f t="array" ref="E3226">IF(D3226="","",IF(D3226=1,0,INDEX(Calculation!Q$2:Q9627,D3226-1)))</f>
        <v>3232449.315</v>
      </c>
      <c r="F3226" s="23">
        <f t="array" ref="F3226">IF($A3226="","",
  LET(
    r, $D3226,
    startD, INDEX(Calculation!B$2:B9627, r),
    endD,   INDEX(Calculation!C$2:C9627, r),
    asOf,   MIN($A3226,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7319020.274</v>
      </c>
    </row>
    <row r="3227">
      <c r="A3227" s="19">
        <v>45462.0</v>
      </c>
      <c r="B3227" s="23">
        <v>1.0765E7</v>
      </c>
      <c r="C3227" s="23">
        <f t="shared" si="1"/>
        <v>10558547.95</v>
      </c>
      <c r="D3227" s="18">
        <f>IF(A3227="","",MATCH(A3227,Calculation!B$2:B9627,1))</f>
        <v>2</v>
      </c>
      <c r="E3227" s="23">
        <f t="array" ref="E3227">IF(D3227="","",IF(D3227=1,0,INDEX(Calculation!Q$2:Q9627,D3227-1)))</f>
        <v>3232449.315</v>
      </c>
      <c r="F3227" s="23">
        <f t="array" ref="F3227">IF($A3227="","",
  LET(
    r, $D3227,
    startD, INDEX(Calculation!B$2:B9627, r),
    endD,   INDEX(Calculation!C$2:C9627, r),
    asOf,   MIN($A3227,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7326098.63</v>
      </c>
    </row>
    <row r="3228">
      <c r="A3228" s="19">
        <v>45463.0</v>
      </c>
      <c r="B3228" s="23">
        <v>1.0765E7</v>
      </c>
      <c r="C3228" s="23">
        <f t="shared" si="1"/>
        <v>10565626.3</v>
      </c>
      <c r="D3228" s="18">
        <f>IF(A3228="","",MATCH(A3228,Calculation!B$2:B9627,1))</f>
        <v>2</v>
      </c>
      <c r="E3228" s="23">
        <f t="array" ref="E3228">IF(D3228="","",IF(D3228=1,0,INDEX(Calculation!Q$2:Q9627,D3228-1)))</f>
        <v>3232449.315</v>
      </c>
      <c r="F3228" s="23">
        <f t="array" ref="F3228">IF($A3228="","",
  LET(
    r, $D3228,
    startD, INDEX(Calculation!B$2:B9627, r),
    endD,   INDEX(Calculation!C$2:C9627, r),
    asOf,   MIN($A3228,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7333176.986</v>
      </c>
    </row>
    <row r="3229">
      <c r="A3229" s="19">
        <v>45464.0</v>
      </c>
      <c r="B3229" s="23">
        <v>1.0765E7</v>
      </c>
      <c r="C3229" s="23">
        <f t="shared" si="1"/>
        <v>10572704.66</v>
      </c>
      <c r="D3229" s="18">
        <f>IF(A3229="","",MATCH(A3229,Calculation!B$2:B9627,1))</f>
        <v>2</v>
      </c>
      <c r="E3229" s="23">
        <f t="array" ref="E3229">IF(D3229="","",IF(D3229=1,0,INDEX(Calculation!Q$2:Q9627,D3229-1)))</f>
        <v>3232449.315</v>
      </c>
      <c r="F3229" s="23">
        <f t="array" ref="F3229">IF($A3229="","",
  LET(
    r, $D3229,
    startD, INDEX(Calculation!B$2:B9627, r),
    endD,   INDEX(Calculation!C$2:C9627, r),
    asOf,   MIN($A3229,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7340255.342</v>
      </c>
    </row>
    <row r="3230">
      <c r="A3230" s="19">
        <v>45465.0</v>
      </c>
      <c r="B3230" s="23">
        <v>1.0765E7</v>
      </c>
      <c r="C3230" s="23">
        <f t="shared" si="1"/>
        <v>10579783.01</v>
      </c>
      <c r="D3230" s="18">
        <f>IF(A3230="","",MATCH(A3230,Calculation!B$2:B9627,1))</f>
        <v>2</v>
      </c>
      <c r="E3230" s="23">
        <f t="array" ref="E3230">IF(D3230="","",IF(D3230=1,0,INDEX(Calculation!Q$2:Q9627,D3230-1)))</f>
        <v>3232449.315</v>
      </c>
      <c r="F3230" s="23">
        <f t="array" ref="F3230">IF($A3230="","",
  LET(
    r, $D3230,
    startD, INDEX(Calculation!B$2:B9627, r),
    endD,   INDEX(Calculation!C$2:C9627, r),
    asOf,   MIN($A3230,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7347333.699</v>
      </c>
    </row>
    <row r="3231">
      <c r="A3231" s="19">
        <v>45466.0</v>
      </c>
      <c r="B3231" s="23">
        <v>1.0765E7</v>
      </c>
      <c r="C3231" s="23">
        <f t="shared" si="1"/>
        <v>10586861.37</v>
      </c>
      <c r="D3231" s="18">
        <f>IF(A3231="","",MATCH(A3231,Calculation!B$2:B9627,1))</f>
        <v>2</v>
      </c>
      <c r="E3231" s="23">
        <f t="array" ref="E3231">IF(D3231="","",IF(D3231=1,0,INDEX(Calculation!Q$2:Q9627,D3231-1)))</f>
        <v>3232449.315</v>
      </c>
      <c r="F3231" s="23">
        <f t="array" ref="F3231">IF($A3231="","",
  LET(
    r, $D3231,
    startD, INDEX(Calculation!B$2:B9627, r),
    endD,   INDEX(Calculation!C$2:C9627, r),
    asOf,   MIN($A3231,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7354412.055</v>
      </c>
    </row>
    <row r="3232">
      <c r="A3232" s="19">
        <v>45467.0</v>
      </c>
      <c r="B3232" s="23">
        <v>1.0765E7</v>
      </c>
      <c r="C3232" s="23">
        <f t="shared" si="1"/>
        <v>10593939.73</v>
      </c>
      <c r="D3232" s="18">
        <f>IF(A3232="","",MATCH(A3232,Calculation!B$2:B9627,1))</f>
        <v>2</v>
      </c>
      <c r="E3232" s="23">
        <f t="array" ref="E3232">IF(D3232="","",IF(D3232=1,0,INDEX(Calculation!Q$2:Q9627,D3232-1)))</f>
        <v>3232449.315</v>
      </c>
      <c r="F3232" s="23">
        <f t="array" ref="F3232">IF($A3232="","",
  LET(
    r, $D3232,
    startD, INDEX(Calculation!B$2:B9627, r),
    endD,   INDEX(Calculation!C$2:C9627, r),
    asOf,   MIN($A3232,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7361490.411</v>
      </c>
    </row>
    <row r="3233">
      <c r="A3233" s="19">
        <v>45468.0</v>
      </c>
      <c r="B3233" s="23">
        <v>1.0765E7</v>
      </c>
      <c r="C3233" s="23">
        <f t="shared" si="1"/>
        <v>10601018.08</v>
      </c>
      <c r="D3233" s="18">
        <f>IF(A3233="","",MATCH(A3233,Calculation!B$2:B9627,1))</f>
        <v>2</v>
      </c>
      <c r="E3233" s="23">
        <f t="array" ref="E3233">IF(D3233="","",IF(D3233=1,0,INDEX(Calculation!Q$2:Q9627,D3233-1)))</f>
        <v>3232449.315</v>
      </c>
      <c r="F3233" s="23">
        <f t="array" ref="F3233">IF($A3233="","",
  LET(
    r, $D3233,
    startD, INDEX(Calculation!B$2:B9627, r),
    endD,   INDEX(Calculation!C$2:C9627, r),
    asOf,   MIN($A3233,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7368568.767</v>
      </c>
    </row>
    <row r="3234">
      <c r="A3234" s="19">
        <v>45469.0</v>
      </c>
      <c r="B3234" s="23">
        <v>1.0765E7</v>
      </c>
      <c r="C3234" s="23">
        <f t="shared" si="1"/>
        <v>10608096.44</v>
      </c>
      <c r="D3234" s="18">
        <f>IF(A3234="","",MATCH(A3234,Calculation!B$2:B9627,1))</f>
        <v>2</v>
      </c>
      <c r="E3234" s="23">
        <f t="array" ref="E3234">IF(D3234="","",IF(D3234=1,0,INDEX(Calculation!Q$2:Q9627,D3234-1)))</f>
        <v>3232449.315</v>
      </c>
      <c r="F3234" s="23">
        <f t="array" ref="F3234">IF($A3234="","",
  LET(
    r, $D3234,
    startD, INDEX(Calculation!B$2:B9627, r),
    endD,   INDEX(Calculation!C$2:C9627, r),
    asOf,   MIN($A3234,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7375647.123</v>
      </c>
    </row>
    <row r="3235">
      <c r="A3235" s="19">
        <v>45470.0</v>
      </c>
      <c r="B3235" s="23">
        <v>1.0765E7</v>
      </c>
      <c r="C3235" s="23">
        <f t="shared" si="1"/>
        <v>10615174.79</v>
      </c>
      <c r="D3235" s="18">
        <f>IF(A3235="","",MATCH(A3235,Calculation!B$2:B9627,1))</f>
        <v>2</v>
      </c>
      <c r="E3235" s="23">
        <f t="array" ref="E3235">IF(D3235="","",IF(D3235=1,0,INDEX(Calculation!Q$2:Q9627,D3235-1)))</f>
        <v>3232449.315</v>
      </c>
      <c r="F3235" s="23">
        <f t="array" ref="F3235">IF($A3235="","",
  LET(
    r, $D3235,
    startD, INDEX(Calculation!B$2:B9627, r),
    endD,   INDEX(Calculation!C$2:C9627, r),
    asOf,   MIN($A3235,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7382725.479</v>
      </c>
    </row>
    <row r="3236">
      <c r="A3236" s="19">
        <v>45471.0</v>
      </c>
      <c r="B3236" s="23">
        <v>1.0765E7</v>
      </c>
      <c r="C3236" s="23">
        <f t="shared" si="1"/>
        <v>10622253.15</v>
      </c>
      <c r="D3236" s="18">
        <f>IF(A3236="","",MATCH(A3236,Calculation!B$2:B9627,1))</f>
        <v>2</v>
      </c>
      <c r="E3236" s="23">
        <f t="array" ref="E3236">IF(D3236="","",IF(D3236=1,0,INDEX(Calculation!Q$2:Q9627,D3236-1)))</f>
        <v>3232449.315</v>
      </c>
      <c r="F3236" s="23">
        <f t="array" ref="F3236">IF($A3236="","",
  LET(
    r, $D3236,
    startD, INDEX(Calculation!B$2:B9627, r),
    endD,   INDEX(Calculation!C$2:C9627, r),
    asOf,   MIN($A3236,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7389803.836</v>
      </c>
    </row>
    <row r="3237">
      <c r="A3237" s="19">
        <v>45472.0</v>
      </c>
      <c r="B3237" s="23">
        <v>1.0765E7</v>
      </c>
      <c r="C3237" s="23">
        <f t="shared" si="1"/>
        <v>10629331.51</v>
      </c>
      <c r="D3237" s="18">
        <f>IF(A3237="","",MATCH(A3237,Calculation!B$2:B9627,1))</f>
        <v>2</v>
      </c>
      <c r="E3237" s="23">
        <f t="array" ref="E3237">IF(D3237="","",IF(D3237=1,0,INDEX(Calculation!Q$2:Q9627,D3237-1)))</f>
        <v>3232449.315</v>
      </c>
      <c r="F3237" s="23">
        <f t="array" ref="F3237">IF($A3237="","",
  LET(
    r, $D3237,
    startD, INDEX(Calculation!B$2:B9627, r),
    endD,   INDEX(Calculation!C$2:C9627, r),
    asOf,   MIN($A3237,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7396882.192</v>
      </c>
    </row>
    <row r="3238">
      <c r="A3238" s="19">
        <v>45473.0</v>
      </c>
      <c r="B3238" s="23">
        <v>1.0765E7</v>
      </c>
      <c r="C3238" s="23">
        <f t="shared" si="1"/>
        <v>10636409.86</v>
      </c>
      <c r="D3238" s="18">
        <f>IF(A3238="","",MATCH(A3238,Calculation!B$2:B9627,1))</f>
        <v>2</v>
      </c>
      <c r="E3238" s="23">
        <f t="array" ref="E3238">IF(D3238="","",IF(D3238=1,0,INDEX(Calculation!Q$2:Q9627,D3238-1)))</f>
        <v>3232449.315</v>
      </c>
      <c r="F3238" s="23">
        <f t="array" ref="F3238">IF($A3238="","",
  LET(
    r, $D3238,
    startD, INDEX(Calculation!B$2:B9627, r),
    endD,   INDEX(Calculation!C$2:C9627, r),
    asOf,   MIN($A3238,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7403960.548</v>
      </c>
    </row>
    <row r="3239">
      <c r="A3239" s="19">
        <v>45474.0</v>
      </c>
      <c r="B3239" s="23">
        <v>1.0765E7</v>
      </c>
      <c r="C3239" s="23">
        <f t="shared" si="1"/>
        <v>10643488.22</v>
      </c>
      <c r="D3239" s="18">
        <f>IF(A3239="","",MATCH(A3239,Calculation!B$2:B9627,1))</f>
        <v>2</v>
      </c>
      <c r="E3239" s="23">
        <f t="array" ref="E3239">IF(D3239="","",IF(D3239=1,0,INDEX(Calculation!Q$2:Q9627,D3239-1)))</f>
        <v>3232449.315</v>
      </c>
      <c r="F3239" s="23">
        <f t="array" ref="F3239">IF($A3239="","",
  LET(
    r, $D3239,
    startD, INDEX(Calculation!B$2:B9627, r),
    endD,   INDEX(Calculation!C$2:C9627, r),
    asOf,   MIN($A3239,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7411038.904</v>
      </c>
    </row>
    <row r="3240">
      <c r="A3240" s="19">
        <v>45475.0</v>
      </c>
      <c r="B3240" s="23">
        <v>1.0765E7</v>
      </c>
      <c r="C3240" s="23">
        <f t="shared" si="1"/>
        <v>10650566.58</v>
      </c>
      <c r="D3240" s="18">
        <f>IF(A3240="","",MATCH(A3240,Calculation!B$2:B9627,1))</f>
        <v>2</v>
      </c>
      <c r="E3240" s="23">
        <f t="array" ref="E3240">IF(D3240="","",IF(D3240=1,0,INDEX(Calculation!Q$2:Q9627,D3240-1)))</f>
        <v>3232449.315</v>
      </c>
      <c r="F3240" s="23">
        <f t="array" ref="F3240">IF($A3240="","",
  LET(
    r, $D3240,
    startD, INDEX(Calculation!B$2:B9627, r),
    endD,   INDEX(Calculation!C$2:C9627, r),
    asOf,   MIN($A3240,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7418117.26</v>
      </c>
    </row>
    <row r="3241">
      <c r="A3241" s="19">
        <v>45476.0</v>
      </c>
      <c r="B3241" s="23">
        <v>1.0765E7</v>
      </c>
      <c r="C3241" s="23">
        <f t="shared" si="1"/>
        <v>10657644.93</v>
      </c>
      <c r="D3241" s="18">
        <f>IF(A3241="","",MATCH(A3241,Calculation!B$2:B9627,1))</f>
        <v>2</v>
      </c>
      <c r="E3241" s="23">
        <f t="array" ref="E3241">IF(D3241="","",IF(D3241=1,0,INDEX(Calculation!Q$2:Q9627,D3241-1)))</f>
        <v>3232449.315</v>
      </c>
      <c r="F3241" s="23">
        <f t="array" ref="F3241">IF($A3241="","",
  LET(
    r, $D3241,
    startD, INDEX(Calculation!B$2:B9627, r),
    endD,   INDEX(Calculation!C$2:C9627, r),
    asOf,   MIN($A3241,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7425195.616</v>
      </c>
    </row>
    <row r="3242">
      <c r="A3242" s="19">
        <v>45477.0</v>
      </c>
      <c r="B3242" s="23">
        <v>1.0765E7</v>
      </c>
      <c r="C3242" s="23">
        <f t="shared" si="1"/>
        <v>10664723.29</v>
      </c>
      <c r="D3242" s="18">
        <f>IF(A3242="","",MATCH(A3242,Calculation!B$2:B9627,1))</f>
        <v>2</v>
      </c>
      <c r="E3242" s="23">
        <f t="array" ref="E3242">IF(D3242="","",IF(D3242=1,0,INDEX(Calculation!Q$2:Q9627,D3242-1)))</f>
        <v>3232449.315</v>
      </c>
      <c r="F3242" s="23">
        <f t="array" ref="F3242">IF($A3242="","",
  LET(
    r, $D3242,
    startD, INDEX(Calculation!B$2:B9627, r),
    endD,   INDEX(Calculation!C$2:C9627, r),
    asOf,   MIN($A3242,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7432273.973</v>
      </c>
    </row>
    <row r="3243">
      <c r="A3243" s="19">
        <v>45478.0</v>
      </c>
      <c r="B3243" s="23">
        <v>1.0765E7</v>
      </c>
      <c r="C3243" s="23">
        <f t="shared" si="1"/>
        <v>10671801.64</v>
      </c>
      <c r="D3243" s="18">
        <f>IF(A3243="","",MATCH(A3243,Calculation!B$2:B9627,1))</f>
        <v>2</v>
      </c>
      <c r="E3243" s="23">
        <f t="array" ref="E3243">IF(D3243="","",IF(D3243=1,0,INDEX(Calculation!Q$2:Q9627,D3243-1)))</f>
        <v>3232449.315</v>
      </c>
      <c r="F3243" s="23">
        <f t="array" ref="F3243">IF($A3243="","",
  LET(
    r, $D3243,
    startD, INDEX(Calculation!B$2:B9627, r),
    endD,   INDEX(Calculation!C$2:C9627, r),
    asOf,   MIN($A3243,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7439352.329</v>
      </c>
    </row>
    <row r="3244">
      <c r="A3244" s="19">
        <v>45479.0</v>
      </c>
      <c r="B3244" s="23">
        <v>1.0765E7</v>
      </c>
      <c r="C3244" s="23">
        <f t="shared" si="1"/>
        <v>10678880</v>
      </c>
      <c r="D3244" s="18">
        <f>IF(A3244="","",MATCH(A3244,Calculation!B$2:B9627,1))</f>
        <v>2</v>
      </c>
      <c r="E3244" s="23">
        <f t="array" ref="E3244">IF(D3244="","",IF(D3244=1,0,INDEX(Calculation!Q$2:Q9627,D3244-1)))</f>
        <v>3232449.315</v>
      </c>
      <c r="F3244" s="23">
        <f t="array" ref="F3244">IF($A3244="","",
  LET(
    r, $D3244,
    startD, INDEX(Calculation!B$2:B9627, r),
    endD,   INDEX(Calculation!C$2:C9627, r),
    asOf,   MIN($A3244,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7446430.685</v>
      </c>
    </row>
    <row r="3245">
      <c r="A3245" s="19">
        <v>45480.0</v>
      </c>
      <c r="B3245" s="23">
        <v>1.0765E7</v>
      </c>
      <c r="C3245" s="23">
        <f t="shared" si="1"/>
        <v>10685958.36</v>
      </c>
      <c r="D3245" s="18">
        <f>IF(A3245="","",MATCH(A3245,Calculation!B$2:B9627,1))</f>
        <v>2</v>
      </c>
      <c r="E3245" s="23">
        <f t="array" ref="E3245">IF(D3245="","",IF(D3245=1,0,INDEX(Calculation!Q$2:Q9627,D3245-1)))</f>
        <v>3232449.315</v>
      </c>
      <c r="F3245" s="23">
        <f t="array" ref="F3245">IF($A3245="","",
  LET(
    r, $D3245,
    startD, INDEX(Calculation!B$2:B9627, r),
    endD,   INDEX(Calculation!C$2:C9627, r),
    asOf,   MIN($A3245,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7453509.041</v>
      </c>
    </row>
    <row r="3246">
      <c r="A3246" s="19">
        <v>45481.0</v>
      </c>
      <c r="B3246" s="23">
        <v>1.0765E7</v>
      </c>
      <c r="C3246" s="23">
        <f t="shared" si="1"/>
        <v>10693036.71</v>
      </c>
      <c r="D3246" s="18">
        <f>IF(A3246="","",MATCH(A3246,Calculation!B$2:B9627,1))</f>
        <v>2</v>
      </c>
      <c r="E3246" s="23">
        <f t="array" ref="E3246">IF(D3246="","",IF(D3246=1,0,INDEX(Calculation!Q$2:Q9627,D3246-1)))</f>
        <v>3232449.315</v>
      </c>
      <c r="F3246" s="23">
        <f t="array" ref="F3246">IF($A3246="","",
  LET(
    r, $D3246,
    startD, INDEX(Calculation!B$2:B9627, r),
    endD,   INDEX(Calculation!C$2:C9627, r),
    asOf,   MIN($A3246,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7460587.397</v>
      </c>
    </row>
    <row r="3247">
      <c r="A3247" s="19">
        <v>45482.0</v>
      </c>
      <c r="B3247" s="23">
        <v>1.0765E7</v>
      </c>
      <c r="C3247" s="23">
        <f t="shared" si="1"/>
        <v>10700115.07</v>
      </c>
      <c r="D3247" s="18">
        <f>IF(A3247="","",MATCH(A3247,Calculation!B$2:B9627,1))</f>
        <v>2</v>
      </c>
      <c r="E3247" s="23">
        <f t="array" ref="E3247">IF(D3247="","",IF(D3247=1,0,INDEX(Calculation!Q$2:Q9627,D3247-1)))</f>
        <v>3232449.315</v>
      </c>
      <c r="F3247" s="23">
        <f t="array" ref="F3247">IF($A3247="","",
  LET(
    r, $D3247,
    startD, INDEX(Calculation!B$2:B9627, r),
    endD,   INDEX(Calculation!C$2:C9627, r),
    asOf,   MIN($A3247,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7467665.753</v>
      </c>
    </row>
    <row r="3248">
      <c r="A3248" s="19">
        <v>45483.0</v>
      </c>
      <c r="B3248" s="23">
        <v>1.0765E7</v>
      </c>
      <c r="C3248" s="23">
        <f t="shared" si="1"/>
        <v>10707193.42</v>
      </c>
      <c r="D3248" s="18">
        <f>IF(A3248="","",MATCH(A3248,Calculation!B$2:B9627,1))</f>
        <v>2</v>
      </c>
      <c r="E3248" s="23">
        <f t="array" ref="E3248">IF(D3248="","",IF(D3248=1,0,INDEX(Calculation!Q$2:Q9627,D3248-1)))</f>
        <v>3232449.315</v>
      </c>
      <c r="F3248" s="23">
        <f t="array" ref="F3248">IF($A3248="","",
  LET(
    r, $D3248,
    startD, INDEX(Calculation!B$2:B9627, r),
    endD,   INDEX(Calculation!C$2:C9627, r),
    asOf,   MIN($A3248,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7474744.11</v>
      </c>
    </row>
    <row r="3249">
      <c r="A3249" s="19">
        <v>45484.0</v>
      </c>
      <c r="B3249" s="23">
        <v>1.0765E7</v>
      </c>
      <c r="C3249" s="23">
        <f t="shared" si="1"/>
        <v>10714271.78</v>
      </c>
      <c r="D3249" s="18">
        <f>IF(A3249="","",MATCH(A3249,Calculation!B$2:B9627,1))</f>
        <v>2</v>
      </c>
      <c r="E3249" s="23">
        <f t="array" ref="E3249">IF(D3249="","",IF(D3249=1,0,INDEX(Calculation!Q$2:Q9627,D3249-1)))</f>
        <v>3232449.315</v>
      </c>
      <c r="F3249" s="23">
        <f t="array" ref="F3249">IF($A3249="","",
  LET(
    r, $D3249,
    startD, INDEX(Calculation!B$2:B9627, r),
    endD,   INDEX(Calculation!C$2:C9627, r),
    asOf,   MIN($A3249,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7481822.466</v>
      </c>
    </row>
    <row r="3250">
      <c r="A3250" s="19">
        <v>45485.0</v>
      </c>
      <c r="B3250" s="23">
        <v>1.0765E7</v>
      </c>
      <c r="C3250" s="23">
        <f t="shared" si="1"/>
        <v>10721350.14</v>
      </c>
      <c r="D3250" s="18">
        <f>IF(A3250="","",MATCH(A3250,Calculation!B$2:B9627,1))</f>
        <v>2</v>
      </c>
      <c r="E3250" s="23">
        <f t="array" ref="E3250">IF(D3250="","",IF(D3250=1,0,INDEX(Calculation!Q$2:Q9627,D3250-1)))</f>
        <v>3232449.315</v>
      </c>
      <c r="F3250" s="23">
        <f t="array" ref="F3250">IF($A3250="","",
  LET(
    r, $D3250,
    startD, INDEX(Calculation!B$2:B9627, r),
    endD,   INDEX(Calculation!C$2:C9627, r),
    asOf,   MIN($A3250,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7488900.822</v>
      </c>
    </row>
    <row r="3251">
      <c r="A3251" s="19">
        <v>45486.0</v>
      </c>
      <c r="B3251" s="23">
        <v>1.0765E7</v>
      </c>
      <c r="C3251" s="23">
        <f t="shared" si="1"/>
        <v>10728428.49</v>
      </c>
      <c r="D3251" s="18">
        <f>IF(A3251="","",MATCH(A3251,Calculation!B$2:B9627,1))</f>
        <v>2</v>
      </c>
      <c r="E3251" s="23">
        <f t="array" ref="E3251">IF(D3251="","",IF(D3251=1,0,INDEX(Calculation!Q$2:Q9627,D3251-1)))</f>
        <v>3232449.315</v>
      </c>
      <c r="F3251" s="23">
        <f t="array" ref="F3251">IF($A3251="","",
  LET(
    r, $D3251,
    startD, INDEX(Calculation!B$2:B9627, r),
    endD,   INDEX(Calculation!C$2:C9627, r),
    asOf,   MIN($A3251,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7495979.178</v>
      </c>
    </row>
    <row r="3252">
      <c r="A3252" s="19">
        <v>45487.0</v>
      </c>
      <c r="B3252" s="23">
        <v>1.0765E7</v>
      </c>
      <c r="C3252" s="23">
        <f t="shared" si="1"/>
        <v>10735506.85</v>
      </c>
      <c r="D3252" s="18">
        <f>IF(A3252="","",MATCH(A3252,Calculation!B$2:B9627,1))</f>
        <v>2</v>
      </c>
      <c r="E3252" s="23">
        <f t="array" ref="E3252">IF(D3252="","",IF(D3252=1,0,INDEX(Calculation!Q$2:Q9627,D3252-1)))</f>
        <v>3232449.315</v>
      </c>
      <c r="F3252" s="23">
        <f t="array" ref="F3252">IF($A3252="","",
  LET(
    r, $D3252,
    startD, INDEX(Calculation!B$2:B9627, r),
    endD,   INDEX(Calculation!C$2:C9627, r),
    asOf,   MIN($A3252,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7503057.534</v>
      </c>
    </row>
    <row r="3253">
      <c r="A3253" s="19">
        <v>45488.0</v>
      </c>
      <c r="B3253" s="23">
        <v>1.0765E7</v>
      </c>
      <c r="C3253" s="23">
        <f t="shared" si="1"/>
        <v>10742585.21</v>
      </c>
      <c r="D3253" s="18">
        <f>IF(A3253="","",MATCH(A3253,Calculation!B$2:B9627,1))</f>
        <v>2</v>
      </c>
      <c r="E3253" s="23">
        <f t="array" ref="E3253">IF(D3253="","",IF(D3253=1,0,INDEX(Calculation!Q$2:Q9627,D3253-1)))</f>
        <v>3232449.315</v>
      </c>
      <c r="F3253" s="23">
        <f t="array" ref="F3253">IF($A3253="","",
  LET(
    r, $D3253,
    startD, INDEX(Calculation!B$2:B9627, r),
    endD,   INDEX(Calculation!C$2:C9627, r),
    asOf,   MIN($A3253,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7510135.89</v>
      </c>
    </row>
    <row r="3254">
      <c r="A3254" s="19">
        <v>45489.0</v>
      </c>
      <c r="B3254" s="23">
        <v>1.0765E7</v>
      </c>
      <c r="C3254" s="23">
        <f t="shared" si="1"/>
        <v>10749663.56</v>
      </c>
      <c r="D3254" s="18">
        <f>IF(A3254="","",MATCH(A3254,Calculation!B$2:B9627,1))</f>
        <v>2</v>
      </c>
      <c r="E3254" s="23">
        <f t="array" ref="E3254">IF(D3254="","",IF(D3254=1,0,INDEX(Calculation!Q$2:Q9627,D3254-1)))</f>
        <v>3232449.315</v>
      </c>
      <c r="F3254" s="23">
        <f t="array" ref="F3254">IF($A3254="","",
  LET(
    r, $D3254,
    startD, INDEX(Calculation!B$2:B9627, r),
    endD,   INDEX(Calculation!C$2:C9627, r),
    asOf,   MIN($A3254,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7517214.247</v>
      </c>
    </row>
    <row r="3255">
      <c r="A3255" s="19">
        <v>45490.0</v>
      </c>
      <c r="B3255" s="23">
        <v>1.0765E7</v>
      </c>
      <c r="C3255" s="23">
        <f t="shared" si="1"/>
        <v>10756741.92</v>
      </c>
      <c r="D3255" s="18">
        <f>IF(A3255="","",MATCH(A3255,Calculation!B$2:B9627,1))</f>
        <v>2</v>
      </c>
      <c r="E3255" s="23">
        <f t="array" ref="E3255">IF(D3255="","",IF(D3255=1,0,INDEX(Calculation!Q$2:Q9627,D3255-1)))</f>
        <v>3232449.315</v>
      </c>
      <c r="F3255" s="23">
        <f t="array" ref="F3255">IF($A3255="","",
  LET(
    r, $D3255,
    startD, INDEX(Calculation!B$2:B9627, r),
    endD,   INDEX(Calculation!C$2:C9627, r),
    asOf,   MIN($A3255,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7524292.603</v>
      </c>
    </row>
    <row r="3256">
      <c r="A3256" s="19">
        <v>45491.0</v>
      </c>
      <c r="B3256" s="23">
        <v>1.0765E7</v>
      </c>
      <c r="C3256" s="23">
        <f t="shared" si="1"/>
        <v>10763820.27</v>
      </c>
      <c r="D3256" s="18">
        <f>IF(A3256="","",MATCH(A3256,Calculation!B$2:B9627,1))</f>
        <v>2</v>
      </c>
      <c r="E3256" s="23">
        <f t="array" ref="E3256">IF(D3256="","",IF(D3256=1,0,INDEX(Calculation!Q$2:Q9627,D3256-1)))</f>
        <v>3232449.315</v>
      </c>
      <c r="F3256" s="23">
        <f t="array" ref="F3256">IF($A3256="","",
  LET(
    r, $D3256,
    startD, INDEX(Calculation!B$2:B9627, r),
    endD,   INDEX(Calculation!C$2:C9627, r),
    asOf,   MIN($A3256,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7531370.959</v>
      </c>
    </row>
    <row r="3257">
      <c r="A3257" s="19">
        <v>45492.0</v>
      </c>
      <c r="B3257" s="23">
        <v>1.0765E7</v>
      </c>
      <c r="C3257" s="23">
        <f t="shared" si="1"/>
        <v>10770898.63</v>
      </c>
      <c r="D3257" s="18">
        <f>IF(A3257="","",MATCH(A3257,Calculation!B$2:B9627,1))</f>
        <v>2</v>
      </c>
      <c r="E3257" s="23">
        <f t="array" ref="E3257">IF(D3257="","",IF(D3257=1,0,INDEX(Calculation!Q$2:Q9627,D3257-1)))</f>
        <v>3232449.315</v>
      </c>
      <c r="F3257" s="23">
        <f t="array" ref="F3257">IF($A3257="","",
  LET(
    r, $D3257,
    startD, INDEX(Calculation!B$2:B9627, r),
    endD,   INDEX(Calculation!C$2:C9627, r),
    asOf,   MIN($A3257,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7538449.315</v>
      </c>
    </row>
    <row r="3258">
      <c r="A3258" s="19">
        <v>45493.0</v>
      </c>
      <c r="B3258" s="23">
        <v>1.0765E7</v>
      </c>
      <c r="C3258" s="23">
        <f t="shared" si="1"/>
        <v>10777976.99</v>
      </c>
      <c r="D3258" s="18">
        <f>IF(A3258="","",MATCH(A3258,Calculation!B$2:B9627,1))</f>
        <v>2</v>
      </c>
      <c r="E3258" s="23">
        <f t="array" ref="E3258">IF(D3258="","",IF(D3258=1,0,INDEX(Calculation!Q$2:Q9627,D3258-1)))</f>
        <v>3232449.315</v>
      </c>
      <c r="F3258" s="23">
        <f t="array" ref="F3258">IF($A3258="","",
  LET(
    r, $D3258,
    startD, INDEX(Calculation!B$2:B9627, r),
    endD,   INDEX(Calculation!C$2:C9627, r),
    asOf,   MIN($A3258,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7545527.671</v>
      </c>
    </row>
    <row r="3259">
      <c r="A3259" s="19">
        <v>45494.0</v>
      </c>
      <c r="B3259" s="23">
        <v>1.0765E7</v>
      </c>
      <c r="C3259" s="23">
        <f t="shared" si="1"/>
        <v>10785055.34</v>
      </c>
      <c r="D3259" s="18">
        <f>IF(A3259="","",MATCH(A3259,Calculation!B$2:B9627,1))</f>
        <v>2</v>
      </c>
      <c r="E3259" s="23">
        <f t="array" ref="E3259">IF(D3259="","",IF(D3259=1,0,INDEX(Calculation!Q$2:Q9627,D3259-1)))</f>
        <v>3232449.315</v>
      </c>
      <c r="F3259" s="23">
        <f t="array" ref="F3259">IF($A3259="","",
  LET(
    r, $D3259,
    startD, INDEX(Calculation!B$2:B9627, r),
    endD,   INDEX(Calculation!C$2:C9627, r),
    asOf,   MIN($A3259,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7552606.027</v>
      </c>
    </row>
    <row r="3260">
      <c r="A3260" s="19">
        <v>45495.0</v>
      </c>
      <c r="B3260" s="23">
        <v>1.0765E7</v>
      </c>
      <c r="C3260" s="23">
        <f t="shared" si="1"/>
        <v>10792133.7</v>
      </c>
      <c r="D3260" s="18">
        <f>IF(A3260="","",MATCH(A3260,Calculation!B$2:B9627,1))</f>
        <v>2</v>
      </c>
      <c r="E3260" s="23">
        <f t="array" ref="E3260">IF(D3260="","",IF(D3260=1,0,INDEX(Calculation!Q$2:Q9627,D3260-1)))</f>
        <v>3232449.315</v>
      </c>
      <c r="F3260" s="23">
        <f t="array" ref="F3260">IF($A3260="","",
  LET(
    r, $D3260,
    startD, INDEX(Calculation!B$2:B9627, r),
    endD,   INDEX(Calculation!C$2:C9627, r),
    asOf,   MIN($A3260,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7559684.384</v>
      </c>
    </row>
    <row r="3261">
      <c r="A3261" s="19">
        <v>45496.0</v>
      </c>
      <c r="B3261" s="23">
        <v>1.0765E7</v>
      </c>
      <c r="C3261" s="23">
        <f t="shared" si="1"/>
        <v>10799212.05</v>
      </c>
      <c r="D3261" s="18">
        <f>IF(A3261="","",MATCH(A3261,Calculation!B$2:B9627,1))</f>
        <v>2</v>
      </c>
      <c r="E3261" s="23">
        <f t="array" ref="E3261">IF(D3261="","",IF(D3261=1,0,INDEX(Calculation!Q$2:Q9627,D3261-1)))</f>
        <v>3232449.315</v>
      </c>
      <c r="F3261" s="23">
        <f t="array" ref="F3261">IF($A3261="","",
  LET(
    r, $D3261,
    startD, INDEX(Calculation!B$2:B9627, r),
    endD,   INDEX(Calculation!C$2:C9627, r),
    asOf,   MIN($A3261,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7566762.74</v>
      </c>
    </row>
    <row r="3262">
      <c r="A3262" s="19">
        <v>45497.0</v>
      </c>
      <c r="B3262" s="23">
        <v>1.0765E7</v>
      </c>
      <c r="C3262" s="23">
        <f t="shared" si="1"/>
        <v>10806290.41</v>
      </c>
      <c r="D3262" s="18">
        <f>IF(A3262="","",MATCH(A3262,Calculation!B$2:B9627,1))</f>
        <v>2</v>
      </c>
      <c r="E3262" s="23">
        <f t="array" ref="E3262">IF(D3262="","",IF(D3262=1,0,INDEX(Calculation!Q$2:Q9627,D3262-1)))</f>
        <v>3232449.315</v>
      </c>
      <c r="F3262" s="23">
        <f t="array" ref="F3262">IF($A3262="","",
  LET(
    r, $D3262,
    startD, INDEX(Calculation!B$2:B9627, r),
    endD,   INDEX(Calculation!C$2:C9627, r),
    asOf,   MIN($A3262,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7573841.096</v>
      </c>
    </row>
    <row r="3263">
      <c r="A3263" s="19">
        <v>45498.0</v>
      </c>
      <c r="B3263" s="23">
        <v>1.0765E7</v>
      </c>
      <c r="C3263" s="23">
        <f t="shared" si="1"/>
        <v>10813368.77</v>
      </c>
      <c r="D3263" s="18">
        <f>IF(A3263="","",MATCH(A3263,Calculation!B$2:B9627,1))</f>
        <v>2</v>
      </c>
      <c r="E3263" s="23">
        <f t="array" ref="E3263">IF(D3263="","",IF(D3263=1,0,INDEX(Calculation!Q$2:Q9627,D3263-1)))</f>
        <v>3232449.315</v>
      </c>
      <c r="F3263" s="23">
        <f t="array" ref="F3263">IF($A3263="","",
  LET(
    r, $D3263,
    startD, INDEX(Calculation!B$2:B9627, r),
    endD,   INDEX(Calculation!C$2:C9627, r),
    asOf,   MIN($A3263,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7580919.452</v>
      </c>
    </row>
    <row r="3264">
      <c r="A3264" s="19">
        <v>45499.0</v>
      </c>
      <c r="B3264" s="23">
        <v>1.0765E7</v>
      </c>
      <c r="C3264" s="23">
        <f t="shared" si="1"/>
        <v>10820447.12</v>
      </c>
      <c r="D3264" s="18">
        <f>IF(A3264="","",MATCH(A3264,Calculation!B$2:B9627,1))</f>
        <v>2</v>
      </c>
      <c r="E3264" s="23">
        <f t="array" ref="E3264">IF(D3264="","",IF(D3264=1,0,INDEX(Calculation!Q$2:Q9627,D3264-1)))</f>
        <v>3232449.315</v>
      </c>
      <c r="F3264" s="23">
        <f t="array" ref="F3264">IF($A3264="","",
  LET(
    r, $D3264,
    startD, INDEX(Calculation!B$2:B9627, r),
    endD,   INDEX(Calculation!C$2:C9627, r),
    asOf,   MIN($A3264,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7587997.808</v>
      </c>
    </row>
    <row r="3265">
      <c r="A3265" s="19">
        <v>45500.0</v>
      </c>
      <c r="B3265" s="23">
        <v>1.0765E7</v>
      </c>
      <c r="C3265" s="23">
        <f t="shared" si="1"/>
        <v>10827525.48</v>
      </c>
      <c r="D3265" s="18">
        <f>IF(A3265="","",MATCH(A3265,Calculation!B$2:B9627,1))</f>
        <v>2</v>
      </c>
      <c r="E3265" s="23">
        <f t="array" ref="E3265">IF(D3265="","",IF(D3265=1,0,INDEX(Calculation!Q$2:Q9627,D3265-1)))</f>
        <v>3232449.315</v>
      </c>
      <c r="F3265" s="23">
        <f t="array" ref="F3265">IF($A3265="","",
  LET(
    r, $D3265,
    startD, INDEX(Calculation!B$2:B9627, r),
    endD,   INDEX(Calculation!C$2:C9627, r),
    asOf,   MIN($A3265,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7595076.164</v>
      </c>
    </row>
    <row r="3266">
      <c r="A3266" s="19">
        <v>45501.0</v>
      </c>
      <c r="B3266" s="23">
        <v>1.0765E7</v>
      </c>
      <c r="C3266" s="23">
        <f t="shared" si="1"/>
        <v>10834603.84</v>
      </c>
      <c r="D3266" s="18">
        <f>IF(A3266="","",MATCH(A3266,Calculation!B$2:B9627,1))</f>
        <v>2</v>
      </c>
      <c r="E3266" s="23">
        <f t="array" ref="E3266">IF(D3266="","",IF(D3266=1,0,INDEX(Calculation!Q$2:Q9627,D3266-1)))</f>
        <v>3232449.315</v>
      </c>
      <c r="F3266" s="23">
        <f t="array" ref="F3266">IF($A3266="","",
  LET(
    r, $D3266,
    startD, INDEX(Calculation!B$2:B9627, r),
    endD,   INDEX(Calculation!C$2:C9627, r),
    asOf,   MIN($A3266,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7602154.521</v>
      </c>
    </row>
    <row r="3267">
      <c r="A3267" s="19">
        <v>45502.0</v>
      </c>
      <c r="B3267" s="23">
        <v>1.0765E7</v>
      </c>
      <c r="C3267" s="23">
        <f t="shared" si="1"/>
        <v>10841682.19</v>
      </c>
      <c r="D3267" s="18">
        <f>IF(A3267="","",MATCH(A3267,Calculation!B$2:B9627,1))</f>
        <v>2</v>
      </c>
      <c r="E3267" s="23">
        <f t="array" ref="E3267">IF(D3267="","",IF(D3267=1,0,INDEX(Calculation!Q$2:Q9627,D3267-1)))</f>
        <v>3232449.315</v>
      </c>
      <c r="F3267" s="23">
        <f t="array" ref="F3267">IF($A3267="","",
  LET(
    r, $D3267,
    startD, INDEX(Calculation!B$2:B9627, r),
    endD,   INDEX(Calculation!C$2:C9627, r),
    asOf,   MIN($A3267,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7609232.877</v>
      </c>
    </row>
    <row r="3268">
      <c r="A3268" s="19">
        <v>45503.0</v>
      </c>
      <c r="B3268" s="23">
        <v>1.0765E7</v>
      </c>
      <c r="C3268" s="23">
        <f t="shared" si="1"/>
        <v>10848760.55</v>
      </c>
      <c r="D3268" s="18">
        <f>IF(A3268="","",MATCH(A3268,Calculation!B$2:B9627,1))</f>
        <v>2</v>
      </c>
      <c r="E3268" s="23">
        <f t="array" ref="E3268">IF(D3268="","",IF(D3268=1,0,INDEX(Calculation!Q$2:Q9627,D3268-1)))</f>
        <v>3232449.315</v>
      </c>
      <c r="F3268" s="23">
        <f t="array" ref="F3268">IF($A3268="","",
  LET(
    r, $D3268,
    startD, INDEX(Calculation!B$2:B9627, r),
    endD,   INDEX(Calculation!C$2:C9627, r),
    asOf,   MIN($A3268,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7616311.233</v>
      </c>
    </row>
    <row r="3269">
      <c r="A3269" s="19">
        <v>45504.0</v>
      </c>
      <c r="B3269" s="23">
        <v>1.0765E7</v>
      </c>
      <c r="C3269" s="23">
        <f t="shared" si="1"/>
        <v>10855838.9</v>
      </c>
      <c r="D3269" s="18">
        <f>IF(A3269="","",MATCH(A3269,Calculation!B$2:B9627,1))</f>
        <v>2</v>
      </c>
      <c r="E3269" s="23">
        <f t="array" ref="E3269">IF(D3269="","",IF(D3269=1,0,INDEX(Calculation!Q$2:Q9627,D3269-1)))</f>
        <v>3232449.315</v>
      </c>
      <c r="F3269" s="23">
        <f t="array" ref="F3269">IF($A3269="","",
  LET(
    r, $D3269,
    startD, INDEX(Calculation!B$2:B9627, r),
    endD,   INDEX(Calculation!C$2:C9627, r),
    asOf,   MIN($A3269,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7623389.589</v>
      </c>
    </row>
    <row r="3270">
      <c r="A3270" s="19">
        <v>45505.0</v>
      </c>
      <c r="B3270" s="23">
        <v>1.0765E7</v>
      </c>
      <c r="C3270" s="23">
        <f t="shared" si="1"/>
        <v>10862917.26</v>
      </c>
      <c r="D3270" s="18">
        <f>IF(A3270="","",MATCH(A3270,Calculation!B$2:B9627,1))</f>
        <v>2</v>
      </c>
      <c r="E3270" s="23">
        <f t="array" ref="E3270">IF(D3270="","",IF(D3270=1,0,INDEX(Calculation!Q$2:Q9627,D3270-1)))</f>
        <v>3232449.315</v>
      </c>
      <c r="F3270" s="23">
        <f t="array" ref="F3270">IF($A3270="","",
  LET(
    r, $D3270,
    startD, INDEX(Calculation!B$2:B9627, r),
    endD,   INDEX(Calculation!C$2:C9627, r),
    asOf,   MIN($A3270,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7630467.945</v>
      </c>
    </row>
    <row r="3271">
      <c r="A3271" s="19">
        <v>45506.0</v>
      </c>
      <c r="B3271" s="23">
        <v>1.0765E7</v>
      </c>
      <c r="C3271" s="23">
        <f t="shared" si="1"/>
        <v>10869995.62</v>
      </c>
      <c r="D3271" s="18">
        <f>IF(A3271="","",MATCH(A3271,Calculation!B$2:B9627,1))</f>
        <v>2</v>
      </c>
      <c r="E3271" s="23">
        <f t="array" ref="E3271">IF(D3271="","",IF(D3271=1,0,INDEX(Calculation!Q$2:Q9627,D3271-1)))</f>
        <v>3232449.315</v>
      </c>
      <c r="F3271" s="23">
        <f t="array" ref="F3271">IF($A3271="","",
  LET(
    r, $D3271,
    startD, INDEX(Calculation!B$2:B9627, r),
    endD,   INDEX(Calculation!C$2:C9627, r),
    asOf,   MIN($A3271,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7637546.301</v>
      </c>
    </row>
    <row r="3272">
      <c r="A3272" s="19">
        <v>45507.0</v>
      </c>
      <c r="B3272" s="23">
        <v>1.0765E7</v>
      </c>
      <c r="C3272" s="23">
        <f t="shared" si="1"/>
        <v>10877073.97</v>
      </c>
      <c r="D3272" s="18">
        <f>IF(A3272="","",MATCH(A3272,Calculation!B$2:B9627,1))</f>
        <v>2</v>
      </c>
      <c r="E3272" s="23">
        <f t="array" ref="E3272">IF(D3272="","",IF(D3272=1,0,INDEX(Calculation!Q$2:Q9627,D3272-1)))</f>
        <v>3232449.315</v>
      </c>
      <c r="F3272" s="23">
        <f t="array" ref="F3272">IF($A3272="","",
  LET(
    r, $D3272,
    startD, INDEX(Calculation!B$2:B9627, r),
    endD,   INDEX(Calculation!C$2:C9627, r),
    asOf,   MIN($A3272,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7644624.658</v>
      </c>
    </row>
    <row r="3273">
      <c r="A3273" s="19">
        <v>45508.0</v>
      </c>
      <c r="B3273" s="23">
        <v>1.0765E7</v>
      </c>
      <c r="C3273" s="23">
        <f t="shared" si="1"/>
        <v>10884152.33</v>
      </c>
      <c r="D3273" s="18">
        <f>IF(A3273="","",MATCH(A3273,Calculation!B$2:B9627,1))</f>
        <v>2</v>
      </c>
      <c r="E3273" s="23">
        <f t="array" ref="E3273">IF(D3273="","",IF(D3273=1,0,INDEX(Calculation!Q$2:Q9627,D3273-1)))</f>
        <v>3232449.315</v>
      </c>
      <c r="F3273" s="23">
        <f t="array" ref="F3273">IF($A3273="","",
  LET(
    r, $D3273,
    startD, INDEX(Calculation!B$2:B9627, r),
    endD,   INDEX(Calculation!C$2:C9627, r),
    asOf,   MIN($A3273,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7651703.014</v>
      </c>
    </row>
    <row r="3274">
      <c r="A3274" s="19">
        <v>45509.0</v>
      </c>
      <c r="B3274" s="23">
        <v>1.0765E7</v>
      </c>
      <c r="C3274" s="23">
        <f t="shared" si="1"/>
        <v>10891230.68</v>
      </c>
      <c r="D3274" s="18">
        <f>IF(A3274="","",MATCH(A3274,Calculation!B$2:B9627,1))</f>
        <v>2</v>
      </c>
      <c r="E3274" s="23">
        <f t="array" ref="E3274">IF(D3274="","",IF(D3274=1,0,INDEX(Calculation!Q$2:Q9627,D3274-1)))</f>
        <v>3232449.315</v>
      </c>
      <c r="F3274" s="23">
        <f t="array" ref="F3274">IF($A3274="","",
  LET(
    r, $D3274,
    startD, INDEX(Calculation!B$2:B9627, r),
    endD,   INDEX(Calculation!C$2:C9627, r),
    asOf,   MIN($A3274,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7658781.37</v>
      </c>
    </row>
    <row r="3275">
      <c r="A3275" s="19">
        <v>45510.0</v>
      </c>
      <c r="B3275" s="23">
        <v>1.0765E7</v>
      </c>
      <c r="C3275" s="23">
        <f t="shared" si="1"/>
        <v>10898309.04</v>
      </c>
      <c r="D3275" s="18">
        <f>IF(A3275="","",MATCH(A3275,Calculation!B$2:B9627,1))</f>
        <v>2</v>
      </c>
      <c r="E3275" s="23">
        <f t="array" ref="E3275">IF(D3275="","",IF(D3275=1,0,INDEX(Calculation!Q$2:Q9627,D3275-1)))</f>
        <v>3232449.315</v>
      </c>
      <c r="F3275" s="23">
        <f t="array" ref="F3275">IF($A3275="","",
  LET(
    r, $D3275,
    startD, INDEX(Calculation!B$2:B9627, r),
    endD,   INDEX(Calculation!C$2:C9627, r),
    asOf,   MIN($A3275,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7665859.726</v>
      </c>
    </row>
    <row r="3276">
      <c r="A3276" s="19">
        <v>45511.0</v>
      </c>
      <c r="B3276" s="23">
        <v>1.0765E7</v>
      </c>
      <c r="C3276" s="23">
        <f t="shared" si="1"/>
        <v>10905387.4</v>
      </c>
      <c r="D3276" s="18">
        <f>IF(A3276="","",MATCH(A3276,Calculation!B$2:B9627,1))</f>
        <v>2</v>
      </c>
      <c r="E3276" s="23">
        <f t="array" ref="E3276">IF(D3276="","",IF(D3276=1,0,INDEX(Calculation!Q$2:Q9627,D3276-1)))</f>
        <v>3232449.315</v>
      </c>
      <c r="F3276" s="23">
        <f t="array" ref="F3276">IF($A3276="","",
  LET(
    r, $D3276,
    startD, INDEX(Calculation!B$2:B9627, r),
    endD,   INDEX(Calculation!C$2:C9627, r),
    asOf,   MIN($A3276,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7672938.082</v>
      </c>
    </row>
    <row r="3277">
      <c r="A3277" s="19">
        <v>45512.0</v>
      </c>
      <c r="B3277" s="23">
        <v>1.0765E7</v>
      </c>
      <c r="C3277" s="23">
        <f t="shared" si="1"/>
        <v>10912465.75</v>
      </c>
      <c r="D3277" s="18">
        <f>IF(A3277="","",MATCH(A3277,Calculation!B$2:B9627,1))</f>
        <v>2</v>
      </c>
      <c r="E3277" s="23">
        <f t="array" ref="E3277">IF(D3277="","",IF(D3277=1,0,INDEX(Calculation!Q$2:Q9627,D3277-1)))</f>
        <v>3232449.315</v>
      </c>
      <c r="F3277" s="23">
        <f t="array" ref="F3277">IF($A3277="","",
  LET(
    r, $D3277,
    startD, INDEX(Calculation!B$2:B9627, r),
    endD,   INDEX(Calculation!C$2:C9627, r),
    asOf,   MIN($A3277,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7680016.438</v>
      </c>
    </row>
    <row r="3278">
      <c r="A3278" s="19">
        <v>45513.0</v>
      </c>
      <c r="B3278" s="23">
        <v>1.0765E7</v>
      </c>
      <c r="C3278" s="23">
        <f t="shared" si="1"/>
        <v>10919544.11</v>
      </c>
      <c r="D3278" s="18">
        <f>IF(A3278="","",MATCH(A3278,Calculation!B$2:B9627,1))</f>
        <v>2</v>
      </c>
      <c r="E3278" s="23">
        <f t="array" ref="E3278">IF(D3278="","",IF(D3278=1,0,INDEX(Calculation!Q$2:Q9627,D3278-1)))</f>
        <v>3232449.315</v>
      </c>
      <c r="F3278" s="23">
        <f t="array" ref="F3278">IF($A3278="","",
  LET(
    r, $D3278,
    startD, INDEX(Calculation!B$2:B9627, r),
    endD,   INDEX(Calculation!C$2:C9627, r),
    asOf,   MIN($A3278,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7687094.795</v>
      </c>
    </row>
    <row r="3279">
      <c r="A3279" s="19">
        <v>45514.0</v>
      </c>
      <c r="B3279" s="23">
        <v>1.0765E7</v>
      </c>
      <c r="C3279" s="23">
        <f t="shared" si="1"/>
        <v>10926622.47</v>
      </c>
      <c r="D3279" s="18">
        <f>IF(A3279="","",MATCH(A3279,Calculation!B$2:B9627,1))</f>
        <v>2</v>
      </c>
      <c r="E3279" s="23">
        <f t="array" ref="E3279">IF(D3279="","",IF(D3279=1,0,INDEX(Calculation!Q$2:Q9627,D3279-1)))</f>
        <v>3232449.315</v>
      </c>
      <c r="F3279" s="23">
        <f t="array" ref="F3279">IF($A3279="","",
  LET(
    r, $D3279,
    startD, INDEX(Calculation!B$2:B9627, r),
    endD,   INDEX(Calculation!C$2:C9627, r),
    asOf,   MIN($A3279,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7694173.151</v>
      </c>
    </row>
    <row r="3280">
      <c r="A3280" s="19">
        <v>45515.0</v>
      </c>
      <c r="B3280" s="23">
        <v>1.0765E7</v>
      </c>
      <c r="C3280" s="23">
        <f t="shared" si="1"/>
        <v>10933700.82</v>
      </c>
      <c r="D3280" s="18">
        <f>IF(A3280="","",MATCH(A3280,Calculation!B$2:B9627,1))</f>
        <v>2</v>
      </c>
      <c r="E3280" s="23">
        <f t="array" ref="E3280">IF(D3280="","",IF(D3280=1,0,INDEX(Calculation!Q$2:Q9627,D3280-1)))</f>
        <v>3232449.315</v>
      </c>
      <c r="F3280" s="23">
        <f t="array" ref="F3280">IF($A3280="","",
  LET(
    r, $D3280,
    startD, INDEX(Calculation!B$2:B9627, r),
    endD,   INDEX(Calculation!C$2:C9627, r),
    asOf,   MIN($A3280,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7701251.507</v>
      </c>
    </row>
    <row r="3281">
      <c r="A3281" s="19">
        <v>45516.0</v>
      </c>
      <c r="B3281" s="23">
        <v>1.0765E7</v>
      </c>
      <c r="C3281" s="23">
        <f t="shared" si="1"/>
        <v>10940779.18</v>
      </c>
      <c r="D3281" s="18">
        <f>IF(A3281="","",MATCH(A3281,Calculation!B$2:B9627,1))</f>
        <v>2</v>
      </c>
      <c r="E3281" s="23">
        <f t="array" ref="E3281">IF(D3281="","",IF(D3281=1,0,INDEX(Calculation!Q$2:Q9627,D3281-1)))</f>
        <v>3232449.315</v>
      </c>
      <c r="F3281" s="23">
        <f t="array" ref="F3281">IF($A3281="","",
  LET(
    r, $D3281,
    startD, INDEX(Calculation!B$2:B9627, r),
    endD,   INDEX(Calculation!C$2:C9627, r),
    asOf,   MIN($A3281,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7708329.863</v>
      </c>
    </row>
    <row r="3282">
      <c r="A3282" s="19">
        <v>45517.0</v>
      </c>
      <c r="B3282" s="23">
        <v>1.0765E7</v>
      </c>
      <c r="C3282" s="23">
        <f t="shared" si="1"/>
        <v>10947857.53</v>
      </c>
      <c r="D3282" s="18">
        <f>IF(A3282="","",MATCH(A3282,Calculation!B$2:B9627,1))</f>
        <v>2</v>
      </c>
      <c r="E3282" s="23">
        <f t="array" ref="E3282">IF(D3282="","",IF(D3282=1,0,INDEX(Calculation!Q$2:Q9627,D3282-1)))</f>
        <v>3232449.315</v>
      </c>
      <c r="F3282" s="23">
        <f t="array" ref="F3282">IF($A3282="","",
  LET(
    r, $D3282,
    startD, INDEX(Calculation!B$2:B9627, r),
    endD,   INDEX(Calculation!C$2:C9627, r),
    asOf,   MIN($A3282,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7715408.219</v>
      </c>
    </row>
    <row r="3283">
      <c r="A3283" s="19">
        <v>45518.0</v>
      </c>
      <c r="B3283" s="23">
        <v>1.0765E7</v>
      </c>
      <c r="C3283" s="23">
        <f t="shared" si="1"/>
        <v>10954935.89</v>
      </c>
      <c r="D3283" s="18">
        <f>IF(A3283="","",MATCH(A3283,Calculation!B$2:B9627,1))</f>
        <v>2</v>
      </c>
      <c r="E3283" s="23">
        <f t="array" ref="E3283">IF(D3283="","",IF(D3283=1,0,INDEX(Calculation!Q$2:Q9627,D3283-1)))</f>
        <v>3232449.315</v>
      </c>
      <c r="F3283" s="23">
        <f t="array" ref="F3283">IF($A3283="","",
  LET(
    r, $D3283,
    startD, INDEX(Calculation!B$2:B9627, r),
    endD,   INDEX(Calculation!C$2:C9627, r),
    asOf,   MIN($A3283,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7722486.575</v>
      </c>
    </row>
    <row r="3284">
      <c r="A3284" s="19">
        <v>45519.0</v>
      </c>
      <c r="B3284" s="23">
        <v>1.0765E7</v>
      </c>
      <c r="C3284" s="23">
        <f t="shared" si="1"/>
        <v>10962014.25</v>
      </c>
      <c r="D3284" s="18">
        <f>IF(A3284="","",MATCH(A3284,Calculation!B$2:B9627,1))</f>
        <v>2</v>
      </c>
      <c r="E3284" s="23">
        <f t="array" ref="E3284">IF(D3284="","",IF(D3284=1,0,INDEX(Calculation!Q$2:Q9627,D3284-1)))</f>
        <v>3232449.315</v>
      </c>
      <c r="F3284" s="23">
        <f t="array" ref="F3284">IF($A3284="","",
  LET(
    r, $D3284,
    startD, INDEX(Calculation!B$2:B9627, r),
    endD,   INDEX(Calculation!C$2:C9627, r),
    asOf,   MIN($A3284,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7729564.932</v>
      </c>
    </row>
    <row r="3285">
      <c r="A3285" s="19">
        <v>45520.0</v>
      </c>
      <c r="B3285" s="23">
        <v>1.0765E7</v>
      </c>
      <c r="C3285" s="23">
        <f t="shared" si="1"/>
        <v>10969092.6</v>
      </c>
      <c r="D3285" s="18">
        <f>IF(A3285="","",MATCH(A3285,Calculation!B$2:B9627,1))</f>
        <v>2</v>
      </c>
      <c r="E3285" s="23">
        <f t="array" ref="E3285">IF(D3285="","",IF(D3285=1,0,INDEX(Calculation!Q$2:Q9627,D3285-1)))</f>
        <v>3232449.315</v>
      </c>
      <c r="F3285" s="23">
        <f t="array" ref="F3285">IF($A3285="","",
  LET(
    r, $D3285,
    startD, INDEX(Calculation!B$2:B9627, r),
    endD,   INDEX(Calculation!C$2:C9627, r),
    asOf,   MIN($A3285,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7736643.288</v>
      </c>
    </row>
    <row r="3286">
      <c r="A3286" s="19">
        <v>45521.0</v>
      </c>
      <c r="B3286" s="23">
        <v>1.0765E7</v>
      </c>
      <c r="C3286" s="23">
        <f t="shared" si="1"/>
        <v>10976170.96</v>
      </c>
      <c r="D3286" s="18">
        <f>IF(A3286="","",MATCH(A3286,Calculation!B$2:B9627,1))</f>
        <v>2</v>
      </c>
      <c r="E3286" s="23">
        <f t="array" ref="E3286">IF(D3286="","",IF(D3286=1,0,INDEX(Calculation!Q$2:Q9627,D3286-1)))</f>
        <v>3232449.315</v>
      </c>
      <c r="F3286" s="23">
        <f t="array" ref="F3286">IF($A3286="","",
  LET(
    r, $D3286,
    startD, INDEX(Calculation!B$2:B9627, r),
    endD,   INDEX(Calculation!C$2:C9627, r),
    asOf,   MIN($A3286,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7743721.644</v>
      </c>
    </row>
    <row r="3287">
      <c r="A3287" s="19">
        <v>45522.0</v>
      </c>
      <c r="B3287" s="23">
        <v>1.0765E7</v>
      </c>
      <c r="C3287" s="23">
        <f t="shared" si="1"/>
        <v>10983249.32</v>
      </c>
      <c r="D3287" s="18">
        <f>IF(A3287="","",MATCH(A3287,Calculation!B$2:B9627,1))</f>
        <v>2</v>
      </c>
      <c r="E3287" s="23">
        <f t="array" ref="E3287">IF(D3287="","",IF(D3287=1,0,INDEX(Calculation!Q$2:Q9627,D3287-1)))</f>
        <v>3232449.315</v>
      </c>
      <c r="F3287" s="23">
        <f t="array" ref="F3287">IF($A3287="","",
  LET(
    r, $D3287,
    startD, INDEX(Calculation!B$2:B9627, r),
    endD,   INDEX(Calculation!C$2:C9627, r),
    asOf,   MIN($A3287,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7750800</v>
      </c>
    </row>
    <row r="3288">
      <c r="A3288" s="19">
        <v>45523.0</v>
      </c>
      <c r="B3288" s="23">
        <v>1.0765E7</v>
      </c>
      <c r="C3288" s="23">
        <f t="shared" si="1"/>
        <v>10990327.67</v>
      </c>
      <c r="D3288" s="18">
        <f>IF(A3288="","",MATCH(A3288,Calculation!B$2:B9627,1))</f>
        <v>2</v>
      </c>
      <c r="E3288" s="23">
        <f t="array" ref="E3288">IF(D3288="","",IF(D3288=1,0,INDEX(Calculation!Q$2:Q9627,D3288-1)))</f>
        <v>3232449.315</v>
      </c>
      <c r="F3288" s="23">
        <f t="array" ref="F3288">IF($A3288="","",
  LET(
    r, $D3288,
    startD, INDEX(Calculation!B$2:B9627, r),
    endD,   INDEX(Calculation!C$2:C9627, r),
    asOf,   MIN($A3288,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7757878.356</v>
      </c>
    </row>
    <row r="3289">
      <c r="A3289" s="19">
        <v>45524.0</v>
      </c>
      <c r="B3289" s="23">
        <v>1.0765E7</v>
      </c>
      <c r="C3289" s="23">
        <f t="shared" si="1"/>
        <v>10997406.03</v>
      </c>
      <c r="D3289" s="18">
        <f>IF(A3289="","",MATCH(A3289,Calculation!B$2:B9627,1))</f>
        <v>2</v>
      </c>
      <c r="E3289" s="23">
        <f t="array" ref="E3289">IF(D3289="","",IF(D3289=1,0,INDEX(Calculation!Q$2:Q9627,D3289-1)))</f>
        <v>3232449.315</v>
      </c>
      <c r="F3289" s="23">
        <f t="array" ref="F3289">IF($A3289="","",
  LET(
    r, $D3289,
    startD, INDEX(Calculation!B$2:B9627, r),
    endD,   INDEX(Calculation!C$2:C9627, r),
    asOf,   MIN($A3289,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7764956.712</v>
      </c>
    </row>
    <row r="3290">
      <c r="A3290" s="19">
        <v>45525.0</v>
      </c>
      <c r="B3290" s="23">
        <v>1.0765E7</v>
      </c>
      <c r="C3290" s="23">
        <f t="shared" si="1"/>
        <v>11004484.38</v>
      </c>
      <c r="D3290" s="18">
        <f>IF(A3290="","",MATCH(A3290,Calculation!B$2:B9627,1))</f>
        <v>2</v>
      </c>
      <c r="E3290" s="23">
        <f t="array" ref="E3290">IF(D3290="","",IF(D3290=1,0,INDEX(Calculation!Q$2:Q9627,D3290-1)))</f>
        <v>3232449.315</v>
      </c>
      <c r="F3290" s="23">
        <f t="array" ref="F3290">IF($A3290="","",
  LET(
    r, $D3290,
    startD, INDEX(Calculation!B$2:B9627, r),
    endD,   INDEX(Calculation!C$2:C9627, r),
    asOf,   MIN($A3290,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7772035.068</v>
      </c>
    </row>
    <row r="3291">
      <c r="A3291" s="19">
        <v>45526.0</v>
      </c>
      <c r="B3291" s="23">
        <v>1.0765E7</v>
      </c>
      <c r="C3291" s="23">
        <f t="shared" si="1"/>
        <v>11011562.74</v>
      </c>
      <c r="D3291" s="18">
        <f>IF(A3291="","",MATCH(A3291,Calculation!B$2:B9627,1))</f>
        <v>2</v>
      </c>
      <c r="E3291" s="23">
        <f t="array" ref="E3291">IF(D3291="","",IF(D3291=1,0,INDEX(Calculation!Q$2:Q9627,D3291-1)))</f>
        <v>3232449.315</v>
      </c>
      <c r="F3291" s="23">
        <f t="array" ref="F3291">IF($A3291="","",
  LET(
    r, $D3291,
    startD, INDEX(Calculation!B$2:B9627, r),
    endD,   INDEX(Calculation!C$2:C9627, r),
    asOf,   MIN($A3291,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7779113.425</v>
      </c>
    </row>
    <row r="3292">
      <c r="A3292" s="19">
        <v>45527.0</v>
      </c>
      <c r="B3292" s="23">
        <v>1.0765E7</v>
      </c>
      <c r="C3292" s="23">
        <f t="shared" si="1"/>
        <v>11018641.1</v>
      </c>
      <c r="D3292" s="18">
        <f>IF(A3292="","",MATCH(A3292,Calculation!B$2:B9627,1))</f>
        <v>2</v>
      </c>
      <c r="E3292" s="23">
        <f t="array" ref="E3292">IF(D3292="","",IF(D3292=1,0,INDEX(Calculation!Q$2:Q9627,D3292-1)))</f>
        <v>3232449.315</v>
      </c>
      <c r="F3292" s="23">
        <f t="array" ref="F3292">IF($A3292="","",
  LET(
    r, $D3292,
    startD, INDEX(Calculation!B$2:B9627, r),
    endD,   INDEX(Calculation!C$2:C9627, r),
    asOf,   MIN($A3292,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7786191.781</v>
      </c>
    </row>
    <row r="3293">
      <c r="A3293" s="19">
        <v>45528.0</v>
      </c>
      <c r="B3293" s="23">
        <v>1.0765E7</v>
      </c>
      <c r="C3293" s="23">
        <f t="shared" si="1"/>
        <v>11025719.45</v>
      </c>
      <c r="D3293" s="18">
        <f>IF(A3293="","",MATCH(A3293,Calculation!B$2:B9627,1))</f>
        <v>2</v>
      </c>
      <c r="E3293" s="23">
        <f t="array" ref="E3293">IF(D3293="","",IF(D3293=1,0,INDEX(Calculation!Q$2:Q9627,D3293-1)))</f>
        <v>3232449.315</v>
      </c>
      <c r="F3293" s="23">
        <f t="array" ref="F3293">IF($A3293="","",
  LET(
    r, $D3293,
    startD, INDEX(Calculation!B$2:B9627, r),
    endD,   INDEX(Calculation!C$2:C9627, r),
    asOf,   MIN($A3293,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7793270.137</v>
      </c>
    </row>
    <row r="3294">
      <c r="A3294" s="19">
        <v>45529.0</v>
      </c>
      <c r="B3294" s="23">
        <v>1.0765E7</v>
      </c>
      <c r="C3294" s="23">
        <f t="shared" si="1"/>
        <v>11032797.81</v>
      </c>
      <c r="D3294" s="18">
        <f>IF(A3294="","",MATCH(A3294,Calculation!B$2:B9627,1))</f>
        <v>2</v>
      </c>
      <c r="E3294" s="23">
        <f t="array" ref="E3294">IF(D3294="","",IF(D3294=1,0,INDEX(Calculation!Q$2:Q9627,D3294-1)))</f>
        <v>3232449.315</v>
      </c>
      <c r="F3294" s="23">
        <f t="array" ref="F3294">IF($A3294="","",
  LET(
    r, $D3294,
    startD, INDEX(Calculation!B$2:B9627, r),
    endD,   INDEX(Calculation!C$2:C9627, r),
    asOf,   MIN($A3294,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7800348.493</v>
      </c>
    </row>
    <row r="3295">
      <c r="A3295" s="19">
        <v>45530.0</v>
      </c>
      <c r="B3295" s="23">
        <v>1.0765E7</v>
      </c>
      <c r="C3295" s="23">
        <f t="shared" si="1"/>
        <v>11039876.16</v>
      </c>
      <c r="D3295" s="18">
        <f>IF(A3295="","",MATCH(A3295,Calculation!B$2:B9627,1))</f>
        <v>2</v>
      </c>
      <c r="E3295" s="23">
        <f t="array" ref="E3295">IF(D3295="","",IF(D3295=1,0,INDEX(Calculation!Q$2:Q9627,D3295-1)))</f>
        <v>3232449.315</v>
      </c>
      <c r="F3295" s="23">
        <f t="array" ref="F3295">IF($A3295="","",
  LET(
    r, $D3295,
    startD, INDEX(Calculation!B$2:B9627, r),
    endD,   INDEX(Calculation!C$2:C9627, r),
    asOf,   MIN($A3295,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7807426.849</v>
      </c>
    </row>
    <row r="3296">
      <c r="A3296" s="19">
        <v>45531.0</v>
      </c>
      <c r="B3296" s="23">
        <v>1.0765E7</v>
      </c>
      <c r="C3296" s="23">
        <f t="shared" si="1"/>
        <v>11046954.52</v>
      </c>
      <c r="D3296" s="18">
        <f>IF(A3296="","",MATCH(A3296,Calculation!B$2:B9627,1))</f>
        <v>2</v>
      </c>
      <c r="E3296" s="23">
        <f t="array" ref="E3296">IF(D3296="","",IF(D3296=1,0,INDEX(Calculation!Q$2:Q9627,D3296-1)))</f>
        <v>3232449.315</v>
      </c>
      <c r="F3296" s="23">
        <f t="array" ref="F3296">IF($A3296="","",
  LET(
    r, $D3296,
    startD, INDEX(Calculation!B$2:B9627, r),
    endD,   INDEX(Calculation!C$2:C9627, r),
    asOf,   MIN($A3296,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7814505.205</v>
      </c>
    </row>
    <row r="3297">
      <c r="A3297" s="19">
        <v>45532.0</v>
      </c>
      <c r="B3297" s="23">
        <v>1.0765E7</v>
      </c>
      <c r="C3297" s="23">
        <f t="shared" si="1"/>
        <v>11054032.88</v>
      </c>
      <c r="D3297" s="18">
        <f>IF(A3297="","",MATCH(A3297,Calculation!B$2:B9627,1))</f>
        <v>2</v>
      </c>
      <c r="E3297" s="23">
        <f t="array" ref="E3297">IF(D3297="","",IF(D3297=1,0,INDEX(Calculation!Q$2:Q9627,D3297-1)))</f>
        <v>3232449.315</v>
      </c>
      <c r="F3297" s="23">
        <f t="array" ref="F3297">IF($A3297="","",
  LET(
    r, $D3297,
    startD, INDEX(Calculation!B$2:B9627, r),
    endD,   INDEX(Calculation!C$2:C9627, r),
    asOf,   MIN($A3297,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7821583.562</v>
      </c>
    </row>
    <row r="3298">
      <c r="A3298" s="19">
        <v>45533.0</v>
      </c>
      <c r="B3298" s="23">
        <v>1.0765E7</v>
      </c>
      <c r="C3298" s="23">
        <f t="shared" si="1"/>
        <v>11061111.23</v>
      </c>
      <c r="D3298" s="18">
        <f>IF(A3298="","",MATCH(A3298,Calculation!B$2:B9627,1))</f>
        <v>2</v>
      </c>
      <c r="E3298" s="23">
        <f t="array" ref="E3298">IF(D3298="","",IF(D3298=1,0,INDEX(Calculation!Q$2:Q9627,D3298-1)))</f>
        <v>3232449.315</v>
      </c>
      <c r="F3298" s="23">
        <f t="array" ref="F3298">IF($A3298="","",
  LET(
    r, $D3298,
    startD, INDEX(Calculation!B$2:B9627, r),
    endD,   INDEX(Calculation!C$2:C9627, r),
    asOf,   MIN($A3298,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7828661.918</v>
      </c>
    </row>
    <row r="3299">
      <c r="A3299" s="19">
        <v>45534.0</v>
      </c>
      <c r="B3299" s="23">
        <v>1.0765E7</v>
      </c>
      <c r="C3299" s="23">
        <f t="shared" si="1"/>
        <v>11068189.59</v>
      </c>
      <c r="D3299" s="18">
        <f>IF(A3299="","",MATCH(A3299,Calculation!B$2:B9627,1))</f>
        <v>2</v>
      </c>
      <c r="E3299" s="23">
        <f t="array" ref="E3299">IF(D3299="","",IF(D3299=1,0,INDEX(Calculation!Q$2:Q9627,D3299-1)))</f>
        <v>3232449.315</v>
      </c>
      <c r="F3299" s="23">
        <f t="array" ref="F3299">IF($A3299="","",
  LET(
    r, $D3299,
    startD, INDEX(Calculation!B$2:B9627, r),
    endD,   INDEX(Calculation!C$2:C9627, r),
    asOf,   MIN($A3299,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7835740.274</v>
      </c>
    </row>
    <row r="3300">
      <c r="A3300" s="19">
        <v>45535.0</v>
      </c>
      <c r="B3300" s="23">
        <v>1.0765E7</v>
      </c>
      <c r="C3300" s="23">
        <f t="shared" si="1"/>
        <v>11075267.95</v>
      </c>
      <c r="D3300" s="18">
        <f>IF(A3300="","",MATCH(A3300,Calculation!B$2:B9627,1))</f>
        <v>2</v>
      </c>
      <c r="E3300" s="23">
        <f t="array" ref="E3300">IF(D3300="","",IF(D3300=1,0,INDEX(Calculation!Q$2:Q9627,D3300-1)))</f>
        <v>3232449.315</v>
      </c>
      <c r="F3300" s="23">
        <f t="array" ref="F3300">IF($A3300="","",
  LET(
    r, $D3300,
    startD, INDEX(Calculation!B$2:B9627, r),
    endD,   INDEX(Calculation!C$2:C9627, r),
    asOf,   MIN($A3300,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7842818.63</v>
      </c>
    </row>
    <row r="3301">
      <c r="A3301" s="19">
        <v>45536.0</v>
      </c>
      <c r="B3301" s="23">
        <v>1.0765E7</v>
      </c>
      <c r="C3301" s="23">
        <f t="shared" si="1"/>
        <v>11082346.3</v>
      </c>
      <c r="D3301" s="18">
        <f>IF(A3301="","",MATCH(A3301,Calculation!B$2:B9627,1))</f>
        <v>2</v>
      </c>
      <c r="E3301" s="23">
        <f t="array" ref="E3301">IF(D3301="","",IF(D3301=1,0,INDEX(Calculation!Q$2:Q9627,D3301-1)))</f>
        <v>3232449.315</v>
      </c>
      <c r="F3301" s="23">
        <f t="array" ref="F3301">IF($A3301="","",
  LET(
    r, $D3301,
    startD, INDEX(Calculation!B$2:B9627, r),
    endD,   INDEX(Calculation!C$2:C9627, r),
    asOf,   MIN($A3301,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7849896.986</v>
      </c>
    </row>
    <row r="3302">
      <c r="A3302" s="19">
        <v>45537.0</v>
      </c>
      <c r="B3302" s="23">
        <v>1.0765E7</v>
      </c>
      <c r="C3302" s="23">
        <f t="shared" si="1"/>
        <v>11089424.66</v>
      </c>
      <c r="D3302" s="18">
        <f>IF(A3302="","",MATCH(A3302,Calculation!B$2:B9627,1))</f>
        <v>2</v>
      </c>
      <c r="E3302" s="23">
        <f t="array" ref="E3302">IF(D3302="","",IF(D3302=1,0,INDEX(Calculation!Q$2:Q9627,D3302-1)))</f>
        <v>3232449.315</v>
      </c>
      <c r="F3302" s="23">
        <f t="array" ref="F3302">IF($A3302="","",
  LET(
    r, $D3302,
    startD, INDEX(Calculation!B$2:B9627, r),
    endD,   INDEX(Calculation!C$2:C9627, r),
    asOf,   MIN($A3302,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7856975.342</v>
      </c>
    </row>
    <row r="3303">
      <c r="A3303" s="19">
        <v>45538.0</v>
      </c>
      <c r="B3303" s="23">
        <v>1.0765E7</v>
      </c>
      <c r="C3303" s="23">
        <f t="shared" si="1"/>
        <v>11096503.01</v>
      </c>
      <c r="D3303" s="18">
        <f>IF(A3303="","",MATCH(A3303,Calculation!B$2:B9627,1))</f>
        <v>2</v>
      </c>
      <c r="E3303" s="23">
        <f t="array" ref="E3303">IF(D3303="","",IF(D3303=1,0,INDEX(Calculation!Q$2:Q9627,D3303-1)))</f>
        <v>3232449.315</v>
      </c>
      <c r="F3303" s="23">
        <f t="array" ref="F3303">IF($A3303="","",
  LET(
    r, $D3303,
    startD, INDEX(Calculation!B$2:B9627, r),
    endD,   INDEX(Calculation!C$2:C9627, r),
    asOf,   MIN($A3303,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7864053.699</v>
      </c>
    </row>
    <row r="3304">
      <c r="A3304" s="19">
        <v>45539.0</v>
      </c>
      <c r="B3304" s="23">
        <v>1.0765E7</v>
      </c>
      <c r="C3304" s="23">
        <f t="shared" si="1"/>
        <v>11103581.37</v>
      </c>
      <c r="D3304" s="18">
        <f>IF(A3304="","",MATCH(A3304,Calculation!B$2:B9627,1))</f>
        <v>2</v>
      </c>
      <c r="E3304" s="23">
        <f t="array" ref="E3304">IF(D3304="","",IF(D3304=1,0,INDEX(Calculation!Q$2:Q9627,D3304-1)))</f>
        <v>3232449.315</v>
      </c>
      <c r="F3304" s="23">
        <f t="array" ref="F3304">IF($A3304="","",
  LET(
    r, $D3304,
    startD, INDEX(Calculation!B$2:B9627, r),
    endD,   INDEX(Calculation!C$2:C9627, r),
    asOf,   MIN($A3304,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7871132.055</v>
      </c>
    </row>
    <row r="3305">
      <c r="A3305" s="19">
        <v>45540.0</v>
      </c>
      <c r="B3305" s="23">
        <v>1.0765E7</v>
      </c>
      <c r="C3305" s="23">
        <f t="shared" si="1"/>
        <v>11110659.73</v>
      </c>
      <c r="D3305" s="18">
        <f>IF(A3305="","",MATCH(A3305,Calculation!B$2:B9627,1))</f>
        <v>2</v>
      </c>
      <c r="E3305" s="23">
        <f t="array" ref="E3305">IF(D3305="","",IF(D3305=1,0,INDEX(Calculation!Q$2:Q9627,D3305-1)))</f>
        <v>3232449.315</v>
      </c>
      <c r="F3305" s="23">
        <f t="array" ref="F3305">IF($A3305="","",
  LET(
    r, $D3305,
    startD, INDEX(Calculation!B$2:B9627, r),
    endD,   INDEX(Calculation!C$2:C9627, r),
    asOf,   MIN($A3305,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7878210.411</v>
      </c>
    </row>
    <row r="3306">
      <c r="A3306" s="19">
        <v>45541.0</v>
      </c>
      <c r="B3306" s="23">
        <v>1.0765E7</v>
      </c>
      <c r="C3306" s="23">
        <f t="shared" si="1"/>
        <v>11117738.08</v>
      </c>
      <c r="D3306" s="18">
        <f>IF(A3306="","",MATCH(A3306,Calculation!B$2:B9627,1))</f>
        <v>2</v>
      </c>
      <c r="E3306" s="23">
        <f t="array" ref="E3306">IF(D3306="","",IF(D3306=1,0,INDEX(Calculation!Q$2:Q9627,D3306-1)))</f>
        <v>3232449.315</v>
      </c>
      <c r="F3306" s="23">
        <f t="array" ref="F3306">IF($A3306="","",
  LET(
    r, $D3306,
    startD, INDEX(Calculation!B$2:B9627, r),
    endD,   INDEX(Calculation!C$2:C9627, r),
    asOf,   MIN($A3306,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7885288.767</v>
      </c>
    </row>
    <row r="3307">
      <c r="A3307" s="19">
        <v>45542.0</v>
      </c>
      <c r="B3307" s="23">
        <v>1.0765E7</v>
      </c>
      <c r="C3307" s="23">
        <f t="shared" si="1"/>
        <v>11124816.44</v>
      </c>
      <c r="D3307" s="18">
        <f>IF(A3307="","",MATCH(A3307,Calculation!B$2:B9627,1))</f>
        <v>2</v>
      </c>
      <c r="E3307" s="23">
        <f t="array" ref="E3307">IF(D3307="","",IF(D3307=1,0,INDEX(Calculation!Q$2:Q9627,D3307-1)))</f>
        <v>3232449.315</v>
      </c>
      <c r="F3307" s="23">
        <f t="array" ref="F3307">IF($A3307="","",
  LET(
    r, $D3307,
    startD, INDEX(Calculation!B$2:B9627, r),
    endD,   INDEX(Calculation!C$2:C9627, r),
    asOf,   MIN($A3307,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7892367.123</v>
      </c>
    </row>
    <row r="3308">
      <c r="A3308" s="19">
        <v>45543.0</v>
      </c>
      <c r="B3308" s="23">
        <v>1.0765E7</v>
      </c>
      <c r="C3308" s="23">
        <f t="shared" si="1"/>
        <v>11131894.79</v>
      </c>
      <c r="D3308" s="18">
        <f>IF(A3308="","",MATCH(A3308,Calculation!B$2:B9627,1))</f>
        <v>2</v>
      </c>
      <c r="E3308" s="23">
        <f t="array" ref="E3308">IF(D3308="","",IF(D3308=1,0,INDEX(Calculation!Q$2:Q9627,D3308-1)))</f>
        <v>3232449.315</v>
      </c>
      <c r="F3308" s="23">
        <f t="array" ref="F3308">IF($A3308="","",
  LET(
    r, $D3308,
    startD, INDEX(Calculation!B$2:B9627, r),
    endD,   INDEX(Calculation!C$2:C9627, r),
    asOf,   MIN($A3308,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7899445.479</v>
      </c>
    </row>
    <row r="3309">
      <c r="A3309" s="19">
        <v>45544.0</v>
      </c>
      <c r="B3309" s="23">
        <v>1.0765E7</v>
      </c>
      <c r="C3309" s="23">
        <f t="shared" si="1"/>
        <v>11138973.15</v>
      </c>
      <c r="D3309" s="18">
        <f>IF(A3309="","",MATCH(A3309,Calculation!B$2:B9627,1))</f>
        <v>2</v>
      </c>
      <c r="E3309" s="23">
        <f t="array" ref="E3309">IF(D3309="","",IF(D3309=1,0,INDEX(Calculation!Q$2:Q9627,D3309-1)))</f>
        <v>3232449.315</v>
      </c>
      <c r="F3309" s="23">
        <f t="array" ref="F3309">IF($A3309="","",
  LET(
    r, $D3309,
    startD, INDEX(Calculation!B$2:B9627, r),
    endD,   INDEX(Calculation!C$2:C9627, r),
    asOf,   MIN($A3309,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7906523.836</v>
      </c>
    </row>
    <row r="3310">
      <c r="A3310" s="19">
        <v>45545.0</v>
      </c>
      <c r="B3310" s="23">
        <v>1.0765E7</v>
      </c>
      <c r="C3310" s="23">
        <f t="shared" si="1"/>
        <v>11146051.51</v>
      </c>
      <c r="D3310" s="18">
        <f>IF(A3310="","",MATCH(A3310,Calculation!B$2:B9627,1))</f>
        <v>2</v>
      </c>
      <c r="E3310" s="23">
        <f t="array" ref="E3310">IF(D3310="","",IF(D3310=1,0,INDEX(Calculation!Q$2:Q9627,D3310-1)))</f>
        <v>3232449.315</v>
      </c>
      <c r="F3310" s="23">
        <f t="array" ref="F3310">IF($A3310="","",
  LET(
    r, $D3310,
    startD, INDEX(Calculation!B$2:B9627, r),
    endD,   INDEX(Calculation!C$2:C9627, r),
    asOf,   MIN($A3310,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7913602.192</v>
      </c>
    </row>
    <row r="3311">
      <c r="A3311" s="19">
        <v>45546.0</v>
      </c>
      <c r="B3311" s="23">
        <v>1.0765E7</v>
      </c>
      <c r="C3311" s="23">
        <f t="shared" si="1"/>
        <v>11153129.86</v>
      </c>
      <c r="D3311" s="18">
        <f>IF(A3311="","",MATCH(A3311,Calculation!B$2:B9627,1))</f>
        <v>2</v>
      </c>
      <c r="E3311" s="23">
        <f t="array" ref="E3311">IF(D3311="","",IF(D3311=1,0,INDEX(Calculation!Q$2:Q9627,D3311-1)))</f>
        <v>3232449.315</v>
      </c>
      <c r="F3311" s="23">
        <f t="array" ref="F3311">IF($A3311="","",
  LET(
    r, $D3311,
    startD, INDEX(Calculation!B$2:B9627, r),
    endD,   INDEX(Calculation!C$2:C9627, r),
    asOf,   MIN($A3311,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7920680.548</v>
      </c>
    </row>
    <row r="3312">
      <c r="A3312" s="19">
        <v>45547.0</v>
      </c>
      <c r="B3312" s="23">
        <v>1.0765E7</v>
      </c>
      <c r="C3312" s="23">
        <f t="shared" si="1"/>
        <v>11160208.22</v>
      </c>
      <c r="D3312" s="18">
        <f>IF(A3312="","",MATCH(A3312,Calculation!B$2:B9627,1))</f>
        <v>2</v>
      </c>
      <c r="E3312" s="23">
        <f t="array" ref="E3312">IF(D3312="","",IF(D3312=1,0,INDEX(Calculation!Q$2:Q9627,D3312-1)))</f>
        <v>3232449.315</v>
      </c>
      <c r="F3312" s="23">
        <f t="array" ref="F3312">IF($A3312="","",
  LET(
    r, $D3312,
    startD, INDEX(Calculation!B$2:B9627, r),
    endD,   INDEX(Calculation!C$2:C9627, r),
    asOf,   MIN($A3312,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7927758.904</v>
      </c>
    </row>
    <row r="3313">
      <c r="A3313" s="19">
        <v>45548.0</v>
      </c>
      <c r="B3313" s="23">
        <v>1.0765E7</v>
      </c>
      <c r="C3313" s="23">
        <f t="shared" si="1"/>
        <v>11167286.58</v>
      </c>
      <c r="D3313" s="18">
        <f>IF(A3313="","",MATCH(A3313,Calculation!B$2:B9627,1))</f>
        <v>2</v>
      </c>
      <c r="E3313" s="23">
        <f t="array" ref="E3313">IF(D3313="","",IF(D3313=1,0,INDEX(Calculation!Q$2:Q9627,D3313-1)))</f>
        <v>3232449.315</v>
      </c>
      <c r="F3313" s="23">
        <f t="array" ref="F3313">IF($A3313="","",
  LET(
    r, $D3313,
    startD, INDEX(Calculation!B$2:B9627, r),
    endD,   INDEX(Calculation!C$2:C9627, r),
    asOf,   MIN($A3313,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7934837.26</v>
      </c>
    </row>
    <row r="3314">
      <c r="A3314" s="19">
        <v>45549.0</v>
      </c>
      <c r="B3314" s="23">
        <v>1.0765E7</v>
      </c>
      <c r="C3314" s="23">
        <f t="shared" si="1"/>
        <v>11174364.93</v>
      </c>
      <c r="D3314" s="18">
        <f>IF(A3314="","",MATCH(A3314,Calculation!B$2:B9627,1))</f>
        <v>2</v>
      </c>
      <c r="E3314" s="23">
        <f t="array" ref="E3314">IF(D3314="","",IF(D3314=1,0,INDEX(Calculation!Q$2:Q9627,D3314-1)))</f>
        <v>3232449.315</v>
      </c>
      <c r="F3314" s="23">
        <f t="array" ref="F3314">IF($A3314="","",
  LET(
    r, $D3314,
    startD, INDEX(Calculation!B$2:B9627, r),
    endD,   INDEX(Calculation!C$2:C9627, r),
    asOf,   MIN($A3314,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7941915.616</v>
      </c>
    </row>
    <row r="3315">
      <c r="A3315" s="19">
        <v>45550.0</v>
      </c>
      <c r="B3315" s="23">
        <v>1.0765E7</v>
      </c>
      <c r="C3315" s="23">
        <f t="shared" si="1"/>
        <v>11181443.29</v>
      </c>
      <c r="D3315" s="18">
        <f>IF(A3315="","",MATCH(A3315,Calculation!B$2:B9627,1))</f>
        <v>2</v>
      </c>
      <c r="E3315" s="23">
        <f t="array" ref="E3315">IF(D3315="","",IF(D3315=1,0,INDEX(Calculation!Q$2:Q9627,D3315-1)))</f>
        <v>3232449.315</v>
      </c>
      <c r="F3315" s="23">
        <f t="array" ref="F3315">IF($A3315="","",
  LET(
    r, $D3315,
    startD, INDEX(Calculation!B$2:B9627, r),
    endD,   INDEX(Calculation!C$2:C9627, r),
    asOf,   MIN($A3315,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7948993.973</v>
      </c>
    </row>
    <row r="3316">
      <c r="A3316" s="19">
        <v>45551.0</v>
      </c>
      <c r="B3316" s="23">
        <v>1.0765E7</v>
      </c>
      <c r="C3316" s="23">
        <f t="shared" si="1"/>
        <v>11188521.64</v>
      </c>
      <c r="D3316" s="18">
        <f>IF(A3316="","",MATCH(A3316,Calculation!B$2:B9627,1))</f>
        <v>2</v>
      </c>
      <c r="E3316" s="23">
        <f t="array" ref="E3316">IF(D3316="","",IF(D3316=1,0,INDEX(Calculation!Q$2:Q9627,D3316-1)))</f>
        <v>3232449.315</v>
      </c>
      <c r="F3316" s="23">
        <f t="array" ref="F3316">IF($A3316="","",
  LET(
    r, $D3316,
    startD, INDEX(Calculation!B$2:B9627, r),
    endD,   INDEX(Calculation!C$2:C9627, r),
    asOf,   MIN($A3316,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7956072.329</v>
      </c>
    </row>
    <row r="3317">
      <c r="A3317" s="19">
        <v>45552.0</v>
      </c>
      <c r="B3317" s="23">
        <v>1.0765E7</v>
      </c>
      <c r="C3317" s="23">
        <f t="shared" si="1"/>
        <v>11195600</v>
      </c>
      <c r="D3317" s="18">
        <f>IF(A3317="","",MATCH(A3317,Calculation!B$2:B9627,1))</f>
        <v>2</v>
      </c>
      <c r="E3317" s="23">
        <f t="array" ref="E3317">IF(D3317="","",IF(D3317=1,0,INDEX(Calculation!Q$2:Q9627,D3317-1)))</f>
        <v>3232449.315</v>
      </c>
      <c r="F3317" s="23">
        <f t="array" ref="F3317">IF($A3317="","",
  LET(
    r, $D3317,
    startD, INDEX(Calculation!B$2:B9627, r),
    endD,   INDEX(Calculation!C$2:C9627, r),
    asOf,   MIN($A3317,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7963150.685</v>
      </c>
    </row>
    <row r="3318">
      <c r="A3318" s="19">
        <v>45553.0</v>
      </c>
      <c r="B3318" s="23">
        <v>1.0765E7</v>
      </c>
      <c r="C3318" s="23">
        <f t="shared" si="1"/>
        <v>11202678.36</v>
      </c>
      <c r="D3318" s="18">
        <f>IF(A3318="","",MATCH(A3318,Calculation!B$2:B9627,1))</f>
        <v>2</v>
      </c>
      <c r="E3318" s="23">
        <f t="array" ref="E3318">IF(D3318="","",IF(D3318=1,0,INDEX(Calculation!Q$2:Q9627,D3318-1)))</f>
        <v>3232449.315</v>
      </c>
      <c r="F3318" s="23">
        <f t="array" ref="F3318">IF($A3318="","",
  LET(
    r, $D3318,
    startD, INDEX(Calculation!B$2:B9627, r),
    endD,   INDEX(Calculation!C$2:C9627, r),
    asOf,   MIN($A3318,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7970229.041</v>
      </c>
    </row>
    <row r="3319">
      <c r="A3319" s="19">
        <v>45554.0</v>
      </c>
      <c r="B3319" s="23">
        <v>1.0765E7</v>
      </c>
      <c r="C3319" s="23">
        <f t="shared" si="1"/>
        <v>11209756.71</v>
      </c>
      <c r="D3319" s="18">
        <f>IF(A3319="","",MATCH(A3319,Calculation!B$2:B9627,1))</f>
        <v>2</v>
      </c>
      <c r="E3319" s="23">
        <f t="array" ref="E3319">IF(D3319="","",IF(D3319=1,0,INDEX(Calculation!Q$2:Q9627,D3319-1)))</f>
        <v>3232449.315</v>
      </c>
      <c r="F3319" s="23">
        <f t="array" ref="F3319">IF($A3319="","",
  LET(
    r, $D3319,
    startD, INDEX(Calculation!B$2:B9627, r),
    endD,   INDEX(Calculation!C$2:C9627, r),
    asOf,   MIN($A3319,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7977307.397</v>
      </c>
    </row>
    <row r="3320">
      <c r="A3320" s="19">
        <v>45555.0</v>
      </c>
      <c r="B3320" s="23">
        <v>1.0765E7</v>
      </c>
      <c r="C3320" s="23">
        <f t="shared" si="1"/>
        <v>11216835.07</v>
      </c>
      <c r="D3320" s="18">
        <f>IF(A3320="","",MATCH(A3320,Calculation!B$2:B9627,1))</f>
        <v>2</v>
      </c>
      <c r="E3320" s="23">
        <f t="array" ref="E3320">IF(D3320="","",IF(D3320=1,0,INDEX(Calculation!Q$2:Q9627,D3320-1)))</f>
        <v>3232449.315</v>
      </c>
      <c r="F3320" s="23">
        <f t="array" ref="F3320">IF($A3320="","",
  LET(
    r, $D3320,
    startD, INDEX(Calculation!B$2:B9627, r),
    endD,   INDEX(Calculation!C$2:C9627, r),
    asOf,   MIN($A3320,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7984385.753</v>
      </c>
    </row>
    <row r="3321">
      <c r="A3321" s="19">
        <v>45556.0</v>
      </c>
      <c r="B3321" s="23">
        <v>1.0765E7</v>
      </c>
      <c r="C3321" s="23">
        <f t="shared" si="1"/>
        <v>11223913.42</v>
      </c>
      <c r="D3321" s="18">
        <f>IF(A3321="","",MATCH(A3321,Calculation!B$2:B9627,1))</f>
        <v>2</v>
      </c>
      <c r="E3321" s="23">
        <f t="array" ref="E3321">IF(D3321="","",IF(D3321=1,0,INDEX(Calculation!Q$2:Q9627,D3321-1)))</f>
        <v>3232449.315</v>
      </c>
      <c r="F3321" s="23">
        <f t="array" ref="F3321">IF($A3321="","",
  LET(
    r, $D3321,
    startD, INDEX(Calculation!B$2:B9627, r),
    endD,   INDEX(Calculation!C$2:C9627, r),
    asOf,   MIN($A3321,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7991464.11</v>
      </c>
    </row>
    <row r="3322">
      <c r="A3322" s="19">
        <v>45557.0</v>
      </c>
      <c r="B3322" s="23">
        <v>1.0765E7</v>
      </c>
      <c r="C3322" s="23">
        <f t="shared" si="1"/>
        <v>11230991.78</v>
      </c>
      <c r="D3322" s="18">
        <f>IF(A3322="","",MATCH(A3322,Calculation!B$2:B9627,1))</f>
        <v>2</v>
      </c>
      <c r="E3322" s="23">
        <f t="array" ref="E3322">IF(D3322="","",IF(D3322=1,0,INDEX(Calculation!Q$2:Q9627,D3322-1)))</f>
        <v>3232449.315</v>
      </c>
      <c r="F3322" s="23">
        <f t="array" ref="F3322">IF($A3322="","",
  LET(
    r, $D3322,
    startD, INDEX(Calculation!B$2:B9627, r),
    endD,   INDEX(Calculation!C$2:C9627, r),
    asOf,   MIN($A3322,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7998542.466</v>
      </c>
    </row>
    <row r="3323">
      <c r="A3323" s="19">
        <v>45558.0</v>
      </c>
      <c r="B3323" s="23">
        <v>1.0765E7</v>
      </c>
      <c r="C3323" s="23">
        <f t="shared" si="1"/>
        <v>11238070.14</v>
      </c>
      <c r="D3323" s="18">
        <f>IF(A3323="","",MATCH(A3323,Calculation!B$2:B9627,1))</f>
        <v>2</v>
      </c>
      <c r="E3323" s="23">
        <f t="array" ref="E3323">IF(D3323="","",IF(D3323=1,0,INDEX(Calculation!Q$2:Q9627,D3323-1)))</f>
        <v>3232449.315</v>
      </c>
      <c r="F3323" s="23">
        <f t="array" ref="F3323">IF($A3323="","",
  LET(
    r, $D3323,
    startD, INDEX(Calculation!B$2:B9627, r),
    endD,   INDEX(Calculation!C$2:C9627, r),
    asOf,   MIN($A3323,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8005620.822</v>
      </c>
    </row>
    <row r="3324">
      <c r="A3324" s="19">
        <v>45559.0</v>
      </c>
      <c r="B3324" s="23">
        <v>1.0765E7</v>
      </c>
      <c r="C3324" s="23">
        <f t="shared" si="1"/>
        <v>11245148.49</v>
      </c>
      <c r="D3324" s="18">
        <f>IF(A3324="","",MATCH(A3324,Calculation!B$2:B9627,1))</f>
        <v>2</v>
      </c>
      <c r="E3324" s="23">
        <f t="array" ref="E3324">IF(D3324="","",IF(D3324=1,0,INDEX(Calculation!Q$2:Q9627,D3324-1)))</f>
        <v>3232449.315</v>
      </c>
      <c r="F3324" s="23">
        <f t="array" ref="F3324">IF($A3324="","",
  LET(
    r, $D3324,
    startD, INDEX(Calculation!B$2:B9627, r),
    endD,   INDEX(Calculation!C$2:C9627, r),
    asOf,   MIN($A3324,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8012699.178</v>
      </c>
    </row>
    <row r="3325">
      <c r="A3325" s="19">
        <v>45560.0</v>
      </c>
      <c r="B3325" s="23">
        <v>1.0765E7</v>
      </c>
      <c r="C3325" s="23">
        <f t="shared" si="1"/>
        <v>11252226.85</v>
      </c>
      <c r="D3325" s="18">
        <f>IF(A3325="","",MATCH(A3325,Calculation!B$2:B9627,1))</f>
        <v>2</v>
      </c>
      <c r="E3325" s="23">
        <f t="array" ref="E3325">IF(D3325="","",IF(D3325=1,0,INDEX(Calculation!Q$2:Q9627,D3325-1)))</f>
        <v>3232449.315</v>
      </c>
      <c r="F3325" s="23">
        <f t="array" ref="F3325">IF($A3325="","",
  LET(
    r, $D3325,
    startD, INDEX(Calculation!B$2:B9627, r),
    endD,   INDEX(Calculation!C$2:C9627, r),
    asOf,   MIN($A3325,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8019777.534</v>
      </c>
    </row>
    <row r="3326">
      <c r="A3326" s="19">
        <v>45561.0</v>
      </c>
      <c r="B3326" s="23">
        <v>1.0765E7</v>
      </c>
      <c r="C3326" s="23">
        <f t="shared" si="1"/>
        <v>11259305.21</v>
      </c>
      <c r="D3326" s="18">
        <f>IF(A3326="","",MATCH(A3326,Calculation!B$2:B9627,1))</f>
        <v>2</v>
      </c>
      <c r="E3326" s="23">
        <f t="array" ref="E3326">IF(D3326="","",IF(D3326=1,0,INDEX(Calculation!Q$2:Q9627,D3326-1)))</f>
        <v>3232449.315</v>
      </c>
      <c r="F3326" s="23">
        <f t="array" ref="F3326">IF($A3326="","",
  LET(
    r, $D3326,
    startD, INDEX(Calculation!B$2:B9627, r),
    endD,   INDEX(Calculation!C$2:C9627, r),
    asOf,   MIN($A3326,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8026855.89</v>
      </c>
    </row>
    <row r="3327">
      <c r="A3327" s="19">
        <v>45562.0</v>
      </c>
      <c r="B3327" s="23">
        <v>1.0765E7</v>
      </c>
      <c r="C3327" s="23">
        <f t="shared" si="1"/>
        <v>11266383.56</v>
      </c>
      <c r="D3327" s="18">
        <f>IF(A3327="","",MATCH(A3327,Calculation!B$2:B9627,1))</f>
        <v>2</v>
      </c>
      <c r="E3327" s="23">
        <f t="array" ref="E3327">IF(D3327="","",IF(D3327=1,0,INDEX(Calculation!Q$2:Q9627,D3327-1)))</f>
        <v>3232449.315</v>
      </c>
      <c r="F3327" s="23">
        <f t="array" ref="F3327">IF($A3327="","",
  LET(
    r, $D3327,
    startD, INDEX(Calculation!B$2:B9627, r),
    endD,   INDEX(Calculation!C$2:C9627, r),
    asOf,   MIN($A3327,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8033934.247</v>
      </c>
    </row>
    <row r="3328">
      <c r="A3328" s="19">
        <v>45563.0</v>
      </c>
      <c r="B3328" s="23">
        <v>1.0765E7</v>
      </c>
      <c r="C3328" s="23">
        <f t="shared" si="1"/>
        <v>11273461.92</v>
      </c>
      <c r="D3328" s="18">
        <f>IF(A3328="","",MATCH(A3328,Calculation!B$2:B9627,1))</f>
        <v>2</v>
      </c>
      <c r="E3328" s="23">
        <f t="array" ref="E3328">IF(D3328="","",IF(D3328=1,0,INDEX(Calculation!Q$2:Q9627,D3328-1)))</f>
        <v>3232449.315</v>
      </c>
      <c r="F3328" s="23">
        <f t="array" ref="F3328">IF($A3328="","",
  LET(
    r, $D3328,
    startD, INDEX(Calculation!B$2:B9627, r),
    endD,   INDEX(Calculation!C$2:C9627, r),
    asOf,   MIN($A3328,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8041012.603</v>
      </c>
    </row>
    <row r="3329">
      <c r="A3329" s="19">
        <v>45564.0</v>
      </c>
      <c r="B3329" s="23">
        <v>1.0765E7</v>
      </c>
      <c r="C3329" s="23">
        <f t="shared" si="1"/>
        <v>11280540.27</v>
      </c>
      <c r="D3329" s="18">
        <f>IF(A3329="","",MATCH(A3329,Calculation!B$2:B9627,1))</f>
        <v>2</v>
      </c>
      <c r="E3329" s="23">
        <f t="array" ref="E3329">IF(D3329="","",IF(D3329=1,0,INDEX(Calculation!Q$2:Q9627,D3329-1)))</f>
        <v>3232449.315</v>
      </c>
      <c r="F3329" s="23">
        <f t="array" ref="F3329">IF($A3329="","",
  LET(
    r, $D3329,
    startD, INDEX(Calculation!B$2:B9627, r),
    endD,   INDEX(Calculation!C$2:C9627, r),
    asOf,   MIN($A3329,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8048090.959</v>
      </c>
    </row>
    <row r="3330">
      <c r="A3330" s="19">
        <v>45565.0</v>
      </c>
      <c r="B3330" s="23">
        <v>1.0765E7</v>
      </c>
      <c r="C3330" s="23">
        <f t="shared" si="1"/>
        <v>11287618.63</v>
      </c>
      <c r="D3330" s="18">
        <f>IF(A3330="","",MATCH(A3330,Calculation!B$2:B9627,1))</f>
        <v>2</v>
      </c>
      <c r="E3330" s="23">
        <f t="array" ref="E3330">IF(D3330="","",IF(D3330=1,0,INDEX(Calculation!Q$2:Q9627,D3330-1)))</f>
        <v>3232449.315</v>
      </c>
      <c r="F3330" s="23">
        <f t="array" ref="F3330">IF($A3330="","",
  LET(
    r, $D3330,
    startD, INDEX(Calculation!B$2:B9627, r),
    endD,   INDEX(Calculation!C$2:C9627, r),
    asOf,   MIN($A3330,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8055169.315</v>
      </c>
    </row>
    <row r="3331">
      <c r="A3331" s="19">
        <v>45566.0</v>
      </c>
      <c r="B3331" s="23">
        <v>1.0765E7</v>
      </c>
      <c r="C3331" s="23">
        <f t="shared" si="1"/>
        <v>11294696.99</v>
      </c>
      <c r="D3331" s="18">
        <f>IF(A3331="","",MATCH(A3331,Calculation!B$2:B9627,1))</f>
        <v>2</v>
      </c>
      <c r="E3331" s="23">
        <f t="array" ref="E3331">IF(D3331="","",IF(D3331=1,0,INDEX(Calculation!Q$2:Q9627,D3331-1)))</f>
        <v>3232449.315</v>
      </c>
      <c r="F3331" s="23">
        <f t="array" ref="F3331">IF($A3331="","",
  LET(
    r, $D3331,
    startD, INDEX(Calculation!B$2:B9627, r),
    endD,   INDEX(Calculation!C$2:C9627, r),
    asOf,   MIN($A3331,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8062247.671</v>
      </c>
    </row>
    <row r="3332">
      <c r="A3332" s="19">
        <v>45567.0</v>
      </c>
      <c r="B3332" s="23">
        <v>1.0765E7</v>
      </c>
      <c r="C3332" s="23">
        <f t="shared" si="1"/>
        <v>11301775.34</v>
      </c>
      <c r="D3332" s="18">
        <f>IF(A3332="","",MATCH(A3332,Calculation!B$2:B9627,1))</f>
        <v>2</v>
      </c>
      <c r="E3332" s="23">
        <f t="array" ref="E3332">IF(D3332="","",IF(D3332=1,0,INDEX(Calculation!Q$2:Q9627,D3332-1)))</f>
        <v>3232449.315</v>
      </c>
      <c r="F3332" s="23">
        <f t="array" ref="F3332">IF($A3332="","",
  LET(
    r, $D3332,
    startD, INDEX(Calculation!B$2:B9627, r),
    endD,   INDEX(Calculation!C$2:C9627, r),
    asOf,   MIN($A3332,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8069326.027</v>
      </c>
    </row>
    <row r="3333">
      <c r="A3333" s="19">
        <v>45568.0</v>
      </c>
      <c r="B3333" s="23">
        <v>1.0765E7</v>
      </c>
      <c r="C3333" s="23">
        <f t="shared" si="1"/>
        <v>11308853.7</v>
      </c>
      <c r="D3333" s="18">
        <f>IF(A3333="","",MATCH(A3333,Calculation!B$2:B9627,1))</f>
        <v>2</v>
      </c>
      <c r="E3333" s="23">
        <f t="array" ref="E3333">IF(D3333="","",IF(D3333=1,0,INDEX(Calculation!Q$2:Q9627,D3333-1)))</f>
        <v>3232449.315</v>
      </c>
      <c r="F3333" s="23">
        <f t="array" ref="F3333">IF($A3333="","",
  LET(
    r, $D3333,
    startD, INDEX(Calculation!B$2:B9627, r),
    endD,   INDEX(Calculation!C$2:C9627, r),
    asOf,   MIN($A3333,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8076404.384</v>
      </c>
    </row>
    <row r="3334">
      <c r="A3334" s="19">
        <v>45569.0</v>
      </c>
      <c r="B3334" s="23">
        <v>1.0765E7</v>
      </c>
      <c r="C3334" s="23">
        <f t="shared" si="1"/>
        <v>11315932.05</v>
      </c>
      <c r="D3334" s="18">
        <f>IF(A3334="","",MATCH(A3334,Calculation!B$2:B9627,1))</f>
        <v>2</v>
      </c>
      <c r="E3334" s="23">
        <f t="array" ref="E3334">IF(D3334="","",IF(D3334=1,0,INDEX(Calculation!Q$2:Q9627,D3334-1)))</f>
        <v>3232449.315</v>
      </c>
      <c r="F3334" s="23">
        <f t="array" ref="F3334">IF($A3334="","",
  LET(
    r, $D3334,
    startD, INDEX(Calculation!B$2:B9627, r),
    endD,   INDEX(Calculation!C$2:C9627, r),
    asOf,   MIN($A3334,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8083482.74</v>
      </c>
    </row>
    <row r="3335">
      <c r="A3335" s="19">
        <v>45570.0</v>
      </c>
      <c r="B3335" s="23">
        <v>1.0765E7</v>
      </c>
      <c r="C3335" s="23">
        <f t="shared" si="1"/>
        <v>11323010.41</v>
      </c>
      <c r="D3335" s="18">
        <f>IF(A3335="","",MATCH(A3335,Calculation!B$2:B9627,1))</f>
        <v>2</v>
      </c>
      <c r="E3335" s="23">
        <f t="array" ref="E3335">IF(D3335="","",IF(D3335=1,0,INDEX(Calculation!Q$2:Q9627,D3335-1)))</f>
        <v>3232449.315</v>
      </c>
      <c r="F3335" s="23">
        <f t="array" ref="F3335">IF($A3335="","",
  LET(
    r, $D3335,
    startD, INDEX(Calculation!B$2:B9627, r),
    endD,   INDEX(Calculation!C$2:C9627, r),
    asOf,   MIN($A3335,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8090561.096</v>
      </c>
    </row>
    <row r="3336">
      <c r="A3336" s="19">
        <v>45571.0</v>
      </c>
      <c r="B3336" s="23">
        <v>1.0765E7</v>
      </c>
      <c r="C3336" s="23">
        <f t="shared" si="1"/>
        <v>11330088.77</v>
      </c>
      <c r="D3336" s="18">
        <f>IF(A3336="","",MATCH(A3336,Calculation!B$2:B9627,1))</f>
        <v>2</v>
      </c>
      <c r="E3336" s="23">
        <f t="array" ref="E3336">IF(D3336="","",IF(D3336=1,0,INDEX(Calculation!Q$2:Q9627,D3336-1)))</f>
        <v>3232449.315</v>
      </c>
      <c r="F3336" s="23">
        <f t="array" ref="F3336">IF($A3336="","",
  LET(
    r, $D3336,
    startD, INDEX(Calculation!B$2:B9627, r),
    endD,   INDEX(Calculation!C$2:C9627, r),
    asOf,   MIN($A3336,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8097639.452</v>
      </c>
    </row>
    <row r="3337">
      <c r="A3337" s="19">
        <v>45572.0</v>
      </c>
      <c r="B3337" s="23">
        <v>1.0765E7</v>
      </c>
      <c r="C3337" s="23">
        <f t="shared" si="1"/>
        <v>11337167.12</v>
      </c>
      <c r="D3337" s="18">
        <f>IF(A3337="","",MATCH(A3337,Calculation!B$2:B9627,1))</f>
        <v>2</v>
      </c>
      <c r="E3337" s="23">
        <f t="array" ref="E3337">IF(D3337="","",IF(D3337=1,0,INDEX(Calculation!Q$2:Q9627,D3337-1)))</f>
        <v>3232449.315</v>
      </c>
      <c r="F3337" s="23">
        <f t="array" ref="F3337">IF($A3337="","",
  LET(
    r, $D3337,
    startD, INDEX(Calculation!B$2:B9627, r),
    endD,   INDEX(Calculation!C$2:C9627, r),
    asOf,   MIN($A3337,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8104717.808</v>
      </c>
    </row>
    <row r="3338">
      <c r="A3338" s="19">
        <v>45573.0</v>
      </c>
      <c r="B3338" s="23">
        <v>1.0765E7</v>
      </c>
      <c r="C3338" s="23">
        <f t="shared" si="1"/>
        <v>11344245.48</v>
      </c>
      <c r="D3338" s="18">
        <f>IF(A3338="","",MATCH(A3338,Calculation!B$2:B9627,1))</f>
        <v>2</v>
      </c>
      <c r="E3338" s="23">
        <f t="array" ref="E3338">IF(D3338="","",IF(D3338=1,0,INDEX(Calculation!Q$2:Q9627,D3338-1)))</f>
        <v>3232449.315</v>
      </c>
      <c r="F3338" s="23">
        <f t="array" ref="F3338">IF($A3338="","",
  LET(
    r, $D3338,
    startD, INDEX(Calculation!B$2:B9627, r),
    endD,   INDEX(Calculation!C$2:C9627, r),
    asOf,   MIN($A3338,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8111796.164</v>
      </c>
    </row>
    <row r="3339">
      <c r="A3339" s="19">
        <v>45574.0</v>
      </c>
      <c r="B3339" s="23">
        <v>1.0765E7</v>
      </c>
      <c r="C3339" s="23">
        <f t="shared" si="1"/>
        <v>11351323.84</v>
      </c>
      <c r="D3339" s="18">
        <f>IF(A3339="","",MATCH(A3339,Calculation!B$2:B9627,1))</f>
        <v>2</v>
      </c>
      <c r="E3339" s="23">
        <f t="array" ref="E3339">IF(D3339="","",IF(D3339=1,0,INDEX(Calculation!Q$2:Q9627,D3339-1)))</f>
        <v>3232449.315</v>
      </c>
      <c r="F3339" s="23">
        <f t="array" ref="F3339">IF($A3339="","",
  LET(
    r, $D3339,
    startD, INDEX(Calculation!B$2:B9627, r),
    endD,   INDEX(Calculation!C$2:C9627, r),
    asOf,   MIN($A3339,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8118874.521</v>
      </c>
    </row>
    <row r="3340">
      <c r="A3340" s="19">
        <v>45575.0</v>
      </c>
      <c r="B3340" s="23">
        <v>1.0765E7</v>
      </c>
      <c r="C3340" s="23">
        <f t="shared" si="1"/>
        <v>11358402.19</v>
      </c>
      <c r="D3340" s="18">
        <f>IF(A3340="","",MATCH(A3340,Calculation!B$2:B9627,1))</f>
        <v>2</v>
      </c>
      <c r="E3340" s="23">
        <f t="array" ref="E3340">IF(D3340="","",IF(D3340=1,0,INDEX(Calculation!Q$2:Q9627,D3340-1)))</f>
        <v>3232449.315</v>
      </c>
      <c r="F3340" s="23">
        <f t="array" ref="F3340">IF($A3340="","",
  LET(
    r, $D3340,
    startD, INDEX(Calculation!B$2:B9627, r),
    endD,   INDEX(Calculation!C$2:C9627, r),
    asOf,   MIN($A3340,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8125952.877</v>
      </c>
    </row>
    <row r="3341">
      <c r="A3341" s="19">
        <v>45576.0</v>
      </c>
      <c r="B3341" s="23">
        <v>1.0765E7</v>
      </c>
      <c r="C3341" s="23">
        <f t="shared" si="1"/>
        <v>11365480.55</v>
      </c>
      <c r="D3341" s="18">
        <f>IF(A3341="","",MATCH(A3341,Calculation!B$2:B9627,1))</f>
        <v>2</v>
      </c>
      <c r="E3341" s="23">
        <f t="array" ref="E3341">IF(D3341="","",IF(D3341=1,0,INDEX(Calculation!Q$2:Q9627,D3341-1)))</f>
        <v>3232449.315</v>
      </c>
      <c r="F3341" s="23">
        <f t="array" ref="F3341">IF($A3341="","",
  LET(
    r, $D3341,
    startD, INDEX(Calculation!B$2:B9627, r),
    endD,   INDEX(Calculation!C$2:C9627, r),
    asOf,   MIN($A3341,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8133031.233</v>
      </c>
    </row>
    <row r="3342">
      <c r="A3342" s="19">
        <v>45577.0</v>
      </c>
      <c r="B3342" s="23">
        <v>1.0765E7</v>
      </c>
      <c r="C3342" s="23">
        <f t="shared" si="1"/>
        <v>11372558.9</v>
      </c>
      <c r="D3342" s="18">
        <f>IF(A3342="","",MATCH(A3342,Calculation!B$2:B9627,1))</f>
        <v>2</v>
      </c>
      <c r="E3342" s="23">
        <f t="array" ref="E3342">IF(D3342="","",IF(D3342=1,0,INDEX(Calculation!Q$2:Q9627,D3342-1)))</f>
        <v>3232449.315</v>
      </c>
      <c r="F3342" s="23">
        <f t="array" ref="F3342">IF($A3342="","",
  LET(
    r, $D3342,
    startD, INDEX(Calculation!B$2:B9627, r),
    endD,   INDEX(Calculation!C$2:C9627, r),
    asOf,   MIN($A3342,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8140109.589</v>
      </c>
    </row>
    <row r="3343">
      <c r="A3343" s="19">
        <v>45578.0</v>
      </c>
      <c r="B3343" s="23">
        <v>1.0765E7</v>
      </c>
      <c r="C3343" s="23">
        <f t="shared" si="1"/>
        <v>11379637.26</v>
      </c>
      <c r="D3343" s="18">
        <f>IF(A3343="","",MATCH(A3343,Calculation!B$2:B9627,1))</f>
        <v>2</v>
      </c>
      <c r="E3343" s="23">
        <f t="array" ref="E3343">IF(D3343="","",IF(D3343=1,0,INDEX(Calculation!Q$2:Q9627,D3343-1)))</f>
        <v>3232449.315</v>
      </c>
      <c r="F3343" s="23">
        <f t="array" ref="F3343">IF($A3343="","",
  LET(
    r, $D3343,
    startD, INDEX(Calculation!B$2:B9627, r),
    endD,   INDEX(Calculation!C$2:C9627, r),
    asOf,   MIN($A3343,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8147187.945</v>
      </c>
    </row>
    <row r="3344">
      <c r="A3344" s="19">
        <v>45579.0</v>
      </c>
      <c r="B3344" s="23">
        <v>1.0765E7</v>
      </c>
      <c r="C3344" s="23">
        <f t="shared" si="1"/>
        <v>11386715.62</v>
      </c>
      <c r="D3344" s="18">
        <f>IF(A3344="","",MATCH(A3344,Calculation!B$2:B9627,1))</f>
        <v>2</v>
      </c>
      <c r="E3344" s="23">
        <f t="array" ref="E3344">IF(D3344="","",IF(D3344=1,0,INDEX(Calculation!Q$2:Q9627,D3344-1)))</f>
        <v>3232449.315</v>
      </c>
      <c r="F3344" s="23">
        <f t="array" ref="F3344">IF($A3344="","",
  LET(
    r, $D3344,
    startD, INDEX(Calculation!B$2:B9627, r),
    endD,   INDEX(Calculation!C$2:C9627, r),
    asOf,   MIN($A3344,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8154266.301</v>
      </c>
    </row>
    <row r="3345">
      <c r="A3345" s="19">
        <v>45580.0</v>
      </c>
      <c r="B3345" s="23">
        <v>1.0765E7</v>
      </c>
      <c r="C3345" s="23">
        <f t="shared" si="1"/>
        <v>11393793.97</v>
      </c>
      <c r="D3345" s="18">
        <f>IF(A3345="","",MATCH(A3345,Calculation!B$2:B9627,1))</f>
        <v>2</v>
      </c>
      <c r="E3345" s="23">
        <f t="array" ref="E3345">IF(D3345="","",IF(D3345=1,0,INDEX(Calculation!Q$2:Q9627,D3345-1)))</f>
        <v>3232449.315</v>
      </c>
      <c r="F3345" s="23">
        <f t="array" ref="F3345">IF($A3345="","",
  LET(
    r, $D3345,
    startD, INDEX(Calculation!B$2:B9627, r),
    endD,   INDEX(Calculation!C$2:C9627, r),
    asOf,   MIN($A3345,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8161344.658</v>
      </c>
    </row>
    <row r="3346">
      <c r="A3346" s="19">
        <v>45581.0</v>
      </c>
      <c r="B3346" s="23">
        <v>1.0765E7</v>
      </c>
      <c r="C3346" s="23">
        <f t="shared" si="1"/>
        <v>11400872.33</v>
      </c>
      <c r="D3346" s="18">
        <f>IF(A3346="","",MATCH(A3346,Calculation!B$2:B9627,1))</f>
        <v>2</v>
      </c>
      <c r="E3346" s="23">
        <f t="array" ref="E3346">IF(D3346="","",IF(D3346=1,0,INDEX(Calculation!Q$2:Q9627,D3346-1)))</f>
        <v>3232449.315</v>
      </c>
      <c r="F3346" s="23">
        <f t="array" ref="F3346">IF($A3346="","",
  LET(
    r, $D3346,
    startD, INDEX(Calculation!B$2:B9627, r),
    endD,   INDEX(Calculation!C$2:C9627, r),
    asOf,   MIN($A3346,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8168423.014</v>
      </c>
    </row>
    <row r="3347">
      <c r="A3347" s="19">
        <v>45582.0</v>
      </c>
      <c r="B3347" s="23">
        <v>1.0765E7</v>
      </c>
      <c r="C3347" s="23">
        <f t="shared" si="1"/>
        <v>11407950.68</v>
      </c>
      <c r="D3347" s="18">
        <f>IF(A3347="","",MATCH(A3347,Calculation!B$2:B9627,1))</f>
        <v>2</v>
      </c>
      <c r="E3347" s="23">
        <f t="array" ref="E3347">IF(D3347="","",IF(D3347=1,0,INDEX(Calculation!Q$2:Q9627,D3347-1)))</f>
        <v>3232449.315</v>
      </c>
      <c r="F3347" s="23">
        <f t="array" ref="F3347">IF($A3347="","",
  LET(
    r, $D3347,
    startD, INDEX(Calculation!B$2:B9627, r),
    endD,   INDEX(Calculation!C$2:C9627, r),
    asOf,   MIN($A3347,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8175501.37</v>
      </c>
    </row>
    <row r="3348">
      <c r="A3348" s="19">
        <v>45583.0</v>
      </c>
      <c r="B3348" s="23">
        <v>1.0765E7</v>
      </c>
      <c r="C3348" s="23">
        <f t="shared" si="1"/>
        <v>11415029.04</v>
      </c>
      <c r="D3348" s="18">
        <f>IF(A3348="","",MATCH(A3348,Calculation!B$2:B9627,1))</f>
        <v>2</v>
      </c>
      <c r="E3348" s="23">
        <f t="array" ref="E3348">IF(D3348="","",IF(D3348=1,0,INDEX(Calculation!Q$2:Q9627,D3348-1)))</f>
        <v>3232449.315</v>
      </c>
      <c r="F3348" s="23">
        <f t="array" ref="F3348">IF($A3348="","",
  LET(
    r, $D3348,
    startD, INDEX(Calculation!B$2:B9627, r),
    endD,   INDEX(Calculation!C$2:C9627, r),
    asOf,   MIN($A3348,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8182579.726</v>
      </c>
    </row>
    <row r="3349">
      <c r="A3349" s="19">
        <v>45584.0</v>
      </c>
      <c r="B3349" s="23">
        <v>1.0765E7</v>
      </c>
      <c r="C3349" s="23">
        <f t="shared" si="1"/>
        <v>11422107.4</v>
      </c>
      <c r="D3349" s="18">
        <f>IF(A3349="","",MATCH(A3349,Calculation!B$2:B9627,1))</f>
        <v>2</v>
      </c>
      <c r="E3349" s="23">
        <f t="array" ref="E3349">IF(D3349="","",IF(D3349=1,0,INDEX(Calculation!Q$2:Q9627,D3349-1)))</f>
        <v>3232449.315</v>
      </c>
      <c r="F3349" s="23">
        <f t="array" ref="F3349">IF($A3349="","",
  LET(
    r, $D3349,
    startD, INDEX(Calculation!B$2:B9627, r),
    endD,   INDEX(Calculation!C$2:C9627, r),
    asOf,   MIN($A3349,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8189658.082</v>
      </c>
    </row>
    <row r="3350">
      <c r="A3350" s="19">
        <v>45585.0</v>
      </c>
      <c r="B3350" s="23">
        <v>1.0765E7</v>
      </c>
      <c r="C3350" s="23">
        <f t="shared" si="1"/>
        <v>11429185.75</v>
      </c>
      <c r="D3350" s="18">
        <f>IF(A3350="","",MATCH(A3350,Calculation!B$2:B9627,1))</f>
        <v>2</v>
      </c>
      <c r="E3350" s="23">
        <f t="array" ref="E3350">IF(D3350="","",IF(D3350=1,0,INDEX(Calculation!Q$2:Q9627,D3350-1)))</f>
        <v>3232449.315</v>
      </c>
      <c r="F3350" s="23">
        <f t="array" ref="F3350">IF($A3350="","",
  LET(
    r, $D3350,
    startD, INDEX(Calculation!B$2:B9627, r),
    endD,   INDEX(Calculation!C$2:C9627, r),
    asOf,   MIN($A3350,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8196736.438</v>
      </c>
    </row>
    <row r="3351">
      <c r="A3351" s="19">
        <v>45586.0</v>
      </c>
      <c r="B3351" s="23">
        <v>1.0765E7</v>
      </c>
      <c r="C3351" s="23">
        <f t="shared" si="1"/>
        <v>11436264.11</v>
      </c>
      <c r="D3351" s="18">
        <f>IF(A3351="","",MATCH(A3351,Calculation!B$2:B9627,1))</f>
        <v>2</v>
      </c>
      <c r="E3351" s="23">
        <f t="array" ref="E3351">IF(D3351="","",IF(D3351=1,0,INDEX(Calculation!Q$2:Q9627,D3351-1)))</f>
        <v>3232449.315</v>
      </c>
      <c r="F3351" s="23">
        <f t="array" ref="F3351">IF($A3351="","",
  LET(
    r, $D3351,
    startD, INDEX(Calculation!B$2:B9627, r),
    endD,   INDEX(Calculation!C$2:C9627, r),
    asOf,   MIN($A3351,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8203814.795</v>
      </c>
    </row>
    <row r="3352">
      <c r="A3352" s="19">
        <v>45587.0</v>
      </c>
      <c r="B3352" s="23">
        <v>1.0765E7</v>
      </c>
      <c r="C3352" s="23">
        <f t="shared" si="1"/>
        <v>11443342.47</v>
      </c>
      <c r="D3352" s="18">
        <f>IF(A3352="","",MATCH(A3352,Calculation!B$2:B9627,1))</f>
        <v>2</v>
      </c>
      <c r="E3352" s="23">
        <f t="array" ref="E3352">IF(D3352="","",IF(D3352=1,0,INDEX(Calculation!Q$2:Q9627,D3352-1)))</f>
        <v>3232449.315</v>
      </c>
      <c r="F3352" s="23">
        <f t="array" ref="F3352">IF($A3352="","",
  LET(
    r, $D3352,
    startD, INDEX(Calculation!B$2:B9627, r),
    endD,   INDEX(Calculation!C$2:C9627, r),
    asOf,   MIN($A3352,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8210893.151</v>
      </c>
    </row>
    <row r="3353">
      <c r="A3353" s="19">
        <v>45588.0</v>
      </c>
      <c r="B3353" s="23">
        <v>1.0765E7</v>
      </c>
      <c r="C3353" s="23">
        <f t="shared" si="1"/>
        <v>11450420.82</v>
      </c>
      <c r="D3353" s="18">
        <f>IF(A3353="","",MATCH(A3353,Calculation!B$2:B9627,1))</f>
        <v>2</v>
      </c>
      <c r="E3353" s="23">
        <f t="array" ref="E3353">IF(D3353="","",IF(D3353=1,0,INDEX(Calculation!Q$2:Q9627,D3353-1)))</f>
        <v>3232449.315</v>
      </c>
      <c r="F3353" s="23">
        <f t="array" ref="F3353">IF($A3353="","",
  LET(
    r, $D3353,
    startD, INDEX(Calculation!B$2:B9627, r),
    endD,   INDEX(Calculation!C$2:C9627, r),
    asOf,   MIN($A3353,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8217971.507</v>
      </c>
    </row>
    <row r="3354">
      <c r="A3354" s="19">
        <v>45589.0</v>
      </c>
      <c r="B3354" s="23">
        <v>1.0765E7</v>
      </c>
      <c r="C3354" s="23">
        <f t="shared" si="1"/>
        <v>11457499.18</v>
      </c>
      <c r="D3354" s="18">
        <f>IF(A3354="","",MATCH(A3354,Calculation!B$2:B9627,1))</f>
        <v>2</v>
      </c>
      <c r="E3354" s="23">
        <f t="array" ref="E3354">IF(D3354="","",IF(D3354=1,0,INDEX(Calculation!Q$2:Q9627,D3354-1)))</f>
        <v>3232449.315</v>
      </c>
      <c r="F3354" s="23">
        <f t="array" ref="F3354">IF($A3354="","",
  LET(
    r, $D3354,
    startD, INDEX(Calculation!B$2:B9627, r),
    endD,   INDEX(Calculation!C$2:C9627, r),
    asOf,   MIN($A3354,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8225049.863</v>
      </c>
    </row>
    <row r="3355">
      <c r="A3355" s="19">
        <v>45590.0</v>
      </c>
      <c r="B3355" s="23">
        <v>1.0765E7</v>
      </c>
      <c r="C3355" s="23">
        <f t="shared" si="1"/>
        <v>11464577.53</v>
      </c>
      <c r="D3355" s="18">
        <f>IF(A3355="","",MATCH(A3355,Calculation!B$2:B9627,1))</f>
        <v>2</v>
      </c>
      <c r="E3355" s="23">
        <f t="array" ref="E3355">IF(D3355="","",IF(D3355=1,0,INDEX(Calculation!Q$2:Q9627,D3355-1)))</f>
        <v>3232449.315</v>
      </c>
      <c r="F3355" s="23">
        <f t="array" ref="F3355">IF($A3355="","",
  LET(
    r, $D3355,
    startD, INDEX(Calculation!B$2:B9627, r),
    endD,   INDEX(Calculation!C$2:C9627, r),
    asOf,   MIN($A3355,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8232128.219</v>
      </c>
    </row>
    <row r="3356">
      <c r="A3356" s="19">
        <v>45591.0</v>
      </c>
      <c r="B3356" s="23">
        <v>1.0765E7</v>
      </c>
      <c r="C3356" s="23">
        <f t="shared" si="1"/>
        <v>11471655.89</v>
      </c>
      <c r="D3356" s="18">
        <f>IF(A3356="","",MATCH(A3356,Calculation!B$2:B9627,1))</f>
        <v>2</v>
      </c>
      <c r="E3356" s="23">
        <f t="array" ref="E3356">IF(D3356="","",IF(D3356=1,0,INDEX(Calculation!Q$2:Q9627,D3356-1)))</f>
        <v>3232449.315</v>
      </c>
      <c r="F3356" s="23">
        <f t="array" ref="F3356">IF($A3356="","",
  LET(
    r, $D3356,
    startD, INDEX(Calculation!B$2:B9627, r),
    endD,   INDEX(Calculation!C$2:C9627, r),
    asOf,   MIN($A3356,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8239206.575</v>
      </c>
    </row>
    <row r="3357">
      <c r="A3357" s="19">
        <v>45592.0</v>
      </c>
      <c r="B3357" s="23">
        <v>1.0765E7</v>
      </c>
      <c r="C3357" s="23">
        <f t="shared" si="1"/>
        <v>11478734.25</v>
      </c>
      <c r="D3357" s="18">
        <f>IF(A3357="","",MATCH(A3357,Calculation!B$2:B9627,1))</f>
        <v>2</v>
      </c>
      <c r="E3357" s="23">
        <f t="array" ref="E3357">IF(D3357="","",IF(D3357=1,0,INDEX(Calculation!Q$2:Q9627,D3357-1)))</f>
        <v>3232449.315</v>
      </c>
      <c r="F3357" s="23">
        <f t="array" ref="F3357">IF($A3357="","",
  LET(
    r, $D3357,
    startD, INDEX(Calculation!B$2:B9627, r),
    endD,   INDEX(Calculation!C$2:C9627, r),
    asOf,   MIN($A3357,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8246284.932</v>
      </c>
    </row>
    <row r="3358">
      <c r="A3358" s="19">
        <v>45593.0</v>
      </c>
      <c r="B3358" s="23">
        <v>1.0765E7</v>
      </c>
      <c r="C3358" s="23">
        <f t="shared" si="1"/>
        <v>11485812.6</v>
      </c>
      <c r="D3358" s="18">
        <f>IF(A3358="","",MATCH(A3358,Calculation!B$2:B9627,1))</f>
        <v>2</v>
      </c>
      <c r="E3358" s="23">
        <f t="array" ref="E3358">IF(D3358="","",IF(D3358=1,0,INDEX(Calculation!Q$2:Q9627,D3358-1)))</f>
        <v>3232449.315</v>
      </c>
      <c r="F3358" s="23">
        <f t="array" ref="F3358">IF($A3358="","",
  LET(
    r, $D3358,
    startD, INDEX(Calculation!B$2:B9627, r),
    endD,   INDEX(Calculation!C$2:C9627, r),
    asOf,   MIN($A3358,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8253363.288</v>
      </c>
    </row>
    <row r="3359">
      <c r="A3359" s="19">
        <v>45594.0</v>
      </c>
      <c r="B3359" s="23">
        <v>1.0765E7</v>
      </c>
      <c r="C3359" s="23">
        <f t="shared" si="1"/>
        <v>11492890.96</v>
      </c>
      <c r="D3359" s="18">
        <f>IF(A3359="","",MATCH(A3359,Calculation!B$2:B9627,1))</f>
        <v>2</v>
      </c>
      <c r="E3359" s="23">
        <f t="array" ref="E3359">IF(D3359="","",IF(D3359=1,0,INDEX(Calculation!Q$2:Q9627,D3359-1)))</f>
        <v>3232449.315</v>
      </c>
      <c r="F3359" s="23">
        <f t="array" ref="F3359">IF($A3359="","",
  LET(
    r, $D3359,
    startD, INDEX(Calculation!B$2:B9627, r),
    endD,   INDEX(Calculation!C$2:C9627, r),
    asOf,   MIN($A3359,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8260441.644</v>
      </c>
    </row>
    <row r="3360">
      <c r="A3360" s="19">
        <v>45595.0</v>
      </c>
      <c r="B3360" s="23">
        <v>1.0765E7</v>
      </c>
      <c r="C3360" s="23">
        <f t="shared" si="1"/>
        <v>11499969.32</v>
      </c>
      <c r="D3360" s="18">
        <f>IF(A3360="","",MATCH(A3360,Calculation!B$2:B9627,1))</f>
        <v>2</v>
      </c>
      <c r="E3360" s="23">
        <f t="array" ref="E3360">IF(D3360="","",IF(D3360=1,0,INDEX(Calculation!Q$2:Q9627,D3360-1)))</f>
        <v>3232449.315</v>
      </c>
      <c r="F3360" s="23">
        <f t="array" ref="F3360">IF($A3360="","",
  LET(
    r, $D3360,
    startD, INDEX(Calculation!B$2:B9627, r),
    endD,   INDEX(Calculation!C$2:C9627, r),
    asOf,   MIN($A3360,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8267520</v>
      </c>
    </row>
    <row r="3361">
      <c r="A3361" s="19">
        <v>45596.0</v>
      </c>
      <c r="B3361" s="23">
        <v>1.0765E7</v>
      </c>
      <c r="C3361" s="23">
        <f t="shared" si="1"/>
        <v>11507047.67</v>
      </c>
      <c r="D3361" s="18">
        <f>IF(A3361="","",MATCH(A3361,Calculation!B$2:B9627,1))</f>
        <v>2</v>
      </c>
      <c r="E3361" s="23">
        <f t="array" ref="E3361">IF(D3361="","",IF(D3361=1,0,INDEX(Calculation!Q$2:Q9627,D3361-1)))</f>
        <v>3232449.315</v>
      </c>
      <c r="F3361" s="23">
        <f t="array" ref="F3361">IF($A3361="","",
  LET(
    r, $D3361,
    startD, INDEX(Calculation!B$2:B9627, r),
    endD,   INDEX(Calculation!C$2:C9627, r),
    asOf,   MIN($A3361,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8274598.356</v>
      </c>
    </row>
    <row r="3362">
      <c r="A3362" s="19">
        <v>45597.0</v>
      </c>
      <c r="B3362" s="23">
        <v>1.0765E7</v>
      </c>
      <c r="C3362" s="23">
        <f t="shared" si="1"/>
        <v>11514126.03</v>
      </c>
      <c r="D3362" s="18">
        <f>IF(A3362="","",MATCH(A3362,Calculation!B$2:B9627,1))</f>
        <v>2</v>
      </c>
      <c r="E3362" s="23">
        <f t="array" ref="E3362">IF(D3362="","",IF(D3362=1,0,INDEX(Calculation!Q$2:Q9627,D3362-1)))</f>
        <v>3232449.315</v>
      </c>
      <c r="F3362" s="23">
        <f t="array" ref="F3362">IF($A3362="","",
  LET(
    r, $D3362,
    startD, INDEX(Calculation!B$2:B9627, r),
    endD,   INDEX(Calculation!C$2:C9627, r),
    asOf,   MIN($A3362,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8281676.712</v>
      </c>
    </row>
    <row r="3363">
      <c r="A3363" s="19">
        <v>45598.0</v>
      </c>
      <c r="B3363" s="23">
        <v>1.0765E7</v>
      </c>
      <c r="C3363" s="23">
        <f t="shared" si="1"/>
        <v>11521204.38</v>
      </c>
      <c r="D3363" s="18">
        <f>IF(A3363="","",MATCH(A3363,Calculation!B$2:B9627,1))</f>
        <v>2</v>
      </c>
      <c r="E3363" s="23">
        <f t="array" ref="E3363">IF(D3363="","",IF(D3363=1,0,INDEX(Calculation!Q$2:Q9627,D3363-1)))</f>
        <v>3232449.315</v>
      </c>
      <c r="F3363" s="23">
        <f t="array" ref="F3363">IF($A3363="","",
  LET(
    r, $D3363,
    startD, INDEX(Calculation!B$2:B9627, r),
    endD,   INDEX(Calculation!C$2:C9627, r),
    asOf,   MIN($A3363,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8288755.068</v>
      </c>
    </row>
    <row r="3364">
      <c r="A3364" s="19">
        <v>45599.0</v>
      </c>
      <c r="B3364" s="23">
        <v>1.0765E7</v>
      </c>
      <c r="C3364" s="23">
        <f t="shared" si="1"/>
        <v>11528282.74</v>
      </c>
      <c r="D3364" s="18">
        <f>IF(A3364="","",MATCH(A3364,Calculation!B$2:B9627,1))</f>
        <v>2</v>
      </c>
      <c r="E3364" s="23">
        <f t="array" ref="E3364">IF(D3364="","",IF(D3364=1,0,INDEX(Calculation!Q$2:Q9627,D3364-1)))</f>
        <v>3232449.315</v>
      </c>
      <c r="F3364" s="23">
        <f t="array" ref="F3364">IF($A3364="","",
  LET(
    r, $D3364,
    startD, INDEX(Calculation!B$2:B9627, r),
    endD,   INDEX(Calculation!C$2:C9627, r),
    asOf,   MIN($A3364,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8295833.425</v>
      </c>
    </row>
    <row r="3365">
      <c r="A3365" s="19">
        <v>45600.0</v>
      </c>
      <c r="B3365" s="23">
        <v>1.0765E7</v>
      </c>
      <c r="C3365" s="23">
        <f t="shared" si="1"/>
        <v>11535361.1</v>
      </c>
      <c r="D3365" s="18">
        <f>IF(A3365="","",MATCH(A3365,Calculation!B$2:B9627,1))</f>
        <v>2</v>
      </c>
      <c r="E3365" s="23">
        <f t="array" ref="E3365">IF(D3365="","",IF(D3365=1,0,INDEX(Calculation!Q$2:Q9627,D3365-1)))</f>
        <v>3232449.315</v>
      </c>
      <c r="F3365" s="23">
        <f t="array" ref="F3365">IF($A3365="","",
  LET(
    r, $D3365,
    startD, INDEX(Calculation!B$2:B9627, r),
    endD,   INDEX(Calculation!C$2:C9627, r),
    asOf,   MIN($A3365,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8302911.781</v>
      </c>
    </row>
    <row r="3366">
      <c r="A3366" s="19">
        <v>45601.0</v>
      </c>
      <c r="B3366" s="23">
        <v>1.0765E7</v>
      </c>
      <c r="C3366" s="23">
        <f t="shared" si="1"/>
        <v>11542439.45</v>
      </c>
      <c r="D3366" s="18">
        <f>IF(A3366="","",MATCH(A3366,Calculation!B$2:B9627,1))</f>
        <v>2</v>
      </c>
      <c r="E3366" s="23">
        <f t="array" ref="E3366">IF(D3366="","",IF(D3366=1,0,INDEX(Calculation!Q$2:Q9627,D3366-1)))</f>
        <v>3232449.315</v>
      </c>
      <c r="F3366" s="23">
        <f t="array" ref="F3366">IF($A3366="","",
  LET(
    r, $D3366,
    startD, INDEX(Calculation!B$2:B9627, r),
    endD,   INDEX(Calculation!C$2:C9627, r),
    asOf,   MIN($A3366,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8309990.137</v>
      </c>
    </row>
    <row r="3367">
      <c r="A3367" s="19">
        <v>45602.0</v>
      </c>
      <c r="B3367" s="23">
        <v>1.0765E7</v>
      </c>
      <c r="C3367" s="23">
        <f t="shared" si="1"/>
        <v>11549517.81</v>
      </c>
      <c r="D3367" s="18">
        <f>IF(A3367="","",MATCH(A3367,Calculation!B$2:B9627,1))</f>
        <v>2</v>
      </c>
      <c r="E3367" s="23">
        <f t="array" ref="E3367">IF(D3367="","",IF(D3367=1,0,INDEX(Calculation!Q$2:Q9627,D3367-1)))</f>
        <v>3232449.315</v>
      </c>
      <c r="F3367" s="23">
        <f t="array" ref="F3367">IF($A3367="","",
  LET(
    r, $D3367,
    startD, INDEX(Calculation!B$2:B9627, r),
    endD,   INDEX(Calculation!C$2:C9627, r),
    asOf,   MIN($A3367,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8317068.493</v>
      </c>
    </row>
    <row r="3368">
      <c r="A3368" s="19">
        <v>45603.0</v>
      </c>
      <c r="B3368" s="23">
        <v>1.0765E7</v>
      </c>
      <c r="C3368" s="23">
        <f t="shared" si="1"/>
        <v>11556596.16</v>
      </c>
      <c r="D3368" s="18">
        <f>IF(A3368="","",MATCH(A3368,Calculation!B$2:B9627,1))</f>
        <v>2</v>
      </c>
      <c r="E3368" s="23">
        <f t="array" ref="E3368">IF(D3368="","",IF(D3368=1,0,INDEX(Calculation!Q$2:Q9627,D3368-1)))</f>
        <v>3232449.315</v>
      </c>
      <c r="F3368" s="23">
        <f t="array" ref="F3368">IF($A3368="","",
  LET(
    r, $D3368,
    startD, INDEX(Calculation!B$2:B9627, r),
    endD,   INDEX(Calculation!C$2:C9627, r),
    asOf,   MIN($A3368,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8324146.849</v>
      </c>
    </row>
    <row r="3369">
      <c r="A3369" s="19">
        <v>45604.0</v>
      </c>
      <c r="B3369" s="23">
        <v>1.0765E7</v>
      </c>
      <c r="C3369" s="23">
        <f t="shared" si="1"/>
        <v>11563674.52</v>
      </c>
      <c r="D3369" s="18">
        <f>IF(A3369="","",MATCH(A3369,Calculation!B$2:B9627,1))</f>
        <v>2</v>
      </c>
      <c r="E3369" s="23">
        <f t="array" ref="E3369">IF(D3369="","",IF(D3369=1,0,INDEX(Calculation!Q$2:Q9627,D3369-1)))</f>
        <v>3232449.315</v>
      </c>
      <c r="F3369" s="23">
        <f t="array" ref="F3369">IF($A3369="","",
  LET(
    r, $D3369,
    startD, INDEX(Calculation!B$2:B9627, r),
    endD,   INDEX(Calculation!C$2:C9627, r),
    asOf,   MIN($A3369,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8331225.205</v>
      </c>
    </row>
    <row r="3370">
      <c r="A3370" s="19">
        <v>45605.0</v>
      </c>
      <c r="B3370" s="23">
        <v>1.0765E7</v>
      </c>
      <c r="C3370" s="23">
        <f t="shared" si="1"/>
        <v>11570752.88</v>
      </c>
      <c r="D3370" s="18">
        <f>IF(A3370="","",MATCH(A3370,Calculation!B$2:B9627,1))</f>
        <v>2</v>
      </c>
      <c r="E3370" s="23">
        <f t="array" ref="E3370">IF(D3370="","",IF(D3370=1,0,INDEX(Calculation!Q$2:Q9627,D3370-1)))</f>
        <v>3232449.315</v>
      </c>
      <c r="F3370" s="23">
        <f t="array" ref="F3370">IF($A3370="","",
  LET(
    r, $D3370,
    startD, INDEX(Calculation!B$2:B9627, r),
    endD,   INDEX(Calculation!C$2:C9627, r),
    asOf,   MIN($A3370,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8338303.562</v>
      </c>
    </row>
    <row r="3371">
      <c r="A3371" s="19">
        <v>45606.0</v>
      </c>
      <c r="B3371" s="23">
        <v>1.0765E7</v>
      </c>
      <c r="C3371" s="23">
        <f t="shared" si="1"/>
        <v>11577831.23</v>
      </c>
      <c r="D3371" s="18">
        <f>IF(A3371="","",MATCH(A3371,Calculation!B$2:B9627,1))</f>
        <v>2</v>
      </c>
      <c r="E3371" s="23">
        <f t="array" ref="E3371">IF(D3371="","",IF(D3371=1,0,INDEX(Calculation!Q$2:Q9627,D3371-1)))</f>
        <v>3232449.315</v>
      </c>
      <c r="F3371" s="23">
        <f t="array" ref="F3371">IF($A3371="","",
  LET(
    r, $D3371,
    startD, INDEX(Calculation!B$2:B9627, r),
    endD,   INDEX(Calculation!C$2:C9627, r),
    asOf,   MIN($A3371,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8345381.918</v>
      </c>
    </row>
    <row r="3372">
      <c r="A3372" s="19">
        <v>45607.0</v>
      </c>
      <c r="B3372" s="23">
        <v>1.0765E7</v>
      </c>
      <c r="C3372" s="23">
        <f t="shared" si="1"/>
        <v>11584909.59</v>
      </c>
      <c r="D3372" s="18">
        <f>IF(A3372="","",MATCH(A3372,Calculation!B$2:B9627,1))</f>
        <v>2</v>
      </c>
      <c r="E3372" s="23">
        <f t="array" ref="E3372">IF(D3372="","",IF(D3372=1,0,INDEX(Calculation!Q$2:Q9627,D3372-1)))</f>
        <v>3232449.315</v>
      </c>
      <c r="F3372" s="23">
        <f t="array" ref="F3372">IF($A3372="","",
  LET(
    r, $D3372,
    startD, INDEX(Calculation!B$2:B9627, r),
    endD,   INDEX(Calculation!C$2:C9627, r),
    asOf,   MIN($A3372,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8352460.274</v>
      </c>
    </row>
    <row r="3373">
      <c r="A3373" s="19">
        <v>45608.0</v>
      </c>
      <c r="B3373" s="23">
        <v>1.0765E7</v>
      </c>
      <c r="C3373" s="23">
        <f t="shared" si="1"/>
        <v>11591987.95</v>
      </c>
      <c r="D3373" s="18">
        <f>IF(A3373="","",MATCH(A3373,Calculation!B$2:B9627,1))</f>
        <v>2</v>
      </c>
      <c r="E3373" s="23">
        <f t="array" ref="E3373">IF(D3373="","",IF(D3373=1,0,INDEX(Calculation!Q$2:Q9627,D3373-1)))</f>
        <v>3232449.315</v>
      </c>
      <c r="F3373" s="23">
        <f t="array" ref="F3373">IF($A3373="","",
  LET(
    r, $D3373,
    startD, INDEX(Calculation!B$2:B9627, r),
    endD,   INDEX(Calculation!C$2:C9627, r),
    asOf,   MIN($A3373,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8359538.63</v>
      </c>
    </row>
    <row r="3374">
      <c r="A3374" s="19">
        <v>45609.0</v>
      </c>
      <c r="B3374" s="23">
        <v>1.0765E7</v>
      </c>
      <c r="C3374" s="23">
        <f t="shared" si="1"/>
        <v>11599066.3</v>
      </c>
      <c r="D3374" s="18">
        <f>IF(A3374="","",MATCH(A3374,Calculation!B$2:B9627,1))</f>
        <v>2</v>
      </c>
      <c r="E3374" s="23">
        <f t="array" ref="E3374">IF(D3374="","",IF(D3374=1,0,INDEX(Calculation!Q$2:Q9627,D3374-1)))</f>
        <v>3232449.315</v>
      </c>
      <c r="F3374" s="23">
        <f t="array" ref="F3374">IF($A3374="","",
  LET(
    r, $D3374,
    startD, INDEX(Calculation!B$2:B9627, r),
    endD,   INDEX(Calculation!C$2:C9627, r),
    asOf,   MIN($A3374,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8366616.986</v>
      </c>
    </row>
    <row r="3375">
      <c r="A3375" s="19">
        <v>45610.0</v>
      </c>
      <c r="B3375" s="23">
        <v>1.0765E7</v>
      </c>
      <c r="C3375" s="23">
        <f t="shared" si="1"/>
        <v>11606144.66</v>
      </c>
      <c r="D3375" s="18">
        <f>IF(A3375="","",MATCH(A3375,Calculation!B$2:B9627,1))</f>
        <v>2</v>
      </c>
      <c r="E3375" s="23">
        <f t="array" ref="E3375">IF(D3375="","",IF(D3375=1,0,INDEX(Calculation!Q$2:Q9627,D3375-1)))</f>
        <v>3232449.315</v>
      </c>
      <c r="F3375" s="23">
        <f t="array" ref="F3375">IF($A3375="","",
  LET(
    r, $D3375,
    startD, INDEX(Calculation!B$2:B9627, r),
    endD,   INDEX(Calculation!C$2:C9627, r),
    asOf,   MIN($A3375,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8373695.342</v>
      </c>
    </row>
    <row r="3376">
      <c r="A3376" s="19">
        <v>45611.0</v>
      </c>
      <c r="B3376" s="23">
        <v>1.0765E7</v>
      </c>
      <c r="C3376" s="23">
        <f t="shared" si="1"/>
        <v>11613223.01</v>
      </c>
      <c r="D3376" s="18">
        <f>IF(A3376="","",MATCH(A3376,Calculation!B$2:B9627,1))</f>
        <v>2</v>
      </c>
      <c r="E3376" s="23">
        <f t="array" ref="E3376">IF(D3376="","",IF(D3376=1,0,INDEX(Calculation!Q$2:Q9627,D3376-1)))</f>
        <v>3232449.315</v>
      </c>
      <c r="F3376" s="23">
        <f t="array" ref="F3376">IF($A3376="","",
  LET(
    r, $D3376,
    startD, INDEX(Calculation!B$2:B9627, r),
    endD,   INDEX(Calculation!C$2:C9627, r),
    asOf,   MIN($A3376,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8380773.699</v>
      </c>
    </row>
    <row r="3377">
      <c r="A3377" s="19">
        <v>45612.0</v>
      </c>
      <c r="B3377" s="23">
        <v>1.0765E7</v>
      </c>
      <c r="C3377" s="23">
        <f t="shared" si="1"/>
        <v>11620301.37</v>
      </c>
      <c r="D3377" s="18">
        <f>IF(A3377="","",MATCH(A3377,Calculation!B$2:B9627,1))</f>
        <v>2</v>
      </c>
      <c r="E3377" s="23">
        <f t="array" ref="E3377">IF(D3377="","",IF(D3377=1,0,INDEX(Calculation!Q$2:Q9627,D3377-1)))</f>
        <v>3232449.315</v>
      </c>
      <c r="F3377" s="23">
        <f t="array" ref="F3377">IF($A3377="","",
  LET(
    r, $D3377,
    startD, INDEX(Calculation!B$2:B9627, r),
    endD,   INDEX(Calculation!C$2:C9627, r),
    asOf,   MIN($A3377,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8387852.055</v>
      </c>
    </row>
    <row r="3378">
      <c r="A3378" s="19">
        <v>45613.0</v>
      </c>
      <c r="B3378" s="23">
        <v>1.0765E7</v>
      </c>
      <c r="C3378" s="23">
        <f t="shared" si="1"/>
        <v>11627379.73</v>
      </c>
      <c r="D3378" s="18">
        <f>IF(A3378="","",MATCH(A3378,Calculation!B$2:B9627,1))</f>
        <v>2</v>
      </c>
      <c r="E3378" s="23">
        <f t="array" ref="E3378">IF(D3378="","",IF(D3378=1,0,INDEX(Calculation!Q$2:Q9627,D3378-1)))</f>
        <v>3232449.315</v>
      </c>
      <c r="F3378" s="23">
        <f t="array" ref="F3378">IF($A3378="","",
  LET(
    r, $D3378,
    startD, INDEX(Calculation!B$2:B9627, r),
    endD,   INDEX(Calculation!C$2:C9627, r),
    asOf,   MIN($A3378,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8394930.411</v>
      </c>
    </row>
    <row r="3379">
      <c r="A3379" s="19">
        <v>45614.0</v>
      </c>
      <c r="B3379" s="23">
        <v>1.0765E7</v>
      </c>
      <c r="C3379" s="23">
        <f t="shared" si="1"/>
        <v>11634458.08</v>
      </c>
      <c r="D3379" s="18">
        <f>IF(A3379="","",MATCH(A3379,Calculation!B$2:B9627,1))</f>
        <v>2</v>
      </c>
      <c r="E3379" s="23">
        <f t="array" ref="E3379">IF(D3379="","",IF(D3379=1,0,INDEX(Calculation!Q$2:Q9627,D3379-1)))</f>
        <v>3232449.315</v>
      </c>
      <c r="F3379" s="23">
        <f t="array" ref="F3379">IF($A3379="","",
  LET(
    r, $D3379,
    startD, INDEX(Calculation!B$2:B9627, r),
    endD,   INDEX(Calculation!C$2:C9627, r),
    asOf,   MIN($A3379,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8402008.767</v>
      </c>
    </row>
    <row r="3380">
      <c r="A3380" s="19">
        <v>45615.0</v>
      </c>
      <c r="B3380" s="23">
        <v>1.0765E7</v>
      </c>
      <c r="C3380" s="23">
        <f t="shared" si="1"/>
        <v>11641536.44</v>
      </c>
      <c r="D3380" s="18">
        <f>IF(A3380="","",MATCH(A3380,Calculation!B$2:B9627,1))</f>
        <v>2</v>
      </c>
      <c r="E3380" s="23">
        <f t="array" ref="E3380">IF(D3380="","",IF(D3380=1,0,INDEX(Calculation!Q$2:Q9627,D3380-1)))</f>
        <v>3232449.315</v>
      </c>
      <c r="F3380" s="23">
        <f t="array" ref="F3380">IF($A3380="","",
  LET(
    r, $D3380,
    startD, INDEX(Calculation!B$2:B9627, r),
    endD,   INDEX(Calculation!C$2:C9627, r),
    asOf,   MIN($A3380,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8409087.123</v>
      </c>
    </row>
    <row r="3381">
      <c r="A3381" s="19">
        <v>45616.0</v>
      </c>
      <c r="B3381" s="23">
        <v>1.0765E7</v>
      </c>
      <c r="C3381" s="23">
        <f t="shared" si="1"/>
        <v>11648614.79</v>
      </c>
      <c r="D3381" s="18">
        <f>IF(A3381="","",MATCH(A3381,Calculation!B$2:B9627,1))</f>
        <v>2</v>
      </c>
      <c r="E3381" s="23">
        <f t="array" ref="E3381">IF(D3381="","",IF(D3381=1,0,INDEX(Calculation!Q$2:Q9627,D3381-1)))</f>
        <v>3232449.315</v>
      </c>
      <c r="F3381" s="23">
        <f t="array" ref="F3381">IF($A3381="","",
  LET(
    r, $D3381,
    startD, INDEX(Calculation!B$2:B9627, r),
    endD,   INDEX(Calculation!C$2:C9627, r),
    asOf,   MIN($A3381,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8416165.479</v>
      </c>
    </row>
    <row r="3382">
      <c r="A3382" s="19">
        <v>45617.0</v>
      </c>
      <c r="B3382" s="23">
        <v>1.0765E7</v>
      </c>
      <c r="C3382" s="23">
        <f t="shared" si="1"/>
        <v>11655693.15</v>
      </c>
      <c r="D3382" s="18">
        <f>IF(A3382="","",MATCH(A3382,Calculation!B$2:B9627,1))</f>
        <v>2</v>
      </c>
      <c r="E3382" s="23">
        <f t="array" ref="E3382">IF(D3382="","",IF(D3382=1,0,INDEX(Calculation!Q$2:Q9627,D3382-1)))</f>
        <v>3232449.315</v>
      </c>
      <c r="F3382" s="23">
        <f t="array" ref="F3382">IF($A3382="","",
  LET(
    r, $D3382,
    startD, INDEX(Calculation!B$2:B9627, r),
    endD,   INDEX(Calculation!C$2:C9627, r),
    asOf,   MIN($A3382,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8423243.836</v>
      </c>
    </row>
    <row r="3383">
      <c r="A3383" s="19">
        <v>45618.0</v>
      </c>
      <c r="B3383" s="23">
        <v>1.0765E7</v>
      </c>
      <c r="C3383" s="23">
        <f t="shared" si="1"/>
        <v>11662771.51</v>
      </c>
      <c r="D3383" s="18">
        <f>IF(A3383="","",MATCH(A3383,Calculation!B$2:B9627,1))</f>
        <v>2</v>
      </c>
      <c r="E3383" s="23">
        <f t="array" ref="E3383">IF(D3383="","",IF(D3383=1,0,INDEX(Calculation!Q$2:Q9627,D3383-1)))</f>
        <v>3232449.315</v>
      </c>
      <c r="F3383" s="23">
        <f t="array" ref="F3383">IF($A3383="","",
  LET(
    r, $D3383,
    startD, INDEX(Calculation!B$2:B9627, r),
    endD,   INDEX(Calculation!C$2:C9627, r),
    asOf,   MIN($A3383,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8430322.192</v>
      </c>
    </row>
    <row r="3384">
      <c r="A3384" s="19">
        <v>45619.0</v>
      </c>
      <c r="B3384" s="23">
        <v>1.0765E7</v>
      </c>
      <c r="C3384" s="23">
        <f t="shared" si="1"/>
        <v>11669849.86</v>
      </c>
      <c r="D3384" s="18">
        <f>IF(A3384="","",MATCH(A3384,Calculation!B$2:B9627,1))</f>
        <v>2</v>
      </c>
      <c r="E3384" s="23">
        <f t="array" ref="E3384">IF(D3384="","",IF(D3384=1,0,INDEX(Calculation!Q$2:Q9627,D3384-1)))</f>
        <v>3232449.315</v>
      </c>
      <c r="F3384" s="23">
        <f t="array" ref="F3384">IF($A3384="","",
  LET(
    r, $D3384,
    startD, INDEX(Calculation!B$2:B9627, r),
    endD,   INDEX(Calculation!C$2:C9627, r),
    asOf,   MIN($A3384,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8437400.548</v>
      </c>
    </row>
    <row r="3385">
      <c r="A3385" s="19">
        <v>45620.0</v>
      </c>
      <c r="B3385" s="23">
        <v>1.0765E7</v>
      </c>
      <c r="C3385" s="23">
        <f t="shared" si="1"/>
        <v>11676928.22</v>
      </c>
      <c r="D3385" s="18">
        <f>IF(A3385="","",MATCH(A3385,Calculation!B$2:B9627,1))</f>
        <v>2</v>
      </c>
      <c r="E3385" s="23">
        <f t="array" ref="E3385">IF(D3385="","",IF(D3385=1,0,INDEX(Calculation!Q$2:Q9627,D3385-1)))</f>
        <v>3232449.315</v>
      </c>
      <c r="F3385" s="23">
        <f t="array" ref="F3385">IF($A3385="","",
  LET(
    r, $D3385,
    startD, INDEX(Calculation!B$2:B9627, r),
    endD,   INDEX(Calculation!C$2:C9627, r),
    asOf,   MIN($A3385,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8444478.904</v>
      </c>
    </row>
    <row r="3386">
      <c r="A3386" s="19">
        <v>45621.0</v>
      </c>
      <c r="B3386" s="23">
        <v>1.0765E7</v>
      </c>
      <c r="C3386" s="23">
        <f t="shared" si="1"/>
        <v>11684006.58</v>
      </c>
      <c r="D3386" s="18">
        <f>IF(A3386="","",MATCH(A3386,Calculation!B$2:B9627,1))</f>
        <v>2</v>
      </c>
      <c r="E3386" s="23">
        <f t="array" ref="E3386">IF(D3386="","",IF(D3386=1,0,INDEX(Calculation!Q$2:Q9627,D3386-1)))</f>
        <v>3232449.315</v>
      </c>
      <c r="F3386" s="23">
        <f t="array" ref="F3386">IF($A3386="","",
  LET(
    r, $D3386,
    startD, INDEX(Calculation!B$2:B9627, r),
    endD,   INDEX(Calculation!C$2:C9627, r),
    asOf,   MIN($A3386,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8451557.26</v>
      </c>
    </row>
    <row r="3387">
      <c r="A3387" s="19">
        <v>45622.0</v>
      </c>
      <c r="B3387" s="23">
        <v>1.0765E7</v>
      </c>
      <c r="C3387" s="23">
        <f t="shared" si="1"/>
        <v>11691084.93</v>
      </c>
      <c r="D3387" s="18">
        <f>IF(A3387="","",MATCH(A3387,Calculation!B$2:B9627,1))</f>
        <v>2</v>
      </c>
      <c r="E3387" s="23">
        <f t="array" ref="E3387">IF(D3387="","",IF(D3387=1,0,INDEX(Calculation!Q$2:Q9627,D3387-1)))</f>
        <v>3232449.315</v>
      </c>
      <c r="F3387" s="23">
        <f t="array" ref="F3387">IF($A3387="","",
  LET(
    r, $D3387,
    startD, INDEX(Calculation!B$2:B9627, r),
    endD,   INDEX(Calculation!C$2:C9627, r),
    asOf,   MIN($A3387,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8458635.616</v>
      </c>
    </row>
    <row r="3388">
      <c r="A3388" s="19">
        <v>45623.0</v>
      </c>
      <c r="B3388" s="23">
        <v>1.0765E7</v>
      </c>
      <c r="C3388" s="23">
        <f t="shared" si="1"/>
        <v>11698163.29</v>
      </c>
      <c r="D3388" s="18">
        <f>IF(A3388="","",MATCH(A3388,Calculation!B$2:B9627,1))</f>
        <v>2</v>
      </c>
      <c r="E3388" s="23">
        <f t="array" ref="E3388">IF(D3388="","",IF(D3388=1,0,INDEX(Calculation!Q$2:Q9627,D3388-1)))</f>
        <v>3232449.315</v>
      </c>
      <c r="F3388" s="23">
        <f t="array" ref="F3388">IF($A3388="","",
  LET(
    r, $D3388,
    startD, INDEX(Calculation!B$2:B9627, r),
    endD,   INDEX(Calculation!C$2:C9627, r),
    asOf,   MIN($A3388,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8465713.973</v>
      </c>
    </row>
    <row r="3389">
      <c r="A3389" s="19">
        <v>45624.0</v>
      </c>
      <c r="B3389" s="23">
        <v>1.0765E7</v>
      </c>
      <c r="C3389" s="23">
        <f t="shared" si="1"/>
        <v>11705241.64</v>
      </c>
      <c r="D3389" s="18">
        <f>IF(A3389="","",MATCH(A3389,Calculation!B$2:B9627,1))</f>
        <v>2</v>
      </c>
      <c r="E3389" s="23">
        <f t="array" ref="E3389">IF(D3389="","",IF(D3389=1,0,INDEX(Calculation!Q$2:Q9627,D3389-1)))</f>
        <v>3232449.315</v>
      </c>
      <c r="F3389" s="23">
        <f t="array" ref="F3389">IF($A3389="","",
  LET(
    r, $D3389,
    startD, INDEX(Calculation!B$2:B9627, r),
    endD,   INDEX(Calculation!C$2:C9627, r),
    asOf,   MIN($A3389,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8472792.329</v>
      </c>
    </row>
    <row r="3390">
      <c r="A3390" s="19">
        <v>45625.0</v>
      </c>
      <c r="B3390" s="23">
        <v>1.0765E7</v>
      </c>
      <c r="C3390" s="23">
        <f t="shared" si="1"/>
        <v>11712320</v>
      </c>
      <c r="D3390" s="18">
        <f>IF(A3390="","",MATCH(A3390,Calculation!B$2:B9627,1))</f>
        <v>2</v>
      </c>
      <c r="E3390" s="23">
        <f t="array" ref="E3390">IF(D3390="","",IF(D3390=1,0,INDEX(Calculation!Q$2:Q9627,D3390-1)))</f>
        <v>3232449.315</v>
      </c>
      <c r="F3390" s="23">
        <f t="array" ref="F3390">IF($A3390="","",
  LET(
    r, $D3390,
    startD, INDEX(Calculation!B$2:B9627, r),
    endD,   INDEX(Calculation!C$2:C9627, r),
    asOf,   MIN($A3390,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8479870.685</v>
      </c>
    </row>
    <row r="3391">
      <c r="A3391" s="19">
        <v>45626.0</v>
      </c>
      <c r="B3391" s="23">
        <v>1.0765E7</v>
      </c>
      <c r="C3391" s="23">
        <f t="shared" si="1"/>
        <v>11719398.36</v>
      </c>
      <c r="D3391" s="18">
        <f>IF(A3391="","",MATCH(A3391,Calculation!B$2:B9627,1))</f>
        <v>2</v>
      </c>
      <c r="E3391" s="23">
        <f t="array" ref="E3391">IF(D3391="","",IF(D3391=1,0,INDEX(Calculation!Q$2:Q9627,D3391-1)))</f>
        <v>3232449.315</v>
      </c>
      <c r="F3391" s="23">
        <f t="array" ref="F3391">IF($A3391="","",
  LET(
    r, $D3391,
    startD, INDEX(Calculation!B$2:B9627, r),
    endD,   INDEX(Calculation!C$2:C9627, r),
    asOf,   MIN($A3391,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8486949.041</v>
      </c>
    </row>
    <row r="3392">
      <c r="A3392" s="19">
        <v>45627.0</v>
      </c>
      <c r="B3392" s="23">
        <v>1.0765E7</v>
      </c>
      <c r="C3392" s="23">
        <f t="shared" si="1"/>
        <v>11726476.71</v>
      </c>
      <c r="D3392" s="18">
        <f>IF(A3392="","",MATCH(A3392,Calculation!B$2:B9627,1))</f>
        <v>2</v>
      </c>
      <c r="E3392" s="23">
        <f t="array" ref="E3392">IF(D3392="","",IF(D3392=1,0,INDEX(Calculation!Q$2:Q9627,D3392-1)))</f>
        <v>3232449.315</v>
      </c>
      <c r="F3392" s="23">
        <f t="array" ref="F3392">IF($A3392="","",
  LET(
    r, $D3392,
    startD, INDEX(Calculation!B$2:B9627, r),
    endD,   INDEX(Calculation!C$2:C9627, r),
    asOf,   MIN($A3392,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8494027.397</v>
      </c>
    </row>
    <row r="3393">
      <c r="A3393" s="19">
        <v>45628.0</v>
      </c>
      <c r="B3393" s="23">
        <v>1.0765E7</v>
      </c>
      <c r="C3393" s="23">
        <f t="shared" si="1"/>
        <v>11733555.07</v>
      </c>
      <c r="D3393" s="18">
        <f>IF(A3393="","",MATCH(A3393,Calculation!B$2:B9627,1))</f>
        <v>2</v>
      </c>
      <c r="E3393" s="23">
        <f t="array" ref="E3393">IF(D3393="","",IF(D3393=1,0,INDEX(Calculation!Q$2:Q9627,D3393-1)))</f>
        <v>3232449.315</v>
      </c>
      <c r="F3393" s="23">
        <f t="array" ref="F3393">IF($A3393="","",
  LET(
    r, $D3393,
    startD, INDEX(Calculation!B$2:B9627, r),
    endD,   INDEX(Calculation!C$2:C9627, r),
    asOf,   MIN($A3393,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8501105.753</v>
      </c>
    </row>
    <row r="3394">
      <c r="A3394" s="19">
        <v>45629.0</v>
      </c>
      <c r="B3394" s="23">
        <v>1.0765E7</v>
      </c>
      <c r="C3394" s="23">
        <f t="shared" si="1"/>
        <v>11740633.42</v>
      </c>
      <c r="D3394" s="18">
        <f>IF(A3394="","",MATCH(A3394,Calculation!B$2:B9627,1))</f>
        <v>2</v>
      </c>
      <c r="E3394" s="23">
        <f t="array" ref="E3394">IF(D3394="","",IF(D3394=1,0,INDEX(Calculation!Q$2:Q9627,D3394-1)))</f>
        <v>3232449.315</v>
      </c>
      <c r="F3394" s="23">
        <f t="array" ref="F3394">IF($A3394="","",
  LET(
    r, $D3394,
    startD, INDEX(Calculation!B$2:B9627, r),
    endD,   INDEX(Calculation!C$2:C9627, r),
    asOf,   MIN($A3394,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8508184.11</v>
      </c>
    </row>
    <row r="3395">
      <c r="A3395" s="19">
        <v>45630.0</v>
      </c>
      <c r="B3395" s="23">
        <v>1.0765E7</v>
      </c>
      <c r="C3395" s="23">
        <f t="shared" si="1"/>
        <v>11747711.78</v>
      </c>
      <c r="D3395" s="18">
        <f>IF(A3395="","",MATCH(A3395,Calculation!B$2:B9627,1))</f>
        <v>2</v>
      </c>
      <c r="E3395" s="23">
        <f t="array" ref="E3395">IF(D3395="","",IF(D3395=1,0,INDEX(Calculation!Q$2:Q9627,D3395-1)))</f>
        <v>3232449.315</v>
      </c>
      <c r="F3395" s="23">
        <f t="array" ref="F3395">IF($A3395="","",
  LET(
    r, $D3395,
    startD, INDEX(Calculation!B$2:B9627, r),
    endD,   INDEX(Calculation!C$2:C9627, r),
    asOf,   MIN($A3395,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8515262.466</v>
      </c>
    </row>
    <row r="3396">
      <c r="A3396" s="19">
        <v>45631.0</v>
      </c>
      <c r="B3396" s="23">
        <v>1.0765E7</v>
      </c>
      <c r="C3396" s="23">
        <f t="shared" si="1"/>
        <v>11754790.14</v>
      </c>
      <c r="D3396" s="18">
        <f>IF(A3396="","",MATCH(A3396,Calculation!B$2:B9627,1))</f>
        <v>2</v>
      </c>
      <c r="E3396" s="23">
        <f t="array" ref="E3396">IF(D3396="","",IF(D3396=1,0,INDEX(Calculation!Q$2:Q9627,D3396-1)))</f>
        <v>3232449.315</v>
      </c>
      <c r="F3396" s="23">
        <f t="array" ref="F3396">IF($A3396="","",
  LET(
    r, $D3396,
    startD, INDEX(Calculation!B$2:B9627, r),
    endD,   INDEX(Calculation!C$2:C9627, r),
    asOf,   MIN($A3396,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8522340.822</v>
      </c>
    </row>
    <row r="3397">
      <c r="A3397" s="19">
        <v>45632.0</v>
      </c>
      <c r="B3397" s="23">
        <v>1.0765E7</v>
      </c>
      <c r="C3397" s="23">
        <f t="shared" si="1"/>
        <v>11761868.49</v>
      </c>
      <c r="D3397" s="18">
        <f>IF(A3397="","",MATCH(A3397,Calculation!B$2:B9627,1))</f>
        <v>2</v>
      </c>
      <c r="E3397" s="23">
        <f t="array" ref="E3397">IF(D3397="","",IF(D3397=1,0,INDEX(Calculation!Q$2:Q9627,D3397-1)))</f>
        <v>3232449.315</v>
      </c>
      <c r="F3397" s="23">
        <f t="array" ref="F3397">IF($A3397="","",
  LET(
    r, $D3397,
    startD, INDEX(Calculation!B$2:B9627, r),
    endD,   INDEX(Calculation!C$2:C9627, r),
    asOf,   MIN($A3397,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8529419.178</v>
      </c>
    </row>
    <row r="3398">
      <c r="A3398" s="19">
        <v>45633.0</v>
      </c>
      <c r="B3398" s="23">
        <v>1.0765E7</v>
      </c>
      <c r="C3398" s="23">
        <f t="shared" si="1"/>
        <v>11768946.85</v>
      </c>
      <c r="D3398" s="18">
        <f>IF(A3398="","",MATCH(A3398,Calculation!B$2:B9627,1))</f>
        <v>2</v>
      </c>
      <c r="E3398" s="23">
        <f t="array" ref="E3398">IF(D3398="","",IF(D3398=1,0,INDEX(Calculation!Q$2:Q9627,D3398-1)))</f>
        <v>3232449.315</v>
      </c>
      <c r="F3398" s="23">
        <f t="array" ref="F3398">IF($A3398="","",
  LET(
    r, $D3398,
    startD, INDEX(Calculation!B$2:B9627, r),
    endD,   INDEX(Calculation!C$2:C9627, r),
    asOf,   MIN($A3398,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8536497.534</v>
      </c>
    </row>
    <row r="3399">
      <c r="A3399" s="19">
        <v>45634.0</v>
      </c>
      <c r="B3399" s="23">
        <v>1.0765E7</v>
      </c>
      <c r="C3399" s="23">
        <f t="shared" si="1"/>
        <v>11776025.21</v>
      </c>
      <c r="D3399" s="18">
        <f>IF(A3399="","",MATCH(A3399,Calculation!B$2:B9627,1))</f>
        <v>2</v>
      </c>
      <c r="E3399" s="23">
        <f t="array" ref="E3399">IF(D3399="","",IF(D3399=1,0,INDEX(Calculation!Q$2:Q9627,D3399-1)))</f>
        <v>3232449.315</v>
      </c>
      <c r="F3399" s="23">
        <f t="array" ref="F3399">IF($A3399="","",
  LET(
    r, $D3399,
    startD, INDEX(Calculation!B$2:B9627, r),
    endD,   INDEX(Calculation!C$2:C9627, r),
    asOf,   MIN($A3399,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8543575.89</v>
      </c>
    </row>
    <row r="3400">
      <c r="A3400" s="19">
        <v>45635.0</v>
      </c>
      <c r="B3400" s="23">
        <v>1.0765E7</v>
      </c>
      <c r="C3400" s="23">
        <f t="shared" si="1"/>
        <v>11783103.56</v>
      </c>
      <c r="D3400" s="18">
        <f>IF(A3400="","",MATCH(A3400,Calculation!B$2:B9627,1))</f>
        <v>2</v>
      </c>
      <c r="E3400" s="23">
        <f t="array" ref="E3400">IF(D3400="","",IF(D3400=1,0,INDEX(Calculation!Q$2:Q9627,D3400-1)))</f>
        <v>3232449.315</v>
      </c>
      <c r="F3400" s="23">
        <f t="array" ref="F3400">IF($A3400="","",
  LET(
    r, $D3400,
    startD, INDEX(Calculation!B$2:B9627, r),
    endD,   INDEX(Calculation!C$2:C9627, r),
    asOf,   MIN($A3400,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8550654.247</v>
      </c>
    </row>
    <row r="3401">
      <c r="A3401" s="19">
        <v>45636.0</v>
      </c>
      <c r="B3401" s="23">
        <v>1.0765E7</v>
      </c>
      <c r="C3401" s="23">
        <f t="shared" si="1"/>
        <v>11790181.92</v>
      </c>
      <c r="D3401" s="18">
        <f>IF(A3401="","",MATCH(A3401,Calculation!B$2:B9627,1))</f>
        <v>2</v>
      </c>
      <c r="E3401" s="23">
        <f t="array" ref="E3401">IF(D3401="","",IF(D3401=1,0,INDEX(Calculation!Q$2:Q9627,D3401-1)))</f>
        <v>3232449.315</v>
      </c>
      <c r="F3401" s="23">
        <f t="array" ref="F3401">IF($A3401="","",
  LET(
    r, $D3401,
    startD, INDEX(Calculation!B$2:B9627, r),
    endD,   INDEX(Calculation!C$2:C9627, r),
    asOf,   MIN($A3401,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8557732.603</v>
      </c>
    </row>
    <row r="3402">
      <c r="A3402" s="19">
        <v>45637.0</v>
      </c>
      <c r="B3402" s="23">
        <v>1.0765E7</v>
      </c>
      <c r="C3402" s="23">
        <f t="shared" si="1"/>
        <v>11797260.27</v>
      </c>
      <c r="D3402" s="18">
        <f>IF(A3402="","",MATCH(A3402,Calculation!B$2:B9627,1))</f>
        <v>2</v>
      </c>
      <c r="E3402" s="23">
        <f t="array" ref="E3402">IF(D3402="","",IF(D3402=1,0,INDEX(Calculation!Q$2:Q9627,D3402-1)))</f>
        <v>3232449.315</v>
      </c>
      <c r="F3402" s="23">
        <f t="array" ref="F3402">IF($A3402="","",
  LET(
    r, $D3402,
    startD, INDEX(Calculation!B$2:B9627, r),
    endD,   INDEX(Calculation!C$2:C9627, r),
    asOf,   MIN($A3402,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8564810.959</v>
      </c>
    </row>
    <row r="3403">
      <c r="A3403" s="19">
        <v>45638.0</v>
      </c>
      <c r="B3403" s="23">
        <v>1.0765E7</v>
      </c>
      <c r="C3403" s="23">
        <f t="shared" si="1"/>
        <v>11804338.63</v>
      </c>
      <c r="D3403" s="18">
        <f>IF(A3403="","",MATCH(A3403,Calculation!B$2:B9627,1))</f>
        <v>2</v>
      </c>
      <c r="E3403" s="23">
        <f t="array" ref="E3403">IF(D3403="","",IF(D3403=1,0,INDEX(Calculation!Q$2:Q9627,D3403-1)))</f>
        <v>3232449.315</v>
      </c>
      <c r="F3403" s="23">
        <f t="array" ref="F3403">IF($A3403="","",
  LET(
    r, $D3403,
    startD, INDEX(Calculation!B$2:B9627, r),
    endD,   INDEX(Calculation!C$2:C9627, r),
    asOf,   MIN($A3403,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8571889.315</v>
      </c>
    </row>
    <row r="3404">
      <c r="A3404" s="19">
        <v>45639.0</v>
      </c>
      <c r="B3404" s="23">
        <v>1.0765E7</v>
      </c>
      <c r="C3404" s="23">
        <f t="shared" si="1"/>
        <v>11811416.99</v>
      </c>
      <c r="D3404" s="18">
        <f>IF(A3404="","",MATCH(A3404,Calculation!B$2:B9627,1))</f>
        <v>2</v>
      </c>
      <c r="E3404" s="23">
        <f t="array" ref="E3404">IF(D3404="","",IF(D3404=1,0,INDEX(Calculation!Q$2:Q9627,D3404-1)))</f>
        <v>3232449.315</v>
      </c>
      <c r="F3404" s="23">
        <f t="array" ref="F3404">IF($A3404="","",
  LET(
    r, $D3404,
    startD, INDEX(Calculation!B$2:B9627, r),
    endD,   INDEX(Calculation!C$2:C9627, r),
    asOf,   MIN($A3404,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8578967.671</v>
      </c>
    </row>
    <row r="3405">
      <c r="A3405" s="19">
        <v>45640.0</v>
      </c>
      <c r="B3405" s="23">
        <v>1.0765E7</v>
      </c>
      <c r="C3405" s="23">
        <f t="shared" si="1"/>
        <v>11818495.34</v>
      </c>
      <c r="D3405" s="18">
        <f>IF(A3405="","",MATCH(A3405,Calculation!B$2:B9627,1))</f>
        <v>2</v>
      </c>
      <c r="E3405" s="23">
        <f t="array" ref="E3405">IF(D3405="","",IF(D3405=1,0,INDEX(Calculation!Q$2:Q9627,D3405-1)))</f>
        <v>3232449.315</v>
      </c>
      <c r="F3405" s="23">
        <f t="array" ref="F3405">IF($A3405="","",
  LET(
    r, $D3405,
    startD, INDEX(Calculation!B$2:B9627, r),
    endD,   INDEX(Calculation!C$2:C9627, r),
    asOf,   MIN($A3405,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8586046.027</v>
      </c>
    </row>
    <row r="3406">
      <c r="A3406" s="19">
        <v>45641.0</v>
      </c>
      <c r="B3406" s="23">
        <v>1.0765E7</v>
      </c>
      <c r="C3406" s="23">
        <f t="shared" si="1"/>
        <v>11825573.7</v>
      </c>
      <c r="D3406" s="18">
        <f>IF(A3406="","",MATCH(A3406,Calculation!B$2:B9627,1))</f>
        <v>2</v>
      </c>
      <c r="E3406" s="23">
        <f t="array" ref="E3406">IF(D3406="","",IF(D3406=1,0,INDEX(Calculation!Q$2:Q9627,D3406-1)))</f>
        <v>3232449.315</v>
      </c>
      <c r="F3406" s="23">
        <f t="array" ref="F3406">IF($A3406="","",
  LET(
    r, $D3406,
    startD, INDEX(Calculation!B$2:B9627, r),
    endD,   INDEX(Calculation!C$2:C9627, r),
    asOf,   MIN($A3406,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8593124.384</v>
      </c>
    </row>
    <row r="3407">
      <c r="A3407" s="19">
        <v>45642.0</v>
      </c>
      <c r="B3407" s="23">
        <v>1.0765E7</v>
      </c>
      <c r="C3407" s="23">
        <f t="shared" si="1"/>
        <v>11832652.05</v>
      </c>
      <c r="D3407" s="18">
        <f>IF(A3407="","",MATCH(A3407,Calculation!B$2:B9627,1))</f>
        <v>2</v>
      </c>
      <c r="E3407" s="23">
        <f t="array" ref="E3407">IF(D3407="","",IF(D3407=1,0,INDEX(Calculation!Q$2:Q9627,D3407-1)))</f>
        <v>3232449.315</v>
      </c>
      <c r="F3407" s="23">
        <f t="array" ref="F3407">IF($A3407="","",
  LET(
    r, $D3407,
    startD, INDEX(Calculation!B$2:B9627, r),
    endD,   INDEX(Calculation!C$2:C9627, r),
    asOf,   MIN($A3407,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8600202.74</v>
      </c>
    </row>
    <row r="3408">
      <c r="A3408" s="19">
        <v>45643.0</v>
      </c>
      <c r="B3408" s="23">
        <v>1.0765E7</v>
      </c>
      <c r="C3408" s="23">
        <f t="shared" si="1"/>
        <v>11839730.41</v>
      </c>
      <c r="D3408" s="18">
        <f>IF(A3408="","",MATCH(A3408,Calculation!B$2:B9627,1))</f>
        <v>2</v>
      </c>
      <c r="E3408" s="23">
        <f t="array" ref="E3408">IF(D3408="","",IF(D3408=1,0,INDEX(Calculation!Q$2:Q9627,D3408-1)))</f>
        <v>3232449.315</v>
      </c>
      <c r="F3408" s="23">
        <f t="array" ref="F3408">IF($A3408="","",
  LET(
    r, $D3408,
    startD, INDEX(Calculation!B$2:B9627, r),
    endD,   INDEX(Calculation!C$2:C9627, r),
    asOf,   MIN($A3408,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8607281.096</v>
      </c>
    </row>
    <row r="3409">
      <c r="A3409" s="19">
        <v>45644.0</v>
      </c>
      <c r="B3409" s="23">
        <v>1.0765E7</v>
      </c>
      <c r="C3409" s="23">
        <f t="shared" si="1"/>
        <v>11846808.77</v>
      </c>
      <c r="D3409" s="18">
        <f>IF(A3409="","",MATCH(A3409,Calculation!B$2:B9627,1))</f>
        <v>2</v>
      </c>
      <c r="E3409" s="23">
        <f t="array" ref="E3409">IF(D3409="","",IF(D3409=1,0,INDEX(Calculation!Q$2:Q9627,D3409-1)))</f>
        <v>3232449.315</v>
      </c>
      <c r="F3409" s="23">
        <f t="array" ref="F3409">IF($A3409="","",
  LET(
    r, $D3409,
    startD, INDEX(Calculation!B$2:B9627, r),
    endD,   INDEX(Calculation!C$2:C9627, r),
    asOf,   MIN($A3409,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8614359.452</v>
      </c>
    </row>
    <row r="3410">
      <c r="A3410" s="19">
        <v>45645.0</v>
      </c>
      <c r="B3410" s="23">
        <v>1.0765E7</v>
      </c>
      <c r="C3410" s="23">
        <f t="shared" si="1"/>
        <v>11853887.12</v>
      </c>
      <c r="D3410" s="18">
        <f>IF(A3410="","",MATCH(A3410,Calculation!B$2:B9627,1))</f>
        <v>2</v>
      </c>
      <c r="E3410" s="23">
        <f t="array" ref="E3410">IF(D3410="","",IF(D3410=1,0,INDEX(Calculation!Q$2:Q9627,D3410-1)))</f>
        <v>3232449.315</v>
      </c>
      <c r="F3410" s="23">
        <f t="array" ref="F3410">IF($A3410="","",
  LET(
    r, $D3410,
    startD, INDEX(Calculation!B$2:B9627, r),
    endD,   INDEX(Calculation!C$2:C9627, r),
    asOf,   MIN($A3410,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8621437.808</v>
      </c>
    </row>
    <row r="3411">
      <c r="A3411" s="19">
        <v>45646.0</v>
      </c>
      <c r="B3411" s="23">
        <v>1.0765E7</v>
      </c>
      <c r="C3411" s="23">
        <f t="shared" si="1"/>
        <v>11860965.48</v>
      </c>
      <c r="D3411" s="18">
        <f>IF(A3411="","",MATCH(A3411,Calculation!B$2:B9627,1))</f>
        <v>2</v>
      </c>
      <c r="E3411" s="23">
        <f t="array" ref="E3411">IF(D3411="","",IF(D3411=1,0,INDEX(Calculation!Q$2:Q9627,D3411-1)))</f>
        <v>3232449.315</v>
      </c>
      <c r="F3411" s="23">
        <f t="array" ref="F3411">IF($A3411="","",
  LET(
    r, $D3411,
    startD, INDEX(Calculation!B$2:B9627, r),
    endD,   INDEX(Calculation!C$2:C9627, r),
    asOf,   MIN($A3411,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8628516.164</v>
      </c>
    </row>
    <row r="3412">
      <c r="A3412" s="19">
        <v>45647.0</v>
      </c>
      <c r="B3412" s="23">
        <v>1.0765E7</v>
      </c>
      <c r="C3412" s="23">
        <f t="shared" si="1"/>
        <v>11868043.84</v>
      </c>
      <c r="D3412" s="18">
        <f>IF(A3412="","",MATCH(A3412,Calculation!B$2:B9627,1))</f>
        <v>2</v>
      </c>
      <c r="E3412" s="23">
        <f t="array" ref="E3412">IF(D3412="","",IF(D3412=1,0,INDEX(Calculation!Q$2:Q9627,D3412-1)))</f>
        <v>3232449.315</v>
      </c>
      <c r="F3412" s="23">
        <f t="array" ref="F3412">IF($A3412="","",
  LET(
    r, $D3412,
    startD, INDEX(Calculation!B$2:B9627, r),
    endD,   INDEX(Calculation!C$2:C9627, r),
    asOf,   MIN($A3412,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8635594.521</v>
      </c>
    </row>
    <row r="3413">
      <c r="A3413" s="19">
        <v>45648.0</v>
      </c>
      <c r="B3413" s="23">
        <v>1.0765E7</v>
      </c>
      <c r="C3413" s="23">
        <f t="shared" si="1"/>
        <v>11875122.19</v>
      </c>
      <c r="D3413" s="18">
        <f>IF(A3413="","",MATCH(A3413,Calculation!B$2:B9627,1))</f>
        <v>2</v>
      </c>
      <c r="E3413" s="23">
        <f t="array" ref="E3413">IF(D3413="","",IF(D3413=1,0,INDEX(Calculation!Q$2:Q9627,D3413-1)))</f>
        <v>3232449.315</v>
      </c>
      <c r="F3413" s="23">
        <f t="array" ref="F3413">IF($A3413="","",
  LET(
    r, $D3413,
    startD, INDEX(Calculation!B$2:B9627, r),
    endD,   INDEX(Calculation!C$2:C9627, r),
    asOf,   MIN($A3413,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8642672.877</v>
      </c>
    </row>
    <row r="3414">
      <c r="A3414" s="19">
        <v>45649.0</v>
      </c>
      <c r="B3414" s="23">
        <v>1.0765E7</v>
      </c>
      <c r="C3414" s="23">
        <f t="shared" si="1"/>
        <v>11882200.55</v>
      </c>
      <c r="D3414" s="18">
        <f>IF(A3414="","",MATCH(A3414,Calculation!B$2:B9627,1))</f>
        <v>2</v>
      </c>
      <c r="E3414" s="23">
        <f t="array" ref="E3414">IF(D3414="","",IF(D3414=1,0,INDEX(Calculation!Q$2:Q9627,D3414-1)))</f>
        <v>3232449.315</v>
      </c>
      <c r="F3414" s="23">
        <f t="array" ref="F3414">IF($A3414="","",
  LET(
    r, $D3414,
    startD, INDEX(Calculation!B$2:B9627, r),
    endD,   INDEX(Calculation!C$2:C9627, r),
    asOf,   MIN($A3414,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8649751.233</v>
      </c>
    </row>
    <row r="3415">
      <c r="A3415" s="19">
        <v>45650.0</v>
      </c>
      <c r="B3415" s="23">
        <v>1.0765E7</v>
      </c>
      <c r="C3415" s="23">
        <f t="shared" si="1"/>
        <v>11889278.9</v>
      </c>
      <c r="D3415" s="18">
        <f>IF(A3415="","",MATCH(A3415,Calculation!B$2:B9627,1))</f>
        <v>2</v>
      </c>
      <c r="E3415" s="23">
        <f t="array" ref="E3415">IF(D3415="","",IF(D3415=1,0,INDEX(Calculation!Q$2:Q9627,D3415-1)))</f>
        <v>3232449.315</v>
      </c>
      <c r="F3415" s="23">
        <f t="array" ref="F3415">IF($A3415="","",
  LET(
    r, $D3415,
    startD, INDEX(Calculation!B$2:B9627, r),
    endD,   INDEX(Calculation!C$2:C9627, r),
    asOf,   MIN($A3415,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8656829.589</v>
      </c>
    </row>
    <row r="3416">
      <c r="A3416" s="19">
        <v>45651.0</v>
      </c>
      <c r="B3416" s="23">
        <v>1.0765E7</v>
      </c>
      <c r="C3416" s="23">
        <f t="shared" si="1"/>
        <v>11896357.26</v>
      </c>
      <c r="D3416" s="18">
        <f>IF(A3416="","",MATCH(A3416,Calculation!B$2:B9627,1))</f>
        <v>2</v>
      </c>
      <c r="E3416" s="23">
        <f t="array" ref="E3416">IF(D3416="","",IF(D3416=1,0,INDEX(Calculation!Q$2:Q9627,D3416-1)))</f>
        <v>3232449.315</v>
      </c>
      <c r="F3416" s="23">
        <f t="array" ref="F3416">IF($A3416="","",
  LET(
    r, $D3416,
    startD, INDEX(Calculation!B$2:B9627, r),
    endD,   INDEX(Calculation!C$2:C9627, r),
    asOf,   MIN($A3416,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8663907.945</v>
      </c>
    </row>
    <row r="3417">
      <c r="A3417" s="19">
        <v>45652.0</v>
      </c>
      <c r="B3417" s="23">
        <v>1.0765E7</v>
      </c>
      <c r="C3417" s="23">
        <f t="shared" si="1"/>
        <v>11903435.62</v>
      </c>
      <c r="D3417" s="18">
        <f>IF(A3417="","",MATCH(A3417,Calculation!B$2:B9627,1))</f>
        <v>2</v>
      </c>
      <c r="E3417" s="23">
        <f t="array" ref="E3417">IF(D3417="","",IF(D3417=1,0,INDEX(Calculation!Q$2:Q9627,D3417-1)))</f>
        <v>3232449.315</v>
      </c>
      <c r="F3417" s="23">
        <f t="array" ref="F3417">IF($A3417="","",
  LET(
    r, $D3417,
    startD, INDEX(Calculation!B$2:B9627, r),
    endD,   INDEX(Calculation!C$2:C9627, r),
    asOf,   MIN($A3417,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8670986.301</v>
      </c>
    </row>
    <row r="3418">
      <c r="A3418" s="19">
        <v>45653.0</v>
      </c>
      <c r="B3418" s="23">
        <v>1.0765E7</v>
      </c>
      <c r="C3418" s="23">
        <f t="shared" si="1"/>
        <v>11910513.97</v>
      </c>
      <c r="D3418" s="18">
        <f>IF(A3418="","",MATCH(A3418,Calculation!B$2:B9627,1))</f>
        <v>2</v>
      </c>
      <c r="E3418" s="23">
        <f t="array" ref="E3418">IF(D3418="","",IF(D3418=1,0,INDEX(Calculation!Q$2:Q9627,D3418-1)))</f>
        <v>3232449.315</v>
      </c>
      <c r="F3418" s="23">
        <f t="array" ref="F3418">IF($A3418="","",
  LET(
    r, $D3418,
    startD, INDEX(Calculation!B$2:B9627, r),
    endD,   INDEX(Calculation!C$2:C9627, r),
    asOf,   MIN($A3418,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8678064.658</v>
      </c>
    </row>
    <row r="3419">
      <c r="A3419" s="19">
        <v>45654.0</v>
      </c>
      <c r="B3419" s="23">
        <v>1.0765E7</v>
      </c>
      <c r="C3419" s="23">
        <f t="shared" si="1"/>
        <v>11917592.33</v>
      </c>
      <c r="D3419" s="18">
        <f>IF(A3419="","",MATCH(A3419,Calculation!B$2:B9627,1))</f>
        <v>2</v>
      </c>
      <c r="E3419" s="23">
        <f t="array" ref="E3419">IF(D3419="","",IF(D3419=1,0,INDEX(Calculation!Q$2:Q9627,D3419-1)))</f>
        <v>3232449.315</v>
      </c>
      <c r="F3419" s="23">
        <f t="array" ref="F3419">IF($A3419="","",
  LET(
    r, $D3419,
    startD, INDEX(Calculation!B$2:B9627, r),
    endD,   INDEX(Calculation!C$2:C9627, r),
    asOf,   MIN($A3419,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8685143.014</v>
      </c>
    </row>
    <row r="3420">
      <c r="A3420" s="19">
        <v>45655.0</v>
      </c>
      <c r="B3420" s="23">
        <v>1.0765E7</v>
      </c>
      <c r="C3420" s="23">
        <f t="shared" si="1"/>
        <v>11924670.68</v>
      </c>
      <c r="D3420" s="18">
        <f>IF(A3420="","",MATCH(A3420,Calculation!B$2:B9627,1))</f>
        <v>2</v>
      </c>
      <c r="E3420" s="23">
        <f t="array" ref="E3420">IF(D3420="","",IF(D3420=1,0,INDEX(Calculation!Q$2:Q9627,D3420-1)))</f>
        <v>3232449.315</v>
      </c>
      <c r="F3420" s="23">
        <f t="array" ref="F3420">IF($A3420="","",
  LET(
    r, $D3420,
    startD, INDEX(Calculation!B$2:B9627, r),
    endD,   INDEX(Calculation!C$2:C9627, r),
    asOf,   MIN($A3420,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8692221.37</v>
      </c>
    </row>
    <row r="3421">
      <c r="A3421" s="19">
        <v>45656.0</v>
      </c>
      <c r="B3421" s="23">
        <v>1.0765E7</v>
      </c>
      <c r="C3421" s="23">
        <f t="shared" si="1"/>
        <v>11931749.04</v>
      </c>
      <c r="D3421" s="18">
        <f>IF(A3421="","",MATCH(A3421,Calculation!B$2:B9627,1))</f>
        <v>2</v>
      </c>
      <c r="E3421" s="23">
        <f t="array" ref="E3421">IF(D3421="","",IF(D3421=1,0,INDEX(Calculation!Q$2:Q9627,D3421-1)))</f>
        <v>3232449.315</v>
      </c>
      <c r="F3421" s="23">
        <f t="array" ref="F3421">IF($A3421="","",
  LET(
    r, $D3421,
    startD, INDEX(Calculation!B$2:B9627, r),
    endD,   INDEX(Calculation!C$2:C9627, r),
    asOf,   MIN($A3421,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8699299.726</v>
      </c>
    </row>
    <row r="3422">
      <c r="A3422" s="19">
        <v>45657.0</v>
      </c>
      <c r="B3422" s="23">
        <v>1.0765E7</v>
      </c>
      <c r="C3422" s="23">
        <f t="shared" si="1"/>
        <v>11938827.4</v>
      </c>
      <c r="D3422" s="18">
        <f>IF(A3422="","",MATCH(A3422,Calculation!B$2:B9627,1))</f>
        <v>2</v>
      </c>
      <c r="E3422" s="23">
        <f t="array" ref="E3422">IF(D3422="","",IF(D3422=1,0,INDEX(Calculation!Q$2:Q9627,D3422-1)))</f>
        <v>3232449.315</v>
      </c>
      <c r="F3422" s="23">
        <f t="array" ref="F3422">IF($A3422="","",
  LET(
    r, $D3422,
    startD, INDEX(Calculation!B$2:B9627, r),
    endD,   INDEX(Calculation!C$2:C9627, r),
    asOf,   MIN($A3422,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8706378.082</v>
      </c>
    </row>
    <row r="3423">
      <c r="A3423" s="19">
        <v>45658.0</v>
      </c>
      <c r="B3423" s="23">
        <v>1.0765E7</v>
      </c>
      <c r="C3423" s="23">
        <f t="shared" si="1"/>
        <v>11945905.75</v>
      </c>
      <c r="D3423" s="18">
        <f>IF(A3423="","",MATCH(A3423,Calculation!B$2:B9627,1))</f>
        <v>2</v>
      </c>
      <c r="E3423" s="23">
        <f t="array" ref="E3423">IF(D3423="","",IF(D3423=1,0,INDEX(Calculation!Q$2:Q9627,D3423-1)))</f>
        <v>3232449.315</v>
      </c>
      <c r="F3423" s="23">
        <f t="array" ref="F3423">IF($A3423="","",
  LET(
    r, $D3423,
    startD, INDEX(Calculation!B$2:B9627, r),
    endD,   INDEX(Calculation!C$2:C9627, r),
    asOf,   MIN($A3423,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8713456.438</v>
      </c>
    </row>
    <row r="3424">
      <c r="A3424" s="19">
        <v>45659.0</v>
      </c>
      <c r="B3424" s="23">
        <v>1.0765E7</v>
      </c>
      <c r="C3424" s="23">
        <f t="shared" si="1"/>
        <v>11952984.11</v>
      </c>
      <c r="D3424" s="18">
        <f>IF(A3424="","",MATCH(A3424,Calculation!B$2:B9627,1))</f>
        <v>2</v>
      </c>
      <c r="E3424" s="23">
        <f t="array" ref="E3424">IF(D3424="","",IF(D3424=1,0,INDEX(Calculation!Q$2:Q9627,D3424-1)))</f>
        <v>3232449.315</v>
      </c>
      <c r="F3424" s="23">
        <f t="array" ref="F3424">IF($A3424="","",
  LET(
    r, $D3424,
    startD, INDEX(Calculation!B$2:B9627, r),
    endD,   INDEX(Calculation!C$2:C9627, r),
    asOf,   MIN($A3424,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8720534.795</v>
      </c>
    </row>
    <row r="3425">
      <c r="A3425" s="19">
        <v>45660.0</v>
      </c>
      <c r="B3425" s="23">
        <v>1.0765E7</v>
      </c>
      <c r="C3425" s="23">
        <f t="shared" si="1"/>
        <v>11960062.47</v>
      </c>
      <c r="D3425" s="18">
        <f>IF(A3425="","",MATCH(A3425,Calculation!B$2:B9627,1))</f>
        <v>2</v>
      </c>
      <c r="E3425" s="23">
        <f t="array" ref="E3425">IF(D3425="","",IF(D3425=1,0,INDEX(Calculation!Q$2:Q9627,D3425-1)))</f>
        <v>3232449.315</v>
      </c>
      <c r="F3425" s="23">
        <f t="array" ref="F3425">IF($A3425="","",
  LET(
    r, $D3425,
    startD, INDEX(Calculation!B$2:B9627, r),
    endD,   INDEX(Calculation!C$2:C9627, r),
    asOf,   MIN($A3425,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8727613.151</v>
      </c>
    </row>
    <row r="3426">
      <c r="A3426" s="19">
        <v>45661.0</v>
      </c>
      <c r="B3426" s="23">
        <v>1.0765E7</v>
      </c>
      <c r="C3426" s="23">
        <f t="shared" si="1"/>
        <v>11967140.82</v>
      </c>
      <c r="D3426" s="18">
        <f>IF(A3426="","",MATCH(A3426,Calculation!B$2:B9627,1))</f>
        <v>2</v>
      </c>
      <c r="E3426" s="23">
        <f t="array" ref="E3426">IF(D3426="","",IF(D3426=1,0,INDEX(Calculation!Q$2:Q9627,D3426-1)))</f>
        <v>3232449.315</v>
      </c>
      <c r="F3426" s="23">
        <f t="array" ref="F3426">IF($A3426="","",
  LET(
    r, $D3426,
    startD, INDEX(Calculation!B$2:B9627, r),
    endD,   INDEX(Calculation!C$2:C9627, r),
    asOf,   MIN($A3426,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8734691.507</v>
      </c>
    </row>
    <row r="3427">
      <c r="A3427" s="19">
        <v>45662.0</v>
      </c>
      <c r="B3427" s="23">
        <v>1.0765E7</v>
      </c>
      <c r="C3427" s="23">
        <f t="shared" si="1"/>
        <v>11974219.18</v>
      </c>
      <c r="D3427" s="18">
        <f>IF(A3427="","",MATCH(A3427,Calculation!B$2:B9627,1))</f>
        <v>2</v>
      </c>
      <c r="E3427" s="23">
        <f t="array" ref="E3427">IF(D3427="","",IF(D3427=1,0,INDEX(Calculation!Q$2:Q9627,D3427-1)))</f>
        <v>3232449.315</v>
      </c>
      <c r="F3427" s="23">
        <f t="array" ref="F3427">IF($A3427="","",
  LET(
    r, $D3427,
    startD, INDEX(Calculation!B$2:B9627, r),
    endD,   INDEX(Calculation!C$2:C9627, r),
    asOf,   MIN($A3427,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8741769.863</v>
      </c>
    </row>
    <row r="3428">
      <c r="A3428" s="19">
        <v>45663.0</v>
      </c>
      <c r="B3428" s="23">
        <v>1.0765E7</v>
      </c>
      <c r="C3428" s="23">
        <f t="shared" si="1"/>
        <v>11981297.53</v>
      </c>
      <c r="D3428" s="18">
        <f>IF(A3428="","",MATCH(A3428,Calculation!B$2:B9627,1))</f>
        <v>2</v>
      </c>
      <c r="E3428" s="23">
        <f t="array" ref="E3428">IF(D3428="","",IF(D3428=1,0,INDEX(Calculation!Q$2:Q9627,D3428-1)))</f>
        <v>3232449.315</v>
      </c>
      <c r="F3428" s="23">
        <f t="array" ref="F3428">IF($A3428="","",
  LET(
    r, $D3428,
    startD, INDEX(Calculation!B$2:B9627, r),
    endD,   INDEX(Calculation!C$2:C9627, r),
    asOf,   MIN($A3428,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8748848.219</v>
      </c>
    </row>
    <row r="3429">
      <c r="A3429" s="19">
        <v>45664.0</v>
      </c>
      <c r="B3429" s="23">
        <v>1.0765E7</v>
      </c>
      <c r="C3429" s="23">
        <f t="shared" si="1"/>
        <v>11988375.89</v>
      </c>
      <c r="D3429" s="18">
        <f>IF(A3429="","",MATCH(A3429,Calculation!B$2:B9627,1))</f>
        <v>2</v>
      </c>
      <c r="E3429" s="23">
        <f t="array" ref="E3429">IF(D3429="","",IF(D3429=1,0,INDEX(Calculation!Q$2:Q9627,D3429-1)))</f>
        <v>3232449.315</v>
      </c>
      <c r="F3429" s="23">
        <f t="array" ref="F3429">IF($A3429="","",
  LET(
    r, $D3429,
    startD, INDEX(Calculation!B$2:B9627, r),
    endD,   INDEX(Calculation!C$2:C9627, r),
    asOf,   MIN($A3429,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8755926.575</v>
      </c>
    </row>
    <row r="3430">
      <c r="A3430" s="19">
        <v>45665.0</v>
      </c>
      <c r="B3430" s="23">
        <v>1.0765E7</v>
      </c>
      <c r="C3430" s="23">
        <f t="shared" si="1"/>
        <v>11995454.25</v>
      </c>
      <c r="D3430" s="18">
        <f>IF(A3430="","",MATCH(A3430,Calculation!B$2:B9627,1))</f>
        <v>2</v>
      </c>
      <c r="E3430" s="23">
        <f t="array" ref="E3430">IF(D3430="","",IF(D3430=1,0,INDEX(Calculation!Q$2:Q9627,D3430-1)))</f>
        <v>3232449.315</v>
      </c>
      <c r="F3430" s="23">
        <f t="array" ref="F3430">IF($A3430="","",
  LET(
    r, $D3430,
    startD, INDEX(Calculation!B$2:B9627, r),
    endD,   INDEX(Calculation!C$2:C9627, r),
    asOf,   MIN($A3430,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8763004.932</v>
      </c>
    </row>
    <row r="3431">
      <c r="A3431" s="19">
        <v>45666.0</v>
      </c>
      <c r="B3431" s="23">
        <v>1.0765E7</v>
      </c>
      <c r="C3431" s="23">
        <f t="shared" si="1"/>
        <v>12002532.6</v>
      </c>
      <c r="D3431" s="18">
        <f>IF(A3431="","",MATCH(A3431,Calculation!B$2:B9627,1))</f>
        <v>2</v>
      </c>
      <c r="E3431" s="23">
        <f t="array" ref="E3431">IF(D3431="","",IF(D3431=1,0,INDEX(Calculation!Q$2:Q9627,D3431-1)))</f>
        <v>3232449.315</v>
      </c>
      <c r="F3431" s="23">
        <f t="array" ref="F3431">IF($A3431="","",
  LET(
    r, $D3431,
    startD, INDEX(Calculation!B$2:B9627, r),
    endD,   INDEX(Calculation!C$2:C9627, r),
    asOf,   MIN($A3431,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8770083.288</v>
      </c>
    </row>
    <row r="3432">
      <c r="A3432" s="19">
        <v>45667.0</v>
      </c>
      <c r="B3432" s="23">
        <v>1.0765E7</v>
      </c>
      <c r="C3432" s="23">
        <f t="shared" si="1"/>
        <v>12009610.96</v>
      </c>
      <c r="D3432" s="18">
        <f>IF(A3432="","",MATCH(A3432,Calculation!B$2:B9627,1))</f>
        <v>2</v>
      </c>
      <c r="E3432" s="23">
        <f t="array" ref="E3432">IF(D3432="","",IF(D3432=1,0,INDEX(Calculation!Q$2:Q9627,D3432-1)))</f>
        <v>3232449.315</v>
      </c>
      <c r="F3432" s="23">
        <f t="array" ref="F3432">IF($A3432="","",
  LET(
    r, $D3432,
    startD, INDEX(Calculation!B$2:B9627, r),
    endD,   INDEX(Calculation!C$2:C9627, r),
    asOf,   MIN($A3432,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8777161.644</v>
      </c>
    </row>
    <row r="3433">
      <c r="A3433" s="19">
        <v>45668.0</v>
      </c>
      <c r="B3433" s="23">
        <v>1.0765E7</v>
      </c>
      <c r="C3433" s="23">
        <f t="shared" si="1"/>
        <v>12016689.32</v>
      </c>
      <c r="D3433" s="18">
        <f>IF(A3433="","",MATCH(A3433,Calculation!B$2:B9627,1))</f>
        <v>2</v>
      </c>
      <c r="E3433" s="23">
        <f t="array" ref="E3433">IF(D3433="","",IF(D3433=1,0,INDEX(Calculation!Q$2:Q9627,D3433-1)))</f>
        <v>3232449.315</v>
      </c>
      <c r="F3433" s="23">
        <f t="array" ref="F3433">IF($A3433="","",
  LET(
    r, $D3433,
    startD, INDEX(Calculation!B$2:B9627, r),
    endD,   INDEX(Calculation!C$2:C9627, r),
    asOf,   MIN($A3433,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8784240</v>
      </c>
    </row>
    <row r="3434">
      <c r="A3434" s="19">
        <v>45669.0</v>
      </c>
      <c r="B3434" s="23">
        <v>1.0765E7</v>
      </c>
      <c r="C3434" s="23">
        <f t="shared" si="1"/>
        <v>12023767.67</v>
      </c>
      <c r="D3434" s="18">
        <f>IF(A3434="","",MATCH(A3434,Calculation!B$2:B9627,1))</f>
        <v>2</v>
      </c>
      <c r="E3434" s="23">
        <f t="array" ref="E3434">IF(D3434="","",IF(D3434=1,0,INDEX(Calculation!Q$2:Q9627,D3434-1)))</f>
        <v>3232449.315</v>
      </c>
      <c r="F3434" s="23">
        <f t="array" ref="F3434">IF($A3434="","",
  LET(
    r, $D3434,
    startD, INDEX(Calculation!B$2:B9627, r),
    endD,   INDEX(Calculation!C$2:C9627, r),
    asOf,   MIN($A3434,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8791318.356</v>
      </c>
    </row>
    <row r="3435">
      <c r="A3435" s="19">
        <v>45670.0</v>
      </c>
      <c r="B3435" s="23">
        <v>1.0765E7</v>
      </c>
      <c r="C3435" s="23">
        <f t="shared" si="1"/>
        <v>12030846.03</v>
      </c>
      <c r="D3435" s="18">
        <f>IF(A3435="","",MATCH(A3435,Calculation!B$2:B9627,1))</f>
        <v>2</v>
      </c>
      <c r="E3435" s="23">
        <f t="array" ref="E3435">IF(D3435="","",IF(D3435=1,0,INDEX(Calculation!Q$2:Q9627,D3435-1)))</f>
        <v>3232449.315</v>
      </c>
      <c r="F3435" s="23">
        <f t="array" ref="F3435">IF($A3435="","",
  LET(
    r, $D3435,
    startD, INDEX(Calculation!B$2:B9627, r),
    endD,   INDEX(Calculation!C$2:C9627, r),
    asOf,   MIN($A3435,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8798396.712</v>
      </c>
    </row>
    <row r="3436">
      <c r="A3436" s="19">
        <v>45671.0</v>
      </c>
      <c r="B3436" s="23">
        <v>1.0765E7</v>
      </c>
      <c r="C3436" s="23">
        <f t="shared" si="1"/>
        <v>12037924.38</v>
      </c>
      <c r="D3436" s="18">
        <f>IF(A3436="","",MATCH(A3436,Calculation!B$2:B9627,1))</f>
        <v>2</v>
      </c>
      <c r="E3436" s="23">
        <f t="array" ref="E3436">IF(D3436="","",IF(D3436=1,0,INDEX(Calculation!Q$2:Q9627,D3436-1)))</f>
        <v>3232449.315</v>
      </c>
      <c r="F3436" s="23">
        <f t="array" ref="F3436">IF($A3436="","",
  LET(
    r, $D3436,
    startD, INDEX(Calculation!B$2:B9627, r),
    endD,   INDEX(Calculation!C$2:C9627, r),
    asOf,   MIN($A3436,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8805475.068</v>
      </c>
    </row>
    <row r="3437">
      <c r="A3437" s="19">
        <v>45672.0</v>
      </c>
      <c r="B3437" s="23">
        <v>1.0765E7</v>
      </c>
      <c r="C3437" s="23">
        <f t="shared" si="1"/>
        <v>12045002.74</v>
      </c>
      <c r="D3437" s="18">
        <f>IF(A3437="","",MATCH(A3437,Calculation!B$2:B9627,1))</f>
        <v>2</v>
      </c>
      <c r="E3437" s="23">
        <f t="array" ref="E3437">IF(D3437="","",IF(D3437=1,0,INDEX(Calculation!Q$2:Q9627,D3437-1)))</f>
        <v>3232449.315</v>
      </c>
      <c r="F3437" s="23">
        <f t="array" ref="F3437">IF($A3437="","",
  LET(
    r, $D3437,
    startD, INDEX(Calculation!B$2:B9627, r),
    endD,   INDEX(Calculation!C$2:C9627, r),
    asOf,   MIN($A3437,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8812553.425</v>
      </c>
    </row>
    <row r="3438">
      <c r="A3438" s="19">
        <v>45673.0</v>
      </c>
      <c r="B3438" s="23">
        <v>1.0765E7</v>
      </c>
      <c r="C3438" s="23">
        <f t="shared" si="1"/>
        <v>12052081.1</v>
      </c>
      <c r="D3438" s="18">
        <f>IF(A3438="","",MATCH(A3438,Calculation!B$2:B9627,1))</f>
        <v>2</v>
      </c>
      <c r="E3438" s="23">
        <f t="array" ref="E3438">IF(D3438="","",IF(D3438=1,0,INDEX(Calculation!Q$2:Q9627,D3438-1)))</f>
        <v>3232449.315</v>
      </c>
      <c r="F3438" s="23">
        <f t="array" ref="F3438">IF($A3438="","",
  LET(
    r, $D3438,
    startD, INDEX(Calculation!B$2:B9627, r),
    endD,   INDEX(Calculation!C$2:C9627, r),
    asOf,   MIN($A3438,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8819631.781</v>
      </c>
    </row>
    <row r="3439">
      <c r="A3439" s="19">
        <v>45674.0</v>
      </c>
      <c r="B3439" s="23">
        <v>1.0765E7</v>
      </c>
      <c r="C3439" s="23">
        <f t="shared" si="1"/>
        <v>12059159.45</v>
      </c>
      <c r="D3439" s="18">
        <f>IF(A3439="","",MATCH(A3439,Calculation!B$2:B9627,1))</f>
        <v>2</v>
      </c>
      <c r="E3439" s="23">
        <f t="array" ref="E3439">IF(D3439="","",IF(D3439=1,0,INDEX(Calculation!Q$2:Q9627,D3439-1)))</f>
        <v>3232449.315</v>
      </c>
      <c r="F3439" s="23">
        <f t="array" ref="F3439">IF($A3439="","",
  LET(
    r, $D3439,
    startD, INDEX(Calculation!B$2:B9627, r),
    endD,   INDEX(Calculation!C$2:C9627, r),
    asOf,   MIN($A3439,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8826710.137</v>
      </c>
    </row>
    <row r="3440">
      <c r="A3440" s="19">
        <v>45675.0</v>
      </c>
      <c r="B3440" s="23">
        <v>1.0765E7</v>
      </c>
      <c r="C3440" s="23">
        <f t="shared" si="1"/>
        <v>12066237.81</v>
      </c>
      <c r="D3440" s="18">
        <f>IF(A3440="","",MATCH(A3440,Calculation!B$2:B9627,1))</f>
        <v>2</v>
      </c>
      <c r="E3440" s="23">
        <f t="array" ref="E3440">IF(D3440="","",IF(D3440=1,0,INDEX(Calculation!Q$2:Q9627,D3440-1)))</f>
        <v>3232449.315</v>
      </c>
      <c r="F3440" s="23">
        <f t="array" ref="F3440">IF($A3440="","",
  LET(
    r, $D3440,
    startD, INDEX(Calculation!B$2:B9627, r),
    endD,   INDEX(Calculation!C$2:C9627, r),
    asOf,   MIN($A3440,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8833788.493</v>
      </c>
    </row>
    <row r="3441">
      <c r="A3441" s="19">
        <v>45676.0</v>
      </c>
      <c r="B3441" s="23">
        <v>1.0765E7</v>
      </c>
      <c r="C3441" s="23">
        <f t="shared" si="1"/>
        <v>12073316.16</v>
      </c>
      <c r="D3441" s="18">
        <f>IF(A3441="","",MATCH(A3441,Calculation!B$2:B9627,1))</f>
        <v>2</v>
      </c>
      <c r="E3441" s="23">
        <f t="array" ref="E3441">IF(D3441="","",IF(D3441=1,0,INDEX(Calculation!Q$2:Q9627,D3441-1)))</f>
        <v>3232449.315</v>
      </c>
      <c r="F3441" s="23">
        <f t="array" ref="F3441">IF($A3441="","",
  LET(
    r, $D3441,
    startD, INDEX(Calculation!B$2:B9627, r),
    endD,   INDEX(Calculation!C$2:C9627, r),
    asOf,   MIN($A3441,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8840866.849</v>
      </c>
    </row>
    <row r="3442">
      <c r="A3442" s="19">
        <v>45677.0</v>
      </c>
      <c r="B3442" s="23">
        <v>1.0765E7</v>
      </c>
      <c r="C3442" s="23">
        <f t="shared" si="1"/>
        <v>12080394.52</v>
      </c>
      <c r="D3442" s="18">
        <f>IF(A3442="","",MATCH(A3442,Calculation!B$2:B9627,1))</f>
        <v>2</v>
      </c>
      <c r="E3442" s="23">
        <f t="array" ref="E3442">IF(D3442="","",IF(D3442=1,0,INDEX(Calculation!Q$2:Q9627,D3442-1)))</f>
        <v>3232449.315</v>
      </c>
      <c r="F3442" s="23">
        <f t="array" ref="F3442">IF($A3442="","",
  LET(
    r, $D3442,
    startD, INDEX(Calculation!B$2:B9627, r),
    endD,   INDEX(Calculation!C$2:C9627, r),
    asOf,   MIN($A3442,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8847945.205</v>
      </c>
    </row>
    <row r="3443">
      <c r="A3443" s="19">
        <v>45678.0</v>
      </c>
      <c r="B3443" s="23">
        <v>1.0765E7</v>
      </c>
      <c r="C3443" s="23">
        <f t="shared" si="1"/>
        <v>12087472.88</v>
      </c>
      <c r="D3443" s="18">
        <f>IF(A3443="","",MATCH(A3443,Calculation!B$2:B9627,1))</f>
        <v>2</v>
      </c>
      <c r="E3443" s="23">
        <f t="array" ref="E3443">IF(D3443="","",IF(D3443=1,0,INDEX(Calculation!Q$2:Q9627,D3443-1)))</f>
        <v>3232449.315</v>
      </c>
      <c r="F3443" s="23">
        <f t="array" ref="F3443">IF($A3443="","",
  LET(
    r, $D3443,
    startD, INDEX(Calculation!B$2:B9627, r),
    endD,   INDEX(Calculation!C$2:C9627, r),
    asOf,   MIN($A3443,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8855023.562</v>
      </c>
    </row>
    <row r="3444">
      <c r="A3444" s="19">
        <v>45679.0</v>
      </c>
      <c r="B3444" s="23">
        <v>1.0765E7</v>
      </c>
      <c r="C3444" s="23">
        <f t="shared" si="1"/>
        <v>12094551.23</v>
      </c>
      <c r="D3444" s="18">
        <f>IF(A3444="","",MATCH(A3444,Calculation!B$2:B9627,1))</f>
        <v>2</v>
      </c>
      <c r="E3444" s="23">
        <f t="array" ref="E3444">IF(D3444="","",IF(D3444=1,0,INDEX(Calculation!Q$2:Q9627,D3444-1)))</f>
        <v>3232449.315</v>
      </c>
      <c r="F3444" s="23">
        <f t="array" ref="F3444">IF($A3444="","",
  LET(
    r, $D3444,
    startD, INDEX(Calculation!B$2:B9627, r),
    endD,   INDEX(Calculation!C$2:C9627, r),
    asOf,   MIN($A3444,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8862101.918</v>
      </c>
    </row>
    <row r="3445">
      <c r="A3445" s="19">
        <v>45680.0</v>
      </c>
      <c r="B3445" s="23">
        <v>1.0765E7</v>
      </c>
      <c r="C3445" s="23">
        <f t="shared" si="1"/>
        <v>12101629.59</v>
      </c>
      <c r="D3445" s="18">
        <f>IF(A3445="","",MATCH(A3445,Calculation!B$2:B9627,1))</f>
        <v>2</v>
      </c>
      <c r="E3445" s="23">
        <f t="array" ref="E3445">IF(D3445="","",IF(D3445=1,0,INDEX(Calculation!Q$2:Q9627,D3445-1)))</f>
        <v>3232449.315</v>
      </c>
      <c r="F3445" s="23">
        <f t="array" ref="F3445">IF($A3445="","",
  LET(
    r, $D3445,
    startD, INDEX(Calculation!B$2:B9627, r),
    endD,   INDEX(Calculation!C$2:C9627, r),
    asOf,   MIN($A3445,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8869180.274</v>
      </c>
    </row>
    <row r="3446">
      <c r="A3446" s="19">
        <v>45681.0</v>
      </c>
      <c r="B3446" s="23">
        <v>1.0765E7</v>
      </c>
      <c r="C3446" s="23">
        <f t="shared" si="1"/>
        <v>12108707.95</v>
      </c>
      <c r="D3446" s="18">
        <f>IF(A3446="","",MATCH(A3446,Calculation!B$2:B9627,1))</f>
        <v>2</v>
      </c>
      <c r="E3446" s="23">
        <f t="array" ref="E3446">IF(D3446="","",IF(D3446=1,0,INDEX(Calculation!Q$2:Q9627,D3446-1)))</f>
        <v>3232449.315</v>
      </c>
      <c r="F3446" s="23">
        <f t="array" ref="F3446">IF($A3446="","",
  LET(
    r, $D3446,
    startD, INDEX(Calculation!B$2:B9627, r),
    endD,   INDEX(Calculation!C$2:C9627, r),
    asOf,   MIN($A3446,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8876258.63</v>
      </c>
    </row>
    <row r="3447">
      <c r="A3447" s="19">
        <v>45682.0</v>
      </c>
      <c r="B3447" s="23">
        <v>1.0765E7</v>
      </c>
      <c r="C3447" s="23">
        <f t="shared" si="1"/>
        <v>12115786.3</v>
      </c>
      <c r="D3447" s="18">
        <f>IF(A3447="","",MATCH(A3447,Calculation!B$2:B9627,1))</f>
        <v>2</v>
      </c>
      <c r="E3447" s="23">
        <f t="array" ref="E3447">IF(D3447="","",IF(D3447=1,0,INDEX(Calculation!Q$2:Q9627,D3447-1)))</f>
        <v>3232449.315</v>
      </c>
      <c r="F3447" s="23">
        <f t="array" ref="F3447">IF($A3447="","",
  LET(
    r, $D3447,
    startD, INDEX(Calculation!B$2:B9627, r),
    endD,   INDEX(Calculation!C$2:C9627, r),
    asOf,   MIN($A3447,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8883336.986</v>
      </c>
    </row>
    <row r="3448">
      <c r="A3448" s="19">
        <v>45683.0</v>
      </c>
      <c r="B3448" s="23">
        <v>1.0765E7</v>
      </c>
      <c r="C3448" s="23">
        <f t="shared" si="1"/>
        <v>12122864.66</v>
      </c>
      <c r="D3448" s="18">
        <f>IF(A3448="","",MATCH(A3448,Calculation!B$2:B9627,1))</f>
        <v>2</v>
      </c>
      <c r="E3448" s="23">
        <f t="array" ref="E3448">IF(D3448="","",IF(D3448=1,0,INDEX(Calculation!Q$2:Q9627,D3448-1)))</f>
        <v>3232449.315</v>
      </c>
      <c r="F3448" s="23">
        <f t="array" ref="F3448">IF($A3448="","",
  LET(
    r, $D3448,
    startD, INDEX(Calculation!B$2:B9627, r),
    endD,   INDEX(Calculation!C$2:C9627, r),
    asOf,   MIN($A3448,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8890415.342</v>
      </c>
    </row>
    <row r="3449">
      <c r="A3449" s="19">
        <v>45684.0</v>
      </c>
      <c r="B3449" s="23">
        <v>1.0765E7</v>
      </c>
      <c r="C3449" s="23">
        <f t="shared" si="1"/>
        <v>12129943.01</v>
      </c>
      <c r="D3449" s="18">
        <f>IF(A3449="","",MATCH(A3449,Calculation!B$2:B9627,1))</f>
        <v>2</v>
      </c>
      <c r="E3449" s="23">
        <f t="array" ref="E3449">IF(D3449="","",IF(D3449=1,0,INDEX(Calculation!Q$2:Q9627,D3449-1)))</f>
        <v>3232449.315</v>
      </c>
      <c r="F3449" s="23">
        <f t="array" ref="F3449">IF($A3449="","",
  LET(
    r, $D3449,
    startD, INDEX(Calculation!B$2:B9627, r),
    endD,   INDEX(Calculation!C$2:C9627, r),
    asOf,   MIN($A3449,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8897493.699</v>
      </c>
    </row>
    <row r="3450">
      <c r="A3450" s="19">
        <v>45685.0</v>
      </c>
      <c r="B3450" s="23">
        <v>1.0765E7</v>
      </c>
      <c r="C3450" s="23">
        <f t="shared" si="1"/>
        <v>12137021.37</v>
      </c>
      <c r="D3450" s="18">
        <f>IF(A3450="","",MATCH(A3450,Calculation!B$2:B9627,1))</f>
        <v>2</v>
      </c>
      <c r="E3450" s="23">
        <f t="array" ref="E3450">IF(D3450="","",IF(D3450=1,0,INDEX(Calculation!Q$2:Q9627,D3450-1)))</f>
        <v>3232449.315</v>
      </c>
      <c r="F3450" s="23">
        <f t="array" ref="F3450">IF($A3450="","",
  LET(
    r, $D3450,
    startD, INDEX(Calculation!B$2:B9627, r),
    endD,   INDEX(Calculation!C$2:C9627, r),
    asOf,   MIN($A3450,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8904572.055</v>
      </c>
    </row>
    <row r="3451">
      <c r="A3451" s="19">
        <v>45686.0</v>
      </c>
      <c r="B3451" s="23">
        <v>1.0765E7</v>
      </c>
      <c r="C3451" s="23">
        <f t="shared" si="1"/>
        <v>12144099.73</v>
      </c>
      <c r="D3451" s="18">
        <f>IF(A3451="","",MATCH(A3451,Calculation!B$2:B9627,1))</f>
        <v>2</v>
      </c>
      <c r="E3451" s="23">
        <f t="array" ref="E3451">IF(D3451="","",IF(D3451=1,0,INDEX(Calculation!Q$2:Q9627,D3451-1)))</f>
        <v>3232449.315</v>
      </c>
      <c r="F3451" s="23">
        <f t="array" ref="F3451">IF($A3451="","",
  LET(
    r, $D3451,
    startD, INDEX(Calculation!B$2:B9627, r),
    endD,   INDEX(Calculation!C$2:C9627, r),
    asOf,   MIN($A3451,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8911650.411</v>
      </c>
    </row>
    <row r="3452">
      <c r="A3452" s="19">
        <v>45687.0</v>
      </c>
      <c r="B3452" s="23">
        <v>1.0765E7</v>
      </c>
      <c r="C3452" s="23">
        <f t="shared" si="1"/>
        <v>12151178.08</v>
      </c>
      <c r="D3452" s="18">
        <f>IF(A3452="","",MATCH(A3452,Calculation!B$2:B9627,1))</f>
        <v>2</v>
      </c>
      <c r="E3452" s="23">
        <f t="array" ref="E3452">IF(D3452="","",IF(D3452=1,0,INDEX(Calculation!Q$2:Q9627,D3452-1)))</f>
        <v>3232449.315</v>
      </c>
      <c r="F3452" s="23">
        <f t="array" ref="F3452">IF($A3452="","",
  LET(
    r, $D3452,
    startD, INDEX(Calculation!B$2:B9627, r),
    endD,   INDEX(Calculation!C$2:C9627, r),
    asOf,   MIN($A3452,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8918728.767</v>
      </c>
    </row>
    <row r="3453">
      <c r="A3453" s="19">
        <v>45688.0</v>
      </c>
      <c r="B3453" s="23">
        <v>1.0765E7</v>
      </c>
      <c r="C3453" s="23">
        <f t="shared" si="1"/>
        <v>12158256.44</v>
      </c>
      <c r="D3453" s="18">
        <f>IF(A3453="","",MATCH(A3453,Calculation!B$2:B9627,1))</f>
        <v>2</v>
      </c>
      <c r="E3453" s="23">
        <f t="array" ref="E3453">IF(D3453="","",IF(D3453=1,0,INDEX(Calculation!Q$2:Q9627,D3453-1)))</f>
        <v>3232449.315</v>
      </c>
      <c r="F3453" s="23">
        <f t="array" ref="F3453">IF($A3453="","",
  LET(
    r, $D3453,
    startD, INDEX(Calculation!B$2:B9627, r),
    endD,   INDEX(Calculation!C$2:C9627, r),
    asOf,   MIN($A3453,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8925807.123</v>
      </c>
    </row>
    <row r="3454">
      <c r="A3454" s="19">
        <v>45689.0</v>
      </c>
      <c r="B3454" s="23">
        <v>1.0765E7</v>
      </c>
      <c r="C3454" s="23">
        <f t="shared" si="1"/>
        <v>12165334.79</v>
      </c>
      <c r="D3454" s="18">
        <f>IF(A3454="","",MATCH(A3454,Calculation!B$2:B9627,1))</f>
        <v>2</v>
      </c>
      <c r="E3454" s="23">
        <f t="array" ref="E3454">IF(D3454="","",IF(D3454=1,0,INDEX(Calculation!Q$2:Q9627,D3454-1)))</f>
        <v>3232449.315</v>
      </c>
      <c r="F3454" s="23">
        <f t="array" ref="F3454">IF($A3454="","",
  LET(
    r, $D3454,
    startD, INDEX(Calculation!B$2:B9627, r),
    endD,   INDEX(Calculation!C$2:C9627, r),
    asOf,   MIN($A3454,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8932885.479</v>
      </c>
    </row>
    <row r="3455">
      <c r="A3455" s="19">
        <v>45690.0</v>
      </c>
      <c r="B3455" s="23">
        <v>1.0765E7</v>
      </c>
      <c r="C3455" s="23">
        <f t="shared" si="1"/>
        <v>12172413.15</v>
      </c>
      <c r="D3455" s="18">
        <f>IF(A3455="","",MATCH(A3455,Calculation!B$2:B9627,1))</f>
        <v>2</v>
      </c>
      <c r="E3455" s="23">
        <f t="array" ref="E3455">IF(D3455="","",IF(D3455=1,0,INDEX(Calculation!Q$2:Q9627,D3455-1)))</f>
        <v>3232449.315</v>
      </c>
      <c r="F3455" s="23">
        <f t="array" ref="F3455">IF($A3455="","",
  LET(
    r, $D3455,
    startD, INDEX(Calculation!B$2:B9627, r),
    endD,   INDEX(Calculation!C$2:C9627, r),
    asOf,   MIN($A3455,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8939963.836</v>
      </c>
    </row>
    <row r="3456">
      <c r="A3456" s="19">
        <v>45691.0</v>
      </c>
      <c r="B3456" s="23">
        <v>1.0765E7</v>
      </c>
      <c r="C3456" s="23">
        <f t="shared" si="1"/>
        <v>12179491.51</v>
      </c>
      <c r="D3456" s="18">
        <f>IF(A3456="","",MATCH(A3456,Calculation!B$2:B9627,1))</f>
        <v>2</v>
      </c>
      <c r="E3456" s="23">
        <f t="array" ref="E3456">IF(D3456="","",IF(D3456=1,0,INDEX(Calculation!Q$2:Q9627,D3456-1)))</f>
        <v>3232449.315</v>
      </c>
      <c r="F3456" s="23">
        <f t="array" ref="F3456">IF($A3456="","",
  LET(
    r, $D3456,
    startD, INDEX(Calculation!B$2:B9627, r),
    endD,   INDEX(Calculation!C$2:C9627, r),
    asOf,   MIN($A3456,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8947042.192</v>
      </c>
    </row>
    <row r="3457">
      <c r="A3457" s="19">
        <v>45692.0</v>
      </c>
      <c r="B3457" s="23">
        <v>1.0765E7</v>
      </c>
      <c r="C3457" s="23">
        <f t="shared" si="1"/>
        <v>12186569.86</v>
      </c>
      <c r="D3457" s="18">
        <f>IF(A3457="","",MATCH(A3457,Calculation!B$2:B9627,1))</f>
        <v>2</v>
      </c>
      <c r="E3457" s="23">
        <f t="array" ref="E3457">IF(D3457="","",IF(D3457=1,0,INDEX(Calculation!Q$2:Q9627,D3457-1)))</f>
        <v>3232449.315</v>
      </c>
      <c r="F3457" s="23">
        <f t="array" ref="F3457">IF($A3457="","",
  LET(
    r, $D3457,
    startD, INDEX(Calculation!B$2:B9627, r),
    endD,   INDEX(Calculation!C$2:C9627, r),
    asOf,   MIN($A3457,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8954120.548</v>
      </c>
    </row>
    <row r="3458">
      <c r="A3458" s="19">
        <v>45693.0</v>
      </c>
      <c r="B3458" s="23">
        <v>1.0765E7</v>
      </c>
      <c r="C3458" s="23">
        <f t="shared" si="1"/>
        <v>12193648.22</v>
      </c>
      <c r="D3458" s="18">
        <f>IF(A3458="","",MATCH(A3458,Calculation!B$2:B9627,1))</f>
        <v>2</v>
      </c>
      <c r="E3458" s="23">
        <f t="array" ref="E3458">IF(D3458="","",IF(D3458=1,0,INDEX(Calculation!Q$2:Q9627,D3458-1)))</f>
        <v>3232449.315</v>
      </c>
      <c r="F3458" s="23">
        <f t="array" ref="F3458">IF($A3458="","",
  LET(
    r, $D3458,
    startD, INDEX(Calculation!B$2:B9627, r),
    endD,   INDEX(Calculation!C$2:C9627, r),
    asOf,   MIN($A3458,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8961198.904</v>
      </c>
    </row>
    <row r="3459">
      <c r="A3459" s="19">
        <v>45694.0</v>
      </c>
      <c r="B3459" s="23">
        <v>1.0765E7</v>
      </c>
      <c r="C3459" s="23">
        <f t="shared" si="1"/>
        <v>12200726.58</v>
      </c>
      <c r="D3459" s="18">
        <f>IF(A3459="","",MATCH(A3459,Calculation!B$2:B9627,1))</f>
        <v>2</v>
      </c>
      <c r="E3459" s="23">
        <f t="array" ref="E3459">IF(D3459="","",IF(D3459=1,0,INDEX(Calculation!Q$2:Q9627,D3459-1)))</f>
        <v>3232449.315</v>
      </c>
      <c r="F3459" s="23">
        <f t="array" ref="F3459">IF($A3459="","",
  LET(
    r, $D3459,
    startD, INDEX(Calculation!B$2:B9627, r),
    endD,   INDEX(Calculation!C$2:C9627, r),
    asOf,   MIN($A3459,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8968277.26</v>
      </c>
    </row>
    <row r="3460">
      <c r="A3460" s="19">
        <v>45695.0</v>
      </c>
      <c r="B3460" s="23">
        <v>1.0765E7</v>
      </c>
      <c r="C3460" s="23">
        <f t="shared" si="1"/>
        <v>12207804.93</v>
      </c>
      <c r="D3460" s="18">
        <f>IF(A3460="","",MATCH(A3460,Calculation!B$2:B9627,1))</f>
        <v>2</v>
      </c>
      <c r="E3460" s="23">
        <f t="array" ref="E3460">IF(D3460="","",IF(D3460=1,0,INDEX(Calculation!Q$2:Q9627,D3460-1)))</f>
        <v>3232449.315</v>
      </c>
      <c r="F3460" s="23">
        <f t="array" ref="F3460">IF($A3460="","",
  LET(
    r, $D3460,
    startD, INDEX(Calculation!B$2:B9627, r),
    endD,   INDEX(Calculation!C$2:C9627, r),
    asOf,   MIN($A3460,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8975355.616</v>
      </c>
    </row>
    <row r="3461">
      <c r="A3461" s="19">
        <v>45696.0</v>
      </c>
      <c r="B3461" s="23">
        <v>1.0765E7</v>
      </c>
      <c r="C3461" s="23">
        <f t="shared" si="1"/>
        <v>12214883.29</v>
      </c>
      <c r="D3461" s="18">
        <f>IF(A3461="","",MATCH(A3461,Calculation!B$2:B9627,1))</f>
        <v>2</v>
      </c>
      <c r="E3461" s="23">
        <f t="array" ref="E3461">IF(D3461="","",IF(D3461=1,0,INDEX(Calculation!Q$2:Q9627,D3461-1)))</f>
        <v>3232449.315</v>
      </c>
      <c r="F3461" s="23">
        <f t="array" ref="F3461">IF($A3461="","",
  LET(
    r, $D3461,
    startD, INDEX(Calculation!B$2:B9627, r),
    endD,   INDEX(Calculation!C$2:C9627, r),
    asOf,   MIN($A3461,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8982433.973</v>
      </c>
    </row>
    <row r="3462">
      <c r="A3462" s="19">
        <v>45697.0</v>
      </c>
      <c r="B3462" s="23">
        <v>1.0765E7</v>
      </c>
      <c r="C3462" s="23">
        <f t="shared" si="1"/>
        <v>12221961.64</v>
      </c>
      <c r="D3462" s="18">
        <f>IF(A3462="","",MATCH(A3462,Calculation!B$2:B9627,1))</f>
        <v>2</v>
      </c>
      <c r="E3462" s="23">
        <f t="array" ref="E3462">IF(D3462="","",IF(D3462=1,0,INDEX(Calculation!Q$2:Q9627,D3462-1)))</f>
        <v>3232449.315</v>
      </c>
      <c r="F3462" s="23">
        <f t="array" ref="F3462">IF($A3462="","",
  LET(
    r, $D3462,
    startD, INDEX(Calculation!B$2:B9627, r),
    endD,   INDEX(Calculation!C$2:C9627, r),
    asOf,   MIN($A3462,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8989512.329</v>
      </c>
    </row>
    <row r="3463">
      <c r="A3463" s="19">
        <v>45698.0</v>
      </c>
      <c r="B3463" s="23">
        <v>1.0765E7</v>
      </c>
      <c r="C3463" s="23">
        <f t="shared" si="1"/>
        <v>12229040</v>
      </c>
      <c r="D3463" s="18">
        <f>IF(A3463="","",MATCH(A3463,Calculation!B$2:B9627,1))</f>
        <v>2</v>
      </c>
      <c r="E3463" s="23">
        <f t="array" ref="E3463">IF(D3463="","",IF(D3463=1,0,INDEX(Calculation!Q$2:Q9627,D3463-1)))</f>
        <v>3232449.315</v>
      </c>
      <c r="F3463" s="23">
        <f t="array" ref="F3463">IF($A3463="","",
  LET(
    r, $D3463,
    startD, INDEX(Calculation!B$2:B9627, r),
    endD,   INDEX(Calculation!C$2:C9627, r),
    asOf,   MIN($A3463,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8996590.685</v>
      </c>
    </row>
    <row r="3464">
      <c r="A3464" s="19">
        <v>45699.0</v>
      </c>
      <c r="B3464" s="23">
        <v>1.0765E7</v>
      </c>
      <c r="C3464" s="23">
        <f t="shared" si="1"/>
        <v>12236118.36</v>
      </c>
      <c r="D3464" s="18">
        <f>IF(A3464="","",MATCH(A3464,Calculation!B$2:B9627,1))</f>
        <v>2</v>
      </c>
      <c r="E3464" s="23">
        <f t="array" ref="E3464">IF(D3464="","",IF(D3464=1,0,INDEX(Calculation!Q$2:Q9627,D3464-1)))</f>
        <v>3232449.315</v>
      </c>
      <c r="F3464" s="23">
        <f t="array" ref="F3464">IF($A3464="","",
  LET(
    r, $D3464,
    startD, INDEX(Calculation!B$2:B9627, r),
    endD,   INDEX(Calculation!C$2:C9627, r),
    asOf,   MIN($A3464,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9003669.041</v>
      </c>
    </row>
    <row r="3465">
      <c r="A3465" s="19">
        <v>45700.0</v>
      </c>
      <c r="B3465" s="23">
        <v>1.0765E7</v>
      </c>
      <c r="C3465" s="23">
        <f t="shared" si="1"/>
        <v>12243196.71</v>
      </c>
      <c r="D3465" s="18">
        <f>IF(A3465="","",MATCH(A3465,Calculation!B$2:B9627,1))</f>
        <v>2</v>
      </c>
      <c r="E3465" s="23">
        <f t="array" ref="E3465">IF(D3465="","",IF(D3465=1,0,INDEX(Calculation!Q$2:Q9627,D3465-1)))</f>
        <v>3232449.315</v>
      </c>
      <c r="F3465" s="23">
        <f t="array" ref="F3465">IF($A3465="","",
  LET(
    r, $D3465,
    startD, INDEX(Calculation!B$2:B9627, r),
    endD,   INDEX(Calculation!C$2:C9627, r),
    asOf,   MIN($A3465,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9010747.397</v>
      </c>
    </row>
    <row r="3466">
      <c r="A3466" s="19">
        <v>45701.0</v>
      </c>
      <c r="B3466" s="23">
        <v>1.0765E7</v>
      </c>
      <c r="C3466" s="23">
        <f t="shared" si="1"/>
        <v>12250275.07</v>
      </c>
      <c r="D3466" s="18">
        <f>IF(A3466="","",MATCH(A3466,Calculation!B$2:B9627,1))</f>
        <v>2</v>
      </c>
      <c r="E3466" s="23">
        <f t="array" ref="E3466">IF(D3466="","",IF(D3466=1,0,INDEX(Calculation!Q$2:Q9627,D3466-1)))</f>
        <v>3232449.315</v>
      </c>
      <c r="F3466" s="23">
        <f t="array" ref="F3466">IF($A3466="","",
  LET(
    r, $D3466,
    startD, INDEX(Calculation!B$2:B9627, r),
    endD,   INDEX(Calculation!C$2:C9627, r),
    asOf,   MIN($A3466,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9017825.753</v>
      </c>
    </row>
    <row r="3467">
      <c r="A3467" s="19">
        <v>45702.0</v>
      </c>
      <c r="B3467" s="23">
        <v>1.0765E7</v>
      </c>
      <c r="C3467" s="23">
        <f t="shared" si="1"/>
        <v>12257353.42</v>
      </c>
      <c r="D3467" s="18">
        <f>IF(A3467="","",MATCH(A3467,Calculation!B$2:B9627,1))</f>
        <v>2</v>
      </c>
      <c r="E3467" s="23">
        <f t="array" ref="E3467">IF(D3467="","",IF(D3467=1,0,INDEX(Calculation!Q$2:Q9627,D3467-1)))</f>
        <v>3232449.315</v>
      </c>
      <c r="F3467" s="23">
        <f t="array" ref="F3467">IF($A3467="","",
  LET(
    r, $D3467,
    startD, INDEX(Calculation!B$2:B9627, r),
    endD,   INDEX(Calculation!C$2:C9627, r),
    asOf,   MIN($A3467,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9024904.11</v>
      </c>
    </row>
    <row r="3468">
      <c r="A3468" s="19">
        <v>45703.0</v>
      </c>
      <c r="B3468" s="23">
        <v>1.0765E7</v>
      </c>
      <c r="C3468" s="23">
        <f t="shared" si="1"/>
        <v>12264431.78</v>
      </c>
      <c r="D3468" s="18">
        <f>IF(A3468="","",MATCH(A3468,Calculation!B$2:B9627,1))</f>
        <v>2</v>
      </c>
      <c r="E3468" s="23">
        <f t="array" ref="E3468">IF(D3468="","",IF(D3468=1,0,INDEX(Calculation!Q$2:Q9627,D3468-1)))</f>
        <v>3232449.315</v>
      </c>
      <c r="F3468" s="23">
        <f t="array" ref="F3468">IF($A3468="","",
  LET(
    r, $D3468,
    startD, INDEX(Calculation!B$2:B9627, r),
    endD,   INDEX(Calculation!C$2:C9627, r),
    asOf,   MIN($A3468,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9031982.466</v>
      </c>
    </row>
    <row r="3469">
      <c r="A3469" s="19">
        <v>45704.0</v>
      </c>
      <c r="B3469" s="23">
        <v>1.0765E7</v>
      </c>
      <c r="C3469" s="23">
        <f t="shared" si="1"/>
        <v>12271510.14</v>
      </c>
      <c r="D3469" s="18">
        <f>IF(A3469="","",MATCH(A3469,Calculation!B$2:B9627,1))</f>
        <v>2</v>
      </c>
      <c r="E3469" s="23">
        <f t="array" ref="E3469">IF(D3469="","",IF(D3469=1,0,INDEX(Calculation!Q$2:Q9627,D3469-1)))</f>
        <v>3232449.315</v>
      </c>
      <c r="F3469" s="23">
        <f t="array" ref="F3469">IF($A3469="","",
  LET(
    r, $D3469,
    startD, INDEX(Calculation!B$2:B9627, r),
    endD,   INDEX(Calculation!C$2:C9627, r),
    asOf,   MIN($A3469,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9039060.822</v>
      </c>
    </row>
    <row r="3470">
      <c r="A3470" s="19">
        <v>45705.0</v>
      </c>
      <c r="B3470" s="23">
        <v>1.0765E7</v>
      </c>
      <c r="C3470" s="23">
        <f t="shared" si="1"/>
        <v>12278588.49</v>
      </c>
      <c r="D3470" s="18">
        <f>IF(A3470="","",MATCH(A3470,Calculation!B$2:B9627,1))</f>
        <v>2</v>
      </c>
      <c r="E3470" s="23">
        <f t="array" ref="E3470">IF(D3470="","",IF(D3470=1,0,INDEX(Calculation!Q$2:Q9627,D3470-1)))</f>
        <v>3232449.315</v>
      </c>
      <c r="F3470" s="23">
        <f t="array" ref="F3470">IF($A3470="","",
  LET(
    r, $D3470,
    startD, INDEX(Calculation!B$2:B9627, r),
    endD,   INDEX(Calculation!C$2:C9627, r),
    asOf,   MIN($A3470,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9046139.178</v>
      </c>
    </row>
    <row r="3471">
      <c r="A3471" s="19">
        <v>45706.0</v>
      </c>
      <c r="B3471" s="23">
        <v>1.0765E7</v>
      </c>
      <c r="C3471" s="23">
        <f t="shared" si="1"/>
        <v>12285666.85</v>
      </c>
      <c r="D3471" s="18">
        <f>IF(A3471="","",MATCH(A3471,Calculation!B$2:B9627,1))</f>
        <v>2</v>
      </c>
      <c r="E3471" s="23">
        <f t="array" ref="E3471">IF(D3471="","",IF(D3471=1,0,INDEX(Calculation!Q$2:Q9627,D3471-1)))</f>
        <v>3232449.315</v>
      </c>
      <c r="F3471" s="23">
        <f t="array" ref="F3471">IF($A3471="","",
  LET(
    r, $D3471,
    startD, INDEX(Calculation!B$2:B9627, r),
    endD,   INDEX(Calculation!C$2:C9627, r),
    asOf,   MIN($A3471,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9053217.534</v>
      </c>
    </row>
    <row r="3472">
      <c r="A3472" s="19">
        <v>45707.0</v>
      </c>
      <c r="B3472" s="23">
        <v>1.0765E7</v>
      </c>
      <c r="C3472" s="23">
        <f t="shared" si="1"/>
        <v>12292745.21</v>
      </c>
      <c r="D3472" s="18">
        <f>IF(A3472="","",MATCH(A3472,Calculation!B$2:B9627,1))</f>
        <v>2</v>
      </c>
      <c r="E3472" s="23">
        <f t="array" ref="E3472">IF(D3472="","",IF(D3472=1,0,INDEX(Calculation!Q$2:Q9627,D3472-1)))</f>
        <v>3232449.315</v>
      </c>
      <c r="F3472" s="23">
        <f t="array" ref="F3472">IF($A3472="","",
  LET(
    r, $D3472,
    startD, INDEX(Calculation!B$2:B9627, r),
    endD,   INDEX(Calculation!C$2:C9627, r),
    asOf,   MIN($A3472,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9060295.89</v>
      </c>
    </row>
    <row r="3473">
      <c r="A3473" s="19">
        <v>45708.0</v>
      </c>
      <c r="B3473" s="23">
        <v>1.0765E7</v>
      </c>
      <c r="C3473" s="23">
        <f t="shared" si="1"/>
        <v>12299823.56</v>
      </c>
      <c r="D3473" s="18">
        <f>IF(A3473="","",MATCH(A3473,Calculation!B$2:B9627,1))</f>
        <v>2</v>
      </c>
      <c r="E3473" s="23">
        <f t="array" ref="E3473">IF(D3473="","",IF(D3473=1,0,INDEX(Calculation!Q$2:Q9627,D3473-1)))</f>
        <v>3232449.315</v>
      </c>
      <c r="F3473" s="23">
        <f t="array" ref="F3473">IF($A3473="","",
  LET(
    r, $D3473,
    startD, INDEX(Calculation!B$2:B9627, r),
    endD,   INDEX(Calculation!C$2:C9627, r),
    asOf,   MIN($A3473,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9067374.247</v>
      </c>
    </row>
    <row r="3474">
      <c r="A3474" s="19">
        <v>45709.0</v>
      </c>
      <c r="B3474" s="23">
        <v>1.0765E7</v>
      </c>
      <c r="C3474" s="23">
        <f t="shared" si="1"/>
        <v>12306901.92</v>
      </c>
      <c r="D3474" s="18">
        <f>IF(A3474="","",MATCH(A3474,Calculation!B$2:B9627,1))</f>
        <v>2</v>
      </c>
      <c r="E3474" s="23">
        <f t="array" ref="E3474">IF(D3474="","",IF(D3474=1,0,INDEX(Calculation!Q$2:Q9627,D3474-1)))</f>
        <v>3232449.315</v>
      </c>
      <c r="F3474" s="23">
        <f t="array" ref="F3474">IF($A3474="","",
  LET(
    r, $D3474,
    startD, INDEX(Calculation!B$2:B9627, r),
    endD,   INDEX(Calculation!C$2:C9627, r),
    asOf,   MIN($A3474,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9074452.603</v>
      </c>
    </row>
    <row r="3475">
      <c r="A3475" s="19">
        <v>45710.0</v>
      </c>
      <c r="B3475" s="23">
        <v>1.0765E7</v>
      </c>
      <c r="C3475" s="23">
        <f t="shared" si="1"/>
        <v>12313980.27</v>
      </c>
      <c r="D3475" s="18">
        <f>IF(A3475="","",MATCH(A3475,Calculation!B$2:B9627,1))</f>
        <v>2</v>
      </c>
      <c r="E3475" s="23">
        <f t="array" ref="E3475">IF(D3475="","",IF(D3475=1,0,INDEX(Calculation!Q$2:Q9627,D3475-1)))</f>
        <v>3232449.315</v>
      </c>
      <c r="F3475" s="23">
        <f t="array" ref="F3475">IF($A3475="","",
  LET(
    r, $D3475,
    startD, INDEX(Calculation!B$2:B9627, r),
    endD,   INDEX(Calculation!C$2:C9627, r),
    asOf,   MIN($A3475,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9081530.959</v>
      </c>
    </row>
    <row r="3476">
      <c r="A3476" s="19">
        <v>45711.0</v>
      </c>
      <c r="B3476" s="23">
        <v>1.0765E7</v>
      </c>
      <c r="C3476" s="23">
        <f t="shared" si="1"/>
        <v>12321058.63</v>
      </c>
      <c r="D3476" s="18">
        <f>IF(A3476="","",MATCH(A3476,Calculation!B$2:B9627,1))</f>
        <v>2</v>
      </c>
      <c r="E3476" s="23">
        <f t="array" ref="E3476">IF(D3476="","",IF(D3476=1,0,INDEX(Calculation!Q$2:Q9627,D3476-1)))</f>
        <v>3232449.315</v>
      </c>
      <c r="F3476" s="23">
        <f t="array" ref="F3476">IF($A3476="","",
  LET(
    r, $D3476,
    startD, INDEX(Calculation!B$2:B9627, r),
    endD,   INDEX(Calculation!C$2:C9627, r),
    asOf,   MIN($A3476,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9088609.315</v>
      </c>
    </row>
    <row r="3477">
      <c r="A3477" s="19">
        <v>45712.0</v>
      </c>
      <c r="B3477" s="23">
        <v>1.0765E7</v>
      </c>
      <c r="C3477" s="23">
        <f t="shared" si="1"/>
        <v>12328136.99</v>
      </c>
      <c r="D3477" s="18">
        <f>IF(A3477="","",MATCH(A3477,Calculation!B$2:B9627,1))</f>
        <v>2</v>
      </c>
      <c r="E3477" s="23">
        <f t="array" ref="E3477">IF(D3477="","",IF(D3477=1,0,INDEX(Calculation!Q$2:Q9627,D3477-1)))</f>
        <v>3232449.315</v>
      </c>
      <c r="F3477" s="23">
        <f t="array" ref="F3477">IF($A3477="","",
  LET(
    r, $D3477,
    startD, INDEX(Calculation!B$2:B9627, r),
    endD,   INDEX(Calculation!C$2:C9627, r),
    asOf,   MIN($A3477,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9095687.671</v>
      </c>
    </row>
    <row r="3478">
      <c r="A3478" s="19">
        <v>45713.0</v>
      </c>
      <c r="B3478" s="23">
        <v>1.0765E7</v>
      </c>
      <c r="C3478" s="23">
        <f t="shared" si="1"/>
        <v>12335215.34</v>
      </c>
      <c r="D3478" s="18">
        <f>IF(A3478="","",MATCH(A3478,Calculation!B$2:B9627,1))</f>
        <v>2</v>
      </c>
      <c r="E3478" s="23">
        <f t="array" ref="E3478">IF(D3478="","",IF(D3478=1,0,INDEX(Calculation!Q$2:Q9627,D3478-1)))</f>
        <v>3232449.315</v>
      </c>
      <c r="F3478" s="23">
        <f t="array" ref="F3478">IF($A3478="","",
  LET(
    r, $D3478,
    startD, INDEX(Calculation!B$2:B9627, r),
    endD,   INDEX(Calculation!C$2:C9627, r),
    asOf,   MIN($A3478,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9102766.027</v>
      </c>
    </row>
    <row r="3479">
      <c r="A3479" s="19">
        <v>45714.0</v>
      </c>
      <c r="B3479" s="23">
        <v>1.0765E7</v>
      </c>
      <c r="C3479" s="23">
        <f t="shared" si="1"/>
        <v>12342293.7</v>
      </c>
      <c r="D3479" s="18">
        <f>IF(A3479="","",MATCH(A3479,Calculation!B$2:B9627,1))</f>
        <v>2</v>
      </c>
      <c r="E3479" s="23">
        <f t="array" ref="E3479">IF(D3479="","",IF(D3479=1,0,INDEX(Calculation!Q$2:Q9627,D3479-1)))</f>
        <v>3232449.315</v>
      </c>
      <c r="F3479" s="23">
        <f t="array" ref="F3479">IF($A3479="","",
  LET(
    r, $D3479,
    startD, INDEX(Calculation!B$2:B9627, r),
    endD,   INDEX(Calculation!C$2:C9627, r),
    asOf,   MIN($A3479,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9109844.384</v>
      </c>
    </row>
    <row r="3480">
      <c r="A3480" s="19">
        <v>45715.0</v>
      </c>
      <c r="B3480" s="23">
        <v>1.0765E7</v>
      </c>
      <c r="C3480" s="23">
        <f t="shared" si="1"/>
        <v>12349372.05</v>
      </c>
      <c r="D3480" s="18">
        <f>IF(A3480="","",MATCH(A3480,Calculation!B$2:B9627,1))</f>
        <v>2</v>
      </c>
      <c r="E3480" s="23">
        <f t="array" ref="E3480">IF(D3480="","",IF(D3480=1,0,INDEX(Calculation!Q$2:Q9627,D3480-1)))</f>
        <v>3232449.315</v>
      </c>
      <c r="F3480" s="23">
        <f t="array" ref="F3480">IF($A3480="","",
  LET(
    r, $D3480,
    startD, INDEX(Calculation!B$2:B9627, r),
    endD,   INDEX(Calculation!C$2:C9627, r),
    asOf,   MIN($A3480,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9116922.74</v>
      </c>
    </row>
    <row r="3481">
      <c r="A3481" s="19">
        <v>45716.0</v>
      </c>
      <c r="B3481" s="23">
        <v>1.0765E7</v>
      </c>
      <c r="C3481" s="23">
        <f t="shared" si="1"/>
        <v>12356450.41</v>
      </c>
      <c r="D3481" s="18">
        <f>IF(A3481="","",MATCH(A3481,Calculation!B$2:B9627,1))</f>
        <v>2</v>
      </c>
      <c r="E3481" s="23">
        <f t="array" ref="E3481">IF(D3481="","",IF(D3481=1,0,INDEX(Calculation!Q$2:Q9627,D3481-1)))</f>
        <v>3232449.315</v>
      </c>
      <c r="F3481" s="23">
        <f t="array" ref="F3481">IF($A3481="","",
  LET(
    r, $D3481,
    startD, INDEX(Calculation!B$2:B9627, r),
    endD,   INDEX(Calculation!C$2:C9627, r),
    asOf,   MIN($A3481,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9124001.096</v>
      </c>
    </row>
    <row r="3482">
      <c r="A3482" s="19">
        <v>45717.0</v>
      </c>
      <c r="B3482" s="23">
        <v>1.0765E7</v>
      </c>
      <c r="C3482" s="23">
        <f t="shared" si="1"/>
        <v>12363528.77</v>
      </c>
      <c r="D3482" s="18">
        <f>IF(A3482="","",MATCH(A3482,Calculation!B$2:B9627,1))</f>
        <v>2</v>
      </c>
      <c r="E3482" s="23">
        <f t="array" ref="E3482">IF(D3482="","",IF(D3482=1,0,INDEX(Calculation!Q$2:Q9627,D3482-1)))</f>
        <v>3232449.315</v>
      </c>
      <c r="F3482" s="23">
        <f t="array" ref="F3482">IF($A3482="","",
  LET(
    r, $D3482,
    startD, INDEX(Calculation!B$2:B9627, r),
    endD,   INDEX(Calculation!C$2:C9627, r),
    asOf,   MIN($A3482,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9131079.452</v>
      </c>
    </row>
    <row r="3483">
      <c r="A3483" s="19">
        <v>45718.0</v>
      </c>
      <c r="B3483" s="23">
        <v>1.0765E7</v>
      </c>
      <c r="C3483" s="23">
        <f t="shared" si="1"/>
        <v>12370607.12</v>
      </c>
      <c r="D3483" s="18">
        <f>IF(A3483="","",MATCH(A3483,Calculation!B$2:B9627,1))</f>
        <v>2</v>
      </c>
      <c r="E3483" s="23">
        <f t="array" ref="E3483">IF(D3483="","",IF(D3483=1,0,INDEX(Calculation!Q$2:Q9627,D3483-1)))</f>
        <v>3232449.315</v>
      </c>
      <c r="F3483" s="23">
        <f t="array" ref="F3483">IF($A3483="","",
  LET(
    r, $D3483,
    startD, INDEX(Calculation!B$2:B9627, r),
    endD,   INDEX(Calculation!C$2:C9627, r),
    asOf,   MIN($A3483,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9138157.808</v>
      </c>
    </row>
    <row r="3484">
      <c r="A3484" s="19">
        <v>45719.0</v>
      </c>
      <c r="B3484" s="23">
        <v>1.0765E7</v>
      </c>
      <c r="C3484" s="23">
        <f t="shared" si="1"/>
        <v>12377685.48</v>
      </c>
      <c r="D3484" s="18">
        <f>IF(A3484="","",MATCH(A3484,Calculation!B$2:B9627,1))</f>
        <v>2</v>
      </c>
      <c r="E3484" s="23">
        <f t="array" ref="E3484">IF(D3484="","",IF(D3484=1,0,INDEX(Calculation!Q$2:Q9627,D3484-1)))</f>
        <v>3232449.315</v>
      </c>
      <c r="F3484" s="23">
        <f t="array" ref="F3484">IF($A3484="","",
  LET(
    r, $D3484,
    startD, INDEX(Calculation!B$2:B9627, r),
    endD,   INDEX(Calculation!C$2:C9627, r),
    asOf,   MIN($A3484,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9145236.164</v>
      </c>
    </row>
    <row r="3485">
      <c r="A3485" s="19">
        <v>45720.0</v>
      </c>
      <c r="B3485" s="23">
        <v>1.0765E7</v>
      </c>
      <c r="C3485" s="23">
        <f t="shared" si="1"/>
        <v>12384763.84</v>
      </c>
      <c r="D3485" s="18">
        <f>IF(A3485="","",MATCH(A3485,Calculation!B$2:B9627,1))</f>
        <v>2</v>
      </c>
      <c r="E3485" s="23">
        <f t="array" ref="E3485">IF(D3485="","",IF(D3485=1,0,INDEX(Calculation!Q$2:Q9627,D3485-1)))</f>
        <v>3232449.315</v>
      </c>
      <c r="F3485" s="23">
        <f t="array" ref="F3485">IF($A3485="","",
  LET(
    r, $D3485,
    startD, INDEX(Calculation!B$2:B9627, r),
    endD,   INDEX(Calculation!C$2:C9627, r),
    asOf,   MIN($A3485,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9152314.521</v>
      </c>
    </row>
    <row r="3486">
      <c r="A3486" s="19">
        <v>45721.0</v>
      </c>
      <c r="B3486" s="23">
        <v>1.0765E7</v>
      </c>
      <c r="C3486" s="23">
        <f t="shared" si="1"/>
        <v>12391842.19</v>
      </c>
      <c r="D3486" s="18">
        <f>IF(A3486="","",MATCH(A3486,Calculation!B$2:B9627,1))</f>
        <v>2</v>
      </c>
      <c r="E3486" s="23">
        <f t="array" ref="E3486">IF(D3486="","",IF(D3486=1,0,INDEX(Calculation!Q$2:Q9627,D3486-1)))</f>
        <v>3232449.315</v>
      </c>
      <c r="F3486" s="23">
        <f t="array" ref="F3486">IF($A3486="","",
  LET(
    r, $D3486,
    startD, INDEX(Calculation!B$2:B9627, r),
    endD,   INDEX(Calculation!C$2:C9627, r),
    asOf,   MIN($A3486,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9159392.877</v>
      </c>
    </row>
    <row r="3487">
      <c r="A3487" s="19">
        <v>45722.0</v>
      </c>
      <c r="B3487" s="23">
        <v>1.0765E7</v>
      </c>
      <c r="C3487" s="23">
        <f t="shared" si="1"/>
        <v>12398920.55</v>
      </c>
      <c r="D3487" s="18">
        <f>IF(A3487="","",MATCH(A3487,Calculation!B$2:B9627,1))</f>
        <v>2</v>
      </c>
      <c r="E3487" s="23">
        <f t="array" ref="E3487">IF(D3487="","",IF(D3487=1,0,INDEX(Calculation!Q$2:Q9627,D3487-1)))</f>
        <v>3232449.315</v>
      </c>
      <c r="F3487" s="23">
        <f t="array" ref="F3487">IF($A3487="","",
  LET(
    r, $D3487,
    startD, INDEX(Calculation!B$2:B9627, r),
    endD,   INDEX(Calculation!C$2:C9627, r),
    asOf,   MIN($A3487,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9166471.233</v>
      </c>
    </row>
    <row r="3488">
      <c r="A3488" s="19">
        <v>45723.0</v>
      </c>
      <c r="B3488" s="23">
        <v>1.0765E7</v>
      </c>
      <c r="C3488" s="23">
        <f t="shared" si="1"/>
        <v>12405998.9</v>
      </c>
      <c r="D3488" s="18">
        <f>IF(A3488="","",MATCH(A3488,Calculation!B$2:B9627,1))</f>
        <v>2</v>
      </c>
      <c r="E3488" s="23">
        <f t="array" ref="E3488">IF(D3488="","",IF(D3488=1,0,INDEX(Calculation!Q$2:Q9627,D3488-1)))</f>
        <v>3232449.315</v>
      </c>
      <c r="F3488" s="23">
        <f t="array" ref="F3488">IF($A3488="","",
  LET(
    r, $D3488,
    startD, INDEX(Calculation!B$2:B9627, r),
    endD,   INDEX(Calculation!C$2:C9627, r),
    asOf,   MIN($A3488,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9173549.589</v>
      </c>
    </row>
    <row r="3489">
      <c r="A3489" s="19">
        <v>45724.0</v>
      </c>
      <c r="B3489" s="23">
        <v>1.0765E7</v>
      </c>
      <c r="C3489" s="23">
        <f t="shared" si="1"/>
        <v>12413077.26</v>
      </c>
      <c r="D3489" s="18">
        <f>IF(A3489="","",MATCH(A3489,Calculation!B$2:B9627,1))</f>
        <v>2</v>
      </c>
      <c r="E3489" s="23">
        <f t="array" ref="E3489">IF(D3489="","",IF(D3489=1,0,INDEX(Calculation!Q$2:Q9627,D3489-1)))</f>
        <v>3232449.315</v>
      </c>
      <c r="F3489" s="23">
        <f t="array" ref="F3489">IF($A3489="","",
  LET(
    r, $D3489,
    startD, INDEX(Calculation!B$2:B9627, r),
    endD,   INDEX(Calculation!C$2:C9627, r),
    asOf,   MIN($A3489,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9180627.945</v>
      </c>
    </row>
    <row r="3490">
      <c r="A3490" s="19">
        <v>45725.0</v>
      </c>
      <c r="B3490" s="23">
        <v>1.0765E7</v>
      </c>
      <c r="C3490" s="23">
        <f t="shared" si="1"/>
        <v>12420155.62</v>
      </c>
      <c r="D3490" s="18">
        <f>IF(A3490="","",MATCH(A3490,Calculation!B$2:B9627,1))</f>
        <v>2</v>
      </c>
      <c r="E3490" s="23">
        <f t="array" ref="E3490">IF(D3490="","",IF(D3490=1,0,INDEX(Calculation!Q$2:Q9627,D3490-1)))</f>
        <v>3232449.315</v>
      </c>
      <c r="F3490" s="23">
        <f t="array" ref="F3490">IF($A3490="","",
  LET(
    r, $D3490,
    startD, INDEX(Calculation!B$2:B9627, r),
    endD,   INDEX(Calculation!C$2:C9627, r),
    asOf,   MIN($A3490,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9187706.301</v>
      </c>
    </row>
    <row r="3491">
      <c r="A3491" s="19">
        <v>45726.0</v>
      </c>
      <c r="B3491" s="23">
        <v>1.0765E7</v>
      </c>
      <c r="C3491" s="23">
        <f t="shared" si="1"/>
        <v>12427233.97</v>
      </c>
      <c r="D3491" s="18">
        <f>IF(A3491="","",MATCH(A3491,Calculation!B$2:B9627,1))</f>
        <v>2</v>
      </c>
      <c r="E3491" s="23">
        <f t="array" ref="E3491">IF(D3491="","",IF(D3491=1,0,INDEX(Calculation!Q$2:Q9627,D3491-1)))</f>
        <v>3232449.315</v>
      </c>
      <c r="F3491" s="23">
        <f t="array" ref="F3491">IF($A3491="","",
  LET(
    r, $D3491,
    startD, INDEX(Calculation!B$2:B9627, r),
    endD,   INDEX(Calculation!C$2:C9627, r),
    asOf,   MIN($A3491,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9194784.658</v>
      </c>
    </row>
    <row r="3492">
      <c r="A3492" s="19">
        <v>45727.0</v>
      </c>
      <c r="B3492" s="23">
        <v>1.0765E7</v>
      </c>
      <c r="C3492" s="23">
        <f t="shared" si="1"/>
        <v>12434312.33</v>
      </c>
      <c r="D3492" s="18">
        <f>IF(A3492="","",MATCH(A3492,Calculation!B$2:B9627,1))</f>
        <v>2</v>
      </c>
      <c r="E3492" s="23">
        <f t="array" ref="E3492">IF(D3492="","",IF(D3492=1,0,INDEX(Calculation!Q$2:Q9627,D3492-1)))</f>
        <v>3232449.315</v>
      </c>
      <c r="F3492" s="23">
        <f t="array" ref="F3492">IF($A3492="","",
  LET(
    r, $D3492,
    startD, INDEX(Calculation!B$2:B9627, r),
    endD,   INDEX(Calculation!C$2:C9627, r),
    asOf,   MIN($A3492,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9201863.014</v>
      </c>
    </row>
    <row r="3493">
      <c r="A3493" s="19">
        <v>45728.0</v>
      </c>
      <c r="B3493" s="23">
        <v>1.0765E7</v>
      </c>
      <c r="C3493" s="23">
        <f t="shared" si="1"/>
        <v>12441390.68</v>
      </c>
      <c r="D3493" s="18">
        <f>IF(A3493="","",MATCH(A3493,Calculation!B$2:B9627,1))</f>
        <v>2</v>
      </c>
      <c r="E3493" s="23">
        <f t="array" ref="E3493">IF(D3493="","",IF(D3493=1,0,INDEX(Calculation!Q$2:Q9627,D3493-1)))</f>
        <v>3232449.315</v>
      </c>
      <c r="F3493" s="23">
        <f t="array" ref="F3493">IF($A3493="","",
  LET(
    r, $D3493,
    startD, INDEX(Calculation!B$2:B9627, r),
    endD,   INDEX(Calculation!C$2:C9627, r),
    asOf,   MIN($A3493,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9208941.37</v>
      </c>
    </row>
    <row r="3494">
      <c r="A3494" s="19">
        <v>45729.0</v>
      </c>
      <c r="B3494" s="23">
        <v>1.0765E7</v>
      </c>
      <c r="C3494" s="23">
        <f t="shared" si="1"/>
        <v>12448469.04</v>
      </c>
      <c r="D3494" s="18">
        <f>IF(A3494="","",MATCH(A3494,Calculation!B$2:B9627,1))</f>
        <v>2</v>
      </c>
      <c r="E3494" s="23">
        <f t="array" ref="E3494">IF(D3494="","",IF(D3494=1,0,INDEX(Calculation!Q$2:Q9627,D3494-1)))</f>
        <v>3232449.315</v>
      </c>
      <c r="F3494" s="23">
        <f t="array" ref="F3494">IF($A3494="","",
  LET(
    r, $D3494,
    startD, INDEX(Calculation!B$2:B9627, r),
    endD,   INDEX(Calculation!C$2:C9627, r),
    asOf,   MIN($A3494,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9216019.726</v>
      </c>
    </row>
    <row r="3495">
      <c r="A3495" s="19">
        <v>45730.0</v>
      </c>
      <c r="B3495" s="23">
        <v>1.0765E7</v>
      </c>
      <c r="C3495" s="23">
        <f t="shared" si="1"/>
        <v>12455547.4</v>
      </c>
      <c r="D3495" s="18">
        <f>IF(A3495="","",MATCH(A3495,Calculation!B$2:B9627,1))</f>
        <v>2</v>
      </c>
      <c r="E3495" s="23">
        <f t="array" ref="E3495">IF(D3495="","",IF(D3495=1,0,INDEX(Calculation!Q$2:Q9627,D3495-1)))</f>
        <v>3232449.315</v>
      </c>
      <c r="F3495" s="23">
        <f t="array" ref="F3495">IF($A3495="","",
  LET(
    r, $D3495,
    startD, INDEX(Calculation!B$2:B9627, r),
    endD,   INDEX(Calculation!C$2:C9627, r),
    asOf,   MIN($A3495,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9223098.082</v>
      </c>
    </row>
    <row r="3496">
      <c r="A3496" s="19">
        <v>45731.0</v>
      </c>
      <c r="B3496" s="23">
        <v>1.0765E7</v>
      </c>
      <c r="C3496" s="23">
        <f t="shared" si="1"/>
        <v>12462625.75</v>
      </c>
      <c r="D3496" s="18">
        <f>IF(A3496="","",MATCH(A3496,Calculation!B$2:B9627,1))</f>
        <v>2</v>
      </c>
      <c r="E3496" s="23">
        <f t="array" ref="E3496">IF(D3496="","",IF(D3496=1,0,INDEX(Calculation!Q$2:Q9627,D3496-1)))</f>
        <v>3232449.315</v>
      </c>
      <c r="F3496" s="23">
        <f t="array" ref="F3496">IF($A3496="","",
  LET(
    r, $D3496,
    startD, INDEX(Calculation!B$2:B9627, r),
    endD,   INDEX(Calculation!C$2:C9627, r),
    asOf,   MIN($A3496,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9230176.438</v>
      </c>
    </row>
    <row r="3497">
      <c r="A3497" s="19">
        <v>45732.0</v>
      </c>
      <c r="B3497" s="23">
        <v>1.0765E7</v>
      </c>
      <c r="C3497" s="23">
        <f t="shared" si="1"/>
        <v>12469704.11</v>
      </c>
      <c r="D3497" s="18">
        <f>IF(A3497="","",MATCH(A3497,Calculation!B$2:B9627,1))</f>
        <v>2</v>
      </c>
      <c r="E3497" s="23">
        <f t="array" ref="E3497">IF(D3497="","",IF(D3497=1,0,INDEX(Calculation!Q$2:Q9627,D3497-1)))</f>
        <v>3232449.315</v>
      </c>
      <c r="F3497" s="23">
        <f t="array" ref="F3497">IF($A3497="","",
  LET(
    r, $D3497,
    startD, INDEX(Calculation!B$2:B9627, r),
    endD,   INDEX(Calculation!C$2:C9627, r),
    asOf,   MIN($A3497,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9237254.795</v>
      </c>
    </row>
    <row r="3498">
      <c r="A3498" s="19">
        <v>45733.0</v>
      </c>
      <c r="B3498" s="23">
        <v>1.0765E7</v>
      </c>
      <c r="C3498" s="23">
        <f t="shared" si="1"/>
        <v>12476782.47</v>
      </c>
      <c r="D3498" s="18">
        <f>IF(A3498="","",MATCH(A3498,Calculation!B$2:B9627,1))</f>
        <v>2</v>
      </c>
      <c r="E3498" s="23">
        <f t="array" ref="E3498">IF(D3498="","",IF(D3498=1,0,INDEX(Calculation!Q$2:Q9627,D3498-1)))</f>
        <v>3232449.315</v>
      </c>
      <c r="F3498" s="23">
        <f t="array" ref="F3498">IF($A3498="","",
  LET(
    r, $D3498,
    startD, INDEX(Calculation!B$2:B9627, r),
    endD,   INDEX(Calculation!C$2:C9627, r),
    asOf,   MIN($A3498,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9244333.151</v>
      </c>
    </row>
    <row r="3499">
      <c r="A3499" s="19">
        <v>45734.0</v>
      </c>
      <c r="B3499" s="23">
        <v>1.0765E7</v>
      </c>
      <c r="C3499" s="23">
        <f t="shared" si="1"/>
        <v>12483860.82</v>
      </c>
      <c r="D3499" s="18">
        <f>IF(A3499="","",MATCH(A3499,Calculation!B$2:B9627,1))</f>
        <v>2</v>
      </c>
      <c r="E3499" s="23">
        <f t="array" ref="E3499">IF(D3499="","",IF(D3499=1,0,INDEX(Calculation!Q$2:Q9627,D3499-1)))</f>
        <v>3232449.315</v>
      </c>
      <c r="F3499" s="23">
        <f t="array" ref="F3499">IF($A3499="","",
  LET(
    r, $D3499,
    startD, INDEX(Calculation!B$2:B9627, r),
    endD,   INDEX(Calculation!C$2:C9627, r),
    asOf,   MIN($A3499,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9251411.507</v>
      </c>
    </row>
    <row r="3500">
      <c r="A3500" s="19">
        <v>45735.0</v>
      </c>
      <c r="B3500" s="23">
        <v>1.0765E7</v>
      </c>
      <c r="C3500" s="23">
        <f t="shared" si="1"/>
        <v>12490939.18</v>
      </c>
      <c r="D3500" s="18">
        <f>IF(A3500="","",MATCH(A3500,Calculation!B$2:B9627,1))</f>
        <v>2</v>
      </c>
      <c r="E3500" s="23">
        <f t="array" ref="E3500">IF(D3500="","",IF(D3500=1,0,INDEX(Calculation!Q$2:Q9627,D3500-1)))</f>
        <v>3232449.315</v>
      </c>
      <c r="F3500" s="23">
        <f t="array" ref="F3500">IF($A3500="","",
  LET(
    r, $D3500,
    startD, INDEX(Calculation!B$2:B9627, r),
    endD,   INDEX(Calculation!C$2:C9627, r),
    asOf,   MIN($A3500,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9258489.863</v>
      </c>
    </row>
    <row r="3501">
      <c r="A3501" s="19">
        <v>45736.0</v>
      </c>
      <c r="B3501" s="23">
        <v>1.0765E7</v>
      </c>
      <c r="C3501" s="23">
        <f t="shared" si="1"/>
        <v>12498017.53</v>
      </c>
      <c r="D3501" s="18">
        <f>IF(A3501="","",MATCH(A3501,Calculation!B$2:B9627,1))</f>
        <v>2</v>
      </c>
      <c r="E3501" s="23">
        <f t="array" ref="E3501">IF(D3501="","",IF(D3501=1,0,INDEX(Calculation!Q$2:Q9627,D3501-1)))</f>
        <v>3232449.315</v>
      </c>
      <c r="F3501" s="23">
        <f t="array" ref="F3501">IF($A3501="","",
  LET(
    r, $D3501,
    startD, INDEX(Calculation!B$2:B9627, r),
    endD,   INDEX(Calculation!C$2:C9627, r),
    asOf,   MIN($A3501,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9265568.219</v>
      </c>
    </row>
    <row r="3502">
      <c r="A3502" s="19">
        <v>45737.0</v>
      </c>
      <c r="B3502" s="23">
        <v>1.0765E7</v>
      </c>
      <c r="C3502" s="23">
        <f t="shared" si="1"/>
        <v>12505095.89</v>
      </c>
      <c r="D3502" s="18">
        <f>IF(A3502="","",MATCH(A3502,Calculation!B$2:B9627,1))</f>
        <v>2</v>
      </c>
      <c r="E3502" s="23">
        <f t="array" ref="E3502">IF(D3502="","",IF(D3502=1,0,INDEX(Calculation!Q$2:Q9627,D3502-1)))</f>
        <v>3232449.315</v>
      </c>
      <c r="F3502" s="23">
        <f t="array" ref="F3502">IF($A3502="","",
  LET(
    r, $D3502,
    startD, INDEX(Calculation!B$2:B9627, r),
    endD,   INDEX(Calculation!C$2:C9627, r),
    asOf,   MIN($A3502,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9272646.575</v>
      </c>
    </row>
    <row r="3503">
      <c r="A3503" s="19">
        <v>45738.0</v>
      </c>
      <c r="B3503" s="23">
        <v>1.0765E7</v>
      </c>
      <c r="C3503" s="23">
        <f t="shared" si="1"/>
        <v>12512174.25</v>
      </c>
      <c r="D3503" s="18">
        <f>IF(A3503="","",MATCH(A3503,Calculation!B$2:B9627,1))</f>
        <v>2</v>
      </c>
      <c r="E3503" s="23">
        <f t="array" ref="E3503">IF(D3503="","",IF(D3503=1,0,INDEX(Calculation!Q$2:Q9627,D3503-1)))</f>
        <v>3232449.315</v>
      </c>
      <c r="F3503" s="23">
        <f t="array" ref="F3503">IF($A3503="","",
  LET(
    r, $D3503,
    startD, INDEX(Calculation!B$2:B9627, r),
    endD,   INDEX(Calculation!C$2:C9627, r),
    asOf,   MIN($A3503,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9279724.932</v>
      </c>
    </row>
    <row r="3504">
      <c r="A3504" s="19">
        <v>45739.0</v>
      </c>
      <c r="B3504" s="23">
        <v>1.0765E7</v>
      </c>
      <c r="C3504" s="23">
        <f t="shared" si="1"/>
        <v>12519252.6</v>
      </c>
      <c r="D3504" s="18">
        <f>IF(A3504="","",MATCH(A3504,Calculation!B$2:B9627,1))</f>
        <v>2</v>
      </c>
      <c r="E3504" s="23">
        <f t="array" ref="E3504">IF(D3504="","",IF(D3504=1,0,INDEX(Calculation!Q$2:Q9627,D3504-1)))</f>
        <v>3232449.315</v>
      </c>
      <c r="F3504" s="23">
        <f t="array" ref="F3504">IF($A3504="","",
  LET(
    r, $D3504,
    startD, INDEX(Calculation!B$2:B9627, r),
    endD,   INDEX(Calculation!C$2:C9627, r),
    asOf,   MIN($A3504,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9286803.288</v>
      </c>
    </row>
    <row r="3505">
      <c r="A3505" s="19">
        <v>45740.0</v>
      </c>
      <c r="B3505" s="23">
        <v>1.0765E7</v>
      </c>
      <c r="C3505" s="23">
        <f t="shared" si="1"/>
        <v>12526330.96</v>
      </c>
      <c r="D3505" s="18">
        <f>IF(A3505="","",MATCH(A3505,Calculation!B$2:B9627,1))</f>
        <v>2</v>
      </c>
      <c r="E3505" s="23">
        <f t="array" ref="E3505">IF(D3505="","",IF(D3505=1,0,INDEX(Calculation!Q$2:Q9627,D3505-1)))</f>
        <v>3232449.315</v>
      </c>
      <c r="F3505" s="23">
        <f t="array" ref="F3505">IF($A3505="","",
  LET(
    r, $D3505,
    startD, INDEX(Calculation!B$2:B9627, r),
    endD,   INDEX(Calculation!C$2:C9627, r),
    asOf,   MIN($A3505,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9293881.644</v>
      </c>
    </row>
    <row r="3506">
      <c r="A3506" s="19">
        <v>45741.0</v>
      </c>
      <c r="B3506" s="23">
        <v>1.0765E7</v>
      </c>
      <c r="C3506" s="23">
        <f t="shared" si="1"/>
        <v>12533409.32</v>
      </c>
      <c r="D3506" s="18">
        <f>IF(A3506="","",MATCH(A3506,Calculation!B$2:B9627,1))</f>
        <v>2</v>
      </c>
      <c r="E3506" s="23">
        <f t="array" ref="E3506">IF(D3506="","",IF(D3506=1,0,INDEX(Calculation!Q$2:Q9627,D3506-1)))</f>
        <v>3232449.315</v>
      </c>
      <c r="F3506" s="23">
        <f t="array" ref="F3506">IF($A3506="","",
  LET(
    r, $D3506,
    startD, INDEX(Calculation!B$2:B9627, r),
    endD,   INDEX(Calculation!C$2:C9627, r),
    asOf,   MIN($A3506,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9300960</v>
      </c>
    </row>
    <row r="3507">
      <c r="A3507" s="19">
        <v>45742.0</v>
      </c>
      <c r="B3507" s="23">
        <v>1.0765E7</v>
      </c>
      <c r="C3507" s="23">
        <f t="shared" si="1"/>
        <v>12540487.67</v>
      </c>
      <c r="D3507" s="18">
        <f>IF(A3507="","",MATCH(A3507,Calculation!B$2:B9627,1))</f>
        <v>2</v>
      </c>
      <c r="E3507" s="23">
        <f t="array" ref="E3507">IF(D3507="","",IF(D3507=1,0,INDEX(Calculation!Q$2:Q9627,D3507-1)))</f>
        <v>3232449.315</v>
      </c>
      <c r="F3507" s="23">
        <f t="array" ref="F3507">IF($A3507="","",
  LET(
    r, $D3507,
    startD, INDEX(Calculation!B$2:B9627, r),
    endD,   INDEX(Calculation!C$2:C9627, r),
    asOf,   MIN($A3507,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9308038.356</v>
      </c>
    </row>
    <row r="3508">
      <c r="A3508" s="19">
        <v>45743.0</v>
      </c>
      <c r="B3508" s="23">
        <v>1.0765E7</v>
      </c>
      <c r="C3508" s="23">
        <f t="shared" si="1"/>
        <v>12547566.03</v>
      </c>
      <c r="D3508" s="18">
        <f>IF(A3508="","",MATCH(A3508,Calculation!B$2:B9627,1))</f>
        <v>2</v>
      </c>
      <c r="E3508" s="23">
        <f t="array" ref="E3508">IF(D3508="","",IF(D3508=1,0,INDEX(Calculation!Q$2:Q9627,D3508-1)))</f>
        <v>3232449.315</v>
      </c>
      <c r="F3508" s="23">
        <f t="array" ref="F3508">IF($A3508="","",
  LET(
    r, $D3508,
    startD, INDEX(Calculation!B$2:B9627, r),
    endD,   INDEX(Calculation!C$2:C9627, r),
    asOf,   MIN($A3508,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9315116.712</v>
      </c>
    </row>
    <row r="3509">
      <c r="A3509" s="19">
        <v>45744.0</v>
      </c>
      <c r="B3509" s="23">
        <v>1.0765E7</v>
      </c>
      <c r="C3509" s="23">
        <f t="shared" si="1"/>
        <v>12554644.38</v>
      </c>
      <c r="D3509" s="18">
        <f>IF(A3509="","",MATCH(A3509,Calculation!B$2:B9627,1))</f>
        <v>2</v>
      </c>
      <c r="E3509" s="23">
        <f t="array" ref="E3509">IF(D3509="","",IF(D3509=1,0,INDEX(Calculation!Q$2:Q9627,D3509-1)))</f>
        <v>3232449.315</v>
      </c>
      <c r="F3509" s="23">
        <f t="array" ref="F3509">IF($A3509="","",
  LET(
    r, $D3509,
    startD, INDEX(Calculation!B$2:B9627, r),
    endD,   INDEX(Calculation!C$2:C9627, r),
    asOf,   MIN($A3509,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9322195.068</v>
      </c>
    </row>
    <row r="3510">
      <c r="A3510" s="19">
        <v>45745.0</v>
      </c>
      <c r="B3510" s="23">
        <v>1.0765E7</v>
      </c>
      <c r="C3510" s="23">
        <f t="shared" si="1"/>
        <v>12561722.74</v>
      </c>
      <c r="D3510" s="18">
        <f>IF(A3510="","",MATCH(A3510,Calculation!B$2:B9627,1))</f>
        <v>2</v>
      </c>
      <c r="E3510" s="23">
        <f t="array" ref="E3510">IF(D3510="","",IF(D3510=1,0,INDEX(Calculation!Q$2:Q9627,D3510-1)))</f>
        <v>3232449.315</v>
      </c>
      <c r="F3510" s="23">
        <f t="array" ref="F3510">IF($A3510="","",
  LET(
    r, $D3510,
    startD, INDEX(Calculation!B$2:B9627, r),
    endD,   INDEX(Calculation!C$2:C9627, r),
    asOf,   MIN($A3510,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9329273.425</v>
      </c>
    </row>
    <row r="3511">
      <c r="A3511" s="19">
        <v>45746.0</v>
      </c>
      <c r="B3511" s="23">
        <v>1.0765E7</v>
      </c>
      <c r="C3511" s="23">
        <f t="shared" si="1"/>
        <v>12568801.1</v>
      </c>
      <c r="D3511" s="18">
        <f>IF(A3511="","",MATCH(A3511,Calculation!B$2:B9627,1))</f>
        <v>2</v>
      </c>
      <c r="E3511" s="23">
        <f t="array" ref="E3511">IF(D3511="","",IF(D3511=1,0,INDEX(Calculation!Q$2:Q9627,D3511-1)))</f>
        <v>3232449.315</v>
      </c>
      <c r="F3511" s="23">
        <f t="array" ref="F3511">IF($A3511="","",
  LET(
    r, $D3511,
    startD, INDEX(Calculation!B$2:B9627, r),
    endD,   INDEX(Calculation!C$2:C9627, r),
    asOf,   MIN($A3511,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9336351.781</v>
      </c>
    </row>
    <row r="3512">
      <c r="A3512" s="19">
        <v>45747.0</v>
      </c>
      <c r="B3512" s="23">
        <v>1.0765E7</v>
      </c>
      <c r="C3512" s="23">
        <f t="shared" si="1"/>
        <v>12575879.45</v>
      </c>
      <c r="D3512" s="18">
        <f>IF(A3512="","",MATCH(A3512,Calculation!B$2:B9627,1))</f>
        <v>2</v>
      </c>
      <c r="E3512" s="23">
        <f t="array" ref="E3512">IF(D3512="","",IF(D3512=1,0,INDEX(Calculation!Q$2:Q9627,D3512-1)))</f>
        <v>3232449.315</v>
      </c>
      <c r="F3512" s="23">
        <f t="array" ref="F3512">IF($A3512="","",
  LET(
    r, $D3512,
    startD, INDEX(Calculation!B$2:B9627, r),
    endD,   INDEX(Calculation!C$2:C9627, r),
    asOf,   MIN($A3512,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9343430.137</v>
      </c>
    </row>
    <row r="3513">
      <c r="A3513" s="19">
        <v>45748.0</v>
      </c>
      <c r="B3513" s="23">
        <v>1.0765E7</v>
      </c>
      <c r="C3513" s="23">
        <f t="shared" si="1"/>
        <v>12582957.81</v>
      </c>
      <c r="D3513" s="18">
        <f>IF(A3513="","",MATCH(A3513,Calculation!B$2:B9627,1))</f>
        <v>2</v>
      </c>
      <c r="E3513" s="23">
        <f t="array" ref="E3513">IF(D3513="","",IF(D3513=1,0,INDEX(Calculation!Q$2:Q9627,D3513-1)))</f>
        <v>3232449.315</v>
      </c>
      <c r="F3513" s="23">
        <f t="array" ref="F3513">IF($A3513="","",
  LET(
    r, $D3513,
    startD, INDEX(Calculation!B$2:B9627, r),
    endD,   INDEX(Calculation!C$2:C9627, r),
    asOf,   MIN($A3513,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9350508.493</v>
      </c>
    </row>
    <row r="3514">
      <c r="A3514" s="19">
        <v>45749.0</v>
      </c>
      <c r="B3514" s="23">
        <v>1.0765E7</v>
      </c>
      <c r="C3514" s="23">
        <f t="shared" si="1"/>
        <v>12590036.16</v>
      </c>
      <c r="D3514" s="18">
        <f>IF(A3514="","",MATCH(A3514,Calculation!B$2:B9627,1))</f>
        <v>2</v>
      </c>
      <c r="E3514" s="23">
        <f t="array" ref="E3514">IF(D3514="","",IF(D3514=1,0,INDEX(Calculation!Q$2:Q9627,D3514-1)))</f>
        <v>3232449.315</v>
      </c>
      <c r="F3514" s="23">
        <f t="array" ref="F3514">IF($A3514="","",
  LET(
    r, $D3514,
    startD, INDEX(Calculation!B$2:B9627, r),
    endD,   INDEX(Calculation!C$2:C9627, r),
    asOf,   MIN($A3514,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9357586.849</v>
      </c>
    </row>
    <row r="3515">
      <c r="A3515" s="19">
        <v>45750.0</v>
      </c>
      <c r="B3515" s="23">
        <v>1.0765E7</v>
      </c>
      <c r="C3515" s="23">
        <f t="shared" si="1"/>
        <v>12597114.52</v>
      </c>
      <c r="D3515" s="18">
        <f>IF(A3515="","",MATCH(A3515,Calculation!B$2:B9627,1))</f>
        <v>2</v>
      </c>
      <c r="E3515" s="23">
        <f t="array" ref="E3515">IF(D3515="","",IF(D3515=1,0,INDEX(Calculation!Q$2:Q9627,D3515-1)))</f>
        <v>3232449.315</v>
      </c>
      <c r="F3515" s="23">
        <f t="array" ref="F3515">IF($A3515="","",
  LET(
    r, $D3515,
    startD, INDEX(Calculation!B$2:B9627, r),
    endD,   INDEX(Calculation!C$2:C9627, r),
    asOf,   MIN($A3515,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9364665.205</v>
      </c>
    </row>
    <row r="3516">
      <c r="A3516" s="19">
        <v>45751.0</v>
      </c>
      <c r="B3516" s="23">
        <v>1.0765E7</v>
      </c>
      <c r="C3516" s="23">
        <f t="shared" si="1"/>
        <v>12604192.88</v>
      </c>
      <c r="D3516" s="18">
        <f>IF(A3516="","",MATCH(A3516,Calculation!B$2:B9627,1))</f>
        <v>2</v>
      </c>
      <c r="E3516" s="23">
        <f t="array" ref="E3516">IF(D3516="","",IF(D3516=1,0,INDEX(Calculation!Q$2:Q9627,D3516-1)))</f>
        <v>3232449.315</v>
      </c>
      <c r="F3516" s="23">
        <f t="array" ref="F3516">IF($A3516="","",
  LET(
    r, $D3516,
    startD, INDEX(Calculation!B$2:B9627, r),
    endD,   INDEX(Calculation!C$2:C9627, r),
    asOf,   MIN($A3516,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9371743.562</v>
      </c>
    </row>
    <row r="3517">
      <c r="A3517" s="19">
        <v>45752.0</v>
      </c>
      <c r="B3517" s="23">
        <v>1.0765E7</v>
      </c>
      <c r="C3517" s="23">
        <f t="shared" si="1"/>
        <v>12611271.23</v>
      </c>
      <c r="D3517" s="18">
        <f>IF(A3517="","",MATCH(A3517,Calculation!B$2:B9627,1))</f>
        <v>2</v>
      </c>
      <c r="E3517" s="23">
        <f t="array" ref="E3517">IF(D3517="","",IF(D3517=1,0,INDEX(Calculation!Q$2:Q9627,D3517-1)))</f>
        <v>3232449.315</v>
      </c>
      <c r="F3517" s="23">
        <f t="array" ref="F3517">IF($A3517="","",
  LET(
    r, $D3517,
    startD, INDEX(Calculation!B$2:B9627, r),
    endD,   INDEX(Calculation!C$2:C9627, r),
    asOf,   MIN($A3517,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9378821.918</v>
      </c>
    </row>
    <row r="3518">
      <c r="A3518" s="19">
        <v>45753.0</v>
      </c>
      <c r="B3518" s="23">
        <v>1.0765E7</v>
      </c>
      <c r="C3518" s="23">
        <f t="shared" si="1"/>
        <v>12618349.59</v>
      </c>
      <c r="D3518" s="18">
        <f>IF(A3518="","",MATCH(A3518,Calculation!B$2:B9627,1))</f>
        <v>2</v>
      </c>
      <c r="E3518" s="23">
        <f t="array" ref="E3518">IF(D3518="","",IF(D3518=1,0,INDEX(Calculation!Q$2:Q9627,D3518-1)))</f>
        <v>3232449.315</v>
      </c>
      <c r="F3518" s="23">
        <f t="array" ref="F3518">IF($A3518="","",
  LET(
    r, $D3518,
    startD, INDEX(Calculation!B$2:B9627, r),
    endD,   INDEX(Calculation!C$2:C9627, r),
    asOf,   MIN($A3518,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9385900.274</v>
      </c>
    </row>
    <row r="3519">
      <c r="A3519" s="19">
        <v>45754.0</v>
      </c>
      <c r="B3519" s="23">
        <v>1.0765E7</v>
      </c>
      <c r="C3519" s="23">
        <f t="shared" si="1"/>
        <v>12625427.95</v>
      </c>
      <c r="D3519" s="18">
        <f>IF(A3519="","",MATCH(A3519,Calculation!B$2:B9627,1))</f>
        <v>2</v>
      </c>
      <c r="E3519" s="23">
        <f t="array" ref="E3519">IF(D3519="","",IF(D3519=1,0,INDEX(Calculation!Q$2:Q9627,D3519-1)))</f>
        <v>3232449.315</v>
      </c>
      <c r="F3519" s="23">
        <f t="array" ref="F3519">IF($A3519="","",
  LET(
    r, $D3519,
    startD, INDEX(Calculation!B$2:B9627, r),
    endD,   INDEX(Calculation!C$2:C9627, r),
    asOf,   MIN($A3519,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9392978.63</v>
      </c>
    </row>
    <row r="3520">
      <c r="A3520" s="19">
        <v>45755.0</v>
      </c>
      <c r="B3520" s="23">
        <v>1.0765E7</v>
      </c>
      <c r="C3520" s="23">
        <f t="shared" si="1"/>
        <v>12632506.3</v>
      </c>
      <c r="D3520" s="18">
        <f>IF(A3520="","",MATCH(A3520,Calculation!B$2:B9627,1))</f>
        <v>2</v>
      </c>
      <c r="E3520" s="23">
        <f t="array" ref="E3520">IF(D3520="","",IF(D3520=1,0,INDEX(Calculation!Q$2:Q9627,D3520-1)))</f>
        <v>3232449.315</v>
      </c>
      <c r="F3520" s="23">
        <f t="array" ref="F3520">IF($A3520="","",
  LET(
    r, $D3520,
    startD, INDEX(Calculation!B$2:B9627, r),
    endD,   INDEX(Calculation!C$2:C9627, r),
    asOf,   MIN($A3520,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9400056.986</v>
      </c>
    </row>
    <row r="3521">
      <c r="A3521" s="19">
        <v>45756.0</v>
      </c>
      <c r="B3521" s="23">
        <v>1.0765E7</v>
      </c>
      <c r="C3521" s="23">
        <f t="shared" si="1"/>
        <v>12639584.66</v>
      </c>
      <c r="D3521" s="18">
        <f>IF(A3521="","",MATCH(A3521,Calculation!B$2:B9627,1))</f>
        <v>2</v>
      </c>
      <c r="E3521" s="23">
        <f t="array" ref="E3521">IF(D3521="","",IF(D3521=1,0,INDEX(Calculation!Q$2:Q9627,D3521-1)))</f>
        <v>3232449.315</v>
      </c>
      <c r="F3521" s="23">
        <f t="array" ref="F3521">IF($A3521="","",
  LET(
    r, $D3521,
    startD, INDEX(Calculation!B$2:B9627, r),
    endD,   INDEX(Calculation!C$2:C9627, r),
    asOf,   MIN($A3521,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9407135.342</v>
      </c>
    </row>
    <row r="3522">
      <c r="A3522" s="19">
        <v>45757.0</v>
      </c>
      <c r="B3522" s="23">
        <v>1.0765E7</v>
      </c>
      <c r="C3522" s="23">
        <f t="shared" si="1"/>
        <v>12646663.01</v>
      </c>
      <c r="D3522" s="18">
        <f>IF(A3522="","",MATCH(A3522,Calculation!B$2:B9627,1))</f>
        <v>2</v>
      </c>
      <c r="E3522" s="23">
        <f t="array" ref="E3522">IF(D3522="","",IF(D3522=1,0,INDEX(Calculation!Q$2:Q9627,D3522-1)))</f>
        <v>3232449.315</v>
      </c>
      <c r="F3522" s="23">
        <f t="array" ref="F3522">IF($A3522="","",
  LET(
    r, $D3522,
    startD, INDEX(Calculation!B$2:B9627, r),
    endD,   INDEX(Calculation!C$2:C9627, r),
    asOf,   MIN($A3522,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9414213.699</v>
      </c>
    </row>
    <row r="3523">
      <c r="A3523" s="19">
        <v>45758.0</v>
      </c>
      <c r="B3523" s="23">
        <v>1.0765E7</v>
      </c>
      <c r="C3523" s="23">
        <f t="shared" si="1"/>
        <v>12653741.37</v>
      </c>
      <c r="D3523" s="18">
        <f>IF(A3523="","",MATCH(A3523,Calculation!B$2:B9627,1))</f>
        <v>2</v>
      </c>
      <c r="E3523" s="23">
        <f t="array" ref="E3523">IF(D3523="","",IF(D3523=1,0,INDEX(Calculation!Q$2:Q9627,D3523-1)))</f>
        <v>3232449.315</v>
      </c>
      <c r="F3523" s="23">
        <f t="array" ref="F3523">IF($A3523="","",
  LET(
    r, $D3523,
    startD, INDEX(Calculation!B$2:B9627, r),
    endD,   INDEX(Calculation!C$2:C9627, r),
    asOf,   MIN($A3523,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9421292.055</v>
      </c>
    </row>
    <row r="3524">
      <c r="A3524" s="19">
        <v>45759.0</v>
      </c>
      <c r="B3524" s="23">
        <v>1.0765E7</v>
      </c>
      <c r="C3524" s="23">
        <f t="shared" si="1"/>
        <v>12660819.73</v>
      </c>
      <c r="D3524" s="18">
        <f>IF(A3524="","",MATCH(A3524,Calculation!B$2:B9627,1))</f>
        <v>2</v>
      </c>
      <c r="E3524" s="23">
        <f t="array" ref="E3524">IF(D3524="","",IF(D3524=1,0,INDEX(Calculation!Q$2:Q9627,D3524-1)))</f>
        <v>3232449.315</v>
      </c>
      <c r="F3524" s="23">
        <f t="array" ref="F3524">IF($A3524="","",
  LET(
    r, $D3524,
    startD, INDEX(Calculation!B$2:B9627, r),
    endD,   INDEX(Calculation!C$2:C9627, r),
    asOf,   MIN($A3524,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9428370.411</v>
      </c>
    </row>
    <row r="3525">
      <c r="A3525" s="19">
        <v>45760.0</v>
      </c>
      <c r="B3525" s="23">
        <v>1.0765E7</v>
      </c>
      <c r="C3525" s="23">
        <f t="shared" si="1"/>
        <v>12667898.08</v>
      </c>
      <c r="D3525" s="18">
        <f>IF(A3525="","",MATCH(A3525,Calculation!B$2:B9627,1))</f>
        <v>2</v>
      </c>
      <c r="E3525" s="23">
        <f t="array" ref="E3525">IF(D3525="","",IF(D3525=1,0,INDEX(Calculation!Q$2:Q9627,D3525-1)))</f>
        <v>3232449.315</v>
      </c>
      <c r="F3525" s="23">
        <f t="array" ref="F3525">IF($A3525="","",
  LET(
    r, $D3525,
    startD, INDEX(Calculation!B$2:B9627, r),
    endD,   INDEX(Calculation!C$2:C9627, r),
    asOf,   MIN($A3525,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9435448.767</v>
      </c>
    </row>
    <row r="3526">
      <c r="A3526" s="19">
        <v>45761.0</v>
      </c>
      <c r="B3526" s="23">
        <v>1.0765E7</v>
      </c>
      <c r="C3526" s="23">
        <f t="shared" si="1"/>
        <v>12674976.44</v>
      </c>
      <c r="D3526" s="18">
        <f>IF(A3526="","",MATCH(A3526,Calculation!B$2:B9627,1))</f>
        <v>2</v>
      </c>
      <c r="E3526" s="23">
        <f t="array" ref="E3526">IF(D3526="","",IF(D3526=1,0,INDEX(Calculation!Q$2:Q9627,D3526-1)))</f>
        <v>3232449.315</v>
      </c>
      <c r="F3526" s="23">
        <f t="array" ref="F3526">IF($A3526="","",
  LET(
    r, $D3526,
    startD, INDEX(Calculation!B$2:B9627, r),
    endD,   INDEX(Calculation!C$2:C9627, r),
    asOf,   MIN($A3526,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9442527.123</v>
      </c>
    </row>
    <row r="3527">
      <c r="A3527" s="19">
        <v>45762.0</v>
      </c>
      <c r="B3527" s="23">
        <v>1.0765E7</v>
      </c>
      <c r="C3527" s="23">
        <f t="shared" si="1"/>
        <v>12682054.79</v>
      </c>
      <c r="D3527" s="18">
        <f>IF(A3527="","",MATCH(A3527,Calculation!B$2:B9627,1))</f>
        <v>2</v>
      </c>
      <c r="E3527" s="23">
        <f t="array" ref="E3527">IF(D3527="","",IF(D3527=1,0,INDEX(Calculation!Q$2:Q9627,D3527-1)))</f>
        <v>3232449.315</v>
      </c>
      <c r="F3527" s="23">
        <f t="array" ref="F3527">IF($A3527="","",
  LET(
    r, $D3527,
    startD, INDEX(Calculation!B$2:B9627, r),
    endD,   INDEX(Calculation!C$2:C9627, r),
    asOf,   MIN($A3527,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9449605.479</v>
      </c>
    </row>
    <row r="3528">
      <c r="A3528" s="19">
        <v>45763.0</v>
      </c>
      <c r="B3528" s="23">
        <v>1.0765E7</v>
      </c>
      <c r="C3528" s="23">
        <f t="shared" si="1"/>
        <v>12689133.15</v>
      </c>
      <c r="D3528" s="18">
        <f>IF(A3528="","",MATCH(A3528,Calculation!B$2:B9627,1))</f>
        <v>2</v>
      </c>
      <c r="E3528" s="23">
        <f t="array" ref="E3528">IF(D3528="","",IF(D3528=1,0,INDEX(Calculation!Q$2:Q9627,D3528-1)))</f>
        <v>3232449.315</v>
      </c>
      <c r="F3528" s="23">
        <f t="array" ref="F3528">IF($A3528="","",
  LET(
    r, $D3528,
    startD, INDEX(Calculation!B$2:B9627, r),
    endD,   INDEX(Calculation!C$2:C9627, r),
    asOf,   MIN($A3528,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9456683.836</v>
      </c>
    </row>
    <row r="3529">
      <c r="A3529" s="19">
        <v>45764.0</v>
      </c>
      <c r="B3529" s="23">
        <v>1.0765E7</v>
      </c>
      <c r="C3529" s="23">
        <f t="shared" si="1"/>
        <v>12696211.51</v>
      </c>
      <c r="D3529" s="18">
        <f>IF(A3529="","",MATCH(A3529,Calculation!B$2:B9627,1))</f>
        <v>2</v>
      </c>
      <c r="E3529" s="23">
        <f t="array" ref="E3529">IF(D3529="","",IF(D3529=1,0,INDEX(Calculation!Q$2:Q9627,D3529-1)))</f>
        <v>3232449.315</v>
      </c>
      <c r="F3529" s="23">
        <f t="array" ref="F3529">IF($A3529="","",
  LET(
    r, $D3529,
    startD, INDEX(Calculation!B$2:B9627, r),
    endD,   INDEX(Calculation!C$2:C9627, r),
    asOf,   MIN($A3529,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9463762.192</v>
      </c>
    </row>
    <row r="3530">
      <c r="A3530" s="19">
        <v>45765.0</v>
      </c>
      <c r="B3530" s="23">
        <v>1.0765E7</v>
      </c>
      <c r="C3530" s="23">
        <f t="shared" si="1"/>
        <v>12703289.86</v>
      </c>
      <c r="D3530" s="18">
        <f>IF(A3530="","",MATCH(A3530,Calculation!B$2:B9627,1))</f>
        <v>2</v>
      </c>
      <c r="E3530" s="23">
        <f t="array" ref="E3530">IF(D3530="","",IF(D3530=1,0,INDEX(Calculation!Q$2:Q9627,D3530-1)))</f>
        <v>3232449.315</v>
      </c>
      <c r="F3530" s="23">
        <f t="array" ref="F3530">IF($A3530="","",
  LET(
    r, $D3530,
    startD, INDEX(Calculation!B$2:B9627, r),
    endD,   INDEX(Calculation!C$2:C9627, r),
    asOf,   MIN($A3530,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9470840.548</v>
      </c>
    </row>
    <row r="3531">
      <c r="A3531" s="19">
        <v>45766.0</v>
      </c>
      <c r="B3531" s="23">
        <v>1.0765E7</v>
      </c>
      <c r="C3531" s="23">
        <f t="shared" si="1"/>
        <v>12710368.22</v>
      </c>
      <c r="D3531" s="18">
        <f>IF(A3531="","",MATCH(A3531,Calculation!B$2:B9627,1))</f>
        <v>2</v>
      </c>
      <c r="E3531" s="23">
        <f t="array" ref="E3531">IF(D3531="","",IF(D3531=1,0,INDEX(Calculation!Q$2:Q9627,D3531-1)))</f>
        <v>3232449.315</v>
      </c>
      <c r="F3531" s="23">
        <f t="array" ref="F3531">IF($A3531="","",
  LET(
    r, $D3531,
    startD, INDEX(Calculation!B$2:B9627, r),
    endD,   INDEX(Calculation!C$2:C9627, r),
    asOf,   MIN($A3531,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9477918.904</v>
      </c>
    </row>
    <row r="3532">
      <c r="A3532" s="19">
        <v>45767.0</v>
      </c>
      <c r="B3532" s="23">
        <v>1.0765E7</v>
      </c>
      <c r="C3532" s="23">
        <f t="shared" si="1"/>
        <v>12717446.58</v>
      </c>
      <c r="D3532" s="18">
        <f>IF(A3532="","",MATCH(A3532,Calculation!B$2:B9627,1))</f>
        <v>2</v>
      </c>
      <c r="E3532" s="23">
        <f t="array" ref="E3532">IF(D3532="","",IF(D3532=1,0,INDEX(Calculation!Q$2:Q9627,D3532-1)))</f>
        <v>3232449.315</v>
      </c>
      <c r="F3532" s="23">
        <f t="array" ref="F3532">IF($A3532="","",
  LET(
    r, $D3532,
    startD, INDEX(Calculation!B$2:B9627, r),
    endD,   INDEX(Calculation!C$2:C9627, r),
    asOf,   MIN($A3532,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9484997.26</v>
      </c>
    </row>
    <row r="3533">
      <c r="A3533" s="19">
        <v>45768.0</v>
      </c>
      <c r="B3533" s="23">
        <v>1.0765E7</v>
      </c>
      <c r="C3533" s="23">
        <f t="shared" si="1"/>
        <v>12724524.93</v>
      </c>
      <c r="D3533" s="18">
        <f>IF(A3533="","",MATCH(A3533,Calculation!B$2:B9627,1))</f>
        <v>2</v>
      </c>
      <c r="E3533" s="23">
        <f t="array" ref="E3533">IF(D3533="","",IF(D3533=1,0,INDEX(Calculation!Q$2:Q9627,D3533-1)))</f>
        <v>3232449.315</v>
      </c>
      <c r="F3533" s="23">
        <f t="array" ref="F3533">IF($A3533="","",
  LET(
    r, $D3533,
    startD, INDEX(Calculation!B$2:B9627, r),
    endD,   INDEX(Calculation!C$2:C9627, r),
    asOf,   MIN($A3533,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9492075.616</v>
      </c>
    </row>
    <row r="3534">
      <c r="A3534" s="19">
        <v>45769.0</v>
      </c>
      <c r="B3534" s="23">
        <v>1.0765E7</v>
      </c>
      <c r="C3534" s="23">
        <f t="shared" si="1"/>
        <v>12731603.29</v>
      </c>
      <c r="D3534" s="18">
        <f>IF(A3534="","",MATCH(A3534,Calculation!B$2:B9627,1))</f>
        <v>2</v>
      </c>
      <c r="E3534" s="23">
        <f t="array" ref="E3534">IF(D3534="","",IF(D3534=1,0,INDEX(Calculation!Q$2:Q9627,D3534-1)))</f>
        <v>3232449.315</v>
      </c>
      <c r="F3534" s="23">
        <f t="array" ref="F3534">IF($A3534="","",
  LET(
    r, $D3534,
    startD, INDEX(Calculation!B$2:B9627, r),
    endD,   INDEX(Calculation!C$2:C9627, r),
    asOf,   MIN($A3534,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9499153.973</v>
      </c>
    </row>
    <row r="3535">
      <c r="A3535" s="19">
        <v>45770.0</v>
      </c>
      <c r="B3535" s="23">
        <v>1.0765E7</v>
      </c>
      <c r="C3535" s="23">
        <f t="shared" si="1"/>
        <v>12738681.64</v>
      </c>
      <c r="D3535" s="18">
        <f>IF(A3535="","",MATCH(A3535,Calculation!B$2:B9627,1))</f>
        <v>2</v>
      </c>
      <c r="E3535" s="23">
        <f t="array" ref="E3535">IF(D3535="","",IF(D3535=1,0,INDEX(Calculation!Q$2:Q9627,D3535-1)))</f>
        <v>3232449.315</v>
      </c>
      <c r="F3535" s="23">
        <f t="array" ref="F3535">IF($A3535="","",
  LET(
    r, $D3535,
    startD, INDEX(Calculation!B$2:B9627, r),
    endD,   INDEX(Calculation!C$2:C9627, r),
    asOf,   MIN($A3535,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9506232.329</v>
      </c>
    </row>
    <row r="3536">
      <c r="A3536" s="19">
        <v>45771.0</v>
      </c>
      <c r="B3536" s="23">
        <v>1.0765E7</v>
      </c>
      <c r="C3536" s="23">
        <f t="shared" si="1"/>
        <v>12745760</v>
      </c>
      <c r="D3536" s="18">
        <f>IF(A3536="","",MATCH(A3536,Calculation!B$2:B9627,1))</f>
        <v>2</v>
      </c>
      <c r="E3536" s="23">
        <f t="array" ref="E3536">IF(D3536="","",IF(D3536=1,0,INDEX(Calculation!Q$2:Q9627,D3536-1)))</f>
        <v>3232449.315</v>
      </c>
      <c r="F3536" s="23">
        <f t="array" ref="F3536">IF($A3536="","",
  LET(
    r, $D3536,
    startD, INDEX(Calculation!B$2:B9627, r),
    endD,   INDEX(Calculation!C$2:C9627, r),
    asOf,   MIN($A3536,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9513310.685</v>
      </c>
    </row>
    <row r="3537">
      <c r="A3537" s="19">
        <v>45772.0</v>
      </c>
      <c r="B3537" s="23">
        <v>1.0765E7</v>
      </c>
      <c r="C3537" s="23">
        <f t="shared" si="1"/>
        <v>12752838.36</v>
      </c>
      <c r="D3537" s="18">
        <f>IF(A3537="","",MATCH(A3537,Calculation!B$2:B9627,1))</f>
        <v>2</v>
      </c>
      <c r="E3537" s="23">
        <f t="array" ref="E3537">IF(D3537="","",IF(D3537=1,0,INDEX(Calculation!Q$2:Q9627,D3537-1)))</f>
        <v>3232449.315</v>
      </c>
      <c r="F3537" s="23">
        <f t="array" ref="F3537">IF($A3537="","",
  LET(
    r, $D3537,
    startD, INDEX(Calculation!B$2:B9627, r),
    endD,   INDEX(Calculation!C$2:C9627, r),
    asOf,   MIN($A3537,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9520389.041</v>
      </c>
    </row>
    <row r="3538">
      <c r="A3538" s="19">
        <v>45773.0</v>
      </c>
      <c r="B3538" s="23">
        <v>1.0765E7</v>
      </c>
      <c r="C3538" s="23">
        <f t="shared" si="1"/>
        <v>12759916.71</v>
      </c>
      <c r="D3538" s="18">
        <f>IF(A3538="","",MATCH(A3538,Calculation!B$2:B9627,1))</f>
        <v>2</v>
      </c>
      <c r="E3538" s="23">
        <f t="array" ref="E3538">IF(D3538="","",IF(D3538=1,0,INDEX(Calculation!Q$2:Q9627,D3538-1)))</f>
        <v>3232449.315</v>
      </c>
      <c r="F3538" s="23">
        <f t="array" ref="F3538">IF($A3538="","",
  LET(
    r, $D3538,
    startD, INDEX(Calculation!B$2:B9627, r),
    endD,   INDEX(Calculation!C$2:C9627, r),
    asOf,   MIN($A3538,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9527467.397</v>
      </c>
    </row>
    <row r="3539">
      <c r="A3539" s="19">
        <v>45774.0</v>
      </c>
      <c r="B3539" s="23">
        <v>1.0765E7</v>
      </c>
      <c r="C3539" s="23">
        <f t="shared" si="1"/>
        <v>12766995.07</v>
      </c>
      <c r="D3539" s="18">
        <f>IF(A3539="","",MATCH(A3539,Calculation!B$2:B9627,1))</f>
        <v>2</v>
      </c>
      <c r="E3539" s="23">
        <f t="array" ref="E3539">IF(D3539="","",IF(D3539=1,0,INDEX(Calculation!Q$2:Q9627,D3539-1)))</f>
        <v>3232449.315</v>
      </c>
      <c r="F3539" s="23">
        <f t="array" ref="F3539">IF($A3539="","",
  LET(
    r, $D3539,
    startD, INDEX(Calculation!B$2:B9627, r),
    endD,   INDEX(Calculation!C$2:C9627, r),
    asOf,   MIN($A3539,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9534545.753</v>
      </c>
    </row>
    <row r="3540">
      <c r="A3540" s="19">
        <v>45775.0</v>
      </c>
      <c r="B3540" s="23">
        <v>1.0765E7</v>
      </c>
      <c r="C3540" s="23">
        <f t="shared" si="1"/>
        <v>12774073.42</v>
      </c>
      <c r="D3540" s="18">
        <f>IF(A3540="","",MATCH(A3540,Calculation!B$2:B9627,1))</f>
        <v>2</v>
      </c>
      <c r="E3540" s="23">
        <f t="array" ref="E3540">IF(D3540="","",IF(D3540=1,0,INDEX(Calculation!Q$2:Q9627,D3540-1)))</f>
        <v>3232449.315</v>
      </c>
      <c r="F3540" s="23">
        <f t="array" ref="F3540">IF($A3540="","",
  LET(
    r, $D3540,
    startD, INDEX(Calculation!B$2:B9627, r),
    endD,   INDEX(Calculation!C$2:C9627, r),
    asOf,   MIN($A3540,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9541624.11</v>
      </c>
    </row>
    <row r="3541">
      <c r="A3541" s="19">
        <v>45776.0</v>
      </c>
      <c r="B3541" s="23">
        <v>1.0765E7</v>
      </c>
      <c r="C3541" s="23">
        <f t="shared" si="1"/>
        <v>12781151.78</v>
      </c>
      <c r="D3541" s="18">
        <f>IF(A3541="","",MATCH(A3541,Calculation!B$2:B9627,1))</f>
        <v>2</v>
      </c>
      <c r="E3541" s="23">
        <f t="array" ref="E3541">IF(D3541="","",IF(D3541=1,0,INDEX(Calculation!Q$2:Q9627,D3541-1)))</f>
        <v>3232449.315</v>
      </c>
      <c r="F3541" s="23">
        <f t="array" ref="F3541">IF($A3541="","",
  LET(
    r, $D3541,
    startD, INDEX(Calculation!B$2:B9627, r),
    endD,   INDEX(Calculation!C$2:C9627, r),
    asOf,   MIN($A3541,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9548702.466</v>
      </c>
    </row>
    <row r="3542">
      <c r="A3542" s="19">
        <v>45777.0</v>
      </c>
      <c r="B3542" s="23">
        <v>1.0765E7</v>
      </c>
      <c r="C3542" s="23">
        <f t="shared" si="1"/>
        <v>12788230.14</v>
      </c>
      <c r="D3542" s="18">
        <f>IF(A3542="","",MATCH(A3542,Calculation!B$2:B9627,1))</f>
        <v>2</v>
      </c>
      <c r="E3542" s="23">
        <f t="array" ref="E3542">IF(D3542="","",IF(D3542=1,0,INDEX(Calculation!Q$2:Q9627,D3542-1)))</f>
        <v>3232449.315</v>
      </c>
      <c r="F3542" s="23">
        <f t="array" ref="F3542">IF($A3542="","",
  LET(
    r, $D3542,
    startD, INDEX(Calculation!B$2:B9627, r),
    endD,   INDEX(Calculation!C$2:C9627, r),
    asOf,   MIN($A3542,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9555780.822</v>
      </c>
    </row>
    <row r="3543">
      <c r="A3543" s="19">
        <v>45778.0</v>
      </c>
      <c r="B3543" s="23">
        <v>1.0765E7</v>
      </c>
      <c r="C3543" s="23">
        <f t="shared" si="1"/>
        <v>12795308.49</v>
      </c>
      <c r="D3543" s="18">
        <f>IF(A3543="","",MATCH(A3543,Calculation!B$2:B9627,1))</f>
        <v>2</v>
      </c>
      <c r="E3543" s="23">
        <f t="array" ref="E3543">IF(D3543="","",IF(D3543=1,0,INDEX(Calculation!Q$2:Q9627,D3543-1)))</f>
        <v>3232449.315</v>
      </c>
      <c r="F3543" s="23">
        <f t="array" ref="F3543">IF($A3543="","",
  LET(
    r, $D3543,
    startD, INDEX(Calculation!B$2:B9627, r),
    endD,   INDEX(Calculation!C$2:C9627, r),
    asOf,   MIN($A3543,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9562859.178</v>
      </c>
    </row>
    <row r="3544">
      <c r="A3544" s="19">
        <v>45779.0</v>
      </c>
      <c r="B3544" s="23">
        <v>1.0765E7</v>
      </c>
      <c r="C3544" s="23">
        <f t="shared" si="1"/>
        <v>12802386.85</v>
      </c>
      <c r="D3544" s="18">
        <f>IF(A3544="","",MATCH(A3544,Calculation!B$2:B9627,1))</f>
        <v>2</v>
      </c>
      <c r="E3544" s="23">
        <f t="array" ref="E3544">IF(D3544="","",IF(D3544=1,0,INDEX(Calculation!Q$2:Q9627,D3544-1)))</f>
        <v>3232449.315</v>
      </c>
      <c r="F3544" s="23">
        <f t="array" ref="F3544">IF($A3544="","",
  LET(
    r, $D3544,
    startD, INDEX(Calculation!B$2:B9627, r),
    endD,   INDEX(Calculation!C$2:C9627, r),
    asOf,   MIN($A3544,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9569937.534</v>
      </c>
    </row>
    <row r="3545">
      <c r="A3545" s="19">
        <v>45780.0</v>
      </c>
      <c r="B3545" s="23">
        <v>1.0765E7</v>
      </c>
      <c r="C3545" s="23">
        <f t="shared" si="1"/>
        <v>12809465.21</v>
      </c>
      <c r="D3545" s="18">
        <f>IF(A3545="","",MATCH(A3545,Calculation!B$2:B9627,1))</f>
        <v>2</v>
      </c>
      <c r="E3545" s="23">
        <f t="array" ref="E3545">IF(D3545="","",IF(D3545=1,0,INDEX(Calculation!Q$2:Q9627,D3545-1)))</f>
        <v>3232449.315</v>
      </c>
      <c r="F3545" s="23">
        <f t="array" ref="F3545">IF($A3545="","",
  LET(
    r, $D3545,
    startD, INDEX(Calculation!B$2:B9627, r),
    endD,   INDEX(Calculation!C$2:C9627, r),
    asOf,   MIN($A3545,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9577015.89</v>
      </c>
    </row>
    <row r="3546">
      <c r="A3546" s="19">
        <v>45781.0</v>
      </c>
      <c r="B3546" s="23">
        <v>1.0765E7</v>
      </c>
      <c r="C3546" s="23">
        <f t="shared" si="1"/>
        <v>12816543.56</v>
      </c>
      <c r="D3546" s="18">
        <f>IF(A3546="","",MATCH(A3546,Calculation!B$2:B9627,1))</f>
        <v>2</v>
      </c>
      <c r="E3546" s="23">
        <f t="array" ref="E3546">IF(D3546="","",IF(D3546=1,0,INDEX(Calculation!Q$2:Q9627,D3546-1)))</f>
        <v>3232449.315</v>
      </c>
      <c r="F3546" s="23">
        <f t="array" ref="F3546">IF($A3546="","",
  LET(
    r, $D3546,
    startD, INDEX(Calculation!B$2:B9627, r),
    endD,   INDEX(Calculation!C$2:C9627, r),
    asOf,   MIN($A3546,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9584094.247</v>
      </c>
    </row>
    <row r="3547">
      <c r="A3547" s="19">
        <v>45782.0</v>
      </c>
      <c r="B3547" s="23">
        <v>1.0765E7</v>
      </c>
      <c r="C3547" s="23">
        <f t="shared" si="1"/>
        <v>12823621.92</v>
      </c>
      <c r="D3547" s="18">
        <f>IF(A3547="","",MATCH(A3547,Calculation!B$2:B9627,1))</f>
        <v>2</v>
      </c>
      <c r="E3547" s="23">
        <f t="array" ref="E3547">IF(D3547="","",IF(D3547=1,0,INDEX(Calculation!Q$2:Q9627,D3547-1)))</f>
        <v>3232449.315</v>
      </c>
      <c r="F3547" s="23">
        <f t="array" ref="F3547">IF($A3547="","",
  LET(
    r, $D3547,
    startD, INDEX(Calculation!B$2:B9627, r),
    endD,   INDEX(Calculation!C$2:C9627, r),
    asOf,   MIN($A3547,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9591172.603</v>
      </c>
    </row>
    <row r="3548">
      <c r="A3548" s="19">
        <v>45783.0</v>
      </c>
      <c r="B3548" s="23">
        <v>1.0765E7</v>
      </c>
      <c r="C3548" s="23">
        <f t="shared" si="1"/>
        <v>12830700.27</v>
      </c>
      <c r="D3548" s="18">
        <f>IF(A3548="","",MATCH(A3548,Calculation!B$2:B9627,1))</f>
        <v>2</v>
      </c>
      <c r="E3548" s="23">
        <f t="array" ref="E3548">IF(D3548="","",IF(D3548=1,0,INDEX(Calculation!Q$2:Q9627,D3548-1)))</f>
        <v>3232449.315</v>
      </c>
      <c r="F3548" s="23">
        <f t="array" ref="F3548">IF($A3548="","",
  LET(
    r, $D3548,
    startD, INDEX(Calculation!B$2:B9627, r),
    endD,   INDEX(Calculation!C$2:C9627, r),
    asOf,   MIN($A3548,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9598250.959</v>
      </c>
    </row>
    <row r="3549">
      <c r="A3549" s="19">
        <v>45784.0</v>
      </c>
      <c r="B3549" s="23">
        <v>1.0765E7</v>
      </c>
      <c r="C3549" s="23">
        <f t="shared" si="1"/>
        <v>12837778.63</v>
      </c>
      <c r="D3549" s="18">
        <f>IF(A3549="","",MATCH(A3549,Calculation!B$2:B9627,1))</f>
        <v>2</v>
      </c>
      <c r="E3549" s="23">
        <f t="array" ref="E3549">IF(D3549="","",IF(D3549=1,0,INDEX(Calculation!Q$2:Q9627,D3549-1)))</f>
        <v>3232449.315</v>
      </c>
      <c r="F3549" s="23">
        <f t="array" ref="F3549">IF($A3549="","",
  LET(
    r, $D3549,
    startD, INDEX(Calculation!B$2:B9627, r),
    endD,   INDEX(Calculation!C$2:C9627, r),
    asOf,   MIN($A3549,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9605329.315</v>
      </c>
    </row>
    <row r="3550">
      <c r="A3550" s="19">
        <v>45785.0</v>
      </c>
      <c r="B3550" s="23">
        <v>1.0765E7</v>
      </c>
      <c r="C3550" s="23">
        <f t="shared" si="1"/>
        <v>12844856.99</v>
      </c>
      <c r="D3550" s="18">
        <f>IF(A3550="","",MATCH(A3550,Calculation!B$2:B9627,1))</f>
        <v>2</v>
      </c>
      <c r="E3550" s="23">
        <f t="array" ref="E3550">IF(D3550="","",IF(D3550=1,0,INDEX(Calculation!Q$2:Q9627,D3550-1)))</f>
        <v>3232449.315</v>
      </c>
      <c r="F3550" s="23">
        <f t="array" ref="F3550">IF($A3550="","",
  LET(
    r, $D3550,
    startD, INDEX(Calculation!B$2:B9627, r),
    endD,   INDEX(Calculation!C$2:C9627, r),
    asOf,   MIN($A3550,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9612407.671</v>
      </c>
    </row>
    <row r="3551">
      <c r="A3551" s="19">
        <v>45786.0</v>
      </c>
      <c r="B3551" s="23">
        <v>1.0765E7</v>
      </c>
      <c r="C3551" s="23">
        <f t="shared" si="1"/>
        <v>12851935.34</v>
      </c>
      <c r="D3551" s="18">
        <f>IF(A3551="","",MATCH(A3551,Calculation!B$2:B9627,1))</f>
        <v>2</v>
      </c>
      <c r="E3551" s="23">
        <f t="array" ref="E3551">IF(D3551="","",IF(D3551=1,0,INDEX(Calculation!Q$2:Q9627,D3551-1)))</f>
        <v>3232449.315</v>
      </c>
      <c r="F3551" s="23">
        <f t="array" ref="F3551">IF($A3551="","",
  LET(
    r, $D3551,
    startD, INDEX(Calculation!B$2:B9627, r),
    endD,   INDEX(Calculation!C$2:C9627, r),
    asOf,   MIN($A3551,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9619486.027</v>
      </c>
    </row>
    <row r="3552">
      <c r="A3552" s="19">
        <v>45787.0</v>
      </c>
      <c r="B3552" s="23">
        <v>1.0765E7</v>
      </c>
      <c r="C3552" s="23">
        <f t="shared" si="1"/>
        <v>12859013.7</v>
      </c>
      <c r="D3552" s="18">
        <f>IF(A3552="","",MATCH(A3552,Calculation!B$2:B9627,1))</f>
        <v>2</v>
      </c>
      <c r="E3552" s="23">
        <f t="array" ref="E3552">IF(D3552="","",IF(D3552=1,0,INDEX(Calculation!Q$2:Q9627,D3552-1)))</f>
        <v>3232449.315</v>
      </c>
      <c r="F3552" s="23">
        <f t="array" ref="F3552">IF($A3552="","",
  LET(
    r, $D3552,
    startD, INDEX(Calculation!B$2:B9627, r),
    endD,   INDEX(Calculation!C$2:C9627, r),
    asOf,   MIN($A3552,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9626564.384</v>
      </c>
    </row>
    <row r="3553">
      <c r="A3553" s="19">
        <v>45788.0</v>
      </c>
      <c r="B3553" s="23">
        <v>1.0765E7</v>
      </c>
      <c r="C3553" s="23">
        <f t="shared" si="1"/>
        <v>12866092.05</v>
      </c>
      <c r="D3553" s="18">
        <f>IF(A3553="","",MATCH(A3553,Calculation!B$2:B9627,1))</f>
        <v>2</v>
      </c>
      <c r="E3553" s="23">
        <f t="array" ref="E3553">IF(D3553="","",IF(D3553=1,0,INDEX(Calculation!Q$2:Q9627,D3553-1)))</f>
        <v>3232449.315</v>
      </c>
      <c r="F3553" s="23">
        <f t="array" ref="F3553">IF($A3553="","",
  LET(
    r, $D3553,
    startD, INDEX(Calculation!B$2:B9627, r),
    endD,   INDEX(Calculation!C$2:C9627, r),
    asOf,   MIN($A3553,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9633642.74</v>
      </c>
    </row>
    <row r="3554">
      <c r="A3554" s="19">
        <v>45789.0</v>
      </c>
      <c r="B3554" s="23">
        <v>1.0765E7</v>
      </c>
      <c r="C3554" s="23">
        <f t="shared" si="1"/>
        <v>12873170.41</v>
      </c>
      <c r="D3554" s="18">
        <f>IF(A3554="","",MATCH(A3554,Calculation!B$2:B9627,1))</f>
        <v>2</v>
      </c>
      <c r="E3554" s="23">
        <f t="array" ref="E3554">IF(D3554="","",IF(D3554=1,0,INDEX(Calculation!Q$2:Q9627,D3554-1)))</f>
        <v>3232449.315</v>
      </c>
      <c r="F3554" s="23">
        <f t="array" ref="F3554">IF($A3554="","",
  LET(
    r, $D3554,
    startD, INDEX(Calculation!B$2:B9627, r),
    endD,   INDEX(Calculation!C$2:C9627, r),
    asOf,   MIN($A3554,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9640721.096</v>
      </c>
    </row>
    <row r="3555">
      <c r="A3555" s="19">
        <v>45790.0</v>
      </c>
      <c r="B3555" s="23">
        <v>1.0765E7</v>
      </c>
      <c r="C3555" s="23">
        <f t="shared" si="1"/>
        <v>12880248.77</v>
      </c>
      <c r="D3555" s="18">
        <f>IF(A3555="","",MATCH(A3555,Calculation!B$2:B9627,1))</f>
        <v>2</v>
      </c>
      <c r="E3555" s="23">
        <f t="array" ref="E3555">IF(D3555="","",IF(D3555=1,0,INDEX(Calculation!Q$2:Q9627,D3555-1)))</f>
        <v>3232449.315</v>
      </c>
      <c r="F3555" s="23">
        <f t="array" ref="F3555">IF($A3555="","",
  LET(
    r, $D3555,
    startD, INDEX(Calculation!B$2:B9627, r),
    endD,   INDEX(Calculation!C$2:C9627, r),
    asOf,   MIN($A3555,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9647799.452</v>
      </c>
    </row>
    <row r="3556">
      <c r="A3556" s="19">
        <v>45791.0</v>
      </c>
      <c r="B3556" s="23">
        <v>1.0765E7</v>
      </c>
      <c r="C3556" s="23">
        <f t="shared" si="1"/>
        <v>12887327.12</v>
      </c>
      <c r="D3556" s="18">
        <f>IF(A3556="","",MATCH(A3556,Calculation!B$2:B9627,1))</f>
        <v>2</v>
      </c>
      <c r="E3556" s="23">
        <f t="array" ref="E3556">IF(D3556="","",IF(D3556=1,0,INDEX(Calculation!Q$2:Q9627,D3556-1)))</f>
        <v>3232449.315</v>
      </c>
      <c r="F3556" s="23">
        <f t="array" ref="F3556">IF($A3556="","",
  LET(
    r, $D3556,
    startD, INDEX(Calculation!B$2:B9627, r),
    endD,   INDEX(Calculation!C$2:C9627, r),
    asOf,   MIN($A3556,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9654877.808</v>
      </c>
    </row>
    <row r="3557">
      <c r="A3557" s="19">
        <v>45792.0</v>
      </c>
      <c r="B3557" s="23">
        <v>1.0765E7</v>
      </c>
      <c r="C3557" s="23">
        <f t="shared" si="1"/>
        <v>12894405.48</v>
      </c>
      <c r="D3557" s="18">
        <f>IF(A3557="","",MATCH(A3557,Calculation!B$2:B9627,1))</f>
        <v>2</v>
      </c>
      <c r="E3557" s="23">
        <f t="array" ref="E3557">IF(D3557="","",IF(D3557=1,0,INDEX(Calculation!Q$2:Q9627,D3557-1)))</f>
        <v>3232449.315</v>
      </c>
      <c r="F3557" s="23">
        <f t="array" ref="F3557">IF($A3557="","",
  LET(
    r, $D3557,
    startD, INDEX(Calculation!B$2:B9627, r),
    endD,   INDEX(Calculation!C$2:C9627, r),
    asOf,   MIN($A3557,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9661956.164</v>
      </c>
    </row>
    <row r="3558">
      <c r="A3558" s="19">
        <v>45793.0</v>
      </c>
      <c r="B3558" s="23">
        <v>1.0765E7</v>
      </c>
      <c r="C3558" s="23">
        <f t="shared" si="1"/>
        <v>12901483.84</v>
      </c>
      <c r="D3558" s="18">
        <f>IF(A3558="","",MATCH(A3558,Calculation!B$2:B9627,1))</f>
        <v>2</v>
      </c>
      <c r="E3558" s="23">
        <f t="array" ref="E3558">IF(D3558="","",IF(D3558=1,0,INDEX(Calculation!Q$2:Q9627,D3558-1)))</f>
        <v>3232449.315</v>
      </c>
      <c r="F3558" s="23">
        <f t="array" ref="F3558">IF($A3558="","",
  LET(
    r, $D3558,
    startD, INDEX(Calculation!B$2:B9627, r),
    endD,   INDEX(Calculation!C$2:C9627, r),
    asOf,   MIN($A3558,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9669034.521</v>
      </c>
    </row>
    <row r="3559">
      <c r="A3559" s="19">
        <v>45794.0</v>
      </c>
      <c r="B3559" s="23">
        <v>1.0765E7</v>
      </c>
      <c r="C3559" s="23">
        <f t="shared" si="1"/>
        <v>12908562.19</v>
      </c>
      <c r="D3559" s="18">
        <f>IF(A3559="","",MATCH(A3559,Calculation!B$2:B9627,1))</f>
        <v>2</v>
      </c>
      <c r="E3559" s="23">
        <f t="array" ref="E3559">IF(D3559="","",IF(D3559=1,0,INDEX(Calculation!Q$2:Q9627,D3559-1)))</f>
        <v>3232449.315</v>
      </c>
      <c r="F3559" s="23">
        <f t="array" ref="F3559">IF($A3559="","",
  LET(
    r, $D3559,
    startD, INDEX(Calculation!B$2:B9627, r),
    endD,   INDEX(Calculation!C$2:C9627, r),
    asOf,   MIN($A3559,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9676112.877</v>
      </c>
    </row>
    <row r="3560">
      <c r="A3560" s="19">
        <v>45795.0</v>
      </c>
      <c r="B3560" s="23">
        <v>1.0765E7</v>
      </c>
      <c r="C3560" s="23">
        <f t="shared" si="1"/>
        <v>12915640.55</v>
      </c>
      <c r="D3560" s="18">
        <f>IF(A3560="","",MATCH(A3560,Calculation!B$2:B9627,1))</f>
        <v>2</v>
      </c>
      <c r="E3560" s="23">
        <f t="array" ref="E3560">IF(D3560="","",IF(D3560=1,0,INDEX(Calculation!Q$2:Q9627,D3560-1)))</f>
        <v>3232449.315</v>
      </c>
      <c r="F3560" s="23">
        <f t="array" ref="F3560">IF($A3560="","",
  LET(
    r, $D3560,
    startD, INDEX(Calculation!B$2:B9627, r),
    endD,   INDEX(Calculation!C$2:C9627, r),
    asOf,   MIN($A3560,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9683191.233</v>
      </c>
    </row>
    <row r="3561">
      <c r="A3561" s="19">
        <v>45796.0</v>
      </c>
      <c r="B3561" s="23">
        <v>1.0765E7</v>
      </c>
      <c r="C3561" s="23">
        <f t="shared" si="1"/>
        <v>12922718.9</v>
      </c>
      <c r="D3561" s="18">
        <f>IF(A3561="","",MATCH(A3561,Calculation!B$2:B9627,1))</f>
        <v>2</v>
      </c>
      <c r="E3561" s="23">
        <f t="array" ref="E3561">IF(D3561="","",IF(D3561=1,0,INDEX(Calculation!Q$2:Q9627,D3561-1)))</f>
        <v>3232449.315</v>
      </c>
      <c r="F3561" s="23">
        <f t="array" ref="F3561">IF($A3561="","",
  LET(
    r, $D3561,
    startD, INDEX(Calculation!B$2:B9627, r),
    endD,   INDEX(Calculation!C$2:C9627, r),
    asOf,   MIN($A3561,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9690269.589</v>
      </c>
    </row>
    <row r="3562">
      <c r="A3562" s="19">
        <v>45797.0</v>
      </c>
      <c r="B3562" s="23">
        <v>1.0765E7</v>
      </c>
      <c r="C3562" s="23">
        <f t="shared" si="1"/>
        <v>12929797.26</v>
      </c>
      <c r="D3562" s="18">
        <f>IF(A3562="","",MATCH(A3562,Calculation!B$2:B9627,1))</f>
        <v>2</v>
      </c>
      <c r="E3562" s="23">
        <f t="array" ref="E3562">IF(D3562="","",IF(D3562=1,0,INDEX(Calculation!Q$2:Q9627,D3562-1)))</f>
        <v>3232449.315</v>
      </c>
      <c r="F3562" s="23">
        <f t="array" ref="F3562">IF($A3562="","",
  LET(
    r, $D3562,
    startD, INDEX(Calculation!B$2:B9627, r),
    endD,   INDEX(Calculation!C$2:C9627, r),
    asOf,   MIN($A3562,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9697347.945</v>
      </c>
    </row>
    <row r="3563">
      <c r="A3563" s="19">
        <v>45798.0</v>
      </c>
      <c r="B3563" s="23">
        <v>1.0765E7</v>
      </c>
      <c r="C3563" s="23">
        <f t="shared" si="1"/>
        <v>12936875.62</v>
      </c>
      <c r="D3563" s="18">
        <f>IF(A3563="","",MATCH(A3563,Calculation!B$2:B9627,1))</f>
        <v>2</v>
      </c>
      <c r="E3563" s="23">
        <f t="array" ref="E3563">IF(D3563="","",IF(D3563=1,0,INDEX(Calculation!Q$2:Q9627,D3563-1)))</f>
        <v>3232449.315</v>
      </c>
      <c r="F3563" s="23">
        <f t="array" ref="F3563">IF($A3563="","",
  LET(
    r, $D3563,
    startD, INDEX(Calculation!B$2:B9627, r),
    endD,   INDEX(Calculation!C$2:C9627, r),
    asOf,   MIN($A3563,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9704426.301</v>
      </c>
    </row>
    <row r="3564">
      <c r="A3564" s="19">
        <v>45799.0</v>
      </c>
      <c r="B3564" s="23">
        <v>1.0765E7</v>
      </c>
      <c r="C3564" s="23">
        <f t="shared" si="1"/>
        <v>12943953.97</v>
      </c>
      <c r="D3564" s="18">
        <f>IF(A3564="","",MATCH(A3564,Calculation!B$2:B9627,1))</f>
        <v>2</v>
      </c>
      <c r="E3564" s="23">
        <f t="array" ref="E3564">IF(D3564="","",IF(D3564=1,0,INDEX(Calculation!Q$2:Q9627,D3564-1)))</f>
        <v>3232449.315</v>
      </c>
      <c r="F3564" s="23">
        <f t="array" ref="F3564">IF($A3564="","",
  LET(
    r, $D3564,
    startD, INDEX(Calculation!B$2:B9627, r),
    endD,   INDEX(Calculation!C$2:C9627, r),
    asOf,   MIN($A3564,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9711504.658</v>
      </c>
    </row>
    <row r="3565">
      <c r="A3565" s="19">
        <v>45800.0</v>
      </c>
      <c r="B3565" s="23">
        <v>1.0765E7</v>
      </c>
      <c r="C3565" s="23">
        <f t="shared" si="1"/>
        <v>12951032.33</v>
      </c>
      <c r="D3565" s="18">
        <f>IF(A3565="","",MATCH(A3565,Calculation!B$2:B9627,1))</f>
        <v>2</v>
      </c>
      <c r="E3565" s="23">
        <f t="array" ref="E3565">IF(D3565="","",IF(D3565=1,0,INDEX(Calculation!Q$2:Q9627,D3565-1)))</f>
        <v>3232449.315</v>
      </c>
      <c r="F3565" s="23">
        <f t="array" ref="F3565">IF($A3565="","",
  LET(
    r, $D3565,
    startD, INDEX(Calculation!B$2:B9627, r),
    endD,   INDEX(Calculation!C$2:C9627, r),
    asOf,   MIN($A3565,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9718583.014</v>
      </c>
    </row>
    <row r="3566">
      <c r="A3566" s="19">
        <v>45801.0</v>
      </c>
      <c r="B3566" s="23">
        <v>1.0765E7</v>
      </c>
      <c r="C3566" s="23">
        <f t="shared" si="1"/>
        <v>12958110.68</v>
      </c>
      <c r="D3566" s="18">
        <f>IF(A3566="","",MATCH(A3566,Calculation!B$2:B9627,1))</f>
        <v>2</v>
      </c>
      <c r="E3566" s="23">
        <f t="array" ref="E3566">IF(D3566="","",IF(D3566=1,0,INDEX(Calculation!Q$2:Q9627,D3566-1)))</f>
        <v>3232449.315</v>
      </c>
      <c r="F3566" s="23">
        <f t="array" ref="F3566">IF($A3566="","",
  LET(
    r, $D3566,
    startD, INDEX(Calculation!B$2:B9627, r),
    endD,   INDEX(Calculation!C$2:C9627, r),
    asOf,   MIN($A3566,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9725661.37</v>
      </c>
    </row>
    <row r="3567">
      <c r="A3567" s="19">
        <v>45802.0</v>
      </c>
      <c r="B3567" s="23">
        <v>1.0765E7</v>
      </c>
      <c r="C3567" s="23">
        <f t="shared" si="1"/>
        <v>12965189.04</v>
      </c>
      <c r="D3567" s="18">
        <f>IF(A3567="","",MATCH(A3567,Calculation!B$2:B9627,1))</f>
        <v>2</v>
      </c>
      <c r="E3567" s="23">
        <f t="array" ref="E3567">IF(D3567="","",IF(D3567=1,0,INDEX(Calculation!Q$2:Q9627,D3567-1)))</f>
        <v>3232449.315</v>
      </c>
      <c r="F3567" s="23">
        <f t="array" ref="F3567">IF($A3567="","",
  LET(
    r, $D3567,
    startD, INDEX(Calculation!B$2:B9627, r),
    endD,   INDEX(Calculation!C$2:C9627, r),
    asOf,   MIN($A3567,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9732739.726</v>
      </c>
    </row>
    <row r="3568">
      <c r="A3568" s="19">
        <v>45803.0</v>
      </c>
      <c r="B3568" s="23">
        <v>1.0765E7</v>
      </c>
      <c r="C3568" s="23">
        <f t="shared" si="1"/>
        <v>12972267.4</v>
      </c>
      <c r="D3568" s="18">
        <f>IF(A3568="","",MATCH(A3568,Calculation!B$2:B9627,1))</f>
        <v>2</v>
      </c>
      <c r="E3568" s="23">
        <f t="array" ref="E3568">IF(D3568="","",IF(D3568=1,0,INDEX(Calculation!Q$2:Q9627,D3568-1)))</f>
        <v>3232449.315</v>
      </c>
      <c r="F3568" s="23">
        <f t="array" ref="F3568">IF($A3568="","",
  LET(
    r, $D3568,
    startD, INDEX(Calculation!B$2:B9627, r),
    endD,   INDEX(Calculation!C$2:C9627, r),
    asOf,   MIN($A3568,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9739818.082</v>
      </c>
    </row>
    <row r="3569">
      <c r="A3569" s="19">
        <v>45804.0</v>
      </c>
      <c r="B3569" s="23">
        <v>1.0765E7</v>
      </c>
      <c r="C3569" s="23">
        <f t="shared" si="1"/>
        <v>12979345.75</v>
      </c>
      <c r="D3569" s="18">
        <f>IF(A3569="","",MATCH(A3569,Calculation!B$2:B9627,1))</f>
        <v>2</v>
      </c>
      <c r="E3569" s="23">
        <f t="array" ref="E3569">IF(D3569="","",IF(D3569=1,0,INDEX(Calculation!Q$2:Q9627,D3569-1)))</f>
        <v>3232449.315</v>
      </c>
      <c r="F3569" s="23">
        <f t="array" ref="F3569">IF($A3569="","",
  LET(
    r, $D3569,
    startD, INDEX(Calculation!B$2:B9627, r),
    endD,   INDEX(Calculation!C$2:C9627, r),
    asOf,   MIN($A3569,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9746896.438</v>
      </c>
    </row>
    <row r="3570">
      <c r="A3570" s="19">
        <v>45805.0</v>
      </c>
      <c r="B3570" s="23">
        <v>1.0765E7</v>
      </c>
      <c r="C3570" s="23">
        <f t="shared" si="1"/>
        <v>12986424.11</v>
      </c>
      <c r="D3570" s="18">
        <f>IF(A3570="","",MATCH(A3570,Calculation!B$2:B9627,1))</f>
        <v>2</v>
      </c>
      <c r="E3570" s="23">
        <f t="array" ref="E3570">IF(D3570="","",IF(D3570=1,0,INDEX(Calculation!Q$2:Q9627,D3570-1)))</f>
        <v>3232449.315</v>
      </c>
      <c r="F3570" s="23">
        <f t="array" ref="F3570">IF($A3570="","",
  LET(
    r, $D3570,
    startD, INDEX(Calculation!B$2:B9627, r),
    endD,   INDEX(Calculation!C$2:C9627, r),
    asOf,   MIN($A3570,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9753974.795</v>
      </c>
    </row>
    <row r="3571">
      <c r="A3571" s="19">
        <v>45806.0</v>
      </c>
      <c r="B3571" s="23">
        <v>1.0765E7</v>
      </c>
      <c r="C3571" s="23">
        <f t="shared" si="1"/>
        <v>12993502.47</v>
      </c>
      <c r="D3571" s="18">
        <f>IF(A3571="","",MATCH(A3571,Calculation!B$2:B9627,1))</f>
        <v>2</v>
      </c>
      <c r="E3571" s="23">
        <f t="array" ref="E3571">IF(D3571="","",IF(D3571=1,0,INDEX(Calculation!Q$2:Q9627,D3571-1)))</f>
        <v>3232449.315</v>
      </c>
      <c r="F3571" s="23">
        <f t="array" ref="F3571">IF($A3571="","",
  LET(
    r, $D3571,
    startD, INDEX(Calculation!B$2:B9627, r),
    endD,   INDEX(Calculation!C$2:C9627, r),
    asOf,   MIN($A3571,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9761053.151</v>
      </c>
    </row>
    <row r="3572">
      <c r="A3572" s="19">
        <v>45807.0</v>
      </c>
      <c r="B3572" s="23">
        <v>1.0765E7</v>
      </c>
      <c r="C3572" s="23">
        <f t="shared" si="1"/>
        <v>13000580.82</v>
      </c>
      <c r="D3572" s="18">
        <f>IF(A3572="","",MATCH(A3572,Calculation!B$2:B9627,1))</f>
        <v>2</v>
      </c>
      <c r="E3572" s="23">
        <f t="array" ref="E3572">IF(D3572="","",IF(D3572=1,0,INDEX(Calculation!Q$2:Q9627,D3572-1)))</f>
        <v>3232449.315</v>
      </c>
      <c r="F3572" s="23">
        <f t="array" ref="F3572">IF($A3572="","",
  LET(
    r, $D3572,
    startD, INDEX(Calculation!B$2:B9627, r),
    endD,   INDEX(Calculation!C$2:C9627, r),
    asOf,   MIN($A3572,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9768131.507</v>
      </c>
    </row>
    <row r="3573">
      <c r="A3573" s="19">
        <v>45808.0</v>
      </c>
      <c r="B3573" s="23">
        <v>1.0765E7</v>
      </c>
      <c r="C3573" s="23">
        <f t="shared" si="1"/>
        <v>13007659.18</v>
      </c>
      <c r="D3573" s="18">
        <f>IF(A3573="","",MATCH(A3573,Calculation!B$2:B9627,1))</f>
        <v>2</v>
      </c>
      <c r="E3573" s="23">
        <f t="array" ref="E3573">IF(D3573="","",IF(D3573=1,0,INDEX(Calculation!Q$2:Q9627,D3573-1)))</f>
        <v>3232449.315</v>
      </c>
      <c r="F3573" s="23">
        <f t="array" ref="F3573">IF($A3573="","",
  LET(
    r, $D3573,
    startD, INDEX(Calculation!B$2:B9627, r),
    endD,   INDEX(Calculation!C$2:C9627, r),
    asOf,   MIN($A3573,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9775209.863</v>
      </c>
    </row>
    <row r="3574">
      <c r="A3574" s="19">
        <v>45809.0</v>
      </c>
      <c r="B3574" s="23">
        <v>1.0765E7</v>
      </c>
      <c r="C3574" s="23">
        <f t="shared" si="1"/>
        <v>13014737.53</v>
      </c>
      <c r="D3574" s="18">
        <f>IF(A3574="","",MATCH(A3574,Calculation!B$2:B9627,1))</f>
        <v>2</v>
      </c>
      <c r="E3574" s="23">
        <f t="array" ref="E3574">IF(D3574="","",IF(D3574=1,0,INDEX(Calculation!Q$2:Q9627,D3574-1)))</f>
        <v>3232449.315</v>
      </c>
      <c r="F3574" s="23">
        <f t="array" ref="F3574">IF($A3574="","",
  LET(
    r, $D3574,
    startD, INDEX(Calculation!B$2:B9627, r),
    endD,   INDEX(Calculation!C$2:C9627, r),
    asOf,   MIN($A3574,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9782288.219</v>
      </c>
    </row>
    <row r="3575">
      <c r="A3575" s="19">
        <v>45810.0</v>
      </c>
      <c r="B3575" s="23">
        <v>1.0765E7</v>
      </c>
      <c r="C3575" s="23">
        <f t="shared" si="1"/>
        <v>13021815.89</v>
      </c>
      <c r="D3575" s="18">
        <f>IF(A3575="","",MATCH(A3575,Calculation!B$2:B9627,1))</f>
        <v>2</v>
      </c>
      <c r="E3575" s="23">
        <f t="array" ref="E3575">IF(D3575="","",IF(D3575=1,0,INDEX(Calculation!Q$2:Q9627,D3575-1)))</f>
        <v>3232449.315</v>
      </c>
      <c r="F3575" s="23">
        <f t="array" ref="F3575">IF($A3575="","",
  LET(
    r, $D3575,
    startD, INDEX(Calculation!B$2:B9627, r),
    endD,   INDEX(Calculation!C$2:C9627, r),
    asOf,   MIN($A3575,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9789366.575</v>
      </c>
    </row>
    <row r="3576">
      <c r="A3576" s="19">
        <v>45811.0</v>
      </c>
      <c r="B3576" s="23">
        <v>1.0765E7</v>
      </c>
      <c r="C3576" s="23">
        <f t="shared" si="1"/>
        <v>13028894.25</v>
      </c>
      <c r="D3576" s="18">
        <f>IF(A3576="","",MATCH(A3576,Calculation!B$2:B9627,1))</f>
        <v>2</v>
      </c>
      <c r="E3576" s="23">
        <f t="array" ref="E3576">IF(D3576="","",IF(D3576=1,0,INDEX(Calculation!Q$2:Q9627,D3576-1)))</f>
        <v>3232449.315</v>
      </c>
      <c r="F3576" s="23">
        <f t="array" ref="F3576">IF($A3576="","",
  LET(
    r, $D3576,
    startD, INDEX(Calculation!B$2:B9627, r),
    endD,   INDEX(Calculation!C$2:C9627, r),
    asOf,   MIN($A3576,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9796444.932</v>
      </c>
    </row>
    <row r="3577">
      <c r="A3577" s="19">
        <v>45812.0</v>
      </c>
      <c r="B3577" s="23">
        <v>1.0765E7</v>
      </c>
      <c r="C3577" s="23">
        <f t="shared" si="1"/>
        <v>13035972.6</v>
      </c>
      <c r="D3577" s="18">
        <f>IF(A3577="","",MATCH(A3577,Calculation!B$2:B9627,1))</f>
        <v>2</v>
      </c>
      <c r="E3577" s="23">
        <f t="array" ref="E3577">IF(D3577="","",IF(D3577=1,0,INDEX(Calculation!Q$2:Q9627,D3577-1)))</f>
        <v>3232449.315</v>
      </c>
      <c r="F3577" s="23">
        <f t="array" ref="F3577">IF($A3577="","",
  LET(
    r, $D3577,
    startD, INDEX(Calculation!B$2:B9627, r),
    endD,   INDEX(Calculation!C$2:C9627, r),
    asOf,   MIN($A3577,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9803523.288</v>
      </c>
    </row>
    <row r="3578">
      <c r="A3578" s="19">
        <v>45813.0</v>
      </c>
      <c r="B3578" s="23">
        <v>1.0765E7</v>
      </c>
      <c r="C3578" s="23">
        <f t="shared" si="1"/>
        <v>13043050.96</v>
      </c>
      <c r="D3578" s="18">
        <f>IF(A3578="","",MATCH(A3578,Calculation!B$2:B9627,1))</f>
        <v>2</v>
      </c>
      <c r="E3578" s="23">
        <f t="array" ref="E3578">IF(D3578="","",IF(D3578=1,0,INDEX(Calculation!Q$2:Q9627,D3578-1)))</f>
        <v>3232449.315</v>
      </c>
      <c r="F3578" s="23">
        <f t="array" ref="F3578">IF($A3578="","",
  LET(
    r, $D3578,
    startD, INDEX(Calculation!B$2:B9627, r),
    endD,   INDEX(Calculation!C$2:C9627, r),
    asOf,   MIN($A3578,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9810601.644</v>
      </c>
    </row>
    <row r="3579">
      <c r="A3579" s="19">
        <v>45814.0</v>
      </c>
      <c r="B3579" s="23">
        <v>1.0765E7</v>
      </c>
      <c r="C3579" s="23">
        <f t="shared" si="1"/>
        <v>13050129.32</v>
      </c>
      <c r="D3579" s="18">
        <f>IF(A3579="","",MATCH(A3579,Calculation!B$2:B9627,1))</f>
        <v>2</v>
      </c>
      <c r="E3579" s="23">
        <f t="array" ref="E3579">IF(D3579="","",IF(D3579=1,0,INDEX(Calculation!Q$2:Q9627,D3579-1)))</f>
        <v>3232449.315</v>
      </c>
      <c r="F3579" s="23">
        <f t="array" ref="F3579">IF($A3579="","",
  LET(
    r, $D3579,
    startD, INDEX(Calculation!B$2:B9627, r),
    endD,   INDEX(Calculation!C$2:C9627, r),
    asOf,   MIN($A3579,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9817680</v>
      </c>
    </row>
    <row r="3580">
      <c r="A3580" s="19">
        <v>45815.0</v>
      </c>
      <c r="B3580" s="23">
        <v>1.0765E7</v>
      </c>
      <c r="C3580" s="23">
        <f t="shared" si="1"/>
        <v>13057207.67</v>
      </c>
      <c r="D3580" s="18">
        <f>IF(A3580="","",MATCH(A3580,Calculation!B$2:B9627,1))</f>
        <v>2</v>
      </c>
      <c r="E3580" s="23">
        <f t="array" ref="E3580">IF(D3580="","",IF(D3580=1,0,INDEX(Calculation!Q$2:Q9627,D3580-1)))</f>
        <v>3232449.315</v>
      </c>
      <c r="F3580" s="23">
        <f t="array" ref="F3580">IF($A3580="","",
  LET(
    r, $D3580,
    startD, INDEX(Calculation!B$2:B9627, r),
    endD,   INDEX(Calculation!C$2:C9627, r),
    asOf,   MIN($A3580,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9824758.356</v>
      </c>
    </row>
    <row r="3581">
      <c r="A3581" s="19">
        <v>45816.0</v>
      </c>
      <c r="B3581" s="23">
        <v>1.0765E7</v>
      </c>
      <c r="C3581" s="23">
        <f t="shared" si="1"/>
        <v>13064286.03</v>
      </c>
      <c r="D3581" s="18">
        <f>IF(A3581="","",MATCH(A3581,Calculation!B$2:B9627,1))</f>
        <v>2</v>
      </c>
      <c r="E3581" s="23">
        <f t="array" ref="E3581">IF(D3581="","",IF(D3581=1,0,INDEX(Calculation!Q$2:Q9627,D3581-1)))</f>
        <v>3232449.315</v>
      </c>
      <c r="F3581" s="23">
        <f t="array" ref="F3581">IF($A3581="","",
  LET(
    r, $D3581,
    startD, INDEX(Calculation!B$2:B9627, r),
    endD,   INDEX(Calculation!C$2:C9627, r),
    asOf,   MIN($A3581,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9831836.712</v>
      </c>
    </row>
    <row r="3582">
      <c r="A3582" s="19">
        <v>45817.0</v>
      </c>
      <c r="B3582" s="23">
        <v>1.0765E7</v>
      </c>
      <c r="C3582" s="23">
        <f t="shared" si="1"/>
        <v>13071364.38</v>
      </c>
      <c r="D3582" s="18">
        <f>IF(A3582="","",MATCH(A3582,Calculation!B$2:B9627,1))</f>
        <v>2</v>
      </c>
      <c r="E3582" s="23">
        <f t="array" ref="E3582">IF(D3582="","",IF(D3582=1,0,INDEX(Calculation!Q$2:Q9627,D3582-1)))</f>
        <v>3232449.315</v>
      </c>
      <c r="F3582" s="23">
        <f t="array" ref="F3582">IF($A3582="","",
  LET(
    r, $D3582,
    startD, INDEX(Calculation!B$2:B9627, r),
    endD,   INDEX(Calculation!C$2:C9627, r),
    asOf,   MIN($A3582,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9838915.068</v>
      </c>
    </row>
    <row r="3583">
      <c r="A3583" s="19">
        <v>45818.0</v>
      </c>
      <c r="B3583" s="23">
        <v>1.0765E7</v>
      </c>
      <c r="C3583" s="23">
        <f t="shared" si="1"/>
        <v>13078442.74</v>
      </c>
      <c r="D3583" s="18">
        <f>IF(A3583="","",MATCH(A3583,Calculation!B$2:B9627,1))</f>
        <v>2</v>
      </c>
      <c r="E3583" s="23">
        <f t="array" ref="E3583">IF(D3583="","",IF(D3583=1,0,INDEX(Calculation!Q$2:Q9627,D3583-1)))</f>
        <v>3232449.315</v>
      </c>
      <c r="F3583" s="23">
        <f t="array" ref="F3583">IF($A3583="","",
  LET(
    r, $D3583,
    startD, INDEX(Calculation!B$2:B9627, r),
    endD,   INDEX(Calculation!C$2:C9627, r),
    asOf,   MIN($A3583,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9845993.425</v>
      </c>
    </row>
    <row r="3584">
      <c r="A3584" s="19">
        <v>45819.0</v>
      </c>
      <c r="B3584" s="23">
        <v>1.0765E7</v>
      </c>
      <c r="C3584" s="23">
        <f t="shared" si="1"/>
        <v>13085521.1</v>
      </c>
      <c r="D3584" s="18">
        <f>IF(A3584="","",MATCH(A3584,Calculation!B$2:B9627,1))</f>
        <v>2</v>
      </c>
      <c r="E3584" s="23">
        <f t="array" ref="E3584">IF(D3584="","",IF(D3584=1,0,INDEX(Calculation!Q$2:Q9627,D3584-1)))</f>
        <v>3232449.315</v>
      </c>
      <c r="F3584" s="23">
        <f t="array" ref="F3584">IF($A3584="","",
  LET(
    r, $D3584,
    startD, INDEX(Calculation!B$2:B9627, r),
    endD,   INDEX(Calculation!C$2:C9627, r),
    asOf,   MIN($A3584,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9853071.781</v>
      </c>
    </row>
    <row r="3585">
      <c r="A3585" s="19">
        <v>45820.0</v>
      </c>
      <c r="B3585" s="23">
        <v>1.0765E7</v>
      </c>
      <c r="C3585" s="23">
        <f t="shared" si="1"/>
        <v>13092599.45</v>
      </c>
      <c r="D3585" s="18">
        <f>IF(A3585="","",MATCH(A3585,Calculation!B$2:B9627,1))</f>
        <v>2</v>
      </c>
      <c r="E3585" s="23">
        <f t="array" ref="E3585">IF(D3585="","",IF(D3585=1,0,INDEX(Calculation!Q$2:Q9627,D3585-1)))</f>
        <v>3232449.315</v>
      </c>
      <c r="F3585" s="23">
        <f t="array" ref="F3585">IF($A3585="","",
  LET(
    r, $D3585,
    startD, INDEX(Calculation!B$2:B9627, r),
    endD,   INDEX(Calculation!C$2:C9627, r),
    asOf,   MIN($A3585,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9860150.137</v>
      </c>
    </row>
    <row r="3586">
      <c r="A3586" s="19">
        <v>45821.0</v>
      </c>
      <c r="B3586" s="23">
        <v>1.0765E7</v>
      </c>
      <c r="C3586" s="23">
        <f t="shared" si="1"/>
        <v>13099677.81</v>
      </c>
      <c r="D3586" s="18">
        <f>IF(A3586="","",MATCH(A3586,Calculation!B$2:B9627,1))</f>
        <v>2</v>
      </c>
      <c r="E3586" s="23">
        <f t="array" ref="E3586">IF(D3586="","",IF(D3586=1,0,INDEX(Calculation!Q$2:Q9627,D3586-1)))</f>
        <v>3232449.315</v>
      </c>
      <c r="F3586" s="23">
        <f t="array" ref="F3586">IF($A3586="","",
  LET(
    r, $D3586,
    startD, INDEX(Calculation!B$2:B9627, r),
    endD,   INDEX(Calculation!C$2:C9627, r),
    asOf,   MIN($A3586,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9867228.493</v>
      </c>
    </row>
    <row r="3587">
      <c r="A3587" s="19">
        <v>45822.0</v>
      </c>
      <c r="B3587" s="23">
        <v>1.0765E7</v>
      </c>
      <c r="C3587" s="23">
        <f t="shared" si="1"/>
        <v>13106756.16</v>
      </c>
      <c r="D3587" s="18">
        <f>IF(A3587="","",MATCH(A3587,Calculation!B$2:B9627,1))</f>
        <v>2</v>
      </c>
      <c r="E3587" s="23">
        <f t="array" ref="E3587">IF(D3587="","",IF(D3587=1,0,INDEX(Calculation!Q$2:Q9627,D3587-1)))</f>
        <v>3232449.315</v>
      </c>
      <c r="F3587" s="23">
        <f t="array" ref="F3587">IF($A3587="","",
  LET(
    r, $D3587,
    startD, INDEX(Calculation!B$2:B9627, r),
    endD,   INDEX(Calculation!C$2:C9627, r),
    asOf,   MIN($A3587,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9874306.849</v>
      </c>
    </row>
    <row r="3588">
      <c r="A3588" s="19">
        <v>45823.0</v>
      </c>
      <c r="B3588" s="23">
        <v>1.0765E7</v>
      </c>
      <c r="C3588" s="23">
        <f t="shared" si="1"/>
        <v>13113834.52</v>
      </c>
      <c r="D3588" s="18">
        <f>IF(A3588="","",MATCH(A3588,Calculation!B$2:B9627,1))</f>
        <v>2</v>
      </c>
      <c r="E3588" s="23">
        <f t="array" ref="E3588">IF(D3588="","",IF(D3588=1,0,INDEX(Calculation!Q$2:Q9627,D3588-1)))</f>
        <v>3232449.315</v>
      </c>
      <c r="F3588" s="23">
        <f t="array" ref="F3588">IF($A3588="","",
  LET(
    r, $D3588,
    startD, INDEX(Calculation!B$2:B9627, r),
    endD,   INDEX(Calculation!C$2:C9627, r),
    asOf,   MIN($A3588,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9881385.205</v>
      </c>
    </row>
    <row r="3589">
      <c r="A3589" s="19">
        <v>45824.0</v>
      </c>
      <c r="B3589" s="23">
        <v>1.0765E7</v>
      </c>
      <c r="C3589" s="23">
        <f t="shared" si="1"/>
        <v>13120912.88</v>
      </c>
      <c r="D3589" s="18">
        <f>IF(A3589="","",MATCH(A3589,Calculation!B$2:B9627,1))</f>
        <v>2</v>
      </c>
      <c r="E3589" s="23">
        <f t="array" ref="E3589">IF(D3589="","",IF(D3589=1,0,INDEX(Calculation!Q$2:Q9627,D3589-1)))</f>
        <v>3232449.315</v>
      </c>
      <c r="F3589" s="23">
        <f t="array" ref="F3589">IF($A3589="","",
  LET(
    r, $D3589,
    startD, INDEX(Calculation!B$2:B9627, r),
    endD,   INDEX(Calculation!C$2:C9627, r),
    asOf,   MIN($A3589,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9888463.562</v>
      </c>
    </row>
    <row r="3590">
      <c r="A3590" s="19">
        <v>45825.0</v>
      </c>
      <c r="B3590" s="23">
        <v>1.0765E7</v>
      </c>
      <c r="C3590" s="23">
        <f t="shared" si="1"/>
        <v>13127991.23</v>
      </c>
      <c r="D3590" s="18">
        <f>IF(A3590="","",MATCH(A3590,Calculation!B$2:B9627,1))</f>
        <v>2</v>
      </c>
      <c r="E3590" s="23">
        <f t="array" ref="E3590">IF(D3590="","",IF(D3590=1,0,INDEX(Calculation!Q$2:Q9627,D3590-1)))</f>
        <v>3232449.315</v>
      </c>
      <c r="F3590" s="23">
        <f t="array" ref="F3590">IF($A3590="","",
  LET(
    r, $D3590,
    startD, INDEX(Calculation!B$2:B9627, r),
    endD,   INDEX(Calculation!C$2:C9627, r),
    asOf,   MIN($A3590,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9895541.918</v>
      </c>
    </row>
    <row r="3591">
      <c r="A3591" s="19">
        <v>45826.0</v>
      </c>
      <c r="B3591" s="23">
        <v>1.0765E7</v>
      </c>
      <c r="C3591" s="23">
        <f t="shared" si="1"/>
        <v>13135069.59</v>
      </c>
      <c r="D3591" s="18">
        <f>IF(A3591="","",MATCH(A3591,Calculation!B$2:B9627,1))</f>
        <v>2</v>
      </c>
      <c r="E3591" s="23">
        <f t="array" ref="E3591">IF(D3591="","",IF(D3591=1,0,INDEX(Calculation!Q$2:Q9627,D3591-1)))</f>
        <v>3232449.315</v>
      </c>
      <c r="F3591" s="23">
        <f t="array" ref="F3591">IF($A3591="","",
  LET(
    r, $D3591,
    startD, INDEX(Calculation!B$2:B9627, r),
    endD,   INDEX(Calculation!C$2:C9627, r),
    asOf,   MIN($A3591,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9902620.274</v>
      </c>
    </row>
    <row r="3592">
      <c r="A3592" s="19">
        <v>45827.0</v>
      </c>
      <c r="B3592" s="23">
        <v>1.0765E7</v>
      </c>
      <c r="C3592" s="23">
        <f t="shared" si="1"/>
        <v>13142147.95</v>
      </c>
      <c r="D3592" s="18">
        <f>IF(A3592="","",MATCH(A3592,Calculation!B$2:B9627,1))</f>
        <v>2</v>
      </c>
      <c r="E3592" s="23">
        <f t="array" ref="E3592">IF(D3592="","",IF(D3592=1,0,INDEX(Calculation!Q$2:Q9627,D3592-1)))</f>
        <v>3232449.315</v>
      </c>
      <c r="F3592" s="23">
        <f t="array" ref="F3592">IF($A3592="","",
  LET(
    r, $D3592,
    startD, INDEX(Calculation!B$2:B9627, r),
    endD,   INDEX(Calculation!C$2:C9627, r),
    asOf,   MIN($A3592,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9909698.63</v>
      </c>
    </row>
    <row r="3593">
      <c r="A3593" s="19">
        <v>45828.0</v>
      </c>
      <c r="B3593" s="23">
        <v>1.0765E7</v>
      </c>
      <c r="C3593" s="23">
        <f t="shared" si="1"/>
        <v>13149226.3</v>
      </c>
      <c r="D3593" s="18">
        <f>IF(A3593="","",MATCH(A3593,Calculation!B$2:B9627,1))</f>
        <v>2</v>
      </c>
      <c r="E3593" s="23">
        <f t="array" ref="E3593">IF(D3593="","",IF(D3593=1,0,INDEX(Calculation!Q$2:Q9627,D3593-1)))</f>
        <v>3232449.315</v>
      </c>
      <c r="F3593" s="23">
        <f t="array" ref="F3593">IF($A3593="","",
  LET(
    r, $D3593,
    startD, INDEX(Calculation!B$2:B9627, r),
    endD,   INDEX(Calculation!C$2:C9627, r),
    asOf,   MIN($A3593,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9916776.986</v>
      </c>
    </row>
    <row r="3594">
      <c r="A3594" s="19">
        <v>45829.0</v>
      </c>
      <c r="B3594" s="23">
        <v>1.0765E7</v>
      </c>
      <c r="C3594" s="23">
        <f t="shared" si="1"/>
        <v>13156304.66</v>
      </c>
      <c r="D3594" s="18">
        <f>IF(A3594="","",MATCH(A3594,Calculation!B$2:B9627,1))</f>
        <v>2</v>
      </c>
      <c r="E3594" s="23">
        <f t="array" ref="E3594">IF(D3594="","",IF(D3594=1,0,INDEX(Calculation!Q$2:Q9627,D3594-1)))</f>
        <v>3232449.315</v>
      </c>
      <c r="F3594" s="23">
        <f t="array" ref="F3594">IF($A3594="","",
  LET(
    r, $D3594,
    startD, INDEX(Calculation!B$2:B9627, r),
    endD,   INDEX(Calculation!C$2:C9627, r),
    asOf,   MIN($A3594,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9923855.342</v>
      </c>
    </row>
    <row r="3595">
      <c r="A3595" s="19">
        <v>45830.0</v>
      </c>
      <c r="B3595" s="23">
        <v>1.0765E7</v>
      </c>
      <c r="C3595" s="23">
        <f t="shared" si="1"/>
        <v>13163383.01</v>
      </c>
      <c r="D3595" s="18">
        <f>IF(A3595="","",MATCH(A3595,Calculation!B$2:B9627,1))</f>
        <v>2</v>
      </c>
      <c r="E3595" s="23">
        <f t="array" ref="E3595">IF(D3595="","",IF(D3595=1,0,INDEX(Calculation!Q$2:Q9627,D3595-1)))</f>
        <v>3232449.315</v>
      </c>
      <c r="F3595" s="23">
        <f t="array" ref="F3595">IF($A3595="","",
  LET(
    r, $D3595,
    startD, INDEX(Calculation!B$2:B9627, r),
    endD,   INDEX(Calculation!C$2:C9627, r),
    asOf,   MIN($A3595,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9930933.699</v>
      </c>
    </row>
    <row r="3596">
      <c r="A3596" s="19">
        <v>45831.0</v>
      </c>
      <c r="B3596" s="23">
        <v>1.0765E7</v>
      </c>
      <c r="C3596" s="23">
        <f t="shared" si="1"/>
        <v>13170461.37</v>
      </c>
      <c r="D3596" s="18">
        <f>IF(A3596="","",MATCH(A3596,Calculation!B$2:B9627,1))</f>
        <v>2</v>
      </c>
      <c r="E3596" s="23">
        <f t="array" ref="E3596">IF(D3596="","",IF(D3596=1,0,INDEX(Calculation!Q$2:Q9627,D3596-1)))</f>
        <v>3232449.315</v>
      </c>
      <c r="F3596" s="23">
        <f t="array" ref="F3596">IF($A3596="","",
  LET(
    r, $D3596,
    startD, INDEX(Calculation!B$2:B9627, r),
    endD,   INDEX(Calculation!C$2:C9627, r),
    asOf,   MIN($A3596,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9938012.055</v>
      </c>
    </row>
    <row r="3597">
      <c r="A3597" s="19">
        <v>45832.0</v>
      </c>
      <c r="B3597" s="23">
        <v>1.0765E7</v>
      </c>
      <c r="C3597" s="23">
        <f t="shared" si="1"/>
        <v>13177539.73</v>
      </c>
      <c r="D3597" s="18">
        <f>IF(A3597="","",MATCH(A3597,Calculation!B$2:B9627,1))</f>
        <v>2</v>
      </c>
      <c r="E3597" s="23">
        <f t="array" ref="E3597">IF(D3597="","",IF(D3597=1,0,INDEX(Calculation!Q$2:Q9627,D3597-1)))</f>
        <v>3232449.315</v>
      </c>
      <c r="F3597" s="23">
        <f t="array" ref="F3597">IF($A3597="","",
  LET(
    r, $D3597,
    startD, INDEX(Calculation!B$2:B9627, r),
    endD,   INDEX(Calculation!C$2:C9627, r),
    asOf,   MIN($A3597,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9945090.411</v>
      </c>
    </row>
    <row r="3598">
      <c r="A3598" s="19">
        <v>45833.0</v>
      </c>
      <c r="B3598" s="23">
        <v>1.0765E7</v>
      </c>
      <c r="C3598" s="23">
        <f t="shared" si="1"/>
        <v>13184618.08</v>
      </c>
      <c r="D3598" s="18">
        <f>IF(A3598="","",MATCH(A3598,Calculation!B$2:B9627,1))</f>
        <v>2</v>
      </c>
      <c r="E3598" s="23">
        <f t="array" ref="E3598">IF(D3598="","",IF(D3598=1,0,INDEX(Calculation!Q$2:Q9627,D3598-1)))</f>
        <v>3232449.315</v>
      </c>
      <c r="F3598" s="23">
        <f t="array" ref="F3598">IF($A3598="","",
  LET(
    r, $D3598,
    startD, INDEX(Calculation!B$2:B9627, r),
    endD,   INDEX(Calculation!C$2:C9627, r),
    asOf,   MIN($A3598,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9952168.767</v>
      </c>
    </row>
    <row r="3599">
      <c r="A3599" s="19">
        <v>45834.0</v>
      </c>
      <c r="B3599" s="23">
        <v>1.0765E7</v>
      </c>
      <c r="C3599" s="23">
        <f t="shared" si="1"/>
        <v>13191696.44</v>
      </c>
      <c r="D3599" s="18">
        <f>IF(A3599="","",MATCH(A3599,Calculation!B$2:B9627,1))</f>
        <v>2</v>
      </c>
      <c r="E3599" s="23">
        <f t="array" ref="E3599">IF(D3599="","",IF(D3599=1,0,INDEX(Calculation!Q$2:Q9627,D3599-1)))</f>
        <v>3232449.315</v>
      </c>
      <c r="F3599" s="23">
        <f t="array" ref="F3599">IF($A3599="","",
  LET(
    r, $D3599,
    startD, INDEX(Calculation!B$2:B9627, r),
    endD,   INDEX(Calculation!C$2:C9627, r),
    asOf,   MIN($A3599,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9959247.123</v>
      </c>
    </row>
    <row r="3600">
      <c r="A3600" s="19">
        <v>45835.0</v>
      </c>
      <c r="B3600" s="23">
        <v>1.0765E7</v>
      </c>
      <c r="C3600" s="23">
        <f t="shared" si="1"/>
        <v>13198774.79</v>
      </c>
      <c r="D3600" s="18">
        <f>IF(A3600="","",MATCH(A3600,Calculation!B$2:B9627,1))</f>
        <v>2</v>
      </c>
      <c r="E3600" s="23">
        <f t="array" ref="E3600">IF(D3600="","",IF(D3600=1,0,INDEX(Calculation!Q$2:Q9627,D3600-1)))</f>
        <v>3232449.315</v>
      </c>
      <c r="F3600" s="23">
        <f t="array" ref="F3600">IF($A3600="","",
  LET(
    r, $D3600,
    startD, INDEX(Calculation!B$2:B9627, r),
    endD,   INDEX(Calculation!C$2:C9627, r),
    asOf,   MIN($A3600,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9966325.479</v>
      </c>
    </row>
    <row r="3601">
      <c r="A3601" s="19">
        <v>45836.0</v>
      </c>
      <c r="B3601" s="23">
        <v>1.0765E7</v>
      </c>
      <c r="C3601" s="23">
        <f t="shared" si="1"/>
        <v>13205853.15</v>
      </c>
      <c r="D3601" s="18">
        <f>IF(A3601="","",MATCH(A3601,Calculation!B$2:B9627,1))</f>
        <v>2</v>
      </c>
      <c r="E3601" s="23">
        <f t="array" ref="E3601">IF(D3601="","",IF(D3601=1,0,INDEX(Calculation!Q$2:Q9627,D3601-1)))</f>
        <v>3232449.315</v>
      </c>
      <c r="F3601" s="23">
        <f t="array" ref="F3601">IF($A3601="","",
  LET(
    r, $D3601,
    startD, INDEX(Calculation!B$2:B9627, r),
    endD,   INDEX(Calculation!C$2:C9627, r),
    asOf,   MIN($A3601,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9973403.836</v>
      </c>
    </row>
    <row r="3602">
      <c r="A3602" s="19">
        <v>45837.0</v>
      </c>
      <c r="B3602" s="23">
        <v>1.0765E7</v>
      </c>
      <c r="C3602" s="23">
        <f t="shared" si="1"/>
        <v>13212931.51</v>
      </c>
      <c r="D3602" s="18">
        <f>IF(A3602="","",MATCH(A3602,Calculation!B$2:B9627,1))</f>
        <v>2</v>
      </c>
      <c r="E3602" s="23">
        <f t="array" ref="E3602">IF(D3602="","",IF(D3602=1,0,INDEX(Calculation!Q$2:Q9627,D3602-1)))</f>
        <v>3232449.315</v>
      </c>
      <c r="F3602" s="23">
        <f t="array" ref="F3602">IF($A3602="","",
  LET(
    r, $D3602,
    startD, INDEX(Calculation!B$2:B9627, r),
    endD,   INDEX(Calculation!C$2:C9627, r),
    asOf,   MIN($A3602,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9980482.192</v>
      </c>
    </row>
    <row r="3603">
      <c r="A3603" s="19">
        <v>45838.0</v>
      </c>
      <c r="B3603" s="23">
        <v>1.0765E7</v>
      </c>
      <c r="C3603" s="23">
        <f t="shared" si="1"/>
        <v>13220009.86</v>
      </c>
      <c r="D3603" s="18">
        <f>IF(A3603="","",MATCH(A3603,Calculation!B$2:B9627,1))</f>
        <v>2</v>
      </c>
      <c r="E3603" s="23">
        <f t="array" ref="E3603">IF(D3603="","",IF(D3603=1,0,INDEX(Calculation!Q$2:Q9627,D3603-1)))</f>
        <v>3232449.315</v>
      </c>
      <c r="F3603" s="23">
        <f t="array" ref="F3603">IF($A3603="","",
  LET(
    r, $D3603,
    startD, INDEX(Calculation!B$2:B9627, r),
    endD,   INDEX(Calculation!C$2:C9627, r),
    asOf,   MIN($A3603,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9987560.548</v>
      </c>
    </row>
    <row r="3604">
      <c r="A3604" s="19">
        <v>45839.0</v>
      </c>
      <c r="B3604" s="23">
        <v>1.0765E7</v>
      </c>
      <c r="C3604" s="23">
        <f t="shared" si="1"/>
        <v>13227088.22</v>
      </c>
      <c r="D3604" s="18">
        <f>IF(A3604="","",MATCH(A3604,Calculation!B$2:B9627,1))</f>
        <v>2</v>
      </c>
      <c r="E3604" s="23">
        <f t="array" ref="E3604">IF(D3604="","",IF(D3604=1,0,INDEX(Calculation!Q$2:Q9627,D3604-1)))</f>
        <v>3232449.315</v>
      </c>
      <c r="F3604" s="23">
        <f t="array" ref="F3604">IF($A3604="","",
  LET(
    r, $D3604,
    startD, INDEX(Calculation!B$2:B9627, r),
    endD,   INDEX(Calculation!C$2:C9627, r),
    asOf,   MIN($A3604,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9994638.904</v>
      </c>
    </row>
    <row r="3605">
      <c r="A3605" s="19">
        <v>45840.0</v>
      </c>
      <c r="B3605" s="23">
        <v>1.0765E7</v>
      </c>
      <c r="C3605" s="23">
        <f t="shared" si="1"/>
        <v>13234166.58</v>
      </c>
      <c r="D3605" s="18">
        <f>IF(A3605="","",MATCH(A3605,Calculation!B$2:B9627,1))</f>
        <v>2</v>
      </c>
      <c r="E3605" s="23">
        <f t="array" ref="E3605">IF(D3605="","",IF(D3605=1,0,INDEX(Calculation!Q$2:Q9627,D3605-1)))</f>
        <v>3232449.315</v>
      </c>
      <c r="F3605" s="23">
        <f t="array" ref="F3605">IF($A3605="","",
  LET(
    r, $D3605,
    startD, INDEX(Calculation!B$2:B9627, r),
    endD,   INDEX(Calculation!C$2:C9627, r),
    asOf,   MIN($A3605,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10001717.26</v>
      </c>
    </row>
    <row r="3606">
      <c r="A3606" s="19">
        <v>45841.0</v>
      </c>
      <c r="B3606" s="23">
        <v>1.0765E7</v>
      </c>
      <c r="C3606" s="23">
        <f t="shared" si="1"/>
        <v>13241244.93</v>
      </c>
      <c r="D3606" s="18">
        <f>IF(A3606="","",MATCH(A3606,Calculation!B$2:B9627,1))</f>
        <v>2</v>
      </c>
      <c r="E3606" s="23">
        <f t="array" ref="E3606">IF(D3606="","",IF(D3606=1,0,INDEX(Calculation!Q$2:Q9627,D3606-1)))</f>
        <v>3232449.315</v>
      </c>
      <c r="F3606" s="23">
        <f t="array" ref="F3606">IF($A3606="","",
  LET(
    r, $D3606,
    startD, INDEX(Calculation!B$2:B9627, r),
    endD,   INDEX(Calculation!C$2:C9627, r),
    asOf,   MIN($A3606,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10008795.62</v>
      </c>
    </row>
    <row r="3607">
      <c r="A3607" s="19">
        <v>45842.0</v>
      </c>
      <c r="B3607" s="23">
        <v>1.0765E7</v>
      </c>
      <c r="C3607" s="23">
        <f t="shared" si="1"/>
        <v>13248323.29</v>
      </c>
      <c r="D3607" s="18">
        <f>IF(A3607="","",MATCH(A3607,Calculation!B$2:B9627,1))</f>
        <v>2</v>
      </c>
      <c r="E3607" s="23">
        <f t="array" ref="E3607">IF(D3607="","",IF(D3607=1,0,INDEX(Calculation!Q$2:Q9627,D3607-1)))</f>
        <v>3232449.315</v>
      </c>
      <c r="F3607" s="23">
        <f t="array" ref="F3607">IF($A3607="","",
  LET(
    r, $D3607,
    startD, INDEX(Calculation!B$2:B9627, r),
    endD,   INDEX(Calculation!C$2:C9627, r),
    asOf,   MIN($A3607,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10015873.97</v>
      </c>
    </row>
    <row r="3608">
      <c r="A3608" s="19">
        <v>45843.0</v>
      </c>
      <c r="B3608" s="23">
        <v>1.0765E7</v>
      </c>
      <c r="C3608" s="23">
        <f t="shared" si="1"/>
        <v>13255401.64</v>
      </c>
      <c r="D3608" s="18">
        <f>IF(A3608="","",MATCH(A3608,Calculation!B$2:B9627,1))</f>
        <v>2</v>
      </c>
      <c r="E3608" s="23">
        <f t="array" ref="E3608">IF(D3608="","",IF(D3608=1,0,INDEX(Calculation!Q$2:Q9627,D3608-1)))</f>
        <v>3232449.315</v>
      </c>
      <c r="F3608" s="23">
        <f t="array" ref="F3608">IF($A3608="","",
  LET(
    r, $D3608,
    startD, INDEX(Calculation!B$2:B9627, r),
    endD,   INDEX(Calculation!C$2:C9627, r),
    asOf,   MIN($A3608,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10022952.33</v>
      </c>
    </row>
    <row r="3609">
      <c r="A3609" s="19">
        <v>45844.0</v>
      </c>
      <c r="B3609" s="23">
        <v>1.0765E7</v>
      </c>
      <c r="C3609" s="23">
        <f t="shared" si="1"/>
        <v>13262480</v>
      </c>
      <c r="D3609" s="18">
        <f>IF(A3609="","",MATCH(A3609,Calculation!B$2:B9627,1))</f>
        <v>2</v>
      </c>
      <c r="E3609" s="23">
        <f t="array" ref="E3609">IF(D3609="","",IF(D3609=1,0,INDEX(Calculation!Q$2:Q9627,D3609-1)))</f>
        <v>3232449.315</v>
      </c>
      <c r="F3609" s="23">
        <f t="array" ref="F3609">IF($A3609="","",
  LET(
    r, $D3609,
    startD, INDEX(Calculation!B$2:B9627, r),
    endD,   INDEX(Calculation!C$2:C9627, r),
    asOf,   MIN($A3609,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10030030.68</v>
      </c>
    </row>
    <row r="3610">
      <c r="A3610" s="19">
        <v>45845.0</v>
      </c>
      <c r="B3610" s="23">
        <v>1.0765E7</v>
      </c>
      <c r="C3610" s="23">
        <f t="shared" si="1"/>
        <v>13269558.36</v>
      </c>
      <c r="D3610" s="18">
        <f>IF(A3610="","",MATCH(A3610,Calculation!B$2:B9627,1))</f>
        <v>2</v>
      </c>
      <c r="E3610" s="23">
        <f t="array" ref="E3610">IF(D3610="","",IF(D3610=1,0,INDEX(Calculation!Q$2:Q9627,D3610-1)))</f>
        <v>3232449.315</v>
      </c>
      <c r="F3610" s="23">
        <f t="array" ref="F3610">IF($A3610="","",
  LET(
    r, $D3610,
    startD, INDEX(Calculation!B$2:B9627, r),
    endD,   INDEX(Calculation!C$2:C9627, r),
    asOf,   MIN($A3610,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10037109.04</v>
      </c>
    </row>
    <row r="3611">
      <c r="A3611" s="19">
        <v>45846.0</v>
      </c>
      <c r="B3611" s="23">
        <v>1.0765E7</v>
      </c>
      <c r="C3611" s="23">
        <f t="shared" si="1"/>
        <v>13276636.71</v>
      </c>
      <c r="D3611" s="18">
        <f>IF(A3611="","",MATCH(A3611,Calculation!B$2:B9627,1))</f>
        <v>2</v>
      </c>
      <c r="E3611" s="23">
        <f t="array" ref="E3611">IF(D3611="","",IF(D3611=1,0,INDEX(Calculation!Q$2:Q9627,D3611-1)))</f>
        <v>3232449.315</v>
      </c>
      <c r="F3611" s="23">
        <f t="array" ref="F3611">IF($A3611="","",
  LET(
    r, $D3611,
    startD, INDEX(Calculation!B$2:B9627, r),
    endD,   INDEX(Calculation!C$2:C9627, r),
    asOf,   MIN($A3611,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10044187.4</v>
      </c>
    </row>
    <row r="3612">
      <c r="A3612" s="19">
        <v>45847.0</v>
      </c>
      <c r="B3612" s="23">
        <v>1.0765E7</v>
      </c>
      <c r="C3612" s="23">
        <f t="shared" si="1"/>
        <v>13283715.07</v>
      </c>
      <c r="D3612" s="18">
        <f>IF(A3612="","",MATCH(A3612,Calculation!B$2:B9627,1))</f>
        <v>2</v>
      </c>
      <c r="E3612" s="23">
        <f t="array" ref="E3612">IF(D3612="","",IF(D3612=1,0,INDEX(Calculation!Q$2:Q9627,D3612-1)))</f>
        <v>3232449.315</v>
      </c>
      <c r="F3612" s="23">
        <f t="array" ref="F3612">IF($A3612="","",
  LET(
    r, $D3612,
    startD, INDEX(Calculation!B$2:B9627, r),
    endD,   INDEX(Calculation!C$2:C9627, r),
    asOf,   MIN($A3612,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10051265.75</v>
      </c>
    </row>
    <row r="3613">
      <c r="A3613" s="19">
        <v>45848.0</v>
      </c>
      <c r="B3613" s="23">
        <v>1.0765E7</v>
      </c>
      <c r="C3613" s="23">
        <f t="shared" si="1"/>
        <v>13290793.42</v>
      </c>
      <c r="D3613" s="18">
        <f>IF(A3613="","",MATCH(A3613,Calculation!B$2:B9627,1))</f>
        <v>2</v>
      </c>
      <c r="E3613" s="23">
        <f t="array" ref="E3613">IF(D3613="","",IF(D3613=1,0,INDEX(Calculation!Q$2:Q9627,D3613-1)))</f>
        <v>3232449.315</v>
      </c>
      <c r="F3613" s="23">
        <f t="array" ref="F3613">IF($A3613="","",
  LET(
    r, $D3613,
    startD, INDEX(Calculation!B$2:B9627, r),
    endD,   INDEX(Calculation!C$2:C9627, r),
    asOf,   MIN($A3613,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10058344.11</v>
      </c>
    </row>
    <row r="3614">
      <c r="A3614" s="19">
        <v>45849.0</v>
      </c>
      <c r="B3614" s="23">
        <v>1.0765E7</v>
      </c>
      <c r="C3614" s="23">
        <f t="shared" si="1"/>
        <v>13297871.78</v>
      </c>
      <c r="D3614" s="18">
        <f>IF(A3614="","",MATCH(A3614,Calculation!B$2:B9627,1))</f>
        <v>2</v>
      </c>
      <c r="E3614" s="23">
        <f t="array" ref="E3614">IF(D3614="","",IF(D3614=1,0,INDEX(Calculation!Q$2:Q9627,D3614-1)))</f>
        <v>3232449.315</v>
      </c>
      <c r="F3614" s="23">
        <f t="array" ref="F3614">IF($A3614="","",
  LET(
    r, $D3614,
    startD, INDEX(Calculation!B$2:B9627, r),
    endD,   INDEX(Calculation!C$2:C9627, r),
    asOf,   MIN($A3614,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10065422.47</v>
      </c>
    </row>
    <row r="3615">
      <c r="A3615" s="19">
        <v>45850.0</v>
      </c>
      <c r="B3615" s="23">
        <v>1.0765E7</v>
      </c>
      <c r="C3615" s="23">
        <f t="shared" si="1"/>
        <v>13304950.14</v>
      </c>
      <c r="D3615" s="18">
        <f>IF(A3615="","",MATCH(A3615,Calculation!B$2:B9627,1))</f>
        <v>2</v>
      </c>
      <c r="E3615" s="23">
        <f t="array" ref="E3615">IF(D3615="","",IF(D3615=1,0,INDEX(Calculation!Q$2:Q9627,D3615-1)))</f>
        <v>3232449.315</v>
      </c>
      <c r="F3615" s="23">
        <f t="array" ref="F3615">IF($A3615="","",
  LET(
    r, $D3615,
    startD, INDEX(Calculation!B$2:B9627, r),
    endD,   INDEX(Calculation!C$2:C9627, r),
    asOf,   MIN($A3615,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10072500.82</v>
      </c>
    </row>
    <row r="3616">
      <c r="A3616" s="19">
        <v>45851.0</v>
      </c>
      <c r="B3616" s="23">
        <v>1.0765E7</v>
      </c>
      <c r="C3616" s="23">
        <f t="shared" si="1"/>
        <v>13312028.49</v>
      </c>
      <c r="D3616" s="18">
        <f>IF(A3616="","",MATCH(A3616,Calculation!B$2:B9627,1))</f>
        <v>2</v>
      </c>
      <c r="E3616" s="23">
        <f t="array" ref="E3616">IF(D3616="","",IF(D3616=1,0,INDEX(Calculation!Q$2:Q9627,D3616-1)))</f>
        <v>3232449.315</v>
      </c>
      <c r="F3616" s="23">
        <f t="array" ref="F3616">IF($A3616="","",
  LET(
    r, $D3616,
    startD, INDEX(Calculation!B$2:B9627, r),
    endD,   INDEX(Calculation!C$2:C9627, r),
    asOf,   MIN($A3616,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10079579.18</v>
      </c>
    </row>
    <row r="3617">
      <c r="A3617" s="19">
        <v>45852.0</v>
      </c>
      <c r="B3617" s="23">
        <v>1.0765E7</v>
      </c>
      <c r="C3617" s="23">
        <f t="shared" si="1"/>
        <v>13319106.85</v>
      </c>
      <c r="D3617" s="18">
        <f>IF(A3617="","",MATCH(A3617,Calculation!B$2:B9627,1))</f>
        <v>2</v>
      </c>
      <c r="E3617" s="23">
        <f t="array" ref="E3617">IF(D3617="","",IF(D3617=1,0,INDEX(Calculation!Q$2:Q9627,D3617-1)))</f>
        <v>3232449.315</v>
      </c>
      <c r="F3617" s="23">
        <f t="array" ref="F3617">IF($A3617="","",
  LET(
    r, $D3617,
    startD, INDEX(Calculation!B$2:B9627, r),
    endD,   INDEX(Calculation!C$2:C9627, r),
    asOf,   MIN($A3617,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10086657.53</v>
      </c>
    </row>
    <row r="3618">
      <c r="A3618" s="19">
        <v>45853.0</v>
      </c>
      <c r="B3618" s="23">
        <v>1.0765E7</v>
      </c>
      <c r="C3618" s="23">
        <f t="shared" si="1"/>
        <v>13326185.21</v>
      </c>
      <c r="D3618" s="18">
        <f>IF(A3618="","",MATCH(A3618,Calculation!B$2:B9627,1))</f>
        <v>2</v>
      </c>
      <c r="E3618" s="23">
        <f t="array" ref="E3618">IF(D3618="","",IF(D3618=1,0,INDEX(Calculation!Q$2:Q9627,D3618-1)))</f>
        <v>3232449.315</v>
      </c>
      <c r="F3618" s="23">
        <f t="array" ref="F3618">IF($A3618="","",
  LET(
    r, $D3618,
    startD, INDEX(Calculation!B$2:B9627, r),
    endD,   INDEX(Calculation!C$2:C9627, r),
    asOf,   MIN($A3618,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10093735.89</v>
      </c>
    </row>
    <row r="3619">
      <c r="A3619" s="19">
        <v>45854.0</v>
      </c>
      <c r="B3619" s="23">
        <v>1.0765E7</v>
      </c>
      <c r="C3619" s="23">
        <f t="shared" si="1"/>
        <v>13333263.56</v>
      </c>
      <c r="D3619" s="18">
        <f>IF(A3619="","",MATCH(A3619,Calculation!B$2:B9627,1))</f>
        <v>2</v>
      </c>
      <c r="E3619" s="23">
        <f t="array" ref="E3619">IF(D3619="","",IF(D3619=1,0,INDEX(Calculation!Q$2:Q9627,D3619-1)))</f>
        <v>3232449.315</v>
      </c>
      <c r="F3619" s="23">
        <f t="array" ref="F3619">IF($A3619="","",
  LET(
    r, $D3619,
    startD, INDEX(Calculation!B$2:B9627, r),
    endD,   INDEX(Calculation!C$2:C9627, r),
    asOf,   MIN($A3619,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10100814.25</v>
      </c>
    </row>
    <row r="3620">
      <c r="A3620" s="19">
        <v>45855.0</v>
      </c>
      <c r="B3620" s="23">
        <v>1.0765E7</v>
      </c>
      <c r="C3620" s="23">
        <f t="shared" si="1"/>
        <v>13340341.92</v>
      </c>
      <c r="D3620" s="18">
        <f>IF(A3620="","",MATCH(A3620,Calculation!B$2:B9627,1))</f>
        <v>2</v>
      </c>
      <c r="E3620" s="23">
        <f t="array" ref="E3620">IF(D3620="","",IF(D3620=1,0,INDEX(Calculation!Q$2:Q9627,D3620-1)))</f>
        <v>3232449.315</v>
      </c>
      <c r="F3620" s="23">
        <f t="array" ref="F3620">IF($A3620="","",
  LET(
    r, $D3620,
    startD, INDEX(Calculation!B$2:B9627, r),
    endD,   INDEX(Calculation!C$2:C9627, r),
    asOf,   MIN($A3620,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10107892.6</v>
      </c>
    </row>
    <row r="3621">
      <c r="A3621" s="19">
        <v>45856.0</v>
      </c>
      <c r="B3621" s="23">
        <v>1.0765E7</v>
      </c>
      <c r="C3621" s="23">
        <f t="shared" si="1"/>
        <v>13347420.27</v>
      </c>
      <c r="D3621" s="18">
        <f>IF(A3621="","",MATCH(A3621,Calculation!B$2:B9627,1))</f>
        <v>2</v>
      </c>
      <c r="E3621" s="23">
        <f t="array" ref="E3621">IF(D3621="","",IF(D3621=1,0,INDEX(Calculation!Q$2:Q9627,D3621-1)))</f>
        <v>3232449.315</v>
      </c>
      <c r="F3621" s="23">
        <f t="array" ref="F3621">IF($A3621="","",
  LET(
    r, $D3621,
    startD, INDEX(Calculation!B$2:B9627, r),
    endD,   INDEX(Calculation!C$2:C9627, r),
    asOf,   MIN($A3621,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10114970.96</v>
      </c>
    </row>
    <row r="3622">
      <c r="A3622" s="19">
        <v>45857.0</v>
      </c>
      <c r="B3622" s="23">
        <v>1.0765E7</v>
      </c>
      <c r="C3622" s="23">
        <f t="shared" si="1"/>
        <v>13354498.63</v>
      </c>
      <c r="D3622" s="18">
        <f>IF(A3622="","",MATCH(A3622,Calculation!B$2:B9627,1))</f>
        <v>2</v>
      </c>
      <c r="E3622" s="23">
        <f t="array" ref="E3622">IF(D3622="","",IF(D3622=1,0,INDEX(Calculation!Q$2:Q9627,D3622-1)))</f>
        <v>3232449.315</v>
      </c>
      <c r="F3622" s="23">
        <f t="array" ref="F3622">IF($A3622="","",
  LET(
    r, $D3622,
    startD, INDEX(Calculation!B$2:B9627, r),
    endD,   INDEX(Calculation!C$2:C9627, r),
    asOf,   MIN($A3622,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10122049.32</v>
      </c>
    </row>
    <row r="3623">
      <c r="A3623" s="19">
        <v>45858.0</v>
      </c>
      <c r="B3623" s="23">
        <v>1.0765E7</v>
      </c>
      <c r="C3623" s="23">
        <f t="shared" si="1"/>
        <v>13361576.99</v>
      </c>
      <c r="D3623" s="18">
        <f>IF(A3623="","",MATCH(A3623,Calculation!B$2:B9627,1))</f>
        <v>2</v>
      </c>
      <c r="E3623" s="23">
        <f t="array" ref="E3623">IF(D3623="","",IF(D3623=1,0,INDEX(Calculation!Q$2:Q9627,D3623-1)))</f>
        <v>3232449.315</v>
      </c>
      <c r="F3623" s="23">
        <f t="array" ref="F3623">IF($A3623="","",
  LET(
    r, $D3623,
    startD, INDEX(Calculation!B$2:B9627, r),
    endD,   INDEX(Calculation!C$2:C9627, r),
    asOf,   MIN($A3623,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10129127.67</v>
      </c>
    </row>
    <row r="3624">
      <c r="A3624" s="19">
        <v>45859.0</v>
      </c>
      <c r="B3624" s="23">
        <v>1.0765E7</v>
      </c>
      <c r="C3624" s="23">
        <f t="shared" si="1"/>
        <v>13368655.34</v>
      </c>
      <c r="D3624" s="18">
        <f>IF(A3624="","",MATCH(A3624,Calculation!B$2:B9627,1))</f>
        <v>2</v>
      </c>
      <c r="E3624" s="23">
        <f t="array" ref="E3624">IF(D3624="","",IF(D3624=1,0,INDEX(Calculation!Q$2:Q9627,D3624-1)))</f>
        <v>3232449.315</v>
      </c>
      <c r="F3624" s="23">
        <f t="array" ref="F3624">IF($A3624="","",
  LET(
    r, $D3624,
    startD, INDEX(Calculation!B$2:B9627, r),
    endD,   INDEX(Calculation!C$2:C9627, r),
    asOf,   MIN($A3624,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10136206.03</v>
      </c>
    </row>
    <row r="3625">
      <c r="A3625" s="19">
        <v>45860.0</v>
      </c>
      <c r="B3625" s="23">
        <v>1.0765E7</v>
      </c>
      <c r="C3625" s="23">
        <f t="shared" si="1"/>
        <v>13375733.7</v>
      </c>
      <c r="D3625" s="18">
        <f>IF(A3625="","",MATCH(A3625,Calculation!B$2:B9627,1))</f>
        <v>2</v>
      </c>
      <c r="E3625" s="23">
        <f t="array" ref="E3625">IF(D3625="","",IF(D3625=1,0,INDEX(Calculation!Q$2:Q9627,D3625-1)))</f>
        <v>3232449.315</v>
      </c>
      <c r="F3625" s="23">
        <f t="array" ref="F3625">IF($A3625="","",
  LET(
    r, $D3625,
    startD, INDEX(Calculation!B$2:B9627, r),
    endD,   INDEX(Calculation!C$2:C9627, r),
    asOf,   MIN($A3625,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10143284.38</v>
      </c>
    </row>
    <row r="3626">
      <c r="A3626" s="19">
        <v>45861.0</v>
      </c>
      <c r="B3626" s="23">
        <v>1.0765E7</v>
      </c>
      <c r="C3626" s="23">
        <f t="shared" si="1"/>
        <v>13382812.05</v>
      </c>
      <c r="D3626" s="18">
        <f>IF(A3626="","",MATCH(A3626,Calculation!B$2:B9627,1))</f>
        <v>2</v>
      </c>
      <c r="E3626" s="23">
        <f t="array" ref="E3626">IF(D3626="","",IF(D3626=1,0,INDEX(Calculation!Q$2:Q9627,D3626-1)))</f>
        <v>3232449.315</v>
      </c>
      <c r="F3626" s="23">
        <f t="array" ref="F3626">IF($A3626="","",
  LET(
    r, $D3626,
    startD, INDEX(Calculation!B$2:B9627, r),
    endD,   INDEX(Calculation!C$2:C9627, r),
    asOf,   MIN($A3626,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10150362.74</v>
      </c>
    </row>
    <row r="3627">
      <c r="A3627" s="19">
        <v>45862.0</v>
      </c>
      <c r="B3627" s="23">
        <v>1.0765E7</v>
      </c>
      <c r="C3627" s="23">
        <f t="shared" si="1"/>
        <v>13389890.41</v>
      </c>
      <c r="D3627" s="18">
        <f>IF(A3627="","",MATCH(A3627,Calculation!B$2:B9627,1))</f>
        <v>2</v>
      </c>
      <c r="E3627" s="23">
        <f t="array" ref="E3627">IF(D3627="","",IF(D3627=1,0,INDEX(Calculation!Q$2:Q9627,D3627-1)))</f>
        <v>3232449.315</v>
      </c>
      <c r="F3627" s="23">
        <f t="array" ref="F3627">IF($A3627="","",
  LET(
    r, $D3627,
    startD, INDEX(Calculation!B$2:B9627, r),
    endD,   INDEX(Calculation!C$2:C9627, r),
    asOf,   MIN($A3627,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10157441.1</v>
      </c>
    </row>
    <row r="3628">
      <c r="A3628" s="19">
        <v>45863.0</v>
      </c>
      <c r="B3628" s="23">
        <v>1.0765E7</v>
      </c>
      <c r="C3628" s="23">
        <f t="shared" si="1"/>
        <v>13396968.77</v>
      </c>
      <c r="D3628" s="18">
        <f>IF(A3628="","",MATCH(A3628,Calculation!B$2:B9627,1))</f>
        <v>2</v>
      </c>
      <c r="E3628" s="23">
        <f t="array" ref="E3628">IF(D3628="","",IF(D3628=1,0,INDEX(Calculation!Q$2:Q9627,D3628-1)))</f>
        <v>3232449.315</v>
      </c>
      <c r="F3628" s="23">
        <f t="array" ref="F3628">IF($A3628="","",
  LET(
    r, $D3628,
    startD, INDEX(Calculation!B$2:B9627, r),
    endD,   INDEX(Calculation!C$2:C9627, r),
    asOf,   MIN($A3628,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10164519.45</v>
      </c>
    </row>
    <row r="3629">
      <c r="A3629" s="19">
        <v>45864.0</v>
      </c>
      <c r="B3629" s="23">
        <v>1.0765E7</v>
      </c>
      <c r="C3629" s="23">
        <f t="shared" si="1"/>
        <v>13404047.12</v>
      </c>
      <c r="D3629" s="18">
        <f>IF(A3629="","",MATCH(A3629,Calculation!B$2:B9627,1))</f>
        <v>2</v>
      </c>
      <c r="E3629" s="23">
        <f t="array" ref="E3629">IF(D3629="","",IF(D3629=1,0,INDEX(Calculation!Q$2:Q9627,D3629-1)))</f>
        <v>3232449.315</v>
      </c>
      <c r="F3629" s="23">
        <f t="array" ref="F3629">IF($A3629="","",
  LET(
    r, $D3629,
    startD, INDEX(Calculation!B$2:B9627, r),
    endD,   INDEX(Calculation!C$2:C9627, r),
    asOf,   MIN($A3629,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10171597.81</v>
      </c>
    </row>
    <row r="3630">
      <c r="A3630" s="19">
        <v>45865.0</v>
      </c>
      <c r="B3630" s="23">
        <v>1.0765E7</v>
      </c>
      <c r="C3630" s="23">
        <f t="shared" si="1"/>
        <v>13411125.48</v>
      </c>
      <c r="D3630" s="18">
        <f>IF(A3630="","",MATCH(A3630,Calculation!B$2:B9627,1))</f>
        <v>2</v>
      </c>
      <c r="E3630" s="23">
        <f t="array" ref="E3630">IF(D3630="","",IF(D3630=1,0,INDEX(Calculation!Q$2:Q9627,D3630-1)))</f>
        <v>3232449.315</v>
      </c>
      <c r="F3630" s="23">
        <f t="array" ref="F3630">IF($A3630="","",
  LET(
    r, $D3630,
    startD, INDEX(Calculation!B$2:B9627, r),
    endD,   INDEX(Calculation!C$2:C9627, r),
    asOf,   MIN($A3630,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10178676.16</v>
      </c>
    </row>
    <row r="3631">
      <c r="A3631" s="19">
        <v>45866.0</v>
      </c>
      <c r="B3631" s="23">
        <v>1.0765E7</v>
      </c>
      <c r="C3631" s="23">
        <f t="shared" si="1"/>
        <v>13418203.84</v>
      </c>
      <c r="D3631" s="18">
        <f>IF(A3631="","",MATCH(A3631,Calculation!B$2:B9627,1))</f>
        <v>2</v>
      </c>
      <c r="E3631" s="23">
        <f t="array" ref="E3631">IF(D3631="","",IF(D3631=1,0,INDEX(Calculation!Q$2:Q9627,D3631-1)))</f>
        <v>3232449.315</v>
      </c>
      <c r="F3631" s="23">
        <f t="array" ref="F3631">IF($A3631="","",
  LET(
    r, $D3631,
    startD, INDEX(Calculation!B$2:B9627, r),
    endD,   INDEX(Calculation!C$2:C9627, r),
    asOf,   MIN($A3631,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10185754.52</v>
      </c>
    </row>
    <row r="3632">
      <c r="A3632" s="19">
        <v>45867.0</v>
      </c>
      <c r="B3632" s="23">
        <v>1.0765E7</v>
      </c>
      <c r="C3632" s="23">
        <f t="shared" si="1"/>
        <v>13425282.19</v>
      </c>
      <c r="D3632" s="18">
        <f>IF(A3632="","",MATCH(A3632,Calculation!B$2:B9627,1))</f>
        <v>2</v>
      </c>
      <c r="E3632" s="23">
        <f t="array" ref="E3632">IF(D3632="","",IF(D3632=1,0,INDEX(Calculation!Q$2:Q9627,D3632-1)))</f>
        <v>3232449.315</v>
      </c>
      <c r="F3632" s="23">
        <f t="array" ref="F3632">IF($A3632="","",
  LET(
    r, $D3632,
    startD, INDEX(Calculation!B$2:B9627, r),
    endD,   INDEX(Calculation!C$2:C9627, r),
    asOf,   MIN($A3632,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10192832.88</v>
      </c>
    </row>
    <row r="3633">
      <c r="A3633" s="19">
        <v>45868.0</v>
      </c>
      <c r="B3633" s="23">
        <v>1.0765E7</v>
      </c>
      <c r="C3633" s="23">
        <f t="shared" si="1"/>
        <v>13432360.55</v>
      </c>
      <c r="D3633" s="18">
        <f>IF(A3633="","",MATCH(A3633,Calculation!B$2:B9627,1))</f>
        <v>2</v>
      </c>
      <c r="E3633" s="23">
        <f t="array" ref="E3633">IF(D3633="","",IF(D3633=1,0,INDEX(Calculation!Q$2:Q9627,D3633-1)))</f>
        <v>3232449.315</v>
      </c>
      <c r="F3633" s="23">
        <f t="array" ref="F3633">IF($A3633="","",
  LET(
    r, $D3633,
    startD, INDEX(Calculation!B$2:B9627, r),
    endD,   INDEX(Calculation!C$2:C9627, r),
    asOf,   MIN($A3633,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10199911.23</v>
      </c>
    </row>
    <row r="3634">
      <c r="A3634" s="19">
        <v>45869.0</v>
      </c>
      <c r="B3634" s="23">
        <v>1.0765E7</v>
      </c>
      <c r="C3634" s="23">
        <f t="shared" si="1"/>
        <v>13439438.9</v>
      </c>
      <c r="D3634" s="18">
        <f>IF(A3634="","",MATCH(A3634,Calculation!B$2:B9627,1))</f>
        <v>2</v>
      </c>
      <c r="E3634" s="23">
        <f t="array" ref="E3634">IF(D3634="","",IF(D3634=1,0,INDEX(Calculation!Q$2:Q9627,D3634-1)))</f>
        <v>3232449.315</v>
      </c>
      <c r="F3634" s="23">
        <f t="array" ref="F3634">IF($A3634="","",
  LET(
    r, $D3634,
    startD, INDEX(Calculation!B$2:B9627, r),
    endD,   INDEX(Calculation!C$2:C9627, r),
    asOf,   MIN($A3634,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10206989.59</v>
      </c>
    </row>
    <row r="3635">
      <c r="A3635" s="19">
        <v>45870.0</v>
      </c>
      <c r="B3635" s="23">
        <v>1.0765E7</v>
      </c>
      <c r="C3635" s="23">
        <f t="shared" si="1"/>
        <v>13446517.26</v>
      </c>
      <c r="D3635" s="18">
        <f>IF(A3635="","",MATCH(A3635,Calculation!B$2:B9627,1))</f>
        <v>2</v>
      </c>
      <c r="E3635" s="23">
        <f t="array" ref="E3635">IF(D3635="","",IF(D3635=1,0,INDEX(Calculation!Q$2:Q9627,D3635-1)))</f>
        <v>3232449.315</v>
      </c>
      <c r="F3635" s="23">
        <f t="array" ref="F3635">IF($A3635="","",
  LET(
    r, $D3635,
    startD, INDEX(Calculation!B$2:B9627, r),
    endD,   INDEX(Calculation!C$2:C9627, r),
    asOf,   MIN($A3635,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10214067.95</v>
      </c>
    </row>
    <row r="3636">
      <c r="A3636" s="19">
        <v>45871.0</v>
      </c>
      <c r="B3636" s="23">
        <v>1.0765E7</v>
      </c>
      <c r="C3636" s="23">
        <f t="shared" si="1"/>
        <v>13453595.62</v>
      </c>
      <c r="D3636" s="18">
        <f>IF(A3636="","",MATCH(A3636,Calculation!B$2:B9627,1))</f>
        <v>2</v>
      </c>
      <c r="E3636" s="23">
        <f t="array" ref="E3636">IF(D3636="","",IF(D3636=1,0,INDEX(Calculation!Q$2:Q9627,D3636-1)))</f>
        <v>3232449.315</v>
      </c>
      <c r="F3636" s="23">
        <f t="array" ref="F3636">IF($A3636="","",
  LET(
    r, $D3636,
    startD, INDEX(Calculation!B$2:B9627, r),
    endD,   INDEX(Calculation!C$2:C9627, r),
    asOf,   MIN($A3636,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10221146.3</v>
      </c>
    </row>
    <row r="3637">
      <c r="A3637" s="19">
        <v>45872.0</v>
      </c>
      <c r="B3637" s="23">
        <v>1.0765E7</v>
      </c>
      <c r="C3637" s="23">
        <f t="shared" si="1"/>
        <v>13460673.97</v>
      </c>
      <c r="D3637" s="18">
        <f>IF(A3637="","",MATCH(A3637,Calculation!B$2:B9627,1))</f>
        <v>2</v>
      </c>
      <c r="E3637" s="23">
        <f t="array" ref="E3637">IF(D3637="","",IF(D3637=1,0,INDEX(Calculation!Q$2:Q9627,D3637-1)))</f>
        <v>3232449.315</v>
      </c>
      <c r="F3637" s="23">
        <f t="array" ref="F3637">IF($A3637="","",
  LET(
    r, $D3637,
    startD, INDEX(Calculation!B$2:B9627, r),
    endD,   INDEX(Calculation!C$2:C9627, r),
    asOf,   MIN($A3637,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10228224.66</v>
      </c>
    </row>
    <row r="3638">
      <c r="A3638" s="19">
        <v>45873.0</v>
      </c>
      <c r="B3638" s="23">
        <v>1.0765E7</v>
      </c>
      <c r="C3638" s="23">
        <f t="shared" si="1"/>
        <v>13467752.33</v>
      </c>
      <c r="D3638" s="18">
        <f>IF(A3638="","",MATCH(A3638,Calculation!B$2:B9627,1))</f>
        <v>2</v>
      </c>
      <c r="E3638" s="23">
        <f t="array" ref="E3638">IF(D3638="","",IF(D3638=1,0,INDEX(Calculation!Q$2:Q9627,D3638-1)))</f>
        <v>3232449.315</v>
      </c>
      <c r="F3638" s="23">
        <f t="array" ref="F3638">IF($A3638="","",
  LET(
    r, $D3638,
    startD, INDEX(Calculation!B$2:B9627, r),
    endD,   INDEX(Calculation!C$2:C9627, r),
    asOf,   MIN($A3638,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10235303.01</v>
      </c>
    </row>
    <row r="3639">
      <c r="A3639" s="19">
        <v>45874.0</v>
      </c>
      <c r="B3639" s="23">
        <v>1.0765E7</v>
      </c>
      <c r="C3639" s="23">
        <f t="shared" si="1"/>
        <v>13474830.68</v>
      </c>
      <c r="D3639" s="18">
        <f>IF(A3639="","",MATCH(A3639,Calculation!B$2:B9627,1))</f>
        <v>2</v>
      </c>
      <c r="E3639" s="23">
        <f t="array" ref="E3639">IF(D3639="","",IF(D3639=1,0,INDEX(Calculation!Q$2:Q9627,D3639-1)))</f>
        <v>3232449.315</v>
      </c>
      <c r="F3639" s="23">
        <f t="array" ref="F3639">IF($A3639="","",
  LET(
    r, $D3639,
    startD, INDEX(Calculation!B$2:B9627, r),
    endD,   INDEX(Calculation!C$2:C9627, r),
    asOf,   MIN($A3639,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10242381.37</v>
      </c>
    </row>
    <row r="3640">
      <c r="A3640" s="19">
        <v>45875.0</v>
      </c>
      <c r="B3640" s="23">
        <v>1.0765E7</v>
      </c>
      <c r="C3640" s="23">
        <f t="shared" si="1"/>
        <v>13481909.04</v>
      </c>
      <c r="D3640" s="18">
        <f>IF(A3640="","",MATCH(A3640,Calculation!B$2:B9627,1))</f>
        <v>2</v>
      </c>
      <c r="E3640" s="23">
        <f t="array" ref="E3640">IF(D3640="","",IF(D3640=1,0,INDEX(Calculation!Q$2:Q9627,D3640-1)))</f>
        <v>3232449.315</v>
      </c>
      <c r="F3640" s="23">
        <f t="array" ref="F3640">IF($A3640="","",
  LET(
    r, $D3640,
    startD, INDEX(Calculation!B$2:B9627, r),
    endD,   INDEX(Calculation!C$2:C9627, r),
    asOf,   MIN($A3640,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10249459.73</v>
      </c>
    </row>
    <row r="3641">
      <c r="A3641" s="19">
        <v>45876.0</v>
      </c>
      <c r="B3641" s="23">
        <v>1.0765E7</v>
      </c>
      <c r="C3641" s="23">
        <f t="shared" si="1"/>
        <v>13488987.4</v>
      </c>
      <c r="D3641" s="18">
        <f>IF(A3641="","",MATCH(A3641,Calculation!B$2:B9627,1))</f>
        <v>2</v>
      </c>
      <c r="E3641" s="23">
        <f t="array" ref="E3641">IF(D3641="","",IF(D3641=1,0,INDEX(Calculation!Q$2:Q9627,D3641-1)))</f>
        <v>3232449.315</v>
      </c>
      <c r="F3641" s="23">
        <f t="array" ref="F3641">IF($A3641="","",
  LET(
    r, $D3641,
    startD, INDEX(Calculation!B$2:B9627, r),
    endD,   INDEX(Calculation!C$2:C9627, r),
    asOf,   MIN($A3641,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10256538.08</v>
      </c>
    </row>
    <row r="3642">
      <c r="A3642" s="19">
        <v>45877.0</v>
      </c>
      <c r="B3642" s="23">
        <v>1.0765E7</v>
      </c>
      <c r="C3642" s="23">
        <f t="shared" si="1"/>
        <v>13496065.75</v>
      </c>
      <c r="D3642" s="18">
        <f>IF(A3642="","",MATCH(A3642,Calculation!B$2:B9627,1))</f>
        <v>2</v>
      </c>
      <c r="E3642" s="23">
        <f t="array" ref="E3642">IF(D3642="","",IF(D3642=1,0,INDEX(Calculation!Q$2:Q9627,D3642-1)))</f>
        <v>3232449.315</v>
      </c>
      <c r="F3642" s="23">
        <f t="array" ref="F3642">IF($A3642="","",
  LET(
    r, $D3642,
    startD, INDEX(Calculation!B$2:B9627, r),
    endD,   INDEX(Calculation!C$2:C9627, r),
    asOf,   MIN($A3642,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10263616.44</v>
      </c>
    </row>
    <row r="3643">
      <c r="A3643" s="19">
        <v>45878.0</v>
      </c>
      <c r="B3643" s="23">
        <v>1.0765E7</v>
      </c>
      <c r="C3643" s="23">
        <f t="shared" si="1"/>
        <v>13503144.11</v>
      </c>
      <c r="D3643" s="18">
        <f>IF(A3643="","",MATCH(A3643,Calculation!B$2:B9627,1))</f>
        <v>2</v>
      </c>
      <c r="E3643" s="23">
        <f t="array" ref="E3643">IF(D3643="","",IF(D3643=1,0,INDEX(Calculation!Q$2:Q9627,D3643-1)))</f>
        <v>3232449.315</v>
      </c>
      <c r="F3643" s="23">
        <f t="array" ref="F3643">IF($A3643="","",
  LET(
    r, $D3643,
    startD, INDEX(Calculation!B$2:B9627, r),
    endD,   INDEX(Calculation!C$2:C9627, r),
    asOf,   MIN($A3643,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10270694.79</v>
      </c>
    </row>
    <row r="3644">
      <c r="A3644" s="19">
        <v>45879.0</v>
      </c>
      <c r="B3644" s="23">
        <v>1.0765E7</v>
      </c>
      <c r="C3644" s="23">
        <f t="shared" si="1"/>
        <v>13510222.47</v>
      </c>
      <c r="D3644" s="18">
        <f>IF(A3644="","",MATCH(A3644,Calculation!B$2:B9627,1))</f>
        <v>2</v>
      </c>
      <c r="E3644" s="23">
        <f t="array" ref="E3644">IF(D3644="","",IF(D3644=1,0,INDEX(Calculation!Q$2:Q9627,D3644-1)))</f>
        <v>3232449.315</v>
      </c>
      <c r="F3644" s="23">
        <f t="array" ref="F3644">IF($A3644="","",
  LET(
    r, $D3644,
    startD, INDEX(Calculation!B$2:B9627, r),
    endD,   INDEX(Calculation!C$2:C9627, r),
    asOf,   MIN($A3644,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10277773.15</v>
      </c>
    </row>
    <row r="3645">
      <c r="A3645" s="19">
        <v>45880.0</v>
      </c>
      <c r="B3645" s="23">
        <v>1.0765E7</v>
      </c>
      <c r="C3645" s="23">
        <f t="shared" si="1"/>
        <v>13517300.82</v>
      </c>
      <c r="D3645" s="18">
        <f>IF(A3645="","",MATCH(A3645,Calculation!B$2:B9627,1))</f>
        <v>2</v>
      </c>
      <c r="E3645" s="23">
        <f t="array" ref="E3645">IF(D3645="","",IF(D3645=1,0,INDEX(Calculation!Q$2:Q9627,D3645-1)))</f>
        <v>3232449.315</v>
      </c>
      <c r="F3645" s="23">
        <f t="array" ref="F3645">IF($A3645="","",
  LET(
    r, $D3645,
    startD, INDEX(Calculation!B$2:B9627, r),
    endD,   INDEX(Calculation!C$2:C9627, r),
    asOf,   MIN($A3645,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10284851.51</v>
      </c>
    </row>
    <row r="3646">
      <c r="A3646" s="19">
        <v>45881.0</v>
      </c>
      <c r="B3646" s="23">
        <v>1.0765E7</v>
      </c>
      <c r="C3646" s="23">
        <f t="shared" si="1"/>
        <v>13524379.18</v>
      </c>
      <c r="D3646" s="18">
        <f>IF(A3646="","",MATCH(A3646,Calculation!B$2:B9627,1))</f>
        <v>2</v>
      </c>
      <c r="E3646" s="23">
        <f t="array" ref="E3646">IF(D3646="","",IF(D3646=1,0,INDEX(Calculation!Q$2:Q9627,D3646-1)))</f>
        <v>3232449.315</v>
      </c>
      <c r="F3646" s="23">
        <f t="array" ref="F3646">IF($A3646="","",
  LET(
    r, $D3646,
    startD, INDEX(Calculation!B$2:B9627, r),
    endD,   INDEX(Calculation!C$2:C9627, r),
    asOf,   MIN($A3646,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10291929.86</v>
      </c>
    </row>
    <row r="3647">
      <c r="A3647" s="19">
        <v>45882.0</v>
      </c>
      <c r="B3647" s="23">
        <v>1.0765E7</v>
      </c>
      <c r="C3647" s="23">
        <f t="shared" si="1"/>
        <v>13531457.53</v>
      </c>
      <c r="D3647" s="18">
        <f>IF(A3647="","",MATCH(A3647,Calculation!B$2:B9627,1))</f>
        <v>2</v>
      </c>
      <c r="E3647" s="23">
        <f t="array" ref="E3647">IF(D3647="","",IF(D3647=1,0,INDEX(Calculation!Q$2:Q9627,D3647-1)))</f>
        <v>3232449.315</v>
      </c>
      <c r="F3647" s="23">
        <f t="array" ref="F3647">IF($A3647="","",
  LET(
    r, $D3647,
    startD, INDEX(Calculation!B$2:B9627, r),
    endD,   INDEX(Calculation!C$2:C9627, r),
    asOf,   MIN($A3647,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10299008.22</v>
      </c>
    </row>
    <row r="3648">
      <c r="A3648" s="19">
        <v>45883.0</v>
      </c>
      <c r="B3648" s="23">
        <v>1.0765E7</v>
      </c>
      <c r="C3648" s="23">
        <f t="shared" si="1"/>
        <v>13538535.89</v>
      </c>
      <c r="D3648" s="18">
        <f>IF(A3648="","",MATCH(A3648,Calculation!B$2:B9627,1))</f>
        <v>2</v>
      </c>
      <c r="E3648" s="23">
        <f t="array" ref="E3648">IF(D3648="","",IF(D3648=1,0,INDEX(Calculation!Q$2:Q9627,D3648-1)))</f>
        <v>3232449.315</v>
      </c>
      <c r="F3648" s="23">
        <f t="array" ref="F3648">IF($A3648="","",
  LET(
    r, $D3648,
    startD, INDEX(Calculation!B$2:B9627, r),
    endD,   INDEX(Calculation!C$2:C9627, r),
    asOf,   MIN($A3648,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10306086.58</v>
      </c>
    </row>
    <row r="3649">
      <c r="A3649" s="19">
        <v>45884.0</v>
      </c>
      <c r="B3649" s="23">
        <v>1.0765E7</v>
      </c>
      <c r="C3649" s="23">
        <f t="shared" si="1"/>
        <v>13545614.25</v>
      </c>
      <c r="D3649" s="18">
        <f>IF(A3649="","",MATCH(A3649,Calculation!B$2:B9627,1))</f>
        <v>2</v>
      </c>
      <c r="E3649" s="23">
        <f t="array" ref="E3649">IF(D3649="","",IF(D3649=1,0,INDEX(Calculation!Q$2:Q9627,D3649-1)))</f>
        <v>3232449.315</v>
      </c>
      <c r="F3649" s="23">
        <f t="array" ref="F3649">IF($A3649="","",
  LET(
    r, $D3649,
    startD, INDEX(Calculation!B$2:B9627, r),
    endD,   INDEX(Calculation!C$2:C9627, r),
    asOf,   MIN($A3649,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10313164.93</v>
      </c>
    </row>
    <row r="3650">
      <c r="A3650" s="19">
        <v>45885.0</v>
      </c>
      <c r="B3650" s="23">
        <v>1.0765E7</v>
      </c>
      <c r="C3650" s="23">
        <f t="shared" si="1"/>
        <v>13552692.6</v>
      </c>
      <c r="D3650" s="18">
        <f>IF(A3650="","",MATCH(A3650,Calculation!B$2:B9627,1))</f>
        <v>2</v>
      </c>
      <c r="E3650" s="23">
        <f t="array" ref="E3650">IF(D3650="","",IF(D3650=1,0,INDEX(Calculation!Q$2:Q9627,D3650-1)))</f>
        <v>3232449.315</v>
      </c>
      <c r="F3650" s="23">
        <f t="array" ref="F3650">IF($A3650="","",
  LET(
    r, $D3650,
    startD, INDEX(Calculation!B$2:B9627, r),
    endD,   INDEX(Calculation!C$2:C9627, r),
    asOf,   MIN($A3650,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10320243.29</v>
      </c>
    </row>
    <row r="3651">
      <c r="A3651" s="19">
        <v>45886.0</v>
      </c>
      <c r="B3651" s="23">
        <v>1.0765E7</v>
      </c>
      <c r="C3651" s="23">
        <f t="shared" si="1"/>
        <v>13559770.96</v>
      </c>
      <c r="D3651" s="18">
        <f>IF(A3651="","",MATCH(A3651,Calculation!B$2:B9627,1))</f>
        <v>2</v>
      </c>
      <c r="E3651" s="23">
        <f t="array" ref="E3651">IF(D3651="","",IF(D3651=1,0,INDEX(Calculation!Q$2:Q9627,D3651-1)))</f>
        <v>3232449.315</v>
      </c>
      <c r="F3651" s="23">
        <f t="array" ref="F3651">IF($A3651="","",
  LET(
    r, $D3651,
    startD, INDEX(Calculation!B$2:B9627, r),
    endD,   INDEX(Calculation!C$2:C9627, r),
    asOf,   MIN($A3651,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10327321.64</v>
      </c>
    </row>
    <row r="3652">
      <c r="A3652" s="19">
        <v>45887.0</v>
      </c>
      <c r="B3652" s="23">
        <v>1.0765E7</v>
      </c>
      <c r="C3652" s="23">
        <f t="shared" si="1"/>
        <v>13566849.32</v>
      </c>
      <c r="D3652" s="18">
        <f>IF(A3652="","",MATCH(A3652,Calculation!B$2:B9627,1))</f>
        <v>2</v>
      </c>
      <c r="E3652" s="23">
        <f t="array" ref="E3652">IF(D3652="","",IF(D3652=1,0,INDEX(Calculation!Q$2:Q9627,D3652-1)))</f>
        <v>3232449.315</v>
      </c>
      <c r="F3652" s="23">
        <f t="array" ref="F3652">IF($A3652="","",
  LET(
    r, $D3652,
    startD, INDEX(Calculation!B$2:B9627, r),
    endD,   INDEX(Calculation!C$2:C9627, r),
    asOf,   MIN($A3652,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10334400</v>
      </c>
    </row>
    <row r="3653">
      <c r="A3653" s="19">
        <v>45888.0</v>
      </c>
      <c r="B3653" s="23">
        <v>1.0765E7</v>
      </c>
      <c r="C3653" s="23">
        <f t="shared" si="1"/>
        <v>13573927.67</v>
      </c>
      <c r="D3653" s="18">
        <f>IF(A3653="","",MATCH(A3653,Calculation!B$2:B9627,1))</f>
        <v>2</v>
      </c>
      <c r="E3653" s="23">
        <f t="array" ref="E3653">IF(D3653="","",IF(D3653=1,0,INDEX(Calculation!Q$2:Q9627,D3653-1)))</f>
        <v>3232449.315</v>
      </c>
      <c r="F3653" s="23">
        <f t="array" ref="F3653">IF($A3653="","",
  LET(
    r, $D3653,
    startD, INDEX(Calculation!B$2:B9627, r),
    endD,   INDEX(Calculation!C$2:C9627, r),
    asOf,   MIN($A3653,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10341478.36</v>
      </c>
    </row>
    <row r="3654">
      <c r="A3654" s="19">
        <v>45889.0</v>
      </c>
      <c r="B3654" s="23">
        <v>1.0765E7</v>
      </c>
      <c r="C3654" s="23">
        <f t="shared" si="1"/>
        <v>13581006.03</v>
      </c>
      <c r="D3654" s="18">
        <f>IF(A3654="","",MATCH(A3654,Calculation!B$2:B9627,1))</f>
        <v>2</v>
      </c>
      <c r="E3654" s="23">
        <f t="array" ref="E3654">IF(D3654="","",IF(D3654=1,0,INDEX(Calculation!Q$2:Q9627,D3654-1)))</f>
        <v>3232449.315</v>
      </c>
      <c r="F3654" s="23">
        <f t="array" ref="F3654">IF($A3654="","",
  LET(
    r, $D3654,
    startD, INDEX(Calculation!B$2:B9627, r),
    endD,   INDEX(Calculation!C$2:C9627, r),
    asOf,   MIN($A3654,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10348556.71</v>
      </c>
    </row>
    <row r="3655">
      <c r="A3655" s="19">
        <v>45890.0</v>
      </c>
      <c r="B3655" s="23">
        <v>1.0765E7</v>
      </c>
      <c r="C3655" s="23">
        <f t="shared" si="1"/>
        <v>13588084.38</v>
      </c>
      <c r="D3655" s="18">
        <f>IF(A3655="","",MATCH(A3655,Calculation!B$2:B9627,1))</f>
        <v>2</v>
      </c>
      <c r="E3655" s="23">
        <f t="array" ref="E3655">IF(D3655="","",IF(D3655=1,0,INDEX(Calculation!Q$2:Q9627,D3655-1)))</f>
        <v>3232449.315</v>
      </c>
      <c r="F3655" s="23">
        <f t="array" ref="F3655">IF($A3655="","",
  LET(
    r, $D3655,
    startD, INDEX(Calculation!B$2:B9627, r),
    endD,   INDEX(Calculation!C$2:C9627, r),
    asOf,   MIN($A3655,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10355635.07</v>
      </c>
    </row>
    <row r="3656">
      <c r="A3656" s="19">
        <v>45891.0</v>
      </c>
      <c r="B3656" s="23">
        <v>1.0765E7</v>
      </c>
      <c r="C3656" s="23">
        <f t="shared" si="1"/>
        <v>13595162.74</v>
      </c>
      <c r="D3656" s="18">
        <f>IF(A3656="","",MATCH(A3656,Calculation!B$2:B9627,1))</f>
        <v>2</v>
      </c>
      <c r="E3656" s="23">
        <f t="array" ref="E3656">IF(D3656="","",IF(D3656=1,0,INDEX(Calculation!Q$2:Q9627,D3656-1)))</f>
        <v>3232449.315</v>
      </c>
      <c r="F3656" s="23">
        <f t="array" ref="F3656">IF($A3656="","",
  LET(
    r, $D3656,
    startD, INDEX(Calculation!B$2:B9627, r),
    endD,   INDEX(Calculation!C$2:C9627, r),
    asOf,   MIN($A3656,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10362713.42</v>
      </c>
    </row>
    <row r="3657">
      <c r="A3657" s="19">
        <v>45892.0</v>
      </c>
      <c r="B3657" s="23">
        <v>1.0765E7</v>
      </c>
      <c r="C3657" s="23">
        <f t="shared" si="1"/>
        <v>13602241.1</v>
      </c>
      <c r="D3657" s="18">
        <f>IF(A3657="","",MATCH(A3657,Calculation!B$2:B9627,1))</f>
        <v>2</v>
      </c>
      <c r="E3657" s="23">
        <f t="array" ref="E3657">IF(D3657="","",IF(D3657=1,0,INDEX(Calculation!Q$2:Q9627,D3657-1)))</f>
        <v>3232449.315</v>
      </c>
      <c r="F3657" s="23">
        <f t="array" ref="F3657">IF($A3657="","",
  LET(
    r, $D3657,
    startD, INDEX(Calculation!B$2:B9627, r),
    endD,   INDEX(Calculation!C$2:C9627, r),
    asOf,   MIN($A3657,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10369791.78</v>
      </c>
    </row>
    <row r="3658">
      <c r="A3658" s="19">
        <v>45893.0</v>
      </c>
      <c r="B3658" s="23">
        <v>1.0765E7</v>
      </c>
      <c r="C3658" s="23">
        <f t="shared" si="1"/>
        <v>13609319.45</v>
      </c>
      <c r="D3658" s="18">
        <f>IF(A3658="","",MATCH(A3658,Calculation!B$2:B9627,1))</f>
        <v>2</v>
      </c>
      <c r="E3658" s="23">
        <f t="array" ref="E3658">IF(D3658="","",IF(D3658=1,0,INDEX(Calculation!Q$2:Q9627,D3658-1)))</f>
        <v>3232449.315</v>
      </c>
      <c r="F3658" s="23">
        <f t="array" ref="F3658">IF($A3658="","",
  LET(
    r, $D3658,
    startD, INDEX(Calculation!B$2:B9627, r),
    endD,   INDEX(Calculation!C$2:C9627, r),
    asOf,   MIN($A3658,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10376870.14</v>
      </c>
    </row>
    <row r="3659">
      <c r="A3659" s="19">
        <v>45894.0</v>
      </c>
      <c r="B3659" s="23">
        <v>1.0765E7</v>
      </c>
      <c r="C3659" s="23">
        <f t="shared" si="1"/>
        <v>13616397.81</v>
      </c>
      <c r="D3659" s="18">
        <f>IF(A3659="","",MATCH(A3659,Calculation!B$2:B9627,1))</f>
        <v>2</v>
      </c>
      <c r="E3659" s="23">
        <f t="array" ref="E3659">IF(D3659="","",IF(D3659=1,0,INDEX(Calculation!Q$2:Q9627,D3659-1)))</f>
        <v>3232449.315</v>
      </c>
      <c r="F3659" s="23">
        <f t="array" ref="F3659">IF($A3659="","",
  LET(
    r, $D3659,
    startD, INDEX(Calculation!B$2:B9627, r),
    endD,   INDEX(Calculation!C$2:C9627, r),
    asOf,   MIN($A3659,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10383948.49</v>
      </c>
    </row>
    <row r="3660">
      <c r="A3660" s="19">
        <v>45895.0</v>
      </c>
      <c r="B3660" s="23">
        <v>1.0765E7</v>
      </c>
      <c r="C3660" s="23">
        <f t="shared" si="1"/>
        <v>13623476.16</v>
      </c>
      <c r="D3660" s="18">
        <f>IF(A3660="","",MATCH(A3660,Calculation!B$2:B9627,1))</f>
        <v>2</v>
      </c>
      <c r="E3660" s="23">
        <f t="array" ref="E3660">IF(D3660="","",IF(D3660=1,0,INDEX(Calculation!Q$2:Q9627,D3660-1)))</f>
        <v>3232449.315</v>
      </c>
      <c r="F3660" s="23">
        <f t="array" ref="F3660">IF($A3660="","",
  LET(
    r, $D3660,
    startD, INDEX(Calculation!B$2:B9627, r),
    endD,   INDEX(Calculation!C$2:C9627, r),
    asOf,   MIN($A3660,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10391026.85</v>
      </c>
    </row>
    <row r="3661">
      <c r="A3661" s="19">
        <v>45896.0</v>
      </c>
      <c r="B3661" s="23">
        <v>1.0765E7</v>
      </c>
      <c r="C3661" s="23">
        <f t="shared" si="1"/>
        <v>13630554.52</v>
      </c>
      <c r="D3661" s="18">
        <f>IF(A3661="","",MATCH(A3661,Calculation!B$2:B9627,1))</f>
        <v>2</v>
      </c>
      <c r="E3661" s="23">
        <f t="array" ref="E3661">IF(D3661="","",IF(D3661=1,0,INDEX(Calculation!Q$2:Q9627,D3661-1)))</f>
        <v>3232449.315</v>
      </c>
      <c r="F3661" s="23">
        <f t="array" ref="F3661">IF($A3661="","",
  LET(
    r, $D3661,
    startD, INDEX(Calculation!B$2:B9627, r),
    endD,   INDEX(Calculation!C$2:C9627, r),
    asOf,   MIN($A3661,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10398105.21</v>
      </c>
    </row>
    <row r="3662">
      <c r="A3662" s="19">
        <v>45897.0</v>
      </c>
      <c r="B3662" s="23">
        <v>1.0765E7</v>
      </c>
      <c r="C3662" s="23">
        <f t="shared" si="1"/>
        <v>13637632.88</v>
      </c>
      <c r="D3662" s="18">
        <f>IF(A3662="","",MATCH(A3662,Calculation!B$2:B9627,1))</f>
        <v>2</v>
      </c>
      <c r="E3662" s="23">
        <f t="array" ref="E3662">IF(D3662="","",IF(D3662=1,0,INDEX(Calculation!Q$2:Q9627,D3662-1)))</f>
        <v>3232449.315</v>
      </c>
      <c r="F3662" s="23">
        <f t="array" ref="F3662">IF($A3662="","",
  LET(
    r, $D3662,
    startD, INDEX(Calculation!B$2:B9627, r),
    endD,   INDEX(Calculation!C$2:C9627, r),
    asOf,   MIN($A3662,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10405183.56</v>
      </c>
    </row>
    <row r="3663">
      <c r="A3663" s="19">
        <v>45898.0</v>
      </c>
      <c r="B3663" s="23">
        <v>1.0765E7</v>
      </c>
      <c r="C3663" s="23">
        <f t="shared" si="1"/>
        <v>13644711.23</v>
      </c>
      <c r="D3663" s="18">
        <f>IF(A3663="","",MATCH(A3663,Calculation!B$2:B9627,1))</f>
        <v>2</v>
      </c>
      <c r="E3663" s="23">
        <f t="array" ref="E3663">IF(D3663="","",IF(D3663=1,0,INDEX(Calculation!Q$2:Q9627,D3663-1)))</f>
        <v>3232449.315</v>
      </c>
      <c r="F3663" s="23">
        <f t="array" ref="F3663">IF($A3663="","",
  LET(
    r, $D3663,
    startD, INDEX(Calculation!B$2:B9627, r),
    endD,   INDEX(Calculation!C$2:C9627, r),
    asOf,   MIN($A3663,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10412261.92</v>
      </c>
    </row>
    <row r="3664">
      <c r="A3664" s="19">
        <v>45899.0</v>
      </c>
      <c r="B3664" s="23">
        <v>1.0765E7</v>
      </c>
      <c r="C3664" s="23">
        <f t="shared" si="1"/>
        <v>13651789.59</v>
      </c>
      <c r="D3664" s="18">
        <f>IF(A3664="","",MATCH(A3664,Calculation!B$2:B9627,1))</f>
        <v>2</v>
      </c>
      <c r="E3664" s="23">
        <f t="array" ref="E3664">IF(D3664="","",IF(D3664=1,0,INDEX(Calculation!Q$2:Q9627,D3664-1)))</f>
        <v>3232449.315</v>
      </c>
      <c r="F3664" s="23">
        <f t="array" ref="F3664">IF($A3664="","",
  LET(
    r, $D3664,
    startD, INDEX(Calculation!B$2:B9627, r),
    endD,   INDEX(Calculation!C$2:C9627, r),
    asOf,   MIN($A3664,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10419340.27</v>
      </c>
    </row>
    <row r="3665">
      <c r="A3665" s="19">
        <v>45900.0</v>
      </c>
      <c r="B3665" s="23">
        <v>1.0765E7</v>
      </c>
      <c r="C3665" s="23">
        <f t="shared" si="1"/>
        <v>13658867.95</v>
      </c>
      <c r="D3665" s="18">
        <f>IF(A3665="","",MATCH(A3665,Calculation!B$2:B9627,1))</f>
        <v>2</v>
      </c>
      <c r="E3665" s="23">
        <f t="array" ref="E3665">IF(D3665="","",IF(D3665=1,0,INDEX(Calculation!Q$2:Q9627,D3665-1)))</f>
        <v>3232449.315</v>
      </c>
      <c r="F3665" s="23">
        <f t="array" ref="F3665">IF($A3665="","",
  LET(
    r, $D3665,
    startD, INDEX(Calculation!B$2:B9627, r),
    endD,   INDEX(Calculation!C$2:C9627, r),
    asOf,   MIN($A3665,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10426418.63</v>
      </c>
    </row>
    <row r="3666">
      <c r="A3666" s="19">
        <v>45901.0</v>
      </c>
      <c r="B3666" s="23">
        <v>1.0765E7</v>
      </c>
      <c r="C3666" s="23">
        <f t="shared" si="1"/>
        <v>13665946.3</v>
      </c>
      <c r="D3666" s="18">
        <f>IF(A3666="","",MATCH(A3666,Calculation!B$2:B9627,1))</f>
        <v>2</v>
      </c>
      <c r="E3666" s="23">
        <f t="array" ref="E3666">IF(D3666="","",IF(D3666=1,0,INDEX(Calculation!Q$2:Q9627,D3666-1)))</f>
        <v>3232449.315</v>
      </c>
      <c r="F3666" s="23">
        <f t="array" ref="F3666">IF($A3666="","",
  LET(
    r, $D3666,
    startD, INDEX(Calculation!B$2:B9627, r),
    endD,   INDEX(Calculation!C$2:C9627, r),
    asOf,   MIN($A3666,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10433496.99</v>
      </c>
    </row>
    <row r="3667">
      <c r="A3667" s="19">
        <v>45902.0</v>
      </c>
      <c r="B3667" s="23">
        <v>1.0765E7</v>
      </c>
      <c r="C3667" s="23">
        <f t="shared" si="1"/>
        <v>13673024.66</v>
      </c>
      <c r="D3667" s="18">
        <f>IF(A3667="","",MATCH(A3667,Calculation!B$2:B9627,1))</f>
        <v>2</v>
      </c>
      <c r="E3667" s="23">
        <f t="array" ref="E3667">IF(D3667="","",IF(D3667=1,0,INDEX(Calculation!Q$2:Q9627,D3667-1)))</f>
        <v>3232449.315</v>
      </c>
      <c r="F3667" s="23">
        <f t="array" ref="F3667">IF($A3667="","",
  LET(
    r, $D3667,
    startD, INDEX(Calculation!B$2:B9627, r),
    endD,   INDEX(Calculation!C$2:C9627, r),
    asOf,   MIN($A3667,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10440575.34</v>
      </c>
    </row>
    <row r="3668">
      <c r="A3668" s="19">
        <v>45903.0</v>
      </c>
      <c r="B3668" s="23">
        <v>1.0765E7</v>
      </c>
      <c r="C3668" s="23">
        <f t="shared" si="1"/>
        <v>13680103.01</v>
      </c>
      <c r="D3668" s="18">
        <f>IF(A3668="","",MATCH(A3668,Calculation!B$2:B9627,1))</f>
        <v>2</v>
      </c>
      <c r="E3668" s="23">
        <f t="array" ref="E3668">IF(D3668="","",IF(D3668=1,0,INDEX(Calculation!Q$2:Q9627,D3668-1)))</f>
        <v>3232449.315</v>
      </c>
      <c r="F3668" s="23">
        <f t="array" ref="F3668">IF($A3668="","",
  LET(
    r, $D3668,
    startD, INDEX(Calculation!B$2:B9627, r),
    endD,   INDEX(Calculation!C$2:C9627, r),
    asOf,   MIN($A3668,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10447653.7</v>
      </c>
    </row>
    <row r="3669">
      <c r="A3669" s="19">
        <v>45904.0</v>
      </c>
      <c r="B3669" s="23">
        <v>1.0765E7</v>
      </c>
      <c r="C3669" s="23">
        <f t="shared" si="1"/>
        <v>13687181.37</v>
      </c>
      <c r="D3669" s="18">
        <f>IF(A3669="","",MATCH(A3669,Calculation!B$2:B9627,1))</f>
        <v>2</v>
      </c>
      <c r="E3669" s="23">
        <f t="array" ref="E3669">IF(D3669="","",IF(D3669=1,0,INDEX(Calculation!Q$2:Q9627,D3669-1)))</f>
        <v>3232449.315</v>
      </c>
      <c r="F3669" s="23">
        <f t="array" ref="F3669">IF($A3669="","",
  LET(
    r, $D3669,
    startD, INDEX(Calculation!B$2:B9627, r),
    endD,   INDEX(Calculation!C$2:C9627, r),
    asOf,   MIN($A3669,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10454732.05</v>
      </c>
    </row>
    <row r="3670">
      <c r="A3670" s="19">
        <v>45905.0</v>
      </c>
      <c r="B3670" s="23">
        <v>1.0765E7</v>
      </c>
      <c r="C3670" s="23">
        <f t="shared" si="1"/>
        <v>13694259.73</v>
      </c>
      <c r="D3670" s="18">
        <f>IF(A3670="","",MATCH(A3670,Calculation!B$2:B9627,1))</f>
        <v>2</v>
      </c>
      <c r="E3670" s="23">
        <f t="array" ref="E3670">IF(D3670="","",IF(D3670=1,0,INDEX(Calculation!Q$2:Q9627,D3670-1)))</f>
        <v>3232449.315</v>
      </c>
      <c r="F3670" s="23">
        <f t="array" ref="F3670">IF($A3670="","",
  LET(
    r, $D3670,
    startD, INDEX(Calculation!B$2:B9627, r),
    endD,   INDEX(Calculation!C$2:C9627, r),
    asOf,   MIN($A3670,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10461810.41</v>
      </c>
    </row>
    <row r="3671">
      <c r="A3671" s="19">
        <v>45906.0</v>
      </c>
      <c r="B3671" s="23">
        <v>1.0765E7</v>
      </c>
      <c r="C3671" s="23">
        <f t="shared" si="1"/>
        <v>13701338.08</v>
      </c>
      <c r="D3671" s="18">
        <f>IF(A3671="","",MATCH(A3671,Calculation!B$2:B9627,1))</f>
        <v>2</v>
      </c>
      <c r="E3671" s="23">
        <f t="array" ref="E3671">IF(D3671="","",IF(D3671=1,0,INDEX(Calculation!Q$2:Q9627,D3671-1)))</f>
        <v>3232449.315</v>
      </c>
      <c r="F3671" s="23">
        <f t="array" ref="F3671">IF($A3671="","",
  LET(
    r, $D3671,
    startD, INDEX(Calculation!B$2:B9627, r),
    endD,   INDEX(Calculation!C$2:C9627, r),
    asOf,   MIN($A3671,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10468888.77</v>
      </c>
    </row>
    <row r="3672">
      <c r="A3672" s="19">
        <v>45907.0</v>
      </c>
      <c r="B3672" s="23">
        <v>1.0765E7</v>
      </c>
      <c r="C3672" s="23">
        <f t="shared" si="1"/>
        <v>13708416.44</v>
      </c>
      <c r="D3672" s="18">
        <f>IF(A3672="","",MATCH(A3672,Calculation!B$2:B9627,1))</f>
        <v>2</v>
      </c>
      <c r="E3672" s="23">
        <f t="array" ref="E3672">IF(D3672="","",IF(D3672=1,0,INDEX(Calculation!Q$2:Q9627,D3672-1)))</f>
        <v>3232449.315</v>
      </c>
      <c r="F3672" s="23">
        <f t="array" ref="F3672">IF($A3672="","",
  LET(
    r, $D3672,
    startD, INDEX(Calculation!B$2:B9627, r),
    endD,   INDEX(Calculation!C$2:C9627, r),
    asOf,   MIN($A3672,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10475967.12</v>
      </c>
    </row>
    <row r="3673">
      <c r="A3673" s="19">
        <v>45908.0</v>
      </c>
      <c r="B3673" s="23">
        <v>1.0765E7</v>
      </c>
      <c r="C3673" s="23">
        <f t="shared" si="1"/>
        <v>13715494.79</v>
      </c>
      <c r="D3673" s="18">
        <f>IF(A3673="","",MATCH(A3673,Calculation!B$2:B9627,1))</f>
        <v>2</v>
      </c>
      <c r="E3673" s="23">
        <f t="array" ref="E3673">IF(D3673="","",IF(D3673=1,0,INDEX(Calculation!Q$2:Q9627,D3673-1)))</f>
        <v>3232449.315</v>
      </c>
      <c r="F3673" s="23">
        <f t="array" ref="F3673">IF($A3673="","",
  LET(
    r, $D3673,
    startD, INDEX(Calculation!B$2:B9627, r),
    endD,   INDEX(Calculation!C$2:C9627, r),
    asOf,   MIN($A3673,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10483045.48</v>
      </c>
    </row>
    <row r="3674">
      <c r="A3674" s="19">
        <v>45909.0</v>
      </c>
      <c r="B3674" s="23">
        <v>1.0765E7</v>
      </c>
      <c r="C3674" s="23">
        <f t="shared" si="1"/>
        <v>13722573.15</v>
      </c>
      <c r="D3674" s="18">
        <f>IF(A3674="","",MATCH(A3674,Calculation!B$2:B9627,1))</f>
        <v>2</v>
      </c>
      <c r="E3674" s="23">
        <f t="array" ref="E3674">IF(D3674="","",IF(D3674=1,0,INDEX(Calculation!Q$2:Q9627,D3674-1)))</f>
        <v>3232449.315</v>
      </c>
      <c r="F3674" s="23">
        <f t="array" ref="F3674">IF($A3674="","",
  LET(
    r, $D3674,
    startD, INDEX(Calculation!B$2:B9627, r),
    endD,   INDEX(Calculation!C$2:C9627, r),
    asOf,   MIN($A3674,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10490123.84</v>
      </c>
    </row>
    <row r="3675">
      <c r="A3675" s="19">
        <v>45910.0</v>
      </c>
      <c r="B3675" s="23">
        <v>1.0765E7</v>
      </c>
      <c r="C3675" s="23">
        <f t="shared" si="1"/>
        <v>13729651.51</v>
      </c>
      <c r="D3675" s="18">
        <f>IF(A3675="","",MATCH(A3675,Calculation!B$2:B9627,1))</f>
        <v>2</v>
      </c>
      <c r="E3675" s="23">
        <f t="array" ref="E3675">IF(D3675="","",IF(D3675=1,0,INDEX(Calculation!Q$2:Q9627,D3675-1)))</f>
        <v>3232449.315</v>
      </c>
      <c r="F3675" s="23">
        <f t="array" ref="F3675">IF($A3675="","",
  LET(
    r, $D3675,
    startD, INDEX(Calculation!B$2:B9627, r),
    endD,   INDEX(Calculation!C$2:C9627, r),
    asOf,   MIN($A3675,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10497202.19</v>
      </c>
    </row>
    <row r="3676">
      <c r="A3676" s="19">
        <v>45911.0</v>
      </c>
      <c r="B3676" s="23">
        <v>1.0765E7</v>
      </c>
      <c r="C3676" s="23">
        <f t="shared" si="1"/>
        <v>13736729.86</v>
      </c>
      <c r="D3676" s="18">
        <f>IF(A3676="","",MATCH(A3676,Calculation!B$2:B9627,1))</f>
        <v>2</v>
      </c>
      <c r="E3676" s="23">
        <f t="array" ref="E3676">IF(D3676="","",IF(D3676=1,0,INDEX(Calculation!Q$2:Q9627,D3676-1)))</f>
        <v>3232449.315</v>
      </c>
      <c r="F3676" s="23">
        <f t="array" ref="F3676">IF($A3676="","",
  LET(
    r, $D3676,
    startD, INDEX(Calculation!B$2:B9627, r),
    endD,   INDEX(Calculation!C$2:C9627, r),
    asOf,   MIN($A3676,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10504280.55</v>
      </c>
    </row>
    <row r="3677">
      <c r="A3677" s="19">
        <v>45912.0</v>
      </c>
      <c r="B3677" s="23">
        <v>1.0765E7</v>
      </c>
      <c r="C3677" s="23">
        <f t="shared" si="1"/>
        <v>13743808.22</v>
      </c>
      <c r="D3677" s="18">
        <f>IF(A3677="","",MATCH(A3677,Calculation!B$2:B9627,1))</f>
        <v>2</v>
      </c>
      <c r="E3677" s="23">
        <f t="array" ref="E3677">IF(D3677="","",IF(D3677=1,0,INDEX(Calculation!Q$2:Q9627,D3677-1)))</f>
        <v>3232449.315</v>
      </c>
      <c r="F3677" s="23">
        <f t="array" ref="F3677">IF($A3677="","",
  LET(
    r, $D3677,
    startD, INDEX(Calculation!B$2:B9627, r),
    endD,   INDEX(Calculation!C$2:C9627, r),
    asOf,   MIN($A3677,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10511358.9</v>
      </c>
    </row>
    <row r="3678">
      <c r="A3678" s="19">
        <v>45913.0</v>
      </c>
      <c r="B3678" s="23">
        <v>1.0765E7</v>
      </c>
      <c r="C3678" s="23">
        <f t="shared" si="1"/>
        <v>13750886.58</v>
      </c>
      <c r="D3678" s="18">
        <f>IF(A3678="","",MATCH(A3678,Calculation!B$2:B9627,1))</f>
        <v>2</v>
      </c>
      <c r="E3678" s="23">
        <f t="array" ref="E3678">IF(D3678="","",IF(D3678=1,0,INDEX(Calculation!Q$2:Q9627,D3678-1)))</f>
        <v>3232449.315</v>
      </c>
      <c r="F3678" s="23">
        <f t="array" ref="F3678">IF($A3678="","",
  LET(
    r, $D3678,
    startD, INDEX(Calculation!B$2:B9627, r),
    endD,   INDEX(Calculation!C$2:C9627, r),
    asOf,   MIN($A3678,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10518437.26</v>
      </c>
    </row>
    <row r="3679">
      <c r="A3679" s="19">
        <v>45914.0</v>
      </c>
      <c r="B3679" s="23">
        <v>1.0765E7</v>
      </c>
      <c r="C3679" s="23">
        <f t="shared" si="1"/>
        <v>13757964.93</v>
      </c>
      <c r="D3679" s="18">
        <f>IF(A3679="","",MATCH(A3679,Calculation!B$2:B9627,1))</f>
        <v>2</v>
      </c>
      <c r="E3679" s="23">
        <f t="array" ref="E3679">IF(D3679="","",IF(D3679=1,0,INDEX(Calculation!Q$2:Q9627,D3679-1)))</f>
        <v>3232449.315</v>
      </c>
      <c r="F3679" s="23">
        <f t="array" ref="F3679">IF($A3679="","",
  LET(
    r, $D3679,
    startD, INDEX(Calculation!B$2:B9627, r),
    endD,   INDEX(Calculation!C$2:C9627, r),
    asOf,   MIN($A3679,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10525515.62</v>
      </c>
    </row>
    <row r="3680">
      <c r="A3680" s="19">
        <v>45915.0</v>
      </c>
      <c r="B3680" s="23">
        <v>1.0765E7</v>
      </c>
      <c r="C3680" s="23">
        <f t="shared" si="1"/>
        <v>13765043.29</v>
      </c>
      <c r="D3680" s="18">
        <f>IF(A3680="","",MATCH(A3680,Calculation!B$2:B9627,1))</f>
        <v>2</v>
      </c>
      <c r="E3680" s="23">
        <f t="array" ref="E3680">IF(D3680="","",IF(D3680=1,0,INDEX(Calculation!Q$2:Q9627,D3680-1)))</f>
        <v>3232449.315</v>
      </c>
      <c r="F3680" s="23">
        <f t="array" ref="F3680">IF($A3680="","",
  LET(
    r, $D3680,
    startD, INDEX(Calculation!B$2:B9627, r),
    endD,   INDEX(Calculation!C$2:C9627, r),
    asOf,   MIN($A3680,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10532593.97</v>
      </c>
    </row>
    <row r="3681">
      <c r="A3681" s="19">
        <v>45916.0</v>
      </c>
      <c r="B3681" s="23">
        <v>1.0765E7</v>
      </c>
      <c r="C3681" s="23">
        <f t="shared" si="1"/>
        <v>13772121.64</v>
      </c>
      <c r="D3681" s="18">
        <f>IF(A3681="","",MATCH(A3681,Calculation!B$2:B9627,1))</f>
        <v>2</v>
      </c>
      <c r="E3681" s="23">
        <f t="array" ref="E3681">IF(D3681="","",IF(D3681=1,0,INDEX(Calculation!Q$2:Q9627,D3681-1)))</f>
        <v>3232449.315</v>
      </c>
      <c r="F3681" s="23">
        <f t="array" ref="F3681">IF($A3681="","",
  LET(
    r, $D3681,
    startD, INDEX(Calculation!B$2:B9627, r),
    endD,   INDEX(Calculation!C$2:C9627, r),
    asOf,   MIN($A3681,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10539672.33</v>
      </c>
    </row>
    <row r="3682">
      <c r="A3682" s="19">
        <v>45917.0</v>
      </c>
      <c r="B3682" s="23">
        <v>1.0765E7</v>
      </c>
      <c r="C3682" s="23">
        <f t="shared" si="1"/>
        <v>13779200</v>
      </c>
      <c r="D3682" s="18">
        <f>IF(A3682="","",MATCH(A3682,Calculation!B$2:B9627,1))</f>
        <v>2</v>
      </c>
      <c r="E3682" s="23">
        <f t="array" ref="E3682">IF(D3682="","",IF(D3682=1,0,INDEX(Calculation!Q$2:Q9627,D3682-1)))</f>
        <v>3232449.315</v>
      </c>
      <c r="F3682" s="23">
        <f t="array" ref="F3682">IF($A3682="","",
  LET(
    r, $D3682,
    startD, INDEX(Calculation!B$2:B9627, r),
    endD,   INDEX(Calculation!C$2:C9627, r),
    asOf,   MIN($A3682,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10546750.68</v>
      </c>
    </row>
    <row r="3683">
      <c r="A3683" s="19">
        <v>45918.0</v>
      </c>
      <c r="B3683" s="23">
        <v>1.0765E7</v>
      </c>
      <c r="C3683" s="23">
        <f t="shared" si="1"/>
        <v>13786278.36</v>
      </c>
      <c r="D3683" s="18">
        <f>IF(A3683="","",MATCH(A3683,Calculation!B$2:B9627,1))</f>
        <v>2</v>
      </c>
      <c r="E3683" s="23">
        <f t="array" ref="E3683">IF(D3683="","",IF(D3683=1,0,INDEX(Calculation!Q$2:Q9627,D3683-1)))</f>
        <v>3232449.315</v>
      </c>
      <c r="F3683" s="23">
        <f t="array" ref="F3683">IF($A3683="","",
  LET(
    r, $D3683,
    startD, INDEX(Calculation!B$2:B9627, r),
    endD,   INDEX(Calculation!C$2:C9627, r),
    asOf,   MIN($A3683,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10553829.04</v>
      </c>
    </row>
    <row r="3684">
      <c r="A3684" s="19">
        <v>45919.0</v>
      </c>
      <c r="B3684" s="23">
        <v>1.0765E7</v>
      </c>
      <c r="C3684" s="23">
        <f t="shared" si="1"/>
        <v>13793356.71</v>
      </c>
      <c r="D3684" s="18">
        <f>IF(A3684="","",MATCH(A3684,Calculation!B$2:B9627,1))</f>
        <v>2</v>
      </c>
      <c r="E3684" s="23">
        <f t="array" ref="E3684">IF(D3684="","",IF(D3684=1,0,INDEX(Calculation!Q$2:Q9627,D3684-1)))</f>
        <v>3232449.315</v>
      </c>
      <c r="F3684" s="23">
        <f t="array" ref="F3684">IF($A3684="","",
  LET(
    r, $D3684,
    startD, INDEX(Calculation!B$2:B9627, r),
    endD,   INDEX(Calculation!C$2:C9627, r),
    asOf,   MIN($A3684,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10560907.4</v>
      </c>
    </row>
    <row r="3685">
      <c r="A3685" s="19">
        <v>45920.0</v>
      </c>
      <c r="B3685" s="23">
        <v>1.0765E7</v>
      </c>
      <c r="C3685" s="23">
        <f t="shared" si="1"/>
        <v>13800435.07</v>
      </c>
      <c r="D3685" s="18">
        <f>IF(A3685="","",MATCH(A3685,Calculation!B$2:B9627,1))</f>
        <v>2</v>
      </c>
      <c r="E3685" s="23">
        <f t="array" ref="E3685">IF(D3685="","",IF(D3685=1,0,INDEX(Calculation!Q$2:Q9627,D3685-1)))</f>
        <v>3232449.315</v>
      </c>
      <c r="F3685" s="23">
        <f t="array" ref="F3685">IF($A3685="","",
  LET(
    r, $D3685,
    startD, INDEX(Calculation!B$2:B9627, r),
    endD,   INDEX(Calculation!C$2:C9627, r),
    asOf,   MIN($A3685,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10567985.75</v>
      </c>
    </row>
    <row r="3686">
      <c r="A3686" s="19">
        <v>45921.0</v>
      </c>
      <c r="B3686" s="23">
        <v>1.0765E7</v>
      </c>
      <c r="C3686" s="23">
        <f t="shared" si="1"/>
        <v>13807513.42</v>
      </c>
      <c r="D3686" s="18">
        <f>IF(A3686="","",MATCH(A3686,Calculation!B$2:B9627,1))</f>
        <v>2</v>
      </c>
      <c r="E3686" s="23">
        <f t="array" ref="E3686">IF(D3686="","",IF(D3686=1,0,INDEX(Calculation!Q$2:Q9627,D3686-1)))</f>
        <v>3232449.315</v>
      </c>
      <c r="F3686" s="23">
        <f t="array" ref="F3686">IF($A3686="","",
  LET(
    r, $D3686,
    startD, INDEX(Calculation!B$2:B9627, r),
    endD,   INDEX(Calculation!C$2:C9627, r),
    asOf,   MIN($A3686,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10575064.11</v>
      </c>
    </row>
    <row r="3687">
      <c r="A3687" s="19">
        <v>45922.0</v>
      </c>
      <c r="B3687" s="23">
        <v>1.0765E7</v>
      </c>
      <c r="C3687" s="23">
        <f t="shared" si="1"/>
        <v>13807513.42</v>
      </c>
      <c r="D3687" s="18">
        <f>IF(A3687="","",MATCH(A3687,Calculation!B$2:B9627,1))</f>
        <v>2</v>
      </c>
      <c r="E3687" s="23">
        <f t="array" ref="E3687">IF(D3687="","",IF(D3687=1,0,INDEX(Calculation!Q$2:Q9627,D3687-1)))</f>
        <v>3232449.315</v>
      </c>
      <c r="F3687" s="23">
        <f t="array" ref="F3687">IF($A3687="","",
  LET(
    r, $D3687,
    startD, INDEX(Calculation!B$2:B9627, r),
    endD,   INDEX(Calculation!C$2:C9627, r),
    asOf,   MIN($A3687,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10575064.11</v>
      </c>
    </row>
    <row r="3688">
      <c r="A3688" s="28"/>
      <c r="B3688" s="29"/>
      <c r="C3688" s="29" t="str">
        <f t="shared" si="1"/>
        <v/>
      </c>
      <c r="D3688" s="6" t="str">
        <f>IF(A3688="","",MATCH(A3688,Calculation!B$2:B9627,1))</f>
        <v/>
      </c>
      <c r="E3688" s="29" t="str">
        <f t="array" ref="E3688">IF(D3688="","",IF(D3688=1,0,INDEX(Calculation!Q$2:Q9627,D3688-1)))</f>
        <v/>
      </c>
      <c r="F3688" s="29" t="str">
        <f t="array" ref="F3688">IF($A3688="","",
  LET(
    r, $D3688,
    startD, INDEX(Calculation!B$2:B9627, r),
    endD,   INDEX(Calculation!C$2:C9627, r),
    asOf,   MIN($A3688,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689">
      <c r="A3689" s="28"/>
      <c r="B3689" s="29"/>
      <c r="C3689" s="29" t="str">
        <f t="shared" si="1"/>
        <v/>
      </c>
      <c r="D3689" s="6" t="str">
        <f>IF(A3689="","",MATCH(A3689,Calculation!B$2:B9627,1))</f>
        <v/>
      </c>
      <c r="E3689" s="29" t="str">
        <f t="array" ref="E3689">IF(D3689="","",IF(D3689=1,0,INDEX(Calculation!Q$2:Q9627,D3689-1)))</f>
        <v/>
      </c>
      <c r="F3689" s="29" t="str">
        <f t="array" ref="F3689">IF($A3689="","",
  LET(
    r, $D3689,
    startD, INDEX(Calculation!B$2:B9627, r),
    endD,   INDEX(Calculation!C$2:C9627, r),
    asOf,   MIN($A3689,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690">
      <c r="A3690" s="28"/>
      <c r="B3690" s="29"/>
      <c r="C3690" s="29" t="str">
        <f t="shared" si="1"/>
        <v/>
      </c>
      <c r="D3690" s="6" t="str">
        <f>IF(A3690="","",MATCH(A3690,Calculation!B$2:B9627,1))</f>
        <v/>
      </c>
      <c r="E3690" s="29" t="str">
        <f t="array" ref="E3690">IF(D3690="","",IF(D3690=1,0,INDEX(Calculation!Q$2:Q9627,D3690-1)))</f>
        <v/>
      </c>
      <c r="F3690" s="29" t="str">
        <f t="array" ref="F3690">IF($A3690="","",
  LET(
    r, $D3690,
    startD, INDEX(Calculation!B$2:B9627, r),
    endD,   INDEX(Calculation!C$2:C9627, r),
    asOf,   MIN($A3690,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691">
      <c r="A3691" s="28"/>
      <c r="B3691" s="29"/>
      <c r="C3691" s="29" t="str">
        <f t="shared" si="1"/>
        <v/>
      </c>
      <c r="D3691" s="6" t="str">
        <f>IF(A3691="","",MATCH(A3691,Calculation!B$2:B9627,1))</f>
        <v/>
      </c>
      <c r="E3691" s="29" t="str">
        <f t="array" ref="E3691">IF(D3691="","",IF(D3691=1,0,INDEX(Calculation!Q$2:Q9627,D3691-1)))</f>
        <v/>
      </c>
      <c r="F3691" s="29" t="str">
        <f t="array" ref="F3691">IF($A3691="","",
  LET(
    r, $D3691,
    startD, INDEX(Calculation!B$2:B9627, r),
    endD,   INDEX(Calculation!C$2:C9627, r),
    asOf,   MIN($A3691,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692">
      <c r="A3692" s="28"/>
      <c r="B3692" s="29"/>
      <c r="C3692" s="29" t="str">
        <f t="shared" si="1"/>
        <v/>
      </c>
      <c r="D3692" s="6" t="str">
        <f>IF(A3692="","",MATCH(A3692,Calculation!B$2:B9627,1))</f>
        <v/>
      </c>
      <c r="E3692" s="29" t="str">
        <f t="array" ref="E3692">IF(D3692="","",IF(D3692=1,0,INDEX(Calculation!Q$2:Q9627,D3692-1)))</f>
        <v/>
      </c>
      <c r="F3692" s="29" t="str">
        <f t="array" ref="F3692">IF($A3692="","",
  LET(
    r, $D3692,
    startD, INDEX(Calculation!B$2:B9627, r),
    endD,   INDEX(Calculation!C$2:C9627, r),
    asOf,   MIN($A3692,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693">
      <c r="A3693" s="28"/>
      <c r="B3693" s="29"/>
      <c r="C3693" s="29" t="str">
        <f t="shared" si="1"/>
        <v/>
      </c>
      <c r="D3693" s="6" t="str">
        <f>IF(A3693="","",MATCH(A3693,Calculation!B$2:B9627,1))</f>
        <v/>
      </c>
      <c r="E3693" s="29" t="str">
        <f t="array" ref="E3693">IF(D3693="","",IF(D3693=1,0,INDEX(Calculation!Q$2:Q9627,D3693-1)))</f>
        <v/>
      </c>
      <c r="F3693" s="29" t="str">
        <f t="array" ref="F3693">IF($A3693="","",
  LET(
    r, $D3693,
    startD, INDEX(Calculation!B$2:B9627, r),
    endD,   INDEX(Calculation!C$2:C9627, r),
    asOf,   MIN($A3693,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694">
      <c r="A3694" s="28"/>
      <c r="B3694" s="29"/>
      <c r="C3694" s="29" t="str">
        <f t="shared" si="1"/>
        <v/>
      </c>
      <c r="D3694" s="6" t="str">
        <f>IF(A3694="","",MATCH(A3694,Calculation!B$2:B9627,1))</f>
        <v/>
      </c>
      <c r="E3694" s="29" t="str">
        <f t="array" ref="E3694">IF(D3694="","",IF(D3694=1,0,INDEX(Calculation!Q$2:Q9627,D3694-1)))</f>
        <v/>
      </c>
      <c r="F3694" s="29" t="str">
        <f t="array" ref="F3694">IF($A3694="","",
  LET(
    r, $D3694,
    startD, INDEX(Calculation!B$2:B9627, r),
    endD,   INDEX(Calculation!C$2:C9627, r),
    asOf,   MIN($A3694,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695">
      <c r="A3695" s="28"/>
      <c r="B3695" s="29"/>
      <c r="C3695" s="29" t="str">
        <f t="shared" si="1"/>
        <v/>
      </c>
      <c r="D3695" s="6" t="str">
        <f>IF(A3695="","",MATCH(A3695,Calculation!B$2:B9627,1))</f>
        <v/>
      </c>
      <c r="E3695" s="29" t="str">
        <f t="array" ref="E3695">IF(D3695="","",IF(D3695=1,0,INDEX(Calculation!Q$2:Q9627,D3695-1)))</f>
        <v/>
      </c>
      <c r="F3695" s="29" t="str">
        <f t="array" ref="F3695">IF($A3695="","",
  LET(
    r, $D3695,
    startD, INDEX(Calculation!B$2:B9627, r),
    endD,   INDEX(Calculation!C$2:C9627, r),
    asOf,   MIN($A3695,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696">
      <c r="A3696" s="28"/>
      <c r="B3696" s="29"/>
      <c r="C3696" s="29" t="str">
        <f t="shared" si="1"/>
        <v/>
      </c>
      <c r="D3696" s="6" t="str">
        <f>IF(A3696="","",MATCH(A3696,Calculation!B$2:B9627,1))</f>
        <v/>
      </c>
      <c r="E3696" s="29" t="str">
        <f t="array" ref="E3696">IF(D3696="","",IF(D3696=1,0,INDEX(Calculation!Q$2:Q9627,D3696-1)))</f>
        <v/>
      </c>
      <c r="F3696" s="29" t="str">
        <f t="array" ref="F3696">IF($A3696="","",
  LET(
    r, $D3696,
    startD, INDEX(Calculation!B$2:B9627, r),
    endD,   INDEX(Calculation!C$2:C9627, r),
    asOf,   MIN($A3696,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697">
      <c r="A3697" s="28"/>
      <c r="B3697" s="29"/>
      <c r="C3697" s="29" t="str">
        <f t="shared" si="1"/>
        <v/>
      </c>
      <c r="D3697" s="6" t="str">
        <f>IF(A3697="","",MATCH(A3697,Calculation!B$2:B9627,1))</f>
        <v/>
      </c>
      <c r="E3697" s="29" t="str">
        <f t="array" ref="E3697">IF(D3697="","",IF(D3697=1,0,INDEX(Calculation!Q$2:Q9627,D3697-1)))</f>
        <v/>
      </c>
      <c r="F3697" s="29" t="str">
        <f t="array" ref="F3697">IF($A3697="","",
  LET(
    r, $D3697,
    startD, INDEX(Calculation!B$2:B9627, r),
    endD,   INDEX(Calculation!C$2:C9627, r),
    asOf,   MIN($A3697,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698">
      <c r="A3698" s="28"/>
      <c r="B3698" s="29"/>
      <c r="C3698" s="29" t="str">
        <f t="shared" si="1"/>
        <v/>
      </c>
      <c r="D3698" s="6" t="str">
        <f>IF(A3698="","",MATCH(A3698,Calculation!B$2:B9627,1))</f>
        <v/>
      </c>
      <c r="E3698" s="29" t="str">
        <f t="array" ref="E3698">IF(D3698="","",IF(D3698=1,0,INDEX(Calculation!Q$2:Q9627,D3698-1)))</f>
        <v/>
      </c>
      <c r="F3698" s="29" t="str">
        <f t="array" ref="F3698">IF($A3698="","",
  LET(
    r, $D3698,
    startD, INDEX(Calculation!B$2:B9627, r),
    endD,   INDEX(Calculation!C$2:C9627, r),
    asOf,   MIN($A3698,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699">
      <c r="A3699" s="28"/>
      <c r="B3699" s="29"/>
      <c r="C3699" s="29" t="str">
        <f t="shared" si="1"/>
        <v/>
      </c>
      <c r="D3699" s="6" t="str">
        <f>IF(A3699="","",MATCH(A3699,Calculation!B$2:B9627,1))</f>
        <v/>
      </c>
      <c r="E3699" s="29" t="str">
        <f t="array" ref="E3699">IF(D3699="","",IF(D3699=1,0,INDEX(Calculation!Q$2:Q9627,D3699-1)))</f>
        <v/>
      </c>
      <c r="F3699" s="29" t="str">
        <f t="array" ref="F3699">IF($A3699="","",
  LET(
    r, $D3699,
    startD, INDEX(Calculation!B$2:B9627, r),
    endD,   INDEX(Calculation!C$2:C9627, r),
    asOf,   MIN($A3699,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00">
      <c r="A3700" s="28"/>
      <c r="B3700" s="29"/>
      <c r="C3700" s="29" t="str">
        <f t="shared" si="1"/>
        <v/>
      </c>
      <c r="D3700" s="6" t="str">
        <f>IF(A3700="","",MATCH(A3700,Calculation!B$2:B9627,1))</f>
        <v/>
      </c>
      <c r="E3700" s="29" t="str">
        <f t="array" ref="E3700">IF(D3700="","",IF(D3700=1,0,INDEX(Calculation!Q$2:Q9627,D3700-1)))</f>
        <v/>
      </c>
      <c r="F3700" s="29" t="str">
        <f t="array" ref="F3700">IF($A3700="","",
  LET(
    r, $D3700,
    startD, INDEX(Calculation!B$2:B9627, r),
    endD,   INDEX(Calculation!C$2:C9627, r),
    asOf,   MIN($A3700,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01">
      <c r="A3701" s="28"/>
      <c r="B3701" s="29"/>
      <c r="C3701" s="29" t="str">
        <f t="shared" si="1"/>
        <v/>
      </c>
      <c r="D3701" s="6" t="str">
        <f>IF(A3701="","",MATCH(A3701,Calculation!B$2:B9627,1))</f>
        <v/>
      </c>
      <c r="E3701" s="29" t="str">
        <f t="array" ref="E3701">IF(D3701="","",IF(D3701=1,0,INDEX(Calculation!Q$2:Q9627,D3701-1)))</f>
        <v/>
      </c>
      <c r="F3701" s="29" t="str">
        <f t="array" ref="F3701">IF($A3701="","",
  LET(
    r, $D3701,
    startD, INDEX(Calculation!B$2:B9627, r),
    endD,   INDEX(Calculation!C$2:C9627, r),
    asOf,   MIN($A3701,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02">
      <c r="A3702" s="28"/>
      <c r="B3702" s="29"/>
      <c r="C3702" s="29" t="str">
        <f t="shared" si="1"/>
        <v/>
      </c>
      <c r="D3702" s="6" t="str">
        <f>IF(A3702="","",MATCH(A3702,Calculation!B$2:B9627,1))</f>
        <v/>
      </c>
      <c r="E3702" s="29" t="str">
        <f t="array" ref="E3702">IF(D3702="","",IF(D3702=1,0,INDEX(Calculation!Q$2:Q9627,D3702-1)))</f>
        <v/>
      </c>
      <c r="F3702" s="29" t="str">
        <f t="array" ref="F3702">IF($A3702="","",
  LET(
    r, $D3702,
    startD, INDEX(Calculation!B$2:B9627, r),
    endD,   INDEX(Calculation!C$2:C9627, r),
    asOf,   MIN($A3702,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03">
      <c r="A3703" s="28"/>
      <c r="B3703" s="29"/>
      <c r="C3703" s="29" t="str">
        <f t="shared" si="1"/>
        <v/>
      </c>
      <c r="D3703" s="6" t="str">
        <f>IF(A3703="","",MATCH(A3703,Calculation!B$2:B9627,1))</f>
        <v/>
      </c>
      <c r="E3703" s="29" t="str">
        <f t="array" ref="E3703">IF(D3703="","",IF(D3703=1,0,INDEX(Calculation!Q$2:Q9627,D3703-1)))</f>
        <v/>
      </c>
      <c r="F3703" s="29" t="str">
        <f t="array" ref="F3703">IF($A3703="","",
  LET(
    r, $D3703,
    startD, INDEX(Calculation!B$2:B9627, r),
    endD,   INDEX(Calculation!C$2:C9627, r),
    asOf,   MIN($A3703,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04">
      <c r="A3704" s="28"/>
      <c r="B3704" s="29"/>
      <c r="C3704" s="29" t="str">
        <f t="shared" si="1"/>
        <v/>
      </c>
      <c r="D3704" s="6" t="str">
        <f>IF(A3704="","",MATCH(A3704,Calculation!B$2:B9627,1))</f>
        <v/>
      </c>
      <c r="E3704" s="29" t="str">
        <f t="array" ref="E3704">IF(D3704="","",IF(D3704=1,0,INDEX(Calculation!Q$2:Q9627,D3704-1)))</f>
        <v/>
      </c>
      <c r="F3704" s="29" t="str">
        <f t="array" ref="F3704">IF($A3704="","",
  LET(
    r, $D3704,
    startD, INDEX(Calculation!B$2:B9627, r),
    endD,   INDEX(Calculation!C$2:C9627, r),
    asOf,   MIN($A3704,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05">
      <c r="A3705" s="28"/>
      <c r="B3705" s="29"/>
      <c r="C3705" s="29" t="str">
        <f t="shared" si="1"/>
        <v/>
      </c>
      <c r="D3705" s="6" t="str">
        <f>IF(A3705="","",MATCH(A3705,Calculation!B$2:B9627,1))</f>
        <v/>
      </c>
      <c r="E3705" s="29" t="str">
        <f t="array" ref="E3705">IF(D3705="","",IF(D3705=1,0,INDEX(Calculation!Q$2:Q9627,D3705-1)))</f>
        <v/>
      </c>
      <c r="F3705" s="29" t="str">
        <f t="array" ref="F3705">IF($A3705="","",
  LET(
    r, $D3705,
    startD, INDEX(Calculation!B$2:B9627, r),
    endD,   INDEX(Calculation!C$2:C9627, r),
    asOf,   MIN($A3705,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06">
      <c r="A3706" s="28"/>
      <c r="B3706" s="29"/>
      <c r="C3706" s="29" t="str">
        <f t="shared" si="1"/>
        <v/>
      </c>
      <c r="D3706" s="6" t="str">
        <f>IF(A3706="","",MATCH(A3706,Calculation!B$2:B9627,1))</f>
        <v/>
      </c>
      <c r="E3706" s="29" t="str">
        <f t="array" ref="E3706">IF(D3706="","",IF(D3706=1,0,INDEX(Calculation!Q$2:Q9627,D3706-1)))</f>
        <v/>
      </c>
      <c r="F3706" s="29" t="str">
        <f t="array" ref="F3706">IF($A3706="","",
  LET(
    r, $D3706,
    startD, INDEX(Calculation!B$2:B9627, r),
    endD,   INDEX(Calculation!C$2:C9627, r),
    asOf,   MIN($A3706,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07">
      <c r="A3707" s="28"/>
      <c r="B3707" s="29"/>
      <c r="C3707" s="29" t="str">
        <f t="shared" si="1"/>
        <v/>
      </c>
      <c r="D3707" s="6" t="str">
        <f>IF(A3707="","",MATCH(A3707,Calculation!B$2:B9627,1))</f>
        <v/>
      </c>
      <c r="E3707" s="29" t="str">
        <f t="array" ref="E3707">IF(D3707="","",IF(D3707=1,0,INDEX(Calculation!Q$2:Q9627,D3707-1)))</f>
        <v/>
      </c>
      <c r="F3707" s="29" t="str">
        <f t="array" ref="F3707">IF($A3707="","",
  LET(
    r, $D3707,
    startD, INDEX(Calculation!B$2:B9627, r),
    endD,   INDEX(Calculation!C$2:C9627, r),
    asOf,   MIN($A3707,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08">
      <c r="A3708" s="28"/>
      <c r="B3708" s="29"/>
      <c r="C3708" s="29" t="str">
        <f t="shared" si="1"/>
        <v/>
      </c>
      <c r="D3708" s="6" t="str">
        <f>IF(A3708="","",MATCH(A3708,Calculation!B$2:B9627,1))</f>
        <v/>
      </c>
      <c r="E3708" s="29" t="str">
        <f t="array" ref="E3708">IF(D3708="","",IF(D3708=1,0,INDEX(Calculation!Q$2:Q9627,D3708-1)))</f>
        <v/>
      </c>
      <c r="F3708" s="29" t="str">
        <f t="array" ref="F3708">IF($A3708="","",
  LET(
    r, $D3708,
    startD, INDEX(Calculation!B$2:B9627, r),
    endD,   INDEX(Calculation!C$2:C9627, r),
    asOf,   MIN($A3708,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09">
      <c r="A3709" s="28"/>
      <c r="B3709" s="29"/>
      <c r="C3709" s="29" t="str">
        <f t="shared" si="1"/>
        <v/>
      </c>
      <c r="D3709" s="6" t="str">
        <f>IF(A3709="","",MATCH(A3709,Calculation!B$2:B9627,1))</f>
        <v/>
      </c>
      <c r="E3709" s="29" t="str">
        <f t="array" ref="E3709">IF(D3709="","",IF(D3709=1,0,INDEX(Calculation!Q$2:Q9627,D3709-1)))</f>
        <v/>
      </c>
      <c r="F3709" s="29" t="str">
        <f t="array" ref="F3709">IF($A3709="","",
  LET(
    r, $D3709,
    startD, INDEX(Calculation!B$2:B9627, r),
    endD,   INDEX(Calculation!C$2:C9627, r),
    asOf,   MIN($A3709,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10">
      <c r="A3710" s="28"/>
      <c r="B3710" s="29"/>
      <c r="C3710" s="29" t="str">
        <f t="shared" si="1"/>
        <v/>
      </c>
      <c r="D3710" s="6" t="str">
        <f>IF(A3710="","",MATCH(A3710,Calculation!B$2:B9627,1))</f>
        <v/>
      </c>
      <c r="E3710" s="29" t="str">
        <f t="array" ref="E3710">IF(D3710="","",IF(D3710=1,0,INDEX(Calculation!Q$2:Q9627,D3710-1)))</f>
        <v/>
      </c>
      <c r="F3710" s="29" t="str">
        <f t="array" ref="F3710">IF($A3710="","",
  LET(
    r, $D3710,
    startD, INDEX(Calculation!B$2:B9627, r),
    endD,   INDEX(Calculation!C$2:C9627, r),
    asOf,   MIN($A3710,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11">
      <c r="A3711" s="28"/>
      <c r="B3711" s="29"/>
      <c r="C3711" s="29" t="str">
        <f t="shared" si="1"/>
        <v/>
      </c>
      <c r="D3711" s="6" t="str">
        <f>IF(A3711="","",MATCH(A3711,Calculation!B$2:B9627,1))</f>
        <v/>
      </c>
      <c r="E3711" s="29" t="str">
        <f t="array" ref="E3711">IF(D3711="","",IF(D3711=1,0,INDEX(Calculation!Q$2:Q9627,D3711-1)))</f>
        <v/>
      </c>
      <c r="F3711" s="29" t="str">
        <f t="array" ref="F3711">IF($A3711="","",
  LET(
    r, $D3711,
    startD, INDEX(Calculation!B$2:B9627, r),
    endD,   INDEX(Calculation!C$2:C9627, r),
    asOf,   MIN($A3711,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12">
      <c r="A3712" s="28"/>
      <c r="B3712" s="29"/>
      <c r="C3712" s="29" t="str">
        <f t="shared" si="1"/>
        <v/>
      </c>
      <c r="D3712" s="6" t="str">
        <f>IF(A3712="","",MATCH(A3712,Calculation!B$2:B9627,1))</f>
        <v/>
      </c>
      <c r="E3712" s="29" t="str">
        <f t="array" ref="E3712">IF(D3712="","",IF(D3712=1,0,INDEX(Calculation!Q$2:Q9627,D3712-1)))</f>
        <v/>
      </c>
      <c r="F3712" s="29" t="str">
        <f t="array" ref="F3712">IF($A3712="","",
  LET(
    r, $D3712,
    startD, INDEX(Calculation!B$2:B9627, r),
    endD,   INDEX(Calculation!C$2:C9627, r),
    asOf,   MIN($A3712,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13">
      <c r="A3713" s="28"/>
      <c r="B3713" s="29"/>
      <c r="C3713" s="29" t="str">
        <f t="shared" si="1"/>
        <v/>
      </c>
      <c r="D3713" s="6" t="str">
        <f>IF(A3713="","",MATCH(A3713,Calculation!B$2:B9627,1))</f>
        <v/>
      </c>
      <c r="E3713" s="29" t="str">
        <f t="array" ref="E3713">IF(D3713="","",IF(D3713=1,0,INDEX(Calculation!Q$2:Q9627,D3713-1)))</f>
        <v/>
      </c>
      <c r="F3713" s="29" t="str">
        <f t="array" ref="F3713">IF($A3713="","",
  LET(
    r, $D3713,
    startD, INDEX(Calculation!B$2:B9627, r),
    endD,   INDEX(Calculation!C$2:C9627, r),
    asOf,   MIN($A3713,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14">
      <c r="A3714" s="28"/>
      <c r="B3714" s="29"/>
      <c r="C3714" s="29" t="str">
        <f t="shared" si="1"/>
        <v/>
      </c>
      <c r="D3714" s="6" t="str">
        <f>IF(A3714="","",MATCH(A3714,Calculation!B$2:B9627,1))</f>
        <v/>
      </c>
      <c r="E3714" s="29" t="str">
        <f t="array" ref="E3714">IF(D3714="","",IF(D3714=1,0,INDEX(Calculation!Q$2:Q9627,D3714-1)))</f>
        <v/>
      </c>
      <c r="F3714" s="29" t="str">
        <f t="array" ref="F3714">IF($A3714="","",
  LET(
    r, $D3714,
    startD, INDEX(Calculation!B$2:B9627, r),
    endD,   INDEX(Calculation!C$2:C9627, r),
    asOf,   MIN($A3714,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15">
      <c r="A3715" s="28"/>
      <c r="B3715" s="29"/>
      <c r="C3715" s="29" t="str">
        <f t="shared" si="1"/>
        <v/>
      </c>
      <c r="D3715" s="6" t="str">
        <f>IF(A3715="","",MATCH(A3715,Calculation!B$2:B9627,1))</f>
        <v/>
      </c>
      <c r="E3715" s="29" t="str">
        <f t="array" ref="E3715">IF(D3715="","",IF(D3715=1,0,INDEX(Calculation!Q$2:Q9627,D3715-1)))</f>
        <v/>
      </c>
      <c r="F3715" s="29" t="str">
        <f t="array" ref="F3715">IF($A3715="","",
  LET(
    r, $D3715,
    startD, INDEX(Calculation!B$2:B9627, r),
    endD,   INDEX(Calculation!C$2:C9627, r),
    asOf,   MIN($A3715,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16">
      <c r="A3716" s="28"/>
      <c r="B3716" s="29"/>
      <c r="C3716" s="29" t="str">
        <f t="shared" si="1"/>
        <v/>
      </c>
      <c r="D3716" s="6" t="str">
        <f>IF(A3716="","",MATCH(A3716,Calculation!B$2:B9627,1))</f>
        <v/>
      </c>
      <c r="E3716" s="29" t="str">
        <f t="array" ref="E3716">IF(D3716="","",IF(D3716=1,0,INDEX(Calculation!Q$2:Q9627,D3716-1)))</f>
        <v/>
      </c>
      <c r="F3716" s="29" t="str">
        <f t="array" ref="F3716">IF($A3716="","",
  LET(
    r, $D3716,
    startD, INDEX(Calculation!B$2:B9627, r),
    endD,   INDEX(Calculation!C$2:C9627, r),
    asOf,   MIN($A3716,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17">
      <c r="A3717" s="28"/>
      <c r="B3717" s="29"/>
      <c r="C3717" s="29" t="str">
        <f t="shared" si="1"/>
        <v/>
      </c>
      <c r="D3717" s="6" t="str">
        <f>IF(A3717="","",MATCH(A3717,Calculation!B$2:B9627,1))</f>
        <v/>
      </c>
      <c r="E3717" s="29" t="str">
        <f t="array" ref="E3717">IF(D3717="","",IF(D3717=1,0,INDEX(Calculation!Q$2:Q9627,D3717-1)))</f>
        <v/>
      </c>
      <c r="F3717" s="29" t="str">
        <f t="array" ref="F3717">IF($A3717="","",
  LET(
    r, $D3717,
    startD, INDEX(Calculation!B$2:B9627, r),
    endD,   INDEX(Calculation!C$2:C9627, r),
    asOf,   MIN($A3717,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18">
      <c r="A3718" s="28"/>
      <c r="B3718" s="29"/>
      <c r="C3718" s="29" t="str">
        <f t="shared" si="1"/>
        <v/>
      </c>
      <c r="D3718" s="6" t="str">
        <f>IF(A3718="","",MATCH(A3718,Calculation!B$2:B9627,1))</f>
        <v/>
      </c>
      <c r="E3718" s="29" t="str">
        <f t="array" ref="E3718">IF(D3718="","",IF(D3718=1,0,INDEX(Calculation!Q$2:Q9627,D3718-1)))</f>
        <v/>
      </c>
      <c r="F3718" s="29" t="str">
        <f t="array" ref="F3718">IF($A3718="","",
  LET(
    r, $D3718,
    startD, INDEX(Calculation!B$2:B9627, r),
    endD,   INDEX(Calculation!C$2:C9627, r),
    asOf,   MIN($A3718,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19">
      <c r="A3719" s="28"/>
      <c r="B3719" s="29"/>
      <c r="C3719" s="29" t="str">
        <f t="shared" si="1"/>
        <v/>
      </c>
      <c r="D3719" s="6" t="str">
        <f>IF(A3719="","",MATCH(A3719,Calculation!B$2:B9627,1))</f>
        <v/>
      </c>
      <c r="E3719" s="29" t="str">
        <f t="array" ref="E3719">IF(D3719="","",IF(D3719=1,0,INDEX(Calculation!Q$2:Q9627,D3719-1)))</f>
        <v/>
      </c>
      <c r="F3719" s="29" t="str">
        <f t="array" ref="F3719">IF($A3719="","",
  LET(
    r, $D3719,
    startD, INDEX(Calculation!B$2:B9627, r),
    endD,   INDEX(Calculation!C$2:C9627, r),
    asOf,   MIN($A3719,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20">
      <c r="A3720" s="28"/>
      <c r="B3720" s="29"/>
      <c r="C3720" s="29" t="str">
        <f t="shared" si="1"/>
        <v/>
      </c>
      <c r="D3720" s="6" t="str">
        <f>IF(A3720="","",MATCH(A3720,Calculation!B$2:B9627,1))</f>
        <v/>
      </c>
      <c r="E3720" s="29" t="str">
        <f t="array" ref="E3720">IF(D3720="","",IF(D3720=1,0,INDEX(Calculation!Q$2:Q9627,D3720-1)))</f>
        <v/>
      </c>
      <c r="F3720" s="29" t="str">
        <f t="array" ref="F3720">IF($A3720="","",
  LET(
    r, $D3720,
    startD, INDEX(Calculation!B$2:B9627, r),
    endD,   INDEX(Calculation!C$2:C9627, r),
    asOf,   MIN($A3720,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21">
      <c r="A3721" s="28"/>
      <c r="B3721" s="29"/>
      <c r="C3721" s="29" t="str">
        <f t="shared" si="1"/>
        <v/>
      </c>
      <c r="D3721" s="6" t="str">
        <f>IF(A3721="","",MATCH(A3721,Calculation!B$2:B9627,1))</f>
        <v/>
      </c>
      <c r="E3721" s="29" t="str">
        <f t="array" ref="E3721">IF(D3721="","",IF(D3721=1,0,INDEX(Calculation!Q$2:Q9627,D3721-1)))</f>
        <v/>
      </c>
      <c r="F3721" s="29" t="str">
        <f t="array" ref="F3721">IF($A3721="","",
  LET(
    r, $D3721,
    startD, INDEX(Calculation!B$2:B9627, r),
    endD,   INDEX(Calculation!C$2:C9627, r),
    asOf,   MIN($A3721,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22">
      <c r="A3722" s="28"/>
      <c r="B3722" s="29"/>
      <c r="C3722" s="29" t="str">
        <f t="shared" si="1"/>
        <v/>
      </c>
      <c r="D3722" s="6" t="str">
        <f>IF(A3722="","",MATCH(A3722,Calculation!B$2:B9627,1))</f>
        <v/>
      </c>
      <c r="E3722" s="29" t="str">
        <f t="array" ref="E3722">IF(D3722="","",IF(D3722=1,0,INDEX(Calculation!Q$2:Q9627,D3722-1)))</f>
        <v/>
      </c>
      <c r="F3722" s="29" t="str">
        <f t="array" ref="F3722">IF($A3722="","",
  LET(
    r, $D3722,
    startD, INDEX(Calculation!B$2:B9627, r),
    endD,   INDEX(Calculation!C$2:C9627, r),
    asOf,   MIN($A3722,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23">
      <c r="A3723" s="28"/>
      <c r="B3723" s="29"/>
      <c r="C3723" s="29" t="str">
        <f t="shared" si="1"/>
        <v/>
      </c>
      <c r="D3723" s="6" t="str">
        <f>IF(A3723="","",MATCH(A3723,Calculation!B$2:B9627,1))</f>
        <v/>
      </c>
      <c r="E3723" s="29" t="str">
        <f t="array" ref="E3723">IF(D3723="","",IF(D3723=1,0,INDEX(Calculation!Q$2:Q9627,D3723-1)))</f>
        <v/>
      </c>
      <c r="F3723" s="29" t="str">
        <f t="array" ref="F3723">IF($A3723="","",
  LET(
    r, $D3723,
    startD, INDEX(Calculation!B$2:B9627, r),
    endD,   INDEX(Calculation!C$2:C9627, r),
    asOf,   MIN($A3723,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24">
      <c r="A3724" s="28"/>
      <c r="B3724" s="29"/>
      <c r="C3724" s="29" t="str">
        <f t="shared" si="1"/>
        <v/>
      </c>
      <c r="D3724" s="6" t="str">
        <f>IF(A3724="","",MATCH(A3724,Calculation!B$2:B9627,1))</f>
        <v/>
      </c>
      <c r="E3724" s="29" t="str">
        <f t="array" ref="E3724">IF(D3724="","",IF(D3724=1,0,INDEX(Calculation!Q$2:Q9627,D3724-1)))</f>
        <v/>
      </c>
      <c r="F3724" s="29" t="str">
        <f t="array" ref="F3724">IF($A3724="","",
  LET(
    r, $D3724,
    startD, INDEX(Calculation!B$2:B9627, r),
    endD,   INDEX(Calculation!C$2:C9627, r),
    asOf,   MIN($A3724,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25">
      <c r="A3725" s="28"/>
      <c r="B3725" s="29"/>
      <c r="C3725" s="29" t="str">
        <f t="shared" si="1"/>
        <v/>
      </c>
      <c r="D3725" s="6" t="str">
        <f>IF(A3725="","",MATCH(A3725,Calculation!B$2:B9627,1))</f>
        <v/>
      </c>
      <c r="E3725" s="29" t="str">
        <f t="array" ref="E3725">IF(D3725="","",IF(D3725=1,0,INDEX(Calculation!Q$2:Q9627,D3725-1)))</f>
        <v/>
      </c>
      <c r="F3725" s="29" t="str">
        <f t="array" ref="F3725">IF($A3725="","",
  LET(
    r, $D3725,
    startD, INDEX(Calculation!B$2:B9627, r),
    endD,   INDEX(Calculation!C$2:C9627, r),
    asOf,   MIN($A3725,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26">
      <c r="A3726" s="28"/>
      <c r="B3726" s="29"/>
      <c r="C3726" s="29" t="str">
        <f t="shared" si="1"/>
        <v/>
      </c>
      <c r="D3726" s="6" t="str">
        <f>IF(A3726="","",MATCH(A3726,Calculation!B$2:B9627,1))</f>
        <v/>
      </c>
      <c r="E3726" s="29" t="str">
        <f t="array" ref="E3726">IF(D3726="","",IF(D3726=1,0,INDEX(Calculation!Q$2:Q9627,D3726-1)))</f>
        <v/>
      </c>
      <c r="F3726" s="29" t="str">
        <f t="array" ref="F3726">IF($A3726="","",
  LET(
    r, $D3726,
    startD, INDEX(Calculation!B$2:B9627, r),
    endD,   INDEX(Calculation!C$2:C9627, r),
    asOf,   MIN($A3726,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27">
      <c r="A3727" s="28"/>
      <c r="B3727" s="29"/>
      <c r="C3727" s="29" t="str">
        <f t="shared" si="1"/>
        <v/>
      </c>
      <c r="D3727" s="6" t="str">
        <f>IF(A3727="","",MATCH(A3727,Calculation!B$2:B9627,1))</f>
        <v/>
      </c>
      <c r="E3727" s="29" t="str">
        <f t="array" ref="E3727">IF(D3727="","",IF(D3727=1,0,INDEX(Calculation!Q$2:Q9627,D3727-1)))</f>
        <v/>
      </c>
      <c r="F3727" s="29" t="str">
        <f t="array" ref="F3727">IF($A3727="","",
  LET(
    r, $D3727,
    startD, INDEX(Calculation!B$2:B9627, r),
    endD,   INDEX(Calculation!C$2:C9627, r),
    asOf,   MIN($A3727,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28">
      <c r="A3728" s="28"/>
      <c r="B3728" s="29"/>
      <c r="C3728" s="29" t="str">
        <f t="shared" si="1"/>
        <v/>
      </c>
      <c r="D3728" s="6" t="str">
        <f>IF(A3728="","",MATCH(A3728,Calculation!B$2:B9627,1))</f>
        <v/>
      </c>
      <c r="E3728" s="29" t="str">
        <f t="array" ref="E3728">IF(D3728="","",IF(D3728=1,0,INDEX(Calculation!Q$2:Q9627,D3728-1)))</f>
        <v/>
      </c>
      <c r="F3728" s="29" t="str">
        <f t="array" ref="F3728">IF($A3728="","",
  LET(
    r, $D3728,
    startD, INDEX(Calculation!B$2:B9627, r),
    endD,   INDEX(Calculation!C$2:C9627, r),
    asOf,   MIN($A3728,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29">
      <c r="A3729" s="28"/>
      <c r="B3729" s="29"/>
      <c r="C3729" s="29" t="str">
        <f t="shared" si="1"/>
        <v/>
      </c>
      <c r="D3729" s="6" t="str">
        <f>IF(A3729="","",MATCH(A3729,Calculation!B$2:B9627,1))</f>
        <v/>
      </c>
      <c r="E3729" s="29" t="str">
        <f t="array" ref="E3729">IF(D3729="","",IF(D3729=1,0,INDEX(Calculation!Q$2:Q9627,D3729-1)))</f>
        <v/>
      </c>
      <c r="F3729" s="29" t="str">
        <f t="array" ref="F3729">IF($A3729="","",
  LET(
    r, $D3729,
    startD, INDEX(Calculation!B$2:B9627, r),
    endD,   INDEX(Calculation!C$2:C9627, r),
    asOf,   MIN($A3729,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30">
      <c r="A3730" s="28"/>
      <c r="B3730" s="29"/>
      <c r="C3730" s="29" t="str">
        <f t="shared" si="1"/>
        <v/>
      </c>
      <c r="D3730" s="6" t="str">
        <f>IF(A3730="","",MATCH(A3730,Calculation!B$2:B9627,1))</f>
        <v/>
      </c>
      <c r="E3730" s="29" t="str">
        <f t="array" ref="E3730">IF(D3730="","",IF(D3730=1,0,INDEX(Calculation!Q$2:Q9627,D3730-1)))</f>
        <v/>
      </c>
      <c r="F3730" s="29" t="str">
        <f t="array" ref="F3730">IF($A3730="","",
  LET(
    r, $D3730,
    startD, INDEX(Calculation!B$2:B9627, r),
    endD,   INDEX(Calculation!C$2:C9627, r),
    asOf,   MIN($A3730,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31">
      <c r="A3731" s="28"/>
      <c r="B3731" s="29"/>
      <c r="C3731" s="29" t="str">
        <f t="shared" si="1"/>
        <v/>
      </c>
      <c r="D3731" s="6" t="str">
        <f>IF(A3731="","",MATCH(A3731,Calculation!B$2:B9627,1))</f>
        <v/>
      </c>
      <c r="E3731" s="29" t="str">
        <f t="array" ref="E3731">IF(D3731="","",IF(D3731=1,0,INDEX(Calculation!Q$2:Q9627,D3731-1)))</f>
        <v/>
      </c>
      <c r="F3731" s="29" t="str">
        <f t="array" ref="F3731">IF($A3731="","",
  LET(
    r, $D3731,
    startD, INDEX(Calculation!B$2:B9627, r),
    endD,   INDEX(Calculation!C$2:C9627, r),
    asOf,   MIN($A3731,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32">
      <c r="A3732" s="28"/>
      <c r="B3732" s="29"/>
      <c r="C3732" s="29" t="str">
        <f t="shared" si="1"/>
        <v/>
      </c>
      <c r="D3732" s="6" t="str">
        <f>IF(A3732="","",MATCH(A3732,Calculation!B$2:B9627,1))</f>
        <v/>
      </c>
      <c r="E3732" s="29" t="str">
        <f t="array" ref="E3732">IF(D3732="","",IF(D3732=1,0,INDEX(Calculation!Q$2:Q9627,D3732-1)))</f>
        <v/>
      </c>
      <c r="F3732" s="29" t="str">
        <f t="array" ref="F3732">IF($A3732="","",
  LET(
    r, $D3732,
    startD, INDEX(Calculation!B$2:B9627, r),
    endD,   INDEX(Calculation!C$2:C9627, r),
    asOf,   MIN($A3732,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33">
      <c r="A3733" s="28"/>
      <c r="B3733" s="29"/>
      <c r="C3733" s="29" t="str">
        <f t="shared" si="1"/>
        <v/>
      </c>
      <c r="D3733" s="6" t="str">
        <f>IF(A3733="","",MATCH(A3733,Calculation!B$2:B9627,1))</f>
        <v/>
      </c>
      <c r="E3733" s="29" t="str">
        <f t="array" ref="E3733">IF(D3733="","",IF(D3733=1,0,INDEX(Calculation!Q$2:Q9627,D3733-1)))</f>
        <v/>
      </c>
      <c r="F3733" s="29" t="str">
        <f t="array" ref="F3733">IF($A3733="","",
  LET(
    r, $D3733,
    startD, INDEX(Calculation!B$2:B9627, r),
    endD,   INDEX(Calculation!C$2:C9627, r),
    asOf,   MIN($A3733,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34">
      <c r="A3734" s="28"/>
      <c r="B3734" s="29"/>
      <c r="C3734" s="29" t="str">
        <f t="shared" si="1"/>
        <v/>
      </c>
      <c r="D3734" s="6" t="str">
        <f>IF(A3734="","",MATCH(A3734,Calculation!B$2:B9627,1))</f>
        <v/>
      </c>
      <c r="E3734" s="29" t="str">
        <f t="array" ref="E3734">IF(D3734="","",IF(D3734=1,0,INDEX(Calculation!Q$2:Q9627,D3734-1)))</f>
        <v/>
      </c>
      <c r="F3734" s="29" t="str">
        <f t="array" ref="F3734">IF($A3734="","",
  LET(
    r, $D3734,
    startD, INDEX(Calculation!B$2:B9627, r),
    endD,   INDEX(Calculation!C$2:C9627, r),
    asOf,   MIN($A3734,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35">
      <c r="A3735" s="28"/>
      <c r="B3735" s="29"/>
      <c r="C3735" s="29" t="str">
        <f t="shared" si="1"/>
        <v/>
      </c>
      <c r="D3735" s="6" t="str">
        <f>IF(A3735="","",MATCH(A3735,Calculation!B$2:B9627,1))</f>
        <v/>
      </c>
      <c r="E3735" s="29" t="str">
        <f t="array" ref="E3735">IF(D3735="","",IF(D3735=1,0,INDEX(Calculation!Q$2:Q9627,D3735-1)))</f>
        <v/>
      </c>
      <c r="F3735" s="29" t="str">
        <f t="array" ref="F3735">IF($A3735="","",
  LET(
    r, $D3735,
    startD, INDEX(Calculation!B$2:B9627, r),
    endD,   INDEX(Calculation!C$2:C9627, r),
    asOf,   MIN($A3735,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36">
      <c r="A3736" s="28"/>
      <c r="B3736" s="29"/>
      <c r="C3736" s="29" t="str">
        <f t="shared" si="1"/>
        <v/>
      </c>
      <c r="D3736" s="6" t="str">
        <f>IF(A3736="","",MATCH(A3736,Calculation!B$2:B9627,1))</f>
        <v/>
      </c>
      <c r="E3736" s="29" t="str">
        <f t="array" ref="E3736">IF(D3736="","",IF(D3736=1,0,INDEX(Calculation!Q$2:Q9627,D3736-1)))</f>
        <v/>
      </c>
      <c r="F3736" s="29" t="str">
        <f t="array" ref="F3736">IF($A3736="","",
  LET(
    r, $D3736,
    startD, INDEX(Calculation!B$2:B9627, r),
    endD,   INDEX(Calculation!C$2:C9627, r),
    asOf,   MIN($A3736,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37">
      <c r="A3737" s="28"/>
      <c r="B3737" s="29"/>
      <c r="C3737" s="29" t="str">
        <f t="shared" si="1"/>
        <v/>
      </c>
      <c r="D3737" s="6" t="str">
        <f>IF(A3737="","",MATCH(A3737,Calculation!B$2:B9627,1))</f>
        <v/>
      </c>
      <c r="E3737" s="29" t="str">
        <f t="array" ref="E3737">IF(D3737="","",IF(D3737=1,0,INDEX(Calculation!Q$2:Q9627,D3737-1)))</f>
        <v/>
      </c>
      <c r="F3737" s="29" t="str">
        <f t="array" ref="F3737">IF($A3737="","",
  LET(
    r, $D3737,
    startD, INDEX(Calculation!B$2:B9627, r),
    endD,   INDEX(Calculation!C$2:C9627, r),
    asOf,   MIN($A3737,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38">
      <c r="A3738" s="28"/>
      <c r="B3738" s="29"/>
      <c r="C3738" s="29" t="str">
        <f t="shared" si="1"/>
        <v/>
      </c>
      <c r="D3738" s="6" t="str">
        <f>IF(A3738="","",MATCH(A3738,Calculation!B$2:B9627,1))</f>
        <v/>
      </c>
      <c r="E3738" s="29" t="str">
        <f t="array" ref="E3738">IF(D3738="","",IF(D3738=1,0,INDEX(Calculation!Q$2:Q9627,D3738-1)))</f>
        <v/>
      </c>
      <c r="F3738" s="29" t="str">
        <f t="array" ref="F3738">IF($A3738="","",
  LET(
    r, $D3738,
    startD, INDEX(Calculation!B$2:B9627, r),
    endD,   INDEX(Calculation!C$2:C9627, r),
    asOf,   MIN($A3738,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39">
      <c r="A3739" s="28"/>
      <c r="B3739" s="29"/>
      <c r="C3739" s="29" t="str">
        <f t="shared" si="1"/>
        <v/>
      </c>
      <c r="D3739" s="6" t="str">
        <f>IF(A3739="","",MATCH(A3739,Calculation!B$2:B9627,1))</f>
        <v/>
      </c>
      <c r="E3739" s="29" t="str">
        <f t="array" ref="E3739">IF(D3739="","",IF(D3739=1,0,INDEX(Calculation!Q$2:Q9627,D3739-1)))</f>
        <v/>
      </c>
      <c r="F3739" s="29" t="str">
        <f t="array" ref="F3739">IF($A3739="","",
  LET(
    r, $D3739,
    startD, INDEX(Calculation!B$2:B9627, r),
    endD,   INDEX(Calculation!C$2:C9627, r),
    asOf,   MIN($A3739,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40">
      <c r="A3740" s="28"/>
      <c r="B3740" s="29"/>
      <c r="C3740" s="29" t="str">
        <f t="shared" si="1"/>
        <v/>
      </c>
      <c r="D3740" s="6" t="str">
        <f>IF(A3740="","",MATCH(A3740,Calculation!B$2:B9627,1))</f>
        <v/>
      </c>
      <c r="E3740" s="29" t="str">
        <f t="array" ref="E3740">IF(D3740="","",IF(D3740=1,0,INDEX(Calculation!Q$2:Q9627,D3740-1)))</f>
        <v/>
      </c>
      <c r="F3740" s="29" t="str">
        <f t="array" ref="F3740">IF($A3740="","",
  LET(
    r, $D3740,
    startD, INDEX(Calculation!B$2:B9627, r),
    endD,   INDEX(Calculation!C$2:C9627, r),
    asOf,   MIN($A3740,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41">
      <c r="A3741" s="28"/>
      <c r="B3741" s="29"/>
      <c r="C3741" s="29" t="str">
        <f t="shared" si="1"/>
        <v/>
      </c>
      <c r="D3741" s="6" t="str">
        <f>IF(A3741="","",MATCH(A3741,Calculation!B$2:B9627,1))</f>
        <v/>
      </c>
      <c r="E3741" s="29" t="str">
        <f t="array" ref="E3741">IF(D3741="","",IF(D3741=1,0,INDEX(Calculation!Q$2:Q9627,D3741-1)))</f>
        <v/>
      </c>
      <c r="F3741" s="29" t="str">
        <f t="array" ref="F3741">IF($A3741="","",
  LET(
    r, $D3741,
    startD, INDEX(Calculation!B$2:B9627, r),
    endD,   INDEX(Calculation!C$2:C9627, r),
    asOf,   MIN($A3741,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42">
      <c r="A3742" s="28"/>
      <c r="B3742" s="29"/>
      <c r="C3742" s="29" t="str">
        <f t="shared" si="1"/>
        <v/>
      </c>
      <c r="D3742" s="6" t="str">
        <f>IF(A3742="","",MATCH(A3742,Calculation!B$2:B9627,1))</f>
        <v/>
      </c>
      <c r="E3742" s="29" t="str">
        <f t="array" ref="E3742">IF(D3742="","",IF(D3742=1,0,INDEX(Calculation!Q$2:Q9627,D3742-1)))</f>
        <v/>
      </c>
      <c r="F3742" s="29" t="str">
        <f t="array" ref="F3742">IF($A3742="","",
  LET(
    r, $D3742,
    startD, INDEX(Calculation!B$2:B9627, r),
    endD,   INDEX(Calculation!C$2:C9627, r),
    asOf,   MIN($A3742,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43">
      <c r="A3743" s="28"/>
      <c r="B3743" s="29"/>
      <c r="C3743" s="29" t="str">
        <f t="shared" si="1"/>
        <v/>
      </c>
      <c r="D3743" s="6" t="str">
        <f>IF(A3743="","",MATCH(A3743,Calculation!B$2:B9627,1))</f>
        <v/>
      </c>
      <c r="E3743" s="29" t="str">
        <f t="array" ref="E3743">IF(D3743="","",IF(D3743=1,0,INDEX(Calculation!Q$2:Q9627,D3743-1)))</f>
        <v/>
      </c>
      <c r="F3743" s="29" t="str">
        <f t="array" ref="F3743">IF($A3743="","",
  LET(
    r, $D3743,
    startD, INDEX(Calculation!B$2:B9627, r),
    endD,   INDEX(Calculation!C$2:C9627, r),
    asOf,   MIN($A3743,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44">
      <c r="A3744" s="28"/>
      <c r="B3744" s="29"/>
      <c r="C3744" s="29" t="str">
        <f t="shared" si="1"/>
        <v/>
      </c>
      <c r="D3744" s="6" t="str">
        <f>IF(A3744="","",MATCH(A3744,Calculation!B$2:B9627,1))</f>
        <v/>
      </c>
      <c r="E3744" s="29" t="str">
        <f t="array" ref="E3744">IF(D3744="","",IF(D3744=1,0,INDEX(Calculation!Q$2:Q9627,D3744-1)))</f>
        <v/>
      </c>
      <c r="F3744" s="29" t="str">
        <f t="array" ref="F3744">IF($A3744="","",
  LET(
    r, $D3744,
    startD, INDEX(Calculation!B$2:B9627, r),
    endD,   INDEX(Calculation!C$2:C9627, r),
    asOf,   MIN($A3744,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45">
      <c r="A3745" s="28"/>
      <c r="B3745" s="29"/>
      <c r="C3745" s="29" t="str">
        <f t="shared" si="1"/>
        <v/>
      </c>
      <c r="D3745" s="6" t="str">
        <f>IF(A3745="","",MATCH(A3745,Calculation!B$2:B9627,1))</f>
        <v/>
      </c>
      <c r="E3745" s="29" t="str">
        <f t="array" ref="E3745">IF(D3745="","",IF(D3745=1,0,INDEX(Calculation!Q$2:Q9627,D3745-1)))</f>
        <v/>
      </c>
      <c r="F3745" s="29" t="str">
        <f t="array" ref="F3745">IF($A3745="","",
  LET(
    r, $D3745,
    startD, INDEX(Calculation!B$2:B9627, r),
    endD,   INDEX(Calculation!C$2:C9627, r),
    asOf,   MIN($A3745,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46">
      <c r="A3746" s="28"/>
      <c r="B3746" s="29"/>
      <c r="C3746" s="29" t="str">
        <f t="shared" si="1"/>
        <v/>
      </c>
      <c r="D3746" s="6" t="str">
        <f>IF(A3746="","",MATCH(A3746,Calculation!B$2:B9627,1))</f>
        <v/>
      </c>
      <c r="E3746" s="29" t="str">
        <f t="array" ref="E3746">IF(D3746="","",IF(D3746=1,0,INDEX(Calculation!Q$2:Q9627,D3746-1)))</f>
        <v/>
      </c>
      <c r="F3746" s="29" t="str">
        <f t="array" ref="F3746">IF($A3746="","",
  LET(
    r, $D3746,
    startD, INDEX(Calculation!B$2:B9627, r),
    endD,   INDEX(Calculation!C$2:C9627, r),
    asOf,   MIN($A3746,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47">
      <c r="A3747" s="28"/>
      <c r="B3747" s="29"/>
      <c r="C3747" s="29" t="str">
        <f t="shared" si="1"/>
        <v/>
      </c>
      <c r="D3747" s="6" t="str">
        <f>IF(A3747="","",MATCH(A3747,Calculation!B$2:B9627,1))</f>
        <v/>
      </c>
      <c r="E3747" s="29" t="str">
        <f t="array" ref="E3747">IF(D3747="","",IF(D3747=1,0,INDEX(Calculation!Q$2:Q9627,D3747-1)))</f>
        <v/>
      </c>
      <c r="F3747" s="29" t="str">
        <f t="array" ref="F3747">IF($A3747="","",
  LET(
    r, $D3747,
    startD, INDEX(Calculation!B$2:B9627, r),
    endD,   INDEX(Calculation!C$2:C9627, r),
    asOf,   MIN($A3747,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48">
      <c r="A3748" s="28"/>
      <c r="B3748" s="29"/>
      <c r="C3748" s="29" t="str">
        <f t="shared" si="1"/>
        <v/>
      </c>
      <c r="D3748" s="6" t="str">
        <f>IF(A3748="","",MATCH(A3748,Calculation!B$2:B9627,1))</f>
        <v/>
      </c>
      <c r="E3748" s="29" t="str">
        <f t="array" ref="E3748">IF(D3748="","",IF(D3748=1,0,INDEX(Calculation!Q$2:Q9627,D3748-1)))</f>
        <v/>
      </c>
      <c r="F3748" s="29" t="str">
        <f t="array" ref="F3748">IF($A3748="","",
  LET(
    r, $D3748,
    startD, INDEX(Calculation!B$2:B9627, r),
    endD,   INDEX(Calculation!C$2:C9627, r),
    asOf,   MIN($A3748,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49">
      <c r="A3749" s="28"/>
      <c r="B3749" s="29"/>
      <c r="C3749" s="29" t="str">
        <f t="shared" si="1"/>
        <v/>
      </c>
      <c r="D3749" s="6" t="str">
        <f>IF(A3749="","",MATCH(A3749,Calculation!B$2:B9627,1))</f>
        <v/>
      </c>
      <c r="E3749" s="29" t="str">
        <f t="array" ref="E3749">IF(D3749="","",IF(D3749=1,0,INDEX(Calculation!Q$2:Q9627,D3749-1)))</f>
        <v/>
      </c>
      <c r="F3749" s="29" t="str">
        <f t="array" ref="F3749">IF($A3749="","",
  LET(
    r, $D3749,
    startD, INDEX(Calculation!B$2:B9627, r),
    endD,   INDEX(Calculation!C$2:C9627, r),
    asOf,   MIN($A3749,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50">
      <c r="A3750" s="28"/>
      <c r="B3750" s="29"/>
      <c r="C3750" s="29" t="str">
        <f t="shared" si="1"/>
        <v/>
      </c>
      <c r="D3750" s="6" t="str">
        <f>IF(A3750="","",MATCH(A3750,Calculation!B$2:B9627,1))</f>
        <v/>
      </c>
      <c r="E3750" s="29" t="str">
        <f t="array" ref="E3750">IF(D3750="","",IF(D3750=1,0,INDEX(Calculation!Q$2:Q9627,D3750-1)))</f>
        <v/>
      </c>
      <c r="F3750" s="29" t="str">
        <f t="array" ref="F3750">IF($A3750="","",
  LET(
    r, $D3750,
    startD, INDEX(Calculation!B$2:B9627, r),
    endD,   INDEX(Calculation!C$2:C9627, r),
    asOf,   MIN($A3750,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51">
      <c r="A3751" s="28"/>
      <c r="B3751" s="29"/>
      <c r="C3751" s="29" t="str">
        <f t="shared" si="1"/>
        <v/>
      </c>
      <c r="D3751" s="6" t="str">
        <f>IF(A3751="","",MATCH(A3751,Calculation!B$2:B9627,1))</f>
        <v/>
      </c>
      <c r="E3751" s="29" t="str">
        <f t="array" ref="E3751">IF(D3751="","",IF(D3751=1,0,INDEX(Calculation!Q$2:Q9627,D3751-1)))</f>
        <v/>
      </c>
      <c r="F3751" s="29" t="str">
        <f t="array" ref="F3751">IF($A3751="","",
  LET(
    r, $D3751,
    startD, INDEX(Calculation!B$2:B9627, r),
    endD,   INDEX(Calculation!C$2:C9627, r),
    asOf,   MIN($A3751,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52">
      <c r="A3752" s="28"/>
      <c r="B3752" s="29"/>
      <c r="C3752" s="29" t="str">
        <f t="shared" si="1"/>
        <v/>
      </c>
      <c r="D3752" s="6" t="str">
        <f>IF(A3752="","",MATCH(A3752,Calculation!B$2:B9627,1))</f>
        <v/>
      </c>
      <c r="E3752" s="29" t="str">
        <f t="array" ref="E3752">IF(D3752="","",IF(D3752=1,0,INDEX(Calculation!Q$2:Q9627,D3752-1)))</f>
        <v/>
      </c>
      <c r="F3752" s="29" t="str">
        <f t="array" ref="F3752">IF($A3752="","",
  LET(
    r, $D3752,
    startD, INDEX(Calculation!B$2:B9627, r),
    endD,   INDEX(Calculation!C$2:C9627, r),
    asOf,   MIN($A3752,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53">
      <c r="A3753" s="28"/>
      <c r="B3753" s="29"/>
      <c r="C3753" s="29" t="str">
        <f t="shared" si="1"/>
        <v/>
      </c>
      <c r="D3753" s="6" t="str">
        <f>IF(A3753="","",MATCH(A3753,Calculation!B$2:B9627,1))</f>
        <v/>
      </c>
      <c r="E3753" s="29" t="str">
        <f t="array" ref="E3753">IF(D3753="","",IF(D3753=1,0,INDEX(Calculation!Q$2:Q9627,D3753-1)))</f>
        <v/>
      </c>
      <c r="F3753" s="29" t="str">
        <f t="array" ref="F3753">IF($A3753="","",
  LET(
    r, $D3753,
    startD, INDEX(Calculation!B$2:B9627, r),
    endD,   INDEX(Calculation!C$2:C9627, r),
    asOf,   MIN($A3753,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54">
      <c r="A3754" s="28"/>
      <c r="B3754" s="29"/>
      <c r="C3754" s="29" t="str">
        <f t="shared" si="1"/>
        <v/>
      </c>
      <c r="D3754" s="6" t="str">
        <f>IF(A3754="","",MATCH(A3754,Calculation!B$2:B9627,1))</f>
        <v/>
      </c>
      <c r="E3754" s="29" t="str">
        <f t="array" ref="E3754">IF(D3754="","",IF(D3754=1,0,INDEX(Calculation!Q$2:Q9627,D3754-1)))</f>
        <v/>
      </c>
      <c r="F3754" s="29" t="str">
        <f t="array" ref="F3754">IF($A3754="","",
  LET(
    r, $D3754,
    startD, INDEX(Calculation!B$2:B9627, r),
    endD,   INDEX(Calculation!C$2:C9627, r),
    asOf,   MIN($A3754,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55">
      <c r="A3755" s="28"/>
      <c r="B3755" s="29"/>
      <c r="C3755" s="29" t="str">
        <f t="shared" si="1"/>
        <v/>
      </c>
      <c r="D3755" s="6" t="str">
        <f>IF(A3755="","",MATCH(A3755,Calculation!B$2:B9627,1))</f>
        <v/>
      </c>
      <c r="E3755" s="29" t="str">
        <f t="array" ref="E3755">IF(D3755="","",IF(D3755=1,0,INDEX(Calculation!Q$2:Q9627,D3755-1)))</f>
        <v/>
      </c>
      <c r="F3755" s="29" t="str">
        <f t="array" ref="F3755">IF($A3755="","",
  LET(
    r, $D3755,
    startD, INDEX(Calculation!B$2:B9627, r),
    endD,   INDEX(Calculation!C$2:C9627, r),
    asOf,   MIN($A3755,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56">
      <c r="A3756" s="28"/>
      <c r="B3756" s="29"/>
      <c r="C3756" s="29" t="str">
        <f t="shared" si="1"/>
        <v/>
      </c>
      <c r="D3756" s="6" t="str">
        <f>IF(A3756="","",MATCH(A3756,Calculation!B$2:B9627,1))</f>
        <v/>
      </c>
      <c r="E3756" s="29" t="str">
        <f t="array" ref="E3756">IF(D3756="","",IF(D3756=1,0,INDEX(Calculation!Q$2:Q9627,D3756-1)))</f>
        <v/>
      </c>
      <c r="F3756" s="29" t="str">
        <f t="array" ref="F3756">IF($A3756="","",
  LET(
    r, $D3756,
    startD, INDEX(Calculation!B$2:B9627, r),
    endD,   INDEX(Calculation!C$2:C9627, r),
    asOf,   MIN($A3756,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57">
      <c r="A3757" s="28"/>
      <c r="B3757" s="29"/>
      <c r="C3757" s="29" t="str">
        <f t="shared" si="1"/>
        <v/>
      </c>
      <c r="D3757" s="6" t="str">
        <f>IF(A3757="","",MATCH(A3757,Calculation!B$2:B9627,1))</f>
        <v/>
      </c>
      <c r="E3757" s="29" t="str">
        <f t="array" ref="E3757">IF(D3757="","",IF(D3757=1,0,INDEX(Calculation!Q$2:Q9627,D3757-1)))</f>
        <v/>
      </c>
      <c r="F3757" s="29" t="str">
        <f t="array" ref="F3757">IF($A3757="","",
  LET(
    r, $D3757,
    startD, INDEX(Calculation!B$2:B9627, r),
    endD,   INDEX(Calculation!C$2:C9627, r),
    asOf,   MIN($A3757,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58">
      <c r="A3758" s="28"/>
      <c r="B3758" s="29"/>
      <c r="C3758" s="29" t="str">
        <f t="shared" si="1"/>
        <v/>
      </c>
      <c r="D3758" s="6" t="str">
        <f>IF(A3758="","",MATCH(A3758,Calculation!B$2:B9627,1))</f>
        <v/>
      </c>
      <c r="E3758" s="29" t="str">
        <f t="array" ref="E3758">IF(D3758="","",IF(D3758=1,0,INDEX(Calculation!Q$2:Q9627,D3758-1)))</f>
        <v/>
      </c>
      <c r="F3758" s="29" t="str">
        <f t="array" ref="F3758">IF($A3758="","",
  LET(
    r, $D3758,
    startD, INDEX(Calculation!B$2:B9627, r),
    endD,   INDEX(Calculation!C$2:C9627, r),
    asOf,   MIN($A3758,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59">
      <c r="A3759" s="28"/>
      <c r="B3759" s="29"/>
      <c r="C3759" s="29" t="str">
        <f t="shared" si="1"/>
        <v/>
      </c>
      <c r="D3759" s="6" t="str">
        <f>IF(A3759="","",MATCH(A3759,Calculation!B$2:B9627,1))</f>
        <v/>
      </c>
      <c r="E3759" s="29" t="str">
        <f t="array" ref="E3759">IF(D3759="","",IF(D3759=1,0,INDEX(Calculation!Q$2:Q9627,D3759-1)))</f>
        <v/>
      </c>
      <c r="F3759" s="29" t="str">
        <f t="array" ref="F3759">IF($A3759="","",
  LET(
    r, $D3759,
    startD, INDEX(Calculation!B$2:B9627, r),
    endD,   INDEX(Calculation!C$2:C9627, r),
    asOf,   MIN($A3759,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60">
      <c r="A3760" s="28"/>
      <c r="B3760" s="29"/>
      <c r="C3760" s="29" t="str">
        <f t="shared" si="1"/>
        <v/>
      </c>
      <c r="D3760" s="6" t="str">
        <f>IF(A3760="","",MATCH(A3760,Calculation!B$2:B9627,1))</f>
        <v/>
      </c>
      <c r="E3760" s="29" t="str">
        <f t="array" ref="E3760">IF(D3760="","",IF(D3760=1,0,INDEX(Calculation!Q$2:Q9627,D3760-1)))</f>
        <v/>
      </c>
      <c r="F3760" s="29" t="str">
        <f t="array" ref="F3760">IF($A3760="","",
  LET(
    r, $D3760,
    startD, INDEX(Calculation!B$2:B9627, r),
    endD,   INDEX(Calculation!C$2:C9627, r),
    asOf,   MIN($A3760,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61">
      <c r="A3761" s="28"/>
      <c r="B3761" s="29"/>
      <c r="C3761" s="29" t="str">
        <f t="shared" si="1"/>
        <v/>
      </c>
      <c r="D3761" s="6" t="str">
        <f>IF(A3761="","",MATCH(A3761,Calculation!B$2:B9627,1))</f>
        <v/>
      </c>
      <c r="E3761" s="29" t="str">
        <f t="array" ref="E3761">IF(D3761="","",IF(D3761=1,0,INDEX(Calculation!Q$2:Q9627,D3761-1)))</f>
        <v/>
      </c>
      <c r="F3761" s="29" t="str">
        <f t="array" ref="F3761">IF($A3761="","",
  LET(
    r, $D3761,
    startD, INDEX(Calculation!B$2:B9627, r),
    endD,   INDEX(Calculation!C$2:C9627, r),
    asOf,   MIN($A3761,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62">
      <c r="A3762" s="28"/>
      <c r="B3762" s="29"/>
      <c r="C3762" s="29" t="str">
        <f t="shared" si="1"/>
        <v/>
      </c>
      <c r="D3762" s="6" t="str">
        <f>IF(A3762="","",MATCH(A3762,Calculation!B$2:B9627,1))</f>
        <v/>
      </c>
      <c r="E3762" s="29" t="str">
        <f t="array" ref="E3762">IF(D3762="","",IF(D3762=1,0,INDEX(Calculation!Q$2:Q9627,D3762-1)))</f>
        <v/>
      </c>
      <c r="F3762" s="29" t="str">
        <f t="array" ref="F3762">IF($A3762="","",
  LET(
    r, $D3762,
    startD, INDEX(Calculation!B$2:B9627, r),
    endD,   INDEX(Calculation!C$2:C9627, r),
    asOf,   MIN($A3762,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63">
      <c r="A3763" s="28"/>
      <c r="B3763" s="29"/>
      <c r="C3763" s="29" t="str">
        <f t="shared" si="1"/>
        <v/>
      </c>
      <c r="D3763" s="6" t="str">
        <f>IF(A3763="","",MATCH(A3763,Calculation!B$2:B9627,1))</f>
        <v/>
      </c>
      <c r="E3763" s="29" t="str">
        <f t="array" ref="E3763">IF(D3763="","",IF(D3763=1,0,INDEX(Calculation!Q$2:Q9627,D3763-1)))</f>
        <v/>
      </c>
      <c r="F3763" s="29" t="str">
        <f t="array" ref="F3763">IF($A3763="","",
  LET(
    r, $D3763,
    startD, INDEX(Calculation!B$2:B9627, r),
    endD,   INDEX(Calculation!C$2:C9627, r),
    asOf,   MIN($A3763,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64">
      <c r="A3764" s="28"/>
      <c r="B3764" s="29"/>
      <c r="C3764" s="29" t="str">
        <f t="shared" si="1"/>
        <v/>
      </c>
      <c r="D3764" s="6" t="str">
        <f>IF(A3764="","",MATCH(A3764,Calculation!B$2:B9627,1))</f>
        <v/>
      </c>
      <c r="E3764" s="29" t="str">
        <f t="array" ref="E3764">IF(D3764="","",IF(D3764=1,0,INDEX(Calculation!Q$2:Q9627,D3764-1)))</f>
        <v/>
      </c>
      <c r="F3764" s="29" t="str">
        <f t="array" ref="F3764">IF($A3764="","",
  LET(
    r, $D3764,
    startD, INDEX(Calculation!B$2:B9627, r),
    endD,   INDEX(Calculation!C$2:C9627, r),
    asOf,   MIN($A3764,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65">
      <c r="A3765" s="28"/>
      <c r="B3765" s="29"/>
      <c r="C3765" s="29" t="str">
        <f t="shared" si="1"/>
        <v/>
      </c>
      <c r="D3765" s="6" t="str">
        <f>IF(A3765="","",MATCH(A3765,Calculation!B$2:B9627,1))</f>
        <v/>
      </c>
      <c r="E3765" s="29" t="str">
        <f t="array" ref="E3765">IF(D3765="","",IF(D3765=1,0,INDEX(Calculation!Q$2:Q9627,D3765-1)))</f>
        <v/>
      </c>
      <c r="F3765" s="29" t="str">
        <f t="array" ref="F3765">IF($A3765="","",
  LET(
    r, $D3765,
    startD, INDEX(Calculation!B$2:B9627, r),
    endD,   INDEX(Calculation!C$2:C9627, r),
    asOf,   MIN($A3765,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66">
      <c r="A3766" s="28"/>
      <c r="B3766" s="29"/>
      <c r="C3766" s="29" t="str">
        <f t="shared" si="1"/>
        <v/>
      </c>
      <c r="D3766" s="6" t="str">
        <f>IF(A3766="","",MATCH(A3766,Calculation!B$2:B9627,1))</f>
        <v/>
      </c>
      <c r="E3766" s="29" t="str">
        <f t="array" ref="E3766">IF(D3766="","",IF(D3766=1,0,INDEX(Calculation!Q$2:Q9627,D3766-1)))</f>
        <v/>
      </c>
      <c r="F3766" s="29" t="str">
        <f t="array" ref="F3766">IF($A3766="","",
  LET(
    r, $D3766,
    startD, INDEX(Calculation!B$2:B9627, r),
    endD,   INDEX(Calculation!C$2:C9627, r),
    asOf,   MIN($A3766,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67">
      <c r="A3767" s="28"/>
      <c r="B3767" s="29"/>
      <c r="C3767" s="29" t="str">
        <f t="shared" si="1"/>
        <v/>
      </c>
      <c r="D3767" s="6" t="str">
        <f>IF(A3767="","",MATCH(A3767,Calculation!B$2:B9627,1))</f>
        <v/>
      </c>
      <c r="E3767" s="29" t="str">
        <f t="array" ref="E3767">IF(D3767="","",IF(D3767=1,0,INDEX(Calculation!Q$2:Q9627,D3767-1)))</f>
        <v/>
      </c>
      <c r="F3767" s="29" t="str">
        <f t="array" ref="F3767">IF($A3767="","",
  LET(
    r, $D3767,
    startD, INDEX(Calculation!B$2:B9627, r),
    endD,   INDEX(Calculation!C$2:C9627, r),
    asOf,   MIN($A3767,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68">
      <c r="A3768" s="28"/>
      <c r="B3768" s="29"/>
      <c r="C3768" s="29" t="str">
        <f t="shared" si="1"/>
        <v/>
      </c>
      <c r="D3768" s="6" t="str">
        <f>IF(A3768="","",MATCH(A3768,Calculation!B$2:B9627,1))</f>
        <v/>
      </c>
      <c r="E3768" s="29" t="str">
        <f t="array" ref="E3768">IF(D3768="","",IF(D3768=1,0,INDEX(Calculation!Q$2:Q9627,D3768-1)))</f>
        <v/>
      </c>
      <c r="F3768" s="29" t="str">
        <f t="array" ref="F3768">IF($A3768="","",
  LET(
    r, $D3768,
    startD, INDEX(Calculation!B$2:B9627, r),
    endD,   INDEX(Calculation!C$2:C9627, r),
    asOf,   MIN($A3768,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69">
      <c r="A3769" s="28"/>
      <c r="B3769" s="29"/>
      <c r="C3769" s="29" t="str">
        <f t="shared" si="1"/>
        <v/>
      </c>
      <c r="D3769" s="6" t="str">
        <f>IF(A3769="","",MATCH(A3769,Calculation!B$2:B9627,1))</f>
        <v/>
      </c>
      <c r="E3769" s="29" t="str">
        <f t="array" ref="E3769">IF(D3769="","",IF(D3769=1,0,INDEX(Calculation!Q$2:Q9627,D3769-1)))</f>
        <v/>
      </c>
      <c r="F3769" s="29" t="str">
        <f t="array" ref="F3769">IF($A3769="","",
  LET(
    r, $D3769,
    startD, INDEX(Calculation!B$2:B9627, r),
    endD,   INDEX(Calculation!C$2:C9627, r),
    asOf,   MIN($A3769,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70">
      <c r="A3770" s="28"/>
      <c r="B3770" s="29"/>
      <c r="C3770" s="29" t="str">
        <f t="shared" si="1"/>
        <v/>
      </c>
      <c r="D3770" s="6" t="str">
        <f>IF(A3770="","",MATCH(A3770,Calculation!B$2:B9627,1))</f>
        <v/>
      </c>
      <c r="E3770" s="29" t="str">
        <f t="array" ref="E3770">IF(D3770="","",IF(D3770=1,0,INDEX(Calculation!Q$2:Q9627,D3770-1)))</f>
        <v/>
      </c>
      <c r="F3770" s="29" t="str">
        <f t="array" ref="F3770">IF($A3770="","",
  LET(
    r, $D3770,
    startD, INDEX(Calculation!B$2:B9627, r),
    endD,   INDEX(Calculation!C$2:C9627, r),
    asOf,   MIN($A3770,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71">
      <c r="A3771" s="28"/>
      <c r="B3771" s="29"/>
      <c r="C3771" s="29" t="str">
        <f t="shared" si="1"/>
        <v/>
      </c>
      <c r="D3771" s="6" t="str">
        <f>IF(A3771="","",MATCH(A3771,Calculation!B$2:B9627,1))</f>
        <v/>
      </c>
      <c r="E3771" s="29" t="str">
        <f t="array" ref="E3771">IF(D3771="","",IF(D3771=1,0,INDEX(Calculation!Q$2:Q9627,D3771-1)))</f>
        <v/>
      </c>
      <c r="F3771" s="29" t="str">
        <f t="array" ref="F3771">IF($A3771="","",
  LET(
    r, $D3771,
    startD, INDEX(Calculation!B$2:B9627, r),
    endD,   INDEX(Calculation!C$2:C9627, r),
    asOf,   MIN($A3771,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72">
      <c r="A3772" s="28"/>
      <c r="B3772" s="29"/>
      <c r="C3772" s="29" t="str">
        <f t="shared" si="1"/>
        <v/>
      </c>
      <c r="D3772" s="6" t="str">
        <f>IF(A3772="","",MATCH(A3772,Calculation!B$2:B9627,1))</f>
        <v/>
      </c>
      <c r="E3772" s="29" t="str">
        <f t="array" ref="E3772">IF(D3772="","",IF(D3772=1,0,INDEX(Calculation!Q$2:Q9627,D3772-1)))</f>
        <v/>
      </c>
      <c r="F3772" s="29" t="str">
        <f t="array" ref="F3772">IF($A3772="","",
  LET(
    r, $D3772,
    startD, INDEX(Calculation!B$2:B9627, r),
    endD,   INDEX(Calculation!C$2:C9627, r),
    asOf,   MIN($A3772,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73">
      <c r="A3773" s="28"/>
      <c r="B3773" s="29"/>
      <c r="C3773" s="29" t="str">
        <f t="shared" si="1"/>
        <v/>
      </c>
      <c r="D3773" s="6" t="str">
        <f>IF(A3773="","",MATCH(A3773,Calculation!B$2:B9627,1))</f>
        <v/>
      </c>
      <c r="E3773" s="29" t="str">
        <f t="array" ref="E3773">IF(D3773="","",IF(D3773=1,0,INDEX(Calculation!Q$2:Q9627,D3773-1)))</f>
        <v/>
      </c>
      <c r="F3773" s="29" t="str">
        <f t="array" ref="F3773">IF($A3773="","",
  LET(
    r, $D3773,
    startD, INDEX(Calculation!B$2:B9627, r),
    endD,   INDEX(Calculation!C$2:C9627, r),
    asOf,   MIN($A3773,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74">
      <c r="A3774" s="28"/>
      <c r="B3774" s="29"/>
      <c r="C3774" s="29" t="str">
        <f t="shared" si="1"/>
        <v/>
      </c>
      <c r="D3774" s="6" t="str">
        <f>IF(A3774="","",MATCH(A3774,Calculation!B$2:B9627,1))</f>
        <v/>
      </c>
      <c r="E3774" s="29" t="str">
        <f t="array" ref="E3774">IF(D3774="","",IF(D3774=1,0,INDEX(Calculation!Q$2:Q9627,D3774-1)))</f>
        <v/>
      </c>
      <c r="F3774" s="29" t="str">
        <f t="array" ref="F3774">IF($A3774="","",
  LET(
    r, $D3774,
    startD, INDEX(Calculation!B$2:B9627, r),
    endD,   INDEX(Calculation!C$2:C9627, r),
    asOf,   MIN($A3774,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75">
      <c r="A3775" s="28"/>
      <c r="B3775" s="29"/>
      <c r="C3775" s="29" t="str">
        <f t="shared" si="1"/>
        <v/>
      </c>
      <c r="D3775" s="6" t="str">
        <f>IF(A3775="","",MATCH(A3775,Calculation!B$2:B9627,1))</f>
        <v/>
      </c>
      <c r="E3775" s="29" t="str">
        <f t="array" ref="E3775">IF(D3775="","",IF(D3775=1,0,INDEX(Calculation!Q$2:Q9627,D3775-1)))</f>
        <v/>
      </c>
      <c r="F3775" s="29" t="str">
        <f t="array" ref="F3775">IF($A3775="","",
  LET(
    r, $D3775,
    startD, INDEX(Calculation!B$2:B9627, r),
    endD,   INDEX(Calculation!C$2:C9627, r),
    asOf,   MIN($A3775,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76">
      <c r="A3776" s="28"/>
      <c r="B3776" s="29"/>
      <c r="C3776" s="29" t="str">
        <f t="shared" si="1"/>
        <v/>
      </c>
      <c r="D3776" s="6" t="str">
        <f>IF(A3776="","",MATCH(A3776,Calculation!B$2:B9627,1))</f>
        <v/>
      </c>
      <c r="E3776" s="29" t="str">
        <f t="array" ref="E3776">IF(D3776="","",IF(D3776=1,0,INDEX(Calculation!Q$2:Q9627,D3776-1)))</f>
        <v/>
      </c>
      <c r="F3776" s="29" t="str">
        <f t="array" ref="F3776">IF($A3776="","",
  LET(
    r, $D3776,
    startD, INDEX(Calculation!B$2:B9627, r),
    endD,   INDEX(Calculation!C$2:C9627, r),
    asOf,   MIN($A3776,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77">
      <c r="A3777" s="28"/>
      <c r="B3777" s="29"/>
      <c r="C3777" s="29" t="str">
        <f t="shared" si="1"/>
        <v/>
      </c>
      <c r="D3777" s="6" t="str">
        <f>IF(A3777="","",MATCH(A3777,Calculation!B$2:B9627,1))</f>
        <v/>
      </c>
      <c r="E3777" s="29" t="str">
        <f t="array" ref="E3777">IF(D3777="","",IF(D3777=1,0,INDEX(Calculation!Q$2:Q9627,D3777-1)))</f>
        <v/>
      </c>
      <c r="F3777" s="29" t="str">
        <f t="array" ref="F3777">IF($A3777="","",
  LET(
    r, $D3777,
    startD, INDEX(Calculation!B$2:B9627, r),
    endD,   INDEX(Calculation!C$2:C9627, r),
    asOf,   MIN($A3777,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78">
      <c r="A3778" s="28"/>
      <c r="B3778" s="29"/>
      <c r="C3778" s="29" t="str">
        <f t="shared" si="1"/>
        <v/>
      </c>
      <c r="D3778" s="6" t="str">
        <f>IF(A3778="","",MATCH(A3778,Calculation!B$2:B9627,1))</f>
        <v/>
      </c>
      <c r="E3778" s="29" t="str">
        <f t="array" ref="E3778">IF(D3778="","",IF(D3778=1,0,INDEX(Calculation!Q$2:Q9627,D3778-1)))</f>
        <v/>
      </c>
      <c r="F3778" s="29" t="str">
        <f t="array" ref="F3778">IF($A3778="","",
  LET(
    r, $D3778,
    startD, INDEX(Calculation!B$2:B9627, r),
    endD,   INDEX(Calculation!C$2:C9627, r),
    asOf,   MIN($A3778,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79">
      <c r="A3779" s="28"/>
      <c r="B3779" s="29"/>
      <c r="C3779" s="29" t="str">
        <f t="shared" si="1"/>
        <v/>
      </c>
      <c r="D3779" s="6" t="str">
        <f>IF(A3779="","",MATCH(A3779,Calculation!B$2:B9627,1))</f>
        <v/>
      </c>
      <c r="E3779" s="29" t="str">
        <f t="array" ref="E3779">IF(D3779="","",IF(D3779=1,0,INDEX(Calculation!Q$2:Q9627,D3779-1)))</f>
        <v/>
      </c>
      <c r="F3779" s="29" t="str">
        <f t="array" ref="F3779">IF($A3779="","",
  LET(
    r, $D3779,
    startD, INDEX(Calculation!B$2:B9627, r),
    endD,   INDEX(Calculation!C$2:C9627, r),
    asOf,   MIN($A3779,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80">
      <c r="A3780" s="28"/>
      <c r="B3780" s="29"/>
      <c r="C3780" s="29" t="str">
        <f t="shared" si="1"/>
        <v/>
      </c>
      <c r="D3780" s="6" t="str">
        <f>IF(A3780="","",MATCH(A3780,Calculation!B$2:B9627,1))</f>
        <v/>
      </c>
      <c r="E3780" s="29" t="str">
        <f t="array" ref="E3780">IF(D3780="","",IF(D3780=1,0,INDEX(Calculation!Q$2:Q9627,D3780-1)))</f>
        <v/>
      </c>
      <c r="F3780" s="29" t="str">
        <f t="array" ref="F3780">IF($A3780="","",
  LET(
    r, $D3780,
    startD, INDEX(Calculation!B$2:B9627, r),
    endD,   INDEX(Calculation!C$2:C9627, r),
    asOf,   MIN($A3780,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81">
      <c r="A3781" s="28"/>
      <c r="B3781" s="29"/>
      <c r="C3781" s="29" t="str">
        <f t="shared" si="1"/>
        <v/>
      </c>
      <c r="D3781" s="6" t="str">
        <f>IF(A3781="","",MATCH(A3781,Calculation!B$2:B9627,1))</f>
        <v/>
      </c>
      <c r="E3781" s="29" t="str">
        <f t="array" ref="E3781">IF(D3781="","",IF(D3781=1,0,INDEX(Calculation!Q$2:Q9627,D3781-1)))</f>
        <v/>
      </c>
      <c r="F3781" s="29" t="str">
        <f t="array" ref="F3781">IF($A3781="","",
  LET(
    r, $D3781,
    startD, INDEX(Calculation!B$2:B9627, r),
    endD,   INDEX(Calculation!C$2:C9627, r),
    asOf,   MIN($A3781,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82">
      <c r="A3782" s="28"/>
      <c r="B3782" s="29"/>
      <c r="C3782" s="29" t="str">
        <f t="shared" si="1"/>
        <v/>
      </c>
      <c r="D3782" s="6" t="str">
        <f>IF(A3782="","",MATCH(A3782,Calculation!B$2:B9627,1))</f>
        <v/>
      </c>
      <c r="E3782" s="29" t="str">
        <f t="array" ref="E3782">IF(D3782="","",IF(D3782=1,0,INDEX(Calculation!Q$2:Q9627,D3782-1)))</f>
        <v/>
      </c>
      <c r="F3782" s="29" t="str">
        <f t="array" ref="F3782">IF($A3782="","",
  LET(
    r, $D3782,
    startD, INDEX(Calculation!B$2:B9627, r),
    endD,   INDEX(Calculation!C$2:C9627, r),
    asOf,   MIN($A3782,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83">
      <c r="A3783" s="28"/>
      <c r="B3783" s="29"/>
      <c r="C3783" s="29" t="str">
        <f t="shared" si="1"/>
        <v/>
      </c>
      <c r="D3783" s="6" t="str">
        <f>IF(A3783="","",MATCH(A3783,Calculation!B$2:B9627,1))</f>
        <v/>
      </c>
      <c r="E3783" s="29" t="str">
        <f t="array" ref="E3783">IF(D3783="","",IF(D3783=1,0,INDEX(Calculation!Q$2:Q9627,D3783-1)))</f>
        <v/>
      </c>
      <c r="F3783" s="29" t="str">
        <f t="array" ref="F3783">IF($A3783="","",
  LET(
    r, $D3783,
    startD, INDEX(Calculation!B$2:B9627, r),
    endD,   INDEX(Calculation!C$2:C9627, r),
    asOf,   MIN($A3783,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84">
      <c r="A3784" s="28"/>
      <c r="B3784" s="29"/>
      <c r="C3784" s="29" t="str">
        <f t="shared" si="1"/>
        <v/>
      </c>
      <c r="D3784" s="6" t="str">
        <f>IF(A3784="","",MATCH(A3784,Calculation!B$2:B9627,1))</f>
        <v/>
      </c>
      <c r="E3784" s="29" t="str">
        <f t="array" ref="E3784">IF(D3784="","",IF(D3784=1,0,INDEX(Calculation!Q$2:Q9627,D3784-1)))</f>
        <v/>
      </c>
      <c r="F3784" s="29" t="str">
        <f t="array" ref="F3784">IF($A3784="","",
  LET(
    r, $D3784,
    startD, INDEX(Calculation!B$2:B9627, r),
    endD,   INDEX(Calculation!C$2:C9627, r),
    asOf,   MIN($A3784,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85">
      <c r="A3785" s="28"/>
      <c r="B3785" s="29"/>
      <c r="C3785" s="29" t="str">
        <f t="shared" si="1"/>
        <v/>
      </c>
      <c r="D3785" s="6" t="str">
        <f>IF(A3785="","",MATCH(A3785,Calculation!B$2:B9627,1))</f>
        <v/>
      </c>
      <c r="E3785" s="29" t="str">
        <f t="array" ref="E3785">IF(D3785="","",IF(D3785=1,0,INDEX(Calculation!Q$2:Q9627,D3785-1)))</f>
        <v/>
      </c>
      <c r="F3785" s="29" t="str">
        <f t="array" ref="F3785">IF($A3785="","",
  LET(
    r, $D3785,
    startD, INDEX(Calculation!B$2:B9627, r),
    endD,   INDEX(Calculation!C$2:C9627, r),
    asOf,   MIN($A3785,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86">
      <c r="A3786" s="28"/>
      <c r="B3786" s="29"/>
      <c r="C3786" s="29" t="str">
        <f t="shared" si="1"/>
        <v/>
      </c>
      <c r="D3786" s="6" t="str">
        <f>IF(A3786="","",MATCH(A3786,Calculation!B$2:B9627,1))</f>
        <v/>
      </c>
      <c r="E3786" s="29" t="str">
        <f t="array" ref="E3786">IF(D3786="","",IF(D3786=1,0,INDEX(Calculation!Q$2:Q9627,D3786-1)))</f>
        <v/>
      </c>
      <c r="F3786" s="29" t="str">
        <f t="array" ref="F3786">IF($A3786="","",
  LET(
    r, $D3786,
    startD, INDEX(Calculation!B$2:B9627, r),
    endD,   INDEX(Calculation!C$2:C9627, r),
    asOf,   MIN($A3786,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87">
      <c r="A3787" s="28"/>
      <c r="B3787" s="29"/>
      <c r="C3787" s="29" t="str">
        <f t="shared" si="1"/>
        <v/>
      </c>
      <c r="D3787" s="6" t="str">
        <f>IF(A3787="","",MATCH(A3787,Calculation!B$2:B9627,1))</f>
        <v/>
      </c>
      <c r="E3787" s="29" t="str">
        <f t="array" ref="E3787">IF(D3787="","",IF(D3787=1,0,INDEX(Calculation!Q$2:Q9627,D3787-1)))</f>
        <v/>
      </c>
      <c r="F3787" s="29" t="str">
        <f t="array" ref="F3787">IF($A3787="","",
  LET(
    r, $D3787,
    startD, INDEX(Calculation!B$2:B9627, r),
    endD,   INDEX(Calculation!C$2:C9627, r),
    asOf,   MIN($A3787,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88">
      <c r="A3788" s="28"/>
      <c r="B3788" s="29"/>
      <c r="C3788" s="29" t="str">
        <f t="shared" si="1"/>
        <v/>
      </c>
      <c r="D3788" s="6" t="str">
        <f>IF(A3788="","",MATCH(A3788,Calculation!B$2:B9627,1))</f>
        <v/>
      </c>
      <c r="E3788" s="29" t="str">
        <f t="array" ref="E3788">IF(D3788="","",IF(D3788=1,0,INDEX(Calculation!Q$2:Q9627,D3788-1)))</f>
        <v/>
      </c>
      <c r="F3788" s="29" t="str">
        <f t="array" ref="F3788">IF($A3788="","",
  LET(
    r, $D3788,
    startD, INDEX(Calculation!B$2:B9627, r),
    endD,   INDEX(Calculation!C$2:C9627, r),
    asOf,   MIN($A3788,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89">
      <c r="A3789" s="28"/>
      <c r="B3789" s="29"/>
      <c r="C3789" s="29" t="str">
        <f t="shared" si="1"/>
        <v/>
      </c>
      <c r="D3789" s="6" t="str">
        <f>IF(A3789="","",MATCH(A3789,Calculation!B$2:B9627,1))</f>
        <v/>
      </c>
      <c r="E3789" s="29" t="str">
        <f t="array" ref="E3789">IF(D3789="","",IF(D3789=1,0,INDEX(Calculation!Q$2:Q9627,D3789-1)))</f>
        <v/>
      </c>
      <c r="F3789" s="29" t="str">
        <f t="array" ref="F3789">IF($A3789="","",
  LET(
    r, $D3789,
    startD, INDEX(Calculation!B$2:B9627, r),
    endD,   INDEX(Calculation!C$2:C9627, r),
    asOf,   MIN($A3789,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90">
      <c r="A3790" s="28"/>
      <c r="B3790" s="29"/>
      <c r="C3790" s="29" t="str">
        <f t="shared" si="1"/>
        <v/>
      </c>
      <c r="D3790" s="6" t="str">
        <f>IF(A3790="","",MATCH(A3790,Calculation!B$2:B9627,1))</f>
        <v/>
      </c>
      <c r="E3790" s="29" t="str">
        <f t="array" ref="E3790">IF(D3790="","",IF(D3790=1,0,INDEX(Calculation!Q$2:Q9627,D3790-1)))</f>
        <v/>
      </c>
      <c r="F3790" s="29" t="str">
        <f t="array" ref="F3790">IF($A3790="","",
  LET(
    r, $D3790,
    startD, INDEX(Calculation!B$2:B9627, r),
    endD,   INDEX(Calculation!C$2:C9627, r),
    asOf,   MIN($A3790,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91">
      <c r="A3791" s="28"/>
      <c r="B3791" s="29"/>
      <c r="C3791" s="29" t="str">
        <f t="shared" si="1"/>
        <v/>
      </c>
      <c r="D3791" s="6" t="str">
        <f>IF(A3791="","",MATCH(A3791,Calculation!B$2:B9627,1))</f>
        <v/>
      </c>
      <c r="E3791" s="29" t="str">
        <f t="array" ref="E3791">IF(D3791="","",IF(D3791=1,0,INDEX(Calculation!Q$2:Q9627,D3791-1)))</f>
        <v/>
      </c>
      <c r="F3791" s="29" t="str">
        <f t="array" ref="F3791">IF($A3791="","",
  LET(
    r, $D3791,
    startD, INDEX(Calculation!B$2:B9627, r),
    endD,   INDEX(Calculation!C$2:C9627, r),
    asOf,   MIN($A3791,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92">
      <c r="A3792" s="28"/>
      <c r="B3792" s="29"/>
      <c r="C3792" s="29" t="str">
        <f t="shared" si="1"/>
        <v/>
      </c>
      <c r="D3792" s="6" t="str">
        <f>IF(A3792="","",MATCH(A3792,Calculation!B$2:B9627,1))</f>
        <v/>
      </c>
      <c r="E3792" s="29" t="str">
        <f t="array" ref="E3792">IF(D3792="","",IF(D3792=1,0,INDEX(Calculation!Q$2:Q9627,D3792-1)))</f>
        <v/>
      </c>
      <c r="F3792" s="29" t="str">
        <f t="array" ref="F3792">IF($A3792="","",
  LET(
    r, $D3792,
    startD, INDEX(Calculation!B$2:B9627, r),
    endD,   INDEX(Calculation!C$2:C9627, r),
    asOf,   MIN($A3792,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93">
      <c r="A3793" s="28"/>
      <c r="B3793" s="29"/>
      <c r="C3793" s="29" t="str">
        <f t="shared" si="1"/>
        <v/>
      </c>
      <c r="D3793" s="6" t="str">
        <f>IF(A3793="","",MATCH(A3793,Calculation!B$2:B9627,1))</f>
        <v/>
      </c>
      <c r="E3793" s="29" t="str">
        <f t="array" ref="E3793">IF(D3793="","",IF(D3793=1,0,INDEX(Calculation!Q$2:Q9627,D3793-1)))</f>
        <v/>
      </c>
      <c r="F3793" s="29" t="str">
        <f t="array" ref="F3793">IF($A3793="","",
  LET(
    r, $D3793,
    startD, INDEX(Calculation!B$2:B9627, r),
    endD,   INDEX(Calculation!C$2:C9627, r),
    asOf,   MIN($A3793,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94">
      <c r="A3794" s="28"/>
      <c r="B3794" s="29"/>
      <c r="C3794" s="29" t="str">
        <f t="shared" si="1"/>
        <v/>
      </c>
      <c r="D3794" s="6" t="str">
        <f>IF(A3794="","",MATCH(A3794,Calculation!B$2:B9627,1))</f>
        <v/>
      </c>
      <c r="E3794" s="29" t="str">
        <f t="array" ref="E3794">IF(D3794="","",IF(D3794=1,0,INDEX(Calculation!Q$2:Q9627,D3794-1)))</f>
        <v/>
      </c>
      <c r="F3794" s="29" t="str">
        <f t="array" ref="F3794">IF($A3794="","",
  LET(
    r, $D3794,
    startD, INDEX(Calculation!B$2:B9627, r),
    endD,   INDEX(Calculation!C$2:C9627, r),
    asOf,   MIN($A3794,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95">
      <c r="A3795" s="28"/>
      <c r="B3795" s="29"/>
      <c r="C3795" s="29" t="str">
        <f t="shared" si="1"/>
        <v/>
      </c>
      <c r="D3795" s="6" t="str">
        <f>IF(A3795="","",MATCH(A3795,Calculation!B$2:B9627,1))</f>
        <v/>
      </c>
      <c r="E3795" s="29" t="str">
        <f t="array" ref="E3795">IF(D3795="","",IF(D3795=1,0,INDEX(Calculation!Q$2:Q9627,D3795-1)))</f>
        <v/>
      </c>
      <c r="F3795" s="29" t="str">
        <f t="array" ref="F3795">IF($A3795="","",
  LET(
    r, $D3795,
    startD, INDEX(Calculation!B$2:B9627, r),
    endD,   INDEX(Calculation!C$2:C9627, r),
    asOf,   MIN($A3795,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96">
      <c r="A3796" s="28"/>
      <c r="B3796" s="29"/>
      <c r="C3796" s="29" t="str">
        <f t="shared" si="1"/>
        <v/>
      </c>
      <c r="D3796" s="6" t="str">
        <f>IF(A3796="","",MATCH(A3796,Calculation!B$2:B9627,1))</f>
        <v/>
      </c>
      <c r="E3796" s="29" t="str">
        <f t="array" ref="E3796">IF(D3796="","",IF(D3796=1,0,INDEX(Calculation!Q$2:Q9627,D3796-1)))</f>
        <v/>
      </c>
      <c r="F3796" s="29" t="str">
        <f t="array" ref="F3796">IF($A3796="","",
  LET(
    r, $D3796,
    startD, INDEX(Calculation!B$2:B9627, r),
    endD,   INDEX(Calculation!C$2:C9627, r),
    asOf,   MIN($A3796,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97">
      <c r="A3797" s="28"/>
      <c r="B3797" s="29"/>
      <c r="C3797" s="29" t="str">
        <f t="shared" si="1"/>
        <v/>
      </c>
      <c r="D3797" s="6" t="str">
        <f>IF(A3797="","",MATCH(A3797,Calculation!B$2:B9627,1))</f>
        <v/>
      </c>
      <c r="E3797" s="29" t="str">
        <f t="array" ref="E3797">IF(D3797="","",IF(D3797=1,0,INDEX(Calculation!Q$2:Q9627,D3797-1)))</f>
        <v/>
      </c>
      <c r="F3797" s="29" t="str">
        <f t="array" ref="F3797">IF($A3797="","",
  LET(
    r, $D3797,
    startD, INDEX(Calculation!B$2:B9627, r),
    endD,   INDEX(Calculation!C$2:C9627, r),
    asOf,   MIN($A3797,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98">
      <c r="A3798" s="28"/>
      <c r="B3798" s="29"/>
      <c r="C3798" s="29" t="str">
        <f t="shared" si="1"/>
        <v/>
      </c>
      <c r="D3798" s="6" t="str">
        <f>IF(A3798="","",MATCH(A3798,Calculation!B$2:B9627,1))</f>
        <v/>
      </c>
      <c r="E3798" s="29" t="str">
        <f t="array" ref="E3798">IF(D3798="","",IF(D3798=1,0,INDEX(Calculation!Q$2:Q9627,D3798-1)))</f>
        <v/>
      </c>
      <c r="F3798" s="29" t="str">
        <f t="array" ref="F3798">IF($A3798="","",
  LET(
    r, $D3798,
    startD, INDEX(Calculation!B$2:B9627, r),
    endD,   INDEX(Calculation!C$2:C9627, r),
    asOf,   MIN($A3798,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799">
      <c r="A3799" s="28"/>
      <c r="B3799" s="29"/>
      <c r="C3799" s="29" t="str">
        <f t="shared" si="1"/>
        <v/>
      </c>
      <c r="D3799" s="6" t="str">
        <f>IF(A3799="","",MATCH(A3799,Calculation!B$2:B9627,1))</f>
        <v/>
      </c>
      <c r="E3799" s="29" t="str">
        <f t="array" ref="E3799">IF(D3799="","",IF(D3799=1,0,INDEX(Calculation!Q$2:Q9627,D3799-1)))</f>
        <v/>
      </c>
      <c r="F3799" s="29" t="str">
        <f t="array" ref="F3799">IF($A3799="","",
  LET(
    r, $D3799,
    startD, INDEX(Calculation!B$2:B9627, r),
    endD,   INDEX(Calculation!C$2:C9627, r),
    asOf,   MIN($A3799,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00">
      <c r="A3800" s="28"/>
      <c r="B3800" s="29"/>
      <c r="C3800" s="29" t="str">
        <f t="shared" si="1"/>
        <v/>
      </c>
      <c r="D3800" s="6" t="str">
        <f>IF(A3800="","",MATCH(A3800,Calculation!B$2:B9627,1))</f>
        <v/>
      </c>
      <c r="E3800" s="29" t="str">
        <f t="array" ref="E3800">IF(D3800="","",IF(D3800=1,0,INDEX(Calculation!Q$2:Q9627,D3800-1)))</f>
        <v/>
      </c>
      <c r="F3800" s="29" t="str">
        <f t="array" ref="F3800">IF($A3800="","",
  LET(
    r, $D3800,
    startD, INDEX(Calculation!B$2:B9627, r),
    endD,   INDEX(Calculation!C$2:C9627, r),
    asOf,   MIN($A3800,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01">
      <c r="A3801" s="28"/>
      <c r="B3801" s="29"/>
      <c r="C3801" s="29" t="str">
        <f t="shared" si="1"/>
        <v/>
      </c>
      <c r="D3801" s="6" t="str">
        <f>IF(A3801="","",MATCH(A3801,Calculation!B$2:B9627,1))</f>
        <v/>
      </c>
      <c r="E3801" s="29" t="str">
        <f t="array" ref="E3801">IF(D3801="","",IF(D3801=1,0,INDEX(Calculation!Q$2:Q9627,D3801-1)))</f>
        <v/>
      </c>
      <c r="F3801" s="29" t="str">
        <f t="array" ref="F3801">IF($A3801="","",
  LET(
    r, $D3801,
    startD, INDEX(Calculation!B$2:B9627, r),
    endD,   INDEX(Calculation!C$2:C9627, r),
    asOf,   MIN($A3801,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02">
      <c r="A3802" s="28"/>
      <c r="B3802" s="29"/>
      <c r="C3802" s="29" t="str">
        <f t="shared" si="1"/>
        <v/>
      </c>
      <c r="D3802" s="6" t="str">
        <f>IF(A3802="","",MATCH(A3802,Calculation!B$2:B9627,1))</f>
        <v/>
      </c>
      <c r="E3802" s="29" t="str">
        <f t="array" ref="E3802">IF(D3802="","",IF(D3802=1,0,INDEX(Calculation!Q$2:Q9627,D3802-1)))</f>
        <v/>
      </c>
      <c r="F3802" s="29" t="str">
        <f t="array" ref="F3802">IF($A3802="","",
  LET(
    r, $D3802,
    startD, INDEX(Calculation!B$2:B9627, r),
    endD,   INDEX(Calculation!C$2:C9627, r),
    asOf,   MIN($A3802,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03">
      <c r="A3803" s="28"/>
      <c r="B3803" s="29"/>
      <c r="C3803" s="29" t="str">
        <f t="shared" si="1"/>
        <v/>
      </c>
      <c r="D3803" s="6" t="str">
        <f>IF(A3803="","",MATCH(A3803,Calculation!B$2:B9627,1))</f>
        <v/>
      </c>
      <c r="E3803" s="29" t="str">
        <f t="array" ref="E3803">IF(D3803="","",IF(D3803=1,0,INDEX(Calculation!Q$2:Q9627,D3803-1)))</f>
        <v/>
      </c>
      <c r="F3803" s="29" t="str">
        <f t="array" ref="F3803">IF($A3803="","",
  LET(
    r, $D3803,
    startD, INDEX(Calculation!B$2:B9627, r),
    endD,   INDEX(Calculation!C$2:C9627, r),
    asOf,   MIN($A3803,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04">
      <c r="A3804" s="28"/>
      <c r="B3804" s="29"/>
      <c r="C3804" s="29" t="str">
        <f t="shared" si="1"/>
        <v/>
      </c>
      <c r="D3804" s="6" t="str">
        <f>IF(A3804="","",MATCH(A3804,Calculation!B$2:B9627,1))</f>
        <v/>
      </c>
      <c r="E3804" s="29" t="str">
        <f t="array" ref="E3804">IF(D3804="","",IF(D3804=1,0,INDEX(Calculation!Q$2:Q9627,D3804-1)))</f>
        <v/>
      </c>
      <c r="F3804" s="29" t="str">
        <f t="array" ref="F3804">IF($A3804="","",
  LET(
    r, $D3804,
    startD, INDEX(Calculation!B$2:B9627, r),
    endD,   INDEX(Calculation!C$2:C9627, r),
    asOf,   MIN($A3804,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05">
      <c r="A3805" s="28"/>
      <c r="B3805" s="29"/>
      <c r="C3805" s="29" t="str">
        <f t="shared" si="1"/>
        <v/>
      </c>
      <c r="D3805" s="6" t="str">
        <f>IF(A3805="","",MATCH(A3805,Calculation!B$2:B9627,1))</f>
        <v/>
      </c>
      <c r="E3805" s="29" t="str">
        <f t="array" ref="E3805">IF(D3805="","",IF(D3805=1,0,INDEX(Calculation!Q$2:Q9627,D3805-1)))</f>
        <v/>
      </c>
      <c r="F3805" s="29" t="str">
        <f t="array" ref="F3805">IF($A3805="","",
  LET(
    r, $D3805,
    startD, INDEX(Calculation!B$2:B9627, r),
    endD,   INDEX(Calculation!C$2:C9627, r),
    asOf,   MIN($A3805,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06">
      <c r="A3806" s="28"/>
      <c r="B3806" s="29"/>
      <c r="C3806" s="29" t="str">
        <f t="shared" si="1"/>
        <v/>
      </c>
      <c r="D3806" s="6" t="str">
        <f>IF(A3806="","",MATCH(A3806,Calculation!B$2:B9627,1))</f>
        <v/>
      </c>
      <c r="E3806" s="29" t="str">
        <f t="array" ref="E3806">IF(D3806="","",IF(D3806=1,0,INDEX(Calculation!Q$2:Q9627,D3806-1)))</f>
        <v/>
      </c>
      <c r="F3806" s="29" t="str">
        <f t="array" ref="F3806">IF($A3806="","",
  LET(
    r, $D3806,
    startD, INDEX(Calculation!B$2:B9627, r),
    endD,   INDEX(Calculation!C$2:C9627, r),
    asOf,   MIN($A3806,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07">
      <c r="A3807" s="28"/>
      <c r="B3807" s="29"/>
      <c r="C3807" s="29" t="str">
        <f t="shared" si="1"/>
        <v/>
      </c>
      <c r="D3807" s="6" t="str">
        <f>IF(A3807="","",MATCH(A3807,Calculation!B$2:B9627,1))</f>
        <v/>
      </c>
      <c r="E3807" s="29" t="str">
        <f t="array" ref="E3807">IF(D3807="","",IF(D3807=1,0,INDEX(Calculation!Q$2:Q9627,D3807-1)))</f>
        <v/>
      </c>
      <c r="F3807" s="29" t="str">
        <f t="array" ref="F3807">IF($A3807="","",
  LET(
    r, $D3807,
    startD, INDEX(Calculation!B$2:B9627, r),
    endD,   INDEX(Calculation!C$2:C9627, r),
    asOf,   MIN($A3807,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08">
      <c r="A3808" s="28"/>
      <c r="B3808" s="29"/>
      <c r="C3808" s="29" t="str">
        <f t="shared" si="1"/>
        <v/>
      </c>
      <c r="D3808" s="6" t="str">
        <f>IF(A3808="","",MATCH(A3808,Calculation!B$2:B9627,1))</f>
        <v/>
      </c>
      <c r="E3808" s="29" t="str">
        <f t="array" ref="E3808">IF(D3808="","",IF(D3808=1,0,INDEX(Calculation!Q$2:Q9627,D3808-1)))</f>
        <v/>
      </c>
      <c r="F3808" s="29" t="str">
        <f t="array" ref="F3808">IF($A3808="","",
  LET(
    r, $D3808,
    startD, INDEX(Calculation!B$2:B9627, r),
    endD,   INDEX(Calculation!C$2:C9627, r),
    asOf,   MIN($A3808,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09">
      <c r="A3809" s="28"/>
      <c r="B3809" s="29"/>
      <c r="C3809" s="29" t="str">
        <f t="shared" si="1"/>
        <v/>
      </c>
      <c r="D3809" s="6" t="str">
        <f>IF(A3809="","",MATCH(A3809,Calculation!B$2:B9627,1))</f>
        <v/>
      </c>
      <c r="E3809" s="29" t="str">
        <f t="array" ref="E3809">IF(D3809="","",IF(D3809=1,0,INDEX(Calculation!Q$2:Q9627,D3809-1)))</f>
        <v/>
      </c>
      <c r="F3809" s="29" t="str">
        <f t="array" ref="F3809">IF($A3809="","",
  LET(
    r, $D3809,
    startD, INDEX(Calculation!B$2:B9627, r),
    endD,   INDEX(Calculation!C$2:C9627, r),
    asOf,   MIN($A3809,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10">
      <c r="A3810" s="28"/>
      <c r="B3810" s="29"/>
      <c r="C3810" s="29" t="str">
        <f t="shared" si="1"/>
        <v/>
      </c>
      <c r="D3810" s="6" t="str">
        <f>IF(A3810="","",MATCH(A3810,Calculation!B$2:B9627,1))</f>
        <v/>
      </c>
      <c r="E3810" s="29" t="str">
        <f t="array" ref="E3810">IF(D3810="","",IF(D3810=1,0,INDEX(Calculation!Q$2:Q9627,D3810-1)))</f>
        <v/>
      </c>
      <c r="F3810" s="29" t="str">
        <f t="array" ref="F3810">IF($A3810="","",
  LET(
    r, $D3810,
    startD, INDEX(Calculation!B$2:B9627, r),
    endD,   INDEX(Calculation!C$2:C9627, r),
    asOf,   MIN($A3810,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11">
      <c r="A3811" s="28"/>
      <c r="B3811" s="29"/>
      <c r="C3811" s="29" t="str">
        <f t="shared" si="1"/>
        <v/>
      </c>
      <c r="D3811" s="6" t="str">
        <f>IF(A3811="","",MATCH(A3811,Calculation!B$2:B9627,1))</f>
        <v/>
      </c>
      <c r="E3811" s="29" t="str">
        <f t="array" ref="E3811">IF(D3811="","",IF(D3811=1,0,INDEX(Calculation!Q$2:Q9627,D3811-1)))</f>
        <v/>
      </c>
      <c r="F3811" s="29" t="str">
        <f t="array" ref="F3811">IF($A3811="","",
  LET(
    r, $D3811,
    startD, INDEX(Calculation!B$2:B9627, r),
    endD,   INDEX(Calculation!C$2:C9627, r),
    asOf,   MIN($A3811,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12">
      <c r="A3812" s="28"/>
      <c r="B3812" s="29"/>
      <c r="C3812" s="29" t="str">
        <f t="shared" si="1"/>
        <v/>
      </c>
      <c r="D3812" s="6" t="str">
        <f>IF(A3812="","",MATCH(A3812,Calculation!B$2:B9627,1))</f>
        <v/>
      </c>
      <c r="E3812" s="29" t="str">
        <f t="array" ref="E3812">IF(D3812="","",IF(D3812=1,0,INDEX(Calculation!Q$2:Q9627,D3812-1)))</f>
        <v/>
      </c>
      <c r="F3812" s="29" t="str">
        <f t="array" ref="F3812">IF($A3812="","",
  LET(
    r, $D3812,
    startD, INDEX(Calculation!B$2:B9627, r),
    endD,   INDEX(Calculation!C$2:C9627, r),
    asOf,   MIN($A3812,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13">
      <c r="A3813" s="28"/>
      <c r="B3813" s="29"/>
      <c r="C3813" s="29" t="str">
        <f t="shared" si="1"/>
        <v/>
      </c>
      <c r="D3813" s="6" t="str">
        <f>IF(A3813="","",MATCH(A3813,Calculation!B$2:B9627,1))</f>
        <v/>
      </c>
      <c r="E3813" s="29" t="str">
        <f t="array" ref="E3813">IF(D3813="","",IF(D3813=1,0,INDEX(Calculation!Q$2:Q9627,D3813-1)))</f>
        <v/>
      </c>
      <c r="F3813" s="29" t="str">
        <f t="array" ref="F3813">IF($A3813="","",
  LET(
    r, $D3813,
    startD, INDEX(Calculation!B$2:B9627, r),
    endD,   INDEX(Calculation!C$2:C9627, r),
    asOf,   MIN($A3813,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14">
      <c r="A3814" s="28"/>
      <c r="B3814" s="29"/>
      <c r="C3814" s="29" t="str">
        <f t="shared" si="1"/>
        <v/>
      </c>
      <c r="D3814" s="6" t="str">
        <f>IF(A3814="","",MATCH(A3814,Calculation!B$2:B9627,1))</f>
        <v/>
      </c>
      <c r="E3814" s="29" t="str">
        <f t="array" ref="E3814">IF(D3814="","",IF(D3814=1,0,INDEX(Calculation!Q$2:Q9627,D3814-1)))</f>
        <v/>
      </c>
      <c r="F3814" s="29" t="str">
        <f t="array" ref="F3814">IF($A3814="","",
  LET(
    r, $D3814,
    startD, INDEX(Calculation!B$2:B9627, r),
    endD,   INDEX(Calculation!C$2:C9627, r),
    asOf,   MIN($A3814,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15">
      <c r="A3815" s="28"/>
      <c r="B3815" s="29"/>
      <c r="C3815" s="29" t="str">
        <f t="shared" si="1"/>
        <v/>
      </c>
      <c r="D3815" s="6" t="str">
        <f>IF(A3815="","",MATCH(A3815,Calculation!B$2:B9627,1))</f>
        <v/>
      </c>
      <c r="E3815" s="29" t="str">
        <f t="array" ref="E3815">IF(D3815="","",IF(D3815=1,0,INDEX(Calculation!Q$2:Q9627,D3815-1)))</f>
        <v/>
      </c>
      <c r="F3815" s="29" t="str">
        <f t="array" ref="F3815">IF($A3815="","",
  LET(
    r, $D3815,
    startD, INDEX(Calculation!B$2:B9627, r),
    endD,   INDEX(Calculation!C$2:C9627, r),
    asOf,   MIN($A3815,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16">
      <c r="A3816" s="28"/>
      <c r="B3816" s="29"/>
      <c r="C3816" s="29" t="str">
        <f t="shared" si="1"/>
        <v/>
      </c>
      <c r="D3816" s="6" t="str">
        <f>IF(A3816="","",MATCH(A3816,Calculation!B$2:B9627,1))</f>
        <v/>
      </c>
      <c r="E3816" s="29" t="str">
        <f t="array" ref="E3816">IF(D3816="","",IF(D3816=1,0,INDEX(Calculation!Q$2:Q9627,D3816-1)))</f>
        <v/>
      </c>
      <c r="F3816" s="29" t="str">
        <f t="array" ref="F3816">IF($A3816="","",
  LET(
    r, $D3816,
    startD, INDEX(Calculation!B$2:B9627, r),
    endD,   INDEX(Calculation!C$2:C9627, r),
    asOf,   MIN($A3816,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17">
      <c r="A3817" s="28"/>
      <c r="B3817" s="29"/>
      <c r="C3817" s="29" t="str">
        <f t="shared" si="1"/>
        <v/>
      </c>
      <c r="D3817" s="6" t="str">
        <f>IF(A3817="","",MATCH(A3817,Calculation!B$2:B9627,1))</f>
        <v/>
      </c>
      <c r="E3817" s="29" t="str">
        <f t="array" ref="E3817">IF(D3817="","",IF(D3817=1,0,INDEX(Calculation!Q$2:Q9627,D3817-1)))</f>
        <v/>
      </c>
      <c r="F3817" s="29" t="str">
        <f t="array" ref="F3817">IF($A3817="","",
  LET(
    r, $D3817,
    startD, INDEX(Calculation!B$2:B9627, r),
    endD,   INDEX(Calculation!C$2:C9627, r),
    asOf,   MIN($A3817,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18">
      <c r="A3818" s="28"/>
      <c r="B3818" s="29"/>
      <c r="C3818" s="29" t="str">
        <f t="shared" si="1"/>
        <v/>
      </c>
      <c r="D3818" s="6" t="str">
        <f>IF(A3818="","",MATCH(A3818,Calculation!B$2:B9627,1))</f>
        <v/>
      </c>
      <c r="E3818" s="29" t="str">
        <f t="array" ref="E3818">IF(D3818="","",IF(D3818=1,0,INDEX(Calculation!Q$2:Q9627,D3818-1)))</f>
        <v/>
      </c>
      <c r="F3818" s="29" t="str">
        <f t="array" ref="F3818">IF($A3818="","",
  LET(
    r, $D3818,
    startD, INDEX(Calculation!B$2:B9627, r),
    endD,   INDEX(Calculation!C$2:C9627, r),
    asOf,   MIN($A3818,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19">
      <c r="A3819" s="28"/>
      <c r="B3819" s="29"/>
      <c r="C3819" s="29" t="str">
        <f t="shared" si="1"/>
        <v/>
      </c>
      <c r="D3819" s="6" t="str">
        <f>IF(A3819="","",MATCH(A3819,Calculation!B$2:B9627,1))</f>
        <v/>
      </c>
      <c r="E3819" s="29" t="str">
        <f t="array" ref="E3819">IF(D3819="","",IF(D3819=1,0,INDEX(Calculation!Q$2:Q9627,D3819-1)))</f>
        <v/>
      </c>
      <c r="F3819" s="29" t="str">
        <f t="array" ref="F3819">IF($A3819="","",
  LET(
    r, $D3819,
    startD, INDEX(Calculation!B$2:B9627, r),
    endD,   INDEX(Calculation!C$2:C9627, r),
    asOf,   MIN($A3819,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20">
      <c r="A3820" s="28"/>
      <c r="B3820" s="29"/>
      <c r="C3820" s="29" t="str">
        <f t="shared" si="1"/>
        <v/>
      </c>
      <c r="D3820" s="6" t="str">
        <f>IF(A3820="","",MATCH(A3820,Calculation!B$2:B9627,1))</f>
        <v/>
      </c>
      <c r="E3820" s="29" t="str">
        <f t="array" ref="E3820">IF(D3820="","",IF(D3820=1,0,INDEX(Calculation!Q$2:Q9627,D3820-1)))</f>
        <v/>
      </c>
      <c r="F3820" s="29" t="str">
        <f t="array" ref="F3820">IF($A3820="","",
  LET(
    r, $D3820,
    startD, INDEX(Calculation!B$2:B9627, r),
    endD,   INDEX(Calculation!C$2:C9627, r),
    asOf,   MIN($A3820,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21">
      <c r="A3821" s="28"/>
      <c r="B3821" s="29"/>
      <c r="C3821" s="29" t="str">
        <f t="shared" si="1"/>
        <v/>
      </c>
      <c r="D3821" s="6" t="str">
        <f>IF(A3821="","",MATCH(A3821,Calculation!B$2:B9627,1))</f>
        <v/>
      </c>
      <c r="E3821" s="29" t="str">
        <f t="array" ref="E3821">IF(D3821="","",IF(D3821=1,0,INDEX(Calculation!Q$2:Q9627,D3821-1)))</f>
        <v/>
      </c>
      <c r="F3821" s="29" t="str">
        <f t="array" ref="F3821">IF($A3821="","",
  LET(
    r, $D3821,
    startD, INDEX(Calculation!B$2:B9627, r),
    endD,   INDEX(Calculation!C$2:C9627, r),
    asOf,   MIN($A3821,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22">
      <c r="A3822" s="28"/>
      <c r="B3822" s="29"/>
      <c r="C3822" s="29" t="str">
        <f t="shared" si="1"/>
        <v/>
      </c>
      <c r="D3822" s="6" t="str">
        <f>IF(A3822="","",MATCH(A3822,Calculation!B$2:B9627,1))</f>
        <v/>
      </c>
      <c r="E3822" s="29" t="str">
        <f t="array" ref="E3822">IF(D3822="","",IF(D3822=1,0,INDEX(Calculation!Q$2:Q9627,D3822-1)))</f>
        <v/>
      </c>
      <c r="F3822" s="29" t="str">
        <f t="array" ref="F3822">IF($A3822="","",
  LET(
    r, $D3822,
    startD, INDEX(Calculation!B$2:B9627, r),
    endD,   INDEX(Calculation!C$2:C9627, r),
    asOf,   MIN($A3822,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23">
      <c r="A3823" s="28"/>
      <c r="B3823" s="29"/>
      <c r="C3823" s="29" t="str">
        <f t="shared" si="1"/>
        <v/>
      </c>
      <c r="D3823" s="6" t="str">
        <f>IF(A3823="","",MATCH(A3823,Calculation!B$2:B9627,1))</f>
        <v/>
      </c>
      <c r="E3823" s="29" t="str">
        <f t="array" ref="E3823">IF(D3823="","",IF(D3823=1,0,INDEX(Calculation!Q$2:Q9627,D3823-1)))</f>
        <v/>
      </c>
      <c r="F3823" s="29" t="str">
        <f t="array" ref="F3823">IF($A3823="","",
  LET(
    r, $D3823,
    startD, INDEX(Calculation!B$2:B9627, r),
    endD,   INDEX(Calculation!C$2:C9627, r),
    asOf,   MIN($A3823,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24">
      <c r="A3824" s="28"/>
      <c r="B3824" s="29"/>
      <c r="C3824" s="29" t="str">
        <f t="shared" si="1"/>
        <v/>
      </c>
      <c r="D3824" s="6" t="str">
        <f>IF(A3824="","",MATCH(A3824,Calculation!B$2:B9627,1))</f>
        <v/>
      </c>
      <c r="E3824" s="29" t="str">
        <f t="array" ref="E3824">IF(D3824="","",IF(D3824=1,0,INDEX(Calculation!Q$2:Q9627,D3824-1)))</f>
        <v/>
      </c>
      <c r="F3824" s="29" t="str">
        <f t="array" ref="F3824">IF($A3824="","",
  LET(
    r, $D3824,
    startD, INDEX(Calculation!B$2:B9627, r),
    endD,   INDEX(Calculation!C$2:C9627, r),
    asOf,   MIN($A3824,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25">
      <c r="A3825" s="28"/>
      <c r="B3825" s="29"/>
      <c r="C3825" s="29" t="str">
        <f t="shared" si="1"/>
        <v/>
      </c>
      <c r="D3825" s="6" t="str">
        <f>IF(A3825="","",MATCH(A3825,Calculation!B$2:B9627,1))</f>
        <v/>
      </c>
      <c r="E3825" s="29" t="str">
        <f t="array" ref="E3825">IF(D3825="","",IF(D3825=1,0,INDEX(Calculation!Q$2:Q9627,D3825-1)))</f>
        <v/>
      </c>
      <c r="F3825" s="29" t="str">
        <f t="array" ref="F3825">IF($A3825="","",
  LET(
    r, $D3825,
    startD, INDEX(Calculation!B$2:B9627, r),
    endD,   INDEX(Calculation!C$2:C9627, r),
    asOf,   MIN($A3825,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26">
      <c r="A3826" s="28"/>
      <c r="B3826" s="29"/>
      <c r="C3826" s="29" t="str">
        <f t="shared" si="1"/>
        <v/>
      </c>
      <c r="D3826" s="6" t="str">
        <f>IF(A3826="","",MATCH(A3826,Calculation!B$2:B9627,1))</f>
        <v/>
      </c>
      <c r="E3826" s="29" t="str">
        <f t="array" ref="E3826">IF(D3826="","",IF(D3826=1,0,INDEX(Calculation!Q$2:Q9627,D3826-1)))</f>
        <v/>
      </c>
      <c r="F3826" s="29" t="str">
        <f t="array" ref="F3826">IF($A3826="","",
  LET(
    r, $D3826,
    startD, INDEX(Calculation!B$2:B9627, r),
    endD,   INDEX(Calculation!C$2:C9627, r),
    asOf,   MIN($A3826,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27">
      <c r="A3827" s="28"/>
      <c r="B3827" s="29"/>
      <c r="C3827" s="29" t="str">
        <f t="shared" si="1"/>
        <v/>
      </c>
      <c r="D3827" s="6" t="str">
        <f>IF(A3827="","",MATCH(A3827,Calculation!B$2:B9627,1))</f>
        <v/>
      </c>
      <c r="E3827" s="29" t="str">
        <f t="array" ref="E3827">IF(D3827="","",IF(D3827=1,0,INDEX(Calculation!Q$2:Q9627,D3827-1)))</f>
        <v/>
      </c>
      <c r="F3827" s="29" t="str">
        <f t="array" ref="F3827">IF($A3827="","",
  LET(
    r, $D3827,
    startD, INDEX(Calculation!B$2:B9627, r),
    endD,   INDEX(Calculation!C$2:C9627, r),
    asOf,   MIN($A3827,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28">
      <c r="A3828" s="28"/>
      <c r="B3828" s="29"/>
      <c r="C3828" s="29" t="str">
        <f t="shared" si="1"/>
        <v/>
      </c>
      <c r="D3828" s="6" t="str">
        <f>IF(A3828="","",MATCH(A3828,Calculation!B$2:B9627,1))</f>
        <v/>
      </c>
      <c r="E3828" s="29" t="str">
        <f t="array" ref="E3828">IF(D3828="","",IF(D3828=1,0,INDEX(Calculation!Q$2:Q9627,D3828-1)))</f>
        <v/>
      </c>
      <c r="F3828" s="29" t="str">
        <f t="array" ref="F3828">IF($A3828="","",
  LET(
    r, $D3828,
    startD, INDEX(Calculation!B$2:B9627, r),
    endD,   INDEX(Calculation!C$2:C9627, r),
    asOf,   MIN($A3828,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29">
      <c r="A3829" s="28"/>
      <c r="B3829" s="29"/>
      <c r="C3829" s="29" t="str">
        <f t="shared" si="1"/>
        <v/>
      </c>
      <c r="D3829" s="6" t="str">
        <f>IF(A3829="","",MATCH(A3829,Calculation!B$2:B9627,1))</f>
        <v/>
      </c>
      <c r="E3829" s="29" t="str">
        <f t="array" ref="E3829">IF(D3829="","",IF(D3829=1,0,INDEX(Calculation!Q$2:Q9627,D3829-1)))</f>
        <v/>
      </c>
      <c r="F3829" s="29" t="str">
        <f t="array" ref="F3829">IF($A3829="","",
  LET(
    r, $D3829,
    startD, INDEX(Calculation!B$2:B9627, r),
    endD,   INDEX(Calculation!C$2:C9627, r),
    asOf,   MIN($A3829,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30">
      <c r="A3830" s="28"/>
      <c r="B3830" s="29"/>
      <c r="C3830" s="29" t="str">
        <f t="shared" si="1"/>
        <v/>
      </c>
      <c r="D3830" s="6" t="str">
        <f>IF(A3830="","",MATCH(A3830,Calculation!B$2:B9627,1))</f>
        <v/>
      </c>
      <c r="E3830" s="29" t="str">
        <f t="array" ref="E3830">IF(D3830="","",IF(D3830=1,0,INDEX(Calculation!Q$2:Q9627,D3830-1)))</f>
        <v/>
      </c>
      <c r="F3830" s="29" t="str">
        <f t="array" ref="F3830">IF($A3830="","",
  LET(
    r, $D3830,
    startD, INDEX(Calculation!B$2:B9627, r),
    endD,   INDEX(Calculation!C$2:C9627, r),
    asOf,   MIN($A3830,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31">
      <c r="A3831" s="28"/>
      <c r="B3831" s="29"/>
      <c r="C3831" s="29" t="str">
        <f t="shared" si="1"/>
        <v/>
      </c>
      <c r="D3831" s="6" t="str">
        <f>IF(A3831="","",MATCH(A3831,Calculation!B$2:B9627,1))</f>
        <v/>
      </c>
      <c r="E3831" s="29" t="str">
        <f t="array" ref="E3831">IF(D3831="","",IF(D3831=1,0,INDEX(Calculation!Q$2:Q9627,D3831-1)))</f>
        <v/>
      </c>
      <c r="F3831" s="29" t="str">
        <f t="array" ref="F3831">IF($A3831="","",
  LET(
    r, $D3831,
    startD, INDEX(Calculation!B$2:B9627, r),
    endD,   INDEX(Calculation!C$2:C9627, r),
    asOf,   MIN($A3831,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32">
      <c r="A3832" s="28"/>
      <c r="B3832" s="29"/>
      <c r="C3832" s="29" t="str">
        <f t="shared" si="1"/>
        <v/>
      </c>
      <c r="D3832" s="6" t="str">
        <f>IF(A3832="","",MATCH(A3832,Calculation!B$2:B9627,1))</f>
        <v/>
      </c>
      <c r="E3832" s="29" t="str">
        <f t="array" ref="E3832">IF(D3832="","",IF(D3832=1,0,INDEX(Calculation!Q$2:Q9627,D3832-1)))</f>
        <v/>
      </c>
      <c r="F3832" s="29" t="str">
        <f t="array" ref="F3832">IF($A3832="","",
  LET(
    r, $D3832,
    startD, INDEX(Calculation!B$2:B9627, r),
    endD,   INDEX(Calculation!C$2:C9627, r),
    asOf,   MIN($A3832,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33">
      <c r="A3833" s="28"/>
      <c r="B3833" s="29"/>
      <c r="C3833" s="29" t="str">
        <f t="shared" si="1"/>
        <v/>
      </c>
      <c r="D3833" s="6" t="str">
        <f>IF(A3833="","",MATCH(A3833,Calculation!B$2:B9627,1))</f>
        <v/>
      </c>
      <c r="E3833" s="29" t="str">
        <f t="array" ref="E3833">IF(D3833="","",IF(D3833=1,0,INDEX(Calculation!Q$2:Q9627,D3833-1)))</f>
        <v/>
      </c>
      <c r="F3833" s="29" t="str">
        <f t="array" ref="F3833">IF($A3833="","",
  LET(
    r, $D3833,
    startD, INDEX(Calculation!B$2:B9627, r),
    endD,   INDEX(Calculation!C$2:C9627, r),
    asOf,   MIN($A3833,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34">
      <c r="A3834" s="28"/>
      <c r="B3834" s="29"/>
      <c r="C3834" s="29" t="str">
        <f t="shared" si="1"/>
        <v/>
      </c>
      <c r="D3834" s="6" t="str">
        <f>IF(A3834="","",MATCH(A3834,Calculation!B$2:B9627,1))</f>
        <v/>
      </c>
      <c r="E3834" s="29" t="str">
        <f t="array" ref="E3834">IF(D3834="","",IF(D3834=1,0,INDEX(Calculation!Q$2:Q9627,D3834-1)))</f>
        <v/>
      </c>
      <c r="F3834" s="29" t="str">
        <f t="array" ref="F3834">IF($A3834="","",
  LET(
    r, $D3834,
    startD, INDEX(Calculation!B$2:B9627, r),
    endD,   INDEX(Calculation!C$2:C9627, r),
    asOf,   MIN($A3834,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35">
      <c r="A3835" s="28"/>
      <c r="B3835" s="29"/>
      <c r="C3835" s="29" t="str">
        <f t="shared" si="1"/>
        <v/>
      </c>
      <c r="D3835" s="6" t="str">
        <f>IF(A3835="","",MATCH(A3835,Calculation!B$2:B9627,1))</f>
        <v/>
      </c>
      <c r="E3835" s="29" t="str">
        <f t="array" ref="E3835">IF(D3835="","",IF(D3835=1,0,INDEX(Calculation!Q$2:Q9627,D3835-1)))</f>
        <v/>
      </c>
      <c r="F3835" s="29" t="str">
        <f t="array" ref="F3835">IF($A3835="","",
  LET(
    r, $D3835,
    startD, INDEX(Calculation!B$2:B9627, r),
    endD,   INDEX(Calculation!C$2:C9627, r),
    asOf,   MIN($A3835,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36">
      <c r="A3836" s="28"/>
      <c r="B3836" s="29"/>
      <c r="C3836" s="29" t="str">
        <f t="shared" si="1"/>
        <v/>
      </c>
      <c r="D3836" s="6" t="str">
        <f>IF(A3836="","",MATCH(A3836,Calculation!B$2:B9627,1))</f>
        <v/>
      </c>
      <c r="E3836" s="29" t="str">
        <f t="array" ref="E3836">IF(D3836="","",IF(D3836=1,0,INDEX(Calculation!Q$2:Q9627,D3836-1)))</f>
        <v/>
      </c>
      <c r="F3836" s="29" t="str">
        <f t="array" ref="F3836">IF($A3836="","",
  LET(
    r, $D3836,
    startD, INDEX(Calculation!B$2:B9627, r),
    endD,   INDEX(Calculation!C$2:C9627, r),
    asOf,   MIN($A3836,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37">
      <c r="A3837" s="28"/>
      <c r="B3837" s="29"/>
      <c r="C3837" s="29" t="str">
        <f t="shared" si="1"/>
        <v/>
      </c>
      <c r="D3837" s="6" t="str">
        <f>IF(A3837="","",MATCH(A3837,Calculation!B$2:B9627,1))</f>
        <v/>
      </c>
      <c r="E3837" s="29" t="str">
        <f t="array" ref="E3837">IF(D3837="","",IF(D3837=1,0,INDEX(Calculation!Q$2:Q9627,D3837-1)))</f>
        <v/>
      </c>
      <c r="F3837" s="29" t="str">
        <f t="array" ref="F3837">IF($A3837="","",
  LET(
    r, $D3837,
    startD, INDEX(Calculation!B$2:B9627, r),
    endD,   INDEX(Calculation!C$2:C9627, r),
    asOf,   MIN($A3837,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38">
      <c r="A3838" s="28"/>
      <c r="B3838" s="29"/>
      <c r="C3838" s="29" t="str">
        <f t="shared" si="1"/>
        <v/>
      </c>
      <c r="D3838" s="6" t="str">
        <f>IF(A3838="","",MATCH(A3838,Calculation!B$2:B9627,1))</f>
        <v/>
      </c>
      <c r="E3838" s="29" t="str">
        <f t="array" ref="E3838">IF(D3838="","",IF(D3838=1,0,INDEX(Calculation!Q$2:Q9627,D3838-1)))</f>
        <v/>
      </c>
      <c r="F3838" s="29" t="str">
        <f t="array" ref="F3838">IF($A3838="","",
  LET(
    r, $D3838,
    startD, INDEX(Calculation!B$2:B9627, r),
    endD,   INDEX(Calculation!C$2:C9627, r),
    asOf,   MIN($A3838,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39">
      <c r="A3839" s="28"/>
      <c r="B3839" s="29"/>
      <c r="C3839" s="29" t="str">
        <f t="shared" si="1"/>
        <v/>
      </c>
      <c r="D3839" s="6" t="str">
        <f>IF(A3839="","",MATCH(A3839,Calculation!B$2:B9627,1))</f>
        <v/>
      </c>
      <c r="E3839" s="29" t="str">
        <f t="array" ref="E3839">IF(D3839="","",IF(D3839=1,0,INDEX(Calculation!Q$2:Q9627,D3839-1)))</f>
        <v/>
      </c>
      <c r="F3839" s="29" t="str">
        <f t="array" ref="F3839">IF($A3839="","",
  LET(
    r, $D3839,
    startD, INDEX(Calculation!B$2:B9627, r),
    endD,   INDEX(Calculation!C$2:C9627, r),
    asOf,   MIN($A3839,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40">
      <c r="A3840" s="28"/>
      <c r="B3840" s="29"/>
      <c r="C3840" s="29" t="str">
        <f t="shared" si="1"/>
        <v/>
      </c>
      <c r="D3840" s="6" t="str">
        <f>IF(A3840="","",MATCH(A3840,Calculation!B$2:B9627,1))</f>
        <v/>
      </c>
      <c r="E3840" s="29" t="str">
        <f t="array" ref="E3840">IF(D3840="","",IF(D3840=1,0,INDEX(Calculation!Q$2:Q9627,D3840-1)))</f>
        <v/>
      </c>
      <c r="F3840" s="29" t="str">
        <f t="array" ref="F3840">IF($A3840="","",
  LET(
    r, $D3840,
    startD, INDEX(Calculation!B$2:B9627, r),
    endD,   INDEX(Calculation!C$2:C9627, r),
    asOf,   MIN($A3840,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41">
      <c r="A3841" s="28"/>
      <c r="B3841" s="29"/>
      <c r="C3841" s="29" t="str">
        <f t="shared" si="1"/>
        <v/>
      </c>
      <c r="D3841" s="6" t="str">
        <f>IF(A3841="","",MATCH(A3841,Calculation!B$2:B9627,1))</f>
        <v/>
      </c>
      <c r="E3841" s="29" t="str">
        <f t="array" ref="E3841">IF(D3841="","",IF(D3841=1,0,INDEX(Calculation!Q$2:Q9627,D3841-1)))</f>
        <v/>
      </c>
      <c r="F3841" s="29" t="str">
        <f t="array" ref="F3841">IF($A3841="","",
  LET(
    r, $D3841,
    startD, INDEX(Calculation!B$2:B9627, r),
    endD,   INDEX(Calculation!C$2:C9627, r),
    asOf,   MIN($A3841,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42">
      <c r="A3842" s="28"/>
      <c r="B3842" s="29"/>
      <c r="C3842" s="29" t="str">
        <f t="shared" si="1"/>
        <v/>
      </c>
      <c r="D3842" s="6" t="str">
        <f>IF(A3842="","",MATCH(A3842,Calculation!B$2:B9627,1))</f>
        <v/>
      </c>
      <c r="E3842" s="29" t="str">
        <f t="array" ref="E3842">IF(D3842="","",IF(D3842=1,0,INDEX(Calculation!Q$2:Q9627,D3842-1)))</f>
        <v/>
      </c>
      <c r="F3842" s="29" t="str">
        <f t="array" ref="F3842">IF($A3842="","",
  LET(
    r, $D3842,
    startD, INDEX(Calculation!B$2:B9627, r),
    endD,   INDEX(Calculation!C$2:C9627, r),
    asOf,   MIN($A3842,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43">
      <c r="A3843" s="28"/>
      <c r="B3843" s="29"/>
      <c r="C3843" s="29" t="str">
        <f t="shared" si="1"/>
        <v/>
      </c>
      <c r="D3843" s="6" t="str">
        <f>IF(A3843="","",MATCH(A3843,Calculation!B$2:B9627,1))</f>
        <v/>
      </c>
      <c r="E3843" s="29" t="str">
        <f t="array" ref="E3843">IF(D3843="","",IF(D3843=1,0,INDEX(Calculation!Q$2:Q9627,D3843-1)))</f>
        <v/>
      </c>
      <c r="F3843" s="29" t="str">
        <f t="array" ref="F3843">IF($A3843="","",
  LET(
    r, $D3843,
    startD, INDEX(Calculation!B$2:B9627, r),
    endD,   INDEX(Calculation!C$2:C9627, r),
    asOf,   MIN($A3843,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44">
      <c r="A3844" s="28"/>
      <c r="B3844" s="29"/>
      <c r="C3844" s="29" t="str">
        <f t="shared" si="1"/>
        <v/>
      </c>
      <c r="D3844" s="6" t="str">
        <f>IF(A3844="","",MATCH(A3844,Calculation!B$2:B9627,1))</f>
        <v/>
      </c>
      <c r="E3844" s="29" t="str">
        <f t="array" ref="E3844">IF(D3844="","",IF(D3844=1,0,INDEX(Calculation!Q$2:Q9627,D3844-1)))</f>
        <v/>
      </c>
      <c r="F3844" s="29" t="str">
        <f t="array" ref="F3844">IF($A3844="","",
  LET(
    r, $D3844,
    startD, INDEX(Calculation!B$2:B9627, r),
    endD,   INDEX(Calculation!C$2:C9627, r),
    asOf,   MIN($A3844,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45">
      <c r="A3845" s="28"/>
      <c r="B3845" s="29"/>
      <c r="C3845" s="29" t="str">
        <f t="shared" si="1"/>
        <v/>
      </c>
      <c r="D3845" s="6" t="str">
        <f>IF(A3845="","",MATCH(A3845,Calculation!B$2:B9627,1))</f>
        <v/>
      </c>
      <c r="E3845" s="29" t="str">
        <f t="array" ref="E3845">IF(D3845="","",IF(D3845=1,0,INDEX(Calculation!Q$2:Q9627,D3845-1)))</f>
        <v/>
      </c>
      <c r="F3845" s="29" t="str">
        <f t="array" ref="F3845">IF($A3845="","",
  LET(
    r, $D3845,
    startD, INDEX(Calculation!B$2:B9627, r),
    endD,   INDEX(Calculation!C$2:C9627, r),
    asOf,   MIN($A3845,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46">
      <c r="A3846" s="28"/>
      <c r="B3846" s="29"/>
      <c r="C3846" s="29" t="str">
        <f t="shared" si="1"/>
        <v/>
      </c>
      <c r="D3846" s="6" t="str">
        <f>IF(A3846="","",MATCH(A3846,Calculation!B$2:B9627,1))</f>
        <v/>
      </c>
      <c r="E3846" s="29" t="str">
        <f t="array" ref="E3846">IF(D3846="","",IF(D3846=1,0,INDEX(Calculation!Q$2:Q9627,D3846-1)))</f>
        <v/>
      </c>
      <c r="F3846" s="29" t="str">
        <f t="array" ref="F3846">IF($A3846="","",
  LET(
    r, $D3846,
    startD, INDEX(Calculation!B$2:B9627, r),
    endD,   INDEX(Calculation!C$2:C9627, r),
    asOf,   MIN($A3846,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47">
      <c r="A3847" s="28"/>
      <c r="B3847" s="29"/>
      <c r="C3847" s="29" t="str">
        <f t="shared" si="1"/>
        <v/>
      </c>
      <c r="D3847" s="6" t="str">
        <f>IF(A3847="","",MATCH(A3847,Calculation!B$2:B9627,1))</f>
        <v/>
      </c>
      <c r="E3847" s="29" t="str">
        <f t="array" ref="E3847">IF(D3847="","",IF(D3847=1,0,INDEX(Calculation!Q$2:Q9627,D3847-1)))</f>
        <v/>
      </c>
      <c r="F3847" s="29" t="str">
        <f t="array" ref="F3847">IF($A3847="","",
  LET(
    r, $D3847,
    startD, INDEX(Calculation!B$2:B9627, r),
    endD,   INDEX(Calculation!C$2:C9627, r),
    asOf,   MIN($A3847,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48">
      <c r="A3848" s="28"/>
      <c r="B3848" s="29"/>
      <c r="C3848" s="29" t="str">
        <f t="shared" si="1"/>
        <v/>
      </c>
      <c r="D3848" s="6" t="str">
        <f>IF(A3848="","",MATCH(A3848,Calculation!B$2:B9627,1))</f>
        <v/>
      </c>
      <c r="E3848" s="29" t="str">
        <f t="array" ref="E3848">IF(D3848="","",IF(D3848=1,0,INDEX(Calculation!Q$2:Q9627,D3848-1)))</f>
        <v/>
      </c>
      <c r="F3848" s="29" t="str">
        <f t="array" ref="F3848">IF($A3848="","",
  LET(
    r, $D3848,
    startD, INDEX(Calculation!B$2:B9627, r),
    endD,   INDEX(Calculation!C$2:C9627, r),
    asOf,   MIN($A3848,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49">
      <c r="A3849" s="28"/>
      <c r="B3849" s="29"/>
      <c r="C3849" s="29" t="str">
        <f t="shared" si="1"/>
        <v/>
      </c>
      <c r="D3849" s="6" t="str">
        <f>IF(A3849="","",MATCH(A3849,Calculation!B$2:B9627,1))</f>
        <v/>
      </c>
      <c r="E3849" s="29" t="str">
        <f t="array" ref="E3849">IF(D3849="","",IF(D3849=1,0,INDEX(Calculation!Q$2:Q9627,D3849-1)))</f>
        <v/>
      </c>
      <c r="F3849" s="29" t="str">
        <f t="array" ref="F3849">IF($A3849="","",
  LET(
    r, $D3849,
    startD, INDEX(Calculation!B$2:B9627, r),
    endD,   INDEX(Calculation!C$2:C9627, r),
    asOf,   MIN($A3849,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50">
      <c r="A3850" s="28"/>
      <c r="B3850" s="29"/>
      <c r="C3850" s="29" t="str">
        <f t="shared" si="1"/>
        <v/>
      </c>
      <c r="D3850" s="6" t="str">
        <f>IF(A3850="","",MATCH(A3850,Calculation!B$2:B9627,1))</f>
        <v/>
      </c>
      <c r="E3850" s="29" t="str">
        <f t="array" ref="E3850">IF(D3850="","",IF(D3850=1,0,INDEX(Calculation!Q$2:Q9627,D3850-1)))</f>
        <v/>
      </c>
      <c r="F3850" s="29" t="str">
        <f t="array" ref="F3850">IF($A3850="","",
  LET(
    r, $D3850,
    startD, INDEX(Calculation!B$2:B9627, r),
    endD,   INDEX(Calculation!C$2:C9627, r),
    asOf,   MIN($A3850,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51">
      <c r="A3851" s="28"/>
      <c r="B3851" s="29"/>
      <c r="C3851" s="29" t="str">
        <f t="shared" si="1"/>
        <v/>
      </c>
      <c r="D3851" s="6" t="str">
        <f>IF(A3851="","",MATCH(A3851,Calculation!B$2:B9627,1))</f>
        <v/>
      </c>
      <c r="E3851" s="29" t="str">
        <f t="array" ref="E3851">IF(D3851="","",IF(D3851=1,0,INDEX(Calculation!Q$2:Q9627,D3851-1)))</f>
        <v/>
      </c>
      <c r="F3851" s="29" t="str">
        <f t="array" ref="F3851">IF($A3851="","",
  LET(
    r, $D3851,
    startD, INDEX(Calculation!B$2:B9627, r),
    endD,   INDEX(Calculation!C$2:C9627, r),
    asOf,   MIN($A3851,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52">
      <c r="A3852" s="28"/>
      <c r="B3852" s="29"/>
      <c r="C3852" s="29" t="str">
        <f t="shared" si="1"/>
        <v/>
      </c>
      <c r="D3852" s="6" t="str">
        <f>IF(A3852="","",MATCH(A3852,Calculation!B$2:B9627,1))</f>
        <v/>
      </c>
      <c r="E3852" s="29" t="str">
        <f t="array" ref="E3852">IF(D3852="","",IF(D3852=1,0,INDEX(Calculation!Q$2:Q9627,D3852-1)))</f>
        <v/>
      </c>
      <c r="F3852" s="29" t="str">
        <f t="array" ref="F3852">IF($A3852="","",
  LET(
    r, $D3852,
    startD, INDEX(Calculation!B$2:B9627, r),
    endD,   INDEX(Calculation!C$2:C9627, r),
    asOf,   MIN($A3852,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53">
      <c r="A3853" s="28"/>
      <c r="B3853" s="29"/>
      <c r="C3853" s="29" t="str">
        <f t="shared" si="1"/>
        <v/>
      </c>
      <c r="D3853" s="6" t="str">
        <f>IF(A3853="","",MATCH(A3853,Calculation!B$2:B9627,1))</f>
        <v/>
      </c>
      <c r="E3853" s="29" t="str">
        <f t="array" ref="E3853">IF(D3853="","",IF(D3853=1,0,INDEX(Calculation!Q$2:Q9627,D3853-1)))</f>
        <v/>
      </c>
      <c r="F3853" s="29" t="str">
        <f t="array" ref="F3853">IF($A3853="","",
  LET(
    r, $D3853,
    startD, INDEX(Calculation!B$2:B9627, r),
    endD,   INDEX(Calculation!C$2:C9627, r),
    asOf,   MIN($A3853,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54">
      <c r="A3854" s="28"/>
      <c r="B3854" s="29"/>
      <c r="C3854" s="29" t="str">
        <f t="shared" si="1"/>
        <v/>
      </c>
      <c r="D3854" s="6" t="str">
        <f>IF(A3854="","",MATCH(A3854,Calculation!B$2:B9627,1))</f>
        <v/>
      </c>
      <c r="E3854" s="29" t="str">
        <f t="array" ref="E3854">IF(D3854="","",IF(D3854=1,0,INDEX(Calculation!Q$2:Q9627,D3854-1)))</f>
        <v/>
      </c>
      <c r="F3854" s="29" t="str">
        <f t="array" ref="F3854">IF($A3854="","",
  LET(
    r, $D3854,
    startD, INDEX(Calculation!B$2:B9627, r),
    endD,   INDEX(Calculation!C$2:C9627, r),
    asOf,   MIN($A3854,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55">
      <c r="A3855" s="28"/>
      <c r="B3855" s="29"/>
      <c r="C3855" s="29" t="str">
        <f t="shared" si="1"/>
        <v/>
      </c>
      <c r="D3855" s="6" t="str">
        <f>IF(A3855="","",MATCH(A3855,Calculation!B$2:B9627,1))</f>
        <v/>
      </c>
      <c r="E3855" s="29" t="str">
        <f t="array" ref="E3855">IF(D3855="","",IF(D3855=1,0,INDEX(Calculation!Q$2:Q9627,D3855-1)))</f>
        <v/>
      </c>
      <c r="F3855" s="29" t="str">
        <f t="array" ref="F3855">IF($A3855="","",
  LET(
    r, $D3855,
    startD, INDEX(Calculation!B$2:B9627, r),
    endD,   INDEX(Calculation!C$2:C9627, r),
    asOf,   MIN($A3855,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56">
      <c r="A3856" s="28"/>
      <c r="B3856" s="29"/>
      <c r="C3856" s="29" t="str">
        <f t="shared" si="1"/>
        <v/>
      </c>
      <c r="D3856" s="6" t="str">
        <f>IF(A3856="","",MATCH(A3856,Calculation!B$2:B9627,1))</f>
        <v/>
      </c>
      <c r="E3856" s="29" t="str">
        <f t="array" ref="E3856">IF(D3856="","",IF(D3856=1,0,INDEX(Calculation!Q$2:Q9627,D3856-1)))</f>
        <v/>
      </c>
      <c r="F3856" s="29" t="str">
        <f t="array" ref="F3856">IF($A3856="","",
  LET(
    r, $D3856,
    startD, INDEX(Calculation!B$2:B9627, r),
    endD,   INDEX(Calculation!C$2:C9627, r),
    asOf,   MIN($A3856,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57">
      <c r="A3857" s="28"/>
      <c r="B3857" s="29"/>
      <c r="C3857" s="29" t="str">
        <f t="shared" si="1"/>
        <v/>
      </c>
      <c r="D3857" s="6" t="str">
        <f>IF(A3857="","",MATCH(A3857,Calculation!B$2:B9627,1))</f>
        <v/>
      </c>
      <c r="E3857" s="29" t="str">
        <f t="array" ref="E3857">IF(D3857="","",IF(D3857=1,0,INDEX(Calculation!Q$2:Q9627,D3857-1)))</f>
        <v/>
      </c>
      <c r="F3857" s="29" t="str">
        <f t="array" ref="F3857">IF($A3857="","",
  LET(
    r, $D3857,
    startD, INDEX(Calculation!B$2:B9627, r),
    endD,   INDEX(Calculation!C$2:C9627, r),
    asOf,   MIN($A3857,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58">
      <c r="A3858" s="28"/>
      <c r="B3858" s="29"/>
      <c r="C3858" s="29" t="str">
        <f t="shared" si="1"/>
        <v/>
      </c>
      <c r="D3858" s="6" t="str">
        <f>IF(A3858="","",MATCH(A3858,Calculation!B$2:B9627,1))</f>
        <v/>
      </c>
      <c r="E3858" s="29" t="str">
        <f t="array" ref="E3858">IF(D3858="","",IF(D3858=1,0,INDEX(Calculation!Q$2:Q9627,D3858-1)))</f>
        <v/>
      </c>
      <c r="F3858" s="29" t="str">
        <f t="array" ref="F3858">IF($A3858="","",
  LET(
    r, $D3858,
    startD, INDEX(Calculation!B$2:B9627, r),
    endD,   INDEX(Calculation!C$2:C9627, r),
    asOf,   MIN($A3858,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59">
      <c r="A3859" s="28"/>
      <c r="B3859" s="29"/>
      <c r="C3859" s="29" t="str">
        <f t="shared" si="1"/>
        <v/>
      </c>
      <c r="D3859" s="6" t="str">
        <f>IF(A3859="","",MATCH(A3859,Calculation!B$2:B9627,1))</f>
        <v/>
      </c>
      <c r="E3859" s="29" t="str">
        <f t="array" ref="E3859">IF(D3859="","",IF(D3859=1,0,INDEX(Calculation!Q$2:Q9627,D3859-1)))</f>
        <v/>
      </c>
      <c r="F3859" s="29" t="str">
        <f t="array" ref="F3859">IF($A3859="","",
  LET(
    r, $D3859,
    startD, INDEX(Calculation!B$2:B9627, r),
    endD,   INDEX(Calculation!C$2:C9627, r),
    asOf,   MIN($A3859,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60">
      <c r="A3860" s="28"/>
      <c r="B3860" s="29"/>
      <c r="C3860" s="29" t="str">
        <f t="shared" si="1"/>
        <v/>
      </c>
      <c r="D3860" s="6" t="str">
        <f>IF(A3860="","",MATCH(A3860,Calculation!B$2:B9627,1))</f>
        <v/>
      </c>
      <c r="E3860" s="29" t="str">
        <f t="array" ref="E3860">IF(D3860="","",IF(D3860=1,0,INDEX(Calculation!Q$2:Q9627,D3860-1)))</f>
        <v/>
      </c>
      <c r="F3860" s="29" t="str">
        <f t="array" ref="F3860">IF($A3860="","",
  LET(
    r, $D3860,
    startD, INDEX(Calculation!B$2:B9627, r),
    endD,   INDEX(Calculation!C$2:C9627, r),
    asOf,   MIN($A3860,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61">
      <c r="A3861" s="28"/>
      <c r="B3861" s="29"/>
      <c r="C3861" s="29" t="str">
        <f t="shared" si="1"/>
        <v/>
      </c>
      <c r="D3861" s="6" t="str">
        <f>IF(A3861="","",MATCH(A3861,Calculation!B$2:B9627,1))</f>
        <v/>
      </c>
      <c r="E3861" s="29" t="str">
        <f t="array" ref="E3861">IF(D3861="","",IF(D3861=1,0,INDEX(Calculation!Q$2:Q9627,D3861-1)))</f>
        <v/>
      </c>
      <c r="F3861" s="29" t="str">
        <f t="array" ref="F3861">IF($A3861="","",
  LET(
    r, $D3861,
    startD, INDEX(Calculation!B$2:B9627, r),
    endD,   INDEX(Calculation!C$2:C9627, r),
    asOf,   MIN($A3861,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62">
      <c r="A3862" s="28"/>
      <c r="B3862" s="29"/>
      <c r="C3862" s="29" t="str">
        <f t="shared" si="1"/>
        <v/>
      </c>
      <c r="D3862" s="6" t="str">
        <f>IF(A3862="","",MATCH(A3862,Calculation!B$2:B9627,1))</f>
        <v/>
      </c>
      <c r="E3862" s="29" t="str">
        <f t="array" ref="E3862">IF(D3862="","",IF(D3862=1,0,INDEX(Calculation!Q$2:Q9627,D3862-1)))</f>
        <v/>
      </c>
      <c r="F3862" s="29" t="str">
        <f t="array" ref="F3862">IF($A3862="","",
  LET(
    r, $D3862,
    startD, INDEX(Calculation!B$2:B9627, r),
    endD,   INDEX(Calculation!C$2:C9627, r),
    asOf,   MIN($A3862,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63">
      <c r="A3863" s="28"/>
      <c r="B3863" s="29"/>
      <c r="C3863" s="29" t="str">
        <f t="shared" si="1"/>
        <v/>
      </c>
      <c r="D3863" s="6" t="str">
        <f>IF(A3863="","",MATCH(A3863,Calculation!B$2:B9627,1))</f>
        <v/>
      </c>
      <c r="E3863" s="29" t="str">
        <f t="array" ref="E3863">IF(D3863="","",IF(D3863=1,0,INDEX(Calculation!Q$2:Q9627,D3863-1)))</f>
        <v/>
      </c>
      <c r="F3863" s="29" t="str">
        <f t="array" ref="F3863">IF($A3863="","",
  LET(
    r, $D3863,
    startD, INDEX(Calculation!B$2:B9627, r),
    endD,   INDEX(Calculation!C$2:C9627, r),
    asOf,   MIN($A3863,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64">
      <c r="A3864" s="28"/>
      <c r="B3864" s="29"/>
      <c r="C3864" s="29" t="str">
        <f t="shared" si="1"/>
        <v/>
      </c>
      <c r="D3864" s="6" t="str">
        <f>IF(A3864="","",MATCH(A3864,Calculation!B$2:B9627,1))</f>
        <v/>
      </c>
      <c r="E3864" s="29" t="str">
        <f t="array" ref="E3864">IF(D3864="","",IF(D3864=1,0,INDEX(Calculation!Q$2:Q9627,D3864-1)))</f>
        <v/>
      </c>
      <c r="F3864" s="29" t="str">
        <f t="array" ref="F3864">IF($A3864="","",
  LET(
    r, $D3864,
    startD, INDEX(Calculation!B$2:B9627, r),
    endD,   INDEX(Calculation!C$2:C9627, r),
    asOf,   MIN($A3864,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65">
      <c r="A3865" s="28"/>
      <c r="B3865" s="29"/>
      <c r="C3865" s="29" t="str">
        <f t="shared" si="1"/>
        <v/>
      </c>
      <c r="D3865" s="6" t="str">
        <f>IF(A3865="","",MATCH(A3865,Calculation!B$2:B9627,1))</f>
        <v/>
      </c>
      <c r="E3865" s="29" t="str">
        <f t="array" ref="E3865">IF(D3865="","",IF(D3865=1,0,INDEX(Calculation!Q$2:Q9627,D3865-1)))</f>
        <v/>
      </c>
      <c r="F3865" s="29" t="str">
        <f t="array" ref="F3865">IF($A3865="","",
  LET(
    r, $D3865,
    startD, INDEX(Calculation!B$2:B9627, r),
    endD,   INDEX(Calculation!C$2:C9627, r),
    asOf,   MIN($A3865,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66">
      <c r="A3866" s="28"/>
      <c r="B3866" s="29"/>
      <c r="C3866" s="29" t="str">
        <f t="shared" si="1"/>
        <v/>
      </c>
      <c r="D3866" s="6" t="str">
        <f>IF(A3866="","",MATCH(A3866,Calculation!B$2:B9627,1))</f>
        <v/>
      </c>
      <c r="E3866" s="29" t="str">
        <f t="array" ref="E3866">IF(D3866="","",IF(D3866=1,0,INDEX(Calculation!Q$2:Q9627,D3866-1)))</f>
        <v/>
      </c>
      <c r="F3866" s="29" t="str">
        <f t="array" ref="F3866">IF($A3866="","",
  LET(
    r, $D3866,
    startD, INDEX(Calculation!B$2:B9627, r),
    endD,   INDEX(Calculation!C$2:C9627, r),
    asOf,   MIN($A3866,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67">
      <c r="A3867" s="28"/>
      <c r="B3867" s="29"/>
      <c r="C3867" s="29" t="str">
        <f t="shared" si="1"/>
        <v/>
      </c>
      <c r="D3867" s="6" t="str">
        <f>IF(A3867="","",MATCH(A3867,Calculation!B$2:B9627,1))</f>
        <v/>
      </c>
      <c r="E3867" s="29" t="str">
        <f t="array" ref="E3867">IF(D3867="","",IF(D3867=1,0,INDEX(Calculation!Q$2:Q9627,D3867-1)))</f>
        <v/>
      </c>
      <c r="F3867" s="29" t="str">
        <f t="array" ref="F3867">IF($A3867="","",
  LET(
    r, $D3867,
    startD, INDEX(Calculation!B$2:B9627, r),
    endD,   INDEX(Calculation!C$2:C9627, r),
    asOf,   MIN($A3867,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68">
      <c r="A3868" s="28"/>
      <c r="B3868" s="29"/>
      <c r="C3868" s="29" t="str">
        <f t="shared" si="1"/>
        <v/>
      </c>
      <c r="D3868" s="6" t="str">
        <f>IF(A3868="","",MATCH(A3868,Calculation!B$2:B9627,1))</f>
        <v/>
      </c>
      <c r="E3868" s="29" t="str">
        <f t="array" ref="E3868">IF(D3868="","",IF(D3868=1,0,INDEX(Calculation!Q$2:Q9627,D3868-1)))</f>
        <v/>
      </c>
      <c r="F3868" s="29" t="str">
        <f t="array" ref="F3868">IF($A3868="","",
  LET(
    r, $D3868,
    startD, INDEX(Calculation!B$2:B9627, r),
    endD,   INDEX(Calculation!C$2:C9627, r),
    asOf,   MIN($A3868,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69">
      <c r="A3869" s="28"/>
      <c r="B3869" s="29"/>
      <c r="C3869" s="29" t="str">
        <f t="shared" si="1"/>
        <v/>
      </c>
      <c r="D3869" s="6" t="str">
        <f>IF(A3869="","",MATCH(A3869,Calculation!B$2:B9627,1))</f>
        <v/>
      </c>
      <c r="E3869" s="29" t="str">
        <f t="array" ref="E3869">IF(D3869="","",IF(D3869=1,0,INDEX(Calculation!Q$2:Q9627,D3869-1)))</f>
        <v/>
      </c>
      <c r="F3869" s="29" t="str">
        <f t="array" ref="F3869">IF($A3869="","",
  LET(
    r, $D3869,
    startD, INDEX(Calculation!B$2:B9627, r),
    endD,   INDEX(Calculation!C$2:C9627, r),
    asOf,   MIN($A3869,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70">
      <c r="A3870" s="28"/>
      <c r="B3870" s="29"/>
      <c r="C3870" s="29" t="str">
        <f t="shared" si="1"/>
        <v/>
      </c>
      <c r="D3870" s="6" t="str">
        <f>IF(A3870="","",MATCH(A3870,Calculation!B$2:B9627,1))</f>
        <v/>
      </c>
      <c r="E3870" s="29" t="str">
        <f t="array" ref="E3870">IF(D3870="","",IF(D3870=1,0,INDEX(Calculation!Q$2:Q9627,D3870-1)))</f>
        <v/>
      </c>
      <c r="F3870" s="29" t="str">
        <f t="array" ref="F3870">IF($A3870="","",
  LET(
    r, $D3870,
    startD, INDEX(Calculation!B$2:B9627, r),
    endD,   INDEX(Calculation!C$2:C9627, r),
    asOf,   MIN($A3870,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71">
      <c r="A3871" s="28"/>
      <c r="B3871" s="29"/>
      <c r="C3871" s="29" t="str">
        <f t="shared" si="1"/>
        <v/>
      </c>
      <c r="D3871" s="6" t="str">
        <f>IF(A3871="","",MATCH(A3871,Calculation!B$2:B9627,1))</f>
        <v/>
      </c>
      <c r="E3871" s="29" t="str">
        <f t="array" ref="E3871">IF(D3871="","",IF(D3871=1,0,INDEX(Calculation!Q$2:Q9627,D3871-1)))</f>
        <v/>
      </c>
      <c r="F3871" s="29" t="str">
        <f t="array" ref="F3871">IF($A3871="","",
  LET(
    r, $D3871,
    startD, INDEX(Calculation!B$2:B9627, r),
    endD,   INDEX(Calculation!C$2:C9627, r),
    asOf,   MIN($A3871,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72">
      <c r="A3872" s="28"/>
      <c r="B3872" s="29"/>
      <c r="C3872" s="29" t="str">
        <f t="shared" si="1"/>
        <v/>
      </c>
      <c r="D3872" s="6" t="str">
        <f>IF(A3872="","",MATCH(A3872,Calculation!B$2:B9627,1))</f>
        <v/>
      </c>
      <c r="E3872" s="29" t="str">
        <f t="array" ref="E3872">IF(D3872="","",IF(D3872=1,0,INDEX(Calculation!Q$2:Q9627,D3872-1)))</f>
        <v/>
      </c>
      <c r="F3872" s="29" t="str">
        <f t="array" ref="F3872">IF($A3872="","",
  LET(
    r, $D3872,
    startD, INDEX(Calculation!B$2:B9627, r),
    endD,   INDEX(Calculation!C$2:C9627, r),
    asOf,   MIN($A3872,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73">
      <c r="A3873" s="28"/>
      <c r="B3873" s="29"/>
      <c r="C3873" s="29" t="str">
        <f t="shared" si="1"/>
        <v/>
      </c>
      <c r="D3873" s="6" t="str">
        <f>IF(A3873="","",MATCH(A3873,Calculation!B$2:B9627,1))</f>
        <v/>
      </c>
      <c r="E3873" s="29" t="str">
        <f t="array" ref="E3873">IF(D3873="","",IF(D3873=1,0,INDEX(Calculation!Q$2:Q9627,D3873-1)))</f>
        <v/>
      </c>
      <c r="F3873" s="29" t="str">
        <f t="array" ref="F3873">IF($A3873="","",
  LET(
    r, $D3873,
    startD, INDEX(Calculation!B$2:B9627, r),
    endD,   INDEX(Calculation!C$2:C9627, r),
    asOf,   MIN($A3873,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74">
      <c r="A3874" s="28"/>
      <c r="B3874" s="29"/>
      <c r="C3874" s="29" t="str">
        <f t="shared" si="1"/>
        <v/>
      </c>
      <c r="D3874" s="6" t="str">
        <f>IF(A3874="","",MATCH(A3874,Calculation!B$2:B9627,1))</f>
        <v/>
      </c>
      <c r="E3874" s="29" t="str">
        <f t="array" ref="E3874">IF(D3874="","",IF(D3874=1,0,INDEX(Calculation!Q$2:Q9627,D3874-1)))</f>
        <v/>
      </c>
      <c r="F3874" s="29" t="str">
        <f t="array" ref="F3874">IF($A3874="","",
  LET(
    r, $D3874,
    startD, INDEX(Calculation!B$2:B9627, r),
    endD,   INDEX(Calculation!C$2:C9627, r),
    asOf,   MIN($A3874,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75">
      <c r="A3875" s="28"/>
      <c r="B3875" s="29"/>
      <c r="C3875" s="29" t="str">
        <f t="shared" si="1"/>
        <v/>
      </c>
      <c r="D3875" s="6" t="str">
        <f>IF(A3875="","",MATCH(A3875,Calculation!B$2:B9627,1))</f>
        <v/>
      </c>
      <c r="E3875" s="29" t="str">
        <f t="array" ref="E3875">IF(D3875="","",IF(D3875=1,0,INDEX(Calculation!Q$2:Q9627,D3875-1)))</f>
        <v/>
      </c>
      <c r="F3875" s="29" t="str">
        <f t="array" ref="F3875">IF($A3875="","",
  LET(
    r, $D3875,
    startD, INDEX(Calculation!B$2:B9627, r),
    endD,   INDEX(Calculation!C$2:C9627, r),
    asOf,   MIN($A3875,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76">
      <c r="A3876" s="28"/>
      <c r="B3876" s="29"/>
      <c r="C3876" s="29" t="str">
        <f t="shared" si="1"/>
        <v/>
      </c>
      <c r="D3876" s="6" t="str">
        <f>IF(A3876="","",MATCH(A3876,Calculation!B$2:B9627,1))</f>
        <v/>
      </c>
      <c r="E3876" s="29" t="str">
        <f t="array" ref="E3876">IF(D3876="","",IF(D3876=1,0,INDEX(Calculation!Q$2:Q9627,D3876-1)))</f>
        <v/>
      </c>
      <c r="F3876" s="29" t="str">
        <f t="array" ref="F3876">IF($A3876="","",
  LET(
    r, $D3876,
    startD, INDEX(Calculation!B$2:B9627, r),
    endD,   INDEX(Calculation!C$2:C9627, r),
    asOf,   MIN($A3876,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77">
      <c r="A3877" s="28"/>
      <c r="B3877" s="29"/>
      <c r="C3877" s="29" t="str">
        <f t="shared" si="1"/>
        <v/>
      </c>
      <c r="D3877" s="6" t="str">
        <f>IF(A3877="","",MATCH(A3877,Calculation!B$2:B9627,1))</f>
        <v/>
      </c>
      <c r="E3877" s="29" t="str">
        <f t="array" ref="E3877">IF(D3877="","",IF(D3877=1,0,INDEX(Calculation!Q$2:Q9627,D3877-1)))</f>
        <v/>
      </c>
      <c r="F3877" s="29" t="str">
        <f t="array" ref="F3877">IF($A3877="","",
  LET(
    r, $D3877,
    startD, INDEX(Calculation!B$2:B9627, r),
    endD,   INDEX(Calculation!C$2:C9627, r),
    asOf,   MIN($A3877,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78">
      <c r="A3878" s="28"/>
      <c r="B3878" s="29"/>
      <c r="C3878" s="29" t="str">
        <f t="shared" si="1"/>
        <v/>
      </c>
      <c r="D3878" s="6" t="str">
        <f>IF(A3878="","",MATCH(A3878,Calculation!B$2:B9627,1))</f>
        <v/>
      </c>
      <c r="E3878" s="29" t="str">
        <f t="array" ref="E3878">IF(D3878="","",IF(D3878=1,0,INDEX(Calculation!Q$2:Q9627,D3878-1)))</f>
        <v/>
      </c>
      <c r="F3878" s="29" t="str">
        <f t="array" ref="F3878">IF($A3878="","",
  LET(
    r, $D3878,
    startD, INDEX(Calculation!B$2:B9627, r),
    endD,   INDEX(Calculation!C$2:C9627, r),
    asOf,   MIN($A3878,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79">
      <c r="A3879" s="28"/>
      <c r="B3879" s="29"/>
      <c r="C3879" s="29" t="str">
        <f t="shared" si="1"/>
        <v/>
      </c>
      <c r="D3879" s="6" t="str">
        <f>IF(A3879="","",MATCH(A3879,Calculation!B$2:B9627,1))</f>
        <v/>
      </c>
      <c r="E3879" s="29" t="str">
        <f t="array" ref="E3879">IF(D3879="","",IF(D3879=1,0,INDEX(Calculation!Q$2:Q9627,D3879-1)))</f>
        <v/>
      </c>
      <c r="F3879" s="29" t="str">
        <f t="array" ref="F3879">IF($A3879="","",
  LET(
    r, $D3879,
    startD, INDEX(Calculation!B$2:B9627, r),
    endD,   INDEX(Calculation!C$2:C9627, r),
    asOf,   MIN($A3879,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80">
      <c r="A3880" s="28"/>
      <c r="B3880" s="29"/>
      <c r="C3880" s="29" t="str">
        <f t="shared" si="1"/>
        <v/>
      </c>
      <c r="D3880" s="6" t="str">
        <f>IF(A3880="","",MATCH(A3880,Calculation!B$2:B9627,1))</f>
        <v/>
      </c>
      <c r="E3880" s="29" t="str">
        <f t="array" ref="E3880">IF(D3880="","",IF(D3880=1,0,INDEX(Calculation!Q$2:Q9627,D3880-1)))</f>
        <v/>
      </c>
      <c r="F3880" s="29" t="str">
        <f t="array" ref="F3880">IF($A3880="","",
  LET(
    r, $D3880,
    startD, INDEX(Calculation!B$2:B9627, r),
    endD,   INDEX(Calculation!C$2:C9627, r),
    asOf,   MIN($A3880,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81">
      <c r="A3881" s="28"/>
      <c r="B3881" s="29"/>
      <c r="C3881" s="29" t="str">
        <f t="shared" si="1"/>
        <v/>
      </c>
      <c r="D3881" s="6" t="str">
        <f>IF(A3881="","",MATCH(A3881,Calculation!B$2:B9627,1))</f>
        <v/>
      </c>
      <c r="E3881" s="29" t="str">
        <f t="array" ref="E3881">IF(D3881="","",IF(D3881=1,0,INDEX(Calculation!Q$2:Q9627,D3881-1)))</f>
        <v/>
      </c>
      <c r="F3881" s="29" t="str">
        <f t="array" ref="F3881">IF($A3881="","",
  LET(
    r, $D3881,
    startD, INDEX(Calculation!B$2:B9627, r),
    endD,   INDEX(Calculation!C$2:C9627, r),
    asOf,   MIN($A3881,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82">
      <c r="A3882" s="28"/>
      <c r="B3882" s="29"/>
      <c r="C3882" s="29" t="str">
        <f t="shared" si="1"/>
        <v/>
      </c>
      <c r="D3882" s="6" t="str">
        <f>IF(A3882="","",MATCH(A3882,Calculation!B$2:B9627,1))</f>
        <v/>
      </c>
      <c r="E3882" s="29" t="str">
        <f t="array" ref="E3882">IF(D3882="","",IF(D3882=1,0,INDEX(Calculation!Q$2:Q9627,D3882-1)))</f>
        <v/>
      </c>
      <c r="F3882" s="29" t="str">
        <f t="array" ref="F3882">IF($A3882="","",
  LET(
    r, $D3882,
    startD, INDEX(Calculation!B$2:B9627, r),
    endD,   INDEX(Calculation!C$2:C9627, r),
    asOf,   MIN($A3882,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83">
      <c r="A3883" s="28"/>
      <c r="B3883" s="29"/>
      <c r="C3883" s="29" t="str">
        <f t="shared" si="1"/>
        <v/>
      </c>
      <c r="D3883" s="6" t="str">
        <f>IF(A3883="","",MATCH(A3883,Calculation!B$2:B9627,1))</f>
        <v/>
      </c>
      <c r="E3883" s="29" t="str">
        <f t="array" ref="E3883">IF(D3883="","",IF(D3883=1,0,INDEX(Calculation!Q$2:Q9627,D3883-1)))</f>
        <v/>
      </c>
      <c r="F3883" s="29" t="str">
        <f t="array" ref="F3883">IF($A3883="","",
  LET(
    r, $D3883,
    startD, INDEX(Calculation!B$2:B9627, r),
    endD,   INDEX(Calculation!C$2:C9627, r),
    asOf,   MIN($A3883,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84">
      <c r="A3884" s="28"/>
      <c r="B3884" s="29"/>
      <c r="C3884" s="29" t="str">
        <f t="shared" si="1"/>
        <v/>
      </c>
      <c r="D3884" s="6" t="str">
        <f>IF(A3884="","",MATCH(A3884,Calculation!B$2:B9627,1))</f>
        <v/>
      </c>
      <c r="E3884" s="29" t="str">
        <f t="array" ref="E3884">IF(D3884="","",IF(D3884=1,0,INDEX(Calculation!Q$2:Q9627,D3884-1)))</f>
        <v/>
      </c>
      <c r="F3884" s="29" t="str">
        <f t="array" ref="F3884">IF($A3884="","",
  LET(
    r, $D3884,
    startD, INDEX(Calculation!B$2:B9627, r),
    endD,   INDEX(Calculation!C$2:C9627, r),
    asOf,   MIN($A3884,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85">
      <c r="A3885" s="28"/>
      <c r="B3885" s="29"/>
      <c r="C3885" s="29" t="str">
        <f t="shared" si="1"/>
        <v/>
      </c>
      <c r="D3885" s="6" t="str">
        <f>IF(A3885="","",MATCH(A3885,Calculation!B$2:B9627,1))</f>
        <v/>
      </c>
      <c r="E3885" s="29" t="str">
        <f t="array" ref="E3885">IF(D3885="","",IF(D3885=1,0,INDEX(Calculation!Q$2:Q9627,D3885-1)))</f>
        <v/>
      </c>
      <c r="F3885" s="29" t="str">
        <f t="array" ref="F3885">IF($A3885="","",
  LET(
    r, $D3885,
    startD, INDEX(Calculation!B$2:B9627, r),
    endD,   INDEX(Calculation!C$2:C9627, r),
    asOf,   MIN($A3885,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86">
      <c r="A3886" s="28"/>
      <c r="B3886" s="29"/>
      <c r="C3886" s="29" t="str">
        <f t="shared" si="1"/>
        <v/>
      </c>
      <c r="D3886" s="6" t="str">
        <f>IF(A3886="","",MATCH(A3886,Calculation!B$2:B9627,1))</f>
        <v/>
      </c>
      <c r="E3886" s="29" t="str">
        <f t="array" ref="E3886">IF(D3886="","",IF(D3886=1,0,INDEX(Calculation!Q$2:Q9627,D3886-1)))</f>
        <v/>
      </c>
      <c r="F3886" s="29" t="str">
        <f t="array" ref="F3886">IF($A3886="","",
  LET(
    r, $D3886,
    startD, INDEX(Calculation!B$2:B9627, r),
    endD,   INDEX(Calculation!C$2:C9627, r),
    asOf,   MIN($A3886,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87">
      <c r="A3887" s="28"/>
      <c r="B3887" s="29"/>
      <c r="C3887" s="29" t="str">
        <f t="shared" si="1"/>
        <v/>
      </c>
      <c r="D3887" s="6" t="str">
        <f>IF(A3887="","",MATCH(A3887,Calculation!B$2:B9627,1))</f>
        <v/>
      </c>
      <c r="E3887" s="29" t="str">
        <f t="array" ref="E3887">IF(D3887="","",IF(D3887=1,0,INDEX(Calculation!Q$2:Q9627,D3887-1)))</f>
        <v/>
      </c>
      <c r="F3887" s="29" t="str">
        <f t="array" ref="F3887">IF($A3887="","",
  LET(
    r, $D3887,
    startD, INDEX(Calculation!B$2:B9627, r),
    endD,   INDEX(Calculation!C$2:C9627, r),
    asOf,   MIN($A3887,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88">
      <c r="A3888" s="28"/>
      <c r="B3888" s="29"/>
      <c r="C3888" s="29" t="str">
        <f t="shared" si="1"/>
        <v/>
      </c>
      <c r="D3888" s="6" t="str">
        <f>IF(A3888="","",MATCH(A3888,Calculation!B$2:B9627,1))</f>
        <v/>
      </c>
      <c r="E3888" s="29" t="str">
        <f t="array" ref="E3888">IF(D3888="","",IF(D3888=1,0,INDEX(Calculation!Q$2:Q9627,D3888-1)))</f>
        <v/>
      </c>
      <c r="F3888" s="29" t="str">
        <f t="array" ref="F3888">IF($A3888="","",
  LET(
    r, $D3888,
    startD, INDEX(Calculation!B$2:B9627, r),
    endD,   INDEX(Calculation!C$2:C9627, r),
    asOf,   MIN($A3888,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89">
      <c r="A3889" s="28"/>
      <c r="B3889" s="29"/>
      <c r="C3889" s="29" t="str">
        <f t="shared" si="1"/>
        <v/>
      </c>
      <c r="D3889" s="6" t="str">
        <f>IF(A3889="","",MATCH(A3889,Calculation!B$2:B9627,1))</f>
        <v/>
      </c>
      <c r="E3889" s="29" t="str">
        <f t="array" ref="E3889">IF(D3889="","",IF(D3889=1,0,INDEX(Calculation!Q$2:Q9627,D3889-1)))</f>
        <v/>
      </c>
      <c r="F3889" s="29" t="str">
        <f t="array" ref="F3889">IF($A3889="","",
  LET(
    r, $D3889,
    startD, INDEX(Calculation!B$2:B9627, r),
    endD,   INDEX(Calculation!C$2:C9627, r),
    asOf,   MIN($A3889,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90">
      <c r="A3890" s="28"/>
      <c r="B3890" s="29"/>
      <c r="C3890" s="29" t="str">
        <f t="shared" si="1"/>
        <v/>
      </c>
      <c r="D3890" s="6" t="str">
        <f>IF(A3890="","",MATCH(A3890,Calculation!B$2:B9627,1))</f>
        <v/>
      </c>
      <c r="E3890" s="29" t="str">
        <f t="array" ref="E3890">IF(D3890="","",IF(D3890=1,0,INDEX(Calculation!Q$2:Q9627,D3890-1)))</f>
        <v/>
      </c>
      <c r="F3890" s="29" t="str">
        <f t="array" ref="F3890">IF($A3890="","",
  LET(
    r, $D3890,
    startD, INDEX(Calculation!B$2:B9627, r),
    endD,   INDEX(Calculation!C$2:C9627, r),
    asOf,   MIN($A3890,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91">
      <c r="A3891" s="28"/>
      <c r="B3891" s="29"/>
      <c r="C3891" s="29" t="str">
        <f t="shared" si="1"/>
        <v/>
      </c>
      <c r="D3891" s="6" t="str">
        <f>IF(A3891="","",MATCH(A3891,Calculation!B$2:B9627,1))</f>
        <v/>
      </c>
      <c r="E3891" s="29" t="str">
        <f t="array" ref="E3891">IF(D3891="","",IF(D3891=1,0,INDEX(Calculation!Q$2:Q9627,D3891-1)))</f>
        <v/>
      </c>
      <c r="F3891" s="29" t="str">
        <f t="array" ref="F3891">IF($A3891="","",
  LET(
    r, $D3891,
    startD, INDEX(Calculation!B$2:B9627, r),
    endD,   INDEX(Calculation!C$2:C9627, r),
    asOf,   MIN($A3891,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92">
      <c r="A3892" s="28"/>
      <c r="B3892" s="29"/>
      <c r="C3892" s="29" t="str">
        <f t="shared" si="1"/>
        <v/>
      </c>
      <c r="D3892" s="6" t="str">
        <f>IF(A3892="","",MATCH(A3892,Calculation!B$2:B9627,1))</f>
        <v/>
      </c>
      <c r="E3892" s="29" t="str">
        <f t="array" ref="E3892">IF(D3892="","",IF(D3892=1,0,INDEX(Calculation!Q$2:Q9627,D3892-1)))</f>
        <v/>
      </c>
      <c r="F3892" s="29" t="str">
        <f t="array" ref="F3892">IF($A3892="","",
  LET(
    r, $D3892,
    startD, INDEX(Calculation!B$2:B9627, r),
    endD,   INDEX(Calculation!C$2:C9627, r),
    asOf,   MIN($A3892,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93">
      <c r="A3893" s="28"/>
      <c r="B3893" s="29"/>
      <c r="C3893" s="29" t="str">
        <f t="shared" si="1"/>
        <v/>
      </c>
      <c r="D3893" s="6" t="str">
        <f>IF(A3893="","",MATCH(A3893,Calculation!B$2:B9627,1))</f>
        <v/>
      </c>
      <c r="E3893" s="29" t="str">
        <f t="array" ref="E3893">IF(D3893="","",IF(D3893=1,0,INDEX(Calculation!Q$2:Q9627,D3893-1)))</f>
        <v/>
      </c>
      <c r="F3893" s="29" t="str">
        <f t="array" ref="F3893">IF($A3893="","",
  LET(
    r, $D3893,
    startD, INDEX(Calculation!B$2:B9627, r),
    endD,   INDEX(Calculation!C$2:C9627, r),
    asOf,   MIN($A3893,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94">
      <c r="A3894" s="28"/>
      <c r="B3894" s="29"/>
      <c r="C3894" s="29" t="str">
        <f t="shared" si="1"/>
        <v/>
      </c>
      <c r="D3894" s="6" t="str">
        <f>IF(A3894="","",MATCH(A3894,Calculation!B$2:B9627,1))</f>
        <v/>
      </c>
      <c r="E3894" s="29" t="str">
        <f t="array" ref="E3894">IF(D3894="","",IF(D3894=1,0,INDEX(Calculation!Q$2:Q9627,D3894-1)))</f>
        <v/>
      </c>
      <c r="F3894" s="29" t="str">
        <f t="array" ref="F3894">IF($A3894="","",
  LET(
    r, $D3894,
    startD, INDEX(Calculation!B$2:B9627, r),
    endD,   INDEX(Calculation!C$2:C9627, r),
    asOf,   MIN($A3894,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95">
      <c r="A3895" s="28"/>
      <c r="B3895" s="29"/>
      <c r="C3895" s="29" t="str">
        <f t="shared" si="1"/>
        <v/>
      </c>
      <c r="D3895" s="6" t="str">
        <f>IF(A3895="","",MATCH(A3895,Calculation!B$2:B9627,1))</f>
        <v/>
      </c>
      <c r="E3895" s="29" t="str">
        <f t="array" ref="E3895">IF(D3895="","",IF(D3895=1,0,INDEX(Calculation!Q$2:Q9627,D3895-1)))</f>
        <v/>
      </c>
      <c r="F3895" s="29" t="str">
        <f t="array" ref="F3895">IF($A3895="","",
  LET(
    r, $D3895,
    startD, INDEX(Calculation!B$2:B9627, r),
    endD,   INDEX(Calculation!C$2:C9627, r),
    asOf,   MIN($A3895,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96">
      <c r="A3896" s="28"/>
      <c r="B3896" s="29"/>
      <c r="C3896" s="29" t="str">
        <f t="shared" si="1"/>
        <v/>
      </c>
      <c r="D3896" s="6" t="str">
        <f>IF(A3896="","",MATCH(A3896,Calculation!B$2:B9627,1))</f>
        <v/>
      </c>
      <c r="E3896" s="29" t="str">
        <f t="array" ref="E3896">IF(D3896="","",IF(D3896=1,0,INDEX(Calculation!Q$2:Q9627,D3896-1)))</f>
        <v/>
      </c>
      <c r="F3896" s="29" t="str">
        <f t="array" ref="F3896">IF($A3896="","",
  LET(
    r, $D3896,
    startD, INDEX(Calculation!B$2:B9627, r),
    endD,   INDEX(Calculation!C$2:C9627, r),
    asOf,   MIN($A3896,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97">
      <c r="A3897" s="28"/>
      <c r="B3897" s="29"/>
      <c r="C3897" s="29" t="str">
        <f t="shared" si="1"/>
        <v/>
      </c>
      <c r="D3897" s="6" t="str">
        <f>IF(A3897="","",MATCH(A3897,Calculation!B$2:B9627,1))</f>
        <v/>
      </c>
      <c r="E3897" s="29" t="str">
        <f t="array" ref="E3897">IF(D3897="","",IF(D3897=1,0,INDEX(Calculation!Q$2:Q9627,D3897-1)))</f>
        <v/>
      </c>
      <c r="F3897" s="29" t="str">
        <f t="array" ref="F3897">IF($A3897="","",
  LET(
    r, $D3897,
    startD, INDEX(Calculation!B$2:B9627, r),
    endD,   INDEX(Calculation!C$2:C9627, r),
    asOf,   MIN($A3897,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98">
      <c r="A3898" s="28"/>
      <c r="B3898" s="29"/>
      <c r="C3898" s="29" t="str">
        <f t="shared" si="1"/>
        <v/>
      </c>
      <c r="D3898" s="6" t="str">
        <f>IF(A3898="","",MATCH(A3898,Calculation!B$2:B9627,1))</f>
        <v/>
      </c>
      <c r="E3898" s="29" t="str">
        <f t="array" ref="E3898">IF(D3898="","",IF(D3898=1,0,INDEX(Calculation!Q$2:Q9627,D3898-1)))</f>
        <v/>
      </c>
      <c r="F3898" s="29" t="str">
        <f t="array" ref="F3898">IF($A3898="","",
  LET(
    r, $D3898,
    startD, INDEX(Calculation!B$2:B9627, r),
    endD,   INDEX(Calculation!C$2:C9627, r),
    asOf,   MIN($A3898,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899">
      <c r="A3899" s="28"/>
      <c r="B3899" s="29"/>
      <c r="C3899" s="29" t="str">
        <f t="shared" si="1"/>
        <v/>
      </c>
      <c r="D3899" s="6" t="str">
        <f>IF(A3899="","",MATCH(A3899,Calculation!B$2:B9627,1))</f>
        <v/>
      </c>
      <c r="E3899" s="29" t="str">
        <f t="array" ref="E3899">IF(D3899="","",IF(D3899=1,0,INDEX(Calculation!Q$2:Q9627,D3899-1)))</f>
        <v/>
      </c>
      <c r="F3899" s="29" t="str">
        <f t="array" ref="F3899">IF($A3899="","",
  LET(
    r, $D3899,
    startD, INDEX(Calculation!B$2:B9627, r),
    endD,   INDEX(Calculation!C$2:C9627, r),
    asOf,   MIN($A3899,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00">
      <c r="A3900" s="28"/>
      <c r="B3900" s="29"/>
      <c r="C3900" s="29" t="str">
        <f t="shared" si="1"/>
        <v/>
      </c>
      <c r="D3900" s="6" t="str">
        <f>IF(A3900="","",MATCH(A3900,Calculation!B$2:B9627,1))</f>
        <v/>
      </c>
      <c r="E3900" s="29" t="str">
        <f t="array" ref="E3900">IF(D3900="","",IF(D3900=1,0,INDEX(Calculation!Q$2:Q9627,D3900-1)))</f>
        <v/>
      </c>
      <c r="F3900" s="29" t="str">
        <f t="array" ref="F3900">IF($A3900="","",
  LET(
    r, $D3900,
    startD, INDEX(Calculation!B$2:B9627, r),
    endD,   INDEX(Calculation!C$2:C9627, r),
    asOf,   MIN($A3900,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01">
      <c r="A3901" s="28"/>
      <c r="B3901" s="29"/>
      <c r="C3901" s="29" t="str">
        <f t="shared" si="1"/>
        <v/>
      </c>
      <c r="D3901" s="6" t="str">
        <f>IF(A3901="","",MATCH(A3901,Calculation!B$2:B9627,1))</f>
        <v/>
      </c>
      <c r="E3901" s="29" t="str">
        <f t="array" ref="E3901">IF(D3901="","",IF(D3901=1,0,INDEX(Calculation!Q$2:Q9627,D3901-1)))</f>
        <v/>
      </c>
      <c r="F3901" s="29" t="str">
        <f t="array" ref="F3901">IF($A3901="","",
  LET(
    r, $D3901,
    startD, INDEX(Calculation!B$2:B9627, r),
    endD,   INDEX(Calculation!C$2:C9627, r),
    asOf,   MIN($A3901,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02">
      <c r="A3902" s="28"/>
      <c r="B3902" s="29"/>
      <c r="C3902" s="29" t="str">
        <f t="shared" si="1"/>
        <v/>
      </c>
      <c r="D3902" s="6" t="str">
        <f>IF(A3902="","",MATCH(A3902,Calculation!B$2:B9627,1))</f>
        <v/>
      </c>
      <c r="E3902" s="29" t="str">
        <f t="array" ref="E3902">IF(D3902="","",IF(D3902=1,0,INDEX(Calculation!Q$2:Q9627,D3902-1)))</f>
        <v/>
      </c>
      <c r="F3902" s="29" t="str">
        <f t="array" ref="F3902">IF($A3902="","",
  LET(
    r, $D3902,
    startD, INDEX(Calculation!B$2:B9627, r),
    endD,   INDEX(Calculation!C$2:C9627, r),
    asOf,   MIN($A3902,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03">
      <c r="A3903" s="28"/>
      <c r="B3903" s="29"/>
      <c r="C3903" s="29" t="str">
        <f t="shared" si="1"/>
        <v/>
      </c>
      <c r="D3903" s="6" t="str">
        <f>IF(A3903="","",MATCH(A3903,Calculation!B$2:B9627,1))</f>
        <v/>
      </c>
      <c r="E3903" s="29" t="str">
        <f t="array" ref="E3903">IF(D3903="","",IF(D3903=1,0,INDEX(Calculation!Q$2:Q9627,D3903-1)))</f>
        <v/>
      </c>
      <c r="F3903" s="29" t="str">
        <f t="array" ref="F3903">IF($A3903="","",
  LET(
    r, $D3903,
    startD, INDEX(Calculation!B$2:B9627, r),
    endD,   INDEX(Calculation!C$2:C9627, r),
    asOf,   MIN($A3903,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04">
      <c r="A3904" s="28"/>
      <c r="B3904" s="29"/>
      <c r="C3904" s="29" t="str">
        <f t="shared" si="1"/>
        <v/>
      </c>
      <c r="D3904" s="6" t="str">
        <f>IF(A3904="","",MATCH(A3904,Calculation!B$2:B9627,1))</f>
        <v/>
      </c>
      <c r="E3904" s="29" t="str">
        <f t="array" ref="E3904">IF(D3904="","",IF(D3904=1,0,INDEX(Calculation!Q$2:Q9627,D3904-1)))</f>
        <v/>
      </c>
      <c r="F3904" s="29" t="str">
        <f t="array" ref="F3904">IF($A3904="","",
  LET(
    r, $D3904,
    startD, INDEX(Calculation!B$2:B9627, r),
    endD,   INDEX(Calculation!C$2:C9627, r),
    asOf,   MIN($A3904,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05">
      <c r="A3905" s="28"/>
      <c r="B3905" s="29"/>
      <c r="C3905" s="29" t="str">
        <f t="shared" si="1"/>
        <v/>
      </c>
      <c r="D3905" s="6" t="str">
        <f>IF(A3905="","",MATCH(A3905,Calculation!B$2:B9627,1))</f>
        <v/>
      </c>
      <c r="E3905" s="29" t="str">
        <f t="array" ref="E3905">IF(D3905="","",IF(D3905=1,0,INDEX(Calculation!Q$2:Q9627,D3905-1)))</f>
        <v/>
      </c>
      <c r="F3905" s="29" t="str">
        <f t="array" ref="F3905">IF($A3905="","",
  LET(
    r, $D3905,
    startD, INDEX(Calculation!B$2:B9627, r),
    endD,   INDEX(Calculation!C$2:C9627, r),
    asOf,   MIN($A3905,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06">
      <c r="A3906" s="28"/>
      <c r="B3906" s="29"/>
      <c r="C3906" s="29" t="str">
        <f t="shared" si="1"/>
        <v/>
      </c>
      <c r="D3906" s="6" t="str">
        <f>IF(A3906="","",MATCH(A3906,Calculation!B$2:B9627,1))</f>
        <v/>
      </c>
      <c r="E3906" s="29" t="str">
        <f t="array" ref="E3906">IF(D3906="","",IF(D3906=1,0,INDEX(Calculation!Q$2:Q9627,D3906-1)))</f>
        <v/>
      </c>
      <c r="F3906" s="29" t="str">
        <f t="array" ref="F3906">IF($A3906="","",
  LET(
    r, $D3906,
    startD, INDEX(Calculation!B$2:B9627, r),
    endD,   INDEX(Calculation!C$2:C9627, r),
    asOf,   MIN($A3906,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07">
      <c r="A3907" s="28"/>
      <c r="B3907" s="29"/>
      <c r="C3907" s="29" t="str">
        <f t="shared" si="1"/>
        <v/>
      </c>
      <c r="D3907" s="6" t="str">
        <f>IF(A3907="","",MATCH(A3907,Calculation!B$2:B9627,1))</f>
        <v/>
      </c>
      <c r="E3907" s="29" t="str">
        <f t="array" ref="E3907">IF(D3907="","",IF(D3907=1,0,INDEX(Calculation!Q$2:Q9627,D3907-1)))</f>
        <v/>
      </c>
      <c r="F3907" s="29" t="str">
        <f t="array" ref="F3907">IF($A3907="","",
  LET(
    r, $D3907,
    startD, INDEX(Calculation!B$2:B9627, r),
    endD,   INDEX(Calculation!C$2:C9627, r),
    asOf,   MIN($A3907,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08">
      <c r="A3908" s="28"/>
      <c r="B3908" s="29"/>
      <c r="C3908" s="29" t="str">
        <f t="shared" si="1"/>
        <v/>
      </c>
      <c r="D3908" s="6" t="str">
        <f>IF(A3908="","",MATCH(A3908,Calculation!B$2:B9627,1))</f>
        <v/>
      </c>
      <c r="E3908" s="29" t="str">
        <f t="array" ref="E3908">IF(D3908="","",IF(D3908=1,0,INDEX(Calculation!Q$2:Q9627,D3908-1)))</f>
        <v/>
      </c>
      <c r="F3908" s="29" t="str">
        <f t="array" ref="F3908">IF($A3908="","",
  LET(
    r, $D3908,
    startD, INDEX(Calculation!B$2:B9627, r),
    endD,   INDEX(Calculation!C$2:C9627, r),
    asOf,   MIN($A3908,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09">
      <c r="A3909" s="28"/>
      <c r="B3909" s="29"/>
      <c r="C3909" s="29" t="str">
        <f t="shared" si="1"/>
        <v/>
      </c>
      <c r="D3909" s="6" t="str">
        <f>IF(A3909="","",MATCH(A3909,Calculation!B$2:B9627,1))</f>
        <v/>
      </c>
      <c r="E3909" s="29" t="str">
        <f t="array" ref="E3909">IF(D3909="","",IF(D3909=1,0,INDEX(Calculation!Q$2:Q9627,D3909-1)))</f>
        <v/>
      </c>
      <c r="F3909" s="29" t="str">
        <f t="array" ref="F3909">IF($A3909="","",
  LET(
    r, $D3909,
    startD, INDEX(Calculation!B$2:B9627, r),
    endD,   INDEX(Calculation!C$2:C9627, r),
    asOf,   MIN($A3909,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10">
      <c r="A3910" s="28"/>
      <c r="B3910" s="29"/>
      <c r="C3910" s="29" t="str">
        <f t="shared" si="1"/>
        <v/>
      </c>
      <c r="D3910" s="6" t="str">
        <f>IF(A3910="","",MATCH(A3910,Calculation!B$2:B9627,1))</f>
        <v/>
      </c>
      <c r="E3910" s="29" t="str">
        <f t="array" ref="E3910">IF(D3910="","",IF(D3910=1,0,INDEX(Calculation!Q$2:Q9627,D3910-1)))</f>
        <v/>
      </c>
      <c r="F3910" s="29" t="str">
        <f t="array" ref="F3910">IF($A3910="","",
  LET(
    r, $D3910,
    startD, INDEX(Calculation!B$2:B9627, r),
    endD,   INDEX(Calculation!C$2:C9627, r),
    asOf,   MIN($A3910,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11">
      <c r="A3911" s="28"/>
      <c r="B3911" s="29"/>
      <c r="C3911" s="29" t="str">
        <f t="shared" si="1"/>
        <v/>
      </c>
      <c r="D3911" s="6" t="str">
        <f>IF(A3911="","",MATCH(A3911,Calculation!B$2:B9627,1))</f>
        <v/>
      </c>
      <c r="E3911" s="29" t="str">
        <f t="array" ref="E3911">IF(D3911="","",IF(D3911=1,0,INDEX(Calculation!Q$2:Q9627,D3911-1)))</f>
        <v/>
      </c>
      <c r="F3911" s="29" t="str">
        <f t="array" ref="F3911">IF($A3911="","",
  LET(
    r, $D3911,
    startD, INDEX(Calculation!B$2:B9627, r),
    endD,   INDEX(Calculation!C$2:C9627, r),
    asOf,   MIN($A3911,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12">
      <c r="A3912" s="28"/>
      <c r="B3912" s="29"/>
      <c r="C3912" s="29" t="str">
        <f t="shared" si="1"/>
        <v/>
      </c>
      <c r="D3912" s="6" t="str">
        <f>IF(A3912="","",MATCH(A3912,Calculation!B$2:B9627,1))</f>
        <v/>
      </c>
      <c r="E3912" s="29" t="str">
        <f t="array" ref="E3912">IF(D3912="","",IF(D3912=1,0,INDEX(Calculation!Q$2:Q9627,D3912-1)))</f>
        <v/>
      </c>
      <c r="F3912" s="29" t="str">
        <f t="array" ref="F3912">IF($A3912="","",
  LET(
    r, $D3912,
    startD, INDEX(Calculation!B$2:B9627, r),
    endD,   INDEX(Calculation!C$2:C9627, r),
    asOf,   MIN($A3912,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13">
      <c r="A3913" s="28"/>
      <c r="B3913" s="29"/>
      <c r="C3913" s="29" t="str">
        <f t="shared" si="1"/>
        <v/>
      </c>
      <c r="D3913" s="6" t="str">
        <f>IF(A3913="","",MATCH(A3913,Calculation!B$2:B9627,1))</f>
        <v/>
      </c>
      <c r="E3913" s="29" t="str">
        <f t="array" ref="E3913">IF(D3913="","",IF(D3913=1,0,INDEX(Calculation!Q$2:Q9627,D3913-1)))</f>
        <v/>
      </c>
      <c r="F3913" s="29" t="str">
        <f t="array" ref="F3913">IF($A3913="","",
  LET(
    r, $D3913,
    startD, INDEX(Calculation!B$2:B9627, r),
    endD,   INDEX(Calculation!C$2:C9627, r),
    asOf,   MIN($A3913,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14">
      <c r="A3914" s="28"/>
      <c r="B3914" s="29"/>
      <c r="C3914" s="29" t="str">
        <f t="shared" si="1"/>
        <v/>
      </c>
      <c r="D3914" s="6" t="str">
        <f>IF(A3914="","",MATCH(A3914,Calculation!B$2:B9627,1))</f>
        <v/>
      </c>
      <c r="E3914" s="29" t="str">
        <f t="array" ref="E3914">IF(D3914="","",IF(D3914=1,0,INDEX(Calculation!Q$2:Q9627,D3914-1)))</f>
        <v/>
      </c>
      <c r="F3914" s="29" t="str">
        <f t="array" ref="F3914">IF($A3914="","",
  LET(
    r, $D3914,
    startD, INDEX(Calculation!B$2:B9627, r),
    endD,   INDEX(Calculation!C$2:C9627, r),
    asOf,   MIN($A3914,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15">
      <c r="A3915" s="28"/>
      <c r="B3915" s="29"/>
      <c r="C3915" s="29" t="str">
        <f t="shared" si="1"/>
        <v/>
      </c>
      <c r="D3915" s="6" t="str">
        <f>IF(A3915="","",MATCH(A3915,Calculation!B$2:B9627,1))</f>
        <v/>
      </c>
      <c r="E3915" s="29" t="str">
        <f t="array" ref="E3915">IF(D3915="","",IF(D3915=1,0,INDEX(Calculation!Q$2:Q9627,D3915-1)))</f>
        <v/>
      </c>
      <c r="F3915" s="29" t="str">
        <f t="array" ref="F3915">IF($A3915="","",
  LET(
    r, $D3915,
    startD, INDEX(Calculation!B$2:B9627, r),
    endD,   INDEX(Calculation!C$2:C9627, r),
    asOf,   MIN($A3915,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16">
      <c r="A3916" s="28"/>
      <c r="B3916" s="29"/>
      <c r="C3916" s="29" t="str">
        <f t="shared" si="1"/>
        <v/>
      </c>
      <c r="D3916" s="6" t="str">
        <f>IF(A3916="","",MATCH(A3916,Calculation!B$2:B9627,1))</f>
        <v/>
      </c>
      <c r="E3916" s="29" t="str">
        <f t="array" ref="E3916">IF(D3916="","",IF(D3916=1,0,INDEX(Calculation!Q$2:Q9627,D3916-1)))</f>
        <v/>
      </c>
      <c r="F3916" s="29" t="str">
        <f t="array" ref="F3916">IF($A3916="","",
  LET(
    r, $D3916,
    startD, INDEX(Calculation!B$2:B9627, r),
    endD,   INDEX(Calculation!C$2:C9627, r),
    asOf,   MIN($A3916,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17">
      <c r="A3917" s="28"/>
      <c r="B3917" s="29"/>
      <c r="C3917" s="29" t="str">
        <f t="shared" si="1"/>
        <v/>
      </c>
      <c r="D3917" s="6" t="str">
        <f>IF(A3917="","",MATCH(A3917,Calculation!B$2:B9627,1))</f>
        <v/>
      </c>
      <c r="E3917" s="29" t="str">
        <f t="array" ref="E3917">IF(D3917="","",IF(D3917=1,0,INDEX(Calculation!Q$2:Q9627,D3917-1)))</f>
        <v/>
      </c>
      <c r="F3917" s="29" t="str">
        <f t="array" ref="F3917">IF($A3917="","",
  LET(
    r, $D3917,
    startD, INDEX(Calculation!B$2:B9627, r),
    endD,   INDEX(Calculation!C$2:C9627, r),
    asOf,   MIN($A3917,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18">
      <c r="A3918" s="28"/>
      <c r="B3918" s="29"/>
      <c r="C3918" s="29" t="str">
        <f t="shared" si="1"/>
        <v/>
      </c>
      <c r="D3918" s="6" t="str">
        <f>IF(A3918="","",MATCH(A3918,Calculation!B$2:B9627,1))</f>
        <v/>
      </c>
      <c r="E3918" s="29" t="str">
        <f t="array" ref="E3918">IF(D3918="","",IF(D3918=1,0,INDEX(Calculation!Q$2:Q9627,D3918-1)))</f>
        <v/>
      </c>
      <c r="F3918" s="29" t="str">
        <f t="array" ref="F3918">IF($A3918="","",
  LET(
    r, $D3918,
    startD, INDEX(Calculation!B$2:B9627, r),
    endD,   INDEX(Calculation!C$2:C9627, r),
    asOf,   MIN($A3918,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19">
      <c r="A3919" s="28"/>
      <c r="B3919" s="29"/>
      <c r="C3919" s="29" t="str">
        <f t="shared" si="1"/>
        <v/>
      </c>
      <c r="D3919" s="6" t="str">
        <f>IF(A3919="","",MATCH(A3919,Calculation!B$2:B9627,1))</f>
        <v/>
      </c>
      <c r="E3919" s="29" t="str">
        <f t="array" ref="E3919">IF(D3919="","",IF(D3919=1,0,INDEX(Calculation!Q$2:Q9627,D3919-1)))</f>
        <v/>
      </c>
      <c r="F3919" s="29" t="str">
        <f t="array" ref="F3919">IF($A3919="","",
  LET(
    r, $D3919,
    startD, INDEX(Calculation!B$2:B9627, r),
    endD,   INDEX(Calculation!C$2:C9627, r),
    asOf,   MIN($A3919,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20">
      <c r="A3920" s="28"/>
      <c r="B3920" s="29"/>
      <c r="C3920" s="29" t="str">
        <f t="shared" si="1"/>
        <v/>
      </c>
      <c r="D3920" s="6" t="str">
        <f>IF(A3920="","",MATCH(A3920,Calculation!B$2:B9627,1))</f>
        <v/>
      </c>
      <c r="E3920" s="29" t="str">
        <f t="array" ref="E3920">IF(D3920="","",IF(D3920=1,0,INDEX(Calculation!Q$2:Q9627,D3920-1)))</f>
        <v/>
      </c>
      <c r="F3920" s="29" t="str">
        <f t="array" ref="F3920">IF($A3920="","",
  LET(
    r, $D3920,
    startD, INDEX(Calculation!B$2:B9627, r),
    endD,   INDEX(Calculation!C$2:C9627, r),
    asOf,   MIN($A3920,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21">
      <c r="A3921" s="28"/>
      <c r="B3921" s="29"/>
      <c r="C3921" s="29" t="str">
        <f t="shared" si="1"/>
        <v/>
      </c>
      <c r="D3921" s="6" t="str">
        <f>IF(A3921="","",MATCH(A3921,Calculation!B$2:B9627,1))</f>
        <v/>
      </c>
      <c r="E3921" s="29" t="str">
        <f t="array" ref="E3921">IF(D3921="","",IF(D3921=1,0,INDEX(Calculation!Q$2:Q9627,D3921-1)))</f>
        <v/>
      </c>
      <c r="F3921" s="29" t="str">
        <f t="array" ref="F3921">IF($A3921="","",
  LET(
    r, $D3921,
    startD, INDEX(Calculation!B$2:B9627, r),
    endD,   INDEX(Calculation!C$2:C9627, r),
    asOf,   MIN($A3921,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22">
      <c r="A3922" s="28"/>
      <c r="B3922" s="29"/>
      <c r="C3922" s="29" t="str">
        <f t="shared" si="1"/>
        <v/>
      </c>
      <c r="D3922" s="6" t="str">
        <f>IF(A3922="","",MATCH(A3922,Calculation!B$2:B9627,1))</f>
        <v/>
      </c>
      <c r="E3922" s="29" t="str">
        <f t="array" ref="E3922">IF(D3922="","",IF(D3922=1,0,INDEX(Calculation!Q$2:Q9627,D3922-1)))</f>
        <v/>
      </c>
      <c r="F3922" s="29" t="str">
        <f t="array" ref="F3922">IF($A3922="","",
  LET(
    r, $D3922,
    startD, INDEX(Calculation!B$2:B9627, r),
    endD,   INDEX(Calculation!C$2:C9627, r),
    asOf,   MIN($A3922,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23">
      <c r="A3923" s="28"/>
      <c r="B3923" s="29"/>
      <c r="C3923" s="29" t="str">
        <f t="shared" si="1"/>
        <v/>
      </c>
      <c r="D3923" s="6" t="str">
        <f>IF(A3923="","",MATCH(A3923,Calculation!B$2:B9627,1))</f>
        <v/>
      </c>
      <c r="E3923" s="29" t="str">
        <f t="array" ref="E3923">IF(D3923="","",IF(D3923=1,0,INDEX(Calculation!Q$2:Q9627,D3923-1)))</f>
        <v/>
      </c>
      <c r="F3923" s="29" t="str">
        <f t="array" ref="F3923">IF($A3923="","",
  LET(
    r, $D3923,
    startD, INDEX(Calculation!B$2:B9627, r),
    endD,   INDEX(Calculation!C$2:C9627, r),
    asOf,   MIN($A3923,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24">
      <c r="A3924" s="28"/>
      <c r="B3924" s="29"/>
      <c r="C3924" s="29" t="str">
        <f t="shared" si="1"/>
        <v/>
      </c>
      <c r="D3924" s="6" t="str">
        <f>IF(A3924="","",MATCH(A3924,Calculation!B$2:B9627,1))</f>
        <v/>
      </c>
      <c r="E3924" s="29" t="str">
        <f t="array" ref="E3924">IF(D3924="","",IF(D3924=1,0,INDEX(Calculation!Q$2:Q9627,D3924-1)))</f>
        <v/>
      </c>
      <c r="F3924" s="29" t="str">
        <f t="array" ref="F3924">IF($A3924="","",
  LET(
    r, $D3924,
    startD, INDEX(Calculation!B$2:B9627, r),
    endD,   INDEX(Calculation!C$2:C9627, r),
    asOf,   MIN($A3924,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25">
      <c r="A3925" s="28"/>
      <c r="B3925" s="29"/>
      <c r="C3925" s="29" t="str">
        <f t="shared" si="1"/>
        <v/>
      </c>
      <c r="D3925" s="6" t="str">
        <f>IF(A3925="","",MATCH(A3925,Calculation!B$2:B9627,1))</f>
        <v/>
      </c>
      <c r="E3925" s="29" t="str">
        <f t="array" ref="E3925">IF(D3925="","",IF(D3925=1,0,INDEX(Calculation!Q$2:Q9627,D3925-1)))</f>
        <v/>
      </c>
      <c r="F3925" s="29" t="str">
        <f t="array" ref="F3925">IF($A3925="","",
  LET(
    r, $D3925,
    startD, INDEX(Calculation!B$2:B9627, r),
    endD,   INDEX(Calculation!C$2:C9627, r),
    asOf,   MIN($A3925,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26">
      <c r="A3926" s="28"/>
      <c r="B3926" s="29"/>
      <c r="C3926" s="29" t="str">
        <f t="shared" si="1"/>
        <v/>
      </c>
      <c r="D3926" s="6" t="str">
        <f>IF(A3926="","",MATCH(A3926,Calculation!B$2:B9627,1))</f>
        <v/>
      </c>
      <c r="E3926" s="29" t="str">
        <f t="array" ref="E3926">IF(D3926="","",IF(D3926=1,0,INDEX(Calculation!Q$2:Q9627,D3926-1)))</f>
        <v/>
      </c>
      <c r="F3926" s="29" t="str">
        <f t="array" ref="F3926">IF($A3926="","",
  LET(
    r, $D3926,
    startD, INDEX(Calculation!B$2:B9627, r),
    endD,   INDEX(Calculation!C$2:C9627, r),
    asOf,   MIN($A3926,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27">
      <c r="A3927" s="28"/>
      <c r="B3927" s="29"/>
      <c r="C3927" s="29" t="str">
        <f t="shared" si="1"/>
        <v/>
      </c>
      <c r="D3927" s="6" t="str">
        <f>IF(A3927="","",MATCH(A3927,Calculation!B$2:B9627,1))</f>
        <v/>
      </c>
      <c r="E3927" s="29" t="str">
        <f t="array" ref="E3927">IF(D3927="","",IF(D3927=1,0,INDEX(Calculation!Q$2:Q9627,D3927-1)))</f>
        <v/>
      </c>
      <c r="F3927" s="29" t="str">
        <f t="array" ref="F3927">IF($A3927="","",
  LET(
    r, $D3927,
    startD, INDEX(Calculation!B$2:B9627, r),
    endD,   INDEX(Calculation!C$2:C9627, r),
    asOf,   MIN($A3927,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28">
      <c r="A3928" s="28"/>
      <c r="B3928" s="29"/>
      <c r="C3928" s="29" t="str">
        <f t="shared" si="1"/>
        <v/>
      </c>
      <c r="D3928" s="6" t="str">
        <f>IF(A3928="","",MATCH(A3928,Calculation!B$2:B9627,1))</f>
        <v/>
      </c>
      <c r="E3928" s="29" t="str">
        <f t="array" ref="E3928">IF(D3928="","",IF(D3928=1,0,INDEX(Calculation!Q$2:Q9627,D3928-1)))</f>
        <v/>
      </c>
      <c r="F3928" s="29" t="str">
        <f t="array" ref="F3928">IF($A3928="","",
  LET(
    r, $D3928,
    startD, INDEX(Calculation!B$2:B9627, r),
    endD,   INDEX(Calculation!C$2:C9627, r),
    asOf,   MIN($A3928,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29">
      <c r="A3929" s="28"/>
      <c r="B3929" s="29"/>
      <c r="C3929" s="29" t="str">
        <f t="shared" si="1"/>
        <v/>
      </c>
      <c r="D3929" s="6" t="str">
        <f>IF(A3929="","",MATCH(A3929,Calculation!B$2:B9627,1))</f>
        <v/>
      </c>
      <c r="E3929" s="29" t="str">
        <f t="array" ref="E3929">IF(D3929="","",IF(D3929=1,0,INDEX(Calculation!Q$2:Q9627,D3929-1)))</f>
        <v/>
      </c>
      <c r="F3929" s="29" t="str">
        <f t="array" ref="F3929">IF($A3929="","",
  LET(
    r, $D3929,
    startD, INDEX(Calculation!B$2:B9627, r),
    endD,   INDEX(Calculation!C$2:C9627, r),
    asOf,   MIN($A3929,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30">
      <c r="A3930" s="28"/>
      <c r="B3930" s="29"/>
      <c r="C3930" s="29" t="str">
        <f t="shared" si="1"/>
        <v/>
      </c>
      <c r="D3930" s="6" t="str">
        <f>IF(A3930="","",MATCH(A3930,Calculation!B$2:B9627,1))</f>
        <v/>
      </c>
      <c r="E3930" s="29" t="str">
        <f t="array" ref="E3930">IF(D3930="","",IF(D3930=1,0,INDEX(Calculation!Q$2:Q9627,D3930-1)))</f>
        <v/>
      </c>
      <c r="F3930" s="29" t="str">
        <f t="array" ref="F3930">IF($A3930="","",
  LET(
    r, $D3930,
    startD, INDEX(Calculation!B$2:B9627, r),
    endD,   INDEX(Calculation!C$2:C9627, r),
    asOf,   MIN($A3930,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31">
      <c r="A3931" s="28"/>
      <c r="B3931" s="29"/>
      <c r="C3931" s="29" t="str">
        <f t="shared" si="1"/>
        <v/>
      </c>
      <c r="D3931" s="6" t="str">
        <f>IF(A3931="","",MATCH(A3931,Calculation!B$2:B9627,1))</f>
        <v/>
      </c>
      <c r="E3931" s="29" t="str">
        <f t="array" ref="E3931">IF(D3931="","",IF(D3931=1,0,INDEX(Calculation!Q$2:Q9627,D3931-1)))</f>
        <v/>
      </c>
      <c r="F3931" s="29" t="str">
        <f t="array" ref="F3931">IF($A3931="","",
  LET(
    r, $D3931,
    startD, INDEX(Calculation!B$2:B9627, r),
    endD,   INDEX(Calculation!C$2:C9627, r),
    asOf,   MIN($A3931,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32">
      <c r="A3932" s="28"/>
      <c r="B3932" s="29"/>
      <c r="C3932" s="29" t="str">
        <f t="shared" si="1"/>
        <v/>
      </c>
      <c r="D3932" s="6" t="str">
        <f>IF(A3932="","",MATCH(A3932,Calculation!B$2:B9627,1))</f>
        <v/>
      </c>
      <c r="E3932" s="29" t="str">
        <f t="array" ref="E3932">IF(D3932="","",IF(D3932=1,0,INDEX(Calculation!Q$2:Q9627,D3932-1)))</f>
        <v/>
      </c>
      <c r="F3932" s="29" t="str">
        <f t="array" ref="F3932">IF($A3932="","",
  LET(
    r, $D3932,
    startD, INDEX(Calculation!B$2:B9627, r),
    endD,   INDEX(Calculation!C$2:C9627, r),
    asOf,   MIN($A3932,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33">
      <c r="A3933" s="28"/>
      <c r="B3933" s="29"/>
      <c r="C3933" s="29" t="str">
        <f t="shared" si="1"/>
        <v/>
      </c>
      <c r="D3933" s="6" t="str">
        <f>IF(A3933="","",MATCH(A3933,Calculation!B$2:B9627,1))</f>
        <v/>
      </c>
      <c r="E3933" s="29" t="str">
        <f t="array" ref="E3933">IF(D3933="","",IF(D3933=1,0,INDEX(Calculation!Q$2:Q9627,D3933-1)))</f>
        <v/>
      </c>
      <c r="F3933" s="29" t="str">
        <f t="array" ref="F3933">IF($A3933="","",
  LET(
    r, $D3933,
    startD, INDEX(Calculation!B$2:B9627, r),
    endD,   INDEX(Calculation!C$2:C9627, r),
    asOf,   MIN($A3933,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34">
      <c r="A3934" s="28"/>
      <c r="B3934" s="29"/>
      <c r="C3934" s="29" t="str">
        <f t="shared" si="1"/>
        <v/>
      </c>
      <c r="D3934" s="6" t="str">
        <f>IF(A3934="","",MATCH(A3934,Calculation!B$2:B9627,1))</f>
        <v/>
      </c>
      <c r="E3934" s="29" t="str">
        <f t="array" ref="E3934">IF(D3934="","",IF(D3934=1,0,INDEX(Calculation!Q$2:Q9627,D3934-1)))</f>
        <v/>
      </c>
      <c r="F3934" s="29" t="str">
        <f t="array" ref="F3934">IF($A3934="","",
  LET(
    r, $D3934,
    startD, INDEX(Calculation!B$2:B9627, r),
    endD,   INDEX(Calculation!C$2:C9627, r),
    asOf,   MIN($A3934,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35">
      <c r="A3935" s="28"/>
      <c r="B3935" s="29"/>
      <c r="C3935" s="29" t="str">
        <f t="shared" si="1"/>
        <v/>
      </c>
      <c r="D3935" s="6" t="str">
        <f>IF(A3935="","",MATCH(A3935,Calculation!B$2:B9627,1))</f>
        <v/>
      </c>
      <c r="E3935" s="29" t="str">
        <f t="array" ref="E3935">IF(D3935="","",IF(D3935=1,0,INDEX(Calculation!Q$2:Q9627,D3935-1)))</f>
        <v/>
      </c>
      <c r="F3935" s="29" t="str">
        <f t="array" ref="F3935">IF($A3935="","",
  LET(
    r, $D3935,
    startD, INDEX(Calculation!B$2:B9627, r),
    endD,   INDEX(Calculation!C$2:C9627, r),
    asOf,   MIN($A3935,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36">
      <c r="A3936" s="28"/>
      <c r="B3936" s="29"/>
      <c r="C3936" s="29" t="str">
        <f t="shared" si="1"/>
        <v/>
      </c>
      <c r="D3936" s="6" t="str">
        <f>IF(A3936="","",MATCH(A3936,Calculation!B$2:B9627,1))</f>
        <v/>
      </c>
      <c r="E3936" s="29" t="str">
        <f t="array" ref="E3936">IF(D3936="","",IF(D3936=1,0,INDEX(Calculation!Q$2:Q9627,D3936-1)))</f>
        <v/>
      </c>
      <c r="F3936" s="29" t="str">
        <f t="array" ref="F3936">IF($A3936="","",
  LET(
    r, $D3936,
    startD, INDEX(Calculation!B$2:B9627, r),
    endD,   INDEX(Calculation!C$2:C9627, r),
    asOf,   MIN($A3936,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37">
      <c r="A3937" s="28"/>
      <c r="B3937" s="29"/>
      <c r="C3937" s="29" t="str">
        <f t="shared" si="1"/>
        <v/>
      </c>
      <c r="D3937" s="6" t="str">
        <f>IF(A3937="","",MATCH(A3937,Calculation!B$2:B9627,1))</f>
        <v/>
      </c>
      <c r="E3937" s="29" t="str">
        <f t="array" ref="E3937">IF(D3937="","",IF(D3937=1,0,INDEX(Calculation!Q$2:Q9627,D3937-1)))</f>
        <v/>
      </c>
      <c r="F3937" s="29" t="str">
        <f t="array" ref="F3937">IF($A3937="","",
  LET(
    r, $D3937,
    startD, INDEX(Calculation!B$2:B9627, r),
    endD,   INDEX(Calculation!C$2:C9627, r),
    asOf,   MIN($A3937,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38">
      <c r="A3938" s="28"/>
      <c r="B3938" s="29"/>
      <c r="C3938" s="29" t="str">
        <f t="shared" si="1"/>
        <v/>
      </c>
      <c r="D3938" s="6" t="str">
        <f>IF(A3938="","",MATCH(A3938,Calculation!B$2:B9627,1))</f>
        <v/>
      </c>
      <c r="E3938" s="29" t="str">
        <f t="array" ref="E3938">IF(D3938="","",IF(D3938=1,0,INDEX(Calculation!Q$2:Q9627,D3938-1)))</f>
        <v/>
      </c>
      <c r="F3938" s="29" t="str">
        <f t="array" ref="F3938">IF($A3938="","",
  LET(
    r, $D3938,
    startD, INDEX(Calculation!B$2:B9627, r),
    endD,   INDEX(Calculation!C$2:C9627, r),
    asOf,   MIN($A3938,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39">
      <c r="A3939" s="28"/>
      <c r="B3939" s="29"/>
      <c r="C3939" s="29" t="str">
        <f t="shared" si="1"/>
        <v/>
      </c>
      <c r="D3939" s="6" t="str">
        <f>IF(A3939="","",MATCH(A3939,Calculation!B$2:B9627,1))</f>
        <v/>
      </c>
      <c r="E3939" s="29" t="str">
        <f t="array" ref="E3939">IF(D3939="","",IF(D3939=1,0,INDEX(Calculation!Q$2:Q9627,D3939-1)))</f>
        <v/>
      </c>
      <c r="F3939" s="29" t="str">
        <f t="array" ref="F3939">IF($A3939="","",
  LET(
    r, $D3939,
    startD, INDEX(Calculation!B$2:B9627, r),
    endD,   INDEX(Calculation!C$2:C9627, r),
    asOf,   MIN($A3939,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40">
      <c r="A3940" s="28"/>
      <c r="B3940" s="29"/>
      <c r="C3940" s="29" t="str">
        <f t="shared" si="1"/>
        <v/>
      </c>
      <c r="D3940" s="6" t="str">
        <f>IF(A3940="","",MATCH(A3940,Calculation!B$2:B9627,1))</f>
        <v/>
      </c>
      <c r="E3940" s="29" t="str">
        <f t="array" ref="E3940">IF(D3940="","",IF(D3940=1,0,INDEX(Calculation!Q$2:Q9627,D3940-1)))</f>
        <v/>
      </c>
      <c r="F3940" s="29" t="str">
        <f t="array" ref="F3940">IF($A3940="","",
  LET(
    r, $D3940,
    startD, INDEX(Calculation!B$2:B9627, r),
    endD,   INDEX(Calculation!C$2:C9627, r),
    asOf,   MIN($A3940,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41">
      <c r="A3941" s="28"/>
      <c r="B3941" s="29"/>
      <c r="C3941" s="29" t="str">
        <f t="shared" si="1"/>
        <v/>
      </c>
      <c r="D3941" s="6" t="str">
        <f>IF(A3941="","",MATCH(A3941,Calculation!B$2:B9627,1))</f>
        <v/>
      </c>
      <c r="E3941" s="29" t="str">
        <f t="array" ref="E3941">IF(D3941="","",IF(D3941=1,0,INDEX(Calculation!Q$2:Q9627,D3941-1)))</f>
        <v/>
      </c>
      <c r="F3941" s="29" t="str">
        <f t="array" ref="F3941">IF($A3941="","",
  LET(
    r, $D3941,
    startD, INDEX(Calculation!B$2:B9627, r),
    endD,   INDEX(Calculation!C$2:C9627, r),
    asOf,   MIN($A3941,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42">
      <c r="A3942" s="28"/>
      <c r="B3942" s="29"/>
      <c r="C3942" s="29" t="str">
        <f t="shared" si="1"/>
        <v/>
      </c>
      <c r="D3942" s="6" t="str">
        <f>IF(A3942="","",MATCH(A3942,Calculation!B$2:B9627,1))</f>
        <v/>
      </c>
      <c r="E3942" s="29" t="str">
        <f t="array" ref="E3942">IF(D3942="","",IF(D3942=1,0,INDEX(Calculation!Q$2:Q9627,D3942-1)))</f>
        <v/>
      </c>
      <c r="F3942" s="29" t="str">
        <f t="array" ref="F3942">IF($A3942="","",
  LET(
    r, $D3942,
    startD, INDEX(Calculation!B$2:B9627, r),
    endD,   INDEX(Calculation!C$2:C9627, r),
    asOf,   MIN($A3942,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43">
      <c r="A3943" s="28"/>
      <c r="B3943" s="29"/>
      <c r="C3943" s="29" t="str">
        <f t="shared" si="1"/>
        <v/>
      </c>
      <c r="D3943" s="6" t="str">
        <f>IF(A3943="","",MATCH(A3943,Calculation!B$2:B9627,1))</f>
        <v/>
      </c>
      <c r="E3943" s="29" t="str">
        <f t="array" ref="E3943">IF(D3943="","",IF(D3943=1,0,INDEX(Calculation!Q$2:Q9627,D3943-1)))</f>
        <v/>
      </c>
      <c r="F3943" s="29" t="str">
        <f t="array" ref="F3943">IF($A3943="","",
  LET(
    r, $D3943,
    startD, INDEX(Calculation!B$2:B9627, r),
    endD,   INDEX(Calculation!C$2:C9627, r),
    asOf,   MIN($A3943,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44">
      <c r="A3944" s="28"/>
      <c r="B3944" s="29"/>
      <c r="C3944" s="29" t="str">
        <f t="shared" si="1"/>
        <v/>
      </c>
      <c r="D3944" s="6" t="str">
        <f>IF(A3944="","",MATCH(A3944,Calculation!B$2:B9627,1))</f>
        <v/>
      </c>
      <c r="E3944" s="29" t="str">
        <f t="array" ref="E3944">IF(D3944="","",IF(D3944=1,0,INDEX(Calculation!Q$2:Q9627,D3944-1)))</f>
        <v/>
      </c>
      <c r="F3944" s="29" t="str">
        <f t="array" ref="F3944">IF($A3944="","",
  LET(
    r, $D3944,
    startD, INDEX(Calculation!B$2:B9627, r),
    endD,   INDEX(Calculation!C$2:C9627, r),
    asOf,   MIN($A3944,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45">
      <c r="A3945" s="28"/>
      <c r="B3945" s="29"/>
      <c r="C3945" s="29" t="str">
        <f t="shared" si="1"/>
        <v/>
      </c>
      <c r="D3945" s="6" t="str">
        <f>IF(A3945="","",MATCH(A3945,Calculation!B$2:B9627,1))</f>
        <v/>
      </c>
      <c r="E3945" s="29" t="str">
        <f t="array" ref="E3945">IF(D3945="","",IF(D3945=1,0,INDEX(Calculation!Q$2:Q9627,D3945-1)))</f>
        <v/>
      </c>
      <c r="F3945" s="29" t="str">
        <f t="array" ref="F3945">IF($A3945="","",
  LET(
    r, $D3945,
    startD, INDEX(Calculation!B$2:B9627, r),
    endD,   INDEX(Calculation!C$2:C9627, r),
    asOf,   MIN($A3945,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46">
      <c r="A3946" s="28"/>
      <c r="B3946" s="29"/>
      <c r="C3946" s="29" t="str">
        <f t="shared" si="1"/>
        <v/>
      </c>
      <c r="D3946" s="6" t="str">
        <f>IF(A3946="","",MATCH(A3946,Calculation!B$2:B9627,1))</f>
        <v/>
      </c>
      <c r="E3946" s="29" t="str">
        <f t="array" ref="E3946">IF(D3946="","",IF(D3946=1,0,INDEX(Calculation!Q$2:Q9627,D3946-1)))</f>
        <v/>
      </c>
      <c r="F3946" s="29" t="str">
        <f t="array" ref="F3946">IF($A3946="","",
  LET(
    r, $D3946,
    startD, INDEX(Calculation!B$2:B9627, r),
    endD,   INDEX(Calculation!C$2:C9627, r),
    asOf,   MIN($A3946,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47">
      <c r="A3947" s="28"/>
      <c r="B3947" s="29"/>
      <c r="C3947" s="29" t="str">
        <f t="shared" si="1"/>
        <v/>
      </c>
      <c r="D3947" s="6" t="str">
        <f>IF(A3947="","",MATCH(A3947,Calculation!B$2:B9627,1))</f>
        <v/>
      </c>
      <c r="E3947" s="29" t="str">
        <f t="array" ref="E3947">IF(D3947="","",IF(D3947=1,0,INDEX(Calculation!Q$2:Q9627,D3947-1)))</f>
        <v/>
      </c>
      <c r="F3947" s="29" t="str">
        <f t="array" ref="F3947">IF($A3947="","",
  LET(
    r, $D3947,
    startD, INDEX(Calculation!B$2:B9627, r),
    endD,   INDEX(Calculation!C$2:C9627, r),
    asOf,   MIN($A3947,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48">
      <c r="A3948" s="28"/>
      <c r="B3948" s="29"/>
      <c r="C3948" s="29" t="str">
        <f t="shared" si="1"/>
        <v/>
      </c>
      <c r="D3948" s="6" t="str">
        <f>IF(A3948="","",MATCH(A3948,Calculation!B$2:B9627,1))</f>
        <v/>
      </c>
      <c r="E3948" s="29" t="str">
        <f t="array" ref="E3948">IF(D3948="","",IF(D3948=1,0,INDEX(Calculation!Q$2:Q9627,D3948-1)))</f>
        <v/>
      </c>
      <c r="F3948" s="29" t="str">
        <f t="array" ref="F3948">IF($A3948="","",
  LET(
    r, $D3948,
    startD, INDEX(Calculation!B$2:B9627, r),
    endD,   INDEX(Calculation!C$2:C9627, r),
    asOf,   MIN($A3948,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49">
      <c r="A3949" s="28"/>
      <c r="B3949" s="29"/>
      <c r="C3949" s="29" t="str">
        <f t="shared" si="1"/>
        <v/>
      </c>
      <c r="D3949" s="6" t="str">
        <f>IF(A3949="","",MATCH(A3949,Calculation!B$2:B9627,1))</f>
        <v/>
      </c>
      <c r="E3949" s="29" t="str">
        <f t="array" ref="E3949">IF(D3949="","",IF(D3949=1,0,INDEX(Calculation!Q$2:Q9627,D3949-1)))</f>
        <v/>
      </c>
      <c r="F3949" s="29" t="str">
        <f t="array" ref="F3949">IF($A3949="","",
  LET(
    r, $D3949,
    startD, INDEX(Calculation!B$2:B9627, r),
    endD,   INDEX(Calculation!C$2:C9627, r),
    asOf,   MIN($A3949,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50">
      <c r="A3950" s="28"/>
      <c r="B3950" s="29"/>
      <c r="C3950" s="29" t="str">
        <f t="shared" si="1"/>
        <v/>
      </c>
      <c r="D3950" s="6" t="str">
        <f>IF(A3950="","",MATCH(A3950,Calculation!B$2:B9627,1))</f>
        <v/>
      </c>
      <c r="E3950" s="29" t="str">
        <f t="array" ref="E3950">IF(D3950="","",IF(D3950=1,0,INDEX(Calculation!Q$2:Q9627,D3950-1)))</f>
        <v/>
      </c>
      <c r="F3950" s="29" t="str">
        <f t="array" ref="F3950">IF($A3950="","",
  LET(
    r, $D3950,
    startD, INDEX(Calculation!B$2:B9627, r),
    endD,   INDEX(Calculation!C$2:C9627, r),
    asOf,   MIN($A3950,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51">
      <c r="A3951" s="28"/>
      <c r="B3951" s="29"/>
      <c r="C3951" s="29" t="str">
        <f t="shared" si="1"/>
        <v/>
      </c>
      <c r="D3951" s="6" t="str">
        <f>IF(A3951="","",MATCH(A3951,Calculation!B$2:B9627,1))</f>
        <v/>
      </c>
      <c r="E3951" s="29" t="str">
        <f t="array" ref="E3951">IF(D3951="","",IF(D3951=1,0,INDEX(Calculation!Q$2:Q9627,D3951-1)))</f>
        <v/>
      </c>
      <c r="F3951" s="29" t="str">
        <f t="array" ref="F3951">IF($A3951="","",
  LET(
    r, $D3951,
    startD, INDEX(Calculation!B$2:B9627, r),
    endD,   INDEX(Calculation!C$2:C9627, r),
    asOf,   MIN($A3951,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52">
      <c r="A3952" s="28"/>
      <c r="B3952" s="29"/>
      <c r="C3952" s="29" t="str">
        <f t="shared" si="1"/>
        <v/>
      </c>
      <c r="D3952" s="6" t="str">
        <f>IF(A3952="","",MATCH(A3952,Calculation!B$2:B9627,1))</f>
        <v/>
      </c>
      <c r="E3952" s="29" t="str">
        <f t="array" ref="E3952">IF(D3952="","",IF(D3952=1,0,INDEX(Calculation!Q$2:Q9627,D3952-1)))</f>
        <v/>
      </c>
      <c r="F3952" s="29" t="str">
        <f t="array" ref="F3952">IF($A3952="","",
  LET(
    r, $D3952,
    startD, INDEX(Calculation!B$2:B9627, r),
    endD,   INDEX(Calculation!C$2:C9627, r),
    asOf,   MIN($A3952,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53">
      <c r="A3953" s="28"/>
      <c r="B3953" s="29"/>
      <c r="C3953" s="29" t="str">
        <f t="shared" si="1"/>
        <v/>
      </c>
      <c r="D3953" s="6" t="str">
        <f>IF(A3953="","",MATCH(A3953,Calculation!B$2:B9627,1))</f>
        <v/>
      </c>
      <c r="E3953" s="29" t="str">
        <f t="array" ref="E3953">IF(D3953="","",IF(D3953=1,0,INDEX(Calculation!Q$2:Q9627,D3953-1)))</f>
        <v/>
      </c>
      <c r="F3953" s="29" t="str">
        <f t="array" ref="F3953">IF($A3953="","",
  LET(
    r, $D3953,
    startD, INDEX(Calculation!B$2:B9627, r),
    endD,   INDEX(Calculation!C$2:C9627, r),
    asOf,   MIN($A3953,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54">
      <c r="A3954" s="28"/>
      <c r="B3954" s="29"/>
      <c r="C3954" s="29" t="str">
        <f t="shared" si="1"/>
        <v/>
      </c>
      <c r="D3954" s="6" t="str">
        <f>IF(A3954="","",MATCH(A3954,Calculation!B$2:B9627,1))</f>
        <v/>
      </c>
      <c r="E3954" s="29" t="str">
        <f t="array" ref="E3954">IF(D3954="","",IF(D3954=1,0,INDEX(Calculation!Q$2:Q9627,D3954-1)))</f>
        <v/>
      </c>
      <c r="F3954" s="29" t="str">
        <f t="array" ref="F3954">IF($A3954="","",
  LET(
    r, $D3954,
    startD, INDEX(Calculation!B$2:B9627, r),
    endD,   INDEX(Calculation!C$2:C9627, r),
    asOf,   MIN($A3954,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55">
      <c r="A3955" s="28"/>
      <c r="B3955" s="29"/>
      <c r="C3955" s="29" t="str">
        <f t="shared" si="1"/>
        <v/>
      </c>
      <c r="D3955" s="6" t="str">
        <f>IF(A3955="","",MATCH(A3955,Calculation!B$2:B9627,1))</f>
        <v/>
      </c>
      <c r="E3955" s="29" t="str">
        <f t="array" ref="E3955">IF(D3955="","",IF(D3955=1,0,INDEX(Calculation!Q$2:Q9627,D3955-1)))</f>
        <v/>
      </c>
      <c r="F3955" s="29" t="str">
        <f t="array" ref="F3955">IF($A3955="","",
  LET(
    r, $D3955,
    startD, INDEX(Calculation!B$2:B9627, r),
    endD,   INDEX(Calculation!C$2:C9627, r),
    asOf,   MIN($A3955,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56">
      <c r="A3956" s="28"/>
      <c r="B3956" s="29"/>
      <c r="C3956" s="29" t="str">
        <f t="shared" si="1"/>
        <v/>
      </c>
      <c r="D3956" s="6" t="str">
        <f>IF(A3956="","",MATCH(A3956,Calculation!B$2:B9627,1))</f>
        <v/>
      </c>
      <c r="E3956" s="29" t="str">
        <f t="array" ref="E3956">IF(D3956="","",IF(D3956=1,0,INDEX(Calculation!Q$2:Q9627,D3956-1)))</f>
        <v/>
      </c>
      <c r="F3956" s="29" t="str">
        <f t="array" ref="F3956">IF($A3956="","",
  LET(
    r, $D3956,
    startD, INDEX(Calculation!B$2:B9627, r),
    endD,   INDEX(Calculation!C$2:C9627, r),
    asOf,   MIN($A3956,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57">
      <c r="A3957" s="28"/>
      <c r="B3957" s="29"/>
      <c r="C3957" s="29" t="str">
        <f t="shared" si="1"/>
        <v/>
      </c>
      <c r="D3957" s="6" t="str">
        <f>IF(A3957="","",MATCH(A3957,Calculation!B$2:B9627,1))</f>
        <v/>
      </c>
      <c r="E3957" s="29" t="str">
        <f t="array" ref="E3957">IF(D3957="","",IF(D3957=1,0,INDEX(Calculation!Q$2:Q9627,D3957-1)))</f>
        <v/>
      </c>
      <c r="F3957" s="29" t="str">
        <f t="array" ref="F3957">IF($A3957="","",
  LET(
    r, $D3957,
    startD, INDEX(Calculation!B$2:B9627, r),
    endD,   INDEX(Calculation!C$2:C9627, r),
    asOf,   MIN($A3957,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58">
      <c r="A3958" s="28"/>
      <c r="B3958" s="29"/>
      <c r="C3958" s="29" t="str">
        <f t="shared" si="1"/>
        <v/>
      </c>
      <c r="D3958" s="6" t="str">
        <f>IF(A3958="","",MATCH(A3958,Calculation!B$2:B9627,1))</f>
        <v/>
      </c>
      <c r="E3958" s="29" t="str">
        <f t="array" ref="E3958">IF(D3958="","",IF(D3958=1,0,INDEX(Calculation!Q$2:Q9627,D3958-1)))</f>
        <v/>
      </c>
      <c r="F3958" s="29" t="str">
        <f t="array" ref="F3958">IF($A3958="","",
  LET(
    r, $D3958,
    startD, INDEX(Calculation!B$2:B9627, r),
    endD,   INDEX(Calculation!C$2:C9627, r),
    asOf,   MIN($A3958,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59">
      <c r="A3959" s="28"/>
      <c r="B3959" s="29"/>
      <c r="C3959" s="29" t="str">
        <f t="shared" si="1"/>
        <v/>
      </c>
      <c r="D3959" s="6" t="str">
        <f>IF(A3959="","",MATCH(A3959,Calculation!B$2:B9627,1))</f>
        <v/>
      </c>
      <c r="E3959" s="29" t="str">
        <f t="array" ref="E3959">IF(D3959="","",IF(D3959=1,0,INDEX(Calculation!Q$2:Q9627,D3959-1)))</f>
        <v/>
      </c>
      <c r="F3959" s="29" t="str">
        <f t="array" ref="F3959">IF($A3959="","",
  LET(
    r, $D3959,
    startD, INDEX(Calculation!B$2:B9627, r),
    endD,   INDEX(Calculation!C$2:C9627, r),
    asOf,   MIN($A3959,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60">
      <c r="A3960" s="28"/>
      <c r="B3960" s="29"/>
      <c r="C3960" s="29" t="str">
        <f t="shared" si="1"/>
        <v/>
      </c>
      <c r="D3960" s="6" t="str">
        <f>IF(A3960="","",MATCH(A3960,Calculation!B$2:B9627,1))</f>
        <v/>
      </c>
      <c r="E3960" s="29" t="str">
        <f t="array" ref="E3960">IF(D3960="","",IF(D3960=1,0,INDEX(Calculation!Q$2:Q9627,D3960-1)))</f>
        <v/>
      </c>
      <c r="F3960" s="29" t="str">
        <f t="array" ref="F3960">IF($A3960="","",
  LET(
    r, $D3960,
    startD, INDEX(Calculation!B$2:B9627, r),
    endD,   INDEX(Calculation!C$2:C9627, r),
    asOf,   MIN($A3960,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61">
      <c r="A3961" s="28"/>
      <c r="B3961" s="29"/>
      <c r="C3961" s="29" t="str">
        <f t="shared" si="1"/>
        <v/>
      </c>
      <c r="D3961" s="6" t="str">
        <f>IF(A3961="","",MATCH(A3961,Calculation!B$2:B9627,1))</f>
        <v/>
      </c>
      <c r="E3961" s="29" t="str">
        <f t="array" ref="E3961">IF(D3961="","",IF(D3961=1,0,INDEX(Calculation!Q$2:Q9627,D3961-1)))</f>
        <v/>
      </c>
      <c r="F3961" s="29" t="str">
        <f t="array" ref="F3961">IF($A3961="","",
  LET(
    r, $D3961,
    startD, INDEX(Calculation!B$2:B9627, r),
    endD,   INDEX(Calculation!C$2:C9627, r),
    asOf,   MIN($A3961,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62">
      <c r="A3962" s="28"/>
      <c r="B3962" s="29"/>
      <c r="C3962" s="29" t="str">
        <f t="shared" si="1"/>
        <v/>
      </c>
      <c r="D3962" s="6" t="str">
        <f>IF(A3962="","",MATCH(A3962,Calculation!B$2:B9627,1))</f>
        <v/>
      </c>
      <c r="E3962" s="29" t="str">
        <f t="array" ref="E3962">IF(D3962="","",IF(D3962=1,0,INDEX(Calculation!Q$2:Q9627,D3962-1)))</f>
        <v/>
      </c>
      <c r="F3962" s="29" t="str">
        <f t="array" ref="F3962">IF($A3962="","",
  LET(
    r, $D3962,
    startD, INDEX(Calculation!B$2:B9627, r),
    endD,   INDEX(Calculation!C$2:C9627, r),
    asOf,   MIN($A3962,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63">
      <c r="A3963" s="28"/>
      <c r="B3963" s="29"/>
      <c r="C3963" s="29" t="str">
        <f t="shared" si="1"/>
        <v/>
      </c>
      <c r="D3963" s="6" t="str">
        <f>IF(A3963="","",MATCH(A3963,Calculation!B$2:B9627,1))</f>
        <v/>
      </c>
      <c r="E3963" s="29" t="str">
        <f t="array" ref="E3963">IF(D3963="","",IF(D3963=1,0,INDEX(Calculation!Q$2:Q9627,D3963-1)))</f>
        <v/>
      </c>
      <c r="F3963" s="29" t="str">
        <f t="array" ref="F3963">IF($A3963="","",
  LET(
    r, $D3963,
    startD, INDEX(Calculation!B$2:B9627, r),
    endD,   INDEX(Calculation!C$2:C9627, r),
    asOf,   MIN($A3963,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64">
      <c r="A3964" s="28"/>
      <c r="B3964" s="29"/>
      <c r="C3964" s="29" t="str">
        <f t="shared" si="1"/>
        <v/>
      </c>
      <c r="D3964" s="6" t="str">
        <f>IF(A3964="","",MATCH(A3964,Calculation!B$2:B9627,1))</f>
        <v/>
      </c>
      <c r="E3964" s="29" t="str">
        <f t="array" ref="E3964">IF(D3964="","",IF(D3964=1,0,INDEX(Calculation!Q$2:Q9627,D3964-1)))</f>
        <v/>
      </c>
      <c r="F3964" s="29" t="str">
        <f t="array" ref="F3964">IF($A3964="","",
  LET(
    r, $D3964,
    startD, INDEX(Calculation!B$2:B9627, r),
    endD,   INDEX(Calculation!C$2:C9627, r),
    asOf,   MIN($A3964,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65">
      <c r="A3965" s="28"/>
      <c r="B3965" s="29"/>
      <c r="C3965" s="29" t="str">
        <f t="shared" si="1"/>
        <v/>
      </c>
      <c r="D3965" s="6" t="str">
        <f>IF(A3965="","",MATCH(A3965,Calculation!B$2:B9627,1))</f>
        <v/>
      </c>
      <c r="E3965" s="29" t="str">
        <f t="array" ref="E3965">IF(D3965="","",IF(D3965=1,0,INDEX(Calculation!Q$2:Q9627,D3965-1)))</f>
        <v/>
      </c>
      <c r="F3965" s="29" t="str">
        <f t="array" ref="F3965">IF($A3965="","",
  LET(
    r, $D3965,
    startD, INDEX(Calculation!B$2:B9627, r),
    endD,   INDEX(Calculation!C$2:C9627, r),
    asOf,   MIN($A3965,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66">
      <c r="A3966" s="28"/>
      <c r="B3966" s="29"/>
      <c r="C3966" s="29" t="str">
        <f t="shared" si="1"/>
        <v/>
      </c>
      <c r="D3966" s="6" t="str">
        <f>IF(A3966="","",MATCH(A3966,Calculation!B$2:B9627,1))</f>
        <v/>
      </c>
      <c r="E3966" s="29" t="str">
        <f t="array" ref="E3966">IF(D3966="","",IF(D3966=1,0,INDEX(Calculation!Q$2:Q9627,D3966-1)))</f>
        <v/>
      </c>
      <c r="F3966" s="29" t="str">
        <f t="array" ref="F3966">IF($A3966="","",
  LET(
    r, $D3966,
    startD, INDEX(Calculation!B$2:B9627, r),
    endD,   INDEX(Calculation!C$2:C9627, r),
    asOf,   MIN($A3966,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67">
      <c r="A3967" s="28"/>
      <c r="B3967" s="29"/>
      <c r="C3967" s="29" t="str">
        <f t="shared" si="1"/>
        <v/>
      </c>
      <c r="D3967" s="6" t="str">
        <f>IF(A3967="","",MATCH(A3967,Calculation!B$2:B9627,1))</f>
        <v/>
      </c>
      <c r="E3967" s="29" t="str">
        <f t="array" ref="E3967">IF(D3967="","",IF(D3967=1,0,INDEX(Calculation!Q$2:Q9627,D3967-1)))</f>
        <v/>
      </c>
      <c r="F3967" s="29" t="str">
        <f t="array" ref="F3967">IF($A3967="","",
  LET(
    r, $D3967,
    startD, INDEX(Calculation!B$2:B9627, r),
    endD,   INDEX(Calculation!C$2:C9627, r),
    asOf,   MIN($A3967,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68">
      <c r="A3968" s="28"/>
      <c r="B3968" s="29"/>
      <c r="C3968" s="29" t="str">
        <f t="shared" si="1"/>
        <v/>
      </c>
      <c r="D3968" s="6" t="str">
        <f>IF(A3968="","",MATCH(A3968,Calculation!B$2:B9627,1))</f>
        <v/>
      </c>
      <c r="E3968" s="29" t="str">
        <f t="array" ref="E3968">IF(D3968="","",IF(D3968=1,0,INDEX(Calculation!Q$2:Q9627,D3968-1)))</f>
        <v/>
      </c>
      <c r="F3968" s="29" t="str">
        <f t="array" ref="F3968">IF($A3968="","",
  LET(
    r, $D3968,
    startD, INDEX(Calculation!B$2:B9627, r),
    endD,   INDEX(Calculation!C$2:C9627, r),
    asOf,   MIN($A3968,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69">
      <c r="A3969" s="28"/>
      <c r="B3969" s="29"/>
      <c r="C3969" s="29" t="str">
        <f t="shared" si="1"/>
        <v/>
      </c>
      <c r="D3969" s="6" t="str">
        <f>IF(A3969="","",MATCH(A3969,Calculation!B$2:B9627,1))</f>
        <v/>
      </c>
      <c r="E3969" s="29" t="str">
        <f t="array" ref="E3969">IF(D3969="","",IF(D3969=1,0,INDEX(Calculation!Q$2:Q9627,D3969-1)))</f>
        <v/>
      </c>
      <c r="F3969" s="29" t="str">
        <f t="array" ref="F3969">IF($A3969="","",
  LET(
    r, $D3969,
    startD, INDEX(Calculation!B$2:B9627, r),
    endD,   INDEX(Calculation!C$2:C9627, r),
    asOf,   MIN($A3969,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70">
      <c r="A3970" s="28"/>
      <c r="B3970" s="29"/>
      <c r="C3970" s="29" t="str">
        <f t="shared" si="1"/>
        <v/>
      </c>
      <c r="D3970" s="6" t="str">
        <f>IF(A3970="","",MATCH(A3970,Calculation!B$2:B9627,1))</f>
        <v/>
      </c>
      <c r="E3970" s="29" t="str">
        <f t="array" ref="E3970">IF(D3970="","",IF(D3970=1,0,INDEX(Calculation!Q$2:Q9627,D3970-1)))</f>
        <v/>
      </c>
      <c r="F3970" s="29" t="str">
        <f t="array" ref="F3970">IF($A3970="","",
  LET(
    r, $D3970,
    startD, INDEX(Calculation!B$2:B9627, r),
    endD,   INDEX(Calculation!C$2:C9627, r),
    asOf,   MIN($A3970,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71">
      <c r="A3971" s="28"/>
      <c r="B3971" s="29"/>
      <c r="C3971" s="29" t="str">
        <f t="shared" si="1"/>
        <v/>
      </c>
      <c r="D3971" s="6" t="str">
        <f>IF(A3971="","",MATCH(A3971,Calculation!B$2:B9627,1))</f>
        <v/>
      </c>
      <c r="E3971" s="29" t="str">
        <f t="array" ref="E3971">IF(D3971="","",IF(D3971=1,0,INDEX(Calculation!Q$2:Q9627,D3971-1)))</f>
        <v/>
      </c>
      <c r="F3971" s="29" t="str">
        <f t="array" ref="F3971">IF($A3971="","",
  LET(
    r, $D3971,
    startD, INDEX(Calculation!B$2:B9627, r),
    endD,   INDEX(Calculation!C$2:C9627, r),
    asOf,   MIN($A3971,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72">
      <c r="A3972" s="28"/>
      <c r="B3972" s="29"/>
      <c r="C3972" s="29" t="str">
        <f t="shared" si="1"/>
        <v/>
      </c>
      <c r="D3972" s="6" t="str">
        <f>IF(A3972="","",MATCH(A3972,Calculation!B$2:B9627,1))</f>
        <v/>
      </c>
      <c r="E3972" s="29" t="str">
        <f t="array" ref="E3972">IF(D3972="","",IF(D3972=1,0,INDEX(Calculation!Q$2:Q9627,D3972-1)))</f>
        <v/>
      </c>
      <c r="F3972" s="29" t="str">
        <f t="array" ref="F3972">IF($A3972="","",
  LET(
    r, $D3972,
    startD, INDEX(Calculation!B$2:B9627, r),
    endD,   INDEX(Calculation!C$2:C9627, r),
    asOf,   MIN($A3972,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73">
      <c r="A3973" s="28"/>
      <c r="B3973" s="29"/>
      <c r="C3973" s="29" t="str">
        <f t="shared" si="1"/>
        <v/>
      </c>
      <c r="D3973" s="6" t="str">
        <f>IF(A3973="","",MATCH(A3973,Calculation!B$2:B9627,1))</f>
        <v/>
      </c>
      <c r="E3973" s="29" t="str">
        <f t="array" ref="E3973">IF(D3973="","",IF(D3973=1,0,INDEX(Calculation!Q$2:Q9627,D3973-1)))</f>
        <v/>
      </c>
      <c r="F3973" s="29" t="str">
        <f t="array" ref="F3973">IF($A3973="","",
  LET(
    r, $D3973,
    startD, INDEX(Calculation!B$2:B9627, r),
    endD,   INDEX(Calculation!C$2:C9627, r),
    asOf,   MIN($A3973,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74">
      <c r="A3974" s="28"/>
      <c r="B3974" s="29"/>
      <c r="C3974" s="29" t="str">
        <f t="shared" si="1"/>
        <v/>
      </c>
      <c r="D3974" s="6" t="str">
        <f>IF(A3974="","",MATCH(A3974,Calculation!B$2:B9627,1))</f>
        <v/>
      </c>
      <c r="E3974" s="29" t="str">
        <f t="array" ref="E3974">IF(D3974="","",IF(D3974=1,0,INDEX(Calculation!Q$2:Q9627,D3974-1)))</f>
        <v/>
      </c>
      <c r="F3974" s="29" t="str">
        <f t="array" ref="F3974">IF($A3974="","",
  LET(
    r, $D3974,
    startD, INDEX(Calculation!B$2:B9627, r),
    endD,   INDEX(Calculation!C$2:C9627, r),
    asOf,   MIN($A3974,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75">
      <c r="A3975" s="28"/>
      <c r="B3975" s="29"/>
      <c r="C3975" s="29" t="str">
        <f t="shared" si="1"/>
        <v/>
      </c>
      <c r="D3975" s="6" t="str">
        <f>IF(A3975="","",MATCH(A3975,Calculation!B$2:B9627,1))</f>
        <v/>
      </c>
      <c r="E3975" s="29" t="str">
        <f t="array" ref="E3975">IF(D3975="","",IF(D3975=1,0,INDEX(Calculation!Q$2:Q9627,D3975-1)))</f>
        <v/>
      </c>
      <c r="F3975" s="29" t="str">
        <f t="array" ref="F3975">IF($A3975="","",
  LET(
    r, $D3975,
    startD, INDEX(Calculation!B$2:B9627, r),
    endD,   INDEX(Calculation!C$2:C9627, r),
    asOf,   MIN($A3975,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76">
      <c r="A3976" s="28"/>
      <c r="B3976" s="29"/>
      <c r="C3976" s="29" t="str">
        <f t="shared" si="1"/>
        <v/>
      </c>
      <c r="D3976" s="6" t="str">
        <f>IF(A3976="","",MATCH(A3976,Calculation!B$2:B9627,1))</f>
        <v/>
      </c>
      <c r="E3976" s="29" t="str">
        <f t="array" ref="E3976">IF(D3976="","",IF(D3976=1,0,INDEX(Calculation!Q$2:Q9627,D3976-1)))</f>
        <v/>
      </c>
      <c r="F3976" s="29" t="str">
        <f t="array" ref="F3976">IF($A3976="","",
  LET(
    r, $D3976,
    startD, INDEX(Calculation!B$2:B9627, r),
    endD,   INDEX(Calculation!C$2:C9627, r),
    asOf,   MIN($A3976,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77">
      <c r="A3977" s="28"/>
      <c r="B3977" s="29"/>
      <c r="C3977" s="29" t="str">
        <f t="shared" si="1"/>
        <v/>
      </c>
      <c r="D3977" s="6" t="str">
        <f>IF(A3977="","",MATCH(A3977,Calculation!B$2:B9627,1))</f>
        <v/>
      </c>
      <c r="E3977" s="29" t="str">
        <f t="array" ref="E3977">IF(D3977="","",IF(D3977=1,0,INDEX(Calculation!Q$2:Q9627,D3977-1)))</f>
        <v/>
      </c>
      <c r="F3977" s="29" t="str">
        <f t="array" ref="F3977">IF($A3977="","",
  LET(
    r, $D3977,
    startD, INDEX(Calculation!B$2:B9627, r),
    endD,   INDEX(Calculation!C$2:C9627, r),
    asOf,   MIN($A3977,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78">
      <c r="A3978" s="28"/>
      <c r="B3978" s="29"/>
      <c r="C3978" s="29" t="str">
        <f t="shared" si="1"/>
        <v/>
      </c>
      <c r="D3978" s="6" t="str">
        <f>IF(A3978="","",MATCH(A3978,Calculation!B$2:B9627,1))</f>
        <v/>
      </c>
      <c r="E3978" s="29" t="str">
        <f t="array" ref="E3978">IF(D3978="","",IF(D3978=1,0,INDEX(Calculation!Q$2:Q9627,D3978-1)))</f>
        <v/>
      </c>
      <c r="F3978" s="29" t="str">
        <f t="array" ref="F3978">IF($A3978="","",
  LET(
    r, $D3978,
    startD, INDEX(Calculation!B$2:B9627, r),
    endD,   INDEX(Calculation!C$2:C9627, r),
    asOf,   MIN($A3978,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79">
      <c r="A3979" s="28"/>
      <c r="B3979" s="29"/>
      <c r="C3979" s="29" t="str">
        <f t="shared" si="1"/>
        <v/>
      </c>
      <c r="D3979" s="6" t="str">
        <f>IF(A3979="","",MATCH(A3979,Calculation!B$2:B9627,1))</f>
        <v/>
      </c>
      <c r="E3979" s="29" t="str">
        <f t="array" ref="E3979">IF(D3979="","",IF(D3979=1,0,INDEX(Calculation!Q$2:Q9627,D3979-1)))</f>
        <v/>
      </c>
      <c r="F3979" s="29" t="str">
        <f t="array" ref="F3979">IF($A3979="","",
  LET(
    r, $D3979,
    startD, INDEX(Calculation!B$2:B9627, r),
    endD,   INDEX(Calculation!C$2:C9627, r),
    asOf,   MIN($A3979,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80">
      <c r="A3980" s="28"/>
      <c r="B3980" s="29"/>
      <c r="C3980" s="29" t="str">
        <f t="shared" si="1"/>
        <v/>
      </c>
      <c r="D3980" s="6" t="str">
        <f>IF(A3980="","",MATCH(A3980,Calculation!B$2:B9627,1))</f>
        <v/>
      </c>
      <c r="E3980" s="29" t="str">
        <f t="array" ref="E3980">IF(D3980="","",IF(D3980=1,0,INDEX(Calculation!Q$2:Q9627,D3980-1)))</f>
        <v/>
      </c>
      <c r="F3980" s="29" t="str">
        <f t="array" ref="F3980">IF($A3980="","",
  LET(
    r, $D3980,
    startD, INDEX(Calculation!B$2:B9627, r),
    endD,   INDEX(Calculation!C$2:C9627, r),
    asOf,   MIN($A3980,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81">
      <c r="A3981" s="28"/>
      <c r="B3981" s="29"/>
      <c r="C3981" s="29" t="str">
        <f t="shared" si="1"/>
        <v/>
      </c>
      <c r="D3981" s="6" t="str">
        <f>IF(A3981="","",MATCH(A3981,Calculation!B$2:B9627,1))</f>
        <v/>
      </c>
      <c r="E3981" s="29" t="str">
        <f t="array" ref="E3981">IF(D3981="","",IF(D3981=1,0,INDEX(Calculation!Q$2:Q9627,D3981-1)))</f>
        <v/>
      </c>
      <c r="F3981" s="29" t="str">
        <f t="array" ref="F3981">IF($A3981="","",
  LET(
    r, $D3981,
    startD, INDEX(Calculation!B$2:B9627, r),
    endD,   INDEX(Calculation!C$2:C9627, r),
    asOf,   MIN($A3981,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82">
      <c r="A3982" s="28"/>
      <c r="B3982" s="29"/>
      <c r="C3982" s="29" t="str">
        <f t="shared" si="1"/>
        <v/>
      </c>
      <c r="D3982" s="6" t="str">
        <f>IF(A3982="","",MATCH(A3982,Calculation!B$2:B9627,1))</f>
        <v/>
      </c>
      <c r="E3982" s="29" t="str">
        <f t="array" ref="E3982">IF(D3982="","",IF(D3982=1,0,INDEX(Calculation!Q$2:Q9627,D3982-1)))</f>
        <v/>
      </c>
      <c r="F3982" s="29" t="str">
        <f t="array" ref="F3982">IF($A3982="","",
  LET(
    r, $D3982,
    startD, INDEX(Calculation!B$2:B9627, r),
    endD,   INDEX(Calculation!C$2:C9627, r),
    asOf,   MIN($A3982,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83">
      <c r="A3983" s="28"/>
      <c r="B3983" s="29"/>
      <c r="C3983" s="29" t="str">
        <f t="shared" si="1"/>
        <v/>
      </c>
      <c r="D3983" s="6" t="str">
        <f>IF(A3983="","",MATCH(A3983,Calculation!B$2:B9627,1))</f>
        <v/>
      </c>
      <c r="E3983" s="29" t="str">
        <f t="array" ref="E3983">IF(D3983="","",IF(D3983=1,0,INDEX(Calculation!Q$2:Q9627,D3983-1)))</f>
        <v/>
      </c>
      <c r="F3983" s="29" t="str">
        <f t="array" ref="F3983">IF($A3983="","",
  LET(
    r, $D3983,
    startD, INDEX(Calculation!B$2:B9627, r),
    endD,   INDEX(Calculation!C$2:C9627, r),
    asOf,   MIN($A3983,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84">
      <c r="A3984" s="28"/>
      <c r="B3984" s="29"/>
      <c r="C3984" s="29" t="str">
        <f t="shared" si="1"/>
        <v/>
      </c>
      <c r="D3984" s="6" t="str">
        <f>IF(A3984="","",MATCH(A3984,Calculation!B$2:B9627,1))</f>
        <v/>
      </c>
      <c r="E3984" s="29" t="str">
        <f t="array" ref="E3984">IF(D3984="","",IF(D3984=1,0,INDEX(Calculation!Q$2:Q9627,D3984-1)))</f>
        <v/>
      </c>
      <c r="F3984" s="29" t="str">
        <f t="array" ref="F3984">IF($A3984="","",
  LET(
    r, $D3984,
    startD, INDEX(Calculation!B$2:B9627, r),
    endD,   INDEX(Calculation!C$2:C9627, r),
    asOf,   MIN($A3984,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85">
      <c r="A3985" s="28"/>
      <c r="B3985" s="29"/>
      <c r="C3985" s="29" t="str">
        <f t="shared" si="1"/>
        <v/>
      </c>
      <c r="D3985" s="6" t="str">
        <f>IF(A3985="","",MATCH(A3985,Calculation!B$2:B9627,1))</f>
        <v/>
      </c>
      <c r="E3985" s="29" t="str">
        <f t="array" ref="E3985">IF(D3985="","",IF(D3985=1,0,INDEX(Calculation!Q$2:Q9627,D3985-1)))</f>
        <v/>
      </c>
      <c r="F3985" s="29" t="str">
        <f t="array" ref="F3985">IF($A3985="","",
  LET(
    r, $D3985,
    startD, INDEX(Calculation!B$2:B9627, r),
    endD,   INDEX(Calculation!C$2:C9627, r),
    asOf,   MIN($A3985,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86">
      <c r="A3986" s="28"/>
      <c r="B3986" s="29"/>
      <c r="C3986" s="29" t="str">
        <f t="shared" si="1"/>
        <v/>
      </c>
      <c r="D3986" s="6" t="str">
        <f>IF(A3986="","",MATCH(A3986,Calculation!B$2:B9627,1))</f>
        <v/>
      </c>
      <c r="E3986" s="29" t="str">
        <f t="array" ref="E3986">IF(D3986="","",IF(D3986=1,0,INDEX(Calculation!Q$2:Q9627,D3986-1)))</f>
        <v/>
      </c>
      <c r="F3986" s="29" t="str">
        <f t="array" ref="F3986">IF($A3986="","",
  LET(
    r, $D3986,
    startD, INDEX(Calculation!B$2:B9627, r),
    endD,   INDEX(Calculation!C$2:C9627, r),
    asOf,   MIN($A3986,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87">
      <c r="A3987" s="28"/>
      <c r="B3987" s="29"/>
      <c r="C3987" s="29" t="str">
        <f t="shared" si="1"/>
        <v/>
      </c>
      <c r="D3987" s="6" t="str">
        <f>IF(A3987="","",MATCH(A3987,Calculation!B$2:B9627,1))</f>
        <v/>
      </c>
      <c r="E3987" s="29" t="str">
        <f t="array" ref="E3987">IF(D3987="","",IF(D3987=1,0,INDEX(Calculation!Q$2:Q9627,D3987-1)))</f>
        <v/>
      </c>
      <c r="F3987" s="29" t="str">
        <f t="array" ref="F3987">IF($A3987="","",
  LET(
    r, $D3987,
    startD, INDEX(Calculation!B$2:B9627, r),
    endD,   INDEX(Calculation!C$2:C9627, r),
    asOf,   MIN($A3987,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88">
      <c r="A3988" s="28"/>
      <c r="B3988" s="29"/>
      <c r="C3988" s="29" t="str">
        <f t="shared" si="1"/>
        <v/>
      </c>
      <c r="D3988" s="6" t="str">
        <f>IF(A3988="","",MATCH(A3988,Calculation!B$2:B9627,1))</f>
        <v/>
      </c>
      <c r="E3988" s="29" t="str">
        <f t="array" ref="E3988">IF(D3988="","",IF(D3988=1,0,INDEX(Calculation!Q$2:Q9627,D3988-1)))</f>
        <v/>
      </c>
      <c r="F3988" s="29" t="str">
        <f t="array" ref="F3988">IF($A3988="","",
  LET(
    r, $D3988,
    startD, INDEX(Calculation!B$2:B9627, r),
    endD,   INDEX(Calculation!C$2:C9627, r),
    asOf,   MIN($A3988,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89">
      <c r="A3989" s="28"/>
      <c r="B3989" s="29"/>
      <c r="C3989" s="29" t="str">
        <f t="shared" si="1"/>
        <v/>
      </c>
      <c r="D3989" s="6" t="str">
        <f>IF(A3989="","",MATCH(A3989,Calculation!B$2:B9627,1))</f>
        <v/>
      </c>
      <c r="E3989" s="29" t="str">
        <f t="array" ref="E3989">IF(D3989="","",IF(D3989=1,0,INDEX(Calculation!Q$2:Q9627,D3989-1)))</f>
        <v/>
      </c>
      <c r="F3989" s="29" t="str">
        <f t="array" ref="F3989">IF($A3989="","",
  LET(
    r, $D3989,
    startD, INDEX(Calculation!B$2:B9627, r),
    endD,   INDEX(Calculation!C$2:C9627, r),
    asOf,   MIN($A3989,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90">
      <c r="A3990" s="28"/>
      <c r="B3990" s="29"/>
      <c r="C3990" s="29" t="str">
        <f t="shared" si="1"/>
        <v/>
      </c>
      <c r="D3990" s="6" t="str">
        <f>IF(A3990="","",MATCH(A3990,Calculation!B$2:B9627,1))</f>
        <v/>
      </c>
      <c r="E3990" s="29" t="str">
        <f t="array" ref="E3990">IF(D3990="","",IF(D3990=1,0,INDEX(Calculation!Q$2:Q9627,D3990-1)))</f>
        <v/>
      </c>
      <c r="F3990" s="29" t="str">
        <f t="array" ref="F3990">IF($A3990="","",
  LET(
    r, $D3990,
    startD, INDEX(Calculation!B$2:B9627, r),
    endD,   INDEX(Calculation!C$2:C9627, r),
    asOf,   MIN($A3990,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91">
      <c r="A3991" s="28"/>
      <c r="B3991" s="29"/>
      <c r="C3991" s="29" t="str">
        <f t="shared" si="1"/>
        <v/>
      </c>
      <c r="D3991" s="6" t="str">
        <f>IF(A3991="","",MATCH(A3991,Calculation!B$2:B9627,1))</f>
        <v/>
      </c>
      <c r="E3991" s="29" t="str">
        <f t="array" ref="E3991">IF(D3991="","",IF(D3991=1,0,INDEX(Calculation!Q$2:Q9627,D3991-1)))</f>
        <v/>
      </c>
      <c r="F3991" s="29" t="str">
        <f t="array" ref="F3991">IF($A3991="","",
  LET(
    r, $D3991,
    startD, INDEX(Calculation!B$2:B9627, r),
    endD,   INDEX(Calculation!C$2:C9627, r),
    asOf,   MIN($A3991,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92">
      <c r="A3992" s="28"/>
      <c r="B3992" s="29"/>
      <c r="C3992" s="29" t="str">
        <f t="shared" si="1"/>
        <v/>
      </c>
      <c r="D3992" s="6" t="str">
        <f>IF(A3992="","",MATCH(A3992,Calculation!B$2:B9627,1))</f>
        <v/>
      </c>
      <c r="E3992" s="29" t="str">
        <f t="array" ref="E3992">IF(D3992="","",IF(D3992=1,0,INDEX(Calculation!Q$2:Q9627,D3992-1)))</f>
        <v/>
      </c>
      <c r="F3992" s="29" t="str">
        <f t="array" ref="F3992">IF($A3992="","",
  LET(
    r, $D3992,
    startD, INDEX(Calculation!B$2:B9627, r),
    endD,   INDEX(Calculation!C$2:C9627, r),
    asOf,   MIN($A3992,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93">
      <c r="A3993" s="28"/>
      <c r="B3993" s="29"/>
      <c r="C3993" s="29" t="str">
        <f t="shared" si="1"/>
        <v/>
      </c>
      <c r="D3993" s="6" t="str">
        <f>IF(A3993="","",MATCH(A3993,Calculation!B$2:B9627,1))</f>
        <v/>
      </c>
      <c r="E3993" s="29" t="str">
        <f t="array" ref="E3993">IF(D3993="","",IF(D3993=1,0,INDEX(Calculation!Q$2:Q9627,D3993-1)))</f>
        <v/>
      </c>
      <c r="F3993" s="29" t="str">
        <f t="array" ref="F3993">IF($A3993="","",
  LET(
    r, $D3993,
    startD, INDEX(Calculation!B$2:B9627, r),
    endD,   INDEX(Calculation!C$2:C9627, r),
    asOf,   MIN($A3993,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94">
      <c r="A3994" s="28"/>
      <c r="B3994" s="29"/>
      <c r="C3994" s="29" t="str">
        <f t="shared" si="1"/>
        <v/>
      </c>
      <c r="D3994" s="6" t="str">
        <f>IF(A3994="","",MATCH(A3994,Calculation!B$2:B9627,1))</f>
        <v/>
      </c>
      <c r="E3994" s="29" t="str">
        <f t="array" ref="E3994">IF(D3994="","",IF(D3994=1,0,INDEX(Calculation!Q$2:Q9627,D3994-1)))</f>
        <v/>
      </c>
      <c r="F3994" s="29" t="str">
        <f t="array" ref="F3994">IF($A3994="","",
  LET(
    r, $D3994,
    startD, INDEX(Calculation!B$2:B9627, r),
    endD,   INDEX(Calculation!C$2:C9627, r),
    asOf,   MIN($A3994,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95">
      <c r="A3995" s="28"/>
      <c r="B3995" s="29"/>
      <c r="C3995" s="29" t="str">
        <f t="shared" si="1"/>
        <v/>
      </c>
      <c r="D3995" s="6" t="str">
        <f>IF(A3995="","",MATCH(A3995,Calculation!B$2:B9627,1))</f>
        <v/>
      </c>
      <c r="E3995" s="29" t="str">
        <f t="array" ref="E3995">IF(D3995="","",IF(D3995=1,0,INDEX(Calculation!Q$2:Q9627,D3995-1)))</f>
        <v/>
      </c>
      <c r="F3995" s="29" t="str">
        <f t="array" ref="F3995">IF($A3995="","",
  LET(
    r, $D3995,
    startD, INDEX(Calculation!B$2:B9627, r),
    endD,   INDEX(Calculation!C$2:C9627, r),
    asOf,   MIN($A3995,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96">
      <c r="A3996" s="28"/>
      <c r="B3996" s="29"/>
      <c r="C3996" s="29" t="str">
        <f t="shared" si="1"/>
        <v/>
      </c>
      <c r="D3996" s="6" t="str">
        <f>IF(A3996="","",MATCH(A3996,Calculation!B$2:B9627,1))</f>
        <v/>
      </c>
      <c r="E3996" s="29" t="str">
        <f t="array" ref="E3996">IF(D3996="","",IF(D3996=1,0,INDEX(Calculation!Q$2:Q9627,D3996-1)))</f>
        <v/>
      </c>
      <c r="F3996" s="29" t="str">
        <f t="array" ref="F3996">IF($A3996="","",
  LET(
    r, $D3996,
    startD, INDEX(Calculation!B$2:B9627, r),
    endD,   INDEX(Calculation!C$2:C9627, r),
    asOf,   MIN($A3996,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97">
      <c r="A3997" s="28"/>
      <c r="B3997" s="29"/>
      <c r="C3997" s="29" t="str">
        <f t="shared" si="1"/>
        <v/>
      </c>
      <c r="D3997" s="6" t="str">
        <f>IF(A3997="","",MATCH(A3997,Calculation!B$2:B9627,1))</f>
        <v/>
      </c>
      <c r="E3997" s="29" t="str">
        <f t="array" ref="E3997">IF(D3997="","",IF(D3997=1,0,INDEX(Calculation!Q$2:Q9627,D3997-1)))</f>
        <v/>
      </c>
      <c r="F3997" s="29" t="str">
        <f t="array" ref="F3997">IF($A3997="","",
  LET(
    r, $D3997,
    startD, INDEX(Calculation!B$2:B9627, r),
    endD,   INDEX(Calculation!C$2:C9627, r),
    asOf,   MIN($A3997,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98">
      <c r="A3998" s="28"/>
      <c r="B3998" s="29"/>
      <c r="C3998" s="29" t="str">
        <f t="shared" si="1"/>
        <v/>
      </c>
      <c r="D3998" s="6" t="str">
        <f>IF(A3998="","",MATCH(A3998,Calculation!B$2:B9627,1))</f>
        <v/>
      </c>
      <c r="E3998" s="29" t="str">
        <f t="array" ref="E3998">IF(D3998="","",IF(D3998=1,0,INDEX(Calculation!Q$2:Q9627,D3998-1)))</f>
        <v/>
      </c>
      <c r="F3998" s="29" t="str">
        <f t="array" ref="F3998">IF($A3998="","",
  LET(
    r, $D3998,
    startD, INDEX(Calculation!B$2:B9627, r),
    endD,   INDEX(Calculation!C$2:C9627, r),
    asOf,   MIN($A3998,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3999">
      <c r="A3999" s="28"/>
      <c r="B3999" s="29"/>
      <c r="C3999" s="29" t="str">
        <f t="shared" si="1"/>
        <v/>
      </c>
      <c r="D3999" s="6" t="str">
        <f>IF(A3999="","",MATCH(A3999,Calculation!B$2:B9627,1))</f>
        <v/>
      </c>
      <c r="E3999" s="29" t="str">
        <f t="array" ref="E3999">IF(D3999="","",IF(D3999=1,0,INDEX(Calculation!Q$2:Q9627,D3999-1)))</f>
        <v/>
      </c>
      <c r="F3999" s="29" t="str">
        <f t="array" ref="F3999">IF($A3999="","",
  LET(
    r, $D3999,
    startD, INDEX(Calculation!B$2:B9627, r),
    endD,   INDEX(Calculation!C$2:C9627, r),
    asOf,   MIN($A3999,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00">
      <c r="A4000" s="28"/>
      <c r="B4000" s="29"/>
      <c r="C4000" s="29" t="str">
        <f t="shared" si="1"/>
        <v/>
      </c>
      <c r="D4000" s="6" t="str">
        <f>IF(A4000="","",MATCH(A4000,Calculation!B$2:B9627,1))</f>
        <v/>
      </c>
      <c r="E4000" s="29" t="str">
        <f t="array" ref="E4000">IF(D4000="","",IF(D4000=1,0,INDEX(Calculation!Q$2:Q9627,D4000-1)))</f>
        <v/>
      </c>
      <c r="F4000" s="29" t="str">
        <f t="array" ref="F4000">IF($A4000="","",
  LET(
    r, $D4000,
    startD, INDEX(Calculation!B$2:B9627, r),
    endD,   INDEX(Calculation!C$2:C9627, r),
    asOf,   MIN($A4000,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01">
      <c r="A4001" s="28"/>
      <c r="B4001" s="29"/>
      <c r="C4001" s="29" t="str">
        <f t="shared" si="1"/>
        <v/>
      </c>
      <c r="D4001" s="6" t="str">
        <f>IF(A4001="","",MATCH(A4001,Calculation!B$2:B9627,1))</f>
        <v/>
      </c>
      <c r="E4001" s="29" t="str">
        <f t="array" ref="E4001">IF(D4001="","",IF(D4001=1,0,INDEX(Calculation!Q$2:Q9627,D4001-1)))</f>
        <v/>
      </c>
      <c r="F4001" s="29" t="str">
        <f t="array" ref="F4001">IF($A4001="","",
  LET(
    r, $D4001,
    startD, INDEX(Calculation!B$2:B9627, r),
    endD,   INDEX(Calculation!C$2:C9627, r),
    asOf,   MIN($A4001,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02">
      <c r="A4002" s="28"/>
      <c r="B4002" s="29"/>
      <c r="C4002" s="29" t="str">
        <f t="shared" si="1"/>
        <v/>
      </c>
      <c r="D4002" s="6" t="str">
        <f>IF(A4002="","",MATCH(A4002,Calculation!B$2:B9627,1))</f>
        <v/>
      </c>
      <c r="E4002" s="29" t="str">
        <f t="array" ref="E4002">IF(D4002="","",IF(D4002=1,0,INDEX(Calculation!Q$2:Q9627,D4002-1)))</f>
        <v/>
      </c>
      <c r="F4002" s="29" t="str">
        <f t="array" ref="F4002">IF($A4002="","",
  LET(
    r, $D4002,
    startD, INDEX(Calculation!B$2:B9627, r),
    endD,   INDEX(Calculation!C$2:C9627, r),
    asOf,   MIN($A4002,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03">
      <c r="A4003" s="28"/>
      <c r="B4003" s="29"/>
      <c r="C4003" s="29" t="str">
        <f t="shared" si="1"/>
        <v/>
      </c>
      <c r="D4003" s="6" t="str">
        <f>IF(A4003="","",MATCH(A4003,Calculation!B$2:B9627,1))</f>
        <v/>
      </c>
      <c r="E4003" s="29" t="str">
        <f t="array" ref="E4003">IF(D4003="","",IF(D4003=1,0,INDEX(Calculation!Q$2:Q9627,D4003-1)))</f>
        <v/>
      </c>
      <c r="F4003" s="29" t="str">
        <f t="array" ref="F4003">IF($A4003="","",
  LET(
    r, $D4003,
    startD, INDEX(Calculation!B$2:B9627, r),
    endD,   INDEX(Calculation!C$2:C9627, r),
    asOf,   MIN($A4003,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04">
      <c r="A4004" s="28"/>
      <c r="B4004" s="29"/>
      <c r="C4004" s="29" t="str">
        <f t="shared" si="1"/>
        <v/>
      </c>
      <c r="D4004" s="6" t="str">
        <f>IF(A4004="","",MATCH(A4004,Calculation!B$2:B9627,1))</f>
        <v/>
      </c>
      <c r="E4004" s="29" t="str">
        <f t="array" ref="E4004">IF(D4004="","",IF(D4004=1,0,INDEX(Calculation!Q$2:Q9627,D4004-1)))</f>
        <v/>
      </c>
      <c r="F4004" s="29" t="str">
        <f t="array" ref="F4004">IF($A4004="","",
  LET(
    r, $D4004,
    startD, INDEX(Calculation!B$2:B9627, r),
    endD,   INDEX(Calculation!C$2:C9627, r),
    asOf,   MIN($A4004,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05">
      <c r="A4005" s="28"/>
      <c r="B4005" s="29"/>
      <c r="C4005" s="29" t="str">
        <f t="shared" si="1"/>
        <v/>
      </c>
      <c r="D4005" s="6" t="str">
        <f>IF(A4005="","",MATCH(A4005,Calculation!B$2:B9627,1))</f>
        <v/>
      </c>
      <c r="E4005" s="29" t="str">
        <f t="array" ref="E4005">IF(D4005="","",IF(D4005=1,0,INDEX(Calculation!Q$2:Q9627,D4005-1)))</f>
        <v/>
      </c>
      <c r="F4005" s="29" t="str">
        <f t="array" ref="F4005">IF($A4005="","",
  LET(
    r, $D4005,
    startD, INDEX(Calculation!B$2:B9627, r),
    endD,   INDEX(Calculation!C$2:C9627, r),
    asOf,   MIN($A4005,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06">
      <c r="A4006" s="28"/>
      <c r="B4006" s="29"/>
      <c r="C4006" s="29" t="str">
        <f t="shared" si="1"/>
        <v/>
      </c>
      <c r="D4006" s="6" t="str">
        <f>IF(A4006="","",MATCH(A4006,Calculation!B$2:B9627,1))</f>
        <v/>
      </c>
      <c r="E4006" s="29" t="str">
        <f t="array" ref="E4006">IF(D4006="","",IF(D4006=1,0,INDEX(Calculation!Q$2:Q9627,D4006-1)))</f>
        <v/>
      </c>
      <c r="F4006" s="29" t="str">
        <f t="array" ref="F4006">IF($A4006="","",
  LET(
    r, $D4006,
    startD, INDEX(Calculation!B$2:B9627, r),
    endD,   INDEX(Calculation!C$2:C9627, r),
    asOf,   MIN($A4006,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07">
      <c r="A4007" s="28"/>
      <c r="B4007" s="29"/>
      <c r="C4007" s="29" t="str">
        <f t="shared" si="1"/>
        <v/>
      </c>
      <c r="D4007" s="6" t="str">
        <f>IF(A4007="","",MATCH(A4007,Calculation!B$2:B9627,1))</f>
        <v/>
      </c>
      <c r="E4007" s="29" t="str">
        <f t="array" ref="E4007">IF(D4007="","",IF(D4007=1,0,INDEX(Calculation!Q$2:Q9627,D4007-1)))</f>
        <v/>
      </c>
      <c r="F4007" s="29" t="str">
        <f t="array" ref="F4007">IF($A4007="","",
  LET(
    r, $D4007,
    startD, INDEX(Calculation!B$2:B9627, r),
    endD,   INDEX(Calculation!C$2:C9627, r),
    asOf,   MIN($A4007,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08">
      <c r="A4008" s="28"/>
      <c r="B4008" s="29"/>
      <c r="C4008" s="29" t="str">
        <f t="shared" si="1"/>
        <v/>
      </c>
      <c r="D4008" s="6" t="str">
        <f>IF(A4008="","",MATCH(A4008,Calculation!B$2:B9627,1))</f>
        <v/>
      </c>
      <c r="E4008" s="29" t="str">
        <f t="array" ref="E4008">IF(D4008="","",IF(D4008=1,0,INDEX(Calculation!Q$2:Q9627,D4008-1)))</f>
        <v/>
      </c>
      <c r="F4008" s="29" t="str">
        <f t="array" ref="F4008">IF($A4008="","",
  LET(
    r, $D4008,
    startD, INDEX(Calculation!B$2:B9627, r),
    endD,   INDEX(Calculation!C$2:C9627, r),
    asOf,   MIN($A4008,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09">
      <c r="A4009" s="28"/>
      <c r="B4009" s="29"/>
      <c r="C4009" s="29" t="str">
        <f t="shared" si="1"/>
        <v/>
      </c>
      <c r="D4009" s="6" t="str">
        <f>IF(A4009="","",MATCH(A4009,Calculation!B$2:B9627,1))</f>
        <v/>
      </c>
      <c r="E4009" s="29" t="str">
        <f t="array" ref="E4009">IF(D4009="","",IF(D4009=1,0,INDEX(Calculation!Q$2:Q9627,D4009-1)))</f>
        <v/>
      </c>
      <c r="F4009" s="29" t="str">
        <f t="array" ref="F4009">IF($A4009="","",
  LET(
    r, $D4009,
    startD, INDEX(Calculation!B$2:B9627, r),
    endD,   INDEX(Calculation!C$2:C9627, r),
    asOf,   MIN($A4009,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10">
      <c r="A4010" s="28"/>
      <c r="B4010" s="29"/>
      <c r="C4010" s="29" t="str">
        <f t="shared" si="1"/>
        <v/>
      </c>
      <c r="D4010" s="6" t="str">
        <f>IF(A4010="","",MATCH(A4010,Calculation!B$2:B9627,1))</f>
        <v/>
      </c>
      <c r="E4010" s="29" t="str">
        <f t="array" ref="E4010">IF(D4010="","",IF(D4010=1,0,INDEX(Calculation!Q$2:Q9627,D4010-1)))</f>
        <v/>
      </c>
      <c r="F4010" s="29" t="str">
        <f t="array" ref="F4010">IF($A4010="","",
  LET(
    r, $D4010,
    startD, INDEX(Calculation!B$2:B9627, r),
    endD,   INDEX(Calculation!C$2:C9627, r),
    asOf,   MIN($A4010,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11">
      <c r="A4011" s="28"/>
      <c r="B4011" s="29"/>
      <c r="C4011" s="29" t="str">
        <f t="shared" si="1"/>
        <v/>
      </c>
      <c r="D4011" s="6" t="str">
        <f>IF(A4011="","",MATCH(A4011,Calculation!B$2:B9627,1))</f>
        <v/>
      </c>
      <c r="E4011" s="29" t="str">
        <f t="array" ref="E4011">IF(D4011="","",IF(D4011=1,0,INDEX(Calculation!Q$2:Q9627,D4011-1)))</f>
        <v/>
      </c>
      <c r="F4011" s="29" t="str">
        <f t="array" ref="F4011">IF($A4011="","",
  LET(
    r, $D4011,
    startD, INDEX(Calculation!B$2:B9627, r),
    endD,   INDEX(Calculation!C$2:C9627, r),
    asOf,   MIN($A4011,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12">
      <c r="A4012" s="28"/>
      <c r="B4012" s="29"/>
      <c r="C4012" s="29" t="str">
        <f t="shared" si="1"/>
        <v/>
      </c>
      <c r="D4012" s="6" t="str">
        <f>IF(A4012="","",MATCH(A4012,Calculation!B$2:B9627,1))</f>
        <v/>
      </c>
      <c r="E4012" s="29" t="str">
        <f t="array" ref="E4012">IF(D4012="","",IF(D4012=1,0,INDEX(Calculation!Q$2:Q9627,D4012-1)))</f>
        <v/>
      </c>
      <c r="F4012" s="29" t="str">
        <f t="array" ref="F4012">IF($A4012="","",
  LET(
    r, $D4012,
    startD, INDEX(Calculation!B$2:B9627, r),
    endD,   INDEX(Calculation!C$2:C9627, r),
    asOf,   MIN($A4012,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13">
      <c r="A4013" s="28"/>
      <c r="B4013" s="29"/>
      <c r="C4013" s="29" t="str">
        <f t="shared" si="1"/>
        <v/>
      </c>
      <c r="D4013" s="6" t="str">
        <f>IF(A4013="","",MATCH(A4013,Calculation!B$2:B9627,1))</f>
        <v/>
      </c>
      <c r="E4013" s="29" t="str">
        <f t="array" ref="E4013">IF(D4013="","",IF(D4013=1,0,INDEX(Calculation!Q$2:Q9627,D4013-1)))</f>
        <v/>
      </c>
      <c r="F4013" s="29" t="str">
        <f t="array" ref="F4013">IF($A4013="","",
  LET(
    r, $D4013,
    startD, INDEX(Calculation!B$2:B9627, r),
    endD,   INDEX(Calculation!C$2:C9627, r),
    asOf,   MIN($A4013,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14">
      <c r="A4014" s="28"/>
      <c r="B4014" s="29"/>
      <c r="C4014" s="29" t="str">
        <f t="shared" si="1"/>
        <v/>
      </c>
      <c r="D4014" s="6" t="str">
        <f>IF(A4014="","",MATCH(A4014,Calculation!B$2:B9627,1))</f>
        <v/>
      </c>
      <c r="E4014" s="29" t="str">
        <f t="array" ref="E4014">IF(D4014="","",IF(D4014=1,0,INDEX(Calculation!Q$2:Q9627,D4014-1)))</f>
        <v/>
      </c>
      <c r="F4014" s="29" t="str">
        <f t="array" ref="F4014">IF($A4014="","",
  LET(
    r, $D4014,
    startD, INDEX(Calculation!B$2:B9627, r),
    endD,   INDEX(Calculation!C$2:C9627, r),
    asOf,   MIN($A4014,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15">
      <c r="A4015" s="28"/>
      <c r="B4015" s="29"/>
      <c r="C4015" s="29" t="str">
        <f t="shared" si="1"/>
        <v/>
      </c>
      <c r="D4015" s="6" t="str">
        <f>IF(A4015="","",MATCH(A4015,Calculation!B$2:B9627,1))</f>
        <v/>
      </c>
      <c r="E4015" s="29" t="str">
        <f t="array" ref="E4015">IF(D4015="","",IF(D4015=1,0,INDEX(Calculation!Q$2:Q9627,D4015-1)))</f>
        <v/>
      </c>
      <c r="F4015" s="29" t="str">
        <f t="array" ref="F4015">IF($A4015="","",
  LET(
    r, $D4015,
    startD, INDEX(Calculation!B$2:B9627, r),
    endD,   INDEX(Calculation!C$2:C9627, r),
    asOf,   MIN($A4015,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16">
      <c r="A4016" s="28"/>
      <c r="B4016" s="29"/>
      <c r="C4016" s="29" t="str">
        <f t="shared" si="1"/>
        <v/>
      </c>
      <c r="D4016" s="6" t="str">
        <f>IF(A4016="","",MATCH(A4016,Calculation!B$2:B9627,1))</f>
        <v/>
      </c>
      <c r="E4016" s="29" t="str">
        <f t="array" ref="E4016">IF(D4016="","",IF(D4016=1,0,INDEX(Calculation!Q$2:Q9627,D4016-1)))</f>
        <v/>
      </c>
      <c r="F4016" s="29" t="str">
        <f t="array" ref="F4016">IF($A4016="","",
  LET(
    r, $D4016,
    startD, INDEX(Calculation!B$2:B9627, r),
    endD,   INDEX(Calculation!C$2:C9627, r),
    asOf,   MIN($A4016,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17">
      <c r="A4017" s="28"/>
      <c r="B4017" s="29"/>
      <c r="C4017" s="29" t="str">
        <f t="shared" si="1"/>
        <v/>
      </c>
      <c r="D4017" s="6" t="str">
        <f>IF(A4017="","",MATCH(A4017,Calculation!B$2:B9627,1))</f>
        <v/>
      </c>
      <c r="E4017" s="29" t="str">
        <f t="array" ref="E4017">IF(D4017="","",IF(D4017=1,0,INDEX(Calculation!Q$2:Q9627,D4017-1)))</f>
        <v/>
      </c>
      <c r="F4017" s="29" t="str">
        <f t="array" ref="F4017">IF($A4017="","",
  LET(
    r, $D4017,
    startD, INDEX(Calculation!B$2:B9627, r),
    endD,   INDEX(Calculation!C$2:C9627, r),
    asOf,   MIN($A4017,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18">
      <c r="A4018" s="28"/>
      <c r="B4018" s="29"/>
      <c r="C4018" s="29" t="str">
        <f t="shared" si="1"/>
        <v/>
      </c>
      <c r="D4018" s="6" t="str">
        <f>IF(A4018="","",MATCH(A4018,Calculation!B$2:B9627,1))</f>
        <v/>
      </c>
      <c r="E4018" s="29" t="str">
        <f t="array" ref="E4018">IF(D4018="","",IF(D4018=1,0,INDEX(Calculation!Q$2:Q9627,D4018-1)))</f>
        <v/>
      </c>
      <c r="F4018" s="29" t="str">
        <f t="array" ref="F4018">IF($A4018="","",
  LET(
    r, $D4018,
    startD, INDEX(Calculation!B$2:B9627, r),
    endD,   INDEX(Calculation!C$2:C9627, r),
    asOf,   MIN($A4018,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19">
      <c r="A4019" s="28"/>
      <c r="B4019" s="29"/>
      <c r="C4019" s="29" t="str">
        <f t="shared" si="1"/>
        <v/>
      </c>
      <c r="D4019" s="6" t="str">
        <f>IF(A4019="","",MATCH(A4019,Calculation!B$2:B9627,1))</f>
        <v/>
      </c>
      <c r="E4019" s="29" t="str">
        <f t="array" ref="E4019">IF(D4019="","",IF(D4019=1,0,INDEX(Calculation!Q$2:Q9627,D4019-1)))</f>
        <v/>
      </c>
      <c r="F4019" s="29" t="str">
        <f t="array" ref="F4019">IF($A4019="","",
  LET(
    r, $D4019,
    startD, INDEX(Calculation!B$2:B9627, r),
    endD,   INDEX(Calculation!C$2:C9627, r),
    asOf,   MIN($A4019,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20">
      <c r="A4020" s="28"/>
      <c r="B4020" s="29"/>
      <c r="C4020" s="29" t="str">
        <f t="shared" si="1"/>
        <v/>
      </c>
      <c r="D4020" s="6" t="str">
        <f>IF(A4020="","",MATCH(A4020,Calculation!B$2:B9627,1))</f>
        <v/>
      </c>
      <c r="E4020" s="29" t="str">
        <f t="array" ref="E4020">IF(D4020="","",IF(D4020=1,0,INDEX(Calculation!Q$2:Q9627,D4020-1)))</f>
        <v/>
      </c>
      <c r="F4020" s="29" t="str">
        <f t="array" ref="F4020">IF($A4020="","",
  LET(
    r, $D4020,
    startD, INDEX(Calculation!B$2:B9627, r),
    endD,   INDEX(Calculation!C$2:C9627, r),
    asOf,   MIN($A4020,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21">
      <c r="A4021" s="28"/>
      <c r="B4021" s="29"/>
      <c r="C4021" s="29" t="str">
        <f t="shared" si="1"/>
        <v/>
      </c>
      <c r="D4021" s="6" t="str">
        <f>IF(A4021="","",MATCH(A4021,Calculation!B$2:B9627,1))</f>
        <v/>
      </c>
      <c r="E4021" s="29" t="str">
        <f t="array" ref="E4021">IF(D4021="","",IF(D4021=1,0,INDEX(Calculation!Q$2:Q9627,D4021-1)))</f>
        <v/>
      </c>
      <c r="F4021" s="29" t="str">
        <f t="array" ref="F4021">IF($A4021="","",
  LET(
    r, $D4021,
    startD, INDEX(Calculation!B$2:B9627, r),
    endD,   INDEX(Calculation!C$2:C9627, r),
    asOf,   MIN($A4021,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22">
      <c r="A4022" s="28"/>
      <c r="B4022" s="29"/>
      <c r="C4022" s="29" t="str">
        <f t="shared" si="1"/>
        <v/>
      </c>
      <c r="D4022" s="6" t="str">
        <f>IF(A4022="","",MATCH(A4022,Calculation!B$2:B9627,1))</f>
        <v/>
      </c>
      <c r="E4022" s="29" t="str">
        <f t="array" ref="E4022">IF(D4022="","",IF(D4022=1,0,INDEX(Calculation!Q$2:Q9627,D4022-1)))</f>
        <v/>
      </c>
      <c r="F4022" s="29" t="str">
        <f t="array" ref="F4022">IF($A4022="","",
  LET(
    r, $D4022,
    startD, INDEX(Calculation!B$2:B9627, r),
    endD,   INDEX(Calculation!C$2:C9627, r),
    asOf,   MIN($A4022,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23">
      <c r="A4023" s="28"/>
      <c r="B4023" s="29"/>
      <c r="C4023" s="29" t="str">
        <f t="shared" si="1"/>
        <v/>
      </c>
      <c r="D4023" s="6" t="str">
        <f>IF(A4023="","",MATCH(A4023,Calculation!B$2:B9627,1))</f>
        <v/>
      </c>
      <c r="E4023" s="29" t="str">
        <f t="array" ref="E4023">IF(D4023="","",IF(D4023=1,0,INDEX(Calculation!Q$2:Q9627,D4023-1)))</f>
        <v/>
      </c>
      <c r="F4023" s="29" t="str">
        <f t="array" ref="F4023">IF($A4023="","",
  LET(
    r, $D4023,
    startD, INDEX(Calculation!B$2:B9627, r),
    endD,   INDEX(Calculation!C$2:C9627, r),
    asOf,   MIN($A4023,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24">
      <c r="A4024" s="28"/>
      <c r="B4024" s="29"/>
      <c r="C4024" s="29" t="str">
        <f t="shared" si="1"/>
        <v/>
      </c>
      <c r="D4024" s="6" t="str">
        <f>IF(A4024="","",MATCH(A4024,Calculation!B$2:B9627,1))</f>
        <v/>
      </c>
      <c r="E4024" s="29" t="str">
        <f t="array" ref="E4024">IF(D4024="","",IF(D4024=1,0,INDEX(Calculation!Q$2:Q9627,D4024-1)))</f>
        <v/>
      </c>
      <c r="F4024" s="29" t="str">
        <f t="array" ref="F4024">IF($A4024="","",
  LET(
    r, $D4024,
    startD, INDEX(Calculation!B$2:B9627, r),
    endD,   INDEX(Calculation!C$2:C9627, r),
    asOf,   MIN($A4024,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25">
      <c r="A4025" s="28"/>
      <c r="B4025" s="29"/>
      <c r="C4025" s="29" t="str">
        <f t="shared" si="1"/>
        <v/>
      </c>
      <c r="D4025" s="6" t="str">
        <f>IF(A4025="","",MATCH(A4025,Calculation!B$2:B9627,1))</f>
        <v/>
      </c>
      <c r="E4025" s="29" t="str">
        <f t="array" ref="E4025">IF(D4025="","",IF(D4025=1,0,INDEX(Calculation!Q$2:Q9627,D4025-1)))</f>
        <v/>
      </c>
      <c r="F4025" s="29" t="str">
        <f t="array" ref="F4025">IF($A4025="","",
  LET(
    r, $D4025,
    startD, INDEX(Calculation!B$2:B9627, r),
    endD,   INDEX(Calculation!C$2:C9627, r),
    asOf,   MIN($A4025,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26">
      <c r="A4026" s="28"/>
      <c r="B4026" s="29"/>
      <c r="C4026" s="29" t="str">
        <f t="shared" si="1"/>
        <v/>
      </c>
      <c r="D4026" s="6" t="str">
        <f>IF(A4026="","",MATCH(A4026,Calculation!B$2:B9627,1))</f>
        <v/>
      </c>
      <c r="E4026" s="29" t="str">
        <f t="array" ref="E4026">IF(D4026="","",IF(D4026=1,0,INDEX(Calculation!Q$2:Q9627,D4026-1)))</f>
        <v/>
      </c>
      <c r="F4026" s="29" t="str">
        <f t="array" ref="F4026">IF($A4026="","",
  LET(
    r, $D4026,
    startD, INDEX(Calculation!B$2:B9627, r),
    endD,   INDEX(Calculation!C$2:C9627, r),
    asOf,   MIN($A4026,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27">
      <c r="A4027" s="28"/>
      <c r="B4027" s="29"/>
      <c r="C4027" s="29" t="str">
        <f t="shared" si="1"/>
        <v/>
      </c>
      <c r="D4027" s="6" t="str">
        <f>IF(A4027="","",MATCH(A4027,Calculation!B$2:B9627,1))</f>
        <v/>
      </c>
      <c r="E4027" s="29" t="str">
        <f t="array" ref="E4027">IF(D4027="","",IF(D4027=1,0,INDEX(Calculation!Q$2:Q9627,D4027-1)))</f>
        <v/>
      </c>
      <c r="F4027" s="29" t="str">
        <f t="array" ref="F4027">IF($A4027="","",
  LET(
    r, $D4027,
    startD, INDEX(Calculation!B$2:B9627, r),
    endD,   INDEX(Calculation!C$2:C9627, r),
    asOf,   MIN($A4027,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28">
      <c r="A4028" s="28"/>
      <c r="B4028" s="29"/>
      <c r="C4028" s="29" t="str">
        <f t="shared" si="1"/>
        <v/>
      </c>
      <c r="D4028" s="6" t="str">
        <f>IF(A4028="","",MATCH(A4028,Calculation!B$2:B9627,1))</f>
        <v/>
      </c>
      <c r="E4028" s="29" t="str">
        <f t="array" ref="E4028">IF(D4028="","",IF(D4028=1,0,INDEX(Calculation!Q$2:Q9627,D4028-1)))</f>
        <v/>
      </c>
      <c r="F4028" s="29" t="str">
        <f t="array" ref="F4028">IF($A4028="","",
  LET(
    r, $D4028,
    startD, INDEX(Calculation!B$2:B9627, r),
    endD,   INDEX(Calculation!C$2:C9627, r),
    asOf,   MIN($A4028,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29">
      <c r="A4029" s="28"/>
      <c r="B4029" s="29"/>
      <c r="C4029" s="29" t="str">
        <f t="shared" si="1"/>
        <v/>
      </c>
      <c r="D4029" s="6" t="str">
        <f>IF(A4029="","",MATCH(A4029,Calculation!B$2:B9627,1))</f>
        <v/>
      </c>
      <c r="E4029" s="29" t="str">
        <f t="array" ref="E4029">IF(D4029="","",IF(D4029=1,0,INDEX(Calculation!Q$2:Q9627,D4029-1)))</f>
        <v/>
      </c>
      <c r="F4029" s="29" t="str">
        <f t="array" ref="F4029">IF($A4029="","",
  LET(
    r, $D4029,
    startD, INDEX(Calculation!B$2:B9627, r),
    endD,   INDEX(Calculation!C$2:C9627, r),
    asOf,   MIN($A4029,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30">
      <c r="A4030" s="28"/>
      <c r="B4030" s="29"/>
      <c r="C4030" s="29" t="str">
        <f t="shared" si="1"/>
        <v/>
      </c>
      <c r="D4030" s="6" t="str">
        <f>IF(A4030="","",MATCH(A4030,Calculation!B$2:B9627,1))</f>
        <v/>
      </c>
      <c r="E4030" s="29" t="str">
        <f t="array" ref="E4030">IF(D4030="","",IF(D4030=1,0,INDEX(Calculation!Q$2:Q9627,D4030-1)))</f>
        <v/>
      </c>
      <c r="F4030" s="29" t="str">
        <f t="array" ref="F4030">IF($A4030="","",
  LET(
    r, $D4030,
    startD, INDEX(Calculation!B$2:B9627, r),
    endD,   INDEX(Calculation!C$2:C9627, r),
    asOf,   MIN($A4030,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31">
      <c r="A4031" s="28"/>
      <c r="B4031" s="29"/>
      <c r="C4031" s="29" t="str">
        <f t="shared" si="1"/>
        <v/>
      </c>
      <c r="D4031" s="6" t="str">
        <f>IF(A4031="","",MATCH(A4031,Calculation!B$2:B9627,1))</f>
        <v/>
      </c>
      <c r="E4031" s="29" t="str">
        <f t="array" ref="E4031">IF(D4031="","",IF(D4031=1,0,INDEX(Calculation!Q$2:Q9627,D4031-1)))</f>
        <v/>
      </c>
      <c r="F4031" s="29" t="str">
        <f t="array" ref="F4031">IF($A4031="","",
  LET(
    r, $D4031,
    startD, INDEX(Calculation!B$2:B9627, r),
    endD,   INDEX(Calculation!C$2:C9627, r),
    asOf,   MIN($A4031,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32">
      <c r="A4032" s="28"/>
      <c r="B4032" s="29"/>
      <c r="C4032" s="29" t="str">
        <f t="shared" si="1"/>
        <v/>
      </c>
      <c r="D4032" s="6" t="str">
        <f>IF(A4032="","",MATCH(A4032,Calculation!B$2:B9627,1))</f>
        <v/>
      </c>
      <c r="E4032" s="29" t="str">
        <f t="array" ref="E4032">IF(D4032="","",IF(D4032=1,0,INDEX(Calculation!Q$2:Q9627,D4032-1)))</f>
        <v/>
      </c>
      <c r="F4032" s="29" t="str">
        <f t="array" ref="F4032">IF($A4032="","",
  LET(
    r, $D4032,
    startD, INDEX(Calculation!B$2:B9627, r),
    endD,   INDEX(Calculation!C$2:C9627, r),
    asOf,   MIN($A4032,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33">
      <c r="A4033" s="28"/>
      <c r="B4033" s="29"/>
      <c r="C4033" s="29" t="str">
        <f t="shared" si="1"/>
        <v/>
      </c>
      <c r="D4033" s="6" t="str">
        <f>IF(A4033="","",MATCH(A4033,Calculation!B$2:B9627,1))</f>
        <v/>
      </c>
      <c r="E4033" s="29" t="str">
        <f t="array" ref="E4033">IF(D4033="","",IF(D4033=1,0,INDEX(Calculation!Q$2:Q9627,D4033-1)))</f>
        <v/>
      </c>
      <c r="F4033" s="29" t="str">
        <f t="array" ref="F4033">IF($A4033="","",
  LET(
    r, $D4033,
    startD, INDEX(Calculation!B$2:B9627, r),
    endD,   INDEX(Calculation!C$2:C9627, r),
    asOf,   MIN($A4033,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34">
      <c r="A4034" s="28"/>
      <c r="B4034" s="29"/>
      <c r="C4034" s="29" t="str">
        <f t="shared" si="1"/>
        <v/>
      </c>
      <c r="D4034" s="6" t="str">
        <f>IF(A4034="","",MATCH(A4034,Calculation!B$2:B9627,1))</f>
        <v/>
      </c>
      <c r="E4034" s="29" t="str">
        <f t="array" ref="E4034">IF(D4034="","",IF(D4034=1,0,INDEX(Calculation!Q$2:Q9627,D4034-1)))</f>
        <v/>
      </c>
      <c r="F4034" s="29" t="str">
        <f t="array" ref="F4034">IF($A4034="","",
  LET(
    r, $D4034,
    startD, INDEX(Calculation!B$2:B9627, r),
    endD,   INDEX(Calculation!C$2:C9627, r),
    asOf,   MIN($A4034,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35">
      <c r="A4035" s="28"/>
      <c r="B4035" s="29"/>
      <c r="C4035" s="29" t="str">
        <f t="shared" si="1"/>
        <v/>
      </c>
      <c r="D4035" s="6" t="str">
        <f>IF(A4035="","",MATCH(A4035,Calculation!B$2:B9627,1))</f>
        <v/>
      </c>
      <c r="E4035" s="29" t="str">
        <f t="array" ref="E4035">IF(D4035="","",IF(D4035=1,0,INDEX(Calculation!Q$2:Q9627,D4035-1)))</f>
        <v/>
      </c>
      <c r="F4035" s="29" t="str">
        <f t="array" ref="F4035">IF($A4035="","",
  LET(
    r, $D4035,
    startD, INDEX(Calculation!B$2:B9627, r),
    endD,   INDEX(Calculation!C$2:C9627, r),
    asOf,   MIN($A4035,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36">
      <c r="A4036" s="28"/>
      <c r="B4036" s="29"/>
      <c r="C4036" s="29" t="str">
        <f t="shared" si="1"/>
        <v/>
      </c>
      <c r="D4036" s="6" t="str">
        <f>IF(A4036="","",MATCH(A4036,Calculation!B$2:B9627,1))</f>
        <v/>
      </c>
      <c r="E4036" s="29" t="str">
        <f t="array" ref="E4036">IF(D4036="","",IF(D4036=1,0,INDEX(Calculation!Q$2:Q9627,D4036-1)))</f>
        <v/>
      </c>
      <c r="F4036" s="29" t="str">
        <f t="array" ref="F4036">IF($A4036="","",
  LET(
    r, $D4036,
    startD, INDEX(Calculation!B$2:B9627, r),
    endD,   INDEX(Calculation!C$2:C9627, r),
    asOf,   MIN($A4036,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37">
      <c r="A4037" s="28"/>
      <c r="B4037" s="29"/>
      <c r="C4037" s="29" t="str">
        <f t="shared" si="1"/>
        <v/>
      </c>
      <c r="D4037" s="6" t="str">
        <f>IF(A4037="","",MATCH(A4037,Calculation!B$2:B9627,1))</f>
        <v/>
      </c>
      <c r="E4037" s="29" t="str">
        <f t="array" ref="E4037">IF(D4037="","",IF(D4037=1,0,INDEX(Calculation!Q$2:Q9627,D4037-1)))</f>
        <v/>
      </c>
      <c r="F4037" s="29" t="str">
        <f t="array" ref="F4037">IF($A4037="","",
  LET(
    r, $D4037,
    startD, INDEX(Calculation!B$2:B9627, r),
    endD,   INDEX(Calculation!C$2:C9627, r),
    asOf,   MIN($A4037,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38">
      <c r="A4038" s="28"/>
      <c r="B4038" s="29"/>
      <c r="C4038" s="29" t="str">
        <f t="shared" si="1"/>
        <v/>
      </c>
      <c r="D4038" s="6" t="str">
        <f>IF(A4038="","",MATCH(A4038,Calculation!B$2:B9627,1))</f>
        <v/>
      </c>
      <c r="E4038" s="29" t="str">
        <f t="array" ref="E4038">IF(D4038="","",IF(D4038=1,0,INDEX(Calculation!Q$2:Q9627,D4038-1)))</f>
        <v/>
      </c>
      <c r="F4038" s="29" t="str">
        <f t="array" ref="F4038">IF($A4038="","",
  LET(
    r, $D4038,
    startD, INDEX(Calculation!B$2:B9627, r),
    endD,   INDEX(Calculation!C$2:C9627, r),
    asOf,   MIN($A4038,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39">
      <c r="A4039" s="28"/>
      <c r="B4039" s="29"/>
      <c r="C4039" s="29" t="str">
        <f t="shared" si="1"/>
        <v/>
      </c>
      <c r="D4039" s="6" t="str">
        <f>IF(A4039="","",MATCH(A4039,Calculation!B$2:B9627,1))</f>
        <v/>
      </c>
      <c r="E4039" s="29" t="str">
        <f t="array" ref="E4039">IF(D4039="","",IF(D4039=1,0,INDEX(Calculation!Q$2:Q9627,D4039-1)))</f>
        <v/>
      </c>
      <c r="F4039" s="29" t="str">
        <f t="array" ref="F4039">IF($A4039="","",
  LET(
    r, $D4039,
    startD, INDEX(Calculation!B$2:B9627, r),
    endD,   INDEX(Calculation!C$2:C9627, r),
    asOf,   MIN($A4039,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40">
      <c r="A4040" s="28"/>
      <c r="B4040" s="29"/>
      <c r="C4040" s="29" t="str">
        <f t="shared" si="1"/>
        <v/>
      </c>
      <c r="D4040" s="6" t="str">
        <f>IF(A4040="","",MATCH(A4040,Calculation!B$2:B9627,1))</f>
        <v/>
      </c>
      <c r="E4040" s="29" t="str">
        <f t="array" ref="E4040">IF(D4040="","",IF(D4040=1,0,INDEX(Calculation!Q$2:Q9627,D4040-1)))</f>
        <v/>
      </c>
      <c r="F4040" s="29" t="str">
        <f t="array" ref="F4040">IF($A4040="","",
  LET(
    r, $D4040,
    startD, INDEX(Calculation!B$2:B9627, r),
    endD,   INDEX(Calculation!C$2:C9627, r),
    asOf,   MIN($A4040,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41">
      <c r="A4041" s="28"/>
      <c r="B4041" s="29"/>
      <c r="C4041" s="29" t="str">
        <f t="shared" si="1"/>
        <v/>
      </c>
      <c r="D4041" s="6" t="str">
        <f>IF(A4041="","",MATCH(A4041,Calculation!B$2:B9627,1))</f>
        <v/>
      </c>
      <c r="E4041" s="29" t="str">
        <f t="array" ref="E4041">IF(D4041="","",IF(D4041=1,0,INDEX(Calculation!Q$2:Q9627,D4041-1)))</f>
        <v/>
      </c>
      <c r="F4041" s="29" t="str">
        <f t="array" ref="F4041">IF($A4041="","",
  LET(
    r, $D4041,
    startD, INDEX(Calculation!B$2:B9627, r),
    endD,   INDEX(Calculation!C$2:C9627, r),
    asOf,   MIN($A4041,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42">
      <c r="A4042" s="28"/>
      <c r="B4042" s="29"/>
      <c r="C4042" s="29" t="str">
        <f t="shared" si="1"/>
        <v/>
      </c>
      <c r="D4042" s="6" t="str">
        <f>IF(A4042="","",MATCH(A4042,Calculation!B$2:B9627,1))</f>
        <v/>
      </c>
      <c r="E4042" s="29" t="str">
        <f t="array" ref="E4042">IF(D4042="","",IF(D4042=1,0,INDEX(Calculation!Q$2:Q9627,D4042-1)))</f>
        <v/>
      </c>
      <c r="F4042" s="29" t="str">
        <f t="array" ref="F4042">IF($A4042="","",
  LET(
    r, $D4042,
    startD, INDEX(Calculation!B$2:B9627, r),
    endD,   INDEX(Calculation!C$2:C9627, r),
    asOf,   MIN($A4042,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43">
      <c r="A4043" s="28"/>
      <c r="B4043" s="29"/>
      <c r="C4043" s="29" t="str">
        <f t="shared" si="1"/>
        <v/>
      </c>
      <c r="D4043" s="6" t="str">
        <f>IF(A4043="","",MATCH(A4043,Calculation!B$2:B9627,1))</f>
        <v/>
      </c>
      <c r="E4043" s="29" t="str">
        <f t="array" ref="E4043">IF(D4043="","",IF(D4043=1,0,INDEX(Calculation!Q$2:Q9627,D4043-1)))</f>
        <v/>
      </c>
      <c r="F4043" s="29" t="str">
        <f t="array" ref="F4043">IF($A4043="","",
  LET(
    r, $D4043,
    startD, INDEX(Calculation!B$2:B9627, r),
    endD,   INDEX(Calculation!C$2:C9627, r),
    asOf,   MIN($A4043,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44">
      <c r="A4044" s="28"/>
      <c r="B4044" s="29"/>
      <c r="C4044" s="29" t="str">
        <f t="shared" si="1"/>
        <v/>
      </c>
      <c r="D4044" s="6" t="str">
        <f>IF(A4044="","",MATCH(A4044,Calculation!B$2:B9627,1))</f>
        <v/>
      </c>
      <c r="E4044" s="29" t="str">
        <f t="array" ref="E4044">IF(D4044="","",IF(D4044=1,0,INDEX(Calculation!Q$2:Q9627,D4044-1)))</f>
        <v/>
      </c>
      <c r="F4044" s="29" t="str">
        <f t="array" ref="F4044">IF($A4044="","",
  LET(
    r, $D4044,
    startD, INDEX(Calculation!B$2:B9627, r),
    endD,   INDEX(Calculation!C$2:C9627, r),
    asOf,   MIN($A4044,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45">
      <c r="A4045" s="28"/>
      <c r="B4045" s="29"/>
      <c r="C4045" s="29" t="str">
        <f t="shared" si="1"/>
        <v/>
      </c>
      <c r="D4045" s="6" t="str">
        <f>IF(A4045="","",MATCH(A4045,Calculation!B$2:B9627,1))</f>
        <v/>
      </c>
      <c r="E4045" s="29" t="str">
        <f t="array" ref="E4045">IF(D4045="","",IF(D4045=1,0,INDEX(Calculation!Q$2:Q9627,D4045-1)))</f>
        <v/>
      </c>
      <c r="F4045" s="29" t="str">
        <f t="array" ref="F4045">IF($A4045="","",
  LET(
    r, $D4045,
    startD, INDEX(Calculation!B$2:B9627, r),
    endD,   INDEX(Calculation!C$2:C9627, r),
    asOf,   MIN($A4045,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46">
      <c r="A4046" s="28"/>
      <c r="B4046" s="29"/>
      <c r="C4046" s="29" t="str">
        <f t="shared" si="1"/>
        <v/>
      </c>
      <c r="D4046" s="6" t="str">
        <f>IF(A4046="","",MATCH(A4046,Calculation!B$2:B9627,1))</f>
        <v/>
      </c>
      <c r="E4046" s="29" t="str">
        <f t="array" ref="E4046">IF(D4046="","",IF(D4046=1,0,INDEX(Calculation!Q$2:Q9627,D4046-1)))</f>
        <v/>
      </c>
      <c r="F4046" s="29" t="str">
        <f t="array" ref="F4046">IF($A4046="","",
  LET(
    r, $D4046,
    startD, INDEX(Calculation!B$2:B9627, r),
    endD,   INDEX(Calculation!C$2:C9627, r),
    asOf,   MIN($A4046,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47">
      <c r="A4047" s="28"/>
      <c r="B4047" s="29"/>
      <c r="C4047" s="29" t="str">
        <f t="shared" si="1"/>
        <v/>
      </c>
      <c r="D4047" s="6" t="str">
        <f>IF(A4047="","",MATCH(A4047,Calculation!B$2:B9627,1))</f>
        <v/>
      </c>
      <c r="E4047" s="29" t="str">
        <f t="array" ref="E4047">IF(D4047="","",IF(D4047=1,0,INDEX(Calculation!Q$2:Q9627,D4047-1)))</f>
        <v/>
      </c>
      <c r="F4047" s="29" t="str">
        <f t="array" ref="F4047">IF($A4047="","",
  LET(
    r, $D4047,
    startD, INDEX(Calculation!B$2:B9627, r),
    endD,   INDEX(Calculation!C$2:C9627, r),
    asOf,   MIN($A4047,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48">
      <c r="A4048" s="28"/>
      <c r="B4048" s="29"/>
      <c r="C4048" s="29" t="str">
        <f t="shared" si="1"/>
        <v/>
      </c>
      <c r="D4048" s="6" t="str">
        <f>IF(A4048="","",MATCH(A4048,Calculation!B$2:B9627,1))</f>
        <v/>
      </c>
      <c r="E4048" s="29" t="str">
        <f t="array" ref="E4048">IF(D4048="","",IF(D4048=1,0,INDEX(Calculation!Q$2:Q9627,D4048-1)))</f>
        <v/>
      </c>
      <c r="F4048" s="29" t="str">
        <f t="array" ref="F4048">IF($A4048="","",
  LET(
    r, $D4048,
    startD, INDEX(Calculation!B$2:B9627, r),
    endD,   INDEX(Calculation!C$2:C9627, r),
    asOf,   MIN($A4048,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49">
      <c r="A4049" s="28"/>
      <c r="B4049" s="29"/>
      <c r="C4049" s="29" t="str">
        <f t="shared" si="1"/>
        <v/>
      </c>
      <c r="D4049" s="6" t="str">
        <f>IF(A4049="","",MATCH(A4049,Calculation!B$2:B9627,1))</f>
        <v/>
      </c>
      <c r="E4049" s="29" t="str">
        <f t="array" ref="E4049">IF(D4049="","",IF(D4049=1,0,INDEX(Calculation!Q$2:Q9627,D4049-1)))</f>
        <v/>
      </c>
      <c r="F4049" s="29" t="str">
        <f t="array" ref="F4049">IF($A4049="","",
  LET(
    r, $D4049,
    startD, INDEX(Calculation!B$2:B9627, r),
    endD,   INDEX(Calculation!C$2:C9627, r),
    asOf,   MIN($A4049,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50">
      <c r="A4050" s="28"/>
      <c r="B4050" s="29"/>
      <c r="C4050" s="29" t="str">
        <f t="shared" si="1"/>
        <v/>
      </c>
      <c r="D4050" s="6" t="str">
        <f>IF(A4050="","",MATCH(A4050,Calculation!B$2:B9627,1))</f>
        <v/>
      </c>
      <c r="E4050" s="29" t="str">
        <f t="array" ref="E4050">IF(D4050="","",IF(D4050=1,0,INDEX(Calculation!Q$2:Q9627,D4050-1)))</f>
        <v/>
      </c>
      <c r="F4050" s="29" t="str">
        <f t="array" ref="F4050">IF($A4050="","",
  LET(
    r, $D4050,
    startD, INDEX(Calculation!B$2:B9627, r),
    endD,   INDEX(Calculation!C$2:C9627, r),
    asOf,   MIN($A4050,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51">
      <c r="A4051" s="28"/>
      <c r="B4051" s="29"/>
      <c r="C4051" s="29" t="str">
        <f t="shared" si="1"/>
        <v/>
      </c>
      <c r="D4051" s="6" t="str">
        <f>IF(A4051="","",MATCH(A4051,Calculation!B$2:B9627,1))</f>
        <v/>
      </c>
      <c r="E4051" s="29" t="str">
        <f t="array" ref="E4051">IF(D4051="","",IF(D4051=1,0,INDEX(Calculation!Q$2:Q9627,D4051-1)))</f>
        <v/>
      </c>
      <c r="F4051" s="29" t="str">
        <f t="array" ref="F4051">IF($A4051="","",
  LET(
    r, $D4051,
    startD, INDEX(Calculation!B$2:B9627, r),
    endD,   INDEX(Calculation!C$2:C9627, r),
    asOf,   MIN($A4051,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52">
      <c r="A4052" s="28"/>
      <c r="B4052" s="29"/>
      <c r="C4052" s="29" t="str">
        <f t="shared" si="1"/>
        <v/>
      </c>
      <c r="D4052" s="6" t="str">
        <f>IF(A4052="","",MATCH(A4052,Calculation!B$2:B9627,1))</f>
        <v/>
      </c>
      <c r="E4052" s="29" t="str">
        <f t="array" ref="E4052">IF(D4052="","",IF(D4052=1,0,INDEX(Calculation!Q$2:Q9627,D4052-1)))</f>
        <v/>
      </c>
      <c r="F4052" s="29" t="str">
        <f t="array" ref="F4052">IF($A4052="","",
  LET(
    r, $D4052,
    startD, INDEX(Calculation!B$2:B9627, r),
    endD,   INDEX(Calculation!C$2:C9627, r),
    asOf,   MIN($A4052,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53">
      <c r="A4053" s="28"/>
      <c r="B4053" s="29"/>
      <c r="C4053" s="29" t="str">
        <f t="shared" si="1"/>
        <v/>
      </c>
      <c r="D4053" s="6" t="str">
        <f>IF(A4053="","",MATCH(A4053,Calculation!B$2:B9627,1))</f>
        <v/>
      </c>
      <c r="E4053" s="29" t="str">
        <f t="array" ref="E4053">IF(D4053="","",IF(D4053=1,0,INDEX(Calculation!Q$2:Q9627,D4053-1)))</f>
        <v/>
      </c>
      <c r="F4053" s="29" t="str">
        <f t="array" ref="F4053">IF($A4053="","",
  LET(
    r, $D4053,
    startD, INDEX(Calculation!B$2:B9627, r),
    endD,   INDEX(Calculation!C$2:C9627, r),
    asOf,   MIN($A4053,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54">
      <c r="A4054" s="28"/>
      <c r="B4054" s="29"/>
      <c r="C4054" s="29" t="str">
        <f t="shared" si="1"/>
        <v/>
      </c>
      <c r="D4054" s="6" t="str">
        <f>IF(A4054="","",MATCH(A4054,Calculation!B$2:B9627,1))</f>
        <v/>
      </c>
      <c r="E4054" s="29" t="str">
        <f t="array" ref="E4054">IF(D4054="","",IF(D4054=1,0,INDEX(Calculation!Q$2:Q9627,D4054-1)))</f>
        <v/>
      </c>
      <c r="F4054" s="29" t="str">
        <f t="array" ref="F4054">IF($A4054="","",
  LET(
    r, $D4054,
    startD, INDEX(Calculation!B$2:B9627, r),
    endD,   INDEX(Calculation!C$2:C9627, r),
    asOf,   MIN($A4054,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55">
      <c r="A4055" s="28"/>
      <c r="B4055" s="29"/>
      <c r="C4055" s="29" t="str">
        <f t="shared" si="1"/>
        <v/>
      </c>
      <c r="D4055" s="6" t="str">
        <f>IF(A4055="","",MATCH(A4055,Calculation!B$2:B9627,1))</f>
        <v/>
      </c>
      <c r="E4055" s="29" t="str">
        <f t="array" ref="E4055">IF(D4055="","",IF(D4055=1,0,INDEX(Calculation!Q$2:Q9627,D4055-1)))</f>
        <v/>
      </c>
      <c r="F4055" s="29" t="str">
        <f t="array" ref="F4055">IF($A4055="","",
  LET(
    r, $D4055,
    startD, INDEX(Calculation!B$2:B9627, r),
    endD,   INDEX(Calculation!C$2:C9627, r),
    asOf,   MIN($A4055,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56">
      <c r="A4056" s="28"/>
      <c r="B4056" s="29"/>
      <c r="C4056" s="29" t="str">
        <f t="shared" si="1"/>
        <v/>
      </c>
      <c r="D4056" s="6" t="str">
        <f>IF(A4056="","",MATCH(A4056,Calculation!B$2:B9627,1))</f>
        <v/>
      </c>
      <c r="E4056" s="29" t="str">
        <f t="array" ref="E4056">IF(D4056="","",IF(D4056=1,0,INDEX(Calculation!Q$2:Q9627,D4056-1)))</f>
        <v/>
      </c>
      <c r="F4056" s="29" t="str">
        <f t="array" ref="F4056">IF($A4056="","",
  LET(
    r, $D4056,
    startD, INDEX(Calculation!B$2:B9627, r),
    endD,   INDEX(Calculation!C$2:C9627, r),
    asOf,   MIN($A4056,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57">
      <c r="A4057" s="28"/>
      <c r="B4057" s="29"/>
      <c r="C4057" s="29" t="str">
        <f t="shared" si="1"/>
        <v/>
      </c>
      <c r="D4057" s="6" t="str">
        <f>IF(A4057="","",MATCH(A4057,Calculation!B$2:B9627,1))</f>
        <v/>
      </c>
      <c r="E4057" s="29" t="str">
        <f t="array" ref="E4057">IF(D4057="","",IF(D4057=1,0,INDEX(Calculation!Q$2:Q9627,D4057-1)))</f>
        <v/>
      </c>
      <c r="F4057" s="29" t="str">
        <f t="array" ref="F4057">IF($A4057="","",
  LET(
    r, $D4057,
    startD, INDEX(Calculation!B$2:B9627, r),
    endD,   INDEX(Calculation!C$2:C9627, r),
    asOf,   MIN($A4057,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58">
      <c r="A4058" s="28"/>
      <c r="B4058" s="29"/>
      <c r="C4058" s="29" t="str">
        <f t="shared" si="1"/>
        <v/>
      </c>
      <c r="D4058" s="6" t="str">
        <f>IF(A4058="","",MATCH(A4058,Calculation!B$2:B9627,1))</f>
        <v/>
      </c>
      <c r="E4058" s="29" t="str">
        <f t="array" ref="E4058">IF(D4058="","",IF(D4058=1,0,INDEX(Calculation!Q$2:Q9627,D4058-1)))</f>
        <v/>
      </c>
      <c r="F4058" s="29" t="str">
        <f t="array" ref="F4058">IF($A4058="","",
  LET(
    r, $D4058,
    startD, INDEX(Calculation!B$2:B9627, r),
    endD,   INDEX(Calculation!C$2:C9627, r),
    asOf,   MIN($A4058,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59">
      <c r="A4059" s="28"/>
      <c r="B4059" s="29"/>
      <c r="C4059" s="29" t="str">
        <f t="shared" si="1"/>
        <v/>
      </c>
      <c r="D4059" s="6" t="str">
        <f>IF(A4059="","",MATCH(A4059,Calculation!B$2:B9627,1))</f>
        <v/>
      </c>
      <c r="E4059" s="29" t="str">
        <f t="array" ref="E4059">IF(D4059="","",IF(D4059=1,0,INDEX(Calculation!Q$2:Q9627,D4059-1)))</f>
        <v/>
      </c>
      <c r="F4059" s="29" t="str">
        <f t="array" ref="F4059">IF($A4059="","",
  LET(
    r, $D4059,
    startD, INDEX(Calculation!B$2:B9627, r),
    endD,   INDEX(Calculation!C$2:C9627, r),
    asOf,   MIN($A4059,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60">
      <c r="A4060" s="28"/>
      <c r="B4060" s="29"/>
      <c r="C4060" s="29" t="str">
        <f t="shared" si="1"/>
        <v/>
      </c>
      <c r="D4060" s="6" t="str">
        <f>IF(A4060="","",MATCH(A4060,Calculation!B$2:B9627,1))</f>
        <v/>
      </c>
      <c r="E4060" s="29" t="str">
        <f t="array" ref="E4060">IF(D4060="","",IF(D4060=1,0,INDEX(Calculation!Q$2:Q9627,D4060-1)))</f>
        <v/>
      </c>
      <c r="F4060" s="29" t="str">
        <f t="array" ref="F4060">IF($A4060="","",
  LET(
    r, $D4060,
    startD, INDEX(Calculation!B$2:B9627, r),
    endD,   INDEX(Calculation!C$2:C9627, r),
    asOf,   MIN($A4060,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61">
      <c r="A4061" s="28"/>
      <c r="B4061" s="29"/>
      <c r="C4061" s="29" t="str">
        <f t="shared" si="1"/>
        <v/>
      </c>
      <c r="D4061" s="6" t="str">
        <f>IF(A4061="","",MATCH(A4061,Calculation!B$2:B9627,1))</f>
        <v/>
      </c>
      <c r="E4061" s="29" t="str">
        <f t="array" ref="E4061">IF(D4061="","",IF(D4061=1,0,INDEX(Calculation!Q$2:Q9627,D4061-1)))</f>
        <v/>
      </c>
      <c r="F4061" s="29" t="str">
        <f t="array" ref="F4061">IF($A4061="","",
  LET(
    r, $D4061,
    startD, INDEX(Calculation!B$2:B9627, r),
    endD,   INDEX(Calculation!C$2:C9627, r),
    asOf,   MIN($A4061,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62">
      <c r="A4062" s="28"/>
      <c r="B4062" s="29"/>
      <c r="C4062" s="29" t="str">
        <f t="shared" si="1"/>
        <v/>
      </c>
      <c r="D4062" s="6" t="str">
        <f>IF(A4062="","",MATCH(A4062,Calculation!B$2:B9627,1))</f>
        <v/>
      </c>
      <c r="E4062" s="29" t="str">
        <f t="array" ref="E4062">IF(D4062="","",IF(D4062=1,0,INDEX(Calculation!Q$2:Q9627,D4062-1)))</f>
        <v/>
      </c>
      <c r="F4062" s="29" t="str">
        <f t="array" ref="F4062">IF($A4062="","",
  LET(
    r, $D4062,
    startD, INDEX(Calculation!B$2:B9627, r),
    endD,   INDEX(Calculation!C$2:C9627, r),
    asOf,   MIN($A4062,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63">
      <c r="A4063" s="28"/>
      <c r="B4063" s="29"/>
      <c r="C4063" s="29" t="str">
        <f t="shared" si="1"/>
        <v/>
      </c>
      <c r="D4063" s="6" t="str">
        <f>IF(A4063="","",MATCH(A4063,Calculation!B$2:B9627,1))</f>
        <v/>
      </c>
      <c r="E4063" s="29" t="str">
        <f t="array" ref="E4063">IF(D4063="","",IF(D4063=1,0,INDEX(Calculation!Q$2:Q9627,D4063-1)))</f>
        <v/>
      </c>
      <c r="F4063" s="29" t="str">
        <f t="array" ref="F4063">IF($A4063="","",
  LET(
    r, $D4063,
    startD, INDEX(Calculation!B$2:B9627, r),
    endD,   INDEX(Calculation!C$2:C9627, r),
    asOf,   MIN($A4063,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64">
      <c r="A4064" s="28"/>
      <c r="B4064" s="29"/>
      <c r="C4064" s="29" t="str">
        <f t="shared" si="1"/>
        <v/>
      </c>
      <c r="D4064" s="6" t="str">
        <f>IF(A4064="","",MATCH(A4064,Calculation!B$2:B9627,1))</f>
        <v/>
      </c>
      <c r="E4064" s="29" t="str">
        <f t="array" ref="E4064">IF(D4064="","",IF(D4064=1,0,INDEX(Calculation!Q$2:Q9627,D4064-1)))</f>
        <v/>
      </c>
      <c r="F4064" s="29" t="str">
        <f t="array" ref="F4064">IF($A4064="","",
  LET(
    r, $D4064,
    startD, INDEX(Calculation!B$2:B9627, r),
    endD,   INDEX(Calculation!C$2:C9627, r),
    asOf,   MIN($A4064,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65">
      <c r="A4065" s="28"/>
      <c r="B4065" s="29"/>
      <c r="C4065" s="29" t="str">
        <f t="shared" si="1"/>
        <v/>
      </c>
      <c r="D4065" s="6" t="str">
        <f>IF(A4065="","",MATCH(A4065,Calculation!B$2:B9627,1))</f>
        <v/>
      </c>
      <c r="E4065" s="29" t="str">
        <f t="array" ref="E4065">IF(D4065="","",IF(D4065=1,0,INDEX(Calculation!Q$2:Q9627,D4065-1)))</f>
        <v/>
      </c>
      <c r="F4065" s="29" t="str">
        <f t="array" ref="F4065">IF($A4065="","",
  LET(
    r, $D4065,
    startD, INDEX(Calculation!B$2:B9627, r),
    endD,   INDEX(Calculation!C$2:C9627, r),
    asOf,   MIN($A4065,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66">
      <c r="A4066" s="28"/>
      <c r="B4066" s="29"/>
      <c r="C4066" s="29" t="str">
        <f t="shared" si="1"/>
        <v/>
      </c>
      <c r="D4066" s="6" t="str">
        <f>IF(A4066="","",MATCH(A4066,Calculation!B$2:B9627,1))</f>
        <v/>
      </c>
      <c r="E4066" s="29" t="str">
        <f t="array" ref="E4066">IF(D4066="","",IF(D4066=1,0,INDEX(Calculation!Q$2:Q9627,D4066-1)))</f>
        <v/>
      </c>
      <c r="F4066" s="29" t="str">
        <f t="array" ref="F4066">IF($A4066="","",
  LET(
    r, $D4066,
    startD, INDEX(Calculation!B$2:B9627, r),
    endD,   INDEX(Calculation!C$2:C9627, r),
    asOf,   MIN($A4066,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67">
      <c r="A4067" s="28"/>
      <c r="B4067" s="29"/>
      <c r="C4067" s="29" t="str">
        <f t="shared" si="1"/>
        <v/>
      </c>
      <c r="D4067" s="6" t="str">
        <f>IF(A4067="","",MATCH(A4067,Calculation!B$2:B9627,1))</f>
        <v/>
      </c>
      <c r="E4067" s="29" t="str">
        <f t="array" ref="E4067">IF(D4067="","",IF(D4067=1,0,INDEX(Calculation!Q$2:Q9627,D4067-1)))</f>
        <v/>
      </c>
      <c r="F4067" s="29" t="str">
        <f t="array" ref="F4067">IF($A4067="","",
  LET(
    r, $D4067,
    startD, INDEX(Calculation!B$2:B9627, r),
    endD,   INDEX(Calculation!C$2:C9627, r),
    asOf,   MIN($A4067,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68">
      <c r="A4068" s="28"/>
      <c r="B4068" s="29"/>
      <c r="C4068" s="29" t="str">
        <f t="shared" si="1"/>
        <v/>
      </c>
      <c r="D4068" s="6" t="str">
        <f>IF(A4068="","",MATCH(A4068,Calculation!B$2:B9627,1))</f>
        <v/>
      </c>
      <c r="E4068" s="29" t="str">
        <f t="array" ref="E4068">IF(D4068="","",IF(D4068=1,0,INDEX(Calculation!Q$2:Q9627,D4068-1)))</f>
        <v/>
      </c>
      <c r="F4068" s="29" t="str">
        <f t="array" ref="F4068">IF($A4068="","",
  LET(
    r, $D4068,
    startD, INDEX(Calculation!B$2:B9627, r),
    endD,   INDEX(Calculation!C$2:C9627, r),
    asOf,   MIN($A4068,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69">
      <c r="A4069" s="28"/>
      <c r="B4069" s="29"/>
      <c r="C4069" s="29" t="str">
        <f t="shared" si="1"/>
        <v/>
      </c>
      <c r="D4069" s="6" t="str">
        <f>IF(A4069="","",MATCH(A4069,Calculation!B$2:B9627,1))</f>
        <v/>
      </c>
      <c r="E4069" s="29" t="str">
        <f t="array" ref="E4069">IF(D4069="","",IF(D4069=1,0,INDEX(Calculation!Q$2:Q9627,D4069-1)))</f>
        <v/>
      </c>
      <c r="F4069" s="29" t="str">
        <f t="array" ref="F4069">IF($A4069="","",
  LET(
    r, $D4069,
    startD, INDEX(Calculation!B$2:B9627, r),
    endD,   INDEX(Calculation!C$2:C9627, r),
    asOf,   MIN($A4069,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70">
      <c r="A4070" s="28"/>
      <c r="B4070" s="29"/>
      <c r="C4070" s="29" t="str">
        <f t="shared" si="1"/>
        <v/>
      </c>
      <c r="D4070" s="6" t="str">
        <f>IF(A4070="","",MATCH(A4070,Calculation!B$2:B9627,1))</f>
        <v/>
      </c>
      <c r="E4070" s="29" t="str">
        <f t="array" ref="E4070">IF(D4070="","",IF(D4070=1,0,INDEX(Calculation!Q$2:Q9627,D4070-1)))</f>
        <v/>
      </c>
      <c r="F4070" s="29" t="str">
        <f t="array" ref="F4070">IF($A4070="","",
  LET(
    r, $D4070,
    startD, INDEX(Calculation!B$2:B9627, r),
    endD,   INDEX(Calculation!C$2:C9627, r),
    asOf,   MIN($A4070,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71">
      <c r="A4071" s="28"/>
      <c r="B4071" s="29"/>
      <c r="C4071" s="29" t="str">
        <f t="shared" si="1"/>
        <v/>
      </c>
      <c r="D4071" s="6" t="str">
        <f>IF(A4071="","",MATCH(A4071,Calculation!B$2:B9627,1))</f>
        <v/>
      </c>
      <c r="E4071" s="29" t="str">
        <f t="array" ref="E4071">IF(D4071="","",IF(D4071=1,0,INDEX(Calculation!Q$2:Q9627,D4071-1)))</f>
        <v/>
      </c>
      <c r="F4071" s="29" t="str">
        <f t="array" ref="F4071">IF($A4071="","",
  LET(
    r, $D4071,
    startD, INDEX(Calculation!B$2:B9627, r),
    endD,   INDEX(Calculation!C$2:C9627, r),
    asOf,   MIN($A4071,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72">
      <c r="A4072" s="28"/>
      <c r="B4072" s="29"/>
      <c r="C4072" s="29" t="str">
        <f t="shared" si="1"/>
        <v/>
      </c>
      <c r="D4072" s="6" t="str">
        <f>IF(A4072="","",MATCH(A4072,Calculation!B$2:B9627,1))</f>
        <v/>
      </c>
      <c r="E4072" s="29" t="str">
        <f t="array" ref="E4072">IF(D4072="","",IF(D4072=1,0,INDEX(Calculation!Q$2:Q9627,D4072-1)))</f>
        <v/>
      </c>
      <c r="F4072" s="29" t="str">
        <f t="array" ref="F4072">IF($A4072="","",
  LET(
    r, $D4072,
    startD, INDEX(Calculation!B$2:B9627, r),
    endD,   INDEX(Calculation!C$2:C9627, r),
    asOf,   MIN($A4072,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73">
      <c r="A4073" s="28"/>
      <c r="B4073" s="29"/>
      <c r="C4073" s="29" t="str">
        <f t="shared" si="1"/>
        <v/>
      </c>
      <c r="D4073" s="6" t="str">
        <f>IF(A4073="","",MATCH(A4073,Calculation!B$2:B9627,1))</f>
        <v/>
      </c>
      <c r="E4073" s="29" t="str">
        <f t="array" ref="E4073">IF(D4073="","",IF(D4073=1,0,INDEX(Calculation!Q$2:Q9627,D4073-1)))</f>
        <v/>
      </c>
      <c r="F4073" s="29" t="str">
        <f t="array" ref="F4073">IF($A4073="","",
  LET(
    r, $D4073,
    startD, INDEX(Calculation!B$2:B9627, r),
    endD,   INDEX(Calculation!C$2:C9627, r),
    asOf,   MIN($A4073,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74">
      <c r="A4074" s="28"/>
      <c r="B4074" s="29"/>
      <c r="C4074" s="29" t="str">
        <f t="shared" si="1"/>
        <v/>
      </c>
      <c r="D4074" s="6" t="str">
        <f>IF(A4074="","",MATCH(A4074,Calculation!B$2:B9627,1))</f>
        <v/>
      </c>
      <c r="E4074" s="29" t="str">
        <f t="array" ref="E4074">IF(D4074="","",IF(D4074=1,0,INDEX(Calculation!Q$2:Q9627,D4074-1)))</f>
        <v/>
      </c>
      <c r="F4074" s="29" t="str">
        <f t="array" ref="F4074">IF($A4074="","",
  LET(
    r, $D4074,
    startD, INDEX(Calculation!B$2:B9627, r),
    endD,   INDEX(Calculation!C$2:C9627, r),
    asOf,   MIN($A4074,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75">
      <c r="A4075" s="28"/>
      <c r="B4075" s="29"/>
      <c r="C4075" s="29" t="str">
        <f t="shared" si="1"/>
        <v/>
      </c>
      <c r="D4075" s="6" t="str">
        <f>IF(A4075="","",MATCH(A4075,Calculation!B$2:B9627,1))</f>
        <v/>
      </c>
      <c r="E4075" s="29" t="str">
        <f t="array" ref="E4075">IF(D4075="","",IF(D4075=1,0,INDEX(Calculation!Q$2:Q9627,D4075-1)))</f>
        <v/>
      </c>
      <c r="F4075" s="29" t="str">
        <f t="array" ref="F4075">IF($A4075="","",
  LET(
    r, $D4075,
    startD, INDEX(Calculation!B$2:B9627, r),
    endD,   INDEX(Calculation!C$2:C9627, r),
    asOf,   MIN($A4075,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76">
      <c r="A4076" s="28"/>
      <c r="B4076" s="29"/>
      <c r="C4076" s="29" t="str">
        <f t="shared" si="1"/>
        <v/>
      </c>
      <c r="D4076" s="6" t="str">
        <f>IF(A4076="","",MATCH(A4076,Calculation!B$2:B9627,1))</f>
        <v/>
      </c>
      <c r="E4076" s="29" t="str">
        <f t="array" ref="E4076">IF(D4076="","",IF(D4076=1,0,INDEX(Calculation!Q$2:Q9627,D4076-1)))</f>
        <v/>
      </c>
      <c r="F4076" s="29" t="str">
        <f t="array" ref="F4076">IF($A4076="","",
  LET(
    r, $D4076,
    startD, INDEX(Calculation!B$2:B9627, r),
    endD,   INDEX(Calculation!C$2:C9627, r),
    asOf,   MIN($A4076,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77">
      <c r="A4077" s="28"/>
      <c r="B4077" s="29"/>
      <c r="C4077" s="29" t="str">
        <f t="shared" si="1"/>
        <v/>
      </c>
      <c r="D4077" s="6" t="str">
        <f>IF(A4077="","",MATCH(A4077,Calculation!B$2:B9627,1))</f>
        <v/>
      </c>
      <c r="E4077" s="29" t="str">
        <f t="array" ref="E4077">IF(D4077="","",IF(D4077=1,0,INDEX(Calculation!Q$2:Q9627,D4077-1)))</f>
        <v/>
      </c>
      <c r="F4077" s="29" t="str">
        <f t="array" ref="F4077">IF($A4077="","",
  LET(
    r, $D4077,
    startD, INDEX(Calculation!B$2:B9627, r),
    endD,   INDEX(Calculation!C$2:C9627, r),
    asOf,   MIN($A4077,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78">
      <c r="A4078" s="28"/>
      <c r="B4078" s="29"/>
      <c r="C4078" s="29" t="str">
        <f t="shared" si="1"/>
        <v/>
      </c>
      <c r="D4078" s="6" t="str">
        <f>IF(A4078="","",MATCH(A4078,Calculation!B$2:B9627,1))</f>
        <v/>
      </c>
      <c r="E4078" s="29" t="str">
        <f t="array" ref="E4078">IF(D4078="","",IF(D4078=1,0,INDEX(Calculation!Q$2:Q9627,D4078-1)))</f>
        <v/>
      </c>
      <c r="F4078" s="29" t="str">
        <f t="array" ref="F4078">IF($A4078="","",
  LET(
    r, $D4078,
    startD, INDEX(Calculation!B$2:B9627, r),
    endD,   INDEX(Calculation!C$2:C9627, r),
    asOf,   MIN($A4078,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79">
      <c r="A4079" s="28"/>
      <c r="B4079" s="29"/>
      <c r="C4079" s="29" t="str">
        <f t="shared" si="1"/>
        <v/>
      </c>
      <c r="D4079" s="6" t="str">
        <f>IF(A4079="","",MATCH(A4079,Calculation!B$2:B9627,1))</f>
        <v/>
      </c>
      <c r="E4079" s="29" t="str">
        <f t="array" ref="E4079">IF(D4079="","",IF(D4079=1,0,INDEX(Calculation!Q$2:Q9627,D4079-1)))</f>
        <v/>
      </c>
      <c r="F4079" s="29" t="str">
        <f t="array" ref="F4079">IF($A4079="","",
  LET(
    r, $D4079,
    startD, INDEX(Calculation!B$2:B9627, r),
    endD,   INDEX(Calculation!C$2:C9627, r),
    asOf,   MIN($A4079,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80">
      <c r="A4080" s="28"/>
      <c r="B4080" s="29"/>
      <c r="C4080" s="29" t="str">
        <f t="shared" si="1"/>
        <v/>
      </c>
      <c r="D4080" s="6" t="str">
        <f>IF(A4080="","",MATCH(A4080,Calculation!B$2:B9627,1))</f>
        <v/>
      </c>
      <c r="E4080" s="29" t="str">
        <f t="array" ref="E4080">IF(D4080="","",IF(D4080=1,0,INDEX(Calculation!Q$2:Q9627,D4080-1)))</f>
        <v/>
      </c>
      <c r="F4080" s="29" t="str">
        <f t="array" ref="F4080">IF($A4080="","",
  LET(
    r, $D4080,
    startD, INDEX(Calculation!B$2:B9627, r),
    endD,   INDEX(Calculation!C$2:C9627, r),
    asOf,   MIN($A4080,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81">
      <c r="A4081" s="28"/>
      <c r="B4081" s="29"/>
      <c r="C4081" s="29" t="str">
        <f t="shared" si="1"/>
        <v/>
      </c>
      <c r="D4081" s="6" t="str">
        <f>IF(A4081="","",MATCH(A4081,Calculation!B$2:B9627,1))</f>
        <v/>
      </c>
      <c r="E4081" s="29" t="str">
        <f t="array" ref="E4081">IF(D4081="","",IF(D4081=1,0,INDEX(Calculation!Q$2:Q9627,D4081-1)))</f>
        <v/>
      </c>
      <c r="F4081" s="29" t="str">
        <f t="array" ref="F4081">IF($A4081="","",
  LET(
    r, $D4081,
    startD, INDEX(Calculation!B$2:B9627, r),
    endD,   INDEX(Calculation!C$2:C9627, r),
    asOf,   MIN($A4081,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82">
      <c r="A4082" s="28"/>
      <c r="B4082" s="29"/>
      <c r="C4082" s="29" t="str">
        <f t="shared" si="1"/>
        <v/>
      </c>
      <c r="D4082" s="6" t="str">
        <f>IF(A4082="","",MATCH(A4082,Calculation!B$2:B9627,1))</f>
        <v/>
      </c>
      <c r="E4082" s="29" t="str">
        <f t="array" ref="E4082">IF(D4082="","",IF(D4082=1,0,INDEX(Calculation!Q$2:Q9627,D4082-1)))</f>
        <v/>
      </c>
      <c r="F4082" s="29" t="str">
        <f t="array" ref="F4082">IF($A4082="","",
  LET(
    r, $D4082,
    startD, INDEX(Calculation!B$2:B9627, r),
    endD,   INDEX(Calculation!C$2:C9627, r),
    asOf,   MIN($A4082,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83">
      <c r="A4083" s="28"/>
      <c r="B4083" s="29"/>
      <c r="C4083" s="29" t="str">
        <f t="shared" si="1"/>
        <v/>
      </c>
      <c r="D4083" s="6" t="str">
        <f>IF(A4083="","",MATCH(A4083,Calculation!B$2:B9627,1))</f>
        <v/>
      </c>
      <c r="E4083" s="29" t="str">
        <f t="array" ref="E4083">IF(D4083="","",IF(D4083=1,0,INDEX(Calculation!Q$2:Q9627,D4083-1)))</f>
        <v/>
      </c>
      <c r="F4083" s="29" t="str">
        <f t="array" ref="F4083">IF($A4083="","",
  LET(
    r, $D4083,
    startD, INDEX(Calculation!B$2:B9627, r),
    endD,   INDEX(Calculation!C$2:C9627, r),
    asOf,   MIN($A4083,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84">
      <c r="A4084" s="28"/>
      <c r="B4084" s="29"/>
      <c r="C4084" s="29" t="str">
        <f t="shared" si="1"/>
        <v/>
      </c>
      <c r="D4084" s="6" t="str">
        <f>IF(A4084="","",MATCH(A4084,Calculation!B$2:B9627,1))</f>
        <v/>
      </c>
      <c r="E4084" s="29" t="str">
        <f t="array" ref="E4084">IF(D4084="","",IF(D4084=1,0,INDEX(Calculation!Q$2:Q9627,D4084-1)))</f>
        <v/>
      </c>
      <c r="F4084" s="29" t="str">
        <f t="array" ref="F4084">IF($A4084="","",
  LET(
    r, $D4084,
    startD, INDEX(Calculation!B$2:B9627, r),
    endD,   INDEX(Calculation!C$2:C9627, r),
    asOf,   MIN($A4084,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85">
      <c r="A4085" s="28"/>
      <c r="B4085" s="29"/>
      <c r="C4085" s="29" t="str">
        <f t="shared" si="1"/>
        <v/>
      </c>
      <c r="D4085" s="6" t="str">
        <f>IF(A4085="","",MATCH(A4085,Calculation!B$2:B9627,1))</f>
        <v/>
      </c>
      <c r="E4085" s="29" t="str">
        <f t="array" ref="E4085">IF(D4085="","",IF(D4085=1,0,INDEX(Calculation!Q$2:Q9627,D4085-1)))</f>
        <v/>
      </c>
      <c r="F4085" s="29" t="str">
        <f t="array" ref="F4085">IF($A4085="","",
  LET(
    r, $D4085,
    startD, INDEX(Calculation!B$2:B9627, r),
    endD,   INDEX(Calculation!C$2:C9627, r),
    asOf,   MIN($A4085,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86">
      <c r="A4086" s="28"/>
      <c r="B4086" s="29"/>
      <c r="C4086" s="29" t="str">
        <f t="shared" si="1"/>
        <v/>
      </c>
      <c r="D4086" s="6" t="str">
        <f>IF(A4086="","",MATCH(A4086,Calculation!B$2:B9627,1))</f>
        <v/>
      </c>
      <c r="E4086" s="29" t="str">
        <f t="array" ref="E4086">IF(D4086="","",IF(D4086=1,0,INDEX(Calculation!Q$2:Q9627,D4086-1)))</f>
        <v/>
      </c>
      <c r="F4086" s="29" t="str">
        <f t="array" ref="F4086">IF($A4086="","",
  LET(
    r, $D4086,
    startD, INDEX(Calculation!B$2:B9627, r),
    endD,   INDEX(Calculation!C$2:C9627, r),
    asOf,   MIN($A4086,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87">
      <c r="A4087" s="28"/>
      <c r="B4087" s="29"/>
      <c r="C4087" s="29" t="str">
        <f t="shared" si="1"/>
        <v/>
      </c>
      <c r="D4087" s="6" t="str">
        <f>IF(A4087="","",MATCH(A4087,Calculation!B$2:B9627,1))</f>
        <v/>
      </c>
      <c r="E4087" s="29" t="str">
        <f t="array" ref="E4087">IF(D4087="","",IF(D4087=1,0,INDEX(Calculation!Q$2:Q9627,D4087-1)))</f>
        <v/>
      </c>
      <c r="F4087" s="29" t="str">
        <f t="array" ref="F4087">IF($A4087="","",
  LET(
    r, $D4087,
    startD, INDEX(Calculation!B$2:B9627, r),
    endD,   INDEX(Calculation!C$2:C9627, r),
    asOf,   MIN($A4087,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88">
      <c r="A4088" s="28"/>
      <c r="B4088" s="29"/>
      <c r="C4088" s="29" t="str">
        <f t="shared" si="1"/>
        <v/>
      </c>
      <c r="D4088" s="6" t="str">
        <f>IF(A4088="","",MATCH(A4088,Calculation!B$2:B9627,1))</f>
        <v/>
      </c>
      <c r="E4088" s="29" t="str">
        <f t="array" ref="E4088">IF(D4088="","",IF(D4088=1,0,INDEX(Calculation!Q$2:Q9627,D4088-1)))</f>
        <v/>
      </c>
      <c r="F4088" s="29" t="str">
        <f t="array" ref="F4088">IF($A4088="","",
  LET(
    r, $D4088,
    startD, INDEX(Calculation!B$2:B9627, r),
    endD,   INDEX(Calculation!C$2:C9627, r),
    asOf,   MIN($A4088,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89">
      <c r="A4089" s="28"/>
      <c r="B4089" s="29"/>
      <c r="C4089" s="29" t="str">
        <f t="shared" si="1"/>
        <v/>
      </c>
      <c r="D4089" s="6" t="str">
        <f>IF(A4089="","",MATCH(A4089,Calculation!B$2:B9627,1))</f>
        <v/>
      </c>
      <c r="E4089" s="29" t="str">
        <f t="array" ref="E4089">IF(D4089="","",IF(D4089=1,0,INDEX(Calculation!Q$2:Q9627,D4089-1)))</f>
        <v/>
      </c>
      <c r="F4089" s="29" t="str">
        <f t="array" ref="F4089">IF($A4089="","",
  LET(
    r, $D4089,
    startD, INDEX(Calculation!B$2:B9627, r),
    endD,   INDEX(Calculation!C$2:C9627, r),
    asOf,   MIN($A4089,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90">
      <c r="A4090" s="28"/>
      <c r="B4090" s="29"/>
      <c r="C4090" s="29" t="str">
        <f t="shared" si="1"/>
        <v/>
      </c>
      <c r="D4090" s="6" t="str">
        <f>IF(A4090="","",MATCH(A4090,Calculation!B$2:B9627,1))</f>
        <v/>
      </c>
      <c r="E4090" s="29" t="str">
        <f t="array" ref="E4090">IF(D4090="","",IF(D4090=1,0,INDEX(Calculation!Q$2:Q9627,D4090-1)))</f>
        <v/>
      </c>
      <c r="F4090" s="29" t="str">
        <f t="array" ref="F4090">IF($A4090="","",
  LET(
    r, $D4090,
    startD, INDEX(Calculation!B$2:B9627, r),
    endD,   INDEX(Calculation!C$2:C9627, r),
    asOf,   MIN($A4090,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91">
      <c r="A4091" s="28"/>
      <c r="B4091" s="29"/>
      <c r="C4091" s="29" t="str">
        <f t="shared" si="1"/>
        <v/>
      </c>
      <c r="D4091" s="6" t="str">
        <f>IF(A4091="","",MATCH(A4091,Calculation!B$2:B9627,1))</f>
        <v/>
      </c>
      <c r="E4091" s="29" t="str">
        <f t="array" ref="E4091">IF(D4091="","",IF(D4091=1,0,INDEX(Calculation!Q$2:Q9627,D4091-1)))</f>
        <v/>
      </c>
      <c r="F4091" s="29" t="str">
        <f t="array" ref="F4091">IF($A4091="","",
  LET(
    r, $D4091,
    startD, INDEX(Calculation!B$2:B9627, r),
    endD,   INDEX(Calculation!C$2:C9627, r),
    asOf,   MIN($A4091,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92">
      <c r="A4092" s="28"/>
      <c r="B4092" s="29"/>
      <c r="C4092" s="29" t="str">
        <f t="shared" si="1"/>
        <v/>
      </c>
      <c r="D4092" s="6" t="str">
        <f>IF(A4092="","",MATCH(A4092,Calculation!B$2:B9627,1))</f>
        <v/>
      </c>
      <c r="E4092" s="29" t="str">
        <f t="array" ref="E4092">IF(D4092="","",IF(D4092=1,0,INDEX(Calculation!Q$2:Q9627,D4092-1)))</f>
        <v/>
      </c>
      <c r="F4092" s="29" t="str">
        <f t="array" ref="F4092">IF($A4092="","",
  LET(
    r, $D4092,
    startD, INDEX(Calculation!B$2:B9627, r),
    endD,   INDEX(Calculation!C$2:C9627, r),
    asOf,   MIN($A4092,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93">
      <c r="A4093" s="28"/>
      <c r="B4093" s="29"/>
      <c r="C4093" s="29" t="str">
        <f t="shared" si="1"/>
        <v/>
      </c>
      <c r="D4093" s="6" t="str">
        <f>IF(A4093="","",MATCH(A4093,Calculation!B$2:B9627,1))</f>
        <v/>
      </c>
      <c r="E4093" s="29" t="str">
        <f t="array" ref="E4093">IF(D4093="","",IF(D4093=1,0,INDEX(Calculation!Q$2:Q9627,D4093-1)))</f>
        <v/>
      </c>
      <c r="F4093" s="29" t="str">
        <f t="array" ref="F4093">IF($A4093="","",
  LET(
    r, $D4093,
    startD, INDEX(Calculation!B$2:B9627, r),
    endD,   INDEX(Calculation!C$2:C9627, r),
    asOf,   MIN($A4093,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94">
      <c r="A4094" s="28"/>
      <c r="B4094" s="29"/>
      <c r="C4094" s="29" t="str">
        <f t="shared" si="1"/>
        <v/>
      </c>
      <c r="D4094" s="6" t="str">
        <f>IF(A4094="","",MATCH(A4094,Calculation!B$2:B9627,1))</f>
        <v/>
      </c>
      <c r="E4094" s="29" t="str">
        <f t="array" ref="E4094">IF(D4094="","",IF(D4094=1,0,INDEX(Calculation!Q$2:Q9627,D4094-1)))</f>
        <v/>
      </c>
      <c r="F4094" s="29" t="str">
        <f t="array" ref="F4094">IF($A4094="","",
  LET(
    r, $D4094,
    startD, INDEX(Calculation!B$2:B9627, r),
    endD,   INDEX(Calculation!C$2:C9627, r),
    asOf,   MIN($A4094,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95">
      <c r="A4095" s="28"/>
      <c r="B4095" s="29"/>
      <c r="C4095" s="29" t="str">
        <f t="shared" si="1"/>
        <v/>
      </c>
      <c r="D4095" s="6" t="str">
        <f>IF(A4095="","",MATCH(A4095,Calculation!B$2:B9627,1))</f>
        <v/>
      </c>
      <c r="E4095" s="29" t="str">
        <f t="array" ref="E4095">IF(D4095="","",IF(D4095=1,0,INDEX(Calculation!Q$2:Q9627,D4095-1)))</f>
        <v/>
      </c>
      <c r="F4095" s="29" t="str">
        <f t="array" ref="F4095">IF($A4095="","",
  LET(
    r, $D4095,
    startD, INDEX(Calculation!B$2:B9627, r),
    endD,   INDEX(Calculation!C$2:C9627, r),
    asOf,   MIN($A4095,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96">
      <c r="A4096" s="28"/>
      <c r="B4096" s="29"/>
      <c r="C4096" s="29" t="str">
        <f t="shared" si="1"/>
        <v/>
      </c>
      <c r="D4096" s="6" t="str">
        <f>IF(A4096="","",MATCH(A4096,Calculation!B$2:B9627,1))</f>
        <v/>
      </c>
      <c r="E4096" s="29" t="str">
        <f t="array" ref="E4096">IF(D4096="","",IF(D4096=1,0,INDEX(Calculation!Q$2:Q9627,D4096-1)))</f>
        <v/>
      </c>
      <c r="F4096" s="29" t="str">
        <f t="array" ref="F4096">IF($A4096="","",
  LET(
    r, $D4096,
    startD, INDEX(Calculation!B$2:B9627, r),
    endD,   INDEX(Calculation!C$2:C9627, r),
    asOf,   MIN($A4096,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97">
      <c r="A4097" s="28"/>
      <c r="B4097" s="29"/>
      <c r="C4097" s="29" t="str">
        <f t="shared" si="1"/>
        <v/>
      </c>
      <c r="D4097" s="6" t="str">
        <f>IF(A4097="","",MATCH(A4097,Calculation!B$2:B9627,1))</f>
        <v/>
      </c>
      <c r="E4097" s="29" t="str">
        <f t="array" ref="E4097">IF(D4097="","",IF(D4097=1,0,INDEX(Calculation!Q$2:Q9627,D4097-1)))</f>
        <v/>
      </c>
      <c r="F4097" s="29" t="str">
        <f t="array" ref="F4097">IF($A4097="","",
  LET(
    r, $D4097,
    startD, INDEX(Calculation!B$2:B9627, r),
    endD,   INDEX(Calculation!C$2:C9627, r),
    asOf,   MIN($A4097,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98">
      <c r="A4098" s="28"/>
      <c r="B4098" s="29"/>
      <c r="C4098" s="29" t="str">
        <f t="shared" si="1"/>
        <v/>
      </c>
      <c r="D4098" s="6" t="str">
        <f>IF(A4098="","",MATCH(A4098,Calculation!B$2:B9627,1))</f>
        <v/>
      </c>
      <c r="E4098" s="29" t="str">
        <f t="array" ref="E4098">IF(D4098="","",IF(D4098=1,0,INDEX(Calculation!Q$2:Q9627,D4098-1)))</f>
        <v/>
      </c>
      <c r="F4098" s="29" t="str">
        <f t="array" ref="F4098">IF($A4098="","",
  LET(
    r, $D4098,
    startD, INDEX(Calculation!B$2:B9627, r),
    endD,   INDEX(Calculation!C$2:C9627, r),
    asOf,   MIN($A4098,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099">
      <c r="A4099" s="28"/>
      <c r="B4099" s="29"/>
      <c r="C4099" s="29" t="str">
        <f t="shared" si="1"/>
        <v/>
      </c>
      <c r="D4099" s="6" t="str">
        <f>IF(A4099="","",MATCH(A4099,Calculation!B$2:B9627,1))</f>
        <v/>
      </c>
      <c r="E4099" s="29" t="str">
        <f t="array" ref="E4099">IF(D4099="","",IF(D4099=1,0,INDEX(Calculation!Q$2:Q9627,D4099-1)))</f>
        <v/>
      </c>
      <c r="F4099" s="29" t="str">
        <f t="array" ref="F4099">IF($A4099="","",
  LET(
    r, $D4099,
    startD, INDEX(Calculation!B$2:B9627, r),
    endD,   INDEX(Calculation!C$2:C9627, r),
    asOf,   MIN($A4099,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00">
      <c r="A4100" s="28"/>
      <c r="B4100" s="29"/>
      <c r="C4100" s="29" t="str">
        <f t="shared" si="1"/>
        <v/>
      </c>
      <c r="D4100" s="6" t="str">
        <f>IF(A4100="","",MATCH(A4100,Calculation!B$2:B9627,1))</f>
        <v/>
      </c>
      <c r="E4100" s="29" t="str">
        <f t="array" ref="E4100">IF(D4100="","",IF(D4100=1,0,INDEX(Calculation!Q$2:Q9627,D4100-1)))</f>
        <v/>
      </c>
      <c r="F4100" s="29" t="str">
        <f t="array" ref="F4100">IF($A4100="","",
  LET(
    r, $D4100,
    startD, INDEX(Calculation!B$2:B9627, r),
    endD,   INDEX(Calculation!C$2:C9627, r),
    asOf,   MIN($A4100,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01">
      <c r="A4101" s="28"/>
      <c r="B4101" s="29"/>
      <c r="C4101" s="29" t="str">
        <f t="shared" si="1"/>
        <v/>
      </c>
      <c r="D4101" s="6" t="str">
        <f>IF(A4101="","",MATCH(A4101,Calculation!B$2:B9627,1))</f>
        <v/>
      </c>
      <c r="E4101" s="29" t="str">
        <f t="array" ref="E4101">IF(D4101="","",IF(D4101=1,0,INDEX(Calculation!Q$2:Q9627,D4101-1)))</f>
        <v/>
      </c>
      <c r="F4101" s="29" t="str">
        <f t="array" ref="F4101">IF($A4101="","",
  LET(
    r, $D4101,
    startD, INDEX(Calculation!B$2:B9627, r),
    endD,   INDEX(Calculation!C$2:C9627, r),
    asOf,   MIN($A4101,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02">
      <c r="A4102" s="28"/>
      <c r="B4102" s="29"/>
      <c r="C4102" s="29" t="str">
        <f t="shared" si="1"/>
        <v/>
      </c>
      <c r="D4102" s="6" t="str">
        <f>IF(A4102="","",MATCH(A4102,Calculation!B$2:B9627,1))</f>
        <v/>
      </c>
      <c r="E4102" s="29" t="str">
        <f t="array" ref="E4102">IF(D4102="","",IF(D4102=1,0,INDEX(Calculation!Q$2:Q9627,D4102-1)))</f>
        <v/>
      </c>
      <c r="F4102" s="29" t="str">
        <f t="array" ref="F4102">IF($A4102="","",
  LET(
    r, $D4102,
    startD, INDEX(Calculation!B$2:B9627, r),
    endD,   INDEX(Calculation!C$2:C9627, r),
    asOf,   MIN($A4102,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03">
      <c r="A4103" s="28"/>
      <c r="B4103" s="29"/>
      <c r="C4103" s="29" t="str">
        <f t="shared" si="1"/>
        <v/>
      </c>
      <c r="D4103" s="6" t="str">
        <f>IF(A4103="","",MATCH(A4103,Calculation!B$2:B9627,1))</f>
        <v/>
      </c>
      <c r="E4103" s="29" t="str">
        <f t="array" ref="E4103">IF(D4103="","",IF(D4103=1,0,INDEX(Calculation!Q$2:Q9627,D4103-1)))</f>
        <v/>
      </c>
      <c r="F4103" s="29" t="str">
        <f t="array" ref="F4103">IF($A4103="","",
  LET(
    r, $D4103,
    startD, INDEX(Calculation!B$2:B9627, r),
    endD,   INDEX(Calculation!C$2:C9627, r),
    asOf,   MIN($A4103,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04">
      <c r="A4104" s="28"/>
      <c r="B4104" s="29"/>
      <c r="C4104" s="29" t="str">
        <f t="shared" si="1"/>
        <v/>
      </c>
      <c r="D4104" s="6" t="str">
        <f>IF(A4104="","",MATCH(A4104,Calculation!B$2:B9627,1))</f>
        <v/>
      </c>
      <c r="E4104" s="29" t="str">
        <f t="array" ref="E4104">IF(D4104="","",IF(D4104=1,0,INDEX(Calculation!Q$2:Q9627,D4104-1)))</f>
        <v/>
      </c>
      <c r="F4104" s="29" t="str">
        <f t="array" ref="F4104">IF($A4104="","",
  LET(
    r, $D4104,
    startD, INDEX(Calculation!B$2:B9627, r),
    endD,   INDEX(Calculation!C$2:C9627, r),
    asOf,   MIN($A4104,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05">
      <c r="A4105" s="28"/>
      <c r="B4105" s="29"/>
      <c r="C4105" s="29" t="str">
        <f t="shared" si="1"/>
        <v/>
      </c>
      <c r="D4105" s="6" t="str">
        <f>IF(A4105="","",MATCH(A4105,Calculation!B$2:B9627,1))</f>
        <v/>
      </c>
      <c r="E4105" s="29" t="str">
        <f t="array" ref="E4105">IF(D4105="","",IF(D4105=1,0,INDEX(Calculation!Q$2:Q9627,D4105-1)))</f>
        <v/>
      </c>
      <c r="F4105" s="29" t="str">
        <f t="array" ref="F4105">IF($A4105="","",
  LET(
    r, $D4105,
    startD, INDEX(Calculation!B$2:B9627, r),
    endD,   INDEX(Calculation!C$2:C9627, r),
    asOf,   MIN($A4105,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06">
      <c r="A4106" s="28"/>
      <c r="B4106" s="29"/>
      <c r="C4106" s="29" t="str">
        <f t="shared" si="1"/>
        <v/>
      </c>
      <c r="D4106" s="6" t="str">
        <f>IF(A4106="","",MATCH(A4106,Calculation!B$2:B9627,1))</f>
        <v/>
      </c>
      <c r="E4106" s="29" t="str">
        <f t="array" ref="E4106">IF(D4106="","",IF(D4106=1,0,INDEX(Calculation!Q$2:Q9627,D4106-1)))</f>
        <v/>
      </c>
      <c r="F4106" s="29" t="str">
        <f t="array" ref="F4106">IF($A4106="","",
  LET(
    r, $D4106,
    startD, INDEX(Calculation!B$2:B9627, r),
    endD,   INDEX(Calculation!C$2:C9627, r),
    asOf,   MIN($A4106,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07">
      <c r="A4107" s="28"/>
      <c r="B4107" s="29"/>
      <c r="C4107" s="29" t="str">
        <f t="shared" si="1"/>
        <v/>
      </c>
      <c r="D4107" s="6" t="str">
        <f>IF(A4107="","",MATCH(A4107,Calculation!B$2:B9627,1))</f>
        <v/>
      </c>
      <c r="E4107" s="29" t="str">
        <f t="array" ref="E4107">IF(D4107="","",IF(D4107=1,0,INDEX(Calculation!Q$2:Q9627,D4107-1)))</f>
        <v/>
      </c>
      <c r="F4107" s="29" t="str">
        <f t="array" ref="F4107">IF($A4107="","",
  LET(
    r, $D4107,
    startD, INDEX(Calculation!B$2:B9627, r),
    endD,   INDEX(Calculation!C$2:C9627, r),
    asOf,   MIN($A4107,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08">
      <c r="A4108" s="28"/>
      <c r="B4108" s="29"/>
      <c r="C4108" s="29" t="str">
        <f t="shared" si="1"/>
        <v/>
      </c>
      <c r="D4108" s="6" t="str">
        <f>IF(A4108="","",MATCH(A4108,Calculation!B$2:B9627,1))</f>
        <v/>
      </c>
      <c r="E4108" s="29" t="str">
        <f t="array" ref="E4108">IF(D4108="","",IF(D4108=1,0,INDEX(Calculation!Q$2:Q9627,D4108-1)))</f>
        <v/>
      </c>
      <c r="F4108" s="29" t="str">
        <f t="array" ref="F4108">IF($A4108="","",
  LET(
    r, $D4108,
    startD, INDEX(Calculation!B$2:B9627, r),
    endD,   INDEX(Calculation!C$2:C9627, r),
    asOf,   MIN($A4108,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09">
      <c r="A4109" s="28"/>
      <c r="B4109" s="29"/>
      <c r="C4109" s="29" t="str">
        <f t="shared" si="1"/>
        <v/>
      </c>
      <c r="D4109" s="6" t="str">
        <f>IF(A4109="","",MATCH(A4109,Calculation!B$2:B9627,1))</f>
        <v/>
      </c>
      <c r="E4109" s="29" t="str">
        <f t="array" ref="E4109">IF(D4109="","",IF(D4109=1,0,INDEX(Calculation!Q$2:Q9627,D4109-1)))</f>
        <v/>
      </c>
      <c r="F4109" s="29" t="str">
        <f t="array" ref="F4109">IF($A4109="","",
  LET(
    r, $D4109,
    startD, INDEX(Calculation!B$2:B9627, r),
    endD,   INDEX(Calculation!C$2:C9627, r),
    asOf,   MIN($A4109,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10">
      <c r="A4110" s="28"/>
      <c r="B4110" s="29"/>
      <c r="C4110" s="29" t="str">
        <f t="shared" si="1"/>
        <v/>
      </c>
      <c r="D4110" s="6" t="str">
        <f>IF(A4110="","",MATCH(A4110,Calculation!B$2:B9627,1))</f>
        <v/>
      </c>
      <c r="E4110" s="29" t="str">
        <f t="array" ref="E4110">IF(D4110="","",IF(D4110=1,0,INDEX(Calculation!Q$2:Q9627,D4110-1)))</f>
        <v/>
      </c>
      <c r="F4110" s="29" t="str">
        <f t="array" ref="F4110">IF($A4110="","",
  LET(
    r, $D4110,
    startD, INDEX(Calculation!B$2:B9627, r),
    endD,   INDEX(Calculation!C$2:C9627, r),
    asOf,   MIN($A4110,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11">
      <c r="A4111" s="28"/>
      <c r="B4111" s="29"/>
      <c r="C4111" s="29" t="str">
        <f t="shared" si="1"/>
        <v/>
      </c>
      <c r="D4111" s="6" t="str">
        <f>IF(A4111="","",MATCH(A4111,Calculation!B$2:B9627,1))</f>
        <v/>
      </c>
      <c r="E4111" s="29" t="str">
        <f t="array" ref="E4111">IF(D4111="","",IF(D4111=1,0,INDEX(Calculation!Q$2:Q9627,D4111-1)))</f>
        <v/>
      </c>
      <c r="F4111" s="29" t="str">
        <f t="array" ref="F4111">IF($A4111="","",
  LET(
    r, $D4111,
    startD, INDEX(Calculation!B$2:B9627, r),
    endD,   INDEX(Calculation!C$2:C9627, r),
    asOf,   MIN($A4111,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12">
      <c r="A4112" s="28"/>
      <c r="B4112" s="29"/>
      <c r="C4112" s="29" t="str">
        <f t="shared" si="1"/>
        <v/>
      </c>
      <c r="D4112" s="6" t="str">
        <f>IF(A4112="","",MATCH(A4112,Calculation!B$2:B9627,1))</f>
        <v/>
      </c>
      <c r="E4112" s="29" t="str">
        <f t="array" ref="E4112">IF(D4112="","",IF(D4112=1,0,INDEX(Calculation!Q$2:Q9627,D4112-1)))</f>
        <v/>
      </c>
      <c r="F4112" s="29" t="str">
        <f t="array" ref="F4112">IF($A4112="","",
  LET(
    r, $D4112,
    startD, INDEX(Calculation!B$2:B9627, r),
    endD,   INDEX(Calculation!C$2:C9627, r),
    asOf,   MIN($A4112,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13">
      <c r="A4113" s="28"/>
      <c r="B4113" s="29"/>
      <c r="C4113" s="29" t="str">
        <f t="shared" si="1"/>
        <v/>
      </c>
      <c r="D4113" s="6" t="str">
        <f>IF(A4113="","",MATCH(A4113,Calculation!B$2:B9627,1))</f>
        <v/>
      </c>
      <c r="E4113" s="29" t="str">
        <f t="array" ref="E4113">IF(D4113="","",IF(D4113=1,0,INDEX(Calculation!Q$2:Q9627,D4113-1)))</f>
        <v/>
      </c>
      <c r="F4113" s="29" t="str">
        <f t="array" ref="F4113">IF($A4113="","",
  LET(
    r, $D4113,
    startD, INDEX(Calculation!B$2:B9627, r),
    endD,   INDEX(Calculation!C$2:C9627, r),
    asOf,   MIN($A4113,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14">
      <c r="A4114" s="28"/>
      <c r="B4114" s="29"/>
      <c r="C4114" s="29" t="str">
        <f t="shared" si="1"/>
        <v/>
      </c>
      <c r="D4114" s="6" t="str">
        <f>IF(A4114="","",MATCH(A4114,Calculation!B$2:B9627,1))</f>
        <v/>
      </c>
      <c r="E4114" s="29" t="str">
        <f t="array" ref="E4114">IF(D4114="","",IF(D4114=1,0,INDEX(Calculation!Q$2:Q9627,D4114-1)))</f>
        <v/>
      </c>
      <c r="F4114" s="29" t="str">
        <f t="array" ref="F4114">IF($A4114="","",
  LET(
    r, $D4114,
    startD, INDEX(Calculation!B$2:B9627, r),
    endD,   INDEX(Calculation!C$2:C9627, r),
    asOf,   MIN($A4114,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15">
      <c r="A4115" s="28"/>
      <c r="B4115" s="29"/>
      <c r="C4115" s="29" t="str">
        <f t="shared" si="1"/>
        <v/>
      </c>
      <c r="D4115" s="6" t="str">
        <f>IF(A4115="","",MATCH(A4115,Calculation!B$2:B9627,1))</f>
        <v/>
      </c>
      <c r="E4115" s="29" t="str">
        <f t="array" ref="E4115">IF(D4115="","",IF(D4115=1,0,INDEX(Calculation!Q$2:Q9627,D4115-1)))</f>
        <v/>
      </c>
      <c r="F4115" s="29" t="str">
        <f t="array" ref="F4115">IF($A4115="","",
  LET(
    r, $D4115,
    startD, INDEX(Calculation!B$2:B9627, r),
    endD,   INDEX(Calculation!C$2:C9627, r),
    asOf,   MIN($A4115,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16">
      <c r="A4116" s="28"/>
      <c r="B4116" s="29"/>
      <c r="C4116" s="29" t="str">
        <f t="shared" si="1"/>
        <v/>
      </c>
      <c r="D4116" s="6" t="str">
        <f>IF(A4116="","",MATCH(A4116,Calculation!B$2:B9627,1))</f>
        <v/>
      </c>
      <c r="E4116" s="29" t="str">
        <f t="array" ref="E4116">IF(D4116="","",IF(D4116=1,0,INDEX(Calculation!Q$2:Q9627,D4116-1)))</f>
        <v/>
      </c>
      <c r="F4116" s="29" t="str">
        <f t="array" ref="F4116">IF($A4116="","",
  LET(
    r, $D4116,
    startD, INDEX(Calculation!B$2:B9627, r),
    endD,   INDEX(Calculation!C$2:C9627, r),
    asOf,   MIN($A4116,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17">
      <c r="A4117" s="28"/>
      <c r="B4117" s="29"/>
      <c r="C4117" s="29" t="str">
        <f t="shared" si="1"/>
        <v/>
      </c>
      <c r="D4117" s="6" t="str">
        <f>IF(A4117="","",MATCH(A4117,Calculation!B$2:B9627,1))</f>
        <v/>
      </c>
      <c r="E4117" s="29" t="str">
        <f t="array" ref="E4117">IF(D4117="","",IF(D4117=1,0,INDEX(Calculation!Q$2:Q9627,D4117-1)))</f>
        <v/>
      </c>
      <c r="F4117" s="29" t="str">
        <f t="array" ref="F4117">IF($A4117="","",
  LET(
    r, $D4117,
    startD, INDEX(Calculation!B$2:B9627, r),
    endD,   INDEX(Calculation!C$2:C9627, r),
    asOf,   MIN($A4117,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18">
      <c r="A4118" s="28"/>
      <c r="B4118" s="29"/>
      <c r="C4118" s="29" t="str">
        <f t="shared" si="1"/>
        <v/>
      </c>
      <c r="D4118" s="6" t="str">
        <f>IF(A4118="","",MATCH(A4118,Calculation!B$2:B9627,1))</f>
        <v/>
      </c>
      <c r="E4118" s="29" t="str">
        <f t="array" ref="E4118">IF(D4118="","",IF(D4118=1,0,INDEX(Calculation!Q$2:Q9627,D4118-1)))</f>
        <v/>
      </c>
      <c r="F4118" s="29" t="str">
        <f t="array" ref="F4118">IF($A4118="","",
  LET(
    r, $D4118,
    startD, INDEX(Calculation!B$2:B9627, r),
    endD,   INDEX(Calculation!C$2:C9627, r),
    asOf,   MIN($A4118,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19">
      <c r="A4119" s="28"/>
      <c r="B4119" s="29"/>
      <c r="C4119" s="29" t="str">
        <f t="shared" si="1"/>
        <v/>
      </c>
      <c r="D4119" s="6" t="str">
        <f>IF(A4119="","",MATCH(A4119,Calculation!B$2:B9627,1))</f>
        <v/>
      </c>
      <c r="E4119" s="29" t="str">
        <f t="array" ref="E4119">IF(D4119="","",IF(D4119=1,0,INDEX(Calculation!Q$2:Q9627,D4119-1)))</f>
        <v/>
      </c>
      <c r="F4119" s="29" t="str">
        <f t="array" ref="F4119">IF($A4119="","",
  LET(
    r, $D4119,
    startD, INDEX(Calculation!B$2:B9627, r),
    endD,   INDEX(Calculation!C$2:C9627, r),
    asOf,   MIN($A4119,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20">
      <c r="A4120" s="28"/>
      <c r="B4120" s="29"/>
      <c r="C4120" s="29" t="str">
        <f t="shared" si="1"/>
        <v/>
      </c>
      <c r="D4120" s="6" t="str">
        <f>IF(A4120="","",MATCH(A4120,Calculation!B$2:B9627,1))</f>
        <v/>
      </c>
      <c r="E4120" s="29" t="str">
        <f t="array" ref="E4120">IF(D4120="","",IF(D4120=1,0,INDEX(Calculation!Q$2:Q9627,D4120-1)))</f>
        <v/>
      </c>
      <c r="F4120" s="29" t="str">
        <f t="array" ref="F4120">IF($A4120="","",
  LET(
    r, $D4120,
    startD, INDEX(Calculation!B$2:B9627, r),
    endD,   INDEX(Calculation!C$2:C9627, r),
    asOf,   MIN($A4120,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21">
      <c r="A4121" s="28"/>
      <c r="B4121" s="29"/>
      <c r="C4121" s="29" t="str">
        <f t="shared" si="1"/>
        <v/>
      </c>
      <c r="D4121" s="6" t="str">
        <f>IF(A4121="","",MATCH(A4121,Calculation!B$2:B9627,1))</f>
        <v/>
      </c>
      <c r="E4121" s="29" t="str">
        <f t="array" ref="E4121">IF(D4121="","",IF(D4121=1,0,INDEX(Calculation!Q$2:Q9627,D4121-1)))</f>
        <v/>
      </c>
      <c r="F4121" s="29" t="str">
        <f t="array" ref="F4121">IF($A4121="","",
  LET(
    r, $D4121,
    startD, INDEX(Calculation!B$2:B9627, r),
    endD,   INDEX(Calculation!C$2:C9627, r),
    asOf,   MIN($A4121,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22">
      <c r="A4122" s="28"/>
      <c r="B4122" s="29"/>
      <c r="C4122" s="29" t="str">
        <f t="shared" si="1"/>
        <v/>
      </c>
      <c r="D4122" s="6" t="str">
        <f>IF(A4122="","",MATCH(A4122,Calculation!B$2:B9627,1))</f>
        <v/>
      </c>
      <c r="E4122" s="29" t="str">
        <f t="array" ref="E4122">IF(D4122="","",IF(D4122=1,0,INDEX(Calculation!Q$2:Q9627,D4122-1)))</f>
        <v/>
      </c>
      <c r="F4122" s="29" t="str">
        <f t="array" ref="F4122">IF($A4122="","",
  LET(
    r, $D4122,
    startD, INDEX(Calculation!B$2:B9627, r),
    endD,   INDEX(Calculation!C$2:C9627, r),
    asOf,   MIN($A4122,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23">
      <c r="A4123" s="28"/>
      <c r="B4123" s="29"/>
      <c r="C4123" s="29" t="str">
        <f t="shared" si="1"/>
        <v/>
      </c>
      <c r="D4123" s="6" t="str">
        <f>IF(A4123="","",MATCH(A4123,Calculation!B$2:B9627,1))</f>
        <v/>
      </c>
      <c r="E4123" s="29" t="str">
        <f t="array" ref="E4123">IF(D4123="","",IF(D4123=1,0,INDEX(Calculation!Q$2:Q9627,D4123-1)))</f>
        <v/>
      </c>
      <c r="F4123" s="29" t="str">
        <f t="array" ref="F4123">IF($A4123="","",
  LET(
    r, $D4123,
    startD, INDEX(Calculation!B$2:B9627, r),
    endD,   INDEX(Calculation!C$2:C9627, r),
    asOf,   MIN($A4123,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24">
      <c r="A4124" s="28"/>
      <c r="B4124" s="29"/>
      <c r="C4124" s="29" t="str">
        <f t="shared" si="1"/>
        <v/>
      </c>
      <c r="D4124" s="6" t="str">
        <f>IF(A4124="","",MATCH(A4124,Calculation!B$2:B9627,1))</f>
        <v/>
      </c>
      <c r="E4124" s="29" t="str">
        <f t="array" ref="E4124">IF(D4124="","",IF(D4124=1,0,INDEX(Calculation!Q$2:Q9627,D4124-1)))</f>
        <v/>
      </c>
      <c r="F4124" s="29" t="str">
        <f t="array" ref="F4124">IF($A4124="","",
  LET(
    r, $D4124,
    startD, INDEX(Calculation!B$2:B9627, r),
    endD,   INDEX(Calculation!C$2:C9627, r),
    asOf,   MIN($A4124,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25">
      <c r="A4125" s="28"/>
      <c r="B4125" s="29"/>
      <c r="C4125" s="29" t="str">
        <f t="shared" si="1"/>
        <v/>
      </c>
      <c r="D4125" s="6" t="str">
        <f>IF(A4125="","",MATCH(A4125,Calculation!B$2:B9627,1))</f>
        <v/>
      </c>
      <c r="E4125" s="29" t="str">
        <f t="array" ref="E4125">IF(D4125="","",IF(D4125=1,0,INDEX(Calculation!Q$2:Q9627,D4125-1)))</f>
        <v/>
      </c>
      <c r="F4125" s="29" t="str">
        <f t="array" ref="F4125">IF($A4125="","",
  LET(
    r, $D4125,
    startD, INDEX(Calculation!B$2:B9627, r),
    endD,   INDEX(Calculation!C$2:C9627, r),
    asOf,   MIN($A4125,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26">
      <c r="A4126" s="28"/>
      <c r="B4126" s="29"/>
      <c r="C4126" s="29" t="str">
        <f t="shared" si="1"/>
        <v/>
      </c>
      <c r="D4126" s="6" t="str">
        <f>IF(A4126="","",MATCH(A4126,Calculation!B$2:B9627,1))</f>
        <v/>
      </c>
      <c r="E4126" s="29" t="str">
        <f t="array" ref="E4126">IF(D4126="","",IF(D4126=1,0,INDEX(Calculation!Q$2:Q9627,D4126-1)))</f>
        <v/>
      </c>
      <c r="F4126" s="29" t="str">
        <f t="array" ref="F4126">IF($A4126="","",
  LET(
    r, $D4126,
    startD, INDEX(Calculation!B$2:B9627, r),
    endD,   INDEX(Calculation!C$2:C9627, r),
    asOf,   MIN($A4126,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27">
      <c r="A4127" s="28"/>
      <c r="B4127" s="29"/>
      <c r="C4127" s="29" t="str">
        <f t="shared" si="1"/>
        <v/>
      </c>
      <c r="D4127" s="6" t="str">
        <f>IF(A4127="","",MATCH(A4127,Calculation!B$2:B9627,1))</f>
        <v/>
      </c>
      <c r="E4127" s="29" t="str">
        <f t="array" ref="E4127">IF(D4127="","",IF(D4127=1,0,INDEX(Calculation!Q$2:Q9627,D4127-1)))</f>
        <v/>
      </c>
      <c r="F4127" s="29" t="str">
        <f t="array" ref="F4127">IF($A4127="","",
  LET(
    r, $D4127,
    startD, INDEX(Calculation!B$2:B9627, r),
    endD,   INDEX(Calculation!C$2:C9627, r),
    asOf,   MIN($A4127,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28">
      <c r="A4128" s="28"/>
      <c r="B4128" s="29"/>
      <c r="C4128" s="29" t="str">
        <f t="shared" si="1"/>
        <v/>
      </c>
      <c r="D4128" s="6" t="str">
        <f>IF(A4128="","",MATCH(A4128,Calculation!B$2:B9627,1))</f>
        <v/>
      </c>
      <c r="E4128" s="29" t="str">
        <f t="array" ref="E4128">IF(D4128="","",IF(D4128=1,0,INDEX(Calculation!Q$2:Q9627,D4128-1)))</f>
        <v/>
      </c>
      <c r="F4128" s="29" t="str">
        <f t="array" ref="F4128">IF($A4128="","",
  LET(
    r, $D4128,
    startD, INDEX(Calculation!B$2:B9627, r),
    endD,   INDEX(Calculation!C$2:C9627, r),
    asOf,   MIN($A4128,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29">
      <c r="A4129" s="28"/>
      <c r="B4129" s="29"/>
      <c r="C4129" s="29" t="str">
        <f t="shared" si="1"/>
        <v/>
      </c>
      <c r="D4129" s="6" t="str">
        <f>IF(A4129="","",MATCH(A4129,Calculation!B$2:B9627,1))</f>
        <v/>
      </c>
      <c r="E4129" s="29" t="str">
        <f t="array" ref="E4129">IF(D4129="","",IF(D4129=1,0,INDEX(Calculation!Q$2:Q9627,D4129-1)))</f>
        <v/>
      </c>
      <c r="F4129" s="29" t="str">
        <f t="array" ref="F4129">IF($A4129="","",
  LET(
    r, $D4129,
    startD, INDEX(Calculation!B$2:B9627, r),
    endD,   INDEX(Calculation!C$2:C9627, r),
    asOf,   MIN($A4129,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30">
      <c r="A4130" s="28"/>
      <c r="B4130" s="29"/>
      <c r="C4130" s="29" t="str">
        <f t="shared" si="1"/>
        <v/>
      </c>
      <c r="D4130" s="6" t="str">
        <f>IF(A4130="","",MATCH(A4130,Calculation!B$2:B9627,1))</f>
        <v/>
      </c>
      <c r="E4130" s="29" t="str">
        <f t="array" ref="E4130">IF(D4130="","",IF(D4130=1,0,INDEX(Calculation!Q$2:Q9627,D4130-1)))</f>
        <v/>
      </c>
      <c r="F4130" s="29" t="str">
        <f t="array" ref="F4130">IF($A4130="","",
  LET(
    r, $D4130,
    startD, INDEX(Calculation!B$2:B9627, r),
    endD,   INDEX(Calculation!C$2:C9627, r),
    asOf,   MIN($A4130,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31">
      <c r="A4131" s="28"/>
      <c r="B4131" s="29"/>
      <c r="C4131" s="29" t="str">
        <f t="shared" si="1"/>
        <v/>
      </c>
      <c r="D4131" s="6" t="str">
        <f>IF(A4131="","",MATCH(A4131,Calculation!B$2:B9627,1))</f>
        <v/>
      </c>
      <c r="E4131" s="29" t="str">
        <f t="array" ref="E4131">IF(D4131="","",IF(D4131=1,0,INDEX(Calculation!Q$2:Q9627,D4131-1)))</f>
        <v/>
      </c>
      <c r="F4131" s="29" t="str">
        <f t="array" ref="F4131">IF($A4131="","",
  LET(
    r, $D4131,
    startD, INDEX(Calculation!B$2:B9627, r),
    endD,   INDEX(Calculation!C$2:C9627, r),
    asOf,   MIN($A4131,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32">
      <c r="A4132" s="28"/>
      <c r="B4132" s="29"/>
      <c r="C4132" s="29" t="str">
        <f t="shared" si="1"/>
        <v/>
      </c>
      <c r="D4132" s="6" t="str">
        <f>IF(A4132="","",MATCH(A4132,Calculation!B$2:B9627,1))</f>
        <v/>
      </c>
      <c r="E4132" s="29" t="str">
        <f t="array" ref="E4132">IF(D4132="","",IF(D4132=1,0,INDEX(Calculation!Q$2:Q9627,D4132-1)))</f>
        <v/>
      </c>
      <c r="F4132" s="29" t="str">
        <f t="array" ref="F4132">IF($A4132="","",
  LET(
    r, $D4132,
    startD, INDEX(Calculation!B$2:B9627, r),
    endD,   INDEX(Calculation!C$2:C9627, r),
    asOf,   MIN($A4132,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33">
      <c r="A4133" s="28"/>
      <c r="B4133" s="29"/>
      <c r="C4133" s="29" t="str">
        <f t="shared" si="1"/>
        <v/>
      </c>
      <c r="D4133" s="6" t="str">
        <f>IF(A4133="","",MATCH(A4133,Calculation!B$2:B9627,1))</f>
        <v/>
      </c>
      <c r="E4133" s="29" t="str">
        <f t="array" ref="E4133">IF(D4133="","",IF(D4133=1,0,INDEX(Calculation!Q$2:Q9627,D4133-1)))</f>
        <v/>
      </c>
      <c r="F4133" s="29" t="str">
        <f t="array" ref="F4133">IF($A4133="","",
  LET(
    r, $D4133,
    startD, INDEX(Calculation!B$2:B9627, r),
    endD,   INDEX(Calculation!C$2:C9627, r),
    asOf,   MIN($A4133,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34">
      <c r="A4134" s="28"/>
      <c r="B4134" s="29"/>
      <c r="C4134" s="29" t="str">
        <f t="shared" si="1"/>
        <v/>
      </c>
      <c r="D4134" s="6" t="str">
        <f>IF(A4134="","",MATCH(A4134,Calculation!B$2:B9627,1))</f>
        <v/>
      </c>
      <c r="E4134" s="29" t="str">
        <f t="array" ref="E4134">IF(D4134="","",IF(D4134=1,0,INDEX(Calculation!Q$2:Q9627,D4134-1)))</f>
        <v/>
      </c>
      <c r="F4134" s="29" t="str">
        <f t="array" ref="F4134">IF($A4134="","",
  LET(
    r, $D4134,
    startD, INDEX(Calculation!B$2:B9627, r),
    endD,   INDEX(Calculation!C$2:C9627, r),
    asOf,   MIN($A4134,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35">
      <c r="A4135" s="28"/>
      <c r="B4135" s="29"/>
      <c r="C4135" s="29" t="str">
        <f t="shared" si="1"/>
        <v/>
      </c>
      <c r="D4135" s="6" t="str">
        <f>IF(A4135="","",MATCH(A4135,Calculation!B$2:B9627,1))</f>
        <v/>
      </c>
      <c r="E4135" s="29" t="str">
        <f t="array" ref="E4135">IF(D4135="","",IF(D4135=1,0,INDEX(Calculation!Q$2:Q9627,D4135-1)))</f>
        <v/>
      </c>
      <c r="F4135" s="29" t="str">
        <f t="array" ref="F4135">IF($A4135="","",
  LET(
    r, $D4135,
    startD, INDEX(Calculation!B$2:B9627, r),
    endD,   INDEX(Calculation!C$2:C9627, r),
    asOf,   MIN($A4135,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36">
      <c r="A4136" s="28"/>
      <c r="B4136" s="29"/>
      <c r="C4136" s="29" t="str">
        <f t="shared" si="1"/>
        <v/>
      </c>
      <c r="D4136" s="6" t="str">
        <f>IF(A4136="","",MATCH(A4136,Calculation!B$2:B9627,1))</f>
        <v/>
      </c>
      <c r="E4136" s="29" t="str">
        <f t="array" ref="E4136">IF(D4136="","",IF(D4136=1,0,INDEX(Calculation!Q$2:Q9627,D4136-1)))</f>
        <v/>
      </c>
      <c r="F4136" s="29" t="str">
        <f t="array" ref="F4136">IF($A4136="","",
  LET(
    r, $D4136,
    startD, INDEX(Calculation!B$2:B9627, r),
    endD,   INDEX(Calculation!C$2:C9627, r),
    asOf,   MIN($A4136,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37">
      <c r="A4137" s="28"/>
      <c r="B4137" s="29"/>
      <c r="C4137" s="29" t="str">
        <f t="shared" si="1"/>
        <v/>
      </c>
      <c r="D4137" s="6" t="str">
        <f>IF(A4137="","",MATCH(A4137,Calculation!B$2:B9627,1))</f>
        <v/>
      </c>
      <c r="E4137" s="29" t="str">
        <f t="array" ref="E4137">IF(D4137="","",IF(D4137=1,0,INDEX(Calculation!Q$2:Q9627,D4137-1)))</f>
        <v/>
      </c>
      <c r="F4137" s="29" t="str">
        <f t="array" ref="F4137">IF($A4137="","",
  LET(
    r, $D4137,
    startD, INDEX(Calculation!B$2:B9627, r),
    endD,   INDEX(Calculation!C$2:C9627, r),
    asOf,   MIN($A4137,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38">
      <c r="A4138" s="28"/>
      <c r="B4138" s="29"/>
      <c r="C4138" s="29" t="str">
        <f t="shared" si="1"/>
        <v/>
      </c>
      <c r="D4138" s="6" t="str">
        <f>IF(A4138="","",MATCH(A4138,Calculation!B$2:B9627,1))</f>
        <v/>
      </c>
      <c r="E4138" s="29" t="str">
        <f t="array" ref="E4138">IF(D4138="","",IF(D4138=1,0,INDEX(Calculation!Q$2:Q9627,D4138-1)))</f>
        <v/>
      </c>
      <c r="F4138" s="29" t="str">
        <f t="array" ref="F4138">IF($A4138="","",
  LET(
    r, $D4138,
    startD, INDEX(Calculation!B$2:B9627, r),
    endD,   INDEX(Calculation!C$2:C9627, r),
    asOf,   MIN($A4138,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39">
      <c r="A4139" s="28"/>
      <c r="B4139" s="29"/>
      <c r="C4139" s="29" t="str">
        <f t="shared" si="1"/>
        <v/>
      </c>
      <c r="D4139" s="6" t="str">
        <f>IF(A4139="","",MATCH(A4139,Calculation!B$2:B9627,1))</f>
        <v/>
      </c>
      <c r="E4139" s="29" t="str">
        <f t="array" ref="E4139">IF(D4139="","",IF(D4139=1,0,INDEX(Calculation!Q$2:Q9627,D4139-1)))</f>
        <v/>
      </c>
      <c r="F4139" s="29" t="str">
        <f t="array" ref="F4139">IF($A4139="","",
  LET(
    r, $D4139,
    startD, INDEX(Calculation!B$2:B9627, r),
    endD,   INDEX(Calculation!C$2:C9627, r),
    asOf,   MIN($A4139,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40">
      <c r="A4140" s="28"/>
      <c r="B4140" s="29"/>
      <c r="C4140" s="29" t="str">
        <f t="shared" si="1"/>
        <v/>
      </c>
      <c r="D4140" s="6" t="str">
        <f>IF(A4140="","",MATCH(A4140,Calculation!B$2:B9627,1))</f>
        <v/>
      </c>
      <c r="E4140" s="29" t="str">
        <f t="array" ref="E4140">IF(D4140="","",IF(D4140=1,0,INDEX(Calculation!Q$2:Q9627,D4140-1)))</f>
        <v/>
      </c>
      <c r="F4140" s="29" t="str">
        <f t="array" ref="F4140">IF($A4140="","",
  LET(
    r, $D4140,
    startD, INDEX(Calculation!B$2:B9627, r),
    endD,   INDEX(Calculation!C$2:C9627, r),
    asOf,   MIN($A4140,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41">
      <c r="A4141" s="28"/>
      <c r="B4141" s="29"/>
      <c r="C4141" s="29" t="str">
        <f t="shared" si="1"/>
        <v/>
      </c>
      <c r="D4141" s="6" t="str">
        <f>IF(A4141="","",MATCH(A4141,Calculation!B$2:B9627,1))</f>
        <v/>
      </c>
      <c r="E4141" s="29" t="str">
        <f t="array" ref="E4141">IF(D4141="","",IF(D4141=1,0,INDEX(Calculation!Q$2:Q9627,D4141-1)))</f>
        <v/>
      </c>
      <c r="F4141" s="29" t="str">
        <f t="array" ref="F4141">IF($A4141="","",
  LET(
    r, $D4141,
    startD, INDEX(Calculation!B$2:B9627, r),
    endD,   INDEX(Calculation!C$2:C9627, r),
    asOf,   MIN($A4141,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42">
      <c r="A4142" s="28"/>
      <c r="B4142" s="29"/>
      <c r="C4142" s="29" t="str">
        <f t="shared" si="1"/>
        <v/>
      </c>
      <c r="D4142" s="6" t="str">
        <f>IF(A4142="","",MATCH(A4142,Calculation!B$2:B9627,1))</f>
        <v/>
      </c>
      <c r="E4142" s="29" t="str">
        <f t="array" ref="E4142">IF(D4142="","",IF(D4142=1,0,INDEX(Calculation!Q$2:Q9627,D4142-1)))</f>
        <v/>
      </c>
      <c r="F4142" s="29" t="str">
        <f t="array" ref="F4142">IF($A4142="","",
  LET(
    r, $D4142,
    startD, INDEX(Calculation!B$2:B9627, r),
    endD,   INDEX(Calculation!C$2:C9627, r),
    asOf,   MIN($A4142,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43">
      <c r="A4143" s="28"/>
      <c r="B4143" s="29"/>
      <c r="C4143" s="29" t="str">
        <f t="shared" si="1"/>
        <v/>
      </c>
      <c r="D4143" s="6" t="str">
        <f>IF(A4143="","",MATCH(A4143,Calculation!B$2:B9627,1))</f>
        <v/>
      </c>
      <c r="E4143" s="29" t="str">
        <f t="array" ref="E4143">IF(D4143="","",IF(D4143=1,0,INDEX(Calculation!Q$2:Q9627,D4143-1)))</f>
        <v/>
      </c>
      <c r="F4143" s="29" t="str">
        <f t="array" ref="F4143">IF($A4143="","",
  LET(
    r, $D4143,
    startD, INDEX(Calculation!B$2:B9627, r),
    endD,   INDEX(Calculation!C$2:C9627, r),
    asOf,   MIN($A4143,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44">
      <c r="A4144" s="28"/>
      <c r="B4144" s="29"/>
      <c r="C4144" s="29" t="str">
        <f t="shared" si="1"/>
        <v/>
      </c>
      <c r="D4144" s="6" t="str">
        <f>IF(A4144="","",MATCH(A4144,Calculation!B$2:B9627,1))</f>
        <v/>
      </c>
      <c r="E4144" s="29" t="str">
        <f t="array" ref="E4144">IF(D4144="","",IF(D4144=1,0,INDEX(Calculation!Q$2:Q9627,D4144-1)))</f>
        <v/>
      </c>
      <c r="F4144" s="29" t="str">
        <f t="array" ref="F4144">IF($A4144="","",
  LET(
    r, $D4144,
    startD, INDEX(Calculation!B$2:B9627, r),
    endD,   INDEX(Calculation!C$2:C9627, r),
    asOf,   MIN($A4144,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45">
      <c r="A4145" s="28"/>
      <c r="B4145" s="29"/>
      <c r="C4145" s="29" t="str">
        <f t="shared" si="1"/>
        <v/>
      </c>
      <c r="D4145" s="6" t="str">
        <f>IF(A4145="","",MATCH(A4145,Calculation!B$2:B9627,1))</f>
        <v/>
      </c>
      <c r="E4145" s="29" t="str">
        <f t="array" ref="E4145">IF(D4145="","",IF(D4145=1,0,INDEX(Calculation!Q$2:Q9627,D4145-1)))</f>
        <v/>
      </c>
      <c r="F4145" s="29" t="str">
        <f t="array" ref="F4145">IF($A4145="","",
  LET(
    r, $D4145,
    startD, INDEX(Calculation!B$2:B9627, r),
    endD,   INDEX(Calculation!C$2:C9627, r),
    asOf,   MIN($A4145,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46">
      <c r="A4146" s="28"/>
      <c r="B4146" s="29"/>
      <c r="C4146" s="29" t="str">
        <f t="shared" si="1"/>
        <v/>
      </c>
      <c r="D4146" s="6" t="str">
        <f>IF(A4146="","",MATCH(A4146,Calculation!B$2:B9627,1))</f>
        <v/>
      </c>
      <c r="E4146" s="29" t="str">
        <f t="array" ref="E4146">IF(D4146="","",IF(D4146=1,0,INDEX(Calculation!Q$2:Q9627,D4146-1)))</f>
        <v/>
      </c>
      <c r="F4146" s="29" t="str">
        <f t="array" ref="F4146">IF($A4146="","",
  LET(
    r, $D4146,
    startD, INDEX(Calculation!B$2:B9627, r),
    endD,   INDEX(Calculation!C$2:C9627, r),
    asOf,   MIN($A4146,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47">
      <c r="A4147" s="28"/>
      <c r="B4147" s="29"/>
      <c r="C4147" s="29" t="str">
        <f t="shared" si="1"/>
        <v/>
      </c>
      <c r="D4147" s="6" t="str">
        <f>IF(A4147="","",MATCH(A4147,Calculation!B$2:B9627,1))</f>
        <v/>
      </c>
      <c r="E4147" s="29" t="str">
        <f t="array" ref="E4147">IF(D4147="","",IF(D4147=1,0,INDEX(Calculation!Q$2:Q9627,D4147-1)))</f>
        <v/>
      </c>
      <c r="F4147" s="29" t="str">
        <f t="array" ref="F4147">IF($A4147="","",
  LET(
    r, $D4147,
    startD, INDEX(Calculation!B$2:B9627, r),
    endD,   INDEX(Calculation!C$2:C9627, r),
    asOf,   MIN($A4147,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48">
      <c r="A4148" s="28"/>
      <c r="B4148" s="29"/>
      <c r="C4148" s="29" t="str">
        <f t="shared" si="1"/>
        <v/>
      </c>
      <c r="D4148" s="6" t="str">
        <f>IF(A4148="","",MATCH(A4148,Calculation!B$2:B9627,1))</f>
        <v/>
      </c>
      <c r="E4148" s="29" t="str">
        <f t="array" ref="E4148">IF(D4148="","",IF(D4148=1,0,INDEX(Calculation!Q$2:Q9627,D4148-1)))</f>
        <v/>
      </c>
      <c r="F4148" s="29" t="str">
        <f t="array" ref="F4148">IF($A4148="","",
  LET(
    r, $D4148,
    startD, INDEX(Calculation!B$2:B9627, r),
    endD,   INDEX(Calculation!C$2:C9627, r),
    asOf,   MIN($A4148,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49">
      <c r="A4149" s="28"/>
      <c r="B4149" s="29"/>
      <c r="C4149" s="29" t="str">
        <f t="shared" si="1"/>
        <v/>
      </c>
      <c r="D4149" s="6" t="str">
        <f>IF(A4149="","",MATCH(A4149,Calculation!B$2:B9627,1))</f>
        <v/>
      </c>
      <c r="E4149" s="29" t="str">
        <f t="array" ref="E4149">IF(D4149="","",IF(D4149=1,0,INDEX(Calculation!Q$2:Q9627,D4149-1)))</f>
        <v/>
      </c>
      <c r="F4149" s="29" t="str">
        <f t="array" ref="F4149">IF($A4149="","",
  LET(
    r, $D4149,
    startD, INDEX(Calculation!B$2:B9627, r),
    endD,   INDEX(Calculation!C$2:C9627, r),
    asOf,   MIN($A4149,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50">
      <c r="A4150" s="28"/>
      <c r="B4150" s="29"/>
      <c r="C4150" s="29" t="str">
        <f t="shared" si="1"/>
        <v/>
      </c>
      <c r="D4150" s="6" t="str">
        <f>IF(A4150="","",MATCH(A4150,Calculation!B$2:B9627,1))</f>
        <v/>
      </c>
      <c r="E4150" s="29" t="str">
        <f t="array" ref="E4150">IF(D4150="","",IF(D4150=1,0,INDEX(Calculation!Q$2:Q9627,D4150-1)))</f>
        <v/>
      </c>
      <c r="F4150" s="29" t="str">
        <f t="array" ref="F4150">IF($A4150="","",
  LET(
    r, $D4150,
    startD, INDEX(Calculation!B$2:B9627, r),
    endD,   INDEX(Calculation!C$2:C9627, r),
    asOf,   MIN($A4150,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51">
      <c r="A4151" s="28"/>
      <c r="B4151" s="29"/>
      <c r="C4151" s="29" t="str">
        <f t="shared" si="1"/>
        <v/>
      </c>
      <c r="D4151" s="6" t="str">
        <f>IF(A4151="","",MATCH(A4151,Calculation!B$2:B9627,1))</f>
        <v/>
      </c>
      <c r="E4151" s="29" t="str">
        <f t="array" ref="E4151">IF(D4151="","",IF(D4151=1,0,INDEX(Calculation!Q$2:Q9627,D4151-1)))</f>
        <v/>
      </c>
      <c r="F4151" s="29" t="str">
        <f t="array" ref="F4151">IF($A4151="","",
  LET(
    r, $D4151,
    startD, INDEX(Calculation!B$2:B9627, r),
    endD,   INDEX(Calculation!C$2:C9627, r),
    asOf,   MIN($A4151,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52">
      <c r="A4152" s="28"/>
      <c r="B4152" s="29"/>
      <c r="C4152" s="29" t="str">
        <f t="shared" si="1"/>
        <v/>
      </c>
      <c r="D4152" s="6" t="str">
        <f>IF(A4152="","",MATCH(A4152,Calculation!B$2:B9627,1))</f>
        <v/>
      </c>
      <c r="E4152" s="29" t="str">
        <f t="array" ref="E4152">IF(D4152="","",IF(D4152=1,0,INDEX(Calculation!Q$2:Q9627,D4152-1)))</f>
        <v/>
      </c>
      <c r="F4152" s="29" t="str">
        <f t="array" ref="F4152">IF($A4152="","",
  LET(
    r, $D4152,
    startD, INDEX(Calculation!B$2:B9627, r),
    endD,   INDEX(Calculation!C$2:C9627, r),
    asOf,   MIN($A4152,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53">
      <c r="A4153" s="28"/>
      <c r="B4153" s="29"/>
      <c r="C4153" s="29" t="str">
        <f t="shared" si="1"/>
        <v/>
      </c>
      <c r="D4153" s="6" t="str">
        <f>IF(A4153="","",MATCH(A4153,Calculation!B$2:B9627,1))</f>
        <v/>
      </c>
      <c r="E4153" s="29" t="str">
        <f t="array" ref="E4153">IF(D4153="","",IF(D4153=1,0,INDEX(Calculation!Q$2:Q9627,D4153-1)))</f>
        <v/>
      </c>
      <c r="F4153" s="29" t="str">
        <f t="array" ref="F4153">IF($A4153="","",
  LET(
    r, $D4153,
    startD, INDEX(Calculation!B$2:B9627, r),
    endD,   INDEX(Calculation!C$2:C9627, r),
    asOf,   MIN($A4153,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54">
      <c r="A4154" s="28"/>
      <c r="B4154" s="29"/>
      <c r="C4154" s="29" t="str">
        <f t="shared" si="1"/>
        <v/>
      </c>
      <c r="D4154" s="6" t="str">
        <f>IF(A4154="","",MATCH(A4154,Calculation!B$2:B9627,1))</f>
        <v/>
      </c>
      <c r="E4154" s="29" t="str">
        <f t="array" ref="E4154">IF(D4154="","",IF(D4154=1,0,INDEX(Calculation!Q$2:Q9627,D4154-1)))</f>
        <v/>
      </c>
      <c r="F4154" s="29" t="str">
        <f t="array" ref="F4154">IF($A4154="","",
  LET(
    r, $D4154,
    startD, INDEX(Calculation!B$2:B9627, r),
    endD,   INDEX(Calculation!C$2:C9627, r),
    asOf,   MIN($A4154,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55">
      <c r="A4155" s="28"/>
      <c r="B4155" s="29"/>
      <c r="C4155" s="29" t="str">
        <f t="shared" si="1"/>
        <v/>
      </c>
      <c r="D4155" s="6" t="str">
        <f>IF(A4155="","",MATCH(A4155,Calculation!B$2:B9627,1))</f>
        <v/>
      </c>
      <c r="E4155" s="29" t="str">
        <f t="array" ref="E4155">IF(D4155="","",IF(D4155=1,0,INDEX(Calculation!Q$2:Q9627,D4155-1)))</f>
        <v/>
      </c>
      <c r="F4155" s="29" t="str">
        <f t="array" ref="F4155">IF($A4155="","",
  LET(
    r, $D4155,
    startD, INDEX(Calculation!B$2:B9627, r),
    endD,   INDEX(Calculation!C$2:C9627, r),
    asOf,   MIN($A4155,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56">
      <c r="A4156" s="28"/>
      <c r="B4156" s="29"/>
      <c r="C4156" s="29" t="str">
        <f t="shared" si="1"/>
        <v/>
      </c>
      <c r="D4156" s="6" t="str">
        <f>IF(A4156="","",MATCH(A4156,Calculation!B$2:B9627,1))</f>
        <v/>
      </c>
      <c r="E4156" s="29" t="str">
        <f t="array" ref="E4156">IF(D4156="","",IF(D4156=1,0,INDEX(Calculation!Q$2:Q9627,D4156-1)))</f>
        <v/>
      </c>
      <c r="F4156" s="29" t="str">
        <f t="array" ref="F4156">IF($A4156="","",
  LET(
    r, $D4156,
    startD, INDEX(Calculation!B$2:B9627, r),
    endD,   INDEX(Calculation!C$2:C9627, r),
    asOf,   MIN($A4156,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57">
      <c r="A4157" s="28"/>
      <c r="B4157" s="29"/>
      <c r="C4157" s="29" t="str">
        <f t="shared" si="1"/>
        <v/>
      </c>
      <c r="D4157" s="6" t="str">
        <f>IF(A4157="","",MATCH(A4157,Calculation!B$2:B9627,1))</f>
        <v/>
      </c>
      <c r="E4157" s="29" t="str">
        <f t="array" ref="E4157">IF(D4157="","",IF(D4157=1,0,INDEX(Calculation!Q$2:Q9627,D4157-1)))</f>
        <v/>
      </c>
      <c r="F4157" s="29" t="str">
        <f t="array" ref="F4157">IF($A4157="","",
  LET(
    r, $D4157,
    startD, INDEX(Calculation!B$2:B9627, r),
    endD,   INDEX(Calculation!C$2:C9627, r),
    asOf,   MIN($A4157,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58">
      <c r="A4158" s="28"/>
      <c r="B4158" s="29"/>
      <c r="C4158" s="29" t="str">
        <f t="shared" si="1"/>
        <v/>
      </c>
      <c r="D4158" s="6" t="str">
        <f>IF(A4158="","",MATCH(A4158,Calculation!B$2:B9627,1))</f>
        <v/>
      </c>
      <c r="E4158" s="29" t="str">
        <f t="array" ref="E4158">IF(D4158="","",IF(D4158=1,0,INDEX(Calculation!Q$2:Q9627,D4158-1)))</f>
        <v/>
      </c>
      <c r="F4158" s="29" t="str">
        <f t="array" ref="F4158">IF($A4158="","",
  LET(
    r, $D4158,
    startD, INDEX(Calculation!B$2:B9627, r),
    endD,   INDEX(Calculation!C$2:C9627, r),
    asOf,   MIN($A4158,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59">
      <c r="A4159" s="28"/>
      <c r="B4159" s="29"/>
      <c r="C4159" s="29" t="str">
        <f t="shared" si="1"/>
        <v/>
      </c>
      <c r="D4159" s="6" t="str">
        <f>IF(A4159="","",MATCH(A4159,Calculation!B$2:B9627,1))</f>
        <v/>
      </c>
      <c r="E4159" s="29" t="str">
        <f t="array" ref="E4159">IF(D4159="","",IF(D4159=1,0,INDEX(Calculation!Q$2:Q9627,D4159-1)))</f>
        <v/>
      </c>
      <c r="F4159" s="29" t="str">
        <f t="array" ref="F4159">IF($A4159="","",
  LET(
    r, $D4159,
    startD, INDEX(Calculation!B$2:B9627, r),
    endD,   INDEX(Calculation!C$2:C9627, r),
    asOf,   MIN($A4159,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60">
      <c r="A4160" s="28"/>
      <c r="B4160" s="29"/>
      <c r="C4160" s="29" t="str">
        <f t="shared" si="1"/>
        <v/>
      </c>
      <c r="D4160" s="6" t="str">
        <f>IF(A4160="","",MATCH(A4160,Calculation!B$2:B9627,1))</f>
        <v/>
      </c>
      <c r="E4160" s="29" t="str">
        <f t="array" ref="E4160">IF(D4160="","",IF(D4160=1,0,INDEX(Calculation!Q$2:Q9627,D4160-1)))</f>
        <v/>
      </c>
      <c r="F4160" s="29" t="str">
        <f t="array" ref="F4160">IF($A4160="","",
  LET(
    r, $D4160,
    startD, INDEX(Calculation!B$2:B9627, r),
    endD,   INDEX(Calculation!C$2:C9627, r),
    asOf,   MIN($A4160,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61">
      <c r="A4161" s="28"/>
      <c r="B4161" s="29"/>
      <c r="C4161" s="29" t="str">
        <f t="shared" si="1"/>
        <v/>
      </c>
      <c r="D4161" s="6" t="str">
        <f>IF(A4161="","",MATCH(A4161,Calculation!B$2:B9627,1))</f>
        <v/>
      </c>
      <c r="E4161" s="29" t="str">
        <f t="array" ref="E4161">IF(D4161="","",IF(D4161=1,0,INDEX(Calculation!Q$2:Q9627,D4161-1)))</f>
        <v/>
      </c>
      <c r="F4161" s="29" t="str">
        <f t="array" ref="F4161">IF($A4161="","",
  LET(
    r, $D4161,
    startD, INDEX(Calculation!B$2:B9627, r),
    endD,   INDEX(Calculation!C$2:C9627, r),
    asOf,   MIN($A4161,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62">
      <c r="A4162" s="28"/>
      <c r="B4162" s="29"/>
      <c r="C4162" s="29" t="str">
        <f t="shared" si="1"/>
        <v/>
      </c>
      <c r="D4162" s="6" t="str">
        <f>IF(A4162="","",MATCH(A4162,Calculation!B$2:B9627,1))</f>
        <v/>
      </c>
      <c r="E4162" s="29" t="str">
        <f t="array" ref="E4162">IF(D4162="","",IF(D4162=1,0,INDEX(Calculation!Q$2:Q9627,D4162-1)))</f>
        <v/>
      </c>
      <c r="F4162" s="29" t="str">
        <f t="array" ref="F4162">IF($A4162="","",
  LET(
    r, $D4162,
    startD, INDEX(Calculation!B$2:B9627, r),
    endD,   INDEX(Calculation!C$2:C9627, r),
    asOf,   MIN($A4162,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63">
      <c r="A4163" s="28"/>
      <c r="B4163" s="29"/>
      <c r="C4163" s="29" t="str">
        <f t="shared" si="1"/>
        <v/>
      </c>
      <c r="D4163" s="6" t="str">
        <f>IF(A4163="","",MATCH(A4163,Calculation!B$2:B9627,1))</f>
        <v/>
      </c>
      <c r="E4163" s="29" t="str">
        <f t="array" ref="E4163">IF(D4163="","",IF(D4163=1,0,INDEX(Calculation!Q$2:Q9627,D4163-1)))</f>
        <v/>
      </c>
      <c r="F4163" s="29" t="str">
        <f t="array" ref="F4163">IF($A4163="","",
  LET(
    r, $D4163,
    startD, INDEX(Calculation!B$2:B9627, r),
    endD,   INDEX(Calculation!C$2:C9627, r),
    asOf,   MIN($A4163,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64">
      <c r="A4164" s="28"/>
      <c r="B4164" s="29"/>
      <c r="C4164" s="29" t="str">
        <f t="shared" si="1"/>
        <v/>
      </c>
      <c r="D4164" s="6" t="str">
        <f>IF(A4164="","",MATCH(A4164,Calculation!B$2:B9627,1))</f>
        <v/>
      </c>
      <c r="E4164" s="29" t="str">
        <f t="array" ref="E4164">IF(D4164="","",IF(D4164=1,0,INDEX(Calculation!Q$2:Q9627,D4164-1)))</f>
        <v/>
      </c>
      <c r="F4164" s="29" t="str">
        <f t="array" ref="F4164">IF($A4164="","",
  LET(
    r, $D4164,
    startD, INDEX(Calculation!B$2:B9627, r),
    endD,   INDEX(Calculation!C$2:C9627, r),
    asOf,   MIN($A4164,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65">
      <c r="A4165" s="28"/>
      <c r="B4165" s="29"/>
      <c r="C4165" s="29" t="str">
        <f t="shared" si="1"/>
        <v/>
      </c>
      <c r="D4165" s="6" t="str">
        <f>IF(A4165="","",MATCH(A4165,Calculation!B$2:B9627,1))</f>
        <v/>
      </c>
      <c r="E4165" s="29" t="str">
        <f t="array" ref="E4165">IF(D4165="","",IF(D4165=1,0,INDEX(Calculation!Q$2:Q9627,D4165-1)))</f>
        <v/>
      </c>
      <c r="F4165" s="29" t="str">
        <f t="array" ref="F4165">IF($A4165="","",
  LET(
    r, $D4165,
    startD, INDEX(Calculation!B$2:B9627, r),
    endD,   INDEX(Calculation!C$2:C9627, r),
    asOf,   MIN($A4165,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66">
      <c r="A4166" s="28"/>
      <c r="B4166" s="29"/>
      <c r="C4166" s="29" t="str">
        <f t="shared" si="1"/>
        <v/>
      </c>
      <c r="D4166" s="6" t="str">
        <f>IF(A4166="","",MATCH(A4166,Calculation!B$2:B9627,1))</f>
        <v/>
      </c>
      <c r="E4166" s="29" t="str">
        <f t="array" ref="E4166">IF(D4166="","",IF(D4166=1,0,INDEX(Calculation!Q$2:Q9627,D4166-1)))</f>
        <v/>
      </c>
      <c r="F4166" s="29" t="str">
        <f t="array" ref="F4166">IF($A4166="","",
  LET(
    r, $D4166,
    startD, INDEX(Calculation!B$2:B9627, r),
    endD,   INDEX(Calculation!C$2:C9627, r),
    asOf,   MIN($A4166,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67">
      <c r="A4167" s="28"/>
      <c r="B4167" s="29"/>
      <c r="C4167" s="29" t="str">
        <f t="shared" si="1"/>
        <v/>
      </c>
      <c r="D4167" s="6" t="str">
        <f>IF(A4167="","",MATCH(A4167,Calculation!B$2:B9627,1))</f>
        <v/>
      </c>
      <c r="E4167" s="29" t="str">
        <f t="array" ref="E4167">IF(D4167="","",IF(D4167=1,0,INDEX(Calculation!Q$2:Q9627,D4167-1)))</f>
        <v/>
      </c>
      <c r="F4167" s="29" t="str">
        <f t="array" ref="F4167">IF($A4167="","",
  LET(
    r, $D4167,
    startD, INDEX(Calculation!B$2:B9627, r),
    endD,   INDEX(Calculation!C$2:C9627, r),
    asOf,   MIN($A4167,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68">
      <c r="A4168" s="28"/>
      <c r="B4168" s="29"/>
      <c r="C4168" s="29" t="str">
        <f t="shared" si="1"/>
        <v/>
      </c>
      <c r="D4168" s="6" t="str">
        <f>IF(A4168="","",MATCH(A4168,Calculation!B$2:B9627,1))</f>
        <v/>
      </c>
      <c r="E4168" s="29" t="str">
        <f t="array" ref="E4168">IF(D4168="","",IF(D4168=1,0,INDEX(Calculation!Q$2:Q9627,D4168-1)))</f>
        <v/>
      </c>
      <c r="F4168" s="29" t="str">
        <f t="array" ref="F4168">IF($A4168="","",
  LET(
    r, $D4168,
    startD, INDEX(Calculation!B$2:B9627, r),
    endD,   INDEX(Calculation!C$2:C9627, r),
    asOf,   MIN($A4168,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69">
      <c r="A4169" s="28"/>
      <c r="B4169" s="29"/>
      <c r="C4169" s="29" t="str">
        <f t="shared" si="1"/>
        <v/>
      </c>
      <c r="D4169" s="6" t="str">
        <f>IF(A4169="","",MATCH(A4169,Calculation!B$2:B9627,1))</f>
        <v/>
      </c>
      <c r="E4169" s="29" t="str">
        <f t="array" ref="E4169">IF(D4169="","",IF(D4169=1,0,INDEX(Calculation!Q$2:Q9627,D4169-1)))</f>
        <v/>
      </c>
      <c r="F4169" s="29" t="str">
        <f t="array" ref="F4169">IF($A4169="","",
  LET(
    r, $D4169,
    startD, INDEX(Calculation!B$2:B9627, r),
    endD,   INDEX(Calculation!C$2:C9627, r),
    asOf,   MIN($A4169,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70">
      <c r="A4170" s="28"/>
      <c r="B4170" s="29"/>
      <c r="C4170" s="29" t="str">
        <f t="shared" si="1"/>
        <v/>
      </c>
      <c r="D4170" s="6" t="str">
        <f>IF(A4170="","",MATCH(A4170,Calculation!B$2:B9627,1))</f>
        <v/>
      </c>
      <c r="E4170" s="29" t="str">
        <f t="array" ref="E4170">IF(D4170="","",IF(D4170=1,0,INDEX(Calculation!Q$2:Q9627,D4170-1)))</f>
        <v/>
      </c>
      <c r="F4170" s="29" t="str">
        <f t="array" ref="F4170">IF($A4170="","",
  LET(
    r, $D4170,
    startD, INDEX(Calculation!B$2:B9627, r),
    endD,   INDEX(Calculation!C$2:C9627, r),
    asOf,   MIN($A4170,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71">
      <c r="A4171" s="28"/>
      <c r="B4171" s="29"/>
      <c r="C4171" s="29" t="str">
        <f t="shared" si="1"/>
        <v/>
      </c>
      <c r="D4171" s="6" t="str">
        <f>IF(A4171="","",MATCH(A4171,Calculation!B$2:B9627,1))</f>
        <v/>
      </c>
      <c r="E4171" s="29" t="str">
        <f t="array" ref="E4171">IF(D4171="","",IF(D4171=1,0,INDEX(Calculation!Q$2:Q9627,D4171-1)))</f>
        <v/>
      </c>
      <c r="F4171" s="29" t="str">
        <f t="array" ref="F4171">IF($A4171="","",
  LET(
    r, $D4171,
    startD, INDEX(Calculation!B$2:B9627, r),
    endD,   INDEX(Calculation!C$2:C9627, r),
    asOf,   MIN($A4171,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72">
      <c r="A4172" s="28"/>
      <c r="B4172" s="29"/>
      <c r="C4172" s="29" t="str">
        <f t="shared" si="1"/>
        <v/>
      </c>
      <c r="D4172" s="6" t="str">
        <f>IF(A4172="","",MATCH(A4172,Calculation!B$2:B9627,1))</f>
        <v/>
      </c>
      <c r="E4172" s="29" t="str">
        <f t="array" ref="E4172">IF(D4172="","",IF(D4172=1,0,INDEX(Calculation!Q$2:Q9627,D4172-1)))</f>
        <v/>
      </c>
      <c r="F4172" s="29" t="str">
        <f t="array" ref="F4172">IF($A4172="","",
  LET(
    r, $D4172,
    startD, INDEX(Calculation!B$2:B9627, r),
    endD,   INDEX(Calculation!C$2:C9627, r),
    asOf,   MIN($A4172,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73">
      <c r="A4173" s="28"/>
      <c r="B4173" s="29"/>
      <c r="C4173" s="29" t="str">
        <f t="shared" si="1"/>
        <v/>
      </c>
      <c r="D4173" s="6" t="str">
        <f>IF(A4173="","",MATCH(A4173,Calculation!B$2:B9627,1))</f>
        <v/>
      </c>
      <c r="E4173" s="29" t="str">
        <f t="array" ref="E4173">IF(D4173="","",IF(D4173=1,0,INDEX(Calculation!Q$2:Q9627,D4173-1)))</f>
        <v/>
      </c>
      <c r="F4173" s="29" t="str">
        <f t="array" ref="F4173">IF($A4173="","",
  LET(
    r, $D4173,
    startD, INDEX(Calculation!B$2:B9627, r),
    endD,   INDEX(Calculation!C$2:C9627, r),
    asOf,   MIN($A4173,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74">
      <c r="A4174" s="28"/>
      <c r="B4174" s="29"/>
      <c r="C4174" s="29" t="str">
        <f t="shared" si="1"/>
        <v/>
      </c>
      <c r="D4174" s="6" t="str">
        <f>IF(A4174="","",MATCH(A4174,Calculation!B$2:B9627,1))</f>
        <v/>
      </c>
      <c r="E4174" s="29" t="str">
        <f t="array" ref="E4174">IF(D4174="","",IF(D4174=1,0,INDEX(Calculation!Q$2:Q9627,D4174-1)))</f>
        <v/>
      </c>
      <c r="F4174" s="29" t="str">
        <f t="array" ref="F4174">IF($A4174="","",
  LET(
    r, $D4174,
    startD, INDEX(Calculation!B$2:B9627, r),
    endD,   INDEX(Calculation!C$2:C9627, r),
    asOf,   MIN($A4174,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75">
      <c r="A4175" s="28"/>
      <c r="B4175" s="29"/>
      <c r="C4175" s="29" t="str">
        <f t="shared" si="1"/>
        <v/>
      </c>
      <c r="D4175" s="6" t="str">
        <f>IF(A4175="","",MATCH(A4175,Calculation!B$2:B9627,1))</f>
        <v/>
      </c>
      <c r="E4175" s="29" t="str">
        <f t="array" ref="E4175">IF(D4175="","",IF(D4175=1,0,INDEX(Calculation!Q$2:Q9627,D4175-1)))</f>
        <v/>
      </c>
      <c r="F4175" s="29" t="str">
        <f t="array" ref="F4175">IF($A4175="","",
  LET(
    r, $D4175,
    startD, INDEX(Calculation!B$2:B9627, r),
    endD,   INDEX(Calculation!C$2:C9627, r),
    asOf,   MIN($A4175,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76">
      <c r="A4176" s="28"/>
      <c r="B4176" s="29"/>
      <c r="C4176" s="29" t="str">
        <f t="shared" si="1"/>
        <v/>
      </c>
      <c r="D4176" s="6" t="str">
        <f>IF(A4176="","",MATCH(A4176,Calculation!B$2:B9627,1))</f>
        <v/>
      </c>
      <c r="E4176" s="29" t="str">
        <f t="array" ref="E4176">IF(D4176="","",IF(D4176=1,0,INDEX(Calculation!Q$2:Q9627,D4176-1)))</f>
        <v/>
      </c>
      <c r="F4176" s="29" t="str">
        <f t="array" ref="F4176">IF($A4176="","",
  LET(
    r, $D4176,
    startD, INDEX(Calculation!B$2:B9627, r),
    endD,   INDEX(Calculation!C$2:C9627, r),
    asOf,   MIN($A4176,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77">
      <c r="A4177" s="28"/>
      <c r="B4177" s="29"/>
      <c r="C4177" s="29" t="str">
        <f t="shared" si="1"/>
        <v/>
      </c>
      <c r="D4177" s="6" t="str">
        <f>IF(A4177="","",MATCH(A4177,Calculation!B$2:B9627,1))</f>
        <v/>
      </c>
      <c r="E4177" s="29" t="str">
        <f t="array" ref="E4177">IF(D4177="","",IF(D4177=1,0,INDEX(Calculation!Q$2:Q9627,D4177-1)))</f>
        <v/>
      </c>
      <c r="F4177" s="29" t="str">
        <f t="array" ref="F4177">IF($A4177="","",
  LET(
    r, $D4177,
    startD, INDEX(Calculation!B$2:B9627, r),
    endD,   INDEX(Calculation!C$2:C9627, r),
    asOf,   MIN($A4177,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78">
      <c r="A4178" s="28"/>
      <c r="B4178" s="29"/>
      <c r="C4178" s="29" t="str">
        <f t="shared" si="1"/>
        <v/>
      </c>
      <c r="D4178" s="6" t="str">
        <f>IF(A4178="","",MATCH(A4178,Calculation!B$2:B9627,1))</f>
        <v/>
      </c>
      <c r="E4178" s="29" t="str">
        <f t="array" ref="E4178">IF(D4178="","",IF(D4178=1,0,INDEX(Calculation!Q$2:Q9627,D4178-1)))</f>
        <v/>
      </c>
      <c r="F4178" s="29" t="str">
        <f t="array" ref="F4178">IF($A4178="","",
  LET(
    r, $D4178,
    startD, INDEX(Calculation!B$2:B9627, r),
    endD,   INDEX(Calculation!C$2:C9627, r),
    asOf,   MIN($A4178,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79">
      <c r="A4179" s="28"/>
      <c r="B4179" s="29"/>
      <c r="C4179" s="29" t="str">
        <f t="shared" si="1"/>
        <v/>
      </c>
      <c r="D4179" s="6" t="str">
        <f>IF(A4179="","",MATCH(A4179,Calculation!B$2:B9627,1))</f>
        <v/>
      </c>
      <c r="E4179" s="29" t="str">
        <f t="array" ref="E4179">IF(D4179="","",IF(D4179=1,0,INDEX(Calculation!Q$2:Q9627,D4179-1)))</f>
        <v/>
      </c>
      <c r="F4179" s="29" t="str">
        <f t="array" ref="F4179">IF($A4179="","",
  LET(
    r, $D4179,
    startD, INDEX(Calculation!B$2:B9627, r),
    endD,   INDEX(Calculation!C$2:C9627, r),
    asOf,   MIN($A4179,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80">
      <c r="A4180" s="28"/>
      <c r="B4180" s="29"/>
      <c r="C4180" s="29" t="str">
        <f t="shared" si="1"/>
        <v/>
      </c>
      <c r="D4180" s="6" t="str">
        <f>IF(A4180="","",MATCH(A4180,Calculation!B$2:B9627,1))</f>
        <v/>
      </c>
      <c r="E4180" s="29" t="str">
        <f t="array" ref="E4180">IF(D4180="","",IF(D4180=1,0,INDEX(Calculation!Q$2:Q9627,D4180-1)))</f>
        <v/>
      </c>
      <c r="F4180" s="29" t="str">
        <f t="array" ref="F4180">IF($A4180="","",
  LET(
    r, $D4180,
    startD, INDEX(Calculation!B$2:B9627, r),
    endD,   INDEX(Calculation!C$2:C9627, r),
    asOf,   MIN($A4180,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81">
      <c r="A4181" s="28"/>
      <c r="B4181" s="29"/>
      <c r="C4181" s="29" t="str">
        <f t="shared" si="1"/>
        <v/>
      </c>
      <c r="D4181" s="6" t="str">
        <f>IF(A4181="","",MATCH(A4181,Calculation!B$2:B9627,1))</f>
        <v/>
      </c>
      <c r="E4181" s="29" t="str">
        <f t="array" ref="E4181">IF(D4181="","",IF(D4181=1,0,INDEX(Calculation!Q$2:Q9627,D4181-1)))</f>
        <v/>
      </c>
      <c r="F4181" s="29" t="str">
        <f t="array" ref="F4181">IF($A4181="","",
  LET(
    r, $D4181,
    startD, INDEX(Calculation!B$2:B9627, r),
    endD,   INDEX(Calculation!C$2:C9627, r),
    asOf,   MIN($A4181,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82">
      <c r="A4182" s="28"/>
      <c r="B4182" s="29"/>
      <c r="C4182" s="29" t="str">
        <f t="shared" si="1"/>
        <v/>
      </c>
      <c r="D4182" s="6" t="str">
        <f>IF(A4182="","",MATCH(A4182,Calculation!B$2:B9627,1))</f>
        <v/>
      </c>
      <c r="E4182" s="29" t="str">
        <f t="array" ref="E4182">IF(D4182="","",IF(D4182=1,0,INDEX(Calculation!Q$2:Q9627,D4182-1)))</f>
        <v/>
      </c>
      <c r="F4182" s="29" t="str">
        <f t="array" ref="F4182">IF($A4182="","",
  LET(
    r, $D4182,
    startD, INDEX(Calculation!B$2:B9627, r),
    endD,   INDEX(Calculation!C$2:C9627, r),
    asOf,   MIN($A4182,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83">
      <c r="A4183" s="28"/>
      <c r="B4183" s="29"/>
      <c r="C4183" s="29" t="str">
        <f t="shared" si="1"/>
        <v/>
      </c>
      <c r="D4183" s="6" t="str">
        <f>IF(A4183="","",MATCH(A4183,Calculation!B$2:B9627,1))</f>
        <v/>
      </c>
      <c r="E4183" s="29" t="str">
        <f t="array" ref="E4183">IF(D4183="","",IF(D4183=1,0,INDEX(Calculation!Q$2:Q9627,D4183-1)))</f>
        <v/>
      </c>
      <c r="F4183" s="29" t="str">
        <f t="array" ref="F4183">IF($A4183="","",
  LET(
    r, $D4183,
    startD, INDEX(Calculation!B$2:B9627, r),
    endD,   INDEX(Calculation!C$2:C9627, r),
    asOf,   MIN($A4183,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84">
      <c r="A4184" s="28"/>
      <c r="B4184" s="29"/>
      <c r="C4184" s="29" t="str">
        <f t="shared" si="1"/>
        <v/>
      </c>
      <c r="D4184" s="6" t="str">
        <f>IF(A4184="","",MATCH(A4184,Calculation!B$2:B9627,1))</f>
        <v/>
      </c>
      <c r="E4184" s="29" t="str">
        <f t="array" ref="E4184">IF(D4184="","",IF(D4184=1,0,INDEX(Calculation!Q$2:Q9627,D4184-1)))</f>
        <v/>
      </c>
      <c r="F4184" s="29" t="str">
        <f t="array" ref="F4184">IF($A4184="","",
  LET(
    r, $D4184,
    startD, INDEX(Calculation!B$2:B9627, r),
    endD,   INDEX(Calculation!C$2:C9627, r),
    asOf,   MIN($A4184,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85">
      <c r="A4185" s="28"/>
      <c r="B4185" s="29"/>
      <c r="C4185" s="29" t="str">
        <f t="shared" si="1"/>
        <v/>
      </c>
      <c r="D4185" s="6" t="str">
        <f>IF(A4185="","",MATCH(A4185,Calculation!B$2:B9627,1))</f>
        <v/>
      </c>
      <c r="E4185" s="29" t="str">
        <f t="array" ref="E4185">IF(D4185="","",IF(D4185=1,0,INDEX(Calculation!Q$2:Q9627,D4185-1)))</f>
        <v/>
      </c>
      <c r="F4185" s="29" t="str">
        <f t="array" ref="F4185">IF($A4185="","",
  LET(
    r, $D4185,
    startD, INDEX(Calculation!B$2:B9627, r),
    endD,   INDEX(Calculation!C$2:C9627, r),
    asOf,   MIN($A4185,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86">
      <c r="A4186" s="28"/>
      <c r="B4186" s="29"/>
      <c r="C4186" s="29" t="str">
        <f t="shared" si="1"/>
        <v/>
      </c>
      <c r="D4186" s="6" t="str">
        <f>IF(A4186="","",MATCH(A4186,Calculation!B$2:B9627,1))</f>
        <v/>
      </c>
      <c r="E4186" s="29" t="str">
        <f t="array" ref="E4186">IF(D4186="","",IF(D4186=1,0,INDEX(Calculation!Q$2:Q9627,D4186-1)))</f>
        <v/>
      </c>
      <c r="F4186" s="29" t="str">
        <f t="array" ref="F4186">IF($A4186="","",
  LET(
    r, $D4186,
    startD, INDEX(Calculation!B$2:B9627, r),
    endD,   INDEX(Calculation!C$2:C9627, r),
    asOf,   MIN($A4186,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87">
      <c r="A4187" s="28"/>
      <c r="B4187" s="29"/>
      <c r="C4187" s="29" t="str">
        <f t="shared" si="1"/>
        <v/>
      </c>
      <c r="D4187" s="6" t="str">
        <f>IF(A4187="","",MATCH(A4187,Calculation!B$2:B9627,1))</f>
        <v/>
      </c>
      <c r="E4187" s="29" t="str">
        <f t="array" ref="E4187">IF(D4187="","",IF(D4187=1,0,INDEX(Calculation!Q$2:Q9627,D4187-1)))</f>
        <v/>
      </c>
      <c r="F4187" s="29" t="str">
        <f t="array" ref="F4187">IF($A4187="","",
  LET(
    r, $D4187,
    startD, INDEX(Calculation!B$2:B9627, r),
    endD,   INDEX(Calculation!C$2:C9627, r),
    asOf,   MIN($A4187,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88">
      <c r="A4188" s="28"/>
      <c r="B4188" s="29"/>
      <c r="C4188" s="29" t="str">
        <f t="shared" si="1"/>
        <v/>
      </c>
      <c r="D4188" s="6" t="str">
        <f>IF(A4188="","",MATCH(A4188,Calculation!B$2:B9627,1))</f>
        <v/>
      </c>
      <c r="E4188" s="29" t="str">
        <f t="array" ref="E4188">IF(D4188="","",IF(D4188=1,0,INDEX(Calculation!Q$2:Q9627,D4188-1)))</f>
        <v/>
      </c>
      <c r="F4188" s="29" t="str">
        <f t="array" ref="F4188">IF($A4188="","",
  LET(
    r, $D4188,
    startD, INDEX(Calculation!B$2:B9627, r),
    endD,   INDEX(Calculation!C$2:C9627, r),
    asOf,   MIN($A4188,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89">
      <c r="A4189" s="28"/>
      <c r="B4189" s="29"/>
      <c r="C4189" s="29" t="str">
        <f t="shared" si="1"/>
        <v/>
      </c>
      <c r="D4189" s="6" t="str">
        <f>IF(A4189="","",MATCH(A4189,Calculation!B$2:B9627,1))</f>
        <v/>
      </c>
      <c r="E4189" s="29" t="str">
        <f t="array" ref="E4189">IF(D4189="","",IF(D4189=1,0,INDEX(Calculation!Q$2:Q9627,D4189-1)))</f>
        <v/>
      </c>
      <c r="F4189" s="29" t="str">
        <f t="array" ref="F4189">IF($A4189="","",
  LET(
    r, $D4189,
    startD, INDEX(Calculation!B$2:B9627, r),
    endD,   INDEX(Calculation!C$2:C9627, r),
    asOf,   MIN($A4189,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90">
      <c r="A4190" s="28"/>
      <c r="B4190" s="29"/>
      <c r="C4190" s="29" t="str">
        <f t="shared" si="1"/>
        <v/>
      </c>
      <c r="D4190" s="6" t="str">
        <f>IF(A4190="","",MATCH(A4190,Calculation!B$2:B9627,1))</f>
        <v/>
      </c>
      <c r="E4190" s="29" t="str">
        <f t="array" ref="E4190">IF(D4190="","",IF(D4190=1,0,INDEX(Calculation!Q$2:Q9627,D4190-1)))</f>
        <v/>
      </c>
      <c r="F4190" s="29" t="str">
        <f t="array" ref="F4190">IF($A4190="","",
  LET(
    r, $D4190,
    startD, INDEX(Calculation!B$2:B9627, r),
    endD,   INDEX(Calculation!C$2:C9627, r),
    asOf,   MIN($A4190,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91">
      <c r="A4191" s="28"/>
      <c r="B4191" s="29"/>
      <c r="C4191" s="29" t="str">
        <f t="shared" si="1"/>
        <v/>
      </c>
      <c r="D4191" s="6" t="str">
        <f>IF(A4191="","",MATCH(A4191,Calculation!B$2:B9627,1))</f>
        <v/>
      </c>
      <c r="E4191" s="29" t="str">
        <f t="array" ref="E4191">IF(D4191="","",IF(D4191=1,0,INDEX(Calculation!Q$2:Q9627,D4191-1)))</f>
        <v/>
      </c>
      <c r="F4191" s="29" t="str">
        <f t="array" ref="F4191">IF($A4191="","",
  LET(
    r, $D4191,
    startD, INDEX(Calculation!B$2:B9627, r),
    endD,   INDEX(Calculation!C$2:C9627, r),
    asOf,   MIN($A4191,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92">
      <c r="A4192" s="28"/>
      <c r="B4192" s="29"/>
      <c r="C4192" s="29" t="str">
        <f t="shared" si="1"/>
        <v/>
      </c>
      <c r="D4192" s="6" t="str">
        <f>IF(A4192="","",MATCH(A4192,Calculation!B$2:B9627,1))</f>
        <v/>
      </c>
      <c r="E4192" s="29" t="str">
        <f t="array" ref="E4192">IF(D4192="","",IF(D4192=1,0,INDEX(Calculation!Q$2:Q9627,D4192-1)))</f>
        <v/>
      </c>
      <c r="F4192" s="29" t="str">
        <f t="array" ref="F4192">IF($A4192="","",
  LET(
    r, $D4192,
    startD, INDEX(Calculation!B$2:B9627, r),
    endD,   INDEX(Calculation!C$2:C9627, r),
    asOf,   MIN($A4192,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93">
      <c r="A4193" s="28"/>
      <c r="B4193" s="29"/>
      <c r="C4193" s="29" t="str">
        <f t="shared" si="1"/>
        <v/>
      </c>
      <c r="D4193" s="6" t="str">
        <f>IF(A4193="","",MATCH(A4193,Calculation!B$2:B9627,1))</f>
        <v/>
      </c>
      <c r="E4193" s="29" t="str">
        <f t="array" ref="E4193">IF(D4193="","",IF(D4193=1,0,INDEX(Calculation!Q$2:Q9627,D4193-1)))</f>
        <v/>
      </c>
      <c r="F4193" s="29" t="str">
        <f t="array" ref="F4193">IF($A4193="","",
  LET(
    r, $D4193,
    startD, INDEX(Calculation!B$2:B9627, r),
    endD,   INDEX(Calculation!C$2:C9627, r),
    asOf,   MIN($A4193,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94">
      <c r="A4194" s="28"/>
      <c r="B4194" s="29"/>
      <c r="C4194" s="29" t="str">
        <f t="shared" si="1"/>
        <v/>
      </c>
      <c r="D4194" s="6" t="str">
        <f>IF(A4194="","",MATCH(A4194,Calculation!B$2:B9627,1))</f>
        <v/>
      </c>
      <c r="E4194" s="29" t="str">
        <f t="array" ref="E4194">IF(D4194="","",IF(D4194=1,0,INDEX(Calculation!Q$2:Q9627,D4194-1)))</f>
        <v/>
      </c>
      <c r="F4194" s="29" t="str">
        <f t="array" ref="F4194">IF($A4194="","",
  LET(
    r, $D4194,
    startD, INDEX(Calculation!B$2:B9627, r),
    endD,   INDEX(Calculation!C$2:C9627, r),
    asOf,   MIN($A4194,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95">
      <c r="A4195" s="28"/>
      <c r="B4195" s="29"/>
      <c r="C4195" s="29" t="str">
        <f t="shared" si="1"/>
        <v/>
      </c>
      <c r="D4195" s="6" t="str">
        <f>IF(A4195="","",MATCH(A4195,Calculation!B$2:B9627,1))</f>
        <v/>
      </c>
      <c r="E4195" s="29" t="str">
        <f t="array" ref="E4195">IF(D4195="","",IF(D4195=1,0,INDEX(Calculation!Q$2:Q9627,D4195-1)))</f>
        <v/>
      </c>
      <c r="F4195" s="29" t="str">
        <f t="array" ref="F4195">IF($A4195="","",
  LET(
    r, $D4195,
    startD, INDEX(Calculation!B$2:B9627, r),
    endD,   INDEX(Calculation!C$2:C9627, r),
    asOf,   MIN($A4195,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96">
      <c r="A4196" s="28"/>
      <c r="B4196" s="29"/>
      <c r="C4196" s="29" t="str">
        <f t="shared" si="1"/>
        <v/>
      </c>
      <c r="D4196" s="6" t="str">
        <f>IF(A4196="","",MATCH(A4196,Calculation!B$2:B9627,1))</f>
        <v/>
      </c>
      <c r="E4196" s="29" t="str">
        <f t="array" ref="E4196">IF(D4196="","",IF(D4196=1,0,INDEX(Calculation!Q$2:Q9627,D4196-1)))</f>
        <v/>
      </c>
      <c r="F4196" s="29" t="str">
        <f t="array" ref="F4196">IF($A4196="","",
  LET(
    r, $D4196,
    startD, INDEX(Calculation!B$2:B9627, r),
    endD,   INDEX(Calculation!C$2:C9627, r),
    asOf,   MIN($A4196,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97">
      <c r="A4197" s="28"/>
      <c r="B4197" s="29"/>
      <c r="C4197" s="29" t="str">
        <f t="shared" si="1"/>
        <v/>
      </c>
      <c r="D4197" s="6" t="str">
        <f>IF(A4197="","",MATCH(A4197,Calculation!B$2:B9627,1))</f>
        <v/>
      </c>
      <c r="E4197" s="29" t="str">
        <f t="array" ref="E4197">IF(D4197="","",IF(D4197=1,0,INDEX(Calculation!Q$2:Q9627,D4197-1)))</f>
        <v/>
      </c>
      <c r="F4197" s="29" t="str">
        <f t="array" ref="F4197">IF($A4197="","",
  LET(
    r, $D4197,
    startD, INDEX(Calculation!B$2:B9627, r),
    endD,   INDEX(Calculation!C$2:C9627, r),
    asOf,   MIN($A4197,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98">
      <c r="A4198" s="28"/>
      <c r="B4198" s="29"/>
      <c r="C4198" s="29" t="str">
        <f t="shared" si="1"/>
        <v/>
      </c>
      <c r="D4198" s="6" t="str">
        <f>IF(A4198="","",MATCH(A4198,Calculation!B$2:B9627,1))</f>
        <v/>
      </c>
      <c r="E4198" s="29" t="str">
        <f t="array" ref="E4198">IF(D4198="","",IF(D4198=1,0,INDEX(Calculation!Q$2:Q9627,D4198-1)))</f>
        <v/>
      </c>
      <c r="F4198" s="29" t="str">
        <f t="array" ref="F4198">IF($A4198="","",
  LET(
    r, $D4198,
    startD, INDEX(Calculation!B$2:B9627, r),
    endD,   INDEX(Calculation!C$2:C9627, r),
    asOf,   MIN($A4198,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199">
      <c r="A4199" s="28"/>
      <c r="B4199" s="29"/>
      <c r="C4199" s="29" t="str">
        <f t="shared" si="1"/>
        <v/>
      </c>
      <c r="D4199" s="6" t="str">
        <f>IF(A4199="","",MATCH(A4199,Calculation!B$2:B9627,1))</f>
        <v/>
      </c>
      <c r="E4199" s="29" t="str">
        <f t="array" ref="E4199">IF(D4199="","",IF(D4199=1,0,INDEX(Calculation!Q$2:Q9627,D4199-1)))</f>
        <v/>
      </c>
      <c r="F4199" s="29" t="str">
        <f t="array" ref="F4199">IF($A4199="","",
  LET(
    r, $D4199,
    startD, INDEX(Calculation!B$2:B9627, r),
    endD,   INDEX(Calculation!C$2:C9627, r),
    asOf,   MIN($A4199,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00">
      <c r="A4200" s="28"/>
      <c r="B4200" s="29"/>
      <c r="C4200" s="29" t="str">
        <f t="shared" si="1"/>
        <v/>
      </c>
      <c r="D4200" s="6" t="str">
        <f>IF(A4200="","",MATCH(A4200,Calculation!B$2:B9627,1))</f>
        <v/>
      </c>
      <c r="E4200" s="29" t="str">
        <f t="array" ref="E4200">IF(D4200="","",IF(D4200=1,0,INDEX(Calculation!Q$2:Q9627,D4200-1)))</f>
        <v/>
      </c>
      <c r="F4200" s="29" t="str">
        <f t="array" ref="F4200">IF($A4200="","",
  LET(
    r, $D4200,
    startD, INDEX(Calculation!B$2:B9627, r),
    endD,   INDEX(Calculation!C$2:C9627, r),
    asOf,   MIN($A4200,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01">
      <c r="A4201" s="28"/>
      <c r="B4201" s="29"/>
      <c r="C4201" s="29" t="str">
        <f t="shared" si="1"/>
        <v/>
      </c>
      <c r="D4201" s="6" t="str">
        <f>IF(A4201="","",MATCH(A4201,Calculation!B$2:B9627,1))</f>
        <v/>
      </c>
      <c r="E4201" s="29" t="str">
        <f t="array" ref="E4201">IF(D4201="","",IF(D4201=1,0,INDEX(Calculation!Q$2:Q9627,D4201-1)))</f>
        <v/>
      </c>
      <c r="F4201" s="29" t="str">
        <f t="array" ref="F4201">IF($A4201="","",
  LET(
    r, $D4201,
    startD, INDEX(Calculation!B$2:B9627, r),
    endD,   INDEX(Calculation!C$2:C9627, r),
    asOf,   MIN($A4201,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02">
      <c r="A4202" s="28"/>
      <c r="B4202" s="29"/>
      <c r="C4202" s="29" t="str">
        <f t="shared" si="1"/>
        <v/>
      </c>
      <c r="D4202" s="6" t="str">
        <f>IF(A4202="","",MATCH(A4202,Calculation!B$2:B9627,1))</f>
        <v/>
      </c>
      <c r="E4202" s="29" t="str">
        <f t="array" ref="E4202">IF(D4202="","",IF(D4202=1,0,INDEX(Calculation!Q$2:Q9627,D4202-1)))</f>
        <v/>
      </c>
      <c r="F4202" s="29" t="str">
        <f t="array" ref="F4202">IF($A4202="","",
  LET(
    r, $D4202,
    startD, INDEX(Calculation!B$2:B9627, r),
    endD,   INDEX(Calculation!C$2:C9627, r),
    asOf,   MIN($A4202,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03">
      <c r="A4203" s="28"/>
      <c r="B4203" s="29"/>
      <c r="C4203" s="29" t="str">
        <f t="shared" si="1"/>
        <v/>
      </c>
      <c r="D4203" s="6" t="str">
        <f>IF(A4203="","",MATCH(A4203,Calculation!B$2:B9627,1))</f>
        <v/>
      </c>
      <c r="E4203" s="29" t="str">
        <f t="array" ref="E4203">IF(D4203="","",IF(D4203=1,0,INDEX(Calculation!Q$2:Q9627,D4203-1)))</f>
        <v/>
      </c>
      <c r="F4203" s="29" t="str">
        <f t="array" ref="F4203">IF($A4203="","",
  LET(
    r, $D4203,
    startD, INDEX(Calculation!B$2:B9627, r),
    endD,   INDEX(Calculation!C$2:C9627, r),
    asOf,   MIN($A4203,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04">
      <c r="A4204" s="28"/>
      <c r="B4204" s="29"/>
      <c r="C4204" s="29" t="str">
        <f t="shared" si="1"/>
        <v/>
      </c>
      <c r="D4204" s="6" t="str">
        <f>IF(A4204="","",MATCH(A4204,Calculation!B$2:B9627,1))</f>
        <v/>
      </c>
      <c r="E4204" s="29" t="str">
        <f t="array" ref="E4204">IF(D4204="","",IF(D4204=1,0,INDEX(Calculation!Q$2:Q9627,D4204-1)))</f>
        <v/>
      </c>
      <c r="F4204" s="29" t="str">
        <f t="array" ref="F4204">IF($A4204="","",
  LET(
    r, $D4204,
    startD, INDEX(Calculation!B$2:B9627, r),
    endD,   INDEX(Calculation!C$2:C9627, r),
    asOf,   MIN($A4204,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05">
      <c r="A4205" s="28"/>
      <c r="B4205" s="29"/>
      <c r="C4205" s="29" t="str">
        <f t="shared" si="1"/>
        <v/>
      </c>
      <c r="D4205" s="6" t="str">
        <f>IF(A4205="","",MATCH(A4205,Calculation!B$2:B9627,1))</f>
        <v/>
      </c>
      <c r="E4205" s="29" t="str">
        <f t="array" ref="E4205">IF(D4205="","",IF(D4205=1,0,INDEX(Calculation!Q$2:Q9627,D4205-1)))</f>
        <v/>
      </c>
      <c r="F4205" s="29" t="str">
        <f t="array" ref="F4205">IF($A4205="","",
  LET(
    r, $D4205,
    startD, INDEX(Calculation!B$2:B9627, r),
    endD,   INDEX(Calculation!C$2:C9627, r),
    asOf,   MIN($A4205,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06">
      <c r="A4206" s="28"/>
      <c r="B4206" s="29"/>
      <c r="C4206" s="29" t="str">
        <f t="shared" si="1"/>
        <v/>
      </c>
      <c r="D4206" s="6" t="str">
        <f>IF(A4206="","",MATCH(A4206,Calculation!B$2:B9627,1))</f>
        <v/>
      </c>
      <c r="E4206" s="29" t="str">
        <f t="array" ref="E4206">IF(D4206="","",IF(D4206=1,0,INDEX(Calculation!Q$2:Q9627,D4206-1)))</f>
        <v/>
      </c>
      <c r="F4206" s="29" t="str">
        <f t="array" ref="F4206">IF($A4206="","",
  LET(
    r, $D4206,
    startD, INDEX(Calculation!B$2:B9627, r),
    endD,   INDEX(Calculation!C$2:C9627, r),
    asOf,   MIN($A4206,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07">
      <c r="A4207" s="28"/>
      <c r="B4207" s="29"/>
      <c r="C4207" s="29" t="str">
        <f t="shared" si="1"/>
        <v/>
      </c>
      <c r="D4207" s="6" t="str">
        <f>IF(A4207="","",MATCH(A4207,Calculation!B$2:B9627,1))</f>
        <v/>
      </c>
      <c r="E4207" s="29" t="str">
        <f t="array" ref="E4207">IF(D4207="","",IF(D4207=1,0,INDEX(Calculation!Q$2:Q9627,D4207-1)))</f>
        <v/>
      </c>
      <c r="F4207" s="29" t="str">
        <f t="array" ref="F4207">IF($A4207="","",
  LET(
    r, $D4207,
    startD, INDEX(Calculation!B$2:B9627, r),
    endD,   INDEX(Calculation!C$2:C9627, r),
    asOf,   MIN($A4207,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08">
      <c r="A4208" s="28"/>
      <c r="B4208" s="29"/>
      <c r="C4208" s="29" t="str">
        <f t="shared" si="1"/>
        <v/>
      </c>
      <c r="D4208" s="6" t="str">
        <f>IF(A4208="","",MATCH(A4208,Calculation!B$2:B9627,1))</f>
        <v/>
      </c>
      <c r="E4208" s="29" t="str">
        <f t="array" ref="E4208">IF(D4208="","",IF(D4208=1,0,INDEX(Calculation!Q$2:Q9627,D4208-1)))</f>
        <v/>
      </c>
      <c r="F4208" s="29" t="str">
        <f t="array" ref="F4208">IF($A4208="","",
  LET(
    r, $D4208,
    startD, INDEX(Calculation!B$2:B9627, r),
    endD,   INDEX(Calculation!C$2:C9627, r),
    asOf,   MIN($A4208,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09">
      <c r="A4209" s="28"/>
      <c r="B4209" s="29"/>
      <c r="C4209" s="29" t="str">
        <f t="shared" si="1"/>
        <v/>
      </c>
      <c r="D4209" s="6" t="str">
        <f>IF(A4209="","",MATCH(A4209,Calculation!B$2:B9627,1))</f>
        <v/>
      </c>
      <c r="E4209" s="29" t="str">
        <f t="array" ref="E4209">IF(D4209="","",IF(D4209=1,0,INDEX(Calculation!Q$2:Q9627,D4209-1)))</f>
        <v/>
      </c>
      <c r="F4209" s="29" t="str">
        <f t="array" ref="F4209">IF($A4209="","",
  LET(
    r, $D4209,
    startD, INDEX(Calculation!B$2:B9627, r),
    endD,   INDEX(Calculation!C$2:C9627, r),
    asOf,   MIN($A4209,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10">
      <c r="A4210" s="28"/>
      <c r="B4210" s="29"/>
      <c r="C4210" s="29" t="str">
        <f t="shared" si="1"/>
        <v/>
      </c>
      <c r="D4210" s="6" t="str">
        <f>IF(A4210="","",MATCH(A4210,Calculation!B$2:B9627,1))</f>
        <v/>
      </c>
      <c r="E4210" s="29" t="str">
        <f t="array" ref="E4210">IF(D4210="","",IF(D4210=1,0,INDEX(Calculation!Q$2:Q9627,D4210-1)))</f>
        <v/>
      </c>
      <c r="F4210" s="29" t="str">
        <f t="array" ref="F4210">IF($A4210="","",
  LET(
    r, $D4210,
    startD, INDEX(Calculation!B$2:B9627, r),
    endD,   INDEX(Calculation!C$2:C9627, r),
    asOf,   MIN($A4210,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11">
      <c r="A4211" s="28"/>
      <c r="B4211" s="29"/>
      <c r="C4211" s="29" t="str">
        <f t="shared" si="1"/>
        <v/>
      </c>
      <c r="D4211" s="6" t="str">
        <f>IF(A4211="","",MATCH(A4211,Calculation!B$2:B9627,1))</f>
        <v/>
      </c>
      <c r="E4211" s="29" t="str">
        <f t="array" ref="E4211">IF(D4211="","",IF(D4211=1,0,INDEX(Calculation!Q$2:Q9627,D4211-1)))</f>
        <v/>
      </c>
      <c r="F4211" s="29" t="str">
        <f t="array" ref="F4211">IF($A4211="","",
  LET(
    r, $D4211,
    startD, INDEX(Calculation!B$2:B9627, r),
    endD,   INDEX(Calculation!C$2:C9627, r),
    asOf,   MIN($A4211,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12">
      <c r="A4212" s="28"/>
      <c r="B4212" s="29"/>
      <c r="C4212" s="29" t="str">
        <f t="shared" si="1"/>
        <v/>
      </c>
      <c r="D4212" s="6" t="str">
        <f>IF(A4212="","",MATCH(A4212,Calculation!B$2:B9627,1))</f>
        <v/>
      </c>
      <c r="E4212" s="29" t="str">
        <f t="array" ref="E4212">IF(D4212="","",IF(D4212=1,0,INDEX(Calculation!Q$2:Q9627,D4212-1)))</f>
        <v/>
      </c>
      <c r="F4212" s="29" t="str">
        <f t="array" ref="F4212">IF($A4212="","",
  LET(
    r, $D4212,
    startD, INDEX(Calculation!B$2:B9627, r),
    endD,   INDEX(Calculation!C$2:C9627, r),
    asOf,   MIN($A4212,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13">
      <c r="A4213" s="28"/>
      <c r="B4213" s="29"/>
      <c r="C4213" s="29" t="str">
        <f t="shared" si="1"/>
        <v/>
      </c>
      <c r="D4213" s="6" t="str">
        <f>IF(A4213="","",MATCH(A4213,Calculation!B$2:B9627,1))</f>
        <v/>
      </c>
      <c r="E4213" s="29" t="str">
        <f t="array" ref="E4213">IF(D4213="","",IF(D4213=1,0,INDEX(Calculation!Q$2:Q9627,D4213-1)))</f>
        <v/>
      </c>
      <c r="F4213" s="29" t="str">
        <f t="array" ref="F4213">IF($A4213="","",
  LET(
    r, $D4213,
    startD, INDEX(Calculation!B$2:B9627, r),
    endD,   INDEX(Calculation!C$2:C9627, r),
    asOf,   MIN($A4213,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14">
      <c r="A4214" s="28"/>
      <c r="B4214" s="29"/>
      <c r="C4214" s="29" t="str">
        <f t="shared" si="1"/>
        <v/>
      </c>
      <c r="D4214" s="6" t="str">
        <f>IF(A4214="","",MATCH(A4214,Calculation!B$2:B9627,1))</f>
        <v/>
      </c>
      <c r="E4214" s="29" t="str">
        <f t="array" ref="E4214">IF(D4214="","",IF(D4214=1,0,INDEX(Calculation!Q$2:Q9627,D4214-1)))</f>
        <v/>
      </c>
      <c r="F4214" s="29" t="str">
        <f t="array" ref="F4214">IF($A4214="","",
  LET(
    r, $D4214,
    startD, INDEX(Calculation!B$2:B9627, r),
    endD,   INDEX(Calculation!C$2:C9627, r),
    asOf,   MIN($A4214,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15">
      <c r="A4215" s="28"/>
      <c r="B4215" s="29"/>
      <c r="C4215" s="29" t="str">
        <f t="shared" si="1"/>
        <v/>
      </c>
      <c r="D4215" s="6" t="str">
        <f>IF(A4215="","",MATCH(A4215,Calculation!B$2:B9627,1))</f>
        <v/>
      </c>
      <c r="E4215" s="29" t="str">
        <f t="array" ref="E4215">IF(D4215="","",IF(D4215=1,0,INDEX(Calculation!Q$2:Q9627,D4215-1)))</f>
        <v/>
      </c>
      <c r="F4215" s="29" t="str">
        <f t="array" ref="F4215">IF($A4215="","",
  LET(
    r, $D4215,
    startD, INDEX(Calculation!B$2:B9627, r),
    endD,   INDEX(Calculation!C$2:C9627, r),
    asOf,   MIN($A4215,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16">
      <c r="A4216" s="28"/>
      <c r="B4216" s="29"/>
      <c r="C4216" s="29" t="str">
        <f t="shared" si="1"/>
        <v/>
      </c>
      <c r="D4216" s="6" t="str">
        <f>IF(A4216="","",MATCH(A4216,Calculation!B$2:B9627,1))</f>
        <v/>
      </c>
      <c r="E4216" s="29" t="str">
        <f t="array" ref="E4216">IF(D4216="","",IF(D4216=1,0,INDEX(Calculation!Q$2:Q9627,D4216-1)))</f>
        <v/>
      </c>
      <c r="F4216" s="29" t="str">
        <f t="array" ref="F4216">IF($A4216="","",
  LET(
    r, $D4216,
    startD, INDEX(Calculation!B$2:B9627, r),
    endD,   INDEX(Calculation!C$2:C9627, r),
    asOf,   MIN($A4216,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17">
      <c r="A4217" s="28"/>
      <c r="B4217" s="29"/>
      <c r="C4217" s="29" t="str">
        <f t="shared" si="1"/>
        <v/>
      </c>
      <c r="D4217" s="6" t="str">
        <f>IF(A4217="","",MATCH(A4217,Calculation!B$2:B9627,1))</f>
        <v/>
      </c>
      <c r="E4217" s="29" t="str">
        <f t="array" ref="E4217">IF(D4217="","",IF(D4217=1,0,INDEX(Calculation!Q$2:Q9627,D4217-1)))</f>
        <v/>
      </c>
      <c r="F4217" s="29" t="str">
        <f t="array" ref="F4217">IF($A4217="","",
  LET(
    r, $D4217,
    startD, INDEX(Calculation!B$2:B9627, r),
    endD,   INDEX(Calculation!C$2:C9627, r),
    asOf,   MIN($A4217,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18">
      <c r="A4218" s="28"/>
      <c r="B4218" s="29"/>
      <c r="C4218" s="29" t="str">
        <f t="shared" si="1"/>
        <v/>
      </c>
      <c r="D4218" s="6" t="str">
        <f>IF(A4218="","",MATCH(A4218,Calculation!B$2:B9627,1))</f>
        <v/>
      </c>
      <c r="E4218" s="29" t="str">
        <f t="array" ref="E4218">IF(D4218="","",IF(D4218=1,0,INDEX(Calculation!Q$2:Q9627,D4218-1)))</f>
        <v/>
      </c>
      <c r="F4218" s="29" t="str">
        <f t="array" ref="F4218">IF($A4218="","",
  LET(
    r, $D4218,
    startD, INDEX(Calculation!B$2:B9627, r),
    endD,   INDEX(Calculation!C$2:C9627, r),
    asOf,   MIN($A4218,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19">
      <c r="A4219" s="28"/>
      <c r="B4219" s="29"/>
      <c r="C4219" s="29" t="str">
        <f t="shared" si="1"/>
        <v/>
      </c>
      <c r="D4219" s="6" t="str">
        <f>IF(A4219="","",MATCH(A4219,Calculation!B$2:B9627,1))</f>
        <v/>
      </c>
      <c r="E4219" s="29" t="str">
        <f t="array" ref="E4219">IF(D4219="","",IF(D4219=1,0,INDEX(Calculation!Q$2:Q9627,D4219-1)))</f>
        <v/>
      </c>
      <c r="F4219" s="29" t="str">
        <f t="array" ref="F4219">IF($A4219="","",
  LET(
    r, $D4219,
    startD, INDEX(Calculation!B$2:B9627, r),
    endD,   INDEX(Calculation!C$2:C9627, r),
    asOf,   MIN($A4219,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20">
      <c r="A4220" s="28"/>
      <c r="B4220" s="29"/>
      <c r="C4220" s="29" t="str">
        <f t="shared" si="1"/>
        <v/>
      </c>
      <c r="D4220" s="6" t="str">
        <f>IF(A4220="","",MATCH(A4220,Calculation!B$2:B9627,1))</f>
        <v/>
      </c>
      <c r="E4220" s="29" t="str">
        <f t="array" ref="E4220">IF(D4220="","",IF(D4220=1,0,INDEX(Calculation!Q$2:Q9627,D4220-1)))</f>
        <v/>
      </c>
      <c r="F4220" s="29" t="str">
        <f t="array" ref="F4220">IF($A4220="","",
  LET(
    r, $D4220,
    startD, INDEX(Calculation!B$2:B9627, r),
    endD,   INDEX(Calculation!C$2:C9627, r),
    asOf,   MIN($A4220,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21">
      <c r="A4221" s="28"/>
      <c r="B4221" s="29"/>
      <c r="C4221" s="29" t="str">
        <f t="shared" si="1"/>
        <v/>
      </c>
      <c r="D4221" s="6" t="str">
        <f>IF(A4221="","",MATCH(A4221,Calculation!B$2:B9627,1))</f>
        <v/>
      </c>
      <c r="E4221" s="29" t="str">
        <f t="array" ref="E4221">IF(D4221="","",IF(D4221=1,0,INDEX(Calculation!Q$2:Q9627,D4221-1)))</f>
        <v/>
      </c>
      <c r="F4221" s="29" t="str">
        <f t="array" ref="F4221">IF($A4221="","",
  LET(
    r, $D4221,
    startD, INDEX(Calculation!B$2:B9627, r),
    endD,   INDEX(Calculation!C$2:C9627, r),
    asOf,   MIN($A4221,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22">
      <c r="A4222" s="28"/>
      <c r="B4222" s="29"/>
      <c r="C4222" s="29" t="str">
        <f t="shared" si="1"/>
        <v/>
      </c>
      <c r="D4222" s="6" t="str">
        <f>IF(A4222="","",MATCH(A4222,Calculation!B$2:B9627,1))</f>
        <v/>
      </c>
      <c r="E4222" s="29" t="str">
        <f t="array" ref="E4222">IF(D4222="","",IF(D4222=1,0,INDEX(Calculation!Q$2:Q9627,D4222-1)))</f>
        <v/>
      </c>
      <c r="F4222" s="29" t="str">
        <f t="array" ref="F4222">IF($A4222="","",
  LET(
    r, $D4222,
    startD, INDEX(Calculation!B$2:B9627, r),
    endD,   INDEX(Calculation!C$2:C9627, r),
    asOf,   MIN($A4222,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23">
      <c r="A4223" s="28"/>
      <c r="B4223" s="29"/>
      <c r="C4223" s="29" t="str">
        <f t="shared" si="1"/>
        <v/>
      </c>
      <c r="D4223" s="6" t="str">
        <f>IF(A4223="","",MATCH(A4223,Calculation!B$2:B9627,1))</f>
        <v/>
      </c>
      <c r="E4223" s="29" t="str">
        <f t="array" ref="E4223">IF(D4223="","",IF(D4223=1,0,INDEX(Calculation!Q$2:Q9627,D4223-1)))</f>
        <v/>
      </c>
      <c r="F4223" s="29" t="str">
        <f t="array" ref="F4223">IF($A4223="","",
  LET(
    r, $D4223,
    startD, INDEX(Calculation!B$2:B9627, r),
    endD,   INDEX(Calculation!C$2:C9627, r),
    asOf,   MIN($A4223,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24">
      <c r="A4224" s="28"/>
      <c r="B4224" s="29"/>
      <c r="C4224" s="29" t="str">
        <f t="shared" si="1"/>
        <v/>
      </c>
      <c r="D4224" s="6" t="str">
        <f>IF(A4224="","",MATCH(A4224,Calculation!B$2:B9627,1))</f>
        <v/>
      </c>
      <c r="E4224" s="29" t="str">
        <f t="array" ref="E4224">IF(D4224="","",IF(D4224=1,0,INDEX(Calculation!Q$2:Q9627,D4224-1)))</f>
        <v/>
      </c>
      <c r="F4224" s="29" t="str">
        <f t="array" ref="F4224">IF($A4224="","",
  LET(
    r, $D4224,
    startD, INDEX(Calculation!B$2:B9627, r),
    endD,   INDEX(Calculation!C$2:C9627, r),
    asOf,   MIN($A4224,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25">
      <c r="A4225" s="28"/>
      <c r="B4225" s="29"/>
      <c r="C4225" s="29" t="str">
        <f t="shared" si="1"/>
        <v/>
      </c>
      <c r="D4225" s="6" t="str">
        <f>IF(A4225="","",MATCH(A4225,Calculation!B$2:B9627,1))</f>
        <v/>
      </c>
      <c r="E4225" s="29" t="str">
        <f t="array" ref="E4225">IF(D4225="","",IF(D4225=1,0,INDEX(Calculation!Q$2:Q9627,D4225-1)))</f>
        <v/>
      </c>
      <c r="F4225" s="29" t="str">
        <f t="array" ref="F4225">IF($A4225="","",
  LET(
    r, $D4225,
    startD, INDEX(Calculation!B$2:B9627, r),
    endD,   INDEX(Calculation!C$2:C9627, r),
    asOf,   MIN($A4225,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26">
      <c r="A4226" s="28"/>
      <c r="B4226" s="29"/>
      <c r="C4226" s="29" t="str">
        <f t="shared" si="1"/>
        <v/>
      </c>
      <c r="D4226" s="6" t="str">
        <f>IF(A4226="","",MATCH(A4226,Calculation!B$2:B9627,1))</f>
        <v/>
      </c>
      <c r="E4226" s="29" t="str">
        <f t="array" ref="E4226">IF(D4226="","",IF(D4226=1,0,INDEX(Calculation!Q$2:Q9627,D4226-1)))</f>
        <v/>
      </c>
      <c r="F4226" s="29" t="str">
        <f t="array" ref="F4226">IF($A4226="","",
  LET(
    r, $D4226,
    startD, INDEX(Calculation!B$2:B9627, r),
    endD,   INDEX(Calculation!C$2:C9627, r),
    asOf,   MIN($A4226,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27">
      <c r="A4227" s="28"/>
      <c r="B4227" s="29"/>
      <c r="C4227" s="29" t="str">
        <f t="shared" si="1"/>
        <v/>
      </c>
      <c r="D4227" s="6" t="str">
        <f>IF(A4227="","",MATCH(A4227,Calculation!B$2:B9627,1))</f>
        <v/>
      </c>
      <c r="E4227" s="29" t="str">
        <f t="array" ref="E4227">IF(D4227="","",IF(D4227=1,0,INDEX(Calculation!Q$2:Q9627,D4227-1)))</f>
        <v/>
      </c>
      <c r="F4227" s="29" t="str">
        <f t="array" ref="F4227">IF($A4227="","",
  LET(
    r, $D4227,
    startD, INDEX(Calculation!B$2:B9627, r),
    endD,   INDEX(Calculation!C$2:C9627, r),
    asOf,   MIN($A4227,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28">
      <c r="A4228" s="28"/>
      <c r="B4228" s="29"/>
      <c r="C4228" s="29" t="str">
        <f t="shared" si="1"/>
        <v/>
      </c>
      <c r="D4228" s="6" t="str">
        <f>IF(A4228="","",MATCH(A4228,Calculation!B$2:B9627,1))</f>
        <v/>
      </c>
      <c r="E4228" s="29" t="str">
        <f t="array" ref="E4228">IF(D4228="","",IF(D4228=1,0,INDEX(Calculation!Q$2:Q9627,D4228-1)))</f>
        <v/>
      </c>
      <c r="F4228" s="29" t="str">
        <f t="array" ref="F4228">IF($A4228="","",
  LET(
    r, $D4228,
    startD, INDEX(Calculation!B$2:B9627, r),
    endD,   INDEX(Calculation!C$2:C9627, r),
    asOf,   MIN($A4228,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29">
      <c r="A4229" s="28"/>
      <c r="B4229" s="29"/>
      <c r="C4229" s="29" t="str">
        <f t="shared" si="1"/>
        <v/>
      </c>
      <c r="D4229" s="6" t="str">
        <f>IF(A4229="","",MATCH(A4229,Calculation!B$2:B9627,1))</f>
        <v/>
      </c>
      <c r="E4229" s="29" t="str">
        <f t="array" ref="E4229">IF(D4229="","",IF(D4229=1,0,INDEX(Calculation!Q$2:Q9627,D4229-1)))</f>
        <v/>
      </c>
      <c r="F4229" s="29" t="str">
        <f t="array" ref="F4229">IF($A4229="","",
  LET(
    r, $D4229,
    startD, INDEX(Calculation!B$2:B9627, r),
    endD,   INDEX(Calculation!C$2:C9627, r),
    asOf,   MIN($A4229,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30">
      <c r="A4230" s="28"/>
      <c r="B4230" s="29"/>
      <c r="C4230" s="29" t="str">
        <f t="shared" si="1"/>
        <v/>
      </c>
      <c r="D4230" s="6" t="str">
        <f>IF(A4230="","",MATCH(A4230,Calculation!B$2:B9627,1))</f>
        <v/>
      </c>
      <c r="E4230" s="29" t="str">
        <f t="array" ref="E4230">IF(D4230="","",IF(D4230=1,0,INDEX(Calculation!Q$2:Q9627,D4230-1)))</f>
        <v/>
      </c>
      <c r="F4230" s="29" t="str">
        <f t="array" ref="F4230">IF($A4230="","",
  LET(
    r, $D4230,
    startD, INDEX(Calculation!B$2:B9627, r),
    endD,   INDEX(Calculation!C$2:C9627, r),
    asOf,   MIN($A4230,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31">
      <c r="A4231" s="28"/>
      <c r="B4231" s="29"/>
      <c r="C4231" s="29" t="str">
        <f t="shared" si="1"/>
        <v/>
      </c>
      <c r="D4231" s="6" t="str">
        <f>IF(A4231="","",MATCH(A4231,Calculation!B$2:B9627,1))</f>
        <v/>
      </c>
      <c r="E4231" s="29" t="str">
        <f t="array" ref="E4231">IF(D4231="","",IF(D4231=1,0,INDEX(Calculation!Q$2:Q9627,D4231-1)))</f>
        <v/>
      </c>
      <c r="F4231" s="29" t="str">
        <f t="array" ref="F4231">IF($A4231="","",
  LET(
    r, $D4231,
    startD, INDEX(Calculation!B$2:B9627, r),
    endD,   INDEX(Calculation!C$2:C9627, r),
    asOf,   MIN($A4231,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32">
      <c r="A4232" s="28"/>
      <c r="B4232" s="29"/>
      <c r="C4232" s="29" t="str">
        <f t="shared" si="1"/>
        <v/>
      </c>
      <c r="D4232" s="6" t="str">
        <f>IF(A4232="","",MATCH(A4232,Calculation!B$2:B9627,1))</f>
        <v/>
      </c>
      <c r="E4232" s="29" t="str">
        <f t="array" ref="E4232">IF(D4232="","",IF(D4232=1,0,INDEX(Calculation!Q$2:Q9627,D4232-1)))</f>
        <v/>
      </c>
      <c r="F4232" s="29" t="str">
        <f t="array" ref="F4232">IF($A4232="","",
  LET(
    r, $D4232,
    startD, INDEX(Calculation!B$2:B9627, r),
    endD,   INDEX(Calculation!C$2:C9627, r),
    asOf,   MIN($A4232,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33">
      <c r="A4233" s="28"/>
      <c r="B4233" s="29"/>
      <c r="C4233" s="29" t="str">
        <f t="shared" si="1"/>
        <v/>
      </c>
      <c r="D4233" s="6" t="str">
        <f>IF(A4233="","",MATCH(A4233,Calculation!B$2:B9627,1))</f>
        <v/>
      </c>
      <c r="E4233" s="29" t="str">
        <f t="array" ref="E4233">IF(D4233="","",IF(D4233=1,0,INDEX(Calculation!Q$2:Q9627,D4233-1)))</f>
        <v/>
      </c>
      <c r="F4233" s="29" t="str">
        <f t="array" ref="F4233">IF($A4233="","",
  LET(
    r, $D4233,
    startD, INDEX(Calculation!B$2:B9627, r),
    endD,   INDEX(Calculation!C$2:C9627, r),
    asOf,   MIN($A4233,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34">
      <c r="A4234" s="28"/>
      <c r="B4234" s="29"/>
      <c r="C4234" s="29" t="str">
        <f t="shared" si="1"/>
        <v/>
      </c>
      <c r="D4234" s="6" t="str">
        <f>IF(A4234="","",MATCH(A4234,Calculation!B$2:B9627,1))</f>
        <v/>
      </c>
      <c r="E4234" s="29" t="str">
        <f t="array" ref="E4234">IF(D4234="","",IF(D4234=1,0,INDEX(Calculation!Q$2:Q9627,D4234-1)))</f>
        <v/>
      </c>
      <c r="F4234" s="29" t="str">
        <f t="array" ref="F4234">IF($A4234="","",
  LET(
    r, $D4234,
    startD, INDEX(Calculation!B$2:B9627, r),
    endD,   INDEX(Calculation!C$2:C9627, r),
    asOf,   MIN($A4234,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35">
      <c r="A4235" s="28"/>
      <c r="B4235" s="29"/>
      <c r="C4235" s="29" t="str">
        <f t="shared" si="1"/>
        <v/>
      </c>
      <c r="D4235" s="6" t="str">
        <f>IF(A4235="","",MATCH(A4235,Calculation!B$2:B9627,1))</f>
        <v/>
      </c>
      <c r="E4235" s="29" t="str">
        <f t="array" ref="E4235">IF(D4235="","",IF(D4235=1,0,INDEX(Calculation!Q$2:Q9627,D4235-1)))</f>
        <v/>
      </c>
      <c r="F4235" s="29" t="str">
        <f t="array" ref="F4235">IF($A4235="","",
  LET(
    r, $D4235,
    startD, INDEX(Calculation!B$2:B9627, r),
    endD,   INDEX(Calculation!C$2:C9627, r),
    asOf,   MIN($A4235,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36">
      <c r="A4236" s="28"/>
      <c r="B4236" s="29"/>
      <c r="C4236" s="29" t="str">
        <f t="shared" si="1"/>
        <v/>
      </c>
      <c r="D4236" s="6" t="str">
        <f>IF(A4236="","",MATCH(A4236,Calculation!B$2:B9627,1))</f>
        <v/>
      </c>
      <c r="E4236" s="29" t="str">
        <f t="array" ref="E4236">IF(D4236="","",IF(D4236=1,0,INDEX(Calculation!Q$2:Q9627,D4236-1)))</f>
        <v/>
      </c>
      <c r="F4236" s="29" t="str">
        <f t="array" ref="F4236">IF($A4236="","",
  LET(
    r, $D4236,
    startD, INDEX(Calculation!B$2:B9627, r),
    endD,   INDEX(Calculation!C$2:C9627, r),
    asOf,   MIN($A4236,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37">
      <c r="A4237" s="28"/>
      <c r="B4237" s="29"/>
      <c r="C4237" s="29" t="str">
        <f t="shared" si="1"/>
        <v/>
      </c>
      <c r="D4237" s="6" t="str">
        <f>IF(A4237="","",MATCH(A4237,Calculation!B$2:B9627,1))</f>
        <v/>
      </c>
      <c r="E4237" s="29" t="str">
        <f t="array" ref="E4237">IF(D4237="","",IF(D4237=1,0,INDEX(Calculation!Q$2:Q9627,D4237-1)))</f>
        <v/>
      </c>
      <c r="F4237" s="29" t="str">
        <f t="array" ref="F4237">IF($A4237="","",
  LET(
    r, $D4237,
    startD, INDEX(Calculation!B$2:B9627, r),
    endD,   INDEX(Calculation!C$2:C9627, r),
    asOf,   MIN($A4237,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38">
      <c r="A4238" s="28"/>
      <c r="B4238" s="29"/>
      <c r="C4238" s="29" t="str">
        <f t="shared" si="1"/>
        <v/>
      </c>
      <c r="D4238" s="6" t="str">
        <f>IF(A4238="","",MATCH(A4238,Calculation!B$2:B9627,1))</f>
        <v/>
      </c>
      <c r="E4238" s="29" t="str">
        <f t="array" ref="E4238">IF(D4238="","",IF(D4238=1,0,INDEX(Calculation!Q$2:Q9627,D4238-1)))</f>
        <v/>
      </c>
      <c r="F4238" s="29" t="str">
        <f t="array" ref="F4238">IF($A4238="","",
  LET(
    r, $D4238,
    startD, INDEX(Calculation!B$2:B9627, r),
    endD,   INDEX(Calculation!C$2:C9627, r),
    asOf,   MIN($A4238,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39">
      <c r="A4239" s="28"/>
      <c r="B4239" s="29"/>
      <c r="C4239" s="29" t="str">
        <f t="shared" si="1"/>
        <v/>
      </c>
      <c r="D4239" s="6" t="str">
        <f>IF(A4239="","",MATCH(A4239,Calculation!B$2:B9627,1))</f>
        <v/>
      </c>
      <c r="E4239" s="29" t="str">
        <f t="array" ref="E4239">IF(D4239="","",IF(D4239=1,0,INDEX(Calculation!Q$2:Q9627,D4239-1)))</f>
        <v/>
      </c>
      <c r="F4239" s="29" t="str">
        <f t="array" ref="F4239">IF($A4239="","",
  LET(
    r, $D4239,
    startD, INDEX(Calculation!B$2:B9627, r),
    endD,   INDEX(Calculation!C$2:C9627, r),
    asOf,   MIN($A4239,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40">
      <c r="A4240" s="28"/>
      <c r="B4240" s="29"/>
      <c r="C4240" s="29" t="str">
        <f t="shared" si="1"/>
        <v/>
      </c>
      <c r="D4240" s="6" t="str">
        <f>IF(A4240="","",MATCH(A4240,Calculation!B$2:B9627,1))</f>
        <v/>
      </c>
      <c r="E4240" s="29" t="str">
        <f t="array" ref="E4240">IF(D4240="","",IF(D4240=1,0,INDEX(Calculation!Q$2:Q9627,D4240-1)))</f>
        <v/>
      </c>
      <c r="F4240" s="29" t="str">
        <f t="array" ref="F4240">IF($A4240="","",
  LET(
    r, $D4240,
    startD, INDEX(Calculation!B$2:B9627, r),
    endD,   INDEX(Calculation!C$2:C9627, r),
    asOf,   MIN($A4240,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41">
      <c r="A4241" s="28"/>
      <c r="B4241" s="29"/>
      <c r="C4241" s="29" t="str">
        <f t="shared" si="1"/>
        <v/>
      </c>
      <c r="D4241" s="6" t="str">
        <f>IF(A4241="","",MATCH(A4241,Calculation!B$2:B9627,1))</f>
        <v/>
      </c>
      <c r="E4241" s="29" t="str">
        <f t="array" ref="E4241">IF(D4241="","",IF(D4241=1,0,INDEX(Calculation!Q$2:Q9627,D4241-1)))</f>
        <v/>
      </c>
      <c r="F4241" s="29" t="str">
        <f t="array" ref="F4241">IF($A4241="","",
  LET(
    r, $D4241,
    startD, INDEX(Calculation!B$2:B9627, r),
    endD,   INDEX(Calculation!C$2:C9627, r),
    asOf,   MIN($A4241,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42">
      <c r="A4242" s="28"/>
      <c r="B4242" s="29"/>
      <c r="C4242" s="29" t="str">
        <f t="shared" si="1"/>
        <v/>
      </c>
      <c r="D4242" s="6" t="str">
        <f>IF(A4242="","",MATCH(A4242,Calculation!B$2:B9627,1))</f>
        <v/>
      </c>
      <c r="E4242" s="29" t="str">
        <f t="array" ref="E4242">IF(D4242="","",IF(D4242=1,0,INDEX(Calculation!Q$2:Q9627,D4242-1)))</f>
        <v/>
      </c>
      <c r="F4242" s="29" t="str">
        <f t="array" ref="F4242">IF($A4242="","",
  LET(
    r, $D4242,
    startD, INDEX(Calculation!B$2:B9627, r),
    endD,   INDEX(Calculation!C$2:C9627, r),
    asOf,   MIN($A4242,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43">
      <c r="A4243" s="28"/>
      <c r="B4243" s="29"/>
      <c r="C4243" s="29" t="str">
        <f t="shared" si="1"/>
        <v/>
      </c>
      <c r="D4243" s="6" t="str">
        <f>IF(A4243="","",MATCH(A4243,Calculation!B$2:B9627,1))</f>
        <v/>
      </c>
      <c r="E4243" s="29" t="str">
        <f t="array" ref="E4243">IF(D4243="","",IF(D4243=1,0,INDEX(Calculation!Q$2:Q9627,D4243-1)))</f>
        <v/>
      </c>
      <c r="F4243" s="29" t="str">
        <f t="array" ref="F4243">IF($A4243="","",
  LET(
    r, $D4243,
    startD, INDEX(Calculation!B$2:B9627, r),
    endD,   INDEX(Calculation!C$2:C9627, r),
    asOf,   MIN($A4243,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44">
      <c r="A4244" s="28"/>
      <c r="B4244" s="29"/>
      <c r="C4244" s="29" t="str">
        <f t="shared" si="1"/>
        <v/>
      </c>
      <c r="D4244" s="6" t="str">
        <f>IF(A4244="","",MATCH(A4244,Calculation!B$2:B9627,1))</f>
        <v/>
      </c>
      <c r="E4244" s="29" t="str">
        <f t="array" ref="E4244">IF(D4244="","",IF(D4244=1,0,INDEX(Calculation!Q$2:Q9627,D4244-1)))</f>
        <v/>
      </c>
      <c r="F4244" s="29" t="str">
        <f t="array" ref="F4244">IF($A4244="","",
  LET(
    r, $D4244,
    startD, INDEX(Calculation!B$2:B9627, r),
    endD,   INDEX(Calculation!C$2:C9627, r),
    asOf,   MIN($A4244,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45">
      <c r="A4245" s="28"/>
      <c r="B4245" s="29"/>
      <c r="C4245" s="29" t="str">
        <f t="shared" si="1"/>
        <v/>
      </c>
      <c r="D4245" s="6" t="str">
        <f>IF(A4245="","",MATCH(A4245,Calculation!B$2:B9627,1))</f>
        <v/>
      </c>
      <c r="E4245" s="29" t="str">
        <f t="array" ref="E4245">IF(D4245="","",IF(D4245=1,0,INDEX(Calculation!Q$2:Q9627,D4245-1)))</f>
        <v/>
      </c>
      <c r="F4245" s="29" t="str">
        <f t="array" ref="F4245">IF($A4245="","",
  LET(
    r, $D4245,
    startD, INDEX(Calculation!B$2:B9627, r),
    endD,   INDEX(Calculation!C$2:C9627, r),
    asOf,   MIN($A4245,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46">
      <c r="A4246" s="28"/>
      <c r="B4246" s="29"/>
      <c r="C4246" s="29" t="str">
        <f t="shared" si="1"/>
        <v/>
      </c>
      <c r="D4246" s="6" t="str">
        <f>IF(A4246="","",MATCH(A4246,Calculation!B$2:B9627,1))</f>
        <v/>
      </c>
      <c r="E4246" s="29" t="str">
        <f t="array" ref="E4246">IF(D4246="","",IF(D4246=1,0,INDEX(Calculation!Q$2:Q9627,D4246-1)))</f>
        <v/>
      </c>
      <c r="F4246" s="29" t="str">
        <f t="array" ref="F4246">IF($A4246="","",
  LET(
    r, $D4246,
    startD, INDEX(Calculation!B$2:B9627, r),
    endD,   INDEX(Calculation!C$2:C9627, r),
    asOf,   MIN($A4246,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47">
      <c r="A4247" s="28"/>
      <c r="B4247" s="29"/>
      <c r="C4247" s="29" t="str">
        <f t="shared" si="1"/>
        <v/>
      </c>
      <c r="D4247" s="6" t="str">
        <f>IF(A4247="","",MATCH(A4247,Calculation!B$2:B9627,1))</f>
        <v/>
      </c>
      <c r="E4247" s="29" t="str">
        <f t="array" ref="E4247">IF(D4247="","",IF(D4247=1,0,INDEX(Calculation!Q$2:Q9627,D4247-1)))</f>
        <v/>
      </c>
      <c r="F4247" s="29" t="str">
        <f t="array" ref="F4247">IF($A4247="","",
  LET(
    r, $D4247,
    startD, INDEX(Calculation!B$2:B9627, r),
    endD,   INDEX(Calculation!C$2:C9627, r),
    asOf,   MIN($A4247,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48">
      <c r="A4248" s="28"/>
      <c r="B4248" s="29"/>
      <c r="C4248" s="29" t="str">
        <f t="shared" si="1"/>
        <v/>
      </c>
      <c r="D4248" s="6" t="str">
        <f>IF(A4248="","",MATCH(A4248,Calculation!B$2:B9627,1))</f>
        <v/>
      </c>
      <c r="E4248" s="29" t="str">
        <f t="array" ref="E4248">IF(D4248="","",IF(D4248=1,0,INDEX(Calculation!Q$2:Q9627,D4248-1)))</f>
        <v/>
      </c>
      <c r="F4248" s="29" t="str">
        <f t="array" ref="F4248">IF($A4248="","",
  LET(
    r, $D4248,
    startD, INDEX(Calculation!B$2:B9627, r),
    endD,   INDEX(Calculation!C$2:C9627, r),
    asOf,   MIN($A4248,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49">
      <c r="A4249" s="28"/>
      <c r="B4249" s="29"/>
      <c r="C4249" s="29" t="str">
        <f t="shared" si="1"/>
        <v/>
      </c>
      <c r="D4249" s="6" t="str">
        <f>IF(A4249="","",MATCH(A4249,Calculation!B$2:B9627,1))</f>
        <v/>
      </c>
      <c r="E4249" s="29" t="str">
        <f t="array" ref="E4249">IF(D4249="","",IF(D4249=1,0,INDEX(Calculation!Q$2:Q9627,D4249-1)))</f>
        <v/>
      </c>
      <c r="F4249" s="29" t="str">
        <f t="array" ref="F4249">IF($A4249="","",
  LET(
    r, $D4249,
    startD, INDEX(Calculation!B$2:B9627, r),
    endD,   INDEX(Calculation!C$2:C9627, r),
    asOf,   MIN($A4249,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50">
      <c r="A4250" s="28"/>
      <c r="B4250" s="29"/>
      <c r="C4250" s="29" t="str">
        <f t="shared" si="1"/>
        <v/>
      </c>
      <c r="D4250" s="6" t="str">
        <f>IF(A4250="","",MATCH(A4250,Calculation!B$2:B9627,1))</f>
        <v/>
      </c>
      <c r="E4250" s="29" t="str">
        <f t="array" ref="E4250">IF(D4250="","",IF(D4250=1,0,INDEX(Calculation!Q$2:Q9627,D4250-1)))</f>
        <v/>
      </c>
      <c r="F4250" s="29" t="str">
        <f t="array" ref="F4250">IF($A4250="","",
  LET(
    r, $D4250,
    startD, INDEX(Calculation!B$2:B9627, r),
    endD,   INDEX(Calculation!C$2:C9627, r),
    asOf,   MIN($A4250,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51">
      <c r="A4251" s="28"/>
      <c r="B4251" s="29"/>
      <c r="C4251" s="29" t="str">
        <f t="shared" si="1"/>
        <v/>
      </c>
      <c r="D4251" s="6" t="str">
        <f>IF(A4251="","",MATCH(A4251,Calculation!B$2:B9627,1))</f>
        <v/>
      </c>
      <c r="E4251" s="29" t="str">
        <f t="array" ref="E4251">IF(D4251="","",IF(D4251=1,0,INDEX(Calculation!Q$2:Q9627,D4251-1)))</f>
        <v/>
      </c>
      <c r="F4251" s="29" t="str">
        <f t="array" ref="F4251">IF($A4251="","",
  LET(
    r, $D4251,
    startD, INDEX(Calculation!B$2:B9627, r),
    endD,   INDEX(Calculation!C$2:C9627, r),
    asOf,   MIN($A4251,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52">
      <c r="A4252" s="28"/>
      <c r="B4252" s="29"/>
      <c r="C4252" s="29" t="str">
        <f t="shared" si="1"/>
        <v/>
      </c>
      <c r="D4252" s="6" t="str">
        <f>IF(A4252="","",MATCH(A4252,Calculation!B$2:B9627,1))</f>
        <v/>
      </c>
      <c r="E4252" s="29" t="str">
        <f t="array" ref="E4252">IF(D4252="","",IF(D4252=1,0,INDEX(Calculation!Q$2:Q9627,D4252-1)))</f>
        <v/>
      </c>
      <c r="F4252" s="29" t="str">
        <f t="array" ref="F4252">IF($A4252="","",
  LET(
    r, $D4252,
    startD, INDEX(Calculation!B$2:B9627, r),
    endD,   INDEX(Calculation!C$2:C9627, r),
    asOf,   MIN($A4252,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53">
      <c r="A4253" s="28"/>
      <c r="B4253" s="29"/>
      <c r="C4253" s="29" t="str">
        <f t="shared" si="1"/>
        <v/>
      </c>
      <c r="D4253" s="6" t="str">
        <f>IF(A4253="","",MATCH(A4253,Calculation!B$2:B9627,1))</f>
        <v/>
      </c>
      <c r="E4253" s="29" t="str">
        <f t="array" ref="E4253">IF(D4253="","",IF(D4253=1,0,INDEX(Calculation!Q$2:Q9627,D4253-1)))</f>
        <v/>
      </c>
      <c r="F4253" s="29" t="str">
        <f t="array" ref="F4253">IF($A4253="","",
  LET(
    r, $D4253,
    startD, INDEX(Calculation!B$2:B9627, r),
    endD,   INDEX(Calculation!C$2:C9627, r),
    asOf,   MIN($A4253,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54">
      <c r="A4254" s="28"/>
      <c r="B4254" s="29"/>
      <c r="C4254" s="29" t="str">
        <f t="shared" si="1"/>
        <v/>
      </c>
      <c r="D4254" s="6" t="str">
        <f>IF(A4254="","",MATCH(A4254,Calculation!B$2:B9627,1))</f>
        <v/>
      </c>
      <c r="E4254" s="29" t="str">
        <f t="array" ref="E4254">IF(D4254="","",IF(D4254=1,0,INDEX(Calculation!Q$2:Q9627,D4254-1)))</f>
        <v/>
      </c>
      <c r="F4254" s="29" t="str">
        <f t="array" ref="F4254">IF($A4254="","",
  LET(
    r, $D4254,
    startD, INDEX(Calculation!B$2:B9627, r),
    endD,   INDEX(Calculation!C$2:C9627, r),
    asOf,   MIN($A4254,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55">
      <c r="A4255" s="28"/>
      <c r="B4255" s="29"/>
      <c r="C4255" s="29" t="str">
        <f t="shared" si="1"/>
        <v/>
      </c>
      <c r="D4255" s="6" t="str">
        <f>IF(A4255="","",MATCH(A4255,Calculation!B$2:B9627,1))</f>
        <v/>
      </c>
      <c r="E4255" s="29" t="str">
        <f t="array" ref="E4255">IF(D4255="","",IF(D4255=1,0,INDEX(Calculation!Q$2:Q9627,D4255-1)))</f>
        <v/>
      </c>
      <c r="F4255" s="29" t="str">
        <f t="array" ref="F4255">IF($A4255="","",
  LET(
    r, $D4255,
    startD, INDEX(Calculation!B$2:B9627, r),
    endD,   INDEX(Calculation!C$2:C9627, r),
    asOf,   MIN($A4255,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56">
      <c r="A4256" s="28"/>
      <c r="B4256" s="29"/>
      <c r="C4256" s="29" t="str">
        <f t="shared" si="1"/>
        <v/>
      </c>
      <c r="D4256" s="6" t="str">
        <f>IF(A4256="","",MATCH(A4256,Calculation!B$2:B9627,1))</f>
        <v/>
      </c>
      <c r="E4256" s="29" t="str">
        <f t="array" ref="E4256">IF(D4256="","",IF(D4256=1,0,INDEX(Calculation!Q$2:Q9627,D4256-1)))</f>
        <v/>
      </c>
      <c r="F4256" s="29" t="str">
        <f t="array" ref="F4256">IF($A4256="","",
  LET(
    r, $D4256,
    startD, INDEX(Calculation!B$2:B9627, r),
    endD,   INDEX(Calculation!C$2:C9627, r),
    asOf,   MIN($A4256,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57">
      <c r="A4257" s="28"/>
      <c r="B4257" s="29"/>
      <c r="C4257" s="29" t="str">
        <f t="shared" si="1"/>
        <v/>
      </c>
      <c r="D4257" s="6" t="str">
        <f>IF(A4257="","",MATCH(A4257,Calculation!B$2:B9627,1))</f>
        <v/>
      </c>
      <c r="E4257" s="29" t="str">
        <f t="array" ref="E4257">IF(D4257="","",IF(D4257=1,0,INDEX(Calculation!Q$2:Q9627,D4257-1)))</f>
        <v/>
      </c>
      <c r="F4257" s="29" t="str">
        <f t="array" ref="F4257">IF($A4257="","",
  LET(
    r, $D4257,
    startD, INDEX(Calculation!B$2:B9627, r),
    endD,   INDEX(Calculation!C$2:C9627, r),
    asOf,   MIN($A4257,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58">
      <c r="A4258" s="28"/>
      <c r="B4258" s="29"/>
      <c r="C4258" s="29" t="str">
        <f t="shared" si="1"/>
        <v/>
      </c>
      <c r="D4258" s="6" t="str">
        <f>IF(A4258="","",MATCH(A4258,Calculation!B$2:B9627,1))</f>
        <v/>
      </c>
      <c r="E4258" s="29" t="str">
        <f t="array" ref="E4258">IF(D4258="","",IF(D4258=1,0,INDEX(Calculation!Q$2:Q9627,D4258-1)))</f>
        <v/>
      </c>
      <c r="F4258" s="29" t="str">
        <f t="array" ref="F4258">IF($A4258="","",
  LET(
    r, $D4258,
    startD, INDEX(Calculation!B$2:B9627, r),
    endD,   INDEX(Calculation!C$2:C9627, r),
    asOf,   MIN($A4258,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59">
      <c r="A4259" s="28"/>
      <c r="B4259" s="29"/>
      <c r="C4259" s="29" t="str">
        <f t="shared" si="1"/>
        <v/>
      </c>
      <c r="D4259" s="6" t="str">
        <f>IF(A4259="","",MATCH(A4259,Calculation!B$2:B9627,1))</f>
        <v/>
      </c>
      <c r="E4259" s="29" t="str">
        <f t="array" ref="E4259">IF(D4259="","",IF(D4259=1,0,INDEX(Calculation!Q$2:Q9627,D4259-1)))</f>
        <v/>
      </c>
      <c r="F4259" s="29" t="str">
        <f t="array" ref="F4259">IF($A4259="","",
  LET(
    r, $D4259,
    startD, INDEX(Calculation!B$2:B9627, r),
    endD,   INDEX(Calculation!C$2:C9627, r),
    asOf,   MIN($A4259,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60">
      <c r="A4260" s="28"/>
      <c r="B4260" s="29"/>
      <c r="C4260" s="29" t="str">
        <f t="shared" si="1"/>
        <v/>
      </c>
      <c r="D4260" s="6" t="str">
        <f>IF(A4260="","",MATCH(A4260,Calculation!B$2:B9627,1))</f>
        <v/>
      </c>
      <c r="E4260" s="29" t="str">
        <f t="array" ref="E4260">IF(D4260="","",IF(D4260=1,0,INDEX(Calculation!Q$2:Q9627,D4260-1)))</f>
        <v/>
      </c>
      <c r="F4260" s="29" t="str">
        <f t="array" ref="F4260">IF($A4260="","",
  LET(
    r, $D4260,
    startD, INDEX(Calculation!B$2:B9627, r),
    endD,   INDEX(Calculation!C$2:C9627, r),
    asOf,   MIN($A4260,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61">
      <c r="A4261" s="28"/>
      <c r="B4261" s="29"/>
      <c r="C4261" s="29" t="str">
        <f t="shared" si="1"/>
        <v/>
      </c>
      <c r="D4261" s="6" t="str">
        <f>IF(A4261="","",MATCH(A4261,Calculation!B$2:B9627,1))</f>
        <v/>
      </c>
      <c r="E4261" s="29" t="str">
        <f t="array" ref="E4261">IF(D4261="","",IF(D4261=1,0,INDEX(Calculation!Q$2:Q9627,D4261-1)))</f>
        <v/>
      </c>
      <c r="F4261" s="29" t="str">
        <f t="array" ref="F4261">IF($A4261="","",
  LET(
    r, $D4261,
    startD, INDEX(Calculation!B$2:B9627, r),
    endD,   INDEX(Calculation!C$2:C9627, r),
    asOf,   MIN($A4261,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62">
      <c r="A4262" s="28"/>
      <c r="B4262" s="29"/>
      <c r="C4262" s="29" t="str">
        <f t="shared" si="1"/>
        <v/>
      </c>
      <c r="D4262" s="6" t="str">
        <f>IF(A4262="","",MATCH(A4262,Calculation!B$2:B9627,1))</f>
        <v/>
      </c>
      <c r="E4262" s="29" t="str">
        <f t="array" ref="E4262">IF(D4262="","",IF(D4262=1,0,INDEX(Calculation!Q$2:Q9627,D4262-1)))</f>
        <v/>
      </c>
      <c r="F4262" s="29" t="str">
        <f t="array" ref="F4262">IF($A4262="","",
  LET(
    r, $D4262,
    startD, INDEX(Calculation!B$2:B9627, r),
    endD,   INDEX(Calculation!C$2:C9627, r),
    asOf,   MIN($A4262,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63">
      <c r="A4263" s="28"/>
      <c r="B4263" s="29"/>
      <c r="C4263" s="29" t="str">
        <f t="shared" si="1"/>
        <v/>
      </c>
      <c r="D4263" s="6" t="str">
        <f>IF(A4263="","",MATCH(A4263,Calculation!B$2:B9627,1))</f>
        <v/>
      </c>
      <c r="E4263" s="29" t="str">
        <f t="array" ref="E4263">IF(D4263="","",IF(D4263=1,0,INDEX(Calculation!Q$2:Q9627,D4263-1)))</f>
        <v/>
      </c>
      <c r="F4263" s="29" t="str">
        <f t="array" ref="F4263">IF($A4263="","",
  LET(
    r, $D4263,
    startD, INDEX(Calculation!B$2:B9627, r),
    endD,   INDEX(Calculation!C$2:C9627, r),
    asOf,   MIN($A4263,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64">
      <c r="A4264" s="28"/>
      <c r="B4264" s="29"/>
      <c r="C4264" s="29" t="str">
        <f t="shared" si="1"/>
        <v/>
      </c>
      <c r="D4264" s="6" t="str">
        <f>IF(A4264="","",MATCH(A4264,Calculation!B$2:B9627,1))</f>
        <v/>
      </c>
      <c r="E4264" s="29" t="str">
        <f t="array" ref="E4264">IF(D4264="","",IF(D4264=1,0,INDEX(Calculation!Q$2:Q9627,D4264-1)))</f>
        <v/>
      </c>
      <c r="F4264" s="29" t="str">
        <f t="array" ref="F4264">IF($A4264="","",
  LET(
    r, $D4264,
    startD, INDEX(Calculation!B$2:B9627, r),
    endD,   INDEX(Calculation!C$2:C9627, r),
    asOf,   MIN($A4264,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65">
      <c r="A4265" s="28"/>
      <c r="B4265" s="29"/>
      <c r="C4265" s="29" t="str">
        <f t="shared" si="1"/>
        <v/>
      </c>
      <c r="D4265" s="6" t="str">
        <f>IF(A4265="","",MATCH(A4265,Calculation!B$2:B9627,1))</f>
        <v/>
      </c>
      <c r="E4265" s="29" t="str">
        <f t="array" ref="E4265">IF(D4265="","",IF(D4265=1,0,INDEX(Calculation!Q$2:Q9627,D4265-1)))</f>
        <v/>
      </c>
      <c r="F4265" s="29" t="str">
        <f t="array" ref="F4265">IF($A4265="","",
  LET(
    r, $D4265,
    startD, INDEX(Calculation!B$2:B9627, r),
    endD,   INDEX(Calculation!C$2:C9627, r),
    asOf,   MIN($A4265,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66">
      <c r="A4266" s="28"/>
      <c r="B4266" s="29"/>
      <c r="C4266" s="29" t="str">
        <f t="shared" si="1"/>
        <v/>
      </c>
      <c r="D4266" s="6" t="str">
        <f>IF(A4266="","",MATCH(A4266,Calculation!B$2:B9627,1))</f>
        <v/>
      </c>
      <c r="E4266" s="29" t="str">
        <f t="array" ref="E4266">IF(D4266="","",IF(D4266=1,0,INDEX(Calculation!Q$2:Q9627,D4266-1)))</f>
        <v/>
      </c>
      <c r="F4266" s="29" t="str">
        <f t="array" ref="F4266">IF($A4266="","",
  LET(
    r, $D4266,
    startD, INDEX(Calculation!B$2:B9627, r),
    endD,   INDEX(Calculation!C$2:C9627, r),
    asOf,   MIN($A4266,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67">
      <c r="A4267" s="28"/>
      <c r="B4267" s="29"/>
      <c r="C4267" s="29" t="str">
        <f t="shared" si="1"/>
        <v/>
      </c>
      <c r="D4267" s="6" t="str">
        <f>IF(A4267="","",MATCH(A4267,Calculation!B$2:B9627,1))</f>
        <v/>
      </c>
      <c r="E4267" s="29" t="str">
        <f t="array" ref="E4267">IF(D4267="","",IF(D4267=1,0,INDEX(Calculation!Q$2:Q9627,D4267-1)))</f>
        <v/>
      </c>
      <c r="F4267" s="29" t="str">
        <f t="array" ref="F4267">IF($A4267="","",
  LET(
    r, $D4267,
    startD, INDEX(Calculation!B$2:B9627, r),
    endD,   INDEX(Calculation!C$2:C9627, r),
    asOf,   MIN($A4267,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68">
      <c r="A4268" s="28"/>
      <c r="B4268" s="29"/>
      <c r="C4268" s="29" t="str">
        <f t="shared" si="1"/>
        <v/>
      </c>
      <c r="D4268" s="6" t="str">
        <f>IF(A4268="","",MATCH(A4268,Calculation!B$2:B9627,1))</f>
        <v/>
      </c>
      <c r="E4268" s="29" t="str">
        <f t="array" ref="E4268">IF(D4268="","",IF(D4268=1,0,INDEX(Calculation!Q$2:Q9627,D4268-1)))</f>
        <v/>
      </c>
      <c r="F4268" s="29" t="str">
        <f t="array" ref="F4268">IF($A4268="","",
  LET(
    r, $D4268,
    startD, INDEX(Calculation!B$2:B9627, r),
    endD,   INDEX(Calculation!C$2:C9627, r),
    asOf,   MIN($A4268,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69">
      <c r="A4269" s="28"/>
      <c r="B4269" s="29"/>
      <c r="C4269" s="29" t="str">
        <f t="shared" si="1"/>
        <v/>
      </c>
      <c r="D4269" s="6" t="str">
        <f>IF(A4269="","",MATCH(A4269,Calculation!B$2:B9627,1))</f>
        <v/>
      </c>
      <c r="E4269" s="29" t="str">
        <f t="array" ref="E4269">IF(D4269="","",IF(D4269=1,0,INDEX(Calculation!Q$2:Q9627,D4269-1)))</f>
        <v/>
      </c>
      <c r="F4269" s="29" t="str">
        <f t="array" ref="F4269">IF($A4269="","",
  LET(
    r, $D4269,
    startD, INDEX(Calculation!B$2:B9627, r),
    endD,   INDEX(Calculation!C$2:C9627, r),
    asOf,   MIN($A4269,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70">
      <c r="A4270" s="28"/>
      <c r="B4270" s="29"/>
      <c r="C4270" s="29" t="str">
        <f t="shared" si="1"/>
        <v/>
      </c>
      <c r="D4270" s="6" t="str">
        <f>IF(A4270="","",MATCH(A4270,Calculation!B$2:B9627,1))</f>
        <v/>
      </c>
      <c r="E4270" s="29" t="str">
        <f t="array" ref="E4270">IF(D4270="","",IF(D4270=1,0,INDEX(Calculation!Q$2:Q9627,D4270-1)))</f>
        <v/>
      </c>
      <c r="F4270" s="29" t="str">
        <f t="array" ref="F4270">IF($A4270="","",
  LET(
    r, $D4270,
    startD, INDEX(Calculation!B$2:B9627, r),
    endD,   INDEX(Calculation!C$2:C9627, r),
    asOf,   MIN($A4270,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71">
      <c r="A4271" s="28"/>
      <c r="B4271" s="29"/>
      <c r="C4271" s="29" t="str">
        <f t="shared" si="1"/>
        <v/>
      </c>
      <c r="D4271" s="6" t="str">
        <f>IF(A4271="","",MATCH(A4271,Calculation!B$2:B9627,1))</f>
        <v/>
      </c>
      <c r="E4271" s="29" t="str">
        <f t="array" ref="E4271">IF(D4271="","",IF(D4271=1,0,INDEX(Calculation!Q$2:Q9627,D4271-1)))</f>
        <v/>
      </c>
      <c r="F4271" s="29" t="str">
        <f t="array" ref="F4271">IF($A4271="","",
  LET(
    r, $D4271,
    startD, INDEX(Calculation!B$2:B9627, r),
    endD,   INDEX(Calculation!C$2:C9627, r),
    asOf,   MIN($A4271,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72">
      <c r="A4272" s="28"/>
      <c r="B4272" s="29"/>
      <c r="C4272" s="29" t="str">
        <f t="shared" si="1"/>
        <v/>
      </c>
      <c r="D4272" s="6" t="str">
        <f>IF(A4272="","",MATCH(A4272,Calculation!B$2:B9627,1))</f>
        <v/>
      </c>
      <c r="E4272" s="29" t="str">
        <f t="array" ref="E4272">IF(D4272="","",IF(D4272=1,0,INDEX(Calculation!Q$2:Q9627,D4272-1)))</f>
        <v/>
      </c>
      <c r="F4272" s="29" t="str">
        <f t="array" ref="F4272">IF($A4272="","",
  LET(
    r, $D4272,
    startD, INDEX(Calculation!B$2:B9627, r),
    endD,   INDEX(Calculation!C$2:C9627, r),
    asOf,   MIN($A4272,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73">
      <c r="A4273" s="28"/>
      <c r="B4273" s="29"/>
      <c r="C4273" s="29" t="str">
        <f t="shared" si="1"/>
        <v/>
      </c>
      <c r="D4273" s="6" t="str">
        <f>IF(A4273="","",MATCH(A4273,Calculation!B$2:B9627,1))</f>
        <v/>
      </c>
      <c r="E4273" s="29" t="str">
        <f t="array" ref="E4273">IF(D4273="","",IF(D4273=1,0,INDEX(Calculation!Q$2:Q9627,D4273-1)))</f>
        <v/>
      </c>
      <c r="F4273" s="29" t="str">
        <f t="array" ref="F4273">IF($A4273="","",
  LET(
    r, $D4273,
    startD, INDEX(Calculation!B$2:B9627, r),
    endD,   INDEX(Calculation!C$2:C9627, r),
    asOf,   MIN($A4273,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74">
      <c r="A4274" s="28"/>
      <c r="B4274" s="29"/>
      <c r="C4274" s="29" t="str">
        <f t="shared" si="1"/>
        <v/>
      </c>
      <c r="D4274" s="6" t="str">
        <f>IF(A4274="","",MATCH(A4274,Calculation!B$2:B9627,1))</f>
        <v/>
      </c>
      <c r="E4274" s="29" t="str">
        <f t="array" ref="E4274">IF(D4274="","",IF(D4274=1,0,INDEX(Calculation!Q$2:Q9627,D4274-1)))</f>
        <v/>
      </c>
      <c r="F4274" s="29" t="str">
        <f t="array" ref="F4274">IF($A4274="","",
  LET(
    r, $D4274,
    startD, INDEX(Calculation!B$2:B9627, r),
    endD,   INDEX(Calculation!C$2:C9627, r),
    asOf,   MIN($A4274,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75">
      <c r="A4275" s="28"/>
      <c r="B4275" s="29"/>
      <c r="C4275" s="29" t="str">
        <f t="shared" si="1"/>
        <v/>
      </c>
      <c r="D4275" s="6" t="str">
        <f>IF(A4275="","",MATCH(A4275,Calculation!B$2:B9627,1))</f>
        <v/>
      </c>
      <c r="E4275" s="29" t="str">
        <f t="array" ref="E4275">IF(D4275="","",IF(D4275=1,0,INDEX(Calculation!Q$2:Q9627,D4275-1)))</f>
        <v/>
      </c>
      <c r="F4275" s="29" t="str">
        <f t="array" ref="F4275">IF($A4275="","",
  LET(
    r, $D4275,
    startD, INDEX(Calculation!B$2:B9627, r),
    endD,   INDEX(Calculation!C$2:C9627, r),
    asOf,   MIN($A4275,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76">
      <c r="A4276" s="28"/>
      <c r="B4276" s="29"/>
      <c r="C4276" s="29" t="str">
        <f t="shared" si="1"/>
        <v/>
      </c>
      <c r="D4276" s="6" t="str">
        <f>IF(A4276="","",MATCH(A4276,Calculation!B$2:B9627,1))</f>
        <v/>
      </c>
      <c r="E4276" s="29" t="str">
        <f t="array" ref="E4276">IF(D4276="","",IF(D4276=1,0,INDEX(Calculation!Q$2:Q9627,D4276-1)))</f>
        <v/>
      </c>
      <c r="F4276" s="29" t="str">
        <f t="array" ref="F4276">IF($A4276="","",
  LET(
    r, $D4276,
    startD, INDEX(Calculation!B$2:B9627, r),
    endD,   INDEX(Calculation!C$2:C9627, r),
    asOf,   MIN($A4276,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77">
      <c r="A4277" s="28"/>
      <c r="B4277" s="29"/>
      <c r="C4277" s="29" t="str">
        <f t="shared" si="1"/>
        <v/>
      </c>
      <c r="D4277" s="6" t="str">
        <f>IF(A4277="","",MATCH(A4277,Calculation!B$2:B9627,1))</f>
        <v/>
      </c>
      <c r="E4277" s="29" t="str">
        <f t="array" ref="E4277">IF(D4277="","",IF(D4277=1,0,INDEX(Calculation!Q$2:Q9627,D4277-1)))</f>
        <v/>
      </c>
      <c r="F4277" s="29" t="str">
        <f t="array" ref="F4277">IF($A4277="","",
  LET(
    r, $D4277,
    startD, INDEX(Calculation!B$2:B9627, r),
    endD,   INDEX(Calculation!C$2:C9627, r),
    asOf,   MIN($A4277,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78">
      <c r="A4278" s="28"/>
      <c r="B4278" s="29"/>
      <c r="C4278" s="29" t="str">
        <f t="shared" si="1"/>
        <v/>
      </c>
      <c r="D4278" s="6" t="str">
        <f>IF(A4278="","",MATCH(A4278,Calculation!B$2:B9627,1))</f>
        <v/>
      </c>
      <c r="E4278" s="29" t="str">
        <f t="array" ref="E4278">IF(D4278="","",IF(D4278=1,0,INDEX(Calculation!Q$2:Q9627,D4278-1)))</f>
        <v/>
      </c>
      <c r="F4278" s="29" t="str">
        <f t="array" ref="F4278">IF($A4278="","",
  LET(
    r, $D4278,
    startD, INDEX(Calculation!B$2:B9627, r),
    endD,   INDEX(Calculation!C$2:C9627, r),
    asOf,   MIN($A4278,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79">
      <c r="A4279" s="28"/>
      <c r="B4279" s="29"/>
      <c r="C4279" s="29" t="str">
        <f t="shared" si="1"/>
        <v/>
      </c>
      <c r="D4279" s="6" t="str">
        <f>IF(A4279="","",MATCH(A4279,Calculation!B$2:B9627,1))</f>
        <v/>
      </c>
      <c r="E4279" s="29" t="str">
        <f t="array" ref="E4279">IF(D4279="","",IF(D4279=1,0,INDEX(Calculation!Q$2:Q9627,D4279-1)))</f>
        <v/>
      </c>
      <c r="F4279" s="29" t="str">
        <f t="array" ref="F4279">IF($A4279="","",
  LET(
    r, $D4279,
    startD, INDEX(Calculation!B$2:B9627, r),
    endD,   INDEX(Calculation!C$2:C9627, r),
    asOf,   MIN($A4279,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80">
      <c r="A4280" s="28"/>
      <c r="B4280" s="29"/>
      <c r="C4280" s="29" t="str">
        <f t="shared" si="1"/>
        <v/>
      </c>
      <c r="D4280" s="6" t="str">
        <f>IF(A4280="","",MATCH(A4280,Calculation!B$2:B9627,1))</f>
        <v/>
      </c>
      <c r="E4280" s="29" t="str">
        <f t="array" ref="E4280">IF(D4280="","",IF(D4280=1,0,INDEX(Calculation!Q$2:Q9627,D4280-1)))</f>
        <v/>
      </c>
      <c r="F4280" s="29" t="str">
        <f t="array" ref="F4280">IF($A4280="","",
  LET(
    r, $D4280,
    startD, INDEX(Calculation!B$2:B9627, r),
    endD,   INDEX(Calculation!C$2:C9627, r),
    asOf,   MIN($A4280,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81">
      <c r="A4281" s="28"/>
      <c r="B4281" s="29"/>
      <c r="C4281" s="29" t="str">
        <f t="shared" si="1"/>
        <v/>
      </c>
      <c r="D4281" s="6" t="str">
        <f>IF(A4281="","",MATCH(A4281,Calculation!B$2:B9627,1))</f>
        <v/>
      </c>
      <c r="E4281" s="29" t="str">
        <f t="array" ref="E4281">IF(D4281="","",IF(D4281=1,0,INDEX(Calculation!Q$2:Q9627,D4281-1)))</f>
        <v/>
      </c>
      <c r="F4281" s="29" t="str">
        <f t="array" ref="F4281">IF($A4281="","",
  LET(
    r, $D4281,
    startD, INDEX(Calculation!B$2:B9627, r),
    endD,   INDEX(Calculation!C$2:C9627, r),
    asOf,   MIN($A4281,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82">
      <c r="A4282" s="28"/>
      <c r="B4282" s="29"/>
      <c r="C4282" s="29" t="str">
        <f t="shared" si="1"/>
        <v/>
      </c>
      <c r="D4282" s="6" t="str">
        <f>IF(A4282="","",MATCH(A4282,Calculation!B$2:B9627,1))</f>
        <v/>
      </c>
      <c r="E4282" s="29" t="str">
        <f t="array" ref="E4282">IF(D4282="","",IF(D4282=1,0,INDEX(Calculation!Q$2:Q9627,D4282-1)))</f>
        <v/>
      </c>
      <c r="F4282" s="29" t="str">
        <f t="array" ref="F4282">IF($A4282="","",
  LET(
    r, $D4282,
    startD, INDEX(Calculation!B$2:B9627, r),
    endD,   INDEX(Calculation!C$2:C9627, r),
    asOf,   MIN($A4282,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83">
      <c r="A4283" s="28"/>
      <c r="B4283" s="29"/>
      <c r="C4283" s="29" t="str">
        <f t="shared" si="1"/>
        <v/>
      </c>
      <c r="D4283" s="6" t="str">
        <f>IF(A4283="","",MATCH(A4283,Calculation!B$2:B9627,1))</f>
        <v/>
      </c>
      <c r="E4283" s="29" t="str">
        <f t="array" ref="E4283">IF(D4283="","",IF(D4283=1,0,INDEX(Calculation!Q$2:Q9627,D4283-1)))</f>
        <v/>
      </c>
      <c r="F4283" s="29" t="str">
        <f t="array" ref="F4283">IF($A4283="","",
  LET(
    r, $D4283,
    startD, INDEX(Calculation!B$2:B9627, r),
    endD,   INDEX(Calculation!C$2:C9627, r),
    asOf,   MIN($A4283,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84">
      <c r="A4284" s="28"/>
      <c r="B4284" s="29"/>
      <c r="C4284" s="29" t="str">
        <f t="shared" si="1"/>
        <v/>
      </c>
      <c r="D4284" s="6" t="str">
        <f>IF(A4284="","",MATCH(A4284,Calculation!B$2:B9627,1))</f>
        <v/>
      </c>
      <c r="E4284" s="29" t="str">
        <f t="array" ref="E4284">IF(D4284="","",IF(D4284=1,0,INDEX(Calculation!Q$2:Q9627,D4284-1)))</f>
        <v/>
      </c>
      <c r="F4284" s="29" t="str">
        <f t="array" ref="F4284">IF($A4284="","",
  LET(
    r, $D4284,
    startD, INDEX(Calculation!B$2:B9627, r),
    endD,   INDEX(Calculation!C$2:C9627, r),
    asOf,   MIN($A4284,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85">
      <c r="A4285" s="28"/>
      <c r="B4285" s="29"/>
      <c r="C4285" s="29" t="str">
        <f t="shared" si="1"/>
        <v/>
      </c>
      <c r="D4285" s="6" t="str">
        <f>IF(A4285="","",MATCH(A4285,Calculation!B$2:B9627,1))</f>
        <v/>
      </c>
      <c r="E4285" s="29" t="str">
        <f t="array" ref="E4285">IF(D4285="","",IF(D4285=1,0,INDEX(Calculation!Q$2:Q9627,D4285-1)))</f>
        <v/>
      </c>
      <c r="F4285" s="29" t="str">
        <f t="array" ref="F4285">IF($A4285="","",
  LET(
    r, $D4285,
    startD, INDEX(Calculation!B$2:B9627, r),
    endD,   INDEX(Calculation!C$2:C9627, r),
    asOf,   MIN($A4285,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86">
      <c r="A4286" s="28"/>
      <c r="B4286" s="29"/>
      <c r="C4286" s="29" t="str">
        <f t="shared" si="1"/>
        <v/>
      </c>
      <c r="D4286" s="6" t="str">
        <f>IF(A4286="","",MATCH(A4286,Calculation!B$2:B9627,1))</f>
        <v/>
      </c>
      <c r="E4286" s="29" t="str">
        <f t="array" ref="E4286">IF(D4286="","",IF(D4286=1,0,INDEX(Calculation!Q$2:Q9627,D4286-1)))</f>
        <v/>
      </c>
      <c r="F4286" s="29" t="str">
        <f t="array" ref="F4286">IF($A4286="","",
  LET(
    r, $D4286,
    startD, INDEX(Calculation!B$2:B9627, r),
    endD,   INDEX(Calculation!C$2:C9627, r),
    asOf,   MIN($A4286,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87">
      <c r="A4287" s="28"/>
      <c r="B4287" s="29"/>
      <c r="C4287" s="29" t="str">
        <f t="shared" si="1"/>
        <v/>
      </c>
      <c r="D4287" s="6" t="str">
        <f>IF(A4287="","",MATCH(A4287,Calculation!B$2:B9627,1))</f>
        <v/>
      </c>
      <c r="E4287" s="29" t="str">
        <f t="array" ref="E4287">IF(D4287="","",IF(D4287=1,0,INDEX(Calculation!Q$2:Q9627,D4287-1)))</f>
        <v/>
      </c>
      <c r="F4287" s="29" t="str">
        <f t="array" ref="F4287">IF($A4287="","",
  LET(
    r, $D4287,
    startD, INDEX(Calculation!B$2:B9627, r),
    endD,   INDEX(Calculation!C$2:C9627, r),
    asOf,   MIN($A4287,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88">
      <c r="A4288" s="28"/>
      <c r="B4288" s="29"/>
      <c r="C4288" s="29" t="str">
        <f t="shared" si="1"/>
        <v/>
      </c>
      <c r="D4288" s="6" t="str">
        <f>IF(A4288="","",MATCH(A4288,Calculation!B$2:B9627,1))</f>
        <v/>
      </c>
      <c r="E4288" s="29" t="str">
        <f t="array" ref="E4288">IF(D4288="","",IF(D4288=1,0,INDEX(Calculation!Q$2:Q9627,D4288-1)))</f>
        <v/>
      </c>
      <c r="F4288" s="29" t="str">
        <f t="array" ref="F4288">IF($A4288="","",
  LET(
    r, $D4288,
    startD, INDEX(Calculation!B$2:B9627, r),
    endD,   INDEX(Calculation!C$2:C9627, r),
    asOf,   MIN($A4288,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89">
      <c r="A4289" s="28"/>
      <c r="B4289" s="29"/>
      <c r="C4289" s="29" t="str">
        <f t="shared" si="1"/>
        <v/>
      </c>
      <c r="D4289" s="6" t="str">
        <f>IF(A4289="","",MATCH(A4289,Calculation!B$2:B9627,1))</f>
        <v/>
      </c>
      <c r="E4289" s="29" t="str">
        <f t="array" ref="E4289">IF(D4289="","",IF(D4289=1,0,INDEX(Calculation!Q$2:Q9627,D4289-1)))</f>
        <v/>
      </c>
      <c r="F4289" s="29" t="str">
        <f t="array" ref="F4289">IF($A4289="","",
  LET(
    r, $D4289,
    startD, INDEX(Calculation!B$2:B9627, r),
    endD,   INDEX(Calculation!C$2:C9627, r),
    asOf,   MIN($A4289,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90">
      <c r="A4290" s="28"/>
      <c r="B4290" s="29"/>
      <c r="C4290" s="29" t="str">
        <f t="shared" si="1"/>
        <v/>
      </c>
      <c r="D4290" s="6" t="str">
        <f>IF(A4290="","",MATCH(A4290,Calculation!B$2:B9627,1))</f>
        <v/>
      </c>
      <c r="E4290" s="29" t="str">
        <f t="array" ref="E4290">IF(D4290="","",IF(D4290=1,0,INDEX(Calculation!Q$2:Q9627,D4290-1)))</f>
        <v/>
      </c>
      <c r="F4290" s="29" t="str">
        <f t="array" ref="F4290">IF($A4290="","",
  LET(
    r, $D4290,
    startD, INDEX(Calculation!B$2:B9627, r),
    endD,   INDEX(Calculation!C$2:C9627, r),
    asOf,   MIN($A4290,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91">
      <c r="A4291" s="28"/>
      <c r="B4291" s="29"/>
      <c r="C4291" s="29" t="str">
        <f t="shared" si="1"/>
        <v/>
      </c>
      <c r="D4291" s="6" t="str">
        <f>IF(A4291="","",MATCH(A4291,Calculation!B$2:B9627,1))</f>
        <v/>
      </c>
      <c r="E4291" s="29" t="str">
        <f t="array" ref="E4291">IF(D4291="","",IF(D4291=1,0,INDEX(Calculation!Q$2:Q9627,D4291-1)))</f>
        <v/>
      </c>
      <c r="F4291" s="29" t="str">
        <f t="array" ref="F4291">IF($A4291="","",
  LET(
    r, $D4291,
    startD, INDEX(Calculation!B$2:B9627, r),
    endD,   INDEX(Calculation!C$2:C9627, r),
    asOf,   MIN($A4291,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92">
      <c r="A4292" s="28"/>
      <c r="B4292" s="29"/>
      <c r="C4292" s="29" t="str">
        <f t="shared" si="1"/>
        <v/>
      </c>
      <c r="D4292" s="6" t="str">
        <f>IF(A4292="","",MATCH(A4292,Calculation!B$2:B9627,1))</f>
        <v/>
      </c>
      <c r="E4292" s="29" t="str">
        <f t="array" ref="E4292">IF(D4292="","",IF(D4292=1,0,INDEX(Calculation!Q$2:Q9627,D4292-1)))</f>
        <v/>
      </c>
      <c r="F4292" s="29" t="str">
        <f t="array" ref="F4292">IF($A4292="","",
  LET(
    r, $D4292,
    startD, INDEX(Calculation!B$2:B9627, r),
    endD,   INDEX(Calculation!C$2:C9627, r),
    asOf,   MIN($A4292,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93">
      <c r="A4293" s="28"/>
      <c r="B4293" s="29"/>
      <c r="C4293" s="29" t="str">
        <f t="shared" si="1"/>
        <v/>
      </c>
      <c r="D4293" s="6" t="str">
        <f>IF(A4293="","",MATCH(A4293,Calculation!B$2:B9627,1))</f>
        <v/>
      </c>
      <c r="E4293" s="29" t="str">
        <f t="array" ref="E4293">IF(D4293="","",IF(D4293=1,0,INDEX(Calculation!Q$2:Q9627,D4293-1)))</f>
        <v/>
      </c>
      <c r="F4293" s="29" t="str">
        <f t="array" ref="F4293">IF($A4293="","",
  LET(
    r, $D4293,
    startD, INDEX(Calculation!B$2:B9627, r),
    endD,   INDEX(Calculation!C$2:C9627, r),
    asOf,   MIN($A4293,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94">
      <c r="A4294" s="28"/>
      <c r="B4294" s="29"/>
      <c r="C4294" s="29" t="str">
        <f t="shared" si="1"/>
        <v/>
      </c>
      <c r="D4294" s="6" t="str">
        <f>IF(A4294="","",MATCH(A4294,Calculation!B$2:B9627,1))</f>
        <v/>
      </c>
      <c r="E4294" s="29" t="str">
        <f t="array" ref="E4294">IF(D4294="","",IF(D4294=1,0,INDEX(Calculation!Q$2:Q9627,D4294-1)))</f>
        <v/>
      </c>
      <c r="F4294" s="29" t="str">
        <f t="array" ref="F4294">IF($A4294="","",
  LET(
    r, $D4294,
    startD, INDEX(Calculation!B$2:B9627, r),
    endD,   INDEX(Calculation!C$2:C9627, r),
    asOf,   MIN($A4294,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95">
      <c r="A4295" s="28"/>
      <c r="B4295" s="29"/>
      <c r="C4295" s="29" t="str">
        <f t="shared" si="1"/>
        <v/>
      </c>
      <c r="D4295" s="6" t="str">
        <f>IF(A4295="","",MATCH(A4295,Calculation!B$2:B9627,1))</f>
        <v/>
      </c>
      <c r="E4295" s="29" t="str">
        <f t="array" ref="E4295">IF(D4295="","",IF(D4295=1,0,INDEX(Calculation!Q$2:Q9627,D4295-1)))</f>
        <v/>
      </c>
      <c r="F4295" s="29" t="str">
        <f t="array" ref="F4295">IF($A4295="","",
  LET(
    r, $D4295,
    startD, INDEX(Calculation!B$2:B9627, r),
    endD,   INDEX(Calculation!C$2:C9627, r),
    asOf,   MIN($A4295,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96">
      <c r="A4296" s="28"/>
      <c r="B4296" s="29"/>
      <c r="C4296" s="29" t="str">
        <f t="shared" si="1"/>
        <v/>
      </c>
      <c r="D4296" s="6" t="str">
        <f>IF(A4296="","",MATCH(A4296,Calculation!B$2:B9627,1))</f>
        <v/>
      </c>
      <c r="E4296" s="29" t="str">
        <f t="array" ref="E4296">IF(D4296="","",IF(D4296=1,0,INDEX(Calculation!Q$2:Q9627,D4296-1)))</f>
        <v/>
      </c>
      <c r="F4296" s="29" t="str">
        <f t="array" ref="F4296">IF($A4296="","",
  LET(
    r, $D4296,
    startD, INDEX(Calculation!B$2:B9627, r),
    endD,   INDEX(Calculation!C$2:C9627, r),
    asOf,   MIN($A4296,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97">
      <c r="A4297" s="28"/>
      <c r="B4297" s="29"/>
      <c r="C4297" s="29" t="str">
        <f t="shared" si="1"/>
        <v/>
      </c>
      <c r="D4297" s="6" t="str">
        <f>IF(A4297="","",MATCH(A4297,Calculation!B$2:B9627,1))</f>
        <v/>
      </c>
      <c r="E4297" s="29" t="str">
        <f t="array" ref="E4297">IF(D4297="","",IF(D4297=1,0,INDEX(Calculation!Q$2:Q9627,D4297-1)))</f>
        <v/>
      </c>
      <c r="F4297" s="29" t="str">
        <f t="array" ref="F4297">IF($A4297="","",
  LET(
    r, $D4297,
    startD, INDEX(Calculation!B$2:B9627, r),
    endD,   INDEX(Calculation!C$2:C9627, r),
    asOf,   MIN($A4297,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98">
      <c r="A4298" s="28"/>
      <c r="B4298" s="29"/>
      <c r="C4298" s="29" t="str">
        <f t="shared" si="1"/>
        <v/>
      </c>
      <c r="D4298" s="6" t="str">
        <f>IF(A4298="","",MATCH(A4298,Calculation!B$2:B9627,1))</f>
        <v/>
      </c>
      <c r="E4298" s="29" t="str">
        <f t="array" ref="E4298">IF(D4298="","",IF(D4298=1,0,INDEX(Calculation!Q$2:Q9627,D4298-1)))</f>
        <v/>
      </c>
      <c r="F4298" s="29" t="str">
        <f t="array" ref="F4298">IF($A4298="","",
  LET(
    r, $D4298,
    startD, INDEX(Calculation!B$2:B9627, r),
    endD,   INDEX(Calculation!C$2:C9627, r),
    asOf,   MIN($A4298,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299">
      <c r="A4299" s="28"/>
      <c r="B4299" s="29"/>
      <c r="C4299" s="29" t="str">
        <f t="shared" si="1"/>
        <v/>
      </c>
      <c r="D4299" s="6" t="str">
        <f>IF(A4299="","",MATCH(A4299,Calculation!B$2:B9627,1))</f>
        <v/>
      </c>
      <c r="E4299" s="29" t="str">
        <f t="array" ref="E4299">IF(D4299="","",IF(D4299=1,0,INDEX(Calculation!Q$2:Q9627,D4299-1)))</f>
        <v/>
      </c>
      <c r="F4299" s="29" t="str">
        <f t="array" ref="F4299">IF($A4299="","",
  LET(
    r, $D4299,
    startD, INDEX(Calculation!B$2:B9627, r),
    endD,   INDEX(Calculation!C$2:C9627, r),
    asOf,   MIN($A4299,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00">
      <c r="A4300" s="28"/>
      <c r="B4300" s="29"/>
      <c r="C4300" s="29" t="str">
        <f t="shared" si="1"/>
        <v/>
      </c>
      <c r="D4300" s="6" t="str">
        <f>IF(A4300="","",MATCH(A4300,Calculation!B$2:B9627,1))</f>
        <v/>
      </c>
      <c r="E4300" s="29" t="str">
        <f t="array" ref="E4300">IF(D4300="","",IF(D4300=1,0,INDEX(Calculation!Q$2:Q9627,D4300-1)))</f>
        <v/>
      </c>
      <c r="F4300" s="29" t="str">
        <f t="array" ref="F4300">IF($A4300="","",
  LET(
    r, $D4300,
    startD, INDEX(Calculation!B$2:B9627, r),
    endD,   INDEX(Calculation!C$2:C9627, r),
    asOf,   MIN($A4300,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01">
      <c r="A4301" s="28"/>
      <c r="B4301" s="29"/>
      <c r="C4301" s="29" t="str">
        <f t="shared" si="1"/>
        <v/>
      </c>
      <c r="D4301" s="6" t="str">
        <f>IF(A4301="","",MATCH(A4301,Calculation!B$2:B9627,1))</f>
        <v/>
      </c>
      <c r="E4301" s="29" t="str">
        <f t="array" ref="E4301">IF(D4301="","",IF(D4301=1,0,INDEX(Calculation!Q$2:Q9627,D4301-1)))</f>
        <v/>
      </c>
      <c r="F4301" s="29" t="str">
        <f t="array" ref="F4301">IF($A4301="","",
  LET(
    r, $D4301,
    startD, INDEX(Calculation!B$2:B9627, r),
    endD,   INDEX(Calculation!C$2:C9627, r),
    asOf,   MIN($A4301,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02">
      <c r="A4302" s="28"/>
      <c r="B4302" s="29"/>
      <c r="C4302" s="29" t="str">
        <f t="shared" si="1"/>
        <v/>
      </c>
      <c r="D4302" s="6" t="str">
        <f>IF(A4302="","",MATCH(A4302,Calculation!B$2:B9627,1))</f>
        <v/>
      </c>
      <c r="E4302" s="29" t="str">
        <f t="array" ref="E4302">IF(D4302="","",IF(D4302=1,0,INDEX(Calculation!Q$2:Q9627,D4302-1)))</f>
        <v/>
      </c>
      <c r="F4302" s="29" t="str">
        <f t="array" ref="F4302">IF($A4302="","",
  LET(
    r, $D4302,
    startD, INDEX(Calculation!B$2:B9627, r),
    endD,   INDEX(Calculation!C$2:C9627, r),
    asOf,   MIN($A4302,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03">
      <c r="A4303" s="28"/>
      <c r="B4303" s="29"/>
      <c r="C4303" s="29" t="str">
        <f t="shared" si="1"/>
        <v/>
      </c>
      <c r="D4303" s="6" t="str">
        <f>IF(A4303="","",MATCH(A4303,Calculation!B$2:B9627,1))</f>
        <v/>
      </c>
      <c r="E4303" s="29" t="str">
        <f t="array" ref="E4303">IF(D4303="","",IF(D4303=1,0,INDEX(Calculation!Q$2:Q9627,D4303-1)))</f>
        <v/>
      </c>
      <c r="F4303" s="29" t="str">
        <f t="array" ref="F4303">IF($A4303="","",
  LET(
    r, $D4303,
    startD, INDEX(Calculation!B$2:B9627, r),
    endD,   INDEX(Calculation!C$2:C9627, r),
    asOf,   MIN($A4303,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04">
      <c r="A4304" s="28"/>
      <c r="B4304" s="29"/>
      <c r="C4304" s="29" t="str">
        <f t="shared" si="1"/>
        <v/>
      </c>
      <c r="D4304" s="6" t="str">
        <f>IF(A4304="","",MATCH(A4304,Calculation!B$2:B9627,1))</f>
        <v/>
      </c>
      <c r="E4304" s="29" t="str">
        <f t="array" ref="E4304">IF(D4304="","",IF(D4304=1,0,INDEX(Calculation!Q$2:Q9627,D4304-1)))</f>
        <v/>
      </c>
      <c r="F4304" s="29" t="str">
        <f t="array" ref="F4304">IF($A4304="","",
  LET(
    r, $D4304,
    startD, INDEX(Calculation!B$2:B9627, r),
    endD,   INDEX(Calculation!C$2:C9627, r),
    asOf,   MIN($A4304,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05">
      <c r="A4305" s="28"/>
      <c r="B4305" s="29"/>
      <c r="C4305" s="29" t="str">
        <f t="shared" si="1"/>
        <v/>
      </c>
      <c r="D4305" s="6" t="str">
        <f>IF(A4305="","",MATCH(A4305,Calculation!B$2:B9627,1))</f>
        <v/>
      </c>
      <c r="E4305" s="29" t="str">
        <f t="array" ref="E4305">IF(D4305="","",IF(D4305=1,0,INDEX(Calculation!Q$2:Q9627,D4305-1)))</f>
        <v/>
      </c>
      <c r="F4305" s="29" t="str">
        <f t="array" ref="F4305">IF($A4305="","",
  LET(
    r, $D4305,
    startD, INDEX(Calculation!B$2:B9627, r),
    endD,   INDEX(Calculation!C$2:C9627, r),
    asOf,   MIN($A4305,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06">
      <c r="A4306" s="28"/>
      <c r="B4306" s="29"/>
      <c r="C4306" s="29" t="str">
        <f t="shared" si="1"/>
        <v/>
      </c>
      <c r="D4306" s="6" t="str">
        <f>IF(A4306="","",MATCH(A4306,Calculation!B$2:B9627,1))</f>
        <v/>
      </c>
      <c r="E4306" s="29" t="str">
        <f t="array" ref="E4306">IF(D4306="","",IF(D4306=1,0,INDEX(Calculation!Q$2:Q9627,D4306-1)))</f>
        <v/>
      </c>
      <c r="F4306" s="29" t="str">
        <f t="array" ref="F4306">IF($A4306="","",
  LET(
    r, $D4306,
    startD, INDEX(Calculation!B$2:B9627, r),
    endD,   INDEX(Calculation!C$2:C9627, r),
    asOf,   MIN($A4306,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07">
      <c r="A4307" s="28"/>
      <c r="B4307" s="29"/>
      <c r="C4307" s="29" t="str">
        <f t="shared" si="1"/>
        <v/>
      </c>
      <c r="D4307" s="6" t="str">
        <f>IF(A4307="","",MATCH(A4307,Calculation!B$2:B9627,1))</f>
        <v/>
      </c>
      <c r="E4307" s="29" t="str">
        <f t="array" ref="E4307">IF(D4307="","",IF(D4307=1,0,INDEX(Calculation!Q$2:Q9627,D4307-1)))</f>
        <v/>
      </c>
      <c r="F4307" s="29" t="str">
        <f t="array" ref="F4307">IF($A4307="","",
  LET(
    r, $D4307,
    startD, INDEX(Calculation!B$2:B9627, r),
    endD,   INDEX(Calculation!C$2:C9627, r),
    asOf,   MIN($A4307,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08">
      <c r="A4308" s="28"/>
      <c r="B4308" s="29"/>
      <c r="C4308" s="29" t="str">
        <f t="shared" si="1"/>
        <v/>
      </c>
      <c r="D4308" s="6" t="str">
        <f>IF(A4308="","",MATCH(A4308,Calculation!B$2:B9627,1))</f>
        <v/>
      </c>
      <c r="E4308" s="29" t="str">
        <f t="array" ref="E4308">IF(D4308="","",IF(D4308=1,0,INDEX(Calculation!Q$2:Q9627,D4308-1)))</f>
        <v/>
      </c>
      <c r="F4308" s="29" t="str">
        <f t="array" ref="F4308">IF($A4308="","",
  LET(
    r, $D4308,
    startD, INDEX(Calculation!B$2:B9627, r),
    endD,   INDEX(Calculation!C$2:C9627, r),
    asOf,   MIN($A4308,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09">
      <c r="A4309" s="28"/>
      <c r="B4309" s="29"/>
      <c r="C4309" s="29" t="str">
        <f t="shared" si="1"/>
        <v/>
      </c>
      <c r="D4309" s="6" t="str">
        <f>IF(A4309="","",MATCH(A4309,Calculation!B$2:B9627,1))</f>
        <v/>
      </c>
      <c r="E4309" s="29" t="str">
        <f t="array" ref="E4309">IF(D4309="","",IF(D4309=1,0,INDEX(Calculation!Q$2:Q9627,D4309-1)))</f>
        <v/>
      </c>
      <c r="F4309" s="29" t="str">
        <f t="array" ref="F4309">IF($A4309="","",
  LET(
    r, $D4309,
    startD, INDEX(Calculation!B$2:B9627, r),
    endD,   INDEX(Calculation!C$2:C9627, r),
    asOf,   MIN($A4309,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10">
      <c r="A4310" s="28"/>
      <c r="B4310" s="29"/>
      <c r="C4310" s="29" t="str">
        <f t="shared" si="1"/>
        <v/>
      </c>
      <c r="D4310" s="6" t="str">
        <f>IF(A4310="","",MATCH(A4310,Calculation!B$2:B9627,1))</f>
        <v/>
      </c>
      <c r="E4310" s="29" t="str">
        <f t="array" ref="E4310">IF(D4310="","",IF(D4310=1,0,INDEX(Calculation!Q$2:Q9627,D4310-1)))</f>
        <v/>
      </c>
      <c r="F4310" s="29" t="str">
        <f t="array" ref="F4310">IF($A4310="","",
  LET(
    r, $D4310,
    startD, INDEX(Calculation!B$2:B9627, r),
    endD,   INDEX(Calculation!C$2:C9627, r),
    asOf,   MIN($A4310,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11">
      <c r="A4311" s="28"/>
      <c r="B4311" s="29"/>
      <c r="C4311" s="29" t="str">
        <f t="shared" si="1"/>
        <v/>
      </c>
      <c r="D4311" s="6" t="str">
        <f>IF(A4311="","",MATCH(A4311,Calculation!B$2:B9627,1))</f>
        <v/>
      </c>
      <c r="E4311" s="29" t="str">
        <f t="array" ref="E4311">IF(D4311="","",IF(D4311=1,0,INDEX(Calculation!Q$2:Q9627,D4311-1)))</f>
        <v/>
      </c>
      <c r="F4311" s="29" t="str">
        <f t="array" ref="F4311">IF($A4311="","",
  LET(
    r, $D4311,
    startD, INDEX(Calculation!B$2:B9627, r),
    endD,   INDEX(Calculation!C$2:C9627, r),
    asOf,   MIN($A4311,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12">
      <c r="A4312" s="28"/>
      <c r="B4312" s="29"/>
      <c r="C4312" s="29" t="str">
        <f t="shared" si="1"/>
        <v/>
      </c>
      <c r="D4312" s="6" t="str">
        <f>IF(A4312="","",MATCH(A4312,Calculation!B$2:B9627,1))</f>
        <v/>
      </c>
      <c r="E4312" s="29" t="str">
        <f t="array" ref="E4312">IF(D4312="","",IF(D4312=1,0,INDEX(Calculation!Q$2:Q9627,D4312-1)))</f>
        <v/>
      </c>
      <c r="F4312" s="29" t="str">
        <f t="array" ref="F4312">IF($A4312="","",
  LET(
    r, $D4312,
    startD, INDEX(Calculation!B$2:B9627, r),
    endD,   INDEX(Calculation!C$2:C9627, r),
    asOf,   MIN($A4312,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13">
      <c r="A4313" s="28"/>
      <c r="B4313" s="29"/>
      <c r="C4313" s="29" t="str">
        <f t="shared" si="1"/>
        <v/>
      </c>
      <c r="D4313" s="6" t="str">
        <f>IF(A4313="","",MATCH(A4313,Calculation!B$2:B9627,1))</f>
        <v/>
      </c>
      <c r="E4313" s="29" t="str">
        <f t="array" ref="E4313">IF(D4313="","",IF(D4313=1,0,INDEX(Calculation!Q$2:Q9627,D4313-1)))</f>
        <v/>
      </c>
      <c r="F4313" s="29" t="str">
        <f t="array" ref="F4313">IF($A4313="","",
  LET(
    r, $D4313,
    startD, INDEX(Calculation!B$2:B9627, r),
    endD,   INDEX(Calculation!C$2:C9627, r),
    asOf,   MIN($A4313,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14">
      <c r="A4314" s="28"/>
      <c r="B4314" s="29"/>
      <c r="C4314" s="29" t="str">
        <f t="shared" si="1"/>
        <v/>
      </c>
      <c r="D4314" s="6" t="str">
        <f>IF(A4314="","",MATCH(A4314,Calculation!B$2:B9627,1))</f>
        <v/>
      </c>
      <c r="E4314" s="29" t="str">
        <f t="array" ref="E4314">IF(D4314="","",IF(D4314=1,0,INDEX(Calculation!Q$2:Q9627,D4314-1)))</f>
        <v/>
      </c>
      <c r="F4314" s="29" t="str">
        <f t="array" ref="F4314">IF($A4314="","",
  LET(
    r, $D4314,
    startD, INDEX(Calculation!B$2:B9627, r),
    endD,   INDEX(Calculation!C$2:C9627, r),
    asOf,   MIN($A4314,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15">
      <c r="A4315" s="28"/>
      <c r="B4315" s="29"/>
      <c r="C4315" s="29" t="str">
        <f t="shared" si="1"/>
        <v/>
      </c>
      <c r="D4315" s="6" t="str">
        <f>IF(A4315="","",MATCH(A4315,Calculation!B$2:B9627,1))</f>
        <v/>
      </c>
      <c r="E4315" s="29" t="str">
        <f t="array" ref="E4315">IF(D4315="","",IF(D4315=1,0,INDEX(Calculation!Q$2:Q9627,D4315-1)))</f>
        <v/>
      </c>
      <c r="F4315" s="29" t="str">
        <f t="array" ref="F4315">IF($A4315="","",
  LET(
    r, $D4315,
    startD, INDEX(Calculation!B$2:B9627, r),
    endD,   INDEX(Calculation!C$2:C9627, r),
    asOf,   MIN($A4315,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16">
      <c r="A4316" s="28"/>
      <c r="B4316" s="29"/>
      <c r="C4316" s="29" t="str">
        <f t="shared" si="1"/>
        <v/>
      </c>
      <c r="D4316" s="6" t="str">
        <f>IF(A4316="","",MATCH(A4316,Calculation!B$2:B9627,1))</f>
        <v/>
      </c>
      <c r="E4316" s="29" t="str">
        <f t="array" ref="E4316">IF(D4316="","",IF(D4316=1,0,INDEX(Calculation!Q$2:Q9627,D4316-1)))</f>
        <v/>
      </c>
      <c r="F4316" s="29" t="str">
        <f t="array" ref="F4316">IF($A4316="","",
  LET(
    r, $D4316,
    startD, INDEX(Calculation!B$2:B9627, r),
    endD,   INDEX(Calculation!C$2:C9627, r),
    asOf,   MIN($A4316,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17">
      <c r="A4317" s="28"/>
      <c r="B4317" s="29"/>
      <c r="C4317" s="29" t="str">
        <f t="shared" si="1"/>
        <v/>
      </c>
      <c r="D4317" s="6" t="str">
        <f>IF(A4317="","",MATCH(A4317,Calculation!B$2:B9627,1))</f>
        <v/>
      </c>
      <c r="E4317" s="29" t="str">
        <f t="array" ref="E4317">IF(D4317="","",IF(D4317=1,0,INDEX(Calculation!Q$2:Q9627,D4317-1)))</f>
        <v/>
      </c>
      <c r="F4317" s="29" t="str">
        <f t="array" ref="F4317">IF($A4317="","",
  LET(
    r, $D4317,
    startD, INDEX(Calculation!B$2:B9627, r),
    endD,   INDEX(Calculation!C$2:C9627, r),
    asOf,   MIN($A4317,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18">
      <c r="A4318" s="28"/>
      <c r="B4318" s="29"/>
      <c r="C4318" s="29" t="str">
        <f t="shared" si="1"/>
        <v/>
      </c>
      <c r="D4318" s="6" t="str">
        <f>IF(A4318="","",MATCH(A4318,Calculation!B$2:B9627,1))</f>
        <v/>
      </c>
      <c r="E4318" s="29" t="str">
        <f t="array" ref="E4318">IF(D4318="","",IF(D4318=1,0,INDEX(Calculation!Q$2:Q9627,D4318-1)))</f>
        <v/>
      </c>
      <c r="F4318" s="29" t="str">
        <f t="array" ref="F4318">IF($A4318="","",
  LET(
    r, $D4318,
    startD, INDEX(Calculation!B$2:B9627, r),
    endD,   INDEX(Calculation!C$2:C9627, r),
    asOf,   MIN($A4318,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19">
      <c r="A4319" s="28"/>
      <c r="B4319" s="29"/>
      <c r="C4319" s="29" t="str">
        <f t="shared" si="1"/>
        <v/>
      </c>
      <c r="D4319" s="6" t="str">
        <f>IF(A4319="","",MATCH(A4319,Calculation!B$2:B9627,1))</f>
        <v/>
      </c>
      <c r="E4319" s="29" t="str">
        <f t="array" ref="E4319">IF(D4319="","",IF(D4319=1,0,INDEX(Calculation!Q$2:Q9627,D4319-1)))</f>
        <v/>
      </c>
      <c r="F4319" s="29" t="str">
        <f t="array" ref="F4319">IF($A4319="","",
  LET(
    r, $D4319,
    startD, INDEX(Calculation!B$2:B9627, r),
    endD,   INDEX(Calculation!C$2:C9627, r),
    asOf,   MIN($A4319,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20">
      <c r="A4320" s="28"/>
      <c r="B4320" s="29"/>
      <c r="C4320" s="29" t="str">
        <f t="shared" si="1"/>
        <v/>
      </c>
      <c r="D4320" s="6" t="str">
        <f>IF(A4320="","",MATCH(A4320,Calculation!B$2:B9627,1))</f>
        <v/>
      </c>
      <c r="E4320" s="29" t="str">
        <f t="array" ref="E4320">IF(D4320="","",IF(D4320=1,0,INDEX(Calculation!Q$2:Q9627,D4320-1)))</f>
        <v/>
      </c>
      <c r="F4320" s="29" t="str">
        <f t="array" ref="F4320">IF($A4320="","",
  LET(
    r, $D4320,
    startD, INDEX(Calculation!B$2:B9627, r),
    endD,   INDEX(Calculation!C$2:C9627, r),
    asOf,   MIN($A4320,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21">
      <c r="A4321" s="28"/>
      <c r="B4321" s="29"/>
      <c r="C4321" s="29" t="str">
        <f t="shared" si="1"/>
        <v/>
      </c>
      <c r="D4321" s="6" t="str">
        <f>IF(A4321="","",MATCH(A4321,Calculation!B$2:B9627,1))</f>
        <v/>
      </c>
      <c r="E4321" s="29" t="str">
        <f t="array" ref="E4321">IF(D4321="","",IF(D4321=1,0,INDEX(Calculation!Q$2:Q9627,D4321-1)))</f>
        <v/>
      </c>
      <c r="F4321" s="29" t="str">
        <f t="array" ref="F4321">IF($A4321="","",
  LET(
    r, $D4321,
    startD, INDEX(Calculation!B$2:B9627, r),
    endD,   INDEX(Calculation!C$2:C9627, r),
    asOf,   MIN($A4321,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22">
      <c r="A4322" s="28"/>
      <c r="B4322" s="29"/>
      <c r="C4322" s="29" t="str">
        <f t="shared" si="1"/>
        <v/>
      </c>
      <c r="D4322" s="6" t="str">
        <f>IF(A4322="","",MATCH(A4322,Calculation!B$2:B9627,1))</f>
        <v/>
      </c>
      <c r="E4322" s="29" t="str">
        <f t="array" ref="E4322">IF(D4322="","",IF(D4322=1,0,INDEX(Calculation!Q$2:Q9627,D4322-1)))</f>
        <v/>
      </c>
      <c r="F4322" s="29" t="str">
        <f t="array" ref="F4322">IF($A4322="","",
  LET(
    r, $D4322,
    startD, INDEX(Calculation!B$2:B9627, r),
    endD,   INDEX(Calculation!C$2:C9627, r),
    asOf,   MIN($A4322,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23">
      <c r="A4323" s="28"/>
      <c r="B4323" s="29"/>
      <c r="C4323" s="29" t="str">
        <f t="shared" si="1"/>
        <v/>
      </c>
      <c r="D4323" s="6" t="str">
        <f>IF(A4323="","",MATCH(A4323,Calculation!B$2:B9627,1))</f>
        <v/>
      </c>
      <c r="E4323" s="29" t="str">
        <f t="array" ref="E4323">IF(D4323="","",IF(D4323=1,0,INDEX(Calculation!Q$2:Q9627,D4323-1)))</f>
        <v/>
      </c>
      <c r="F4323" s="29" t="str">
        <f t="array" ref="F4323">IF($A4323="","",
  LET(
    r, $D4323,
    startD, INDEX(Calculation!B$2:B9627, r),
    endD,   INDEX(Calculation!C$2:C9627, r),
    asOf,   MIN($A4323,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24">
      <c r="A4324" s="28"/>
      <c r="B4324" s="29"/>
      <c r="C4324" s="29" t="str">
        <f t="shared" si="1"/>
        <v/>
      </c>
      <c r="D4324" s="6" t="str">
        <f>IF(A4324="","",MATCH(A4324,Calculation!B$2:B9627,1))</f>
        <v/>
      </c>
      <c r="E4324" s="29" t="str">
        <f t="array" ref="E4324">IF(D4324="","",IF(D4324=1,0,INDEX(Calculation!Q$2:Q9627,D4324-1)))</f>
        <v/>
      </c>
      <c r="F4324" s="29" t="str">
        <f t="array" ref="F4324">IF($A4324="","",
  LET(
    r, $D4324,
    startD, INDEX(Calculation!B$2:B9627, r),
    endD,   INDEX(Calculation!C$2:C9627, r),
    asOf,   MIN($A4324,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25">
      <c r="A4325" s="28"/>
      <c r="B4325" s="29"/>
      <c r="C4325" s="29" t="str">
        <f t="shared" si="1"/>
        <v/>
      </c>
      <c r="D4325" s="6" t="str">
        <f>IF(A4325="","",MATCH(A4325,Calculation!B$2:B9627,1))</f>
        <v/>
      </c>
      <c r="E4325" s="29" t="str">
        <f t="array" ref="E4325">IF(D4325="","",IF(D4325=1,0,INDEX(Calculation!Q$2:Q9627,D4325-1)))</f>
        <v/>
      </c>
      <c r="F4325" s="29" t="str">
        <f t="array" ref="F4325">IF($A4325="","",
  LET(
    r, $D4325,
    startD, INDEX(Calculation!B$2:B9627, r),
    endD,   INDEX(Calculation!C$2:C9627, r),
    asOf,   MIN($A4325,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26">
      <c r="A4326" s="28"/>
      <c r="B4326" s="29"/>
      <c r="C4326" s="29" t="str">
        <f t="shared" si="1"/>
        <v/>
      </c>
      <c r="D4326" s="6" t="str">
        <f>IF(A4326="","",MATCH(A4326,Calculation!B$2:B9627,1))</f>
        <v/>
      </c>
      <c r="E4326" s="29" t="str">
        <f t="array" ref="E4326">IF(D4326="","",IF(D4326=1,0,INDEX(Calculation!Q$2:Q9627,D4326-1)))</f>
        <v/>
      </c>
      <c r="F4326" s="29" t="str">
        <f t="array" ref="F4326">IF($A4326="","",
  LET(
    r, $D4326,
    startD, INDEX(Calculation!B$2:B9627, r),
    endD,   INDEX(Calculation!C$2:C9627, r),
    asOf,   MIN($A4326,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27">
      <c r="A4327" s="28"/>
      <c r="B4327" s="29"/>
      <c r="C4327" s="29" t="str">
        <f t="shared" si="1"/>
        <v/>
      </c>
      <c r="D4327" s="6" t="str">
        <f>IF(A4327="","",MATCH(A4327,Calculation!B$2:B9627,1))</f>
        <v/>
      </c>
      <c r="E4327" s="29" t="str">
        <f t="array" ref="E4327">IF(D4327="","",IF(D4327=1,0,INDEX(Calculation!Q$2:Q9627,D4327-1)))</f>
        <v/>
      </c>
      <c r="F4327" s="29" t="str">
        <f t="array" ref="F4327">IF($A4327="","",
  LET(
    r, $D4327,
    startD, INDEX(Calculation!B$2:B9627, r),
    endD,   INDEX(Calculation!C$2:C9627, r),
    asOf,   MIN($A4327,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28">
      <c r="A4328" s="28"/>
      <c r="B4328" s="29"/>
      <c r="C4328" s="29" t="str">
        <f t="shared" si="1"/>
        <v/>
      </c>
      <c r="D4328" s="6" t="str">
        <f>IF(A4328="","",MATCH(A4328,Calculation!B$2:B9627,1))</f>
        <v/>
      </c>
      <c r="E4328" s="29" t="str">
        <f t="array" ref="E4328">IF(D4328="","",IF(D4328=1,0,INDEX(Calculation!Q$2:Q9627,D4328-1)))</f>
        <v/>
      </c>
      <c r="F4328" s="29" t="str">
        <f t="array" ref="F4328">IF($A4328="","",
  LET(
    r, $D4328,
    startD, INDEX(Calculation!B$2:B9627, r),
    endD,   INDEX(Calculation!C$2:C9627, r),
    asOf,   MIN($A4328,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29">
      <c r="A4329" s="28"/>
      <c r="B4329" s="29"/>
      <c r="C4329" s="29" t="str">
        <f t="shared" si="1"/>
        <v/>
      </c>
      <c r="D4329" s="6" t="str">
        <f>IF(A4329="","",MATCH(A4329,Calculation!B$2:B9627,1))</f>
        <v/>
      </c>
      <c r="E4329" s="29" t="str">
        <f t="array" ref="E4329">IF(D4329="","",IF(D4329=1,0,INDEX(Calculation!Q$2:Q9627,D4329-1)))</f>
        <v/>
      </c>
      <c r="F4329" s="29" t="str">
        <f t="array" ref="F4329">IF($A4329="","",
  LET(
    r, $D4329,
    startD, INDEX(Calculation!B$2:B9627, r),
    endD,   INDEX(Calculation!C$2:C9627, r),
    asOf,   MIN($A4329,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30">
      <c r="A4330" s="28"/>
      <c r="B4330" s="29"/>
      <c r="C4330" s="29" t="str">
        <f t="shared" si="1"/>
        <v/>
      </c>
      <c r="D4330" s="6" t="str">
        <f>IF(A4330="","",MATCH(A4330,Calculation!B$2:B9627,1))</f>
        <v/>
      </c>
      <c r="E4330" s="29" t="str">
        <f t="array" ref="E4330">IF(D4330="","",IF(D4330=1,0,INDEX(Calculation!Q$2:Q9627,D4330-1)))</f>
        <v/>
      </c>
      <c r="F4330" s="29" t="str">
        <f t="array" ref="F4330">IF($A4330="","",
  LET(
    r, $D4330,
    startD, INDEX(Calculation!B$2:B9627, r),
    endD,   INDEX(Calculation!C$2:C9627, r),
    asOf,   MIN($A4330,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31">
      <c r="A4331" s="28"/>
      <c r="B4331" s="29"/>
      <c r="C4331" s="29" t="str">
        <f t="shared" si="1"/>
        <v/>
      </c>
      <c r="D4331" s="6" t="str">
        <f>IF(A4331="","",MATCH(A4331,Calculation!B$2:B9627,1))</f>
        <v/>
      </c>
      <c r="E4331" s="29" t="str">
        <f t="array" ref="E4331">IF(D4331="","",IF(D4331=1,0,INDEX(Calculation!Q$2:Q9627,D4331-1)))</f>
        <v/>
      </c>
      <c r="F4331" s="29" t="str">
        <f t="array" ref="F4331">IF($A4331="","",
  LET(
    r, $D4331,
    startD, INDEX(Calculation!B$2:B9627, r),
    endD,   INDEX(Calculation!C$2:C9627, r),
    asOf,   MIN($A4331,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32">
      <c r="A4332" s="28"/>
      <c r="B4332" s="29"/>
      <c r="C4332" s="29" t="str">
        <f t="shared" si="1"/>
        <v/>
      </c>
      <c r="D4332" s="6" t="str">
        <f>IF(A4332="","",MATCH(A4332,Calculation!B$2:B9627,1))</f>
        <v/>
      </c>
      <c r="E4332" s="29" t="str">
        <f t="array" ref="E4332">IF(D4332="","",IF(D4332=1,0,INDEX(Calculation!Q$2:Q9627,D4332-1)))</f>
        <v/>
      </c>
      <c r="F4332" s="29" t="str">
        <f t="array" ref="F4332">IF($A4332="","",
  LET(
    r, $D4332,
    startD, INDEX(Calculation!B$2:B9627, r),
    endD,   INDEX(Calculation!C$2:C9627, r),
    asOf,   MIN($A4332,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33">
      <c r="A4333" s="28"/>
      <c r="B4333" s="29"/>
      <c r="C4333" s="29" t="str">
        <f t="shared" si="1"/>
        <v/>
      </c>
      <c r="D4333" s="6" t="str">
        <f>IF(A4333="","",MATCH(A4333,Calculation!B$2:B9627,1))</f>
        <v/>
      </c>
      <c r="E4333" s="29" t="str">
        <f t="array" ref="E4333">IF(D4333="","",IF(D4333=1,0,INDEX(Calculation!Q$2:Q9627,D4333-1)))</f>
        <v/>
      </c>
      <c r="F4333" s="29" t="str">
        <f t="array" ref="F4333">IF($A4333="","",
  LET(
    r, $D4333,
    startD, INDEX(Calculation!B$2:B9627, r),
    endD,   INDEX(Calculation!C$2:C9627, r),
    asOf,   MIN($A4333,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34">
      <c r="A4334" s="28"/>
      <c r="B4334" s="29"/>
      <c r="C4334" s="29" t="str">
        <f t="shared" si="1"/>
        <v/>
      </c>
      <c r="D4334" s="6" t="str">
        <f>IF(A4334="","",MATCH(A4334,Calculation!B$2:B9627,1))</f>
        <v/>
      </c>
      <c r="E4334" s="29" t="str">
        <f t="array" ref="E4334">IF(D4334="","",IF(D4334=1,0,INDEX(Calculation!Q$2:Q9627,D4334-1)))</f>
        <v/>
      </c>
      <c r="F4334" s="29" t="str">
        <f t="array" ref="F4334">IF($A4334="","",
  LET(
    r, $D4334,
    startD, INDEX(Calculation!B$2:B9627, r),
    endD,   INDEX(Calculation!C$2:C9627, r),
    asOf,   MIN($A4334,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35">
      <c r="A4335" s="28"/>
      <c r="B4335" s="29"/>
      <c r="C4335" s="29" t="str">
        <f t="shared" si="1"/>
        <v/>
      </c>
      <c r="D4335" s="6" t="str">
        <f>IF(A4335="","",MATCH(A4335,Calculation!B$2:B9627,1))</f>
        <v/>
      </c>
      <c r="E4335" s="29" t="str">
        <f t="array" ref="E4335">IF(D4335="","",IF(D4335=1,0,INDEX(Calculation!Q$2:Q9627,D4335-1)))</f>
        <v/>
      </c>
      <c r="F4335" s="29" t="str">
        <f t="array" ref="F4335">IF($A4335="","",
  LET(
    r, $D4335,
    startD, INDEX(Calculation!B$2:B9627, r),
    endD,   INDEX(Calculation!C$2:C9627, r),
    asOf,   MIN($A4335,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36">
      <c r="A4336" s="28"/>
      <c r="B4336" s="29"/>
      <c r="C4336" s="29" t="str">
        <f t="shared" si="1"/>
        <v/>
      </c>
      <c r="D4336" s="6" t="str">
        <f>IF(A4336="","",MATCH(A4336,Calculation!B$2:B9627,1))</f>
        <v/>
      </c>
      <c r="E4336" s="29" t="str">
        <f t="array" ref="E4336">IF(D4336="","",IF(D4336=1,0,INDEX(Calculation!Q$2:Q9627,D4336-1)))</f>
        <v/>
      </c>
      <c r="F4336" s="29" t="str">
        <f t="array" ref="F4336">IF($A4336="","",
  LET(
    r, $D4336,
    startD, INDEX(Calculation!B$2:B9627, r),
    endD,   INDEX(Calculation!C$2:C9627, r),
    asOf,   MIN($A4336,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37">
      <c r="A4337" s="28"/>
      <c r="B4337" s="29"/>
      <c r="C4337" s="29" t="str">
        <f t="shared" si="1"/>
        <v/>
      </c>
      <c r="D4337" s="6" t="str">
        <f>IF(A4337="","",MATCH(A4337,Calculation!B$2:B9627,1))</f>
        <v/>
      </c>
      <c r="E4337" s="29" t="str">
        <f t="array" ref="E4337">IF(D4337="","",IF(D4337=1,0,INDEX(Calculation!Q$2:Q9627,D4337-1)))</f>
        <v/>
      </c>
      <c r="F4337" s="29" t="str">
        <f t="array" ref="F4337">IF($A4337="","",
  LET(
    r, $D4337,
    startD, INDEX(Calculation!B$2:B9627, r),
    endD,   INDEX(Calculation!C$2:C9627, r),
    asOf,   MIN($A4337,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38">
      <c r="A4338" s="28"/>
      <c r="B4338" s="29"/>
      <c r="C4338" s="29" t="str">
        <f t="shared" si="1"/>
        <v/>
      </c>
      <c r="D4338" s="6" t="str">
        <f>IF(A4338="","",MATCH(A4338,Calculation!B$2:B9627,1))</f>
        <v/>
      </c>
      <c r="E4338" s="29" t="str">
        <f t="array" ref="E4338">IF(D4338="","",IF(D4338=1,0,INDEX(Calculation!Q$2:Q9627,D4338-1)))</f>
        <v/>
      </c>
      <c r="F4338" s="29" t="str">
        <f t="array" ref="F4338">IF($A4338="","",
  LET(
    r, $D4338,
    startD, INDEX(Calculation!B$2:B9627, r),
    endD,   INDEX(Calculation!C$2:C9627, r),
    asOf,   MIN($A4338,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39">
      <c r="A4339" s="28"/>
      <c r="B4339" s="29"/>
      <c r="C4339" s="29" t="str">
        <f t="shared" si="1"/>
        <v/>
      </c>
      <c r="D4339" s="6" t="str">
        <f>IF(A4339="","",MATCH(A4339,Calculation!B$2:B9627,1))</f>
        <v/>
      </c>
      <c r="E4339" s="29" t="str">
        <f t="array" ref="E4339">IF(D4339="","",IF(D4339=1,0,INDEX(Calculation!Q$2:Q9627,D4339-1)))</f>
        <v/>
      </c>
      <c r="F4339" s="29" t="str">
        <f t="array" ref="F4339">IF($A4339="","",
  LET(
    r, $D4339,
    startD, INDEX(Calculation!B$2:B9627, r),
    endD,   INDEX(Calculation!C$2:C9627, r),
    asOf,   MIN($A4339,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40">
      <c r="A4340" s="28"/>
      <c r="B4340" s="29"/>
      <c r="C4340" s="29" t="str">
        <f t="shared" si="1"/>
        <v/>
      </c>
      <c r="D4340" s="6" t="str">
        <f>IF(A4340="","",MATCH(A4340,Calculation!B$2:B9627,1))</f>
        <v/>
      </c>
      <c r="E4340" s="29" t="str">
        <f t="array" ref="E4340">IF(D4340="","",IF(D4340=1,0,INDEX(Calculation!Q$2:Q9627,D4340-1)))</f>
        <v/>
      </c>
      <c r="F4340" s="29" t="str">
        <f t="array" ref="F4340">IF($A4340="","",
  LET(
    r, $D4340,
    startD, INDEX(Calculation!B$2:B9627, r),
    endD,   INDEX(Calculation!C$2:C9627, r),
    asOf,   MIN($A4340,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41">
      <c r="A4341" s="28"/>
      <c r="B4341" s="29"/>
      <c r="C4341" s="29" t="str">
        <f t="shared" si="1"/>
        <v/>
      </c>
      <c r="D4341" s="6" t="str">
        <f>IF(A4341="","",MATCH(A4341,Calculation!B$2:B9627,1))</f>
        <v/>
      </c>
      <c r="E4341" s="29" t="str">
        <f t="array" ref="E4341">IF(D4341="","",IF(D4341=1,0,INDEX(Calculation!Q$2:Q9627,D4341-1)))</f>
        <v/>
      </c>
      <c r="F4341" s="29" t="str">
        <f t="array" ref="F4341">IF($A4341="","",
  LET(
    r, $D4341,
    startD, INDEX(Calculation!B$2:B9627, r),
    endD,   INDEX(Calculation!C$2:C9627, r),
    asOf,   MIN($A4341,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42">
      <c r="A4342" s="28"/>
      <c r="B4342" s="29"/>
      <c r="C4342" s="29" t="str">
        <f t="shared" si="1"/>
        <v/>
      </c>
      <c r="D4342" s="6" t="str">
        <f>IF(A4342="","",MATCH(A4342,Calculation!B$2:B9627,1))</f>
        <v/>
      </c>
      <c r="E4342" s="29" t="str">
        <f t="array" ref="E4342">IF(D4342="","",IF(D4342=1,0,INDEX(Calculation!Q$2:Q9627,D4342-1)))</f>
        <v/>
      </c>
      <c r="F4342" s="29" t="str">
        <f t="array" ref="F4342">IF($A4342="","",
  LET(
    r, $D4342,
    startD, INDEX(Calculation!B$2:B9627, r),
    endD,   INDEX(Calculation!C$2:C9627, r),
    asOf,   MIN($A4342,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43">
      <c r="A4343" s="28"/>
      <c r="B4343" s="29"/>
      <c r="C4343" s="29" t="str">
        <f t="shared" si="1"/>
        <v/>
      </c>
      <c r="D4343" s="6" t="str">
        <f>IF(A4343="","",MATCH(A4343,Calculation!B$2:B9627,1))</f>
        <v/>
      </c>
      <c r="E4343" s="29" t="str">
        <f t="array" ref="E4343">IF(D4343="","",IF(D4343=1,0,INDEX(Calculation!Q$2:Q9627,D4343-1)))</f>
        <v/>
      </c>
      <c r="F4343" s="29" t="str">
        <f t="array" ref="F4343">IF($A4343="","",
  LET(
    r, $D4343,
    startD, INDEX(Calculation!B$2:B9627, r),
    endD,   INDEX(Calculation!C$2:C9627, r),
    asOf,   MIN($A4343,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44">
      <c r="A4344" s="28"/>
      <c r="B4344" s="29"/>
      <c r="C4344" s="29" t="str">
        <f t="shared" si="1"/>
        <v/>
      </c>
      <c r="D4344" s="6" t="str">
        <f>IF(A4344="","",MATCH(A4344,Calculation!B$2:B9627,1))</f>
        <v/>
      </c>
      <c r="E4344" s="29" t="str">
        <f t="array" ref="E4344">IF(D4344="","",IF(D4344=1,0,INDEX(Calculation!Q$2:Q9627,D4344-1)))</f>
        <v/>
      </c>
      <c r="F4344" s="29" t="str">
        <f t="array" ref="F4344">IF($A4344="","",
  LET(
    r, $D4344,
    startD, INDEX(Calculation!B$2:B9627, r),
    endD,   INDEX(Calculation!C$2:C9627, r),
    asOf,   MIN($A4344,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45">
      <c r="A4345" s="28"/>
      <c r="B4345" s="29"/>
      <c r="C4345" s="29" t="str">
        <f t="shared" si="1"/>
        <v/>
      </c>
      <c r="D4345" s="6" t="str">
        <f>IF(A4345="","",MATCH(A4345,Calculation!B$2:B9627,1))</f>
        <v/>
      </c>
      <c r="E4345" s="29" t="str">
        <f t="array" ref="E4345">IF(D4345="","",IF(D4345=1,0,INDEX(Calculation!Q$2:Q9627,D4345-1)))</f>
        <v/>
      </c>
      <c r="F4345" s="29" t="str">
        <f t="array" ref="F4345">IF($A4345="","",
  LET(
    r, $D4345,
    startD, INDEX(Calculation!B$2:B9627, r),
    endD,   INDEX(Calculation!C$2:C9627, r),
    asOf,   MIN($A4345,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46">
      <c r="A4346" s="28"/>
      <c r="B4346" s="29"/>
      <c r="C4346" s="29" t="str">
        <f t="shared" si="1"/>
        <v/>
      </c>
      <c r="D4346" s="6" t="str">
        <f>IF(A4346="","",MATCH(A4346,Calculation!B$2:B9627,1))</f>
        <v/>
      </c>
      <c r="E4346" s="29" t="str">
        <f t="array" ref="E4346">IF(D4346="","",IF(D4346=1,0,INDEX(Calculation!Q$2:Q9627,D4346-1)))</f>
        <v/>
      </c>
      <c r="F4346" s="29" t="str">
        <f t="array" ref="F4346">IF($A4346="","",
  LET(
    r, $D4346,
    startD, INDEX(Calculation!B$2:B9627, r),
    endD,   INDEX(Calculation!C$2:C9627, r),
    asOf,   MIN($A4346,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47">
      <c r="A4347" s="28"/>
      <c r="B4347" s="29"/>
      <c r="C4347" s="29" t="str">
        <f t="shared" si="1"/>
        <v/>
      </c>
      <c r="D4347" s="6" t="str">
        <f>IF(A4347="","",MATCH(A4347,Calculation!B$2:B9627,1))</f>
        <v/>
      </c>
      <c r="E4347" s="29" t="str">
        <f t="array" ref="E4347">IF(D4347="","",IF(D4347=1,0,INDEX(Calculation!Q$2:Q9627,D4347-1)))</f>
        <v/>
      </c>
      <c r="F4347" s="29" t="str">
        <f t="array" ref="F4347">IF($A4347="","",
  LET(
    r, $D4347,
    startD, INDEX(Calculation!B$2:B9627, r),
    endD,   INDEX(Calculation!C$2:C9627, r),
    asOf,   MIN($A4347,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48">
      <c r="A4348" s="28"/>
      <c r="B4348" s="29"/>
      <c r="C4348" s="29" t="str">
        <f t="shared" si="1"/>
        <v/>
      </c>
      <c r="D4348" s="6" t="str">
        <f>IF(A4348="","",MATCH(A4348,Calculation!B$2:B9627,1))</f>
        <v/>
      </c>
      <c r="E4348" s="29" t="str">
        <f t="array" ref="E4348">IF(D4348="","",IF(D4348=1,0,INDEX(Calculation!Q$2:Q9627,D4348-1)))</f>
        <v/>
      </c>
      <c r="F4348" s="29" t="str">
        <f t="array" ref="F4348">IF($A4348="","",
  LET(
    r, $D4348,
    startD, INDEX(Calculation!B$2:B9627, r),
    endD,   INDEX(Calculation!C$2:C9627, r),
    asOf,   MIN($A4348,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49">
      <c r="A4349" s="28"/>
      <c r="B4349" s="29"/>
      <c r="C4349" s="29" t="str">
        <f t="shared" si="1"/>
        <v/>
      </c>
      <c r="D4349" s="6" t="str">
        <f>IF(A4349="","",MATCH(A4349,Calculation!B$2:B9627,1))</f>
        <v/>
      </c>
      <c r="E4349" s="29" t="str">
        <f t="array" ref="E4349">IF(D4349="","",IF(D4349=1,0,INDEX(Calculation!Q$2:Q9627,D4349-1)))</f>
        <v/>
      </c>
      <c r="F4349" s="29" t="str">
        <f t="array" ref="F4349">IF($A4349="","",
  LET(
    r, $D4349,
    startD, INDEX(Calculation!B$2:B9627, r),
    endD,   INDEX(Calculation!C$2:C9627, r),
    asOf,   MIN($A4349,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50">
      <c r="A4350" s="28"/>
      <c r="B4350" s="29"/>
      <c r="C4350" s="29" t="str">
        <f t="shared" si="1"/>
        <v/>
      </c>
      <c r="D4350" s="6" t="str">
        <f>IF(A4350="","",MATCH(A4350,Calculation!B$2:B9627,1))</f>
        <v/>
      </c>
      <c r="E4350" s="29" t="str">
        <f t="array" ref="E4350">IF(D4350="","",IF(D4350=1,0,INDEX(Calculation!Q$2:Q9627,D4350-1)))</f>
        <v/>
      </c>
      <c r="F4350" s="29" t="str">
        <f t="array" ref="F4350">IF($A4350="","",
  LET(
    r, $D4350,
    startD, INDEX(Calculation!B$2:B9627, r),
    endD,   INDEX(Calculation!C$2:C9627, r),
    asOf,   MIN($A4350,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51">
      <c r="A4351" s="28"/>
      <c r="B4351" s="29"/>
      <c r="C4351" s="29" t="str">
        <f t="shared" si="1"/>
        <v/>
      </c>
      <c r="D4351" s="6" t="str">
        <f>IF(A4351="","",MATCH(A4351,Calculation!B$2:B9627,1))</f>
        <v/>
      </c>
      <c r="E4351" s="29" t="str">
        <f t="array" ref="E4351">IF(D4351="","",IF(D4351=1,0,INDEX(Calculation!Q$2:Q9627,D4351-1)))</f>
        <v/>
      </c>
      <c r="F4351" s="29" t="str">
        <f t="array" ref="F4351">IF($A4351="","",
  LET(
    r, $D4351,
    startD, INDEX(Calculation!B$2:B9627, r),
    endD,   INDEX(Calculation!C$2:C9627, r),
    asOf,   MIN($A4351,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52">
      <c r="A4352" s="28"/>
      <c r="B4352" s="29"/>
      <c r="C4352" s="29" t="str">
        <f t="shared" si="1"/>
        <v/>
      </c>
      <c r="D4352" s="6" t="str">
        <f>IF(A4352="","",MATCH(A4352,Calculation!B$2:B9627,1))</f>
        <v/>
      </c>
      <c r="E4352" s="29" t="str">
        <f t="array" ref="E4352">IF(D4352="","",IF(D4352=1,0,INDEX(Calculation!Q$2:Q9627,D4352-1)))</f>
        <v/>
      </c>
      <c r="F4352" s="29" t="str">
        <f t="array" ref="F4352">IF($A4352="","",
  LET(
    r, $D4352,
    startD, INDEX(Calculation!B$2:B9627, r),
    endD,   INDEX(Calculation!C$2:C9627, r),
    asOf,   MIN($A4352,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53">
      <c r="A4353" s="28"/>
      <c r="B4353" s="29"/>
      <c r="C4353" s="29" t="str">
        <f t="shared" si="1"/>
        <v/>
      </c>
      <c r="D4353" s="6" t="str">
        <f>IF(A4353="","",MATCH(A4353,Calculation!B$2:B9627,1))</f>
        <v/>
      </c>
      <c r="E4353" s="29" t="str">
        <f t="array" ref="E4353">IF(D4353="","",IF(D4353=1,0,INDEX(Calculation!Q$2:Q9627,D4353-1)))</f>
        <v/>
      </c>
      <c r="F4353" s="29" t="str">
        <f t="array" ref="F4353">IF($A4353="","",
  LET(
    r, $D4353,
    startD, INDEX(Calculation!B$2:B9627, r),
    endD,   INDEX(Calculation!C$2:C9627, r),
    asOf,   MIN($A4353,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54">
      <c r="A4354" s="28"/>
      <c r="B4354" s="29"/>
      <c r="C4354" s="29" t="str">
        <f t="shared" si="1"/>
        <v/>
      </c>
      <c r="D4354" s="6" t="str">
        <f>IF(A4354="","",MATCH(A4354,Calculation!B$2:B9627,1))</f>
        <v/>
      </c>
      <c r="E4354" s="29" t="str">
        <f t="array" ref="E4354">IF(D4354="","",IF(D4354=1,0,INDEX(Calculation!Q$2:Q9627,D4354-1)))</f>
        <v/>
      </c>
      <c r="F4354" s="29" t="str">
        <f t="array" ref="F4354">IF($A4354="","",
  LET(
    r, $D4354,
    startD, INDEX(Calculation!B$2:B9627, r),
    endD,   INDEX(Calculation!C$2:C9627, r),
    asOf,   MIN($A4354,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55">
      <c r="A4355" s="28"/>
      <c r="B4355" s="29"/>
      <c r="C4355" s="29" t="str">
        <f t="shared" si="1"/>
        <v/>
      </c>
      <c r="D4355" s="6" t="str">
        <f>IF(A4355="","",MATCH(A4355,Calculation!B$2:B9627,1))</f>
        <v/>
      </c>
      <c r="E4355" s="29" t="str">
        <f t="array" ref="E4355">IF(D4355="","",IF(D4355=1,0,INDEX(Calculation!Q$2:Q9627,D4355-1)))</f>
        <v/>
      </c>
      <c r="F4355" s="29" t="str">
        <f t="array" ref="F4355">IF($A4355="","",
  LET(
    r, $D4355,
    startD, INDEX(Calculation!B$2:B9627, r),
    endD,   INDEX(Calculation!C$2:C9627, r),
    asOf,   MIN($A4355,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56">
      <c r="A4356" s="28"/>
      <c r="B4356" s="29"/>
      <c r="C4356" s="29" t="str">
        <f t="shared" si="1"/>
        <v/>
      </c>
      <c r="D4356" s="6" t="str">
        <f>IF(A4356="","",MATCH(A4356,Calculation!B$2:B9627,1))</f>
        <v/>
      </c>
      <c r="E4356" s="29" t="str">
        <f t="array" ref="E4356">IF(D4356="","",IF(D4356=1,0,INDEX(Calculation!Q$2:Q9627,D4356-1)))</f>
        <v/>
      </c>
      <c r="F4356" s="29" t="str">
        <f t="array" ref="F4356">IF($A4356="","",
  LET(
    r, $D4356,
    startD, INDEX(Calculation!B$2:B9627, r),
    endD,   INDEX(Calculation!C$2:C9627, r),
    asOf,   MIN($A4356,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57">
      <c r="A4357" s="28"/>
      <c r="B4357" s="29"/>
      <c r="C4357" s="29" t="str">
        <f t="shared" si="1"/>
        <v/>
      </c>
      <c r="D4357" s="6" t="str">
        <f>IF(A4357="","",MATCH(A4357,Calculation!B$2:B9627,1))</f>
        <v/>
      </c>
      <c r="E4357" s="29" t="str">
        <f t="array" ref="E4357">IF(D4357="","",IF(D4357=1,0,INDEX(Calculation!Q$2:Q9627,D4357-1)))</f>
        <v/>
      </c>
      <c r="F4357" s="29" t="str">
        <f t="array" ref="F4357">IF($A4357="","",
  LET(
    r, $D4357,
    startD, INDEX(Calculation!B$2:B9627, r),
    endD,   INDEX(Calculation!C$2:C9627, r),
    asOf,   MIN($A4357,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58">
      <c r="A4358" s="28"/>
      <c r="B4358" s="29"/>
      <c r="C4358" s="29" t="str">
        <f t="shared" si="1"/>
        <v/>
      </c>
      <c r="D4358" s="6" t="str">
        <f>IF(A4358="","",MATCH(A4358,Calculation!B$2:B9627,1))</f>
        <v/>
      </c>
      <c r="E4358" s="29" t="str">
        <f t="array" ref="E4358">IF(D4358="","",IF(D4358=1,0,INDEX(Calculation!Q$2:Q9627,D4358-1)))</f>
        <v/>
      </c>
      <c r="F4358" s="29" t="str">
        <f t="array" ref="F4358">IF($A4358="","",
  LET(
    r, $D4358,
    startD, INDEX(Calculation!B$2:B9627, r),
    endD,   INDEX(Calculation!C$2:C9627, r),
    asOf,   MIN($A4358,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59">
      <c r="A4359" s="28"/>
      <c r="B4359" s="29"/>
      <c r="C4359" s="29" t="str">
        <f t="shared" si="1"/>
        <v/>
      </c>
      <c r="D4359" s="6" t="str">
        <f>IF(A4359="","",MATCH(A4359,Calculation!B$2:B9627,1))</f>
        <v/>
      </c>
      <c r="E4359" s="29" t="str">
        <f t="array" ref="E4359">IF(D4359="","",IF(D4359=1,0,INDEX(Calculation!Q$2:Q9627,D4359-1)))</f>
        <v/>
      </c>
      <c r="F4359" s="29" t="str">
        <f t="array" ref="F4359">IF($A4359="","",
  LET(
    r, $D4359,
    startD, INDEX(Calculation!B$2:B9627, r),
    endD,   INDEX(Calculation!C$2:C9627, r),
    asOf,   MIN($A4359,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60">
      <c r="A4360" s="28"/>
      <c r="B4360" s="29"/>
      <c r="C4360" s="29" t="str">
        <f t="shared" si="1"/>
        <v/>
      </c>
      <c r="D4360" s="6" t="str">
        <f>IF(A4360="","",MATCH(A4360,Calculation!B$2:B9627,1))</f>
        <v/>
      </c>
      <c r="E4360" s="29" t="str">
        <f t="array" ref="E4360">IF(D4360="","",IF(D4360=1,0,INDEX(Calculation!Q$2:Q9627,D4360-1)))</f>
        <v/>
      </c>
      <c r="F4360" s="29" t="str">
        <f t="array" ref="F4360">IF($A4360="","",
  LET(
    r, $D4360,
    startD, INDEX(Calculation!B$2:B9627, r),
    endD,   INDEX(Calculation!C$2:C9627, r),
    asOf,   MIN($A4360,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61">
      <c r="A4361" s="28"/>
      <c r="B4361" s="29"/>
      <c r="C4361" s="29" t="str">
        <f t="shared" si="1"/>
        <v/>
      </c>
      <c r="D4361" s="6" t="str">
        <f>IF(A4361="","",MATCH(A4361,Calculation!B$2:B9627,1))</f>
        <v/>
      </c>
      <c r="E4361" s="29" t="str">
        <f t="array" ref="E4361">IF(D4361="","",IF(D4361=1,0,INDEX(Calculation!Q$2:Q9627,D4361-1)))</f>
        <v/>
      </c>
      <c r="F4361" s="29" t="str">
        <f t="array" ref="F4361">IF($A4361="","",
  LET(
    r, $D4361,
    startD, INDEX(Calculation!B$2:B9627, r),
    endD,   INDEX(Calculation!C$2:C9627, r),
    asOf,   MIN($A4361,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62">
      <c r="A4362" s="28"/>
      <c r="B4362" s="29"/>
      <c r="C4362" s="29" t="str">
        <f t="shared" si="1"/>
        <v/>
      </c>
      <c r="D4362" s="6" t="str">
        <f>IF(A4362="","",MATCH(A4362,Calculation!B$2:B9627,1))</f>
        <v/>
      </c>
      <c r="E4362" s="29" t="str">
        <f t="array" ref="E4362">IF(D4362="","",IF(D4362=1,0,INDEX(Calculation!Q$2:Q9627,D4362-1)))</f>
        <v/>
      </c>
      <c r="F4362" s="29" t="str">
        <f t="array" ref="F4362">IF($A4362="","",
  LET(
    r, $D4362,
    startD, INDEX(Calculation!B$2:B9627, r),
    endD,   INDEX(Calculation!C$2:C9627, r),
    asOf,   MIN($A4362,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63">
      <c r="A4363" s="28"/>
      <c r="B4363" s="29"/>
      <c r="C4363" s="29" t="str">
        <f t="shared" si="1"/>
        <v/>
      </c>
      <c r="D4363" s="6" t="str">
        <f>IF(A4363="","",MATCH(A4363,Calculation!B$2:B9627,1))</f>
        <v/>
      </c>
      <c r="E4363" s="29" t="str">
        <f t="array" ref="E4363">IF(D4363="","",IF(D4363=1,0,INDEX(Calculation!Q$2:Q9627,D4363-1)))</f>
        <v/>
      </c>
      <c r="F4363" s="29" t="str">
        <f t="array" ref="F4363">IF($A4363="","",
  LET(
    r, $D4363,
    startD, INDEX(Calculation!B$2:B9627, r),
    endD,   INDEX(Calculation!C$2:C9627, r),
    asOf,   MIN($A4363,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64">
      <c r="A4364" s="28"/>
      <c r="B4364" s="29"/>
      <c r="C4364" s="29" t="str">
        <f t="shared" si="1"/>
        <v/>
      </c>
      <c r="D4364" s="6" t="str">
        <f>IF(A4364="","",MATCH(A4364,Calculation!B$2:B9627,1))</f>
        <v/>
      </c>
      <c r="E4364" s="29" t="str">
        <f t="array" ref="E4364">IF(D4364="","",IF(D4364=1,0,INDEX(Calculation!Q$2:Q9627,D4364-1)))</f>
        <v/>
      </c>
      <c r="F4364" s="29" t="str">
        <f t="array" ref="F4364">IF($A4364="","",
  LET(
    r, $D4364,
    startD, INDEX(Calculation!B$2:B9627, r),
    endD,   INDEX(Calculation!C$2:C9627, r),
    asOf,   MIN($A4364,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65">
      <c r="A4365" s="28"/>
      <c r="B4365" s="29"/>
      <c r="C4365" s="29" t="str">
        <f t="shared" si="1"/>
        <v/>
      </c>
      <c r="D4365" s="6" t="str">
        <f>IF(A4365="","",MATCH(A4365,Calculation!B$2:B9627,1))</f>
        <v/>
      </c>
      <c r="E4365" s="29" t="str">
        <f t="array" ref="E4365">IF(D4365="","",IF(D4365=1,0,INDEX(Calculation!Q$2:Q9627,D4365-1)))</f>
        <v/>
      </c>
      <c r="F4365" s="29" t="str">
        <f t="array" ref="F4365">IF($A4365="","",
  LET(
    r, $D4365,
    startD, INDEX(Calculation!B$2:B9627, r),
    endD,   INDEX(Calculation!C$2:C9627, r),
    asOf,   MIN($A4365,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66">
      <c r="A4366" s="28"/>
      <c r="B4366" s="29"/>
      <c r="C4366" s="29" t="str">
        <f t="shared" si="1"/>
        <v/>
      </c>
      <c r="D4366" s="6" t="str">
        <f>IF(A4366="","",MATCH(A4366,Calculation!B$2:B9627,1))</f>
        <v/>
      </c>
      <c r="E4366" s="29" t="str">
        <f t="array" ref="E4366">IF(D4366="","",IF(D4366=1,0,INDEX(Calculation!Q$2:Q9627,D4366-1)))</f>
        <v/>
      </c>
      <c r="F4366" s="29" t="str">
        <f t="array" ref="F4366">IF($A4366="","",
  LET(
    r, $D4366,
    startD, INDEX(Calculation!B$2:B9627, r),
    endD,   INDEX(Calculation!C$2:C9627, r),
    asOf,   MIN($A4366,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67">
      <c r="A4367" s="28"/>
      <c r="B4367" s="29"/>
      <c r="C4367" s="29" t="str">
        <f t="shared" si="1"/>
        <v/>
      </c>
      <c r="D4367" s="6" t="str">
        <f>IF(A4367="","",MATCH(A4367,Calculation!B$2:B9627,1))</f>
        <v/>
      </c>
      <c r="E4367" s="29" t="str">
        <f t="array" ref="E4367">IF(D4367="","",IF(D4367=1,0,INDEX(Calculation!Q$2:Q9627,D4367-1)))</f>
        <v/>
      </c>
      <c r="F4367" s="29" t="str">
        <f t="array" ref="F4367">IF($A4367="","",
  LET(
    r, $D4367,
    startD, INDEX(Calculation!B$2:B9627, r),
    endD,   INDEX(Calculation!C$2:C9627, r),
    asOf,   MIN($A4367,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68">
      <c r="A4368" s="28"/>
      <c r="B4368" s="29"/>
      <c r="C4368" s="29" t="str">
        <f t="shared" si="1"/>
        <v/>
      </c>
      <c r="D4368" s="6" t="str">
        <f>IF(A4368="","",MATCH(A4368,Calculation!B$2:B9627,1))</f>
        <v/>
      </c>
      <c r="E4368" s="29" t="str">
        <f t="array" ref="E4368">IF(D4368="","",IF(D4368=1,0,INDEX(Calculation!Q$2:Q9627,D4368-1)))</f>
        <v/>
      </c>
      <c r="F4368" s="29" t="str">
        <f t="array" ref="F4368">IF($A4368="","",
  LET(
    r, $D4368,
    startD, INDEX(Calculation!B$2:B9627, r),
    endD,   INDEX(Calculation!C$2:C9627, r),
    asOf,   MIN($A4368,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69">
      <c r="A4369" s="28"/>
      <c r="B4369" s="29"/>
      <c r="C4369" s="29" t="str">
        <f t="shared" si="1"/>
        <v/>
      </c>
      <c r="D4369" s="6" t="str">
        <f>IF(A4369="","",MATCH(A4369,Calculation!B$2:B9627,1))</f>
        <v/>
      </c>
      <c r="E4369" s="29" t="str">
        <f t="array" ref="E4369">IF(D4369="","",IF(D4369=1,0,INDEX(Calculation!Q$2:Q9627,D4369-1)))</f>
        <v/>
      </c>
      <c r="F4369" s="29" t="str">
        <f t="array" ref="F4369">IF($A4369="","",
  LET(
    r, $D4369,
    startD, INDEX(Calculation!B$2:B9627, r),
    endD,   INDEX(Calculation!C$2:C9627, r),
    asOf,   MIN($A4369,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70">
      <c r="A4370" s="28"/>
      <c r="B4370" s="29"/>
      <c r="C4370" s="29" t="str">
        <f t="shared" si="1"/>
        <v/>
      </c>
      <c r="D4370" s="6" t="str">
        <f>IF(A4370="","",MATCH(A4370,Calculation!B$2:B9627,1))</f>
        <v/>
      </c>
      <c r="E4370" s="29" t="str">
        <f t="array" ref="E4370">IF(D4370="","",IF(D4370=1,0,INDEX(Calculation!Q$2:Q9627,D4370-1)))</f>
        <v/>
      </c>
      <c r="F4370" s="29" t="str">
        <f t="array" ref="F4370">IF($A4370="","",
  LET(
    r, $D4370,
    startD, INDEX(Calculation!B$2:B9627, r),
    endD,   INDEX(Calculation!C$2:C9627, r),
    asOf,   MIN($A4370,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71">
      <c r="A4371" s="28"/>
      <c r="B4371" s="29"/>
      <c r="C4371" s="29" t="str">
        <f t="shared" si="1"/>
        <v/>
      </c>
      <c r="D4371" s="6" t="str">
        <f>IF(A4371="","",MATCH(A4371,Calculation!B$2:B9627,1))</f>
        <v/>
      </c>
      <c r="E4371" s="29" t="str">
        <f t="array" ref="E4371">IF(D4371="","",IF(D4371=1,0,INDEX(Calculation!Q$2:Q9627,D4371-1)))</f>
        <v/>
      </c>
      <c r="F4371" s="29" t="str">
        <f t="array" ref="F4371">IF($A4371="","",
  LET(
    r, $D4371,
    startD, INDEX(Calculation!B$2:B9627, r),
    endD,   INDEX(Calculation!C$2:C9627, r),
    asOf,   MIN($A4371,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72">
      <c r="A4372" s="28"/>
      <c r="B4372" s="29"/>
      <c r="C4372" s="29" t="str">
        <f t="shared" si="1"/>
        <v/>
      </c>
      <c r="D4372" s="6" t="str">
        <f>IF(A4372="","",MATCH(A4372,Calculation!B$2:B9627,1))</f>
        <v/>
      </c>
      <c r="E4372" s="29" t="str">
        <f t="array" ref="E4372">IF(D4372="","",IF(D4372=1,0,INDEX(Calculation!Q$2:Q9627,D4372-1)))</f>
        <v/>
      </c>
      <c r="F4372" s="29" t="str">
        <f t="array" ref="F4372">IF($A4372="","",
  LET(
    r, $D4372,
    startD, INDEX(Calculation!B$2:B9627, r),
    endD,   INDEX(Calculation!C$2:C9627, r),
    asOf,   MIN($A4372,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73">
      <c r="A4373" s="28"/>
      <c r="B4373" s="29"/>
      <c r="C4373" s="29" t="str">
        <f t="shared" si="1"/>
        <v/>
      </c>
      <c r="D4373" s="6" t="str">
        <f>IF(A4373="","",MATCH(A4373,Calculation!B$2:B9627,1))</f>
        <v/>
      </c>
      <c r="E4373" s="29" t="str">
        <f t="array" ref="E4373">IF(D4373="","",IF(D4373=1,0,INDEX(Calculation!Q$2:Q9627,D4373-1)))</f>
        <v/>
      </c>
      <c r="F4373" s="29" t="str">
        <f t="array" ref="F4373">IF($A4373="","",
  LET(
    r, $D4373,
    startD, INDEX(Calculation!B$2:B9627, r),
    endD,   INDEX(Calculation!C$2:C9627, r),
    asOf,   MIN($A4373,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74">
      <c r="A4374" s="28"/>
      <c r="B4374" s="29"/>
      <c r="C4374" s="29" t="str">
        <f t="shared" si="1"/>
        <v/>
      </c>
      <c r="D4374" s="6" t="str">
        <f>IF(A4374="","",MATCH(A4374,Calculation!B$2:B9627,1))</f>
        <v/>
      </c>
      <c r="E4374" s="29" t="str">
        <f t="array" ref="E4374">IF(D4374="","",IF(D4374=1,0,INDEX(Calculation!Q$2:Q9627,D4374-1)))</f>
        <v/>
      </c>
      <c r="F4374" s="29" t="str">
        <f t="array" ref="F4374">IF($A4374="","",
  LET(
    r, $D4374,
    startD, INDEX(Calculation!B$2:B9627, r),
    endD,   INDEX(Calculation!C$2:C9627, r),
    asOf,   MIN($A4374,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75">
      <c r="A4375" s="28"/>
      <c r="B4375" s="29"/>
      <c r="C4375" s="29" t="str">
        <f t="shared" si="1"/>
        <v/>
      </c>
      <c r="D4375" s="6" t="str">
        <f>IF(A4375="","",MATCH(A4375,Calculation!B$2:B9627,1))</f>
        <v/>
      </c>
      <c r="E4375" s="29" t="str">
        <f t="array" ref="E4375">IF(D4375="","",IF(D4375=1,0,INDEX(Calculation!Q$2:Q9627,D4375-1)))</f>
        <v/>
      </c>
      <c r="F4375" s="29" t="str">
        <f t="array" ref="F4375">IF($A4375="","",
  LET(
    r, $D4375,
    startD, INDEX(Calculation!B$2:B9627, r),
    endD,   INDEX(Calculation!C$2:C9627, r),
    asOf,   MIN($A4375,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76">
      <c r="A4376" s="28"/>
      <c r="B4376" s="29"/>
      <c r="C4376" s="29" t="str">
        <f t="shared" si="1"/>
        <v/>
      </c>
      <c r="D4376" s="6" t="str">
        <f>IF(A4376="","",MATCH(A4376,Calculation!B$2:B9627,1))</f>
        <v/>
      </c>
      <c r="E4376" s="29" t="str">
        <f t="array" ref="E4376">IF(D4376="","",IF(D4376=1,0,INDEX(Calculation!Q$2:Q9627,D4376-1)))</f>
        <v/>
      </c>
      <c r="F4376" s="29" t="str">
        <f t="array" ref="F4376">IF($A4376="","",
  LET(
    r, $D4376,
    startD, INDEX(Calculation!B$2:B9627, r),
    endD,   INDEX(Calculation!C$2:C9627, r),
    asOf,   MIN($A4376,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77">
      <c r="A4377" s="28"/>
      <c r="B4377" s="29"/>
      <c r="C4377" s="29" t="str">
        <f t="shared" si="1"/>
        <v/>
      </c>
      <c r="D4377" s="6" t="str">
        <f>IF(A4377="","",MATCH(A4377,Calculation!B$2:B9627,1))</f>
        <v/>
      </c>
      <c r="E4377" s="29" t="str">
        <f t="array" ref="E4377">IF(D4377="","",IF(D4377=1,0,INDEX(Calculation!Q$2:Q9627,D4377-1)))</f>
        <v/>
      </c>
      <c r="F4377" s="29" t="str">
        <f t="array" ref="F4377">IF($A4377="","",
  LET(
    r, $D4377,
    startD, INDEX(Calculation!B$2:B9627, r),
    endD,   INDEX(Calculation!C$2:C9627, r),
    asOf,   MIN($A4377,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78">
      <c r="A4378" s="28"/>
      <c r="B4378" s="29"/>
      <c r="C4378" s="29" t="str">
        <f t="shared" si="1"/>
        <v/>
      </c>
      <c r="D4378" s="6" t="str">
        <f>IF(A4378="","",MATCH(A4378,Calculation!B$2:B9627,1))</f>
        <v/>
      </c>
      <c r="E4378" s="29" t="str">
        <f t="array" ref="E4378">IF(D4378="","",IF(D4378=1,0,INDEX(Calculation!Q$2:Q9627,D4378-1)))</f>
        <v/>
      </c>
      <c r="F4378" s="29" t="str">
        <f t="array" ref="F4378">IF($A4378="","",
  LET(
    r, $D4378,
    startD, INDEX(Calculation!B$2:B9627, r),
    endD,   INDEX(Calculation!C$2:C9627, r),
    asOf,   MIN($A4378,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79">
      <c r="A4379" s="28"/>
      <c r="B4379" s="29"/>
      <c r="C4379" s="29" t="str">
        <f t="shared" si="1"/>
        <v/>
      </c>
      <c r="D4379" s="6" t="str">
        <f>IF(A4379="","",MATCH(A4379,Calculation!B$2:B9627,1))</f>
        <v/>
      </c>
      <c r="E4379" s="29" t="str">
        <f t="array" ref="E4379">IF(D4379="","",IF(D4379=1,0,INDEX(Calculation!Q$2:Q9627,D4379-1)))</f>
        <v/>
      </c>
      <c r="F4379" s="29" t="str">
        <f t="array" ref="F4379">IF($A4379="","",
  LET(
    r, $D4379,
    startD, INDEX(Calculation!B$2:B9627, r),
    endD,   INDEX(Calculation!C$2:C9627, r),
    asOf,   MIN($A4379,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80">
      <c r="A4380" s="28"/>
      <c r="B4380" s="29"/>
      <c r="C4380" s="29" t="str">
        <f t="shared" si="1"/>
        <v/>
      </c>
      <c r="D4380" s="6" t="str">
        <f>IF(A4380="","",MATCH(A4380,Calculation!B$2:B9627,1))</f>
        <v/>
      </c>
      <c r="E4380" s="29" t="str">
        <f t="array" ref="E4380">IF(D4380="","",IF(D4380=1,0,INDEX(Calculation!Q$2:Q9627,D4380-1)))</f>
        <v/>
      </c>
      <c r="F4380" s="29" t="str">
        <f t="array" ref="F4380">IF($A4380="","",
  LET(
    r, $D4380,
    startD, INDEX(Calculation!B$2:B9627, r),
    endD,   INDEX(Calculation!C$2:C9627, r),
    asOf,   MIN($A4380,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81">
      <c r="A4381" s="28"/>
      <c r="B4381" s="29"/>
      <c r="C4381" s="29" t="str">
        <f t="shared" si="1"/>
        <v/>
      </c>
      <c r="D4381" s="6" t="str">
        <f>IF(A4381="","",MATCH(A4381,Calculation!B$2:B9627,1))</f>
        <v/>
      </c>
      <c r="E4381" s="29" t="str">
        <f t="array" ref="E4381">IF(D4381="","",IF(D4381=1,0,INDEX(Calculation!Q$2:Q9627,D4381-1)))</f>
        <v/>
      </c>
      <c r="F4381" s="29" t="str">
        <f t="array" ref="F4381">IF($A4381="","",
  LET(
    r, $D4381,
    startD, INDEX(Calculation!B$2:B9627, r),
    endD,   INDEX(Calculation!C$2:C9627, r),
    asOf,   MIN($A4381,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82">
      <c r="A4382" s="28"/>
      <c r="B4382" s="29"/>
      <c r="C4382" s="29" t="str">
        <f t="shared" si="1"/>
        <v/>
      </c>
      <c r="D4382" s="6" t="str">
        <f>IF(A4382="","",MATCH(A4382,Calculation!B$2:B9627,1))</f>
        <v/>
      </c>
      <c r="E4382" s="29" t="str">
        <f t="array" ref="E4382">IF(D4382="","",IF(D4382=1,0,INDEX(Calculation!Q$2:Q9627,D4382-1)))</f>
        <v/>
      </c>
      <c r="F4382" s="29" t="str">
        <f t="array" ref="F4382">IF($A4382="","",
  LET(
    r, $D4382,
    startD, INDEX(Calculation!B$2:B9627, r),
    endD,   INDEX(Calculation!C$2:C9627, r),
    asOf,   MIN($A4382,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83">
      <c r="A4383" s="28"/>
      <c r="B4383" s="29"/>
      <c r="C4383" s="29" t="str">
        <f t="shared" si="1"/>
        <v/>
      </c>
      <c r="D4383" s="6" t="str">
        <f>IF(A4383="","",MATCH(A4383,Calculation!B$2:B9627,1))</f>
        <v/>
      </c>
      <c r="E4383" s="29" t="str">
        <f t="array" ref="E4383">IF(D4383="","",IF(D4383=1,0,INDEX(Calculation!Q$2:Q9627,D4383-1)))</f>
        <v/>
      </c>
      <c r="F4383" s="29" t="str">
        <f t="array" ref="F4383">IF($A4383="","",
  LET(
    r, $D4383,
    startD, INDEX(Calculation!B$2:B9627, r),
    endD,   INDEX(Calculation!C$2:C9627, r),
    asOf,   MIN($A4383,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84">
      <c r="A4384" s="28"/>
      <c r="B4384" s="29"/>
      <c r="C4384" s="29" t="str">
        <f t="shared" si="1"/>
        <v/>
      </c>
      <c r="D4384" s="6" t="str">
        <f>IF(A4384="","",MATCH(A4384,Calculation!B$2:B9627,1))</f>
        <v/>
      </c>
      <c r="E4384" s="29" t="str">
        <f t="array" ref="E4384">IF(D4384="","",IF(D4384=1,0,INDEX(Calculation!Q$2:Q9627,D4384-1)))</f>
        <v/>
      </c>
      <c r="F4384" s="29" t="str">
        <f t="array" ref="F4384">IF($A4384="","",
  LET(
    r, $D4384,
    startD, INDEX(Calculation!B$2:B9627, r),
    endD,   INDEX(Calculation!C$2:C9627, r),
    asOf,   MIN($A4384,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85">
      <c r="A4385" s="28"/>
      <c r="B4385" s="29"/>
      <c r="C4385" s="29" t="str">
        <f t="shared" si="1"/>
        <v/>
      </c>
      <c r="D4385" s="6" t="str">
        <f>IF(A4385="","",MATCH(A4385,Calculation!B$2:B9627,1))</f>
        <v/>
      </c>
      <c r="E4385" s="29" t="str">
        <f t="array" ref="E4385">IF(D4385="","",IF(D4385=1,0,INDEX(Calculation!Q$2:Q9627,D4385-1)))</f>
        <v/>
      </c>
      <c r="F4385" s="29" t="str">
        <f t="array" ref="F4385">IF($A4385="","",
  LET(
    r, $D4385,
    startD, INDEX(Calculation!B$2:B9627, r),
    endD,   INDEX(Calculation!C$2:C9627, r),
    asOf,   MIN($A4385,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86">
      <c r="A4386" s="28"/>
      <c r="B4386" s="29"/>
      <c r="C4386" s="29" t="str">
        <f t="shared" si="1"/>
        <v/>
      </c>
      <c r="D4386" s="6" t="str">
        <f>IF(A4386="","",MATCH(A4386,Calculation!B$2:B9627,1))</f>
        <v/>
      </c>
      <c r="E4386" s="29" t="str">
        <f t="array" ref="E4386">IF(D4386="","",IF(D4386=1,0,INDEX(Calculation!Q$2:Q9627,D4386-1)))</f>
        <v/>
      </c>
      <c r="F4386" s="29" t="str">
        <f t="array" ref="F4386">IF($A4386="","",
  LET(
    r, $D4386,
    startD, INDEX(Calculation!B$2:B9627, r),
    endD,   INDEX(Calculation!C$2:C9627, r),
    asOf,   MIN($A4386,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87">
      <c r="A4387" s="28"/>
      <c r="B4387" s="29"/>
      <c r="C4387" s="29" t="str">
        <f t="shared" si="1"/>
        <v/>
      </c>
      <c r="D4387" s="6" t="str">
        <f>IF(A4387="","",MATCH(A4387,Calculation!B$2:B9627,1))</f>
        <v/>
      </c>
      <c r="E4387" s="29" t="str">
        <f t="array" ref="E4387">IF(D4387="","",IF(D4387=1,0,INDEX(Calculation!Q$2:Q9627,D4387-1)))</f>
        <v/>
      </c>
      <c r="F4387" s="29" t="str">
        <f t="array" ref="F4387">IF($A4387="","",
  LET(
    r, $D4387,
    startD, INDEX(Calculation!B$2:B9627, r),
    endD,   INDEX(Calculation!C$2:C9627, r),
    asOf,   MIN($A4387,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88">
      <c r="A4388" s="28"/>
      <c r="B4388" s="29"/>
      <c r="C4388" s="29" t="str">
        <f t="shared" si="1"/>
        <v/>
      </c>
      <c r="D4388" s="6" t="str">
        <f>IF(A4388="","",MATCH(A4388,Calculation!B$2:B9627,1))</f>
        <v/>
      </c>
      <c r="E4388" s="29" t="str">
        <f t="array" ref="E4388">IF(D4388="","",IF(D4388=1,0,INDEX(Calculation!Q$2:Q9627,D4388-1)))</f>
        <v/>
      </c>
      <c r="F4388" s="29" t="str">
        <f t="array" ref="F4388">IF($A4388="","",
  LET(
    r, $D4388,
    startD, INDEX(Calculation!B$2:B9627, r),
    endD,   INDEX(Calculation!C$2:C9627, r),
    asOf,   MIN($A4388,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89">
      <c r="A4389" s="28"/>
      <c r="B4389" s="29"/>
      <c r="C4389" s="29" t="str">
        <f t="shared" si="1"/>
        <v/>
      </c>
      <c r="D4389" s="6" t="str">
        <f>IF(A4389="","",MATCH(A4389,Calculation!B$2:B9627,1))</f>
        <v/>
      </c>
      <c r="E4389" s="29" t="str">
        <f t="array" ref="E4389">IF(D4389="","",IF(D4389=1,0,INDEX(Calculation!Q$2:Q9627,D4389-1)))</f>
        <v/>
      </c>
      <c r="F4389" s="29" t="str">
        <f t="array" ref="F4389">IF($A4389="","",
  LET(
    r, $D4389,
    startD, INDEX(Calculation!B$2:B9627, r),
    endD,   INDEX(Calculation!C$2:C9627, r),
    asOf,   MIN($A4389,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90">
      <c r="A4390" s="28"/>
      <c r="B4390" s="29"/>
      <c r="C4390" s="29" t="str">
        <f t="shared" si="1"/>
        <v/>
      </c>
      <c r="D4390" s="6" t="str">
        <f>IF(A4390="","",MATCH(A4390,Calculation!B$2:B9627,1))</f>
        <v/>
      </c>
      <c r="E4390" s="29" t="str">
        <f t="array" ref="E4390">IF(D4390="","",IF(D4390=1,0,INDEX(Calculation!Q$2:Q9627,D4390-1)))</f>
        <v/>
      </c>
      <c r="F4390" s="29" t="str">
        <f t="array" ref="F4390">IF($A4390="","",
  LET(
    r, $D4390,
    startD, INDEX(Calculation!B$2:B9627, r),
    endD,   INDEX(Calculation!C$2:C9627, r),
    asOf,   MIN($A4390,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91">
      <c r="A4391" s="28"/>
      <c r="B4391" s="29"/>
      <c r="C4391" s="29" t="str">
        <f t="shared" si="1"/>
        <v/>
      </c>
      <c r="D4391" s="6" t="str">
        <f>IF(A4391="","",MATCH(A4391,Calculation!B$2:B9627,1))</f>
        <v/>
      </c>
      <c r="E4391" s="29" t="str">
        <f t="array" ref="E4391">IF(D4391="","",IF(D4391=1,0,INDEX(Calculation!Q$2:Q9627,D4391-1)))</f>
        <v/>
      </c>
      <c r="F4391" s="29" t="str">
        <f t="array" ref="F4391">IF($A4391="","",
  LET(
    r, $D4391,
    startD, INDEX(Calculation!B$2:B9627, r),
    endD,   INDEX(Calculation!C$2:C9627, r),
    asOf,   MIN($A4391,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92">
      <c r="A4392" s="28"/>
      <c r="B4392" s="29"/>
      <c r="C4392" s="29" t="str">
        <f t="shared" si="1"/>
        <v/>
      </c>
      <c r="D4392" s="6" t="str">
        <f>IF(A4392="","",MATCH(A4392,Calculation!B$2:B9627,1))</f>
        <v/>
      </c>
      <c r="E4392" s="29" t="str">
        <f t="array" ref="E4392">IF(D4392="","",IF(D4392=1,0,INDEX(Calculation!Q$2:Q9627,D4392-1)))</f>
        <v/>
      </c>
      <c r="F4392" s="29" t="str">
        <f t="array" ref="F4392">IF($A4392="","",
  LET(
    r, $D4392,
    startD, INDEX(Calculation!B$2:B9627, r),
    endD,   INDEX(Calculation!C$2:C9627, r),
    asOf,   MIN($A4392,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93">
      <c r="A4393" s="28"/>
      <c r="B4393" s="29"/>
      <c r="C4393" s="29" t="str">
        <f t="shared" si="1"/>
        <v/>
      </c>
      <c r="D4393" s="6" t="str">
        <f>IF(A4393="","",MATCH(A4393,Calculation!B$2:B9627,1))</f>
        <v/>
      </c>
      <c r="E4393" s="29" t="str">
        <f t="array" ref="E4393">IF(D4393="","",IF(D4393=1,0,INDEX(Calculation!Q$2:Q9627,D4393-1)))</f>
        <v/>
      </c>
      <c r="F4393" s="29" t="str">
        <f t="array" ref="F4393">IF($A4393="","",
  LET(
    r, $D4393,
    startD, INDEX(Calculation!B$2:B9627, r),
    endD,   INDEX(Calculation!C$2:C9627, r),
    asOf,   MIN($A4393,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94">
      <c r="A4394" s="28"/>
      <c r="B4394" s="29"/>
      <c r="C4394" s="29" t="str">
        <f t="shared" si="1"/>
        <v/>
      </c>
      <c r="D4394" s="6" t="str">
        <f>IF(A4394="","",MATCH(A4394,Calculation!B$2:B9627,1))</f>
        <v/>
      </c>
      <c r="E4394" s="29" t="str">
        <f t="array" ref="E4394">IF(D4394="","",IF(D4394=1,0,INDEX(Calculation!Q$2:Q9627,D4394-1)))</f>
        <v/>
      </c>
      <c r="F4394" s="29" t="str">
        <f t="array" ref="F4394">IF($A4394="","",
  LET(
    r, $D4394,
    startD, INDEX(Calculation!B$2:B9627, r),
    endD,   INDEX(Calculation!C$2:C9627, r),
    asOf,   MIN($A4394,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95">
      <c r="A4395" s="28"/>
      <c r="B4395" s="29"/>
      <c r="C4395" s="29" t="str">
        <f t="shared" si="1"/>
        <v/>
      </c>
      <c r="D4395" s="6" t="str">
        <f>IF(A4395="","",MATCH(A4395,Calculation!B$2:B9627,1))</f>
        <v/>
      </c>
      <c r="E4395" s="29" t="str">
        <f t="array" ref="E4395">IF(D4395="","",IF(D4395=1,0,INDEX(Calculation!Q$2:Q9627,D4395-1)))</f>
        <v/>
      </c>
      <c r="F4395" s="29" t="str">
        <f t="array" ref="F4395">IF($A4395="","",
  LET(
    r, $D4395,
    startD, INDEX(Calculation!B$2:B9627, r),
    endD,   INDEX(Calculation!C$2:C9627, r),
    asOf,   MIN($A4395,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96">
      <c r="A4396" s="28"/>
      <c r="B4396" s="29"/>
      <c r="C4396" s="29" t="str">
        <f t="shared" si="1"/>
        <v/>
      </c>
      <c r="D4396" s="6" t="str">
        <f>IF(A4396="","",MATCH(A4396,Calculation!B$2:B9627,1))</f>
        <v/>
      </c>
      <c r="E4396" s="29" t="str">
        <f t="array" ref="E4396">IF(D4396="","",IF(D4396=1,0,INDEX(Calculation!Q$2:Q9627,D4396-1)))</f>
        <v/>
      </c>
      <c r="F4396" s="29" t="str">
        <f t="array" ref="F4396">IF($A4396="","",
  LET(
    r, $D4396,
    startD, INDEX(Calculation!B$2:B9627, r),
    endD,   INDEX(Calculation!C$2:C9627, r),
    asOf,   MIN($A4396,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97">
      <c r="A4397" s="28"/>
      <c r="B4397" s="29"/>
      <c r="C4397" s="29" t="str">
        <f t="shared" si="1"/>
        <v/>
      </c>
      <c r="D4397" s="6" t="str">
        <f>IF(A4397="","",MATCH(A4397,Calculation!B$2:B9627,1))</f>
        <v/>
      </c>
      <c r="E4397" s="29" t="str">
        <f t="array" ref="E4397">IF(D4397="","",IF(D4397=1,0,INDEX(Calculation!Q$2:Q9627,D4397-1)))</f>
        <v/>
      </c>
      <c r="F4397" s="29" t="str">
        <f t="array" ref="F4397">IF($A4397="","",
  LET(
    r, $D4397,
    startD, INDEX(Calculation!B$2:B9627, r),
    endD,   INDEX(Calculation!C$2:C9627, r),
    asOf,   MIN($A4397,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98">
      <c r="A4398" s="28"/>
      <c r="B4398" s="29"/>
      <c r="C4398" s="29" t="str">
        <f t="shared" si="1"/>
        <v/>
      </c>
      <c r="D4398" s="6" t="str">
        <f>IF(A4398="","",MATCH(A4398,Calculation!B$2:B9627,1))</f>
        <v/>
      </c>
      <c r="E4398" s="29" t="str">
        <f t="array" ref="E4398">IF(D4398="","",IF(D4398=1,0,INDEX(Calculation!Q$2:Q9627,D4398-1)))</f>
        <v/>
      </c>
      <c r="F4398" s="29" t="str">
        <f t="array" ref="F4398">IF($A4398="","",
  LET(
    r, $D4398,
    startD, INDEX(Calculation!B$2:B9627, r),
    endD,   INDEX(Calculation!C$2:C9627, r),
    asOf,   MIN($A4398,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399">
      <c r="A4399" s="28"/>
      <c r="B4399" s="29"/>
      <c r="C4399" s="29" t="str">
        <f t="shared" si="1"/>
        <v/>
      </c>
      <c r="D4399" s="6" t="str">
        <f>IF(A4399="","",MATCH(A4399,Calculation!B$2:B9627,1))</f>
        <v/>
      </c>
      <c r="E4399" s="29" t="str">
        <f t="array" ref="E4399">IF(D4399="","",IF(D4399=1,0,INDEX(Calculation!Q$2:Q9627,D4399-1)))</f>
        <v/>
      </c>
      <c r="F4399" s="29" t="str">
        <f t="array" ref="F4399">IF($A4399="","",
  LET(
    r, $D4399,
    startD, INDEX(Calculation!B$2:B9627, r),
    endD,   INDEX(Calculation!C$2:C9627, r),
    asOf,   MIN($A4399,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00">
      <c r="A4400" s="28"/>
      <c r="B4400" s="29"/>
      <c r="C4400" s="29" t="str">
        <f t="shared" si="1"/>
        <v/>
      </c>
      <c r="D4400" s="6" t="str">
        <f>IF(A4400="","",MATCH(A4400,Calculation!B$2:B9627,1))</f>
        <v/>
      </c>
      <c r="E4400" s="29" t="str">
        <f t="array" ref="E4400">IF(D4400="","",IF(D4400=1,0,INDEX(Calculation!Q$2:Q9627,D4400-1)))</f>
        <v/>
      </c>
      <c r="F4400" s="29" t="str">
        <f t="array" ref="F4400">IF($A4400="","",
  LET(
    r, $D4400,
    startD, INDEX(Calculation!B$2:B9627, r),
    endD,   INDEX(Calculation!C$2:C9627, r),
    asOf,   MIN($A4400,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01">
      <c r="A4401" s="28"/>
      <c r="B4401" s="29"/>
      <c r="C4401" s="29" t="str">
        <f t="shared" si="1"/>
        <v/>
      </c>
      <c r="D4401" s="6" t="str">
        <f>IF(A4401="","",MATCH(A4401,Calculation!B$2:B9627,1))</f>
        <v/>
      </c>
      <c r="E4401" s="29" t="str">
        <f t="array" ref="E4401">IF(D4401="","",IF(D4401=1,0,INDEX(Calculation!Q$2:Q9627,D4401-1)))</f>
        <v/>
      </c>
      <c r="F4401" s="29" t="str">
        <f t="array" ref="F4401">IF($A4401="","",
  LET(
    r, $D4401,
    startD, INDEX(Calculation!B$2:B9627, r),
    endD,   INDEX(Calculation!C$2:C9627, r),
    asOf,   MIN($A4401,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02">
      <c r="A4402" s="28"/>
      <c r="B4402" s="29"/>
      <c r="C4402" s="29" t="str">
        <f t="shared" si="1"/>
        <v/>
      </c>
      <c r="D4402" s="6" t="str">
        <f>IF(A4402="","",MATCH(A4402,Calculation!B$2:B9627,1))</f>
        <v/>
      </c>
      <c r="E4402" s="29" t="str">
        <f t="array" ref="E4402">IF(D4402="","",IF(D4402=1,0,INDEX(Calculation!Q$2:Q9627,D4402-1)))</f>
        <v/>
      </c>
      <c r="F4402" s="29" t="str">
        <f t="array" ref="F4402">IF($A4402="","",
  LET(
    r, $D4402,
    startD, INDEX(Calculation!B$2:B9627, r),
    endD,   INDEX(Calculation!C$2:C9627, r),
    asOf,   MIN($A4402,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03">
      <c r="A4403" s="28"/>
      <c r="B4403" s="29"/>
      <c r="C4403" s="29" t="str">
        <f t="shared" si="1"/>
        <v/>
      </c>
      <c r="D4403" s="6" t="str">
        <f>IF(A4403="","",MATCH(A4403,Calculation!B$2:B9627,1))</f>
        <v/>
      </c>
      <c r="E4403" s="29" t="str">
        <f t="array" ref="E4403">IF(D4403="","",IF(D4403=1,0,INDEX(Calculation!Q$2:Q9627,D4403-1)))</f>
        <v/>
      </c>
      <c r="F4403" s="29" t="str">
        <f t="array" ref="F4403">IF($A4403="","",
  LET(
    r, $D4403,
    startD, INDEX(Calculation!B$2:B9627, r),
    endD,   INDEX(Calculation!C$2:C9627, r),
    asOf,   MIN($A4403,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04">
      <c r="A4404" s="28"/>
      <c r="B4404" s="29"/>
      <c r="C4404" s="29" t="str">
        <f t="shared" si="1"/>
        <v/>
      </c>
      <c r="D4404" s="6" t="str">
        <f>IF(A4404="","",MATCH(A4404,Calculation!B$2:B9627,1))</f>
        <v/>
      </c>
      <c r="E4404" s="29" t="str">
        <f t="array" ref="E4404">IF(D4404="","",IF(D4404=1,0,INDEX(Calculation!Q$2:Q9627,D4404-1)))</f>
        <v/>
      </c>
      <c r="F4404" s="29" t="str">
        <f t="array" ref="F4404">IF($A4404="","",
  LET(
    r, $D4404,
    startD, INDEX(Calculation!B$2:B9627, r),
    endD,   INDEX(Calculation!C$2:C9627, r),
    asOf,   MIN($A4404,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05">
      <c r="A4405" s="28"/>
      <c r="B4405" s="29"/>
      <c r="C4405" s="29" t="str">
        <f t="shared" si="1"/>
        <v/>
      </c>
      <c r="D4405" s="6" t="str">
        <f>IF(A4405="","",MATCH(A4405,Calculation!B$2:B9627,1))</f>
        <v/>
      </c>
      <c r="E4405" s="29" t="str">
        <f t="array" ref="E4405">IF(D4405="","",IF(D4405=1,0,INDEX(Calculation!Q$2:Q9627,D4405-1)))</f>
        <v/>
      </c>
      <c r="F4405" s="29" t="str">
        <f t="array" ref="F4405">IF($A4405="","",
  LET(
    r, $D4405,
    startD, INDEX(Calculation!B$2:B9627, r),
    endD,   INDEX(Calculation!C$2:C9627, r),
    asOf,   MIN($A4405,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06">
      <c r="A4406" s="28"/>
      <c r="B4406" s="29"/>
      <c r="C4406" s="29" t="str">
        <f t="shared" si="1"/>
        <v/>
      </c>
      <c r="D4406" s="6" t="str">
        <f>IF(A4406="","",MATCH(A4406,Calculation!B$2:B9627,1))</f>
        <v/>
      </c>
      <c r="E4406" s="29" t="str">
        <f t="array" ref="E4406">IF(D4406="","",IF(D4406=1,0,INDEX(Calculation!Q$2:Q9627,D4406-1)))</f>
        <v/>
      </c>
      <c r="F4406" s="29" t="str">
        <f t="array" ref="F4406">IF($A4406="","",
  LET(
    r, $D4406,
    startD, INDEX(Calculation!B$2:B9627, r),
    endD,   INDEX(Calculation!C$2:C9627, r),
    asOf,   MIN($A4406,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07">
      <c r="A4407" s="28"/>
      <c r="B4407" s="29"/>
      <c r="C4407" s="29" t="str">
        <f t="shared" si="1"/>
        <v/>
      </c>
      <c r="D4407" s="6" t="str">
        <f>IF(A4407="","",MATCH(A4407,Calculation!B$2:B9627,1))</f>
        <v/>
      </c>
      <c r="E4407" s="29" t="str">
        <f t="array" ref="E4407">IF(D4407="","",IF(D4407=1,0,INDEX(Calculation!Q$2:Q9627,D4407-1)))</f>
        <v/>
      </c>
      <c r="F4407" s="29" t="str">
        <f t="array" ref="F4407">IF($A4407="","",
  LET(
    r, $D4407,
    startD, INDEX(Calculation!B$2:B9627, r),
    endD,   INDEX(Calculation!C$2:C9627, r),
    asOf,   MIN($A4407,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08">
      <c r="A4408" s="28"/>
      <c r="B4408" s="29"/>
      <c r="C4408" s="29" t="str">
        <f t="shared" si="1"/>
        <v/>
      </c>
      <c r="D4408" s="6" t="str">
        <f>IF(A4408="","",MATCH(A4408,Calculation!B$2:B9627,1))</f>
        <v/>
      </c>
      <c r="E4408" s="29" t="str">
        <f t="array" ref="E4408">IF(D4408="","",IF(D4408=1,0,INDEX(Calculation!Q$2:Q9627,D4408-1)))</f>
        <v/>
      </c>
      <c r="F4408" s="29" t="str">
        <f t="array" ref="F4408">IF($A4408="","",
  LET(
    r, $D4408,
    startD, INDEX(Calculation!B$2:B9627, r),
    endD,   INDEX(Calculation!C$2:C9627, r),
    asOf,   MIN($A4408,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09">
      <c r="A4409" s="28"/>
      <c r="B4409" s="29"/>
      <c r="C4409" s="29" t="str">
        <f t="shared" si="1"/>
        <v/>
      </c>
      <c r="D4409" s="6" t="str">
        <f>IF(A4409="","",MATCH(A4409,Calculation!B$2:B9627,1))</f>
        <v/>
      </c>
      <c r="E4409" s="29" t="str">
        <f t="array" ref="E4409">IF(D4409="","",IF(D4409=1,0,INDEX(Calculation!Q$2:Q9627,D4409-1)))</f>
        <v/>
      </c>
      <c r="F4409" s="29" t="str">
        <f t="array" ref="F4409">IF($A4409="","",
  LET(
    r, $D4409,
    startD, INDEX(Calculation!B$2:B9627, r),
    endD,   INDEX(Calculation!C$2:C9627, r),
    asOf,   MIN($A4409,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10">
      <c r="A4410" s="28"/>
      <c r="B4410" s="29"/>
      <c r="C4410" s="29" t="str">
        <f t="shared" si="1"/>
        <v/>
      </c>
      <c r="D4410" s="6" t="str">
        <f>IF(A4410="","",MATCH(A4410,Calculation!B$2:B9627,1))</f>
        <v/>
      </c>
      <c r="E4410" s="29" t="str">
        <f t="array" ref="E4410">IF(D4410="","",IF(D4410=1,0,INDEX(Calculation!Q$2:Q9627,D4410-1)))</f>
        <v/>
      </c>
      <c r="F4410" s="29" t="str">
        <f t="array" ref="F4410">IF($A4410="","",
  LET(
    r, $D4410,
    startD, INDEX(Calculation!B$2:B9627, r),
    endD,   INDEX(Calculation!C$2:C9627, r),
    asOf,   MIN($A4410,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11">
      <c r="A4411" s="28"/>
      <c r="B4411" s="29"/>
      <c r="C4411" s="29" t="str">
        <f t="shared" si="1"/>
        <v/>
      </c>
      <c r="D4411" s="6" t="str">
        <f>IF(A4411="","",MATCH(A4411,Calculation!B$2:B9627,1))</f>
        <v/>
      </c>
      <c r="E4411" s="29" t="str">
        <f t="array" ref="E4411">IF(D4411="","",IF(D4411=1,0,INDEX(Calculation!Q$2:Q9627,D4411-1)))</f>
        <v/>
      </c>
      <c r="F4411" s="29" t="str">
        <f t="array" ref="F4411">IF($A4411="","",
  LET(
    r, $D4411,
    startD, INDEX(Calculation!B$2:B9627, r),
    endD,   INDEX(Calculation!C$2:C9627, r),
    asOf,   MIN($A4411,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12">
      <c r="A4412" s="28"/>
      <c r="B4412" s="29"/>
      <c r="C4412" s="29" t="str">
        <f t="shared" si="1"/>
        <v/>
      </c>
      <c r="D4412" s="6" t="str">
        <f>IF(A4412="","",MATCH(A4412,Calculation!B$2:B9627,1))</f>
        <v/>
      </c>
      <c r="E4412" s="29" t="str">
        <f t="array" ref="E4412">IF(D4412="","",IF(D4412=1,0,INDEX(Calculation!Q$2:Q9627,D4412-1)))</f>
        <v/>
      </c>
      <c r="F4412" s="29" t="str">
        <f t="array" ref="F4412">IF($A4412="","",
  LET(
    r, $D4412,
    startD, INDEX(Calculation!B$2:B9627, r),
    endD,   INDEX(Calculation!C$2:C9627, r),
    asOf,   MIN($A4412,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13">
      <c r="A4413" s="28"/>
      <c r="B4413" s="29"/>
      <c r="C4413" s="29" t="str">
        <f t="shared" si="1"/>
        <v/>
      </c>
      <c r="D4413" s="6" t="str">
        <f>IF(A4413="","",MATCH(A4413,Calculation!B$2:B9627,1))</f>
        <v/>
      </c>
      <c r="E4413" s="29" t="str">
        <f t="array" ref="E4413">IF(D4413="","",IF(D4413=1,0,INDEX(Calculation!Q$2:Q9627,D4413-1)))</f>
        <v/>
      </c>
      <c r="F4413" s="29" t="str">
        <f t="array" ref="F4413">IF($A4413="","",
  LET(
    r, $D4413,
    startD, INDEX(Calculation!B$2:B9627, r),
    endD,   INDEX(Calculation!C$2:C9627, r),
    asOf,   MIN($A4413,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14">
      <c r="A4414" s="28"/>
      <c r="B4414" s="29"/>
      <c r="C4414" s="29" t="str">
        <f t="shared" si="1"/>
        <v/>
      </c>
      <c r="D4414" s="6" t="str">
        <f>IF(A4414="","",MATCH(A4414,Calculation!B$2:B9627,1))</f>
        <v/>
      </c>
      <c r="E4414" s="29" t="str">
        <f t="array" ref="E4414">IF(D4414="","",IF(D4414=1,0,INDEX(Calculation!Q$2:Q9627,D4414-1)))</f>
        <v/>
      </c>
      <c r="F4414" s="29" t="str">
        <f t="array" ref="F4414">IF($A4414="","",
  LET(
    r, $D4414,
    startD, INDEX(Calculation!B$2:B9627, r),
    endD,   INDEX(Calculation!C$2:C9627, r),
    asOf,   MIN($A4414,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15">
      <c r="A4415" s="28"/>
      <c r="B4415" s="29"/>
      <c r="C4415" s="29" t="str">
        <f t="shared" si="1"/>
        <v/>
      </c>
      <c r="D4415" s="6" t="str">
        <f>IF(A4415="","",MATCH(A4415,Calculation!B$2:B9627,1))</f>
        <v/>
      </c>
      <c r="E4415" s="29" t="str">
        <f t="array" ref="E4415">IF(D4415="","",IF(D4415=1,0,INDEX(Calculation!Q$2:Q9627,D4415-1)))</f>
        <v/>
      </c>
      <c r="F4415" s="29" t="str">
        <f t="array" ref="F4415">IF($A4415="","",
  LET(
    r, $D4415,
    startD, INDEX(Calculation!B$2:B9627, r),
    endD,   INDEX(Calculation!C$2:C9627, r),
    asOf,   MIN($A4415,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16">
      <c r="A4416" s="28"/>
      <c r="B4416" s="29"/>
      <c r="C4416" s="29" t="str">
        <f t="shared" si="1"/>
        <v/>
      </c>
      <c r="D4416" s="6" t="str">
        <f>IF(A4416="","",MATCH(A4416,Calculation!B$2:B9627,1))</f>
        <v/>
      </c>
      <c r="E4416" s="29" t="str">
        <f t="array" ref="E4416">IF(D4416="","",IF(D4416=1,0,INDEX(Calculation!Q$2:Q9627,D4416-1)))</f>
        <v/>
      </c>
      <c r="F4416" s="29" t="str">
        <f t="array" ref="F4416">IF($A4416="","",
  LET(
    r, $D4416,
    startD, INDEX(Calculation!B$2:B9627, r),
    endD,   INDEX(Calculation!C$2:C9627, r),
    asOf,   MIN($A4416,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17">
      <c r="A4417" s="28"/>
      <c r="B4417" s="29"/>
      <c r="C4417" s="29" t="str">
        <f t="shared" si="1"/>
        <v/>
      </c>
      <c r="D4417" s="6" t="str">
        <f>IF(A4417="","",MATCH(A4417,Calculation!B$2:B9627,1))</f>
        <v/>
      </c>
      <c r="E4417" s="29" t="str">
        <f t="array" ref="E4417">IF(D4417="","",IF(D4417=1,0,INDEX(Calculation!Q$2:Q9627,D4417-1)))</f>
        <v/>
      </c>
      <c r="F4417" s="29" t="str">
        <f t="array" ref="F4417">IF($A4417="","",
  LET(
    r, $D4417,
    startD, INDEX(Calculation!B$2:B9627, r),
    endD,   INDEX(Calculation!C$2:C9627, r),
    asOf,   MIN($A4417,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18">
      <c r="A4418" s="28"/>
      <c r="B4418" s="29"/>
      <c r="C4418" s="29" t="str">
        <f t="shared" si="1"/>
        <v/>
      </c>
      <c r="D4418" s="6" t="str">
        <f>IF(A4418="","",MATCH(A4418,Calculation!B$2:B9627,1))</f>
        <v/>
      </c>
      <c r="E4418" s="29" t="str">
        <f t="array" ref="E4418">IF(D4418="","",IF(D4418=1,0,INDEX(Calculation!Q$2:Q9627,D4418-1)))</f>
        <v/>
      </c>
      <c r="F4418" s="29" t="str">
        <f t="array" ref="F4418">IF($A4418="","",
  LET(
    r, $D4418,
    startD, INDEX(Calculation!B$2:B9627, r),
    endD,   INDEX(Calculation!C$2:C9627, r),
    asOf,   MIN($A4418,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19">
      <c r="A4419" s="28"/>
      <c r="B4419" s="29"/>
      <c r="C4419" s="29" t="str">
        <f t="shared" si="1"/>
        <v/>
      </c>
      <c r="D4419" s="6" t="str">
        <f>IF(A4419="","",MATCH(A4419,Calculation!B$2:B9627,1))</f>
        <v/>
      </c>
      <c r="E4419" s="29" t="str">
        <f t="array" ref="E4419">IF(D4419="","",IF(D4419=1,0,INDEX(Calculation!Q$2:Q9627,D4419-1)))</f>
        <v/>
      </c>
      <c r="F4419" s="29" t="str">
        <f t="array" ref="F4419">IF($A4419="","",
  LET(
    r, $D4419,
    startD, INDEX(Calculation!B$2:B9627, r),
    endD,   INDEX(Calculation!C$2:C9627, r),
    asOf,   MIN($A4419,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20">
      <c r="A4420" s="28"/>
      <c r="B4420" s="29"/>
      <c r="C4420" s="29" t="str">
        <f t="shared" si="1"/>
        <v/>
      </c>
      <c r="D4420" s="6" t="str">
        <f>IF(A4420="","",MATCH(A4420,Calculation!B$2:B9627,1))</f>
        <v/>
      </c>
      <c r="E4420" s="29" t="str">
        <f t="array" ref="E4420">IF(D4420="","",IF(D4420=1,0,INDEX(Calculation!Q$2:Q9627,D4420-1)))</f>
        <v/>
      </c>
      <c r="F4420" s="29" t="str">
        <f t="array" ref="F4420">IF($A4420="","",
  LET(
    r, $D4420,
    startD, INDEX(Calculation!B$2:B9627, r),
    endD,   INDEX(Calculation!C$2:C9627, r),
    asOf,   MIN($A4420,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21">
      <c r="A4421" s="28"/>
      <c r="B4421" s="29"/>
      <c r="C4421" s="29" t="str">
        <f t="shared" si="1"/>
        <v/>
      </c>
      <c r="D4421" s="6" t="str">
        <f>IF(A4421="","",MATCH(A4421,Calculation!B$2:B9627,1))</f>
        <v/>
      </c>
      <c r="E4421" s="29" t="str">
        <f t="array" ref="E4421">IF(D4421="","",IF(D4421=1,0,INDEX(Calculation!Q$2:Q9627,D4421-1)))</f>
        <v/>
      </c>
      <c r="F4421" s="29" t="str">
        <f t="array" ref="F4421">IF($A4421="","",
  LET(
    r, $D4421,
    startD, INDEX(Calculation!B$2:B9627, r),
    endD,   INDEX(Calculation!C$2:C9627, r),
    asOf,   MIN($A4421,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22">
      <c r="A4422" s="28"/>
      <c r="B4422" s="29"/>
      <c r="C4422" s="29" t="str">
        <f t="shared" si="1"/>
        <v/>
      </c>
      <c r="D4422" s="6" t="str">
        <f>IF(A4422="","",MATCH(A4422,Calculation!B$2:B9627,1))</f>
        <v/>
      </c>
      <c r="E4422" s="29" t="str">
        <f t="array" ref="E4422">IF(D4422="","",IF(D4422=1,0,INDEX(Calculation!Q$2:Q9627,D4422-1)))</f>
        <v/>
      </c>
      <c r="F4422" s="29" t="str">
        <f t="array" ref="F4422">IF($A4422="","",
  LET(
    r, $D4422,
    startD, INDEX(Calculation!B$2:B9627, r),
    endD,   INDEX(Calculation!C$2:C9627, r),
    asOf,   MIN($A4422,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23">
      <c r="A4423" s="28"/>
      <c r="B4423" s="29"/>
      <c r="C4423" s="29" t="str">
        <f t="shared" si="1"/>
        <v/>
      </c>
      <c r="D4423" s="6" t="str">
        <f>IF(A4423="","",MATCH(A4423,Calculation!B$2:B9627,1))</f>
        <v/>
      </c>
      <c r="E4423" s="29" t="str">
        <f t="array" ref="E4423">IF(D4423="","",IF(D4423=1,0,INDEX(Calculation!Q$2:Q9627,D4423-1)))</f>
        <v/>
      </c>
      <c r="F4423" s="29" t="str">
        <f t="array" ref="F4423">IF($A4423="","",
  LET(
    r, $D4423,
    startD, INDEX(Calculation!B$2:B9627, r),
    endD,   INDEX(Calculation!C$2:C9627, r),
    asOf,   MIN($A4423,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24">
      <c r="A4424" s="28"/>
      <c r="B4424" s="29"/>
      <c r="C4424" s="29" t="str">
        <f t="shared" si="1"/>
        <v/>
      </c>
      <c r="D4424" s="6" t="str">
        <f>IF(A4424="","",MATCH(A4424,Calculation!B$2:B9627,1))</f>
        <v/>
      </c>
      <c r="E4424" s="29" t="str">
        <f t="array" ref="E4424">IF(D4424="","",IF(D4424=1,0,INDEX(Calculation!Q$2:Q9627,D4424-1)))</f>
        <v/>
      </c>
      <c r="F4424" s="29" t="str">
        <f t="array" ref="F4424">IF($A4424="","",
  LET(
    r, $D4424,
    startD, INDEX(Calculation!B$2:B9627, r),
    endD,   INDEX(Calculation!C$2:C9627, r),
    asOf,   MIN($A4424,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25">
      <c r="A4425" s="28"/>
      <c r="B4425" s="29"/>
      <c r="C4425" s="29" t="str">
        <f t="shared" si="1"/>
        <v/>
      </c>
      <c r="D4425" s="6" t="str">
        <f>IF(A4425="","",MATCH(A4425,Calculation!B$2:B9627,1))</f>
        <v/>
      </c>
      <c r="E4425" s="29" t="str">
        <f t="array" ref="E4425">IF(D4425="","",IF(D4425=1,0,INDEX(Calculation!Q$2:Q9627,D4425-1)))</f>
        <v/>
      </c>
      <c r="F4425" s="29" t="str">
        <f t="array" ref="F4425">IF($A4425="","",
  LET(
    r, $D4425,
    startD, INDEX(Calculation!B$2:B9627, r),
    endD,   INDEX(Calculation!C$2:C9627, r),
    asOf,   MIN($A4425,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26">
      <c r="A4426" s="28"/>
      <c r="B4426" s="29"/>
      <c r="C4426" s="29" t="str">
        <f t="shared" si="1"/>
        <v/>
      </c>
      <c r="D4426" s="6" t="str">
        <f>IF(A4426="","",MATCH(A4426,Calculation!B$2:B9627,1))</f>
        <v/>
      </c>
      <c r="E4426" s="29" t="str">
        <f t="array" ref="E4426">IF(D4426="","",IF(D4426=1,0,INDEX(Calculation!Q$2:Q9627,D4426-1)))</f>
        <v/>
      </c>
      <c r="F4426" s="29" t="str">
        <f t="array" ref="F4426">IF($A4426="","",
  LET(
    r, $D4426,
    startD, INDEX(Calculation!B$2:B9627, r),
    endD,   INDEX(Calculation!C$2:C9627, r),
    asOf,   MIN($A4426,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27">
      <c r="A4427" s="28"/>
      <c r="B4427" s="29"/>
      <c r="C4427" s="29" t="str">
        <f t="shared" si="1"/>
        <v/>
      </c>
      <c r="D4427" s="6" t="str">
        <f>IF(A4427="","",MATCH(A4427,Calculation!B$2:B9627,1))</f>
        <v/>
      </c>
      <c r="E4427" s="29" t="str">
        <f t="array" ref="E4427">IF(D4427="","",IF(D4427=1,0,INDEX(Calculation!Q$2:Q9627,D4427-1)))</f>
        <v/>
      </c>
      <c r="F4427" s="29" t="str">
        <f t="array" ref="F4427">IF($A4427="","",
  LET(
    r, $D4427,
    startD, INDEX(Calculation!B$2:B9627, r),
    endD,   INDEX(Calculation!C$2:C9627, r),
    asOf,   MIN($A4427,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28">
      <c r="A4428" s="28"/>
      <c r="B4428" s="29"/>
      <c r="C4428" s="29" t="str">
        <f t="shared" si="1"/>
        <v/>
      </c>
      <c r="D4428" s="6" t="str">
        <f>IF(A4428="","",MATCH(A4428,Calculation!B$2:B9627,1))</f>
        <v/>
      </c>
      <c r="E4428" s="29" t="str">
        <f t="array" ref="E4428">IF(D4428="","",IF(D4428=1,0,INDEX(Calculation!Q$2:Q9627,D4428-1)))</f>
        <v/>
      </c>
      <c r="F4428" s="29" t="str">
        <f t="array" ref="F4428">IF($A4428="","",
  LET(
    r, $D4428,
    startD, INDEX(Calculation!B$2:B9627, r),
    endD,   INDEX(Calculation!C$2:C9627, r),
    asOf,   MIN($A4428,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29">
      <c r="A4429" s="28"/>
      <c r="B4429" s="29"/>
      <c r="C4429" s="29" t="str">
        <f t="shared" si="1"/>
        <v/>
      </c>
      <c r="D4429" s="6" t="str">
        <f>IF(A4429="","",MATCH(A4429,Calculation!B$2:B9627,1))</f>
        <v/>
      </c>
      <c r="E4429" s="29" t="str">
        <f t="array" ref="E4429">IF(D4429="","",IF(D4429=1,0,INDEX(Calculation!Q$2:Q9627,D4429-1)))</f>
        <v/>
      </c>
      <c r="F4429" s="29" t="str">
        <f t="array" ref="F4429">IF($A4429="","",
  LET(
    r, $D4429,
    startD, INDEX(Calculation!B$2:B9627, r),
    endD,   INDEX(Calculation!C$2:C9627, r),
    asOf,   MIN($A4429,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30">
      <c r="A4430" s="28"/>
      <c r="B4430" s="29"/>
      <c r="C4430" s="29" t="str">
        <f t="shared" si="1"/>
        <v/>
      </c>
      <c r="D4430" s="6" t="str">
        <f>IF(A4430="","",MATCH(A4430,Calculation!B$2:B9627,1))</f>
        <v/>
      </c>
      <c r="E4430" s="29" t="str">
        <f t="array" ref="E4430">IF(D4430="","",IF(D4430=1,0,INDEX(Calculation!Q$2:Q9627,D4430-1)))</f>
        <v/>
      </c>
      <c r="F4430" s="29" t="str">
        <f t="array" ref="F4430">IF($A4430="","",
  LET(
    r, $D4430,
    startD, INDEX(Calculation!B$2:B9627, r),
    endD,   INDEX(Calculation!C$2:C9627, r),
    asOf,   MIN($A4430,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31">
      <c r="A4431" s="28"/>
      <c r="B4431" s="29"/>
      <c r="C4431" s="29" t="str">
        <f t="shared" si="1"/>
        <v/>
      </c>
      <c r="D4431" s="6" t="str">
        <f>IF(A4431="","",MATCH(A4431,Calculation!B$2:B9627,1))</f>
        <v/>
      </c>
      <c r="E4431" s="29" t="str">
        <f t="array" ref="E4431">IF(D4431="","",IF(D4431=1,0,INDEX(Calculation!Q$2:Q9627,D4431-1)))</f>
        <v/>
      </c>
      <c r="F4431" s="29" t="str">
        <f t="array" ref="F4431">IF($A4431="","",
  LET(
    r, $D4431,
    startD, INDEX(Calculation!B$2:B9627, r),
    endD,   INDEX(Calculation!C$2:C9627, r),
    asOf,   MIN($A4431,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32">
      <c r="A4432" s="28"/>
      <c r="B4432" s="29"/>
      <c r="C4432" s="29" t="str">
        <f t="shared" si="1"/>
        <v/>
      </c>
      <c r="D4432" s="6" t="str">
        <f>IF(A4432="","",MATCH(A4432,Calculation!B$2:B9627,1))</f>
        <v/>
      </c>
      <c r="E4432" s="29" t="str">
        <f t="array" ref="E4432">IF(D4432="","",IF(D4432=1,0,INDEX(Calculation!Q$2:Q9627,D4432-1)))</f>
        <v/>
      </c>
      <c r="F4432" s="29" t="str">
        <f t="array" ref="F4432">IF($A4432="","",
  LET(
    r, $D4432,
    startD, INDEX(Calculation!B$2:B9627, r),
    endD,   INDEX(Calculation!C$2:C9627, r),
    asOf,   MIN($A4432,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33">
      <c r="A4433" s="28"/>
      <c r="B4433" s="29"/>
      <c r="C4433" s="29" t="str">
        <f t="shared" si="1"/>
        <v/>
      </c>
      <c r="D4433" s="6" t="str">
        <f>IF(A4433="","",MATCH(A4433,Calculation!B$2:B9627,1))</f>
        <v/>
      </c>
      <c r="E4433" s="29" t="str">
        <f t="array" ref="E4433">IF(D4433="","",IF(D4433=1,0,INDEX(Calculation!Q$2:Q9627,D4433-1)))</f>
        <v/>
      </c>
      <c r="F4433" s="29" t="str">
        <f t="array" ref="F4433">IF($A4433="","",
  LET(
    r, $D4433,
    startD, INDEX(Calculation!B$2:B9627, r),
    endD,   INDEX(Calculation!C$2:C9627, r),
    asOf,   MIN($A4433,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34">
      <c r="A4434" s="28"/>
      <c r="B4434" s="29"/>
      <c r="C4434" s="29" t="str">
        <f t="shared" si="1"/>
        <v/>
      </c>
      <c r="D4434" s="6" t="str">
        <f>IF(A4434="","",MATCH(A4434,Calculation!B$2:B9627,1))</f>
        <v/>
      </c>
      <c r="E4434" s="29" t="str">
        <f t="array" ref="E4434">IF(D4434="","",IF(D4434=1,0,INDEX(Calculation!Q$2:Q9627,D4434-1)))</f>
        <v/>
      </c>
      <c r="F4434" s="29" t="str">
        <f t="array" ref="F4434">IF($A4434="","",
  LET(
    r, $D4434,
    startD, INDEX(Calculation!B$2:B9627, r),
    endD,   INDEX(Calculation!C$2:C9627, r),
    asOf,   MIN($A4434,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35">
      <c r="A4435" s="28"/>
      <c r="B4435" s="29"/>
      <c r="C4435" s="29" t="str">
        <f t="shared" si="1"/>
        <v/>
      </c>
      <c r="D4435" s="6" t="str">
        <f>IF(A4435="","",MATCH(A4435,Calculation!B$2:B9627,1))</f>
        <v/>
      </c>
      <c r="E4435" s="29" t="str">
        <f t="array" ref="E4435">IF(D4435="","",IF(D4435=1,0,INDEX(Calculation!Q$2:Q9627,D4435-1)))</f>
        <v/>
      </c>
      <c r="F4435" s="29" t="str">
        <f t="array" ref="F4435">IF($A4435="","",
  LET(
    r, $D4435,
    startD, INDEX(Calculation!B$2:B9627, r),
    endD,   INDEX(Calculation!C$2:C9627, r),
    asOf,   MIN($A4435,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36">
      <c r="A4436" s="28"/>
      <c r="B4436" s="29"/>
      <c r="C4436" s="29" t="str">
        <f t="shared" si="1"/>
        <v/>
      </c>
      <c r="D4436" s="6" t="str">
        <f>IF(A4436="","",MATCH(A4436,Calculation!B$2:B9627,1))</f>
        <v/>
      </c>
      <c r="E4436" s="29" t="str">
        <f t="array" ref="E4436">IF(D4436="","",IF(D4436=1,0,INDEX(Calculation!Q$2:Q9627,D4436-1)))</f>
        <v/>
      </c>
      <c r="F4436" s="29" t="str">
        <f t="array" ref="F4436">IF($A4436="","",
  LET(
    r, $D4436,
    startD, INDEX(Calculation!B$2:B9627, r),
    endD,   INDEX(Calculation!C$2:C9627, r),
    asOf,   MIN($A4436,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37">
      <c r="A4437" s="28"/>
      <c r="B4437" s="29"/>
      <c r="C4437" s="29" t="str">
        <f t="shared" si="1"/>
        <v/>
      </c>
      <c r="D4437" s="6" t="str">
        <f>IF(A4437="","",MATCH(A4437,Calculation!B$2:B9627,1))</f>
        <v/>
      </c>
      <c r="E4437" s="29" t="str">
        <f t="array" ref="E4437">IF(D4437="","",IF(D4437=1,0,INDEX(Calculation!Q$2:Q9627,D4437-1)))</f>
        <v/>
      </c>
      <c r="F4437" s="29" t="str">
        <f t="array" ref="F4437">IF($A4437="","",
  LET(
    r, $D4437,
    startD, INDEX(Calculation!B$2:B9627, r),
    endD,   INDEX(Calculation!C$2:C9627, r),
    asOf,   MIN($A4437,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38">
      <c r="A4438" s="28"/>
      <c r="B4438" s="29"/>
      <c r="C4438" s="29" t="str">
        <f t="shared" si="1"/>
        <v/>
      </c>
      <c r="D4438" s="6" t="str">
        <f>IF(A4438="","",MATCH(A4438,Calculation!B$2:B9627,1))</f>
        <v/>
      </c>
      <c r="E4438" s="29" t="str">
        <f t="array" ref="E4438">IF(D4438="","",IF(D4438=1,0,INDEX(Calculation!Q$2:Q9627,D4438-1)))</f>
        <v/>
      </c>
      <c r="F4438" s="29" t="str">
        <f t="array" ref="F4438">IF($A4438="","",
  LET(
    r, $D4438,
    startD, INDEX(Calculation!B$2:B9627, r),
    endD,   INDEX(Calculation!C$2:C9627, r),
    asOf,   MIN($A4438,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39">
      <c r="A4439" s="28"/>
      <c r="B4439" s="29"/>
      <c r="C4439" s="29" t="str">
        <f t="shared" si="1"/>
        <v/>
      </c>
      <c r="D4439" s="6" t="str">
        <f>IF(A4439="","",MATCH(A4439,Calculation!B$2:B9627,1))</f>
        <v/>
      </c>
      <c r="E4439" s="29" t="str">
        <f t="array" ref="E4439">IF(D4439="","",IF(D4439=1,0,INDEX(Calculation!Q$2:Q9627,D4439-1)))</f>
        <v/>
      </c>
      <c r="F4439" s="29" t="str">
        <f t="array" ref="F4439">IF($A4439="","",
  LET(
    r, $D4439,
    startD, INDEX(Calculation!B$2:B9627, r),
    endD,   INDEX(Calculation!C$2:C9627, r),
    asOf,   MIN($A4439,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40">
      <c r="A4440" s="28"/>
      <c r="B4440" s="29"/>
      <c r="C4440" s="29" t="str">
        <f t="shared" si="1"/>
        <v/>
      </c>
      <c r="D4440" s="6" t="str">
        <f>IF(A4440="","",MATCH(A4440,Calculation!B$2:B9627,1))</f>
        <v/>
      </c>
      <c r="E4440" s="29" t="str">
        <f t="array" ref="E4440">IF(D4440="","",IF(D4440=1,0,INDEX(Calculation!Q$2:Q9627,D4440-1)))</f>
        <v/>
      </c>
      <c r="F4440" s="29" t="str">
        <f t="array" ref="F4440">IF($A4440="","",
  LET(
    r, $D4440,
    startD, INDEX(Calculation!B$2:B9627, r),
    endD,   INDEX(Calculation!C$2:C9627, r),
    asOf,   MIN($A4440,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41">
      <c r="A4441" s="28"/>
      <c r="B4441" s="29"/>
      <c r="C4441" s="29" t="str">
        <f t="shared" si="1"/>
        <v/>
      </c>
      <c r="D4441" s="6" t="str">
        <f>IF(A4441="","",MATCH(A4441,Calculation!B$2:B9627,1))</f>
        <v/>
      </c>
      <c r="E4441" s="29" t="str">
        <f t="array" ref="E4441">IF(D4441="","",IF(D4441=1,0,INDEX(Calculation!Q$2:Q9627,D4441-1)))</f>
        <v/>
      </c>
      <c r="F4441" s="29" t="str">
        <f t="array" ref="F4441">IF($A4441="","",
  LET(
    r, $D4441,
    startD, INDEX(Calculation!B$2:B9627, r),
    endD,   INDEX(Calculation!C$2:C9627, r),
    asOf,   MIN($A4441,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42">
      <c r="A4442" s="28"/>
      <c r="B4442" s="29"/>
      <c r="C4442" s="29" t="str">
        <f t="shared" si="1"/>
        <v/>
      </c>
      <c r="D4442" s="6" t="str">
        <f>IF(A4442="","",MATCH(A4442,Calculation!B$2:B9627,1))</f>
        <v/>
      </c>
      <c r="E4442" s="29" t="str">
        <f t="array" ref="E4442">IF(D4442="","",IF(D4442=1,0,INDEX(Calculation!Q$2:Q9627,D4442-1)))</f>
        <v/>
      </c>
      <c r="F4442" s="29" t="str">
        <f t="array" ref="F4442">IF($A4442="","",
  LET(
    r, $D4442,
    startD, INDEX(Calculation!B$2:B9627, r),
    endD,   INDEX(Calculation!C$2:C9627, r),
    asOf,   MIN($A4442,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43">
      <c r="A4443" s="28"/>
      <c r="B4443" s="29"/>
      <c r="C4443" s="29" t="str">
        <f t="shared" si="1"/>
        <v/>
      </c>
      <c r="D4443" s="6" t="str">
        <f>IF(A4443="","",MATCH(A4443,Calculation!B$2:B9627,1))</f>
        <v/>
      </c>
      <c r="E4443" s="29" t="str">
        <f t="array" ref="E4443">IF(D4443="","",IF(D4443=1,0,INDEX(Calculation!Q$2:Q9627,D4443-1)))</f>
        <v/>
      </c>
      <c r="F4443" s="29" t="str">
        <f t="array" ref="F4443">IF($A4443="","",
  LET(
    r, $D4443,
    startD, INDEX(Calculation!B$2:B9627, r),
    endD,   INDEX(Calculation!C$2:C9627, r),
    asOf,   MIN($A4443,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44">
      <c r="A4444" s="28"/>
      <c r="B4444" s="29"/>
      <c r="C4444" s="29" t="str">
        <f t="shared" si="1"/>
        <v/>
      </c>
      <c r="D4444" s="6" t="str">
        <f>IF(A4444="","",MATCH(A4444,Calculation!B$2:B9627,1))</f>
        <v/>
      </c>
      <c r="E4444" s="29" t="str">
        <f t="array" ref="E4444">IF(D4444="","",IF(D4444=1,0,INDEX(Calculation!Q$2:Q9627,D4444-1)))</f>
        <v/>
      </c>
      <c r="F4444" s="29" t="str">
        <f t="array" ref="F4444">IF($A4444="","",
  LET(
    r, $D4444,
    startD, INDEX(Calculation!B$2:B9627, r),
    endD,   INDEX(Calculation!C$2:C9627, r),
    asOf,   MIN($A4444,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45">
      <c r="A4445" s="28"/>
      <c r="B4445" s="29"/>
      <c r="C4445" s="29" t="str">
        <f t="shared" si="1"/>
        <v/>
      </c>
      <c r="D4445" s="6" t="str">
        <f>IF(A4445="","",MATCH(A4445,Calculation!B$2:B9627,1))</f>
        <v/>
      </c>
      <c r="E4445" s="29" t="str">
        <f t="array" ref="E4445">IF(D4445="","",IF(D4445=1,0,INDEX(Calculation!Q$2:Q9627,D4445-1)))</f>
        <v/>
      </c>
      <c r="F4445" s="29" t="str">
        <f t="array" ref="F4445">IF($A4445="","",
  LET(
    r, $D4445,
    startD, INDEX(Calculation!B$2:B9627, r),
    endD,   INDEX(Calculation!C$2:C9627, r),
    asOf,   MIN($A4445,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46">
      <c r="A4446" s="28"/>
      <c r="B4446" s="29"/>
      <c r="C4446" s="29" t="str">
        <f t="shared" si="1"/>
        <v/>
      </c>
      <c r="D4446" s="6" t="str">
        <f>IF(A4446="","",MATCH(A4446,Calculation!B$2:B9627,1))</f>
        <v/>
      </c>
      <c r="E4446" s="29" t="str">
        <f t="array" ref="E4446">IF(D4446="","",IF(D4446=1,0,INDEX(Calculation!Q$2:Q9627,D4446-1)))</f>
        <v/>
      </c>
      <c r="F4446" s="29" t="str">
        <f t="array" ref="F4446">IF($A4446="","",
  LET(
    r, $D4446,
    startD, INDEX(Calculation!B$2:B9627, r),
    endD,   INDEX(Calculation!C$2:C9627, r),
    asOf,   MIN($A4446,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47">
      <c r="A4447" s="28"/>
      <c r="B4447" s="29"/>
      <c r="C4447" s="29" t="str">
        <f t="shared" si="1"/>
        <v/>
      </c>
      <c r="D4447" s="6" t="str">
        <f>IF(A4447="","",MATCH(A4447,Calculation!B$2:B9627,1))</f>
        <v/>
      </c>
      <c r="E4447" s="29" t="str">
        <f t="array" ref="E4447">IF(D4447="","",IF(D4447=1,0,INDEX(Calculation!Q$2:Q9627,D4447-1)))</f>
        <v/>
      </c>
      <c r="F4447" s="29" t="str">
        <f t="array" ref="F4447">IF($A4447="","",
  LET(
    r, $D4447,
    startD, INDEX(Calculation!B$2:B9627, r),
    endD,   INDEX(Calculation!C$2:C9627, r),
    asOf,   MIN($A4447,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48">
      <c r="A4448" s="28"/>
      <c r="B4448" s="29"/>
      <c r="C4448" s="29" t="str">
        <f t="shared" si="1"/>
        <v/>
      </c>
      <c r="D4448" s="6" t="str">
        <f>IF(A4448="","",MATCH(A4448,Calculation!B$2:B9627,1))</f>
        <v/>
      </c>
      <c r="E4448" s="29" t="str">
        <f t="array" ref="E4448">IF(D4448="","",IF(D4448=1,0,INDEX(Calculation!Q$2:Q9627,D4448-1)))</f>
        <v/>
      </c>
      <c r="F4448" s="29" t="str">
        <f t="array" ref="F4448">IF($A4448="","",
  LET(
    r, $D4448,
    startD, INDEX(Calculation!B$2:B9627, r),
    endD,   INDEX(Calculation!C$2:C9627, r),
    asOf,   MIN($A4448,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49">
      <c r="A4449" s="28"/>
      <c r="B4449" s="29"/>
      <c r="C4449" s="29" t="str">
        <f t="shared" si="1"/>
        <v/>
      </c>
      <c r="D4449" s="6" t="str">
        <f>IF(A4449="","",MATCH(A4449,Calculation!B$2:B9627,1))</f>
        <v/>
      </c>
      <c r="E4449" s="29" t="str">
        <f t="array" ref="E4449">IF(D4449="","",IF(D4449=1,0,INDEX(Calculation!Q$2:Q9627,D4449-1)))</f>
        <v/>
      </c>
      <c r="F4449" s="29" t="str">
        <f t="array" ref="F4449">IF($A4449="","",
  LET(
    r, $D4449,
    startD, INDEX(Calculation!B$2:B9627, r),
    endD,   INDEX(Calculation!C$2:C9627, r),
    asOf,   MIN($A4449,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50">
      <c r="A4450" s="28"/>
      <c r="B4450" s="29"/>
      <c r="C4450" s="29" t="str">
        <f t="shared" si="1"/>
        <v/>
      </c>
      <c r="D4450" s="6" t="str">
        <f>IF(A4450="","",MATCH(A4450,Calculation!B$2:B9627,1))</f>
        <v/>
      </c>
      <c r="E4450" s="29" t="str">
        <f t="array" ref="E4450">IF(D4450="","",IF(D4450=1,0,INDEX(Calculation!Q$2:Q9627,D4450-1)))</f>
        <v/>
      </c>
      <c r="F4450" s="29" t="str">
        <f t="array" ref="F4450">IF($A4450="","",
  LET(
    r, $D4450,
    startD, INDEX(Calculation!B$2:B9627, r),
    endD,   INDEX(Calculation!C$2:C9627, r),
    asOf,   MIN($A4450,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51">
      <c r="A4451" s="28"/>
      <c r="B4451" s="29"/>
      <c r="C4451" s="29" t="str">
        <f t="shared" si="1"/>
        <v/>
      </c>
      <c r="D4451" s="6" t="str">
        <f>IF(A4451="","",MATCH(A4451,Calculation!B$2:B9627,1))</f>
        <v/>
      </c>
      <c r="E4451" s="29" t="str">
        <f t="array" ref="E4451">IF(D4451="","",IF(D4451=1,0,INDEX(Calculation!Q$2:Q9627,D4451-1)))</f>
        <v/>
      </c>
      <c r="F4451" s="29" t="str">
        <f t="array" ref="F4451">IF($A4451="","",
  LET(
    r, $D4451,
    startD, INDEX(Calculation!B$2:B9627, r),
    endD,   INDEX(Calculation!C$2:C9627, r),
    asOf,   MIN($A4451,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52">
      <c r="A4452" s="28"/>
      <c r="B4452" s="29"/>
      <c r="C4452" s="29" t="str">
        <f t="shared" si="1"/>
        <v/>
      </c>
      <c r="D4452" s="6" t="str">
        <f>IF(A4452="","",MATCH(A4452,Calculation!B$2:B9627,1))</f>
        <v/>
      </c>
      <c r="E4452" s="29" t="str">
        <f t="array" ref="E4452">IF(D4452="","",IF(D4452=1,0,INDEX(Calculation!Q$2:Q9627,D4452-1)))</f>
        <v/>
      </c>
      <c r="F4452" s="29" t="str">
        <f t="array" ref="F4452">IF($A4452="","",
  LET(
    r, $D4452,
    startD, INDEX(Calculation!B$2:B9627, r),
    endD,   INDEX(Calculation!C$2:C9627, r),
    asOf,   MIN($A4452,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53">
      <c r="A4453" s="28"/>
      <c r="B4453" s="29"/>
      <c r="C4453" s="29" t="str">
        <f t="shared" si="1"/>
        <v/>
      </c>
      <c r="D4453" s="6" t="str">
        <f>IF(A4453="","",MATCH(A4453,Calculation!B$2:B9627,1))</f>
        <v/>
      </c>
      <c r="E4453" s="29" t="str">
        <f t="array" ref="E4453">IF(D4453="","",IF(D4453=1,0,INDEX(Calculation!Q$2:Q9627,D4453-1)))</f>
        <v/>
      </c>
      <c r="F4453" s="29" t="str">
        <f t="array" ref="F4453">IF($A4453="","",
  LET(
    r, $D4453,
    startD, INDEX(Calculation!B$2:B9627, r),
    endD,   INDEX(Calculation!C$2:C9627, r),
    asOf,   MIN($A4453,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54">
      <c r="A4454" s="28"/>
      <c r="B4454" s="29"/>
      <c r="C4454" s="29" t="str">
        <f t="shared" si="1"/>
        <v/>
      </c>
      <c r="D4454" s="6" t="str">
        <f>IF(A4454="","",MATCH(A4454,Calculation!B$2:B9627,1))</f>
        <v/>
      </c>
      <c r="E4454" s="29" t="str">
        <f t="array" ref="E4454">IF(D4454="","",IF(D4454=1,0,INDEX(Calculation!Q$2:Q9627,D4454-1)))</f>
        <v/>
      </c>
      <c r="F4454" s="29" t="str">
        <f t="array" ref="F4454">IF($A4454="","",
  LET(
    r, $D4454,
    startD, INDEX(Calculation!B$2:B9627, r),
    endD,   INDEX(Calculation!C$2:C9627, r),
    asOf,   MIN($A4454,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55">
      <c r="A4455" s="28"/>
      <c r="B4455" s="29"/>
      <c r="C4455" s="29" t="str">
        <f t="shared" si="1"/>
        <v/>
      </c>
      <c r="D4455" s="6" t="str">
        <f>IF(A4455="","",MATCH(A4455,Calculation!B$2:B9627,1))</f>
        <v/>
      </c>
      <c r="E4455" s="29" t="str">
        <f t="array" ref="E4455">IF(D4455="","",IF(D4455=1,0,INDEX(Calculation!Q$2:Q9627,D4455-1)))</f>
        <v/>
      </c>
      <c r="F4455" s="29" t="str">
        <f t="array" ref="F4455">IF($A4455="","",
  LET(
    r, $D4455,
    startD, INDEX(Calculation!B$2:B9627, r),
    endD,   INDEX(Calculation!C$2:C9627, r),
    asOf,   MIN($A4455,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56">
      <c r="A4456" s="28"/>
      <c r="B4456" s="29"/>
      <c r="C4456" s="29" t="str">
        <f t="shared" si="1"/>
        <v/>
      </c>
      <c r="D4456" s="6" t="str">
        <f>IF(A4456="","",MATCH(A4456,Calculation!B$2:B9627,1))</f>
        <v/>
      </c>
      <c r="E4456" s="29" t="str">
        <f t="array" ref="E4456">IF(D4456="","",IF(D4456=1,0,INDEX(Calculation!Q$2:Q9627,D4456-1)))</f>
        <v/>
      </c>
      <c r="F4456" s="29" t="str">
        <f t="array" ref="F4456">IF($A4456="","",
  LET(
    r, $D4456,
    startD, INDEX(Calculation!B$2:B9627, r),
    endD,   INDEX(Calculation!C$2:C9627, r),
    asOf,   MIN($A4456,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57">
      <c r="A4457" s="28"/>
      <c r="B4457" s="29"/>
      <c r="C4457" s="29" t="str">
        <f t="shared" si="1"/>
        <v/>
      </c>
      <c r="D4457" s="6" t="str">
        <f>IF(A4457="","",MATCH(A4457,Calculation!B$2:B9627,1))</f>
        <v/>
      </c>
      <c r="E4457" s="29" t="str">
        <f t="array" ref="E4457">IF(D4457="","",IF(D4457=1,0,INDEX(Calculation!Q$2:Q9627,D4457-1)))</f>
        <v/>
      </c>
      <c r="F4457" s="29" t="str">
        <f t="array" ref="F4457">IF($A4457="","",
  LET(
    r, $D4457,
    startD, INDEX(Calculation!B$2:B9627, r),
    endD,   INDEX(Calculation!C$2:C9627, r),
    asOf,   MIN($A4457,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58">
      <c r="A4458" s="28"/>
      <c r="B4458" s="29"/>
      <c r="C4458" s="29" t="str">
        <f t="shared" si="1"/>
        <v/>
      </c>
      <c r="D4458" s="6" t="str">
        <f>IF(A4458="","",MATCH(A4458,Calculation!B$2:B9627,1))</f>
        <v/>
      </c>
      <c r="E4458" s="29" t="str">
        <f t="array" ref="E4458">IF(D4458="","",IF(D4458=1,0,INDEX(Calculation!Q$2:Q9627,D4458-1)))</f>
        <v/>
      </c>
      <c r="F4458" s="29" t="str">
        <f t="array" ref="F4458">IF($A4458="","",
  LET(
    r, $D4458,
    startD, INDEX(Calculation!B$2:B9627, r),
    endD,   INDEX(Calculation!C$2:C9627, r),
    asOf,   MIN($A4458,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59">
      <c r="A4459" s="28"/>
      <c r="B4459" s="29"/>
      <c r="C4459" s="29" t="str">
        <f t="shared" si="1"/>
        <v/>
      </c>
      <c r="D4459" s="6" t="str">
        <f>IF(A4459="","",MATCH(A4459,Calculation!B$2:B9627,1))</f>
        <v/>
      </c>
      <c r="E4459" s="29" t="str">
        <f t="array" ref="E4459">IF(D4459="","",IF(D4459=1,0,INDEX(Calculation!Q$2:Q9627,D4459-1)))</f>
        <v/>
      </c>
      <c r="F4459" s="29" t="str">
        <f t="array" ref="F4459">IF($A4459="","",
  LET(
    r, $D4459,
    startD, INDEX(Calculation!B$2:B9627, r),
    endD,   INDEX(Calculation!C$2:C9627, r),
    asOf,   MIN($A4459,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60">
      <c r="A4460" s="28"/>
      <c r="B4460" s="29"/>
      <c r="C4460" s="29" t="str">
        <f t="shared" si="1"/>
        <v/>
      </c>
      <c r="D4460" s="6" t="str">
        <f>IF(A4460="","",MATCH(A4460,Calculation!B$2:B9627,1))</f>
        <v/>
      </c>
      <c r="E4460" s="29" t="str">
        <f t="array" ref="E4460">IF(D4460="","",IF(D4460=1,0,INDEX(Calculation!Q$2:Q9627,D4460-1)))</f>
        <v/>
      </c>
      <c r="F4460" s="29" t="str">
        <f t="array" ref="F4460">IF($A4460="","",
  LET(
    r, $D4460,
    startD, INDEX(Calculation!B$2:B9627, r),
    endD,   INDEX(Calculation!C$2:C9627, r),
    asOf,   MIN($A4460,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61">
      <c r="A4461" s="28"/>
      <c r="B4461" s="29"/>
      <c r="C4461" s="29" t="str">
        <f t="shared" si="1"/>
        <v/>
      </c>
      <c r="D4461" s="6" t="str">
        <f>IF(A4461="","",MATCH(A4461,Calculation!B$2:B9627,1))</f>
        <v/>
      </c>
      <c r="E4461" s="29" t="str">
        <f t="array" ref="E4461">IF(D4461="","",IF(D4461=1,0,INDEX(Calculation!Q$2:Q9627,D4461-1)))</f>
        <v/>
      </c>
      <c r="F4461" s="29" t="str">
        <f t="array" ref="F4461">IF($A4461="","",
  LET(
    r, $D4461,
    startD, INDEX(Calculation!B$2:B9627, r),
    endD,   INDEX(Calculation!C$2:C9627, r),
    asOf,   MIN($A4461,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62">
      <c r="A4462" s="28"/>
      <c r="B4462" s="29"/>
      <c r="C4462" s="29" t="str">
        <f t="shared" si="1"/>
        <v/>
      </c>
      <c r="D4462" s="6" t="str">
        <f>IF(A4462="","",MATCH(A4462,Calculation!B$2:B9627,1))</f>
        <v/>
      </c>
      <c r="E4462" s="29" t="str">
        <f t="array" ref="E4462">IF(D4462="","",IF(D4462=1,0,INDEX(Calculation!Q$2:Q9627,D4462-1)))</f>
        <v/>
      </c>
      <c r="F4462" s="29" t="str">
        <f t="array" ref="F4462">IF($A4462="","",
  LET(
    r, $D4462,
    startD, INDEX(Calculation!B$2:B9627, r),
    endD,   INDEX(Calculation!C$2:C9627, r),
    asOf,   MIN($A4462,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63">
      <c r="A4463" s="28"/>
      <c r="B4463" s="29"/>
      <c r="C4463" s="29" t="str">
        <f t="shared" si="1"/>
        <v/>
      </c>
      <c r="D4463" s="6" t="str">
        <f>IF(A4463="","",MATCH(A4463,Calculation!B$2:B9627,1))</f>
        <v/>
      </c>
      <c r="E4463" s="29" t="str">
        <f t="array" ref="E4463">IF(D4463="","",IF(D4463=1,0,INDEX(Calculation!Q$2:Q9627,D4463-1)))</f>
        <v/>
      </c>
      <c r="F4463" s="29" t="str">
        <f t="array" ref="F4463">IF($A4463="","",
  LET(
    r, $D4463,
    startD, INDEX(Calculation!B$2:B9627, r),
    endD,   INDEX(Calculation!C$2:C9627, r),
    asOf,   MIN($A4463,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64">
      <c r="A4464" s="28"/>
      <c r="B4464" s="29"/>
      <c r="C4464" s="29" t="str">
        <f t="shared" si="1"/>
        <v/>
      </c>
      <c r="D4464" s="6" t="str">
        <f>IF(A4464="","",MATCH(A4464,Calculation!B$2:B9627,1))</f>
        <v/>
      </c>
      <c r="E4464" s="29" t="str">
        <f t="array" ref="E4464">IF(D4464="","",IF(D4464=1,0,INDEX(Calculation!Q$2:Q9627,D4464-1)))</f>
        <v/>
      </c>
      <c r="F4464" s="29" t="str">
        <f t="array" ref="F4464">IF($A4464="","",
  LET(
    r, $D4464,
    startD, INDEX(Calculation!B$2:B9627, r),
    endD,   INDEX(Calculation!C$2:C9627, r),
    asOf,   MIN($A4464,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65">
      <c r="A4465" s="28"/>
      <c r="B4465" s="29"/>
      <c r="C4465" s="29" t="str">
        <f t="shared" si="1"/>
        <v/>
      </c>
      <c r="D4465" s="6" t="str">
        <f>IF(A4465="","",MATCH(A4465,Calculation!B$2:B9627,1))</f>
        <v/>
      </c>
      <c r="E4465" s="29" t="str">
        <f t="array" ref="E4465">IF(D4465="","",IF(D4465=1,0,INDEX(Calculation!Q$2:Q9627,D4465-1)))</f>
        <v/>
      </c>
      <c r="F4465" s="29" t="str">
        <f t="array" ref="F4465">IF($A4465="","",
  LET(
    r, $D4465,
    startD, INDEX(Calculation!B$2:B9627, r),
    endD,   INDEX(Calculation!C$2:C9627, r),
    asOf,   MIN($A4465,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66">
      <c r="A4466" s="28"/>
      <c r="B4466" s="29"/>
      <c r="C4466" s="29" t="str">
        <f t="shared" si="1"/>
        <v/>
      </c>
      <c r="D4466" s="6" t="str">
        <f>IF(A4466="","",MATCH(A4466,Calculation!B$2:B9627,1))</f>
        <v/>
      </c>
      <c r="E4466" s="29" t="str">
        <f t="array" ref="E4466">IF(D4466="","",IF(D4466=1,0,INDEX(Calculation!Q$2:Q9627,D4466-1)))</f>
        <v/>
      </c>
      <c r="F4466" s="29" t="str">
        <f t="array" ref="F4466">IF($A4466="","",
  LET(
    r, $D4466,
    startD, INDEX(Calculation!B$2:B9627, r),
    endD,   INDEX(Calculation!C$2:C9627, r),
    asOf,   MIN($A4466,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67">
      <c r="A4467" s="28"/>
      <c r="B4467" s="29"/>
      <c r="C4467" s="29" t="str">
        <f t="shared" si="1"/>
        <v/>
      </c>
      <c r="D4467" s="6" t="str">
        <f>IF(A4467="","",MATCH(A4467,Calculation!B$2:B9627,1))</f>
        <v/>
      </c>
      <c r="E4467" s="29" t="str">
        <f t="array" ref="E4467">IF(D4467="","",IF(D4467=1,0,INDEX(Calculation!Q$2:Q9627,D4467-1)))</f>
        <v/>
      </c>
      <c r="F4467" s="29" t="str">
        <f t="array" ref="F4467">IF($A4467="","",
  LET(
    r, $D4467,
    startD, INDEX(Calculation!B$2:B9627, r),
    endD,   INDEX(Calculation!C$2:C9627, r),
    asOf,   MIN($A4467,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68">
      <c r="A4468" s="28"/>
      <c r="B4468" s="29"/>
      <c r="C4468" s="29" t="str">
        <f t="shared" si="1"/>
        <v/>
      </c>
      <c r="D4468" s="6" t="str">
        <f>IF(A4468="","",MATCH(A4468,Calculation!B$2:B9627,1))</f>
        <v/>
      </c>
      <c r="E4468" s="29" t="str">
        <f t="array" ref="E4468">IF(D4468="","",IF(D4468=1,0,INDEX(Calculation!Q$2:Q9627,D4468-1)))</f>
        <v/>
      </c>
      <c r="F4468" s="29" t="str">
        <f t="array" ref="F4468">IF($A4468="","",
  LET(
    r, $D4468,
    startD, INDEX(Calculation!B$2:B9627, r),
    endD,   INDEX(Calculation!C$2:C9627, r),
    asOf,   MIN($A4468,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69">
      <c r="A4469" s="28"/>
      <c r="B4469" s="29"/>
      <c r="C4469" s="29" t="str">
        <f t="shared" si="1"/>
        <v/>
      </c>
      <c r="D4469" s="6" t="str">
        <f>IF(A4469="","",MATCH(A4469,Calculation!B$2:B9627,1))</f>
        <v/>
      </c>
      <c r="E4469" s="29" t="str">
        <f t="array" ref="E4469">IF(D4469="","",IF(D4469=1,0,INDEX(Calculation!Q$2:Q9627,D4469-1)))</f>
        <v/>
      </c>
      <c r="F4469" s="29" t="str">
        <f t="array" ref="F4469">IF($A4469="","",
  LET(
    r, $D4469,
    startD, INDEX(Calculation!B$2:B9627, r),
    endD,   INDEX(Calculation!C$2:C9627, r),
    asOf,   MIN($A4469,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70">
      <c r="A4470" s="28"/>
      <c r="B4470" s="29"/>
      <c r="C4470" s="29" t="str">
        <f t="shared" si="1"/>
        <v/>
      </c>
      <c r="D4470" s="6" t="str">
        <f>IF(A4470="","",MATCH(A4470,Calculation!B$2:B9627,1))</f>
        <v/>
      </c>
      <c r="E4470" s="29" t="str">
        <f t="array" ref="E4470">IF(D4470="","",IF(D4470=1,0,INDEX(Calculation!Q$2:Q9627,D4470-1)))</f>
        <v/>
      </c>
      <c r="F4470" s="29" t="str">
        <f t="array" ref="F4470">IF($A4470="","",
  LET(
    r, $D4470,
    startD, INDEX(Calculation!B$2:B9627, r),
    endD,   INDEX(Calculation!C$2:C9627, r),
    asOf,   MIN($A4470,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71">
      <c r="A4471" s="28"/>
      <c r="B4471" s="29"/>
      <c r="C4471" s="29" t="str">
        <f t="shared" si="1"/>
        <v/>
      </c>
      <c r="D4471" s="6" t="str">
        <f>IF(A4471="","",MATCH(A4471,Calculation!B$2:B9627,1))</f>
        <v/>
      </c>
      <c r="E4471" s="29" t="str">
        <f t="array" ref="E4471">IF(D4471="","",IF(D4471=1,0,INDEX(Calculation!Q$2:Q9627,D4471-1)))</f>
        <v/>
      </c>
      <c r="F4471" s="29" t="str">
        <f t="array" ref="F4471">IF($A4471="","",
  LET(
    r, $D4471,
    startD, INDEX(Calculation!B$2:B9627, r),
    endD,   INDEX(Calculation!C$2:C9627, r),
    asOf,   MIN($A4471,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72">
      <c r="A4472" s="28"/>
      <c r="B4472" s="29"/>
      <c r="C4472" s="29" t="str">
        <f t="shared" si="1"/>
        <v/>
      </c>
      <c r="D4472" s="6" t="str">
        <f>IF(A4472="","",MATCH(A4472,Calculation!B$2:B9627,1))</f>
        <v/>
      </c>
      <c r="E4472" s="29" t="str">
        <f t="array" ref="E4472">IF(D4472="","",IF(D4472=1,0,INDEX(Calculation!Q$2:Q9627,D4472-1)))</f>
        <v/>
      </c>
      <c r="F4472" s="29" t="str">
        <f t="array" ref="F4472">IF($A4472="","",
  LET(
    r, $D4472,
    startD, INDEX(Calculation!B$2:B9627, r),
    endD,   INDEX(Calculation!C$2:C9627, r),
    asOf,   MIN($A4472,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73">
      <c r="A4473" s="28"/>
      <c r="B4473" s="29"/>
      <c r="C4473" s="29" t="str">
        <f t="shared" si="1"/>
        <v/>
      </c>
      <c r="D4473" s="6" t="str">
        <f>IF(A4473="","",MATCH(A4473,Calculation!B$2:B9627,1))</f>
        <v/>
      </c>
      <c r="E4473" s="29" t="str">
        <f t="array" ref="E4473">IF(D4473="","",IF(D4473=1,0,INDEX(Calculation!Q$2:Q9627,D4473-1)))</f>
        <v/>
      </c>
      <c r="F4473" s="29" t="str">
        <f t="array" ref="F4473">IF($A4473="","",
  LET(
    r, $D4473,
    startD, INDEX(Calculation!B$2:B9627, r),
    endD,   INDEX(Calculation!C$2:C9627, r),
    asOf,   MIN($A4473,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74">
      <c r="A4474" s="28"/>
      <c r="B4474" s="29"/>
      <c r="C4474" s="29" t="str">
        <f t="shared" si="1"/>
        <v/>
      </c>
      <c r="D4474" s="6" t="str">
        <f>IF(A4474="","",MATCH(A4474,Calculation!B$2:B9627,1))</f>
        <v/>
      </c>
      <c r="E4474" s="29" t="str">
        <f t="array" ref="E4474">IF(D4474="","",IF(D4474=1,0,INDEX(Calculation!Q$2:Q9627,D4474-1)))</f>
        <v/>
      </c>
      <c r="F4474" s="29" t="str">
        <f t="array" ref="F4474">IF($A4474="","",
  LET(
    r, $D4474,
    startD, INDEX(Calculation!B$2:B9627, r),
    endD,   INDEX(Calculation!C$2:C9627, r),
    asOf,   MIN($A4474,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75">
      <c r="A4475" s="28"/>
      <c r="B4475" s="29"/>
      <c r="C4475" s="29" t="str">
        <f t="shared" si="1"/>
        <v/>
      </c>
      <c r="D4475" s="6" t="str">
        <f>IF(A4475="","",MATCH(A4475,Calculation!B$2:B9627,1))</f>
        <v/>
      </c>
      <c r="E4475" s="29" t="str">
        <f t="array" ref="E4475">IF(D4475="","",IF(D4475=1,0,INDEX(Calculation!Q$2:Q9627,D4475-1)))</f>
        <v/>
      </c>
      <c r="F4475" s="29" t="str">
        <f t="array" ref="F4475">IF($A4475="","",
  LET(
    r, $D4475,
    startD, INDEX(Calculation!B$2:B9627, r),
    endD,   INDEX(Calculation!C$2:C9627, r),
    asOf,   MIN($A4475,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76">
      <c r="A4476" s="28"/>
      <c r="B4476" s="29"/>
      <c r="C4476" s="29" t="str">
        <f t="shared" si="1"/>
        <v/>
      </c>
      <c r="D4476" s="6" t="str">
        <f>IF(A4476="","",MATCH(A4476,Calculation!B$2:B9627,1))</f>
        <v/>
      </c>
      <c r="E4476" s="29" t="str">
        <f t="array" ref="E4476">IF(D4476="","",IF(D4476=1,0,INDEX(Calculation!Q$2:Q9627,D4476-1)))</f>
        <v/>
      </c>
      <c r="F4476" s="29" t="str">
        <f t="array" ref="F4476">IF($A4476="","",
  LET(
    r, $D4476,
    startD, INDEX(Calculation!B$2:B9627, r),
    endD,   INDEX(Calculation!C$2:C9627, r),
    asOf,   MIN($A4476,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77">
      <c r="A4477" s="28"/>
      <c r="B4477" s="29"/>
      <c r="C4477" s="29" t="str">
        <f t="shared" si="1"/>
        <v/>
      </c>
      <c r="D4477" s="6" t="str">
        <f>IF(A4477="","",MATCH(A4477,Calculation!B$2:B9627,1))</f>
        <v/>
      </c>
      <c r="E4477" s="29" t="str">
        <f t="array" ref="E4477">IF(D4477="","",IF(D4477=1,0,INDEX(Calculation!Q$2:Q9627,D4477-1)))</f>
        <v/>
      </c>
      <c r="F4477" s="29" t="str">
        <f t="array" ref="F4477">IF($A4477="","",
  LET(
    r, $D4477,
    startD, INDEX(Calculation!B$2:B9627, r),
    endD,   INDEX(Calculation!C$2:C9627, r),
    asOf,   MIN($A4477,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78">
      <c r="A4478" s="28"/>
      <c r="B4478" s="29"/>
      <c r="C4478" s="29" t="str">
        <f t="shared" si="1"/>
        <v/>
      </c>
      <c r="D4478" s="6" t="str">
        <f>IF(A4478="","",MATCH(A4478,Calculation!B$2:B9627,1))</f>
        <v/>
      </c>
      <c r="E4478" s="29" t="str">
        <f t="array" ref="E4478">IF(D4478="","",IF(D4478=1,0,INDEX(Calculation!Q$2:Q9627,D4478-1)))</f>
        <v/>
      </c>
      <c r="F4478" s="29" t="str">
        <f t="array" ref="F4478">IF($A4478="","",
  LET(
    r, $D4478,
    startD, INDEX(Calculation!B$2:B9627, r),
    endD,   INDEX(Calculation!C$2:C9627, r),
    asOf,   MIN($A4478,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79">
      <c r="A4479" s="28"/>
      <c r="B4479" s="29"/>
      <c r="C4479" s="29" t="str">
        <f t="shared" si="1"/>
        <v/>
      </c>
      <c r="D4479" s="6" t="str">
        <f>IF(A4479="","",MATCH(A4479,Calculation!B$2:B9627,1))</f>
        <v/>
      </c>
      <c r="E4479" s="29" t="str">
        <f t="array" ref="E4479">IF(D4479="","",IF(D4479=1,0,INDEX(Calculation!Q$2:Q9627,D4479-1)))</f>
        <v/>
      </c>
      <c r="F4479" s="29" t="str">
        <f t="array" ref="F4479">IF($A4479="","",
  LET(
    r, $D4479,
    startD, INDEX(Calculation!B$2:B9627, r),
    endD,   INDEX(Calculation!C$2:C9627, r),
    asOf,   MIN($A4479,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80">
      <c r="A4480" s="28"/>
      <c r="B4480" s="29"/>
      <c r="C4480" s="29" t="str">
        <f t="shared" si="1"/>
        <v/>
      </c>
      <c r="D4480" s="6" t="str">
        <f>IF(A4480="","",MATCH(A4480,Calculation!B$2:B9627,1))</f>
        <v/>
      </c>
      <c r="E4480" s="29" t="str">
        <f t="array" ref="E4480">IF(D4480="","",IF(D4480=1,0,INDEX(Calculation!Q$2:Q9627,D4480-1)))</f>
        <v/>
      </c>
      <c r="F4480" s="29" t="str">
        <f t="array" ref="F4480">IF($A4480="","",
  LET(
    r, $D4480,
    startD, INDEX(Calculation!B$2:B9627, r),
    endD,   INDEX(Calculation!C$2:C9627, r),
    asOf,   MIN($A4480,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81">
      <c r="A4481" s="28"/>
      <c r="B4481" s="29"/>
      <c r="C4481" s="29" t="str">
        <f t="shared" si="1"/>
        <v/>
      </c>
      <c r="D4481" s="6" t="str">
        <f>IF(A4481="","",MATCH(A4481,Calculation!B$2:B9627,1))</f>
        <v/>
      </c>
      <c r="E4481" s="29" t="str">
        <f t="array" ref="E4481">IF(D4481="","",IF(D4481=1,0,INDEX(Calculation!Q$2:Q9627,D4481-1)))</f>
        <v/>
      </c>
      <c r="F4481" s="29" t="str">
        <f t="array" ref="F4481">IF($A4481="","",
  LET(
    r, $D4481,
    startD, INDEX(Calculation!B$2:B9627, r),
    endD,   INDEX(Calculation!C$2:C9627, r),
    asOf,   MIN($A4481,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82">
      <c r="A4482" s="28"/>
      <c r="B4482" s="29"/>
      <c r="C4482" s="29" t="str">
        <f t="shared" si="1"/>
        <v/>
      </c>
      <c r="D4482" s="6" t="str">
        <f>IF(A4482="","",MATCH(A4482,Calculation!B$2:B9627,1))</f>
        <v/>
      </c>
      <c r="E4482" s="29" t="str">
        <f t="array" ref="E4482">IF(D4482="","",IF(D4482=1,0,INDEX(Calculation!Q$2:Q9627,D4482-1)))</f>
        <v/>
      </c>
      <c r="F4482" s="29" t="str">
        <f t="array" ref="F4482">IF($A4482="","",
  LET(
    r, $D4482,
    startD, INDEX(Calculation!B$2:B9627, r),
    endD,   INDEX(Calculation!C$2:C9627, r),
    asOf,   MIN($A4482,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83">
      <c r="A4483" s="28"/>
      <c r="B4483" s="29"/>
      <c r="C4483" s="29" t="str">
        <f t="shared" si="1"/>
        <v/>
      </c>
      <c r="D4483" s="6" t="str">
        <f>IF(A4483="","",MATCH(A4483,Calculation!B$2:B9627,1))</f>
        <v/>
      </c>
      <c r="E4483" s="29" t="str">
        <f t="array" ref="E4483">IF(D4483="","",IF(D4483=1,0,INDEX(Calculation!Q$2:Q9627,D4483-1)))</f>
        <v/>
      </c>
      <c r="F4483" s="29" t="str">
        <f t="array" ref="F4483">IF($A4483="","",
  LET(
    r, $D4483,
    startD, INDEX(Calculation!B$2:B9627, r),
    endD,   INDEX(Calculation!C$2:C9627, r),
    asOf,   MIN($A4483,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84">
      <c r="A4484" s="28"/>
      <c r="B4484" s="29"/>
      <c r="C4484" s="29" t="str">
        <f t="shared" si="1"/>
        <v/>
      </c>
      <c r="D4484" s="6" t="str">
        <f>IF(A4484="","",MATCH(A4484,Calculation!B$2:B9627,1))</f>
        <v/>
      </c>
      <c r="E4484" s="29" t="str">
        <f t="array" ref="E4484">IF(D4484="","",IF(D4484=1,0,INDEX(Calculation!Q$2:Q9627,D4484-1)))</f>
        <v/>
      </c>
      <c r="F4484" s="29" t="str">
        <f t="array" ref="F4484">IF($A4484="","",
  LET(
    r, $D4484,
    startD, INDEX(Calculation!B$2:B9627, r),
    endD,   INDEX(Calculation!C$2:C9627, r),
    asOf,   MIN($A4484,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85">
      <c r="A4485" s="28"/>
      <c r="B4485" s="29"/>
      <c r="C4485" s="29" t="str">
        <f t="shared" si="1"/>
        <v/>
      </c>
      <c r="D4485" s="6" t="str">
        <f>IF(A4485="","",MATCH(A4485,Calculation!B$2:B9627,1))</f>
        <v/>
      </c>
      <c r="E4485" s="29" t="str">
        <f t="array" ref="E4485">IF(D4485="","",IF(D4485=1,0,INDEX(Calculation!Q$2:Q9627,D4485-1)))</f>
        <v/>
      </c>
      <c r="F4485" s="29" t="str">
        <f t="array" ref="F4485">IF($A4485="","",
  LET(
    r, $D4485,
    startD, INDEX(Calculation!B$2:B9627, r),
    endD,   INDEX(Calculation!C$2:C9627, r),
    asOf,   MIN($A4485,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86">
      <c r="A4486" s="28"/>
      <c r="B4486" s="29"/>
      <c r="C4486" s="29" t="str">
        <f t="shared" si="1"/>
        <v/>
      </c>
      <c r="D4486" s="6" t="str">
        <f>IF(A4486="","",MATCH(A4486,Calculation!B$2:B9627,1))</f>
        <v/>
      </c>
      <c r="E4486" s="29" t="str">
        <f t="array" ref="E4486">IF(D4486="","",IF(D4486=1,0,INDEX(Calculation!Q$2:Q9627,D4486-1)))</f>
        <v/>
      </c>
      <c r="F4486" s="29" t="str">
        <f t="array" ref="F4486">IF($A4486="","",
  LET(
    r, $D4486,
    startD, INDEX(Calculation!B$2:B9627, r),
    endD,   INDEX(Calculation!C$2:C9627, r),
    asOf,   MIN($A4486,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87">
      <c r="A4487" s="28"/>
      <c r="B4487" s="29"/>
      <c r="C4487" s="29" t="str">
        <f t="shared" si="1"/>
        <v/>
      </c>
      <c r="D4487" s="6" t="str">
        <f>IF(A4487="","",MATCH(A4487,Calculation!B$2:B9627,1))</f>
        <v/>
      </c>
      <c r="E4487" s="29" t="str">
        <f t="array" ref="E4487">IF(D4487="","",IF(D4487=1,0,INDEX(Calculation!Q$2:Q9627,D4487-1)))</f>
        <v/>
      </c>
      <c r="F4487" s="29" t="str">
        <f t="array" ref="F4487">IF($A4487="","",
  LET(
    r, $D4487,
    startD, INDEX(Calculation!B$2:B9627, r),
    endD,   INDEX(Calculation!C$2:C9627, r),
    asOf,   MIN($A4487,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88">
      <c r="A4488" s="28"/>
      <c r="B4488" s="29"/>
      <c r="C4488" s="29" t="str">
        <f t="shared" si="1"/>
        <v/>
      </c>
      <c r="D4488" s="6" t="str">
        <f>IF(A4488="","",MATCH(A4488,Calculation!B$2:B9627,1))</f>
        <v/>
      </c>
      <c r="E4488" s="29" t="str">
        <f t="array" ref="E4488">IF(D4488="","",IF(D4488=1,0,INDEX(Calculation!Q$2:Q9627,D4488-1)))</f>
        <v/>
      </c>
      <c r="F4488" s="29" t="str">
        <f t="array" ref="F4488">IF($A4488="","",
  LET(
    r, $D4488,
    startD, INDEX(Calculation!B$2:B9627, r),
    endD,   INDEX(Calculation!C$2:C9627, r),
    asOf,   MIN($A4488,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89">
      <c r="A4489" s="28"/>
      <c r="B4489" s="29"/>
      <c r="C4489" s="29" t="str">
        <f t="shared" si="1"/>
        <v/>
      </c>
      <c r="D4489" s="6" t="str">
        <f>IF(A4489="","",MATCH(A4489,Calculation!B$2:B9627,1))</f>
        <v/>
      </c>
      <c r="E4489" s="29" t="str">
        <f t="array" ref="E4489">IF(D4489="","",IF(D4489=1,0,INDEX(Calculation!Q$2:Q9627,D4489-1)))</f>
        <v/>
      </c>
      <c r="F4489" s="29" t="str">
        <f t="array" ref="F4489">IF($A4489="","",
  LET(
    r, $D4489,
    startD, INDEX(Calculation!B$2:B9627, r),
    endD,   INDEX(Calculation!C$2:C9627, r),
    asOf,   MIN($A4489,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90">
      <c r="A4490" s="28"/>
      <c r="B4490" s="29"/>
      <c r="C4490" s="29" t="str">
        <f t="shared" si="1"/>
        <v/>
      </c>
      <c r="D4490" s="6" t="str">
        <f>IF(A4490="","",MATCH(A4490,Calculation!B$2:B9627,1))</f>
        <v/>
      </c>
      <c r="E4490" s="29" t="str">
        <f t="array" ref="E4490">IF(D4490="","",IF(D4490=1,0,INDEX(Calculation!Q$2:Q9627,D4490-1)))</f>
        <v/>
      </c>
      <c r="F4490" s="29" t="str">
        <f t="array" ref="F4490">IF($A4490="","",
  LET(
    r, $D4490,
    startD, INDEX(Calculation!B$2:B9627, r),
    endD,   INDEX(Calculation!C$2:C9627, r),
    asOf,   MIN($A4490,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91">
      <c r="A4491" s="28"/>
      <c r="B4491" s="29"/>
      <c r="C4491" s="29" t="str">
        <f t="shared" si="1"/>
        <v/>
      </c>
      <c r="D4491" s="6" t="str">
        <f>IF(A4491="","",MATCH(A4491,Calculation!B$2:B9627,1))</f>
        <v/>
      </c>
      <c r="E4491" s="29" t="str">
        <f t="array" ref="E4491">IF(D4491="","",IF(D4491=1,0,INDEX(Calculation!Q$2:Q9627,D4491-1)))</f>
        <v/>
      </c>
      <c r="F4491" s="29" t="str">
        <f t="array" ref="F4491">IF($A4491="","",
  LET(
    r, $D4491,
    startD, INDEX(Calculation!B$2:B9627, r),
    endD,   INDEX(Calculation!C$2:C9627, r),
    asOf,   MIN($A4491,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92">
      <c r="A4492" s="28"/>
      <c r="B4492" s="29"/>
      <c r="C4492" s="29" t="str">
        <f t="shared" si="1"/>
        <v/>
      </c>
      <c r="D4492" s="6" t="str">
        <f>IF(A4492="","",MATCH(A4492,Calculation!B$2:B9627,1))</f>
        <v/>
      </c>
      <c r="E4492" s="29" t="str">
        <f t="array" ref="E4492">IF(D4492="","",IF(D4492=1,0,INDEX(Calculation!Q$2:Q9627,D4492-1)))</f>
        <v/>
      </c>
      <c r="F4492" s="29" t="str">
        <f t="array" ref="F4492">IF($A4492="","",
  LET(
    r, $D4492,
    startD, INDEX(Calculation!B$2:B9627, r),
    endD,   INDEX(Calculation!C$2:C9627, r),
    asOf,   MIN($A4492,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93">
      <c r="A4493" s="28"/>
      <c r="B4493" s="29"/>
      <c r="C4493" s="29" t="str">
        <f t="shared" si="1"/>
        <v/>
      </c>
      <c r="D4493" s="6" t="str">
        <f>IF(A4493="","",MATCH(A4493,Calculation!B$2:B9627,1))</f>
        <v/>
      </c>
      <c r="E4493" s="29" t="str">
        <f t="array" ref="E4493">IF(D4493="","",IF(D4493=1,0,INDEX(Calculation!Q$2:Q9627,D4493-1)))</f>
        <v/>
      </c>
      <c r="F4493" s="29" t="str">
        <f t="array" ref="F4493">IF($A4493="","",
  LET(
    r, $D4493,
    startD, INDEX(Calculation!B$2:B9627, r),
    endD,   INDEX(Calculation!C$2:C9627, r),
    asOf,   MIN($A4493,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94">
      <c r="A4494" s="28"/>
      <c r="B4494" s="29"/>
      <c r="C4494" s="29" t="str">
        <f t="shared" si="1"/>
        <v/>
      </c>
      <c r="D4494" s="6" t="str">
        <f>IF(A4494="","",MATCH(A4494,Calculation!B$2:B9627,1))</f>
        <v/>
      </c>
      <c r="E4494" s="29" t="str">
        <f t="array" ref="E4494">IF(D4494="","",IF(D4494=1,0,INDEX(Calculation!Q$2:Q9627,D4494-1)))</f>
        <v/>
      </c>
      <c r="F4494" s="29" t="str">
        <f t="array" ref="F4494">IF($A4494="","",
  LET(
    r, $D4494,
    startD, INDEX(Calculation!B$2:B9627, r),
    endD,   INDEX(Calculation!C$2:C9627, r),
    asOf,   MIN($A4494,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95">
      <c r="A4495" s="28"/>
      <c r="B4495" s="29"/>
      <c r="C4495" s="29" t="str">
        <f t="shared" si="1"/>
        <v/>
      </c>
      <c r="D4495" s="6" t="str">
        <f>IF(A4495="","",MATCH(A4495,Calculation!B$2:B9627,1))</f>
        <v/>
      </c>
      <c r="E4495" s="29" t="str">
        <f t="array" ref="E4495">IF(D4495="","",IF(D4495=1,0,INDEX(Calculation!Q$2:Q9627,D4495-1)))</f>
        <v/>
      </c>
      <c r="F4495" s="29" t="str">
        <f t="array" ref="F4495">IF($A4495="","",
  LET(
    r, $D4495,
    startD, INDEX(Calculation!B$2:B9627, r),
    endD,   INDEX(Calculation!C$2:C9627, r),
    asOf,   MIN($A4495,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96">
      <c r="A4496" s="28"/>
      <c r="B4496" s="29"/>
      <c r="C4496" s="29" t="str">
        <f t="shared" si="1"/>
        <v/>
      </c>
      <c r="D4496" s="6" t="str">
        <f>IF(A4496="","",MATCH(A4496,Calculation!B$2:B9627,1))</f>
        <v/>
      </c>
      <c r="E4496" s="29" t="str">
        <f t="array" ref="E4496">IF(D4496="","",IF(D4496=1,0,INDEX(Calculation!Q$2:Q9627,D4496-1)))</f>
        <v/>
      </c>
      <c r="F4496" s="29" t="str">
        <f t="array" ref="F4496">IF($A4496="","",
  LET(
    r, $D4496,
    startD, INDEX(Calculation!B$2:B9627, r),
    endD,   INDEX(Calculation!C$2:C9627, r),
    asOf,   MIN($A4496,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97">
      <c r="A4497" s="28"/>
      <c r="B4497" s="29"/>
      <c r="C4497" s="29" t="str">
        <f t="shared" si="1"/>
        <v/>
      </c>
      <c r="D4497" s="6" t="str">
        <f>IF(A4497="","",MATCH(A4497,Calculation!B$2:B9627,1))</f>
        <v/>
      </c>
      <c r="E4497" s="29" t="str">
        <f t="array" ref="E4497">IF(D4497="","",IF(D4497=1,0,INDEX(Calculation!Q$2:Q9627,D4497-1)))</f>
        <v/>
      </c>
      <c r="F4497" s="29" t="str">
        <f t="array" ref="F4497">IF($A4497="","",
  LET(
    r, $D4497,
    startD, INDEX(Calculation!B$2:B9627, r),
    endD,   INDEX(Calculation!C$2:C9627, r),
    asOf,   MIN($A4497,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98">
      <c r="A4498" s="28"/>
      <c r="B4498" s="29"/>
      <c r="C4498" s="29" t="str">
        <f t="shared" si="1"/>
        <v/>
      </c>
      <c r="D4498" s="6" t="str">
        <f>IF(A4498="","",MATCH(A4498,Calculation!B$2:B9627,1))</f>
        <v/>
      </c>
      <c r="E4498" s="29" t="str">
        <f t="array" ref="E4498">IF(D4498="","",IF(D4498=1,0,INDEX(Calculation!Q$2:Q9627,D4498-1)))</f>
        <v/>
      </c>
      <c r="F4498" s="29" t="str">
        <f t="array" ref="F4498">IF($A4498="","",
  LET(
    r, $D4498,
    startD, INDEX(Calculation!B$2:B9627, r),
    endD,   INDEX(Calculation!C$2:C9627, r),
    asOf,   MIN($A4498,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499">
      <c r="A4499" s="28"/>
      <c r="B4499" s="29"/>
      <c r="C4499" s="29" t="str">
        <f t="shared" si="1"/>
        <v/>
      </c>
      <c r="D4499" s="6" t="str">
        <f>IF(A4499="","",MATCH(A4499,Calculation!B$2:B9627,1))</f>
        <v/>
      </c>
      <c r="E4499" s="29" t="str">
        <f t="array" ref="E4499">IF(D4499="","",IF(D4499=1,0,INDEX(Calculation!Q$2:Q9627,D4499-1)))</f>
        <v/>
      </c>
      <c r="F4499" s="29" t="str">
        <f t="array" ref="F4499">IF($A4499="","",
  LET(
    r, $D4499,
    startD, INDEX(Calculation!B$2:B9627, r),
    endD,   INDEX(Calculation!C$2:C9627, r),
    asOf,   MIN($A4499,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00">
      <c r="A4500" s="28"/>
      <c r="B4500" s="29"/>
      <c r="C4500" s="29" t="str">
        <f t="shared" si="1"/>
        <v/>
      </c>
      <c r="D4500" s="6" t="str">
        <f>IF(A4500="","",MATCH(A4500,Calculation!B$2:B9627,1))</f>
        <v/>
      </c>
      <c r="E4500" s="29" t="str">
        <f t="array" ref="E4500">IF(D4500="","",IF(D4500=1,0,INDEX(Calculation!Q$2:Q9627,D4500-1)))</f>
        <v/>
      </c>
      <c r="F4500" s="29" t="str">
        <f t="array" ref="F4500">IF($A4500="","",
  LET(
    r, $D4500,
    startD, INDEX(Calculation!B$2:B9627, r),
    endD,   INDEX(Calculation!C$2:C9627, r),
    asOf,   MIN($A4500,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01">
      <c r="A4501" s="28"/>
      <c r="B4501" s="29"/>
      <c r="C4501" s="29" t="str">
        <f t="shared" si="1"/>
        <v/>
      </c>
      <c r="D4501" s="6" t="str">
        <f>IF(A4501="","",MATCH(A4501,Calculation!B$2:B9627,1))</f>
        <v/>
      </c>
      <c r="E4501" s="29" t="str">
        <f t="array" ref="E4501">IF(D4501="","",IF(D4501=1,0,INDEX(Calculation!Q$2:Q9627,D4501-1)))</f>
        <v/>
      </c>
      <c r="F4501" s="29" t="str">
        <f t="array" ref="F4501">IF($A4501="","",
  LET(
    r, $D4501,
    startD, INDEX(Calculation!B$2:B9627, r),
    endD,   INDEX(Calculation!C$2:C9627, r),
    asOf,   MIN($A4501,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02">
      <c r="A4502" s="28"/>
      <c r="B4502" s="29"/>
      <c r="C4502" s="29" t="str">
        <f t="shared" si="1"/>
        <v/>
      </c>
      <c r="D4502" s="6" t="str">
        <f>IF(A4502="","",MATCH(A4502,Calculation!B$2:B9627,1))</f>
        <v/>
      </c>
      <c r="E4502" s="29" t="str">
        <f t="array" ref="E4502">IF(D4502="","",IF(D4502=1,0,INDEX(Calculation!Q$2:Q9627,D4502-1)))</f>
        <v/>
      </c>
      <c r="F4502" s="29" t="str">
        <f t="array" ref="F4502">IF($A4502="","",
  LET(
    r, $D4502,
    startD, INDEX(Calculation!B$2:B9627, r),
    endD,   INDEX(Calculation!C$2:C9627, r),
    asOf,   MIN($A4502,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03">
      <c r="A4503" s="28"/>
      <c r="B4503" s="29"/>
      <c r="C4503" s="29" t="str">
        <f t="shared" si="1"/>
        <v/>
      </c>
      <c r="D4503" s="6" t="str">
        <f>IF(A4503="","",MATCH(A4503,Calculation!B$2:B9627,1))</f>
        <v/>
      </c>
      <c r="E4503" s="29" t="str">
        <f t="array" ref="E4503">IF(D4503="","",IF(D4503=1,0,INDEX(Calculation!Q$2:Q9627,D4503-1)))</f>
        <v/>
      </c>
      <c r="F4503" s="29" t="str">
        <f t="array" ref="F4503">IF($A4503="","",
  LET(
    r, $D4503,
    startD, INDEX(Calculation!B$2:B9627, r),
    endD,   INDEX(Calculation!C$2:C9627, r),
    asOf,   MIN($A4503,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04">
      <c r="A4504" s="28"/>
      <c r="B4504" s="29"/>
      <c r="C4504" s="29" t="str">
        <f t="shared" si="1"/>
        <v/>
      </c>
      <c r="D4504" s="6" t="str">
        <f>IF(A4504="","",MATCH(A4504,Calculation!B$2:B9627,1))</f>
        <v/>
      </c>
      <c r="E4504" s="29" t="str">
        <f t="array" ref="E4504">IF(D4504="","",IF(D4504=1,0,INDEX(Calculation!Q$2:Q9627,D4504-1)))</f>
        <v/>
      </c>
      <c r="F4504" s="29" t="str">
        <f t="array" ref="F4504">IF($A4504="","",
  LET(
    r, $D4504,
    startD, INDEX(Calculation!B$2:B9627, r),
    endD,   INDEX(Calculation!C$2:C9627, r),
    asOf,   MIN($A4504,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05">
      <c r="A4505" s="28"/>
      <c r="B4505" s="29"/>
      <c r="C4505" s="29" t="str">
        <f t="shared" si="1"/>
        <v/>
      </c>
      <c r="D4505" s="6" t="str">
        <f>IF(A4505="","",MATCH(A4505,Calculation!B$2:B9627,1))</f>
        <v/>
      </c>
      <c r="E4505" s="29" t="str">
        <f t="array" ref="E4505">IF(D4505="","",IF(D4505=1,0,INDEX(Calculation!Q$2:Q9627,D4505-1)))</f>
        <v/>
      </c>
      <c r="F4505" s="29" t="str">
        <f t="array" ref="F4505">IF($A4505="","",
  LET(
    r, $D4505,
    startD, INDEX(Calculation!B$2:B9627, r),
    endD,   INDEX(Calculation!C$2:C9627, r),
    asOf,   MIN($A4505,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06">
      <c r="A4506" s="28"/>
      <c r="B4506" s="29"/>
      <c r="C4506" s="29" t="str">
        <f t="shared" si="1"/>
        <v/>
      </c>
      <c r="D4506" s="6" t="str">
        <f>IF(A4506="","",MATCH(A4506,Calculation!B$2:B9627,1))</f>
        <v/>
      </c>
      <c r="E4506" s="29" t="str">
        <f t="array" ref="E4506">IF(D4506="","",IF(D4506=1,0,INDEX(Calculation!Q$2:Q9627,D4506-1)))</f>
        <v/>
      </c>
      <c r="F4506" s="29" t="str">
        <f t="array" ref="F4506">IF($A4506="","",
  LET(
    r, $D4506,
    startD, INDEX(Calculation!B$2:B9627, r),
    endD,   INDEX(Calculation!C$2:C9627, r),
    asOf,   MIN($A4506,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07">
      <c r="A4507" s="28"/>
      <c r="B4507" s="29"/>
      <c r="C4507" s="29" t="str">
        <f t="shared" si="1"/>
        <v/>
      </c>
      <c r="D4507" s="6" t="str">
        <f>IF(A4507="","",MATCH(A4507,Calculation!B$2:B9627,1))</f>
        <v/>
      </c>
      <c r="E4507" s="29" t="str">
        <f t="array" ref="E4507">IF(D4507="","",IF(D4507=1,0,INDEX(Calculation!Q$2:Q9627,D4507-1)))</f>
        <v/>
      </c>
      <c r="F4507" s="29" t="str">
        <f t="array" ref="F4507">IF($A4507="","",
  LET(
    r, $D4507,
    startD, INDEX(Calculation!B$2:B9627, r),
    endD,   INDEX(Calculation!C$2:C9627, r),
    asOf,   MIN($A4507,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08">
      <c r="A4508" s="28"/>
      <c r="B4508" s="29"/>
      <c r="C4508" s="29" t="str">
        <f t="shared" si="1"/>
        <v/>
      </c>
      <c r="D4508" s="6" t="str">
        <f>IF(A4508="","",MATCH(A4508,Calculation!B$2:B9627,1))</f>
        <v/>
      </c>
      <c r="E4508" s="29" t="str">
        <f t="array" ref="E4508">IF(D4508="","",IF(D4508=1,0,INDEX(Calculation!Q$2:Q9627,D4508-1)))</f>
        <v/>
      </c>
      <c r="F4508" s="29" t="str">
        <f t="array" ref="F4508">IF($A4508="","",
  LET(
    r, $D4508,
    startD, INDEX(Calculation!B$2:B9627, r),
    endD,   INDEX(Calculation!C$2:C9627, r),
    asOf,   MIN($A4508,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09">
      <c r="A4509" s="28"/>
      <c r="B4509" s="29"/>
      <c r="C4509" s="29" t="str">
        <f t="shared" si="1"/>
        <v/>
      </c>
      <c r="D4509" s="6" t="str">
        <f>IF(A4509="","",MATCH(A4509,Calculation!B$2:B9627,1))</f>
        <v/>
      </c>
      <c r="E4509" s="29" t="str">
        <f t="array" ref="E4509">IF(D4509="","",IF(D4509=1,0,INDEX(Calculation!Q$2:Q9627,D4509-1)))</f>
        <v/>
      </c>
      <c r="F4509" s="29" t="str">
        <f t="array" ref="F4509">IF($A4509="","",
  LET(
    r, $D4509,
    startD, INDEX(Calculation!B$2:B9627, r),
    endD,   INDEX(Calculation!C$2:C9627, r),
    asOf,   MIN($A4509,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10">
      <c r="A4510" s="28"/>
      <c r="B4510" s="29"/>
      <c r="C4510" s="29" t="str">
        <f t="shared" si="1"/>
        <v/>
      </c>
      <c r="D4510" s="6" t="str">
        <f>IF(A4510="","",MATCH(A4510,Calculation!B$2:B9627,1))</f>
        <v/>
      </c>
      <c r="E4510" s="29" t="str">
        <f t="array" ref="E4510">IF(D4510="","",IF(D4510=1,0,INDEX(Calculation!Q$2:Q9627,D4510-1)))</f>
        <v/>
      </c>
      <c r="F4510" s="29" t="str">
        <f t="array" ref="F4510">IF($A4510="","",
  LET(
    r, $D4510,
    startD, INDEX(Calculation!B$2:B9627, r),
    endD,   INDEX(Calculation!C$2:C9627, r),
    asOf,   MIN($A4510,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11">
      <c r="A4511" s="28"/>
      <c r="B4511" s="29"/>
      <c r="C4511" s="29" t="str">
        <f t="shared" si="1"/>
        <v/>
      </c>
      <c r="D4511" s="6" t="str">
        <f>IF(A4511="","",MATCH(A4511,Calculation!B$2:B9627,1))</f>
        <v/>
      </c>
      <c r="E4511" s="29" t="str">
        <f t="array" ref="E4511">IF(D4511="","",IF(D4511=1,0,INDEX(Calculation!Q$2:Q9627,D4511-1)))</f>
        <v/>
      </c>
      <c r="F4511" s="29" t="str">
        <f t="array" ref="F4511">IF($A4511="","",
  LET(
    r, $D4511,
    startD, INDEX(Calculation!B$2:B9627, r),
    endD,   INDEX(Calculation!C$2:C9627, r),
    asOf,   MIN($A4511,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12">
      <c r="A4512" s="28"/>
      <c r="B4512" s="29"/>
      <c r="C4512" s="29" t="str">
        <f t="shared" si="1"/>
        <v/>
      </c>
      <c r="D4512" s="6" t="str">
        <f>IF(A4512="","",MATCH(A4512,Calculation!B$2:B9627,1))</f>
        <v/>
      </c>
      <c r="E4512" s="29" t="str">
        <f t="array" ref="E4512">IF(D4512="","",IF(D4512=1,0,INDEX(Calculation!Q$2:Q9627,D4512-1)))</f>
        <v/>
      </c>
      <c r="F4512" s="29" t="str">
        <f t="array" ref="F4512">IF($A4512="","",
  LET(
    r, $D4512,
    startD, INDEX(Calculation!B$2:B9627, r),
    endD,   INDEX(Calculation!C$2:C9627, r),
    asOf,   MIN($A4512,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13">
      <c r="A4513" s="28"/>
      <c r="B4513" s="29"/>
      <c r="C4513" s="29" t="str">
        <f t="shared" si="1"/>
        <v/>
      </c>
      <c r="D4513" s="6" t="str">
        <f>IF(A4513="","",MATCH(A4513,Calculation!B$2:B9627,1))</f>
        <v/>
      </c>
      <c r="E4513" s="29" t="str">
        <f t="array" ref="E4513">IF(D4513="","",IF(D4513=1,0,INDEX(Calculation!Q$2:Q9627,D4513-1)))</f>
        <v/>
      </c>
      <c r="F4513" s="29" t="str">
        <f t="array" ref="F4513">IF($A4513="","",
  LET(
    r, $D4513,
    startD, INDEX(Calculation!B$2:B9627, r),
    endD,   INDEX(Calculation!C$2:C9627, r),
    asOf,   MIN($A4513,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14">
      <c r="A4514" s="28"/>
      <c r="B4514" s="29"/>
      <c r="C4514" s="29" t="str">
        <f t="shared" si="1"/>
        <v/>
      </c>
      <c r="D4514" s="6" t="str">
        <f>IF(A4514="","",MATCH(A4514,Calculation!B$2:B9627,1))</f>
        <v/>
      </c>
      <c r="E4514" s="29" t="str">
        <f t="array" ref="E4514">IF(D4514="","",IF(D4514=1,0,INDEX(Calculation!Q$2:Q9627,D4514-1)))</f>
        <v/>
      </c>
      <c r="F4514" s="29" t="str">
        <f t="array" ref="F4514">IF($A4514="","",
  LET(
    r, $D4514,
    startD, INDEX(Calculation!B$2:B9627, r),
    endD,   INDEX(Calculation!C$2:C9627, r),
    asOf,   MIN($A4514,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15">
      <c r="A4515" s="28"/>
      <c r="B4515" s="29"/>
      <c r="C4515" s="29" t="str">
        <f t="shared" si="1"/>
        <v/>
      </c>
      <c r="D4515" s="6" t="str">
        <f>IF(A4515="","",MATCH(A4515,Calculation!B$2:B9627,1))</f>
        <v/>
      </c>
      <c r="E4515" s="29" t="str">
        <f t="array" ref="E4515">IF(D4515="","",IF(D4515=1,0,INDEX(Calculation!Q$2:Q9627,D4515-1)))</f>
        <v/>
      </c>
      <c r="F4515" s="29" t="str">
        <f t="array" ref="F4515">IF($A4515="","",
  LET(
    r, $D4515,
    startD, INDEX(Calculation!B$2:B9627, r),
    endD,   INDEX(Calculation!C$2:C9627, r),
    asOf,   MIN($A4515,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16">
      <c r="A4516" s="28"/>
      <c r="B4516" s="29"/>
      <c r="C4516" s="29" t="str">
        <f t="shared" si="1"/>
        <v/>
      </c>
      <c r="D4516" s="6" t="str">
        <f>IF(A4516="","",MATCH(A4516,Calculation!B$2:B9627,1))</f>
        <v/>
      </c>
      <c r="E4516" s="29" t="str">
        <f t="array" ref="E4516">IF(D4516="","",IF(D4516=1,0,INDEX(Calculation!Q$2:Q9627,D4516-1)))</f>
        <v/>
      </c>
      <c r="F4516" s="29" t="str">
        <f t="array" ref="F4516">IF($A4516="","",
  LET(
    r, $D4516,
    startD, INDEX(Calculation!B$2:B9627, r),
    endD,   INDEX(Calculation!C$2:C9627, r),
    asOf,   MIN($A4516,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17">
      <c r="A4517" s="28"/>
      <c r="B4517" s="29"/>
      <c r="C4517" s="29" t="str">
        <f t="shared" si="1"/>
        <v/>
      </c>
      <c r="D4517" s="6" t="str">
        <f>IF(A4517="","",MATCH(A4517,Calculation!B$2:B9627,1))</f>
        <v/>
      </c>
      <c r="E4517" s="29" t="str">
        <f t="array" ref="E4517">IF(D4517="","",IF(D4517=1,0,INDEX(Calculation!Q$2:Q9627,D4517-1)))</f>
        <v/>
      </c>
      <c r="F4517" s="29" t="str">
        <f t="array" ref="F4517">IF($A4517="","",
  LET(
    r, $D4517,
    startD, INDEX(Calculation!B$2:B9627, r),
    endD,   INDEX(Calculation!C$2:C9627, r),
    asOf,   MIN($A4517,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18">
      <c r="A4518" s="28"/>
      <c r="B4518" s="29"/>
      <c r="C4518" s="29" t="str">
        <f t="shared" si="1"/>
        <v/>
      </c>
      <c r="D4518" s="6" t="str">
        <f>IF(A4518="","",MATCH(A4518,Calculation!B$2:B9627,1))</f>
        <v/>
      </c>
      <c r="E4518" s="29" t="str">
        <f t="array" ref="E4518">IF(D4518="","",IF(D4518=1,0,INDEX(Calculation!Q$2:Q9627,D4518-1)))</f>
        <v/>
      </c>
      <c r="F4518" s="29" t="str">
        <f t="array" ref="F4518">IF($A4518="","",
  LET(
    r, $D4518,
    startD, INDEX(Calculation!B$2:B9627, r),
    endD,   INDEX(Calculation!C$2:C9627, r),
    asOf,   MIN($A4518,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19">
      <c r="A4519" s="28"/>
      <c r="B4519" s="29"/>
      <c r="C4519" s="29" t="str">
        <f t="shared" si="1"/>
        <v/>
      </c>
      <c r="D4519" s="6" t="str">
        <f>IF(A4519="","",MATCH(A4519,Calculation!B$2:B9627,1))</f>
        <v/>
      </c>
      <c r="E4519" s="29" t="str">
        <f t="array" ref="E4519">IF(D4519="","",IF(D4519=1,0,INDEX(Calculation!Q$2:Q9627,D4519-1)))</f>
        <v/>
      </c>
      <c r="F4519" s="29" t="str">
        <f t="array" ref="F4519">IF($A4519="","",
  LET(
    r, $D4519,
    startD, INDEX(Calculation!B$2:B9627, r),
    endD,   INDEX(Calculation!C$2:C9627, r),
    asOf,   MIN($A4519,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20">
      <c r="A4520" s="28"/>
      <c r="B4520" s="29"/>
      <c r="C4520" s="29" t="str">
        <f t="shared" si="1"/>
        <v/>
      </c>
      <c r="D4520" s="6" t="str">
        <f>IF(A4520="","",MATCH(A4520,Calculation!B$2:B9627,1))</f>
        <v/>
      </c>
      <c r="E4520" s="29" t="str">
        <f t="array" ref="E4520">IF(D4520="","",IF(D4520=1,0,INDEX(Calculation!Q$2:Q9627,D4520-1)))</f>
        <v/>
      </c>
      <c r="F4520" s="29" t="str">
        <f t="array" ref="F4520">IF($A4520="","",
  LET(
    r, $D4520,
    startD, INDEX(Calculation!B$2:B9627, r),
    endD,   INDEX(Calculation!C$2:C9627, r),
    asOf,   MIN($A4520,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21">
      <c r="A4521" s="28"/>
      <c r="B4521" s="29"/>
      <c r="C4521" s="29" t="str">
        <f t="shared" si="1"/>
        <v/>
      </c>
      <c r="D4521" s="6" t="str">
        <f>IF(A4521="","",MATCH(A4521,Calculation!B$2:B9627,1))</f>
        <v/>
      </c>
      <c r="E4521" s="29" t="str">
        <f t="array" ref="E4521">IF(D4521="","",IF(D4521=1,0,INDEX(Calculation!Q$2:Q9627,D4521-1)))</f>
        <v/>
      </c>
      <c r="F4521" s="29" t="str">
        <f t="array" ref="F4521">IF($A4521="","",
  LET(
    r, $D4521,
    startD, INDEX(Calculation!B$2:B9627, r),
    endD,   INDEX(Calculation!C$2:C9627, r),
    asOf,   MIN($A4521,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22">
      <c r="A4522" s="28"/>
      <c r="B4522" s="29"/>
      <c r="C4522" s="29" t="str">
        <f t="shared" si="1"/>
        <v/>
      </c>
      <c r="D4522" s="6" t="str">
        <f>IF(A4522="","",MATCH(A4522,Calculation!B$2:B9627,1))</f>
        <v/>
      </c>
      <c r="E4522" s="29" t="str">
        <f t="array" ref="E4522">IF(D4522="","",IF(D4522=1,0,INDEX(Calculation!Q$2:Q9627,D4522-1)))</f>
        <v/>
      </c>
      <c r="F4522" s="29" t="str">
        <f t="array" ref="F4522">IF($A4522="","",
  LET(
    r, $D4522,
    startD, INDEX(Calculation!B$2:B9627, r),
    endD,   INDEX(Calculation!C$2:C9627, r),
    asOf,   MIN($A4522,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23">
      <c r="A4523" s="28"/>
      <c r="B4523" s="29"/>
      <c r="C4523" s="29" t="str">
        <f t="shared" si="1"/>
        <v/>
      </c>
      <c r="D4523" s="6" t="str">
        <f>IF(A4523="","",MATCH(A4523,Calculation!B$2:B9627,1))</f>
        <v/>
      </c>
      <c r="E4523" s="29" t="str">
        <f t="array" ref="E4523">IF(D4523="","",IF(D4523=1,0,INDEX(Calculation!Q$2:Q9627,D4523-1)))</f>
        <v/>
      </c>
      <c r="F4523" s="29" t="str">
        <f t="array" ref="F4523">IF($A4523="","",
  LET(
    r, $D4523,
    startD, INDEX(Calculation!B$2:B9627, r),
    endD,   INDEX(Calculation!C$2:C9627, r),
    asOf,   MIN($A4523,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24">
      <c r="A4524" s="28"/>
      <c r="B4524" s="29"/>
      <c r="C4524" s="29" t="str">
        <f t="shared" si="1"/>
        <v/>
      </c>
      <c r="D4524" s="6" t="str">
        <f>IF(A4524="","",MATCH(A4524,Calculation!B$2:B9627,1))</f>
        <v/>
      </c>
      <c r="E4524" s="29" t="str">
        <f t="array" ref="E4524">IF(D4524="","",IF(D4524=1,0,INDEX(Calculation!Q$2:Q9627,D4524-1)))</f>
        <v/>
      </c>
      <c r="F4524" s="29" t="str">
        <f t="array" ref="F4524">IF($A4524="","",
  LET(
    r, $D4524,
    startD, INDEX(Calculation!B$2:B9627, r),
    endD,   INDEX(Calculation!C$2:C9627, r),
    asOf,   MIN($A4524,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25">
      <c r="A4525" s="28"/>
      <c r="B4525" s="29"/>
      <c r="C4525" s="29" t="str">
        <f t="shared" si="1"/>
        <v/>
      </c>
      <c r="D4525" s="6" t="str">
        <f>IF(A4525="","",MATCH(A4525,Calculation!B$2:B9627,1))</f>
        <v/>
      </c>
      <c r="E4525" s="29" t="str">
        <f t="array" ref="E4525">IF(D4525="","",IF(D4525=1,0,INDEX(Calculation!Q$2:Q9627,D4525-1)))</f>
        <v/>
      </c>
      <c r="F4525" s="29" t="str">
        <f t="array" ref="F4525">IF($A4525="","",
  LET(
    r, $D4525,
    startD, INDEX(Calculation!B$2:B9627, r),
    endD,   INDEX(Calculation!C$2:C9627, r),
    asOf,   MIN($A4525,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26">
      <c r="A4526" s="28"/>
      <c r="B4526" s="29"/>
      <c r="C4526" s="29" t="str">
        <f t="shared" si="1"/>
        <v/>
      </c>
      <c r="D4526" s="6" t="str">
        <f>IF(A4526="","",MATCH(A4526,Calculation!B$2:B9627,1))</f>
        <v/>
      </c>
      <c r="E4526" s="29" t="str">
        <f t="array" ref="E4526">IF(D4526="","",IF(D4526=1,0,INDEX(Calculation!Q$2:Q9627,D4526-1)))</f>
        <v/>
      </c>
      <c r="F4526" s="29" t="str">
        <f t="array" ref="F4526">IF($A4526="","",
  LET(
    r, $D4526,
    startD, INDEX(Calculation!B$2:B9627, r),
    endD,   INDEX(Calculation!C$2:C9627, r),
    asOf,   MIN($A4526,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27">
      <c r="A4527" s="28"/>
      <c r="B4527" s="29"/>
      <c r="C4527" s="29" t="str">
        <f t="shared" si="1"/>
        <v/>
      </c>
      <c r="D4527" s="6" t="str">
        <f>IF(A4527="","",MATCH(A4527,Calculation!B$2:B9627,1))</f>
        <v/>
      </c>
      <c r="E4527" s="29" t="str">
        <f t="array" ref="E4527">IF(D4527="","",IF(D4527=1,0,INDEX(Calculation!Q$2:Q9627,D4527-1)))</f>
        <v/>
      </c>
      <c r="F4527" s="29" t="str">
        <f t="array" ref="F4527">IF($A4527="","",
  LET(
    r, $D4527,
    startD, INDEX(Calculation!B$2:B9627, r),
    endD,   INDEX(Calculation!C$2:C9627, r),
    asOf,   MIN($A4527,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28">
      <c r="A4528" s="28"/>
      <c r="B4528" s="29"/>
      <c r="C4528" s="29" t="str">
        <f t="shared" si="1"/>
        <v/>
      </c>
      <c r="D4528" s="6" t="str">
        <f>IF(A4528="","",MATCH(A4528,Calculation!B$2:B9627,1))</f>
        <v/>
      </c>
      <c r="E4528" s="29" t="str">
        <f t="array" ref="E4528">IF(D4528="","",IF(D4528=1,0,INDEX(Calculation!Q$2:Q9627,D4528-1)))</f>
        <v/>
      </c>
      <c r="F4528" s="29" t="str">
        <f t="array" ref="F4528">IF($A4528="","",
  LET(
    r, $D4528,
    startD, INDEX(Calculation!B$2:B9627, r),
    endD,   INDEX(Calculation!C$2:C9627, r),
    asOf,   MIN($A4528,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29">
      <c r="A4529" s="28"/>
      <c r="B4529" s="29"/>
      <c r="C4529" s="29" t="str">
        <f t="shared" si="1"/>
        <v/>
      </c>
      <c r="D4529" s="6" t="str">
        <f>IF(A4529="","",MATCH(A4529,Calculation!B$2:B9627,1))</f>
        <v/>
      </c>
      <c r="E4529" s="29" t="str">
        <f t="array" ref="E4529">IF(D4529="","",IF(D4529=1,0,INDEX(Calculation!Q$2:Q9627,D4529-1)))</f>
        <v/>
      </c>
      <c r="F4529" s="29" t="str">
        <f t="array" ref="F4529">IF($A4529="","",
  LET(
    r, $D4529,
    startD, INDEX(Calculation!B$2:B9627, r),
    endD,   INDEX(Calculation!C$2:C9627, r),
    asOf,   MIN($A4529,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30">
      <c r="A4530" s="28"/>
      <c r="B4530" s="29"/>
      <c r="C4530" s="29" t="str">
        <f t="shared" si="1"/>
        <v/>
      </c>
      <c r="D4530" s="6" t="str">
        <f>IF(A4530="","",MATCH(A4530,Calculation!B$2:B9627,1))</f>
        <v/>
      </c>
      <c r="E4530" s="29" t="str">
        <f t="array" ref="E4530">IF(D4530="","",IF(D4530=1,0,INDEX(Calculation!Q$2:Q9627,D4530-1)))</f>
        <v/>
      </c>
      <c r="F4530" s="29" t="str">
        <f t="array" ref="F4530">IF($A4530="","",
  LET(
    r, $D4530,
    startD, INDEX(Calculation!B$2:B9627, r),
    endD,   INDEX(Calculation!C$2:C9627, r),
    asOf,   MIN($A4530,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31">
      <c r="A4531" s="28"/>
      <c r="B4531" s="29"/>
      <c r="C4531" s="29" t="str">
        <f t="shared" si="1"/>
        <v/>
      </c>
      <c r="D4531" s="6" t="str">
        <f>IF(A4531="","",MATCH(A4531,Calculation!B$2:B9627,1))</f>
        <v/>
      </c>
      <c r="E4531" s="29" t="str">
        <f t="array" ref="E4531">IF(D4531="","",IF(D4531=1,0,INDEX(Calculation!Q$2:Q9627,D4531-1)))</f>
        <v/>
      </c>
      <c r="F4531" s="29" t="str">
        <f t="array" ref="F4531">IF($A4531="","",
  LET(
    r, $D4531,
    startD, INDEX(Calculation!B$2:B9627, r),
    endD,   INDEX(Calculation!C$2:C9627, r),
    asOf,   MIN($A4531,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32">
      <c r="A4532" s="28"/>
      <c r="B4532" s="29"/>
      <c r="C4532" s="29" t="str">
        <f t="shared" si="1"/>
        <v/>
      </c>
      <c r="D4532" s="6" t="str">
        <f>IF(A4532="","",MATCH(A4532,Calculation!B$2:B9627,1))</f>
        <v/>
      </c>
      <c r="E4532" s="29" t="str">
        <f t="array" ref="E4532">IF(D4532="","",IF(D4532=1,0,INDEX(Calculation!Q$2:Q9627,D4532-1)))</f>
        <v/>
      </c>
      <c r="F4532" s="29" t="str">
        <f t="array" ref="F4532">IF($A4532="","",
  LET(
    r, $D4532,
    startD, INDEX(Calculation!B$2:B9627, r),
    endD,   INDEX(Calculation!C$2:C9627, r),
    asOf,   MIN($A4532,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33">
      <c r="A4533" s="28"/>
      <c r="B4533" s="29"/>
      <c r="C4533" s="29" t="str">
        <f t="shared" si="1"/>
        <v/>
      </c>
      <c r="D4533" s="6" t="str">
        <f>IF(A4533="","",MATCH(A4533,Calculation!B$2:B9627,1))</f>
        <v/>
      </c>
      <c r="E4533" s="29" t="str">
        <f t="array" ref="E4533">IF(D4533="","",IF(D4533=1,0,INDEX(Calculation!Q$2:Q9627,D4533-1)))</f>
        <v/>
      </c>
      <c r="F4533" s="29" t="str">
        <f t="array" ref="F4533">IF($A4533="","",
  LET(
    r, $D4533,
    startD, INDEX(Calculation!B$2:B9627, r),
    endD,   INDEX(Calculation!C$2:C9627, r),
    asOf,   MIN($A4533,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34">
      <c r="A4534" s="28"/>
      <c r="B4534" s="29"/>
      <c r="C4534" s="29" t="str">
        <f t="shared" si="1"/>
        <v/>
      </c>
      <c r="D4534" s="6" t="str">
        <f>IF(A4534="","",MATCH(A4534,Calculation!B$2:B9627,1))</f>
        <v/>
      </c>
      <c r="E4534" s="29" t="str">
        <f t="array" ref="E4534">IF(D4534="","",IF(D4534=1,0,INDEX(Calculation!Q$2:Q9627,D4534-1)))</f>
        <v/>
      </c>
      <c r="F4534" s="29" t="str">
        <f t="array" ref="F4534">IF($A4534="","",
  LET(
    r, $D4534,
    startD, INDEX(Calculation!B$2:B9627, r),
    endD,   INDEX(Calculation!C$2:C9627, r),
    asOf,   MIN($A4534,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35">
      <c r="A4535" s="28"/>
      <c r="B4535" s="29"/>
      <c r="C4535" s="29" t="str">
        <f t="shared" si="1"/>
        <v/>
      </c>
      <c r="D4535" s="6" t="str">
        <f>IF(A4535="","",MATCH(A4535,Calculation!B$2:B9627,1))</f>
        <v/>
      </c>
      <c r="E4535" s="29" t="str">
        <f t="array" ref="E4535">IF(D4535="","",IF(D4535=1,0,INDEX(Calculation!Q$2:Q9627,D4535-1)))</f>
        <v/>
      </c>
      <c r="F4535" s="29" t="str">
        <f t="array" ref="F4535">IF($A4535="","",
  LET(
    r, $D4535,
    startD, INDEX(Calculation!B$2:B9627, r),
    endD,   INDEX(Calculation!C$2:C9627, r),
    asOf,   MIN($A4535,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36">
      <c r="A4536" s="28"/>
      <c r="B4536" s="29"/>
      <c r="C4536" s="29" t="str">
        <f t="shared" si="1"/>
        <v/>
      </c>
      <c r="D4536" s="6" t="str">
        <f>IF(A4536="","",MATCH(A4536,Calculation!B$2:B9627,1))</f>
        <v/>
      </c>
      <c r="E4536" s="29" t="str">
        <f t="array" ref="E4536">IF(D4536="","",IF(D4536=1,0,INDEX(Calculation!Q$2:Q9627,D4536-1)))</f>
        <v/>
      </c>
      <c r="F4536" s="29" t="str">
        <f t="array" ref="F4536">IF($A4536="","",
  LET(
    r, $D4536,
    startD, INDEX(Calculation!B$2:B9627, r),
    endD,   INDEX(Calculation!C$2:C9627, r),
    asOf,   MIN($A4536,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37">
      <c r="A4537" s="28"/>
      <c r="B4537" s="29"/>
      <c r="C4537" s="29" t="str">
        <f t="shared" si="1"/>
        <v/>
      </c>
      <c r="D4537" s="6" t="str">
        <f>IF(A4537="","",MATCH(A4537,Calculation!B$2:B9627,1))</f>
        <v/>
      </c>
      <c r="E4537" s="29" t="str">
        <f t="array" ref="E4537">IF(D4537="","",IF(D4537=1,0,INDEX(Calculation!Q$2:Q9627,D4537-1)))</f>
        <v/>
      </c>
      <c r="F4537" s="29" t="str">
        <f t="array" ref="F4537">IF($A4537="","",
  LET(
    r, $D4537,
    startD, INDEX(Calculation!B$2:B9627, r),
    endD,   INDEX(Calculation!C$2:C9627, r),
    asOf,   MIN($A4537,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38">
      <c r="A4538" s="28"/>
      <c r="B4538" s="29"/>
      <c r="C4538" s="29" t="str">
        <f t="shared" si="1"/>
        <v/>
      </c>
      <c r="D4538" s="6" t="str">
        <f>IF(A4538="","",MATCH(A4538,Calculation!B$2:B9627,1))</f>
        <v/>
      </c>
      <c r="E4538" s="29" t="str">
        <f t="array" ref="E4538">IF(D4538="","",IF(D4538=1,0,INDEX(Calculation!Q$2:Q9627,D4538-1)))</f>
        <v/>
      </c>
      <c r="F4538" s="29" t="str">
        <f t="array" ref="F4538">IF($A4538="","",
  LET(
    r, $D4538,
    startD, INDEX(Calculation!B$2:B9627, r),
    endD,   INDEX(Calculation!C$2:C9627, r),
    asOf,   MIN($A4538,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39">
      <c r="A4539" s="28"/>
      <c r="B4539" s="29"/>
      <c r="C4539" s="29" t="str">
        <f t="shared" si="1"/>
        <v/>
      </c>
      <c r="D4539" s="6" t="str">
        <f>IF(A4539="","",MATCH(A4539,Calculation!B$2:B9627,1))</f>
        <v/>
      </c>
      <c r="E4539" s="29" t="str">
        <f t="array" ref="E4539">IF(D4539="","",IF(D4539=1,0,INDEX(Calculation!Q$2:Q9627,D4539-1)))</f>
        <v/>
      </c>
      <c r="F4539" s="29" t="str">
        <f t="array" ref="F4539">IF($A4539="","",
  LET(
    r, $D4539,
    startD, INDEX(Calculation!B$2:B9627, r),
    endD,   INDEX(Calculation!C$2:C9627, r),
    asOf,   MIN($A4539,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40">
      <c r="A4540" s="28"/>
      <c r="B4540" s="29"/>
      <c r="C4540" s="29" t="str">
        <f t="shared" si="1"/>
        <v/>
      </c>
      <c r="D4540" s="6" t="str">
        <f>IF(A4540="","",MATCH(A4540,Calculation!B$2:B9627,1))</f>
        <v/>
      </c>
      <c r="E4540" s="29" t="str">
        <f t="array" ref="E4540">IF(D4540="","",IF(D4540=1,0,INDEX(Calculation!Q$2:Q9627,D4540-1)))</f>
        <v/>
      </c>
      <c r="F4540" s="29" t="str">
        <f t="array" ref="F4540">IF($A4540="","",
  LET(
    r, $D4540,
    startD, INDEX(Calculation!B$2:B9627, r),
    endD,   INDEX(Calculation!C$2:C9627, r),
    asOf,   MIN($A4540,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41">
      <c r="A4541" s="28"/>
      <c r="B4541" s="29"/>
      <c r="C4541" s="29" t="str">
        <f t="shared" si="1"/>
        <v/>
      </c>
      <c r="D4541" s="6" t="str">
        <f>IF(A4541="","",MATCH(A4541,Calculation!B$2:B9627,1))</f>
        <v/>
      </c>
      <c r="E4541" s="29" t="str">
        <f t="array" ref="E4541">IF(D4541="","",IF(D4541=1,0,INDEX(Calculation!Q$2:Q9627,D4541-1)))</f>
        <v/>
      </c>
      <c r="F4541" s="29" t="str">
        <f t="array" ref="F4541">IF($A4541="","",
  LET(
    r, $D4541,
    startD, INDEX(Calculation!B$2:B9627, r),
    endD,   INDEX(Calculation!C$2:C9627, r),
    asOf,   MIN($A4541,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42">
      <c r="A4542" s="28"/>
      <c r="B4542" s="29"/>
      <c r="C4542" s="29" t="str">
        <f t="shared" si="1"/>
        <v/>
      </c>
      <c r="D4542" s="6" t="str">
        <f>IF(A4542="","",MATCH(A4542,Calculation!B$2:B9627,1))</f>
        <v/>
      </c>
      <c r="E4542" s="29" t="str">
        <f t="array" ref="E4542">IF(D4542="","",IF(D4542=1,0,INDEX(Calculation!Q$2:Q9627,D4542-1)))</f>
        <v/>
      </c>
      <c r="F4542" s="29" t="str">
        <f t="array" ref="F4542">IF($A4542="","",
  LET(
    r, $D4542,
    startD, INDEX(Calculation!B$2:B9627, r),
    endD,   INDEX(Calculation!C$2:C9627, r),
    asOf,   MIN($A4542,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43">
      <c r="A4543" s="28"/>
      <c r="B4543" s="29"/>
      <c r="C4543" s="29" t="str">
        <f t="shared" si="1"/>
        <v/>
      </c>
      <c r="D4543" s="6" t="str">
        <f>IF(A4543="","",MATCH(A4543,Calculation!B$2:B9627,1))</f>
        <v/>
      </c>
      <c r="E4543" s="29" t="str">
        <f t="array" ref="E4543">IF(D4543="","",IF(D4543=1,0,INDEX(Calculation!Q$2:Q9627,D4543-1)))</f>
        <v/>
      </c>
      <c r="F4543" s="29" t="str">
        <f t="array" ref="F4543">IF($A4543="","",
  LET(
    r, $D4543,
    startD, INDEX(Calculation!B$2:B9627, r),
    endD,   INDEX(Calculation!C$2:C9627, r),
    asOf,   MIN($A4543,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44">
      <c r="A4544" s="28"/>
      <c r="B4544" s="29"/>
      <c r="C4544" s="29" t="str">
        <f t="shared" si="1"/>
        <v/>
      </c>
      <c r="D4544" s="6" t="str">
        <f>IF(A4544="","",MATCH(A4544,Calculation!B$2:B9627,1))</f>
        <v/>
      </c>
      <c r="E4544" s="29" t="str">
        <f t="array" ref="E4544">IF(D4544="","",IF(D4544=1,0,INDEX(Calculation!Q$2:Q9627,D4544-1)))</f>
        <v/>
      </c>
      <c r="F4544" s="29" t="str">
        <f t="array" ref="F4544">IF($A4544="","",
  LET(
    r, $D4544,
    startD, INDEX(Calculation!B$2:B9627, r),
    endD,   INDEX(Calculation!C$2:C9627, r),
    asOf,   MIN($A4544,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45">
      <c r="A4545" s="28"/>
      <c r="B4545" s="29"/>
      <c r="C4545" s="29" t="str">
        <f t="shared" si="1"/>
        <v/>
      </c>
      <c r="D4545" s="6" t="str">
        <f>IF(A4545="","",MATCH(A4545,Calculation!B$2:B9627,1))</f>
        <v/>
      </c>
      <c r="E4545" s="29" t="str">
        <f t="array" ref="E4545">IF(D4545="","",IF(D4545=1,0,INDEX(Calculation!Q$2:Q9627,D4545-1)))</f>
        <v/>
      </c>
      <c r="F4545" s="29" t="str">
        <f t="array" ref="F4545">IF($A4545="","",
  LET(
    r, $D4545,
    startD, INDEX(Calculation!B$2:B9627, r),
    endD,   INDEX(Calculation!C$2:C9627, r),
    asOf,   MIN($A4545,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46">
      <c r="A4546" s="28"/>
      <c r="B4546" s="29"/>
      <c r="C4546" s="29" t="str">
        <f t="shared" si="1"/>
        <v/>
      </c>
      <c r="D4546" s="6" t="str">
        <f>IF(A4546="","",MATCH(A4546,Calculation!B$2:B9627,1))</f>
        <v/>
      </c>
      <c r="E4546" s="29" t="str">
        <f t="array" ref="E4546">IF(D4546="","",IF(D4546=1,0,INDEX(Calculation!Q$2:Q9627,D4546-1)))</f>
        <v/>
      </c>
      <c r="F4546" s="29" t="str">
        <f t="array" ref="F4546">IF($A4546="","",
  LET(
    r, $D4546,
    startD, INDEX(Calculation!B$2:B9627, r),
    endD,   INDEX(Calculation!C$2:C9627, r),
    asOf,   MIN($A4546,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47">
      <c r="A4547" s="28"/>
      <c r="B4547" s="29"/>
      <c r="C4547" s="29" t="str">
        <f t="shared" si="1"/>
        <v/>
      </c>
      <c r="D4547" s="6" t="str">
        <f>IF(A4547="","",MATCH(A4547,Calculation!B$2:B9627,1))</f>
        <v/>
      </c>
      <c r="E4547" s="29" t="str">
        <f t="array" ref="E4547">IF(D4547="","",IF(D4547=1,0,INDEX(Calculation!Q$2:Q9627,D4547-1)))</f>
        <v/>
      </c>
      <c r="F4547" s="29" t="str">
        <f t="array" ref="F4547">IF($A4547="","",
  LET(
    r, $D4547,
    startD, INDEX(Calculation!B$2:B9627, r),
    endD,   INDEX(Calculation!C$2:C9627, r),
    asOf,   MIN($A4547,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48">
      <c r="A4548" s="28"/>
      <c r="B4548" s="29"/>
      <c r="C4548" s="29" t="str">
        <f t="shared" si="1"/>
        <v/>
      </c>
      <c r="D4548" s="6" t="str">
        <f>IF(A4548="","",MATCH(A4548,Calculation!B$2:B9627,1))</f>
        <v/>
      </c>
      <c r="E4548" s="29" t="str">
        <f t="array" ref="E4548">IF(D4548="","",IF(D4548=1,0,INDEX(Calculation!Q$2:Q9627,D4548-1)))</f>
        <v/>
      </c>
      <c r="F4548" s="29" t="str">
        <f t="array" ref="F4548">IF($A4548="","",
  LET(
    r, $D4548,
    startD, INDEX(Calculation!B$2:B9627, r),
    endD,   INDEX(Calculation!C$2:C9627, r),
    asOf,   MIN($A4548,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49">
      <c r="A4549" s="28"/>
      <c r="B4549" s="29"/>
      <c r="C4549" s="29" t="str">
        <f t="shared" si="1"/>
        <v/>
      </c>
      <c r="D4549" s="6" t="str">
        <f>IF(A4549="","",MATCH(A4549,Calculation!B$2:B9627,1))</f>
        <v/>
      </c>
      <c r="E4549" s="29" t="str">
        <f t="array" ref="E4549">IF(D4549="","",IF(D4549=1,0,INDEX(Calculation!Q$2:Q9627,D4549-1)))</f>
        <v/>
      </c>
      <c r="F4549" s="29" t="str">
        <f t="array" ref="F4549">IF($A4549="","",
  LET(
    r, $D4549,
    startD, INDEX(Calculation!B$2:B9627, r),
    endD,   INDEX(Calculation!C$2:C9627, r),
    asOf,   MIN($A4549,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50">
      <c r="A4550" s="28"/>
      <c r="B4550" s="29"/>
      <c r="C4550" s="29" t="str">
        <f t="shared" si="1"/>
        <v/>
      </c>
      <c r="D4550" s="6" t="str">
        <f>IF(A4550="","",MATCH(A4550,Calculation!B$2:B9627,1))</f>
        <v/>
      </c>
      <c r="E4550" s="29" t="str">
        <f t="array" ref="E4550">IF(D4550="","",IF(D4550=1,0,INDEX(Calculation!Q$2:Q9627,D4550-1)))</f>
        <v/>
      </c>
      <c r="F4550" s="29" t="str">
        <f t="array" ref="F4550">IF($A4550="","",
  LET(
    r, $D4550,
    startD, INDEX(Calculation!B$2:B9627, r),
    endD,   INDEX(Calculation!C$2:C9627, r),
    asOf,   MIN($A4550,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51">
      <c r="A4551" s="28"/>
      <c r="B4551" s="29"/>
      <c r="C4551" s="29" t="str">
        <f t="shared" si="1"/>
        <v/>
      </c>
      <c r="D4551" s="6" t="str">
        <f>IF(A4551="","",MATCH(A4551,Calculation!B$2:B9627,1))</f>
        <v/>
      </c>
      <c r="E4551" s="29" t="str">
        <f t="array" ref="E4551">IF(D4551="","",IF(D4551=1,0,INDEX(Calculation!Q$2:Q9627,D4551-1)))</f>
        <v/>
      </c>
      <c r="F4551" s="29" t="str">
        <f t="array" ref="F4551">IF($A4551="","",
  LET(
    r, $D4551,
    startD, INDEX(Calculation!B$2:B9627, r),
    endD,   INDEX(Calculation!C$2:C9627, r),
    asOf,   MIN($A4551,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52">
      <c r="A4552" s="28"/>
      <c r="B4552" s="29"/>
      <c r="C4552" s="29" t="str">
        <f t="shared" si="1"/>
        <v/>
      </c>
      <c r="D4552" s="6" t="str">
        <f>IF(A4552="","",MATCH(A4552,Calculation!B$2:B9627,1))</f>
        <v/>
      </c>
      <c r="E4552" s="29" t="str">
        <f t="array" ref="E4552">IF(D4552="","",IF(D4552=1,0,INDEX(Calculation!Q$2:Q9627,D4552-1)))</f>
        <v/>
      </c>
      <c r="F4552" s="29" t="str">
        <f t="array" ref="F4552">IF($A4552="","",
  LET(
    r, $D4552,
    startD, INDEX(Calculation!B$2:B9627, r),
    endD,   INDEX(Calculation!C$2:C9627, r),
    asOf,   MIN($A4552,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53">
      <c r="A4553" s="28"/>
      <c r="B4553" s="29"/>
      <c r="C4553" s="29" t="str">
        <f t="shared" si="1"/>
        <v/>
      </c>
      <c r="D4553" s="6" t="str">
        <f>IF(A4553="","",MATCH(A4553,Calculation!B$2:B9627,1))</f>
        <v/>
      </c>
      <c r="E4553" s="29" t="str">
        <f t="array" ref="E4553">IF(D4553="","",IF(D4553=1,0,INDEX(Calculation!Q$2:Q9627,D4553-1)))</f>
        <v/>
      </c>
      <c r="F4553" s="29" t="str">
        <f t="array" ref="F4553">IF($A4553="","",
  LET(
    r, $D4553,
    startD, INDEX(Calculation!B$2:B9627, r),
    endD,   INDEX(Calculation!C$2:C9627, r),
    asOf,   MIN($A4553,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54">
      <c r="A4554" s="28"/>
      <c r="B4554" s="29"/>
      <c r="C4554" s="29" t="str">
        <f t="shared" si="1"/>
        <v/>
      </c>
      <c r="D4554" s="6" t="str">
        <f>IF(A4554="","",MATCH(A4554,Calculation!B$2:B9627,1))</f>
        <v/>
      </c>
      <c r="E4554" s="29" t="str">
        <f t="array" ref="E4554">IF(D4554="","",IF(D4554=1,0,INDEX(Calculation!Q$2:Q9627,D4554-1)))</f>
        <v/>
      </c>
      <c r="F4554" s="29" t="str">
        <f t="array" ref="F4554">IF($A4554="","",
  LET(
    r, $D4554,
    startD, INDEX(Calculation!B$2:B9627, r),
    endD,   INDEX(Calculation!C$2:C9627, r),
    asOf,   MIN($A4554,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55">
      <c r="A4555" s="28"/>
      <c r="B4555" s="29"/>
      <c r="C4555" s="29" t="str">
        <f t="shared" si="1"/>
        <v/>
      </c>
      <c r="D4555" s="6" t="str">
        <f>IF(A4555="","",MATCH(A4555,Calculation!B$2:B9627,1))</f>
        <v/>
      </c>
      <c r="E4555" s="29" t="str">
        <f t="array" ref="E4555">IF(D4555="","",IF(D4555=1,0,INDEX(Calculation!Q$2:Q9627,D4555-1)))</f>
        <v/>
      </c>
      <c r="F4555" s="29" t="str">
        <f t="array" ref="F4555">IF($A4555="","",
  LET(
    r, $D4555,
    startD, INDEX(Calculation!B$2:B9627, r),
    endD,   INDEX(Calculation!C$2:C9627, r),
    asOf,   MIN($A4555,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56">
      <c r="A4556" s="28"/>
      <c r="B4556" s="29"/>
      <c r="C4556" s="29" t="str">
        <f t="shared" si="1"/>
        <v/>
      </c>
      <c r="D4556" s="6" t="str">
        <f>IF(A4556="","",MATCH(A4556,Calculation!B$2:B9627,1))</f>
        <v/>
      </c>
      <c r="E4556" s="29" t="str">
        <f t="array" ref="E4556">IF(D4556="","",IF(D4556=1,0,INDEX(Calculation!Q$2:Q9627,D4556-1)))</f>
        <v/>
      </c>
      <c r="F4556" s="29" t="str">
        <f t="array" ref="F4556">IF($A4556="","",
  LET(
    r, $D4556,
    startD, INDEX(Calculation!B$2:B9627, r),
    endD,   INDEX(Calculation!C$2:C9627, r),
    asOf,   MIN($A4556,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57">
      <c r="A4557" s="28"/>
      <c r="B4557" s="29"/>
      <c r="C4557" s="29" t="str">
        <f t="shared" si="1"/>
        <v/>
      </c>
      <c r="D4557" s="6" t="str">
        <f>IF(A4557="","",MATCH(A4557,Calculation!B$2:B9627,1))</f>
        <v/>
      </c>
      <c r="E4557" s="29" t="str">
        <f t="array" ref="E4557">IF(D4557="","",IF(D4557=1,0,INDEX(Calculation!Q$2:Q9627,D4557-1)))</f>
        <v/>
      </c>
      <c r="F4557" s="29" t="str">
        <f t="array" ref="F4557">IF($A4557="","",
  LET(
    r, $D4557,
    startD, INDEX(Calculation!B$2:B9627, r),
    endD,   INDEX(Calculation!C$2:C9627, r),
    asOf,   MIN($A4557,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58">
      <c r="A4558" s="28"/>
      <c r="B4558" s="29"/>
      <c r="C4558" s="29" t="str">
        <f t="shared" si="1"/>
        <v/>
      </c>
      <c r="D4558" s="6" t="str">
        <f>IF(A4558="","",MATCH(A4558,Calculation!B$2:B9627,1))</f>
        <v/>
      </c>
      <c r="E4558" s="29" t="str">
        <f t="array" ref="E4558">IF(D4558="","",IF(D4558=1,0,INDEX(Calculation!Q$2:Q9627,D4558-1)))</f>
        <v/>
      </c>
      <c r="F4558" s="29" t="str">
        <f t="array" ref="F4558">IF($A4558="","",
  LET(
    r, $D4558,
    startD, INDEX(Calculation!B$2:B9627, r),
    endD,   INDEX(Calculation!C$2:C9627, r),
    asOf,   MIN($A4558,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59">
      <c r="A4559" s="28"/>
      <c r="B4559" s="29"/>
      <c r="C4559" s="29" t="str">
        <f t="shared" si="1"/>
        <v/>
      </c>
      <c r="D4559" s="6" t="str">
        <f>IF(A4559="","",MATCH(A4559,Calculation!B$2:B9627,1))</f>
        <v/>
      </c>
      <c r="E4559" s="29" t="str">
        <f t="array" ref="E4559">IF(D4559="","",IF(D4559=1,0,INDEX(Calculation!Q$2:Q9627,D4559-1)))</f>
        <v/>
      </c>
      <c r="F4559" s="29" t="str">
        <f t="array" ref="F4559">IF($A4559="","",
  LET(
    r, $D4559,
    startD, INDEX(Calculation!B$2:B9627, r),
    endD,   INDEX(Calculation!C$2:C9627, r),
    asOf,   MIN($A4559,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60">
      <c r="A4560" s="28"/>
      <c r="B4560" s="29"/>
      <c r="C4560" s="29" t="str">
        <f t="shared" si="1"/>
        <v/>
      </c>
      <c r="D4560" s="6" t="str">
        <f>IF(A4560="","",MATCH(A4560,Calculation!B$2:B9627,1))</f>
        <v/>
      </c>
      <c r="E4560" s="29" t="str">
        <f t="array" ref="E4560">IF(D4560="","",IF(D4560=1,0,INDEX(Calculation!Q$2:Q9627,D4560-1)))</f>
        <v/>
      </c>
      <c r="F4560" s="29" t="str">
        <f t="array" ref="F4560">IF($A4560="","",
  LET(
    r, $D4560,
    startD, INDEX(Calculation!B$2:B9627, r),
    endD,   INDEX(Calculation!C$2:C9627, r),
    asOf,   MIN($A4560,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61">
      <c r="A4561" s="28"/>
      <c r="B4561" s="29"/>
      <c r="C4561" s="29" t="str">
        <f t="shared" si="1"/>
        <v/>
      </c>
      <c r="D4561" s="6" t="str">
        <f>IF(A4561="","",MATCH(A4561,Calculation!B$2:B9627,1))</f>
        <v/>
      </c>
      <c r="E4561" s="29" t="str">
        <f t="array" ref="E4561">IF(D4561="","",IF(D4561=1,0,INDEX(Calculation!Q$2:Q9627,D4561-1)))</f>
        <v/>
      </c>
      <c r="F4561" s="29" t="str">
        <f t="array" ref="F4561">IF($A4561="","",
  LET(
    r, $D4561,
    startD, INDEX(Calculation!B$2:B9627, r),
    endD,   INDEX(Calculation!C$2:C9627, r),
    asOf,   MIN($A4561,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62">
      <c r="A4562" s="28"/>
      <c r="B4562" s="29"/>
      <c r="C4562" s="29" t="str">
        <f t="shared" si="1"/>
        <v/>
      </c>
      <c r="D4562" s="6" t="str">
        <f>IF(A4562="","",MATCH(A4562,Calculation!B$2:B9627,1))</f>
        <v/>
      </c>
      <c r="E4562" s="29" t="str">
        <f t="array" ref="E4562">IF(D4562="","",IF(D4562=1,0,INDEX(Calculation!Q$2:Q9627,D4562-1)))</f>
        <v/>
      </c>
      <c r="F4562" s="29" t="str">
        <f t="array" ref="F4562">IF($A4562="","",
  LET(
    r, $D4562,
    startD, INDEX(Calculation!B$2:B9627, r),
    endD,   INDEX(Calculation!C$2:C9627, r),
    asOf,   MIN($A4562,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63">
      <c r="A4563" s="28"/>
      <c r="B4563" s="29"/>
      <c r="C4563" s="29" t="str">
        <f t="shared" si="1"/>
        <v/>
      </c>
      <c r="D4563" s="6" t="str">
        <f>IF(A4563="","",MATCH(A4563,Calculation!B$2:B9627,1))</f>
        <v/>
      </c>
      <c r="E4563" s="29" t="str">
        <f t="array" ref="E4563">IF(D4563="","",IF(D4563=1,0,INDEX(Calculation!Q$2:Q9627,D4563-1)))</f>
        <v/>
      </c>
      <c r="F4563" s="29" t="str">
        <f t="array" ref="F4563">IF($A4563="","",
  LET(
    r, $D4563,
    startD, INDEX(Calculation!B$2:B9627, r),
    endD,   INDEX(Calculation!C$2:C9627, r),
    asOf,   MIN($A4563,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64">
      <c r="A4564" s="28"/>
      <c r="B4564" s="29"/>
      <c r="C4564" s="29" t="str">
        <f t="shared" si="1"/>
        <v/>
      </c>
      <c r="D4564" s="6" t="str">
        <f>IF(A4564="","",MATCH(A4564,Calculation!B$2:B9627,1))</f>
        <v/>
      </c>
      <c r="E4564" s="29" t="str">
        <f t="array" ref="E4564">IF(D4564="","",IF(D4564=1,0,INDEX(Calculation!Q$2:Q9627,D4564-1)))</f>
        <v/>
      </c>
      <c r="F4564" s="29" t="str">
        <f t="array" ref="F4564">IF($A4564="","",
  LET(
    r, $D4564,
    startD, INDEX(Calculation!B$2:B9627, r),
    endD,   INDEX(Calculation!C$2:C9627, r),
    asOf,   MIN($A4564,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65">
      <c r="A4565" s="28"/>
      <c r="B4565" s="29"/>
      <c r="C4565" s="29" t="str">
        <f t="shared" si="1"/>
        <v/>
      </c>
      <c r="D4565" s="6" t="str">
        <f>IF(A4565="","",MATCH(A4565,Calculation!B$2:B9627,1))</f>
        <v/>
      </c>
      <c r="E4565" s="29" t="str">
        <f t="array" ref="E4565">IF(D4565="","",IF(D4565=1,0,INDEX(Calculation!Q$2:Q9627,D4565-1)))</f>
        <v/>
      </c>
      <c r="F4565" s="29" t="str">
        <f t="array" ref="F4565">IF($A4565="","",
  LET(
    r, $D4565,
    startD, INDEX(Calculation!B$2:B9627, r),
    endD,   INDEX(Calculation!C$2:C9627, r),
    asOf,   MIN($A4565,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66">
      <c r="A4566" s="28"/>
      <c r="B4566" s="29"/>
      <c r="C4566" s="29" t="str">
        <f t="shared" si="1"/>
        <v/>
      </c>
      <c r="D4566" s="6" t="str">
        <f>IF(A4566="","",MATCH(A4566,Calculation!B$2:B9627,1))</f>
        <v/>
      </c>
      <c r="E4566" s="29" t="str">
        <f t="array" ref="E4566">IF(D4566="","",IF(D4566=1,0,INDEX(Calculation!Q$2:Q9627,D4566-1)))</f>
        <v/>
      </c>
      <c r="F4566" s="29" t="str">
        <f t="array" ref="F4566">IF($A4566="","",
  LET(
    r, $D4566,
    startD, INDEX(Calculation!B$2:B9627, r),
    endD,   INDEX(Calculation!C$2:C9627, r),
    asOf,   MIN($A4566,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67">
      <c r="A4567" s="28"/>
      <c r="B4567" s="29"/>
      <c r="C4567" s="29" t="str">
        <f t="shared" si="1"/>
        <v/>
      </c>
      <c r="D4567" s="6" t="str">
        <f>IF(A4567="","",MATCH(A4567,Calculation!B$2:B9627,1))</f>
        <v/>
      </c>
      <c r="E4567" s="29" t="str">
        <f t="array" ref="E4567">IF(D4567="","",IF(D4567=1,0,INDEX(Calculation!Q$2:Q9627,D4567-1)))</f>
        <v/>
      </c>
      <c r="F4567" s="29" t="str">
        <f t="array" ref="F4567">IF($A4567="","",
  LET(
    r, $D4567,
    startD, INDEX(Calculation!B$2:B9627, r),
    endD,   INDEX(Calculation!C$2:C9627, r),
    asOf,   MIN($A4567,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68">
      <c r="A4568" s="28"/>
      <c r="B4568" s="29"/>
      <c r="C4568" s="29" t="str">
        <f t="shared" si="1"/>
        <v/>
      </c>
      <c r="D4568" s="6" t="str">
        <f>IF(A4568="","",MATCH(A4568,Calculation!B$2:B9627,1))</f>
        <v/>
      </c>
      <c r="E4568" s="29" t="str">
        <f t="array" ref="E4568">IF(D4568="","",IF(D4568=1,0,INDEX(Calculation!Q$2:Q9627,D4568-1)))</f>
        <v/>
      </c>
      <c r="F4568" s="29" t="str">
        <f t="array" ref="F4568">IF($A4568="","",
  LET(
    r, $D4568,
    startD, INDEX(Calculation!B$2:B9627, r),
    endD,   INDEX(Calculation!C$2:C9627, r),
    asOf,   MIN($A4568,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69">
      <c r="A4569" s="28"/>
      <c r="B4569" s="29"/>
      <c r="C4569" s="29" t="str">
        <f t="shared" si="1"/>
        <v/>
      </c>
      <c r="D4569" s="6" t="str">
        <f>IF(A4569="","",MATCH(A4569,Calculation!B$2:B9627,1))</f>
        <v/>
      </c>
      <c r="E4569" s="29" t="str">
        <f t="array" ref="E4569">IF(D4569="","",IF(D4569=1,0,INDEX(Calculation!Q$2:Q9627,D4569-1)))</f>
        <v/>
      </c>
      <c r="F4569" s="29" t="str">
        <f t="array" ref="F4569">IF($A4569="","",
  LET(
    r, $D4569,
    startD, INDEX(Calculation!B$2:B9627, r),
    endD,   INDEX(Calculation!C$2:C9627, r),
    asOf,   MIN($A4569,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70">
      <c r="A4570" s="28"/>
      <c r="B4570" s="29"/>
      <c r="C4570" s="29" t="str">
        <f t="shared" si="1"/>
        <v/>
      </c>
      <c r="D4570" s="6" t="str">
        <f>IF(A4570="","",MATCH(A4570,Calculation!B$2:B9627,1))</f>
        <v/>
      </c>
      <c r="E4570" s="29" t="str">
        <f t="array" ref="E4570">IF(D4570="","",IF(D4570=1,0,INDEX(Calculation!Q$2:Q9627,D4570-1)))</f>
        <v/>
      </c>
      <c r="F4570" s="29" t="str">
        <f t="array" ref="F4570">IF($A4570="","",
  LET(
    r, $D4570,
    startD, INDEX(Calculation!B$2:B9627, r),
    endD,   INDEX(Calculation!C$2:C9627, r),
    asOf,   MIN($A4570,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71">
      <c r="A4571" s="28"/>
      <c r="B4571" s="29"/>
      <c r="C4571" s="29" t="str">
        <f t="shared" si="1"/>
        <v/>
      </c>
      <c r="D4571" s="6" t="str">
        <f>IF(A4571="","",MATCH(A4571,Calculation!B$2:B9627,1))</f>
        <v/>
      </c>
      <c r="E4571" s="29" t="str">
        <f t="array" ref="E4571">IF(D4571="","",IF(D4571=1,0,INDEX(Calculation!Q$2:Q9627,D4571-1)))</f>
        <v/>
      </c>
      <c r="F4571" s="29" t="str">
        <f t="array" ref="F4571">IF($A4571="","",
  LET(
    r, $D4571,
    startD, INDEX(Calculation!B$2:B9627, r),
    endD,   INDEX(Calculation!C$2:C9627, r),
    asOf,   MIN($A4571,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72">
      <c r="A4572" s="28"/>
      <c r="B4572" s="29"/>
      <c r="C4572" s="29" t="str">
        <f t="shared" si="1"/>
        <v/>
      </c>
      <c r="D4572" s="6" t="str">
        <f>IF(A4572="","",MATCH(A4572,Calculation!B$2:B9627,1))</f>
        <v/>
      </c>
      <c r="E4572" s="29" t="str">
        <f t="array" ref="E4572">IF(D4572="","",IF(D4572=1,0,INDEX(Calculation!Q$2:Q9627,D4572-1)))</f>
        <v/>
      </c>
      <c r="F4572" s="29" t="str">
        <f t="array" ref="F4572">IF($A4572="","",
  LET(
    r, $D4572,
    startD, INDEX(Calculation!B$2:B9627, r),
    endD,   INDEX(Calculation!C$2:C9627, r),
    asOf,   MIN($A4572,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73">
      <c r="A4573" s="28"/>
      <c r="B4573" s="29"/>
      <c r="C4573" s="29" t="str">
        <f t="shared" si="1"/>
        <v/>
      </c>
      <c r="D4573" s="6" t="str">
        <f>IF(A4573="","",MATCH(A4573,Calculation!B$2:B9627,1))</f>
        <v/>
      </c>
      <c r="E4573" s="29" t="str">
        <f t="array" ref="E4573">IF(D4573="","",IF(D4573=1,0,INDEX(Calculation!Q$2:Q9627,D4573-1)))</f>
        <v/>
      </c>
      <c r="F4573" s="29" t="str">
        <f t="array" ref="F4573">IF($A4573="","",
  LET(
    r, $D4573,
    startD, INDEX(Calculation!B$2:B9627, r),
    endD,   INDEX(Calculation!C$2:C9627, r),
    asOf,   MIN($A4573,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74">
      <c r="A4574" s="28"/>
      <c r="B4574" s="29"/>
      <c r="C4574" s="29" t="str">
        <f t="shared" si="1"/>
        <v/>
      </c>
      <c r="D4574" s="6" t="str">
        <f>IF(A4574="","",MATCH(A4574,Calculation!B$2:B9627,1))</f>
        <v/>
      </c>
      <c r="E4574" s="29" t="str">
        <f t="array" ref="E4574">IF(D4574="","",IF(D4574=1,0,INDEX(Calculation!Q$2:Q9627,D4574-1)))</f>
        <v/>
      </c>
      <c r="F4574" s="29" t="str">
        <f t="array" ref="F4574">IF($A4574="","",
  LET(
    r, $D4574,
    startD, INDEX(Calculation!B$2:B9627, r),
    endD,   INDEX(Calculation!C$2:C9627, r),
    asOf,   MIN($A4574,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75">
      <c r="A4575" s="28"/>
      <c r="B4575" s="29"/>
      <c r="C4575" s="29" t="str">
        <f t="shared" si="1"/>
        <v/>
      </c>
      <c r="D4575" s="6" t="str">
        <f>IF(A4575="","",MATCH(A4575,Calculation!B$2:B9627,1))</f>
        <v/>
      </c>
      <c r="E4575" s="29" t="str">
        <f t="array" ref="E4575">IF(D4575="","",IF(D4575=1,0,INDEX(Calculation!Q$2:Q9627,D4575-1)))</f>
        <v/>
      </c>
      <c r="F4575" s="29" t="str">
        <f t="array" ref="F4575">IF($A4575="","",
  LET(
    r, $D4575,
    startD, INDEX(Calculation!B$2:B9627, r),
    endD,   INDEX(Calculation!C$2:C9627, r),
    asOf,   MIN($A4575,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76">
      <c r="A4576" s="28"/>
      <c r="B4576" s="29"/>
      <c r="C4576" s="29" t="str">
        <f t="shared" si="1"/>
        <v/>
      </c>
      <c r="D4576" s="6" t="str">
        <f>IF(A4576="","",MATCH(A4576,Calculation!B$2:B9627,1))</f>
        <v/>
      </c>
      <c r="E4576" s="29" t="str">
        <f t="array" ref="E4576">IF(D4576="","",IF(D4576=1,0,INDEX(Calculation!Q$2:Q9627,D4576-1)))</f>
        <v/>
      </c>
      <c r="F4576" s="29" t="str">
        <f t="array" ref="F4576">IF($A4576="","",
  LET(
    r, $D4576,
    startD, INDEX(Calculation!B$2:B9627, r),
    endD,   INDEX(Calculation!C$2:C9627, r),
    asOf,   MIN($A4576,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77">
      <c r="A4577" s="28"/>
      <c r="B4577" s="29"/>
      <c r="C4577" s="29" t="str">
        <f t="shared" si="1"/>
        <v/>
      </c>
      <c r="D4577" s="6" t="str">
        <f>IF(A4577="","",MATCH(A4577,Calculation!B$2:B9627,1))</f>
        <v/>
      </c>
      <c r="E4577" s="29" t="str">
        <f t="array" ref="E4577">IF(D4577="","",IF(D4577=1,0,INDEX(Calculation!Q$2:Q9627,D4577-1)))</f>
        <v/>
      </c>
      <c r="F4577" s="29" t="str">
        <f t="array" ref="F4577">IF($A4577="","",
  LET(
    r, $D4577,
    startD, INDEX(Calculation!B$2:B9627, r),
    endD,   INDEX(Calculation!C$2:C9627, r),
    asOf,   MIN($A4577,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78">
      <c r="A4578" s="28"/>
      <c r="B4578" s="29"/>
      <c r="C4578" s="29" t="str">
        <f t="shared" si="1"/>
        <v/>
      </c>
      <c r="D4578" s="6" t="str">
        <f>IF(A4578="","",MATCH(A4578,Calculation!B$2:B9627,1))</f>
        <v/>
      </c>
      <c r="E4578" s="29" t="str">
        <f t="array" ref="E4578">IF(D4578="","",IF(D4578=1,0,INDEX(Calculation!Q$2:Q9627,D4578-1)))</f>
        <v/>
      </c>
      <c r="F4578" s="29" t="str">
        <f t="array" ref="F4578">IF($A4578="","",
  LET(
    r, $D4578,
    startD, INDEX(Calculation!B$2:B9627, r),
    endD,   INDEX(Calculation!C$2:C9627, r),
    asOf,   MIN($A4578,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79">
      <c r="A4579" s="28"/>
      <c r="B4579" s="29"/>
      <c r="C4579" s="29" t="str">
        <f t="shared" si="1"/>
        <v/>
      </c>
      <c r="D4579" s="6" t="str">
        <f>IF(A4579="","",MATCH(A4579,Calculation!B$2:B9627,1))</f>
        <v/>
      </c>
      <c r="E4579" s="29" t="str">
        <f t="array" ref="E4579">IF(D4579="","",IF(D4579=1,0,INDEX(Calculation!Q$2:Q9627,D4579-1)))</f>
        <v/>
      </c>
      <c r="F4579" s="29" t="str">
        <f t="array" ref="F4579">IF($A4579="","",
  LET(
    r, $D4579,
    startD, INDEX(Calculation!B$2:B9627, r),
    endD,   INDEX(Calculation!C$2:C9627, r),
    asOf,   MIN($A4579,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80">
      <c r="A4580" s="28"/>
      <c r="B4580" s="29"/>
      <c r="C4580" s="29" t="str">
        <f t="shared" si="1"/>
        <v/>
      </c>
      <c r="D4580" s="6" t="str">
        <f>IF(A4580="","",MATCH(A4580,Calculation!B$2:B9627,1))</f>
        <v/>
      </c>
      <c r="E4580" s="29" t="str">
        <f t="array" ref="E4580">IF(D4580="","",IF(D4580=1,0,INDEX(Calculation!Q$2:Q9627,D4580-1)))</f>
        <v/>
      </c>
      <c r="F4580" s="29" t="str">
        <f t="array" ref="F4580">IF($A4580="","",
  LET(
    r, $D4580,
    startD, INDEX(Calculation!B$2:B9627, r),
    endD,   INDEX(Calculation!C$2:C9627, r),
    asOf,   MIN($A4580,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81">
      <c r="A4581" s="28"/>
      <c r="B4581" s="29"/>
      <c r="C4581" s="29" t="str">
        <f t="shared" si="1"/>
        <v/>
      </c>
      <c r="D4581" s="6" t="str">
        <f>IF(A4581="","",MATCH(A4581,Calculation!B$2:B9627,1))</f>
        <v/>
      </c>
      <c r="E4581" s="29" t="str">
        <f t="array" ref="E4581">IF(D4581="","",IF(D4581=1,0,INDEX(Calculation!Q$2:Q9627,D4581-1)))</f>
        <v/>
      </c>
      <c r="F4581" s="29" t="str">
        <f t="array" ref="F4581">IF($A4581="","",
  LET(
    r, $D4581,
    startD, INDEX(Calculation!B$2:B9627, r),
    endD,   INDEX(Calculation!C$2:C9627, r),
    asOf,   MIN($A4581,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82">
      <c r="A4582" s="28"/>
      <c r="B4582" s="29"/>
      <c r="C4582" s="29" t="str">
        <f t="shared" si="1"/>
        <v/>
      </c>
      <c r="D4582" s="6" t="str">
        <f>IF(A4582="","",MATCH(A4582,Calculation!B$2:B9627,1))</f>
        <v/>
      </c>
      <c r="E4582" s="29" t="str">
        <f t="array" ref="E4582">IF(D4582="","",IF(D4582=1,0,INDEX(Calculation!Q$2:Q9627,D4582-1)))</f>
        <v/>
      </c>
      <c r="F4582" s="29" t="str">
        <f t="array" ref="F4582">IF($A4582="","",
  LET(
    r, $D4582,
    startD, INDEX(Calculation!B$2:B9627, r),
    endD,   INDEX(Calculation!C$2:C9627, r),
    asOf,   MIN($A4582,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83">
      <c r="A4583" s="28"/>
      <c r="B4583" s="29"/>
      <c r="C4583" s="29" t="str">
        <f t="shared" si="1"/>
        <v/>
      </c>
      <c r="D4583" s="6" t="str">
        <f>IF(A4583="","",MATCH(A4583,Calculation!B$2:B9627,1))</f>
        <v/>
      </c>
      <c r="E4583" s="29" t="str">
        <f t="array" ref="E4583">IF(D4583="","",IF(D4583=1,0,INDEX(Calculation!Q$2:Q9627,D4583-1)))</f>
        <v/>
      </c>
      <c r="F4583" s="29" t="str">
        <f t="array" ref="F4583">IF($A4583="","",
  LET(
    r, $D4583,
    startD, INDEX(Calculation!B$2:B9627, r),
    endD,   INDEX(Calculation!C$2:C9627, r),
    asOf,   MIN($A4583,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84">
      <c r="A4584" s="28"/>
      <c r="B4584" s="29"/>
      <c r="C4584" s="29" t="str">
        <f t="shared" si="1"/>
        <v/>
      </c>
      <c r="D4584" s="6" t="str">
        <f>IF(A4584="","",MATCH(A4584,Calculation!B$2:B9627,1))</f>
        <v/>
      </c>
      <c r="E4584" s="29" t="str">
        <f t="array" ref="E4584">IF(D4584="","",IF(D4584=1,0,INDEX(Calculation!Q$2:Q9627,D4584-1)))</f>
        <v/>
      </c>
      <c r="F4584" s="29" t="str">
        <f t="array" ref="F4584">IF($A4584="","",
  LET(
    r, $D4584,
    startD, INDEX(Calculation!B$2:B9627, r),
    endD,   INDEX(Calculation!C$2:C9627, r),
    asOf,   MIN($A4584,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85">
      <c r="A4585" s="28"/>
      <c r="B4585" s="29"/>
      <c r="C4585" s="29" t="str">
        <f t="shared" si="1"/>
        <v/>
      </c>
      <c r="D4585" s="6" t="str">
        <f>IF(A4585="","",MATCH(A4585,Calculation!B$2:B9627,1))</f>
        <v/>
      </c>
      <c r="E4585" s="29" t="str">
        <f t="array" ref="E4585">IF(D4585="","",IF(D4585=1,0,INDEX(Calculation!Q$2:Q9627,D4585-1)))</f>
        <v/>
      </c>
      <c r="F4585" s="29" t="str">
        <f t="array" ref="F4585">IF($A4585="","",
  LET(
    r, $D4585,
    startD, INDEX(Calculation!B$2:B9627, r),
    endD,   INDEX(Calculation!C$2:C9627, r),
    asOf,   MIN($A4585,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86">
      <c r="A4586" s="28"/>
      <c r="B4586" s="29"/>
      <c r="C4586" s="29" t="str">
        <f t="shared" si="1"/>
        <v/>
      </c>
      <c r="D4586" s="6" t="str">
        <f>IF(A4586="","",MATCH(A4586,Calculation!B$2:B9627,1))</f>
        <v/>
      </c>
      <c r="E4586" s="29" t="str">
        <f t="array" ref="E4586">IF(D4586="","",IF(D4586=1,0,INDEX(Calculation!Q$2:Q9627,D4586-1)))</f>
        <v/>
      </c>
      <c r="F4586" s="29" t="str">
        <f t="array" ref="F4586">IF($A4586="","",
  LET(
    r, $D4586,
    startD, INDEX(Calculation!B$2:B9627, r),
    endD,   INDEX(Calculation!C$2:C9627, r),
    asOf,   MIN($A4586,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87">
      <c r="A4587" s="28"/>
      <c r="B4587" s="29"/>
      <c r="C4587" s="29" t="str">
        <f t="shared" si="1"/>
        <v/>
      </c>
      <c r="D4587" s="6" t="str">
        <f>IF(A4587="","",MATCH(A4587,Calculation!B$2:B9627,1))</f>
        <v/>
      </c>
      <c r="E4587" s="29" t="str">
        <f t="array" ref="E4587">IF(D4587="","",IF(D4587=1,0,INDEX(Calculation!Q$2:Q9627,D4587-1)))</f>
        <v/>
      </c>
      <c r="F4587" s="29" t="str">
        <f t="array" ref="F4587">IF($A4587="","",
  LET(
    r, $D4587,
    startD, INDEX(Calculation!B$2:B9627, r),
    endD,   INDEX(Calculation!C$2:C9627, r),
    asOf,   MIN($A4587,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88">
      <c r="A4588" s="28"/>
      <c r="B4588" s="29"/>
      <c r="C4588" s="29" t="str">
        <f t="shared" si="1"/>
        <v/>
      </c>
      <c r="D4588" s="6" t="str">
        <f>IF(A4588="","",MATCH(A4588,Calculation!B$2:B9627,1))</f>
        <v/>
      </c>
      <c r="E4588" s="29" t="str">
        <f t="array" ref="E4588">IF(D4588="","",IF(D4588=1,0,INDEX(Calculation!Q$2:Q9627,D4588-1)))</f>
        <v/>
      </c>
      <c r="F4588" s="29" t="str">
        <f t="array" ref="F4588">IF($A4588="","",
  LET(
    r, $D4588,
    startD, INDEX(Calculation!B$2:B9627, r),
    endD,   INDEX(Calculation!C$2:C9627, r),
    asOf,   MIN($A4588,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89">
      <c r="A4589" s="28"/>
      <c r="B4589" s="29"/>
      <c r="C4589" s="29" t="str">
        <f t="shared" si="1"/>
        <v/>
      </c>
      <c r="D4589" s="6" t="str">
        <f>IF(A4589="","",MATCH(A4589,Calculation!B$2:B9627,1))</f>
        <v/>
      </c>
      <c r="E4589" s="29" t="str">
        <f t="array" ref="E4589">IF(D4589="","",IF(D4589=1,0,INDEX(Calculation!Q$2:Q9627,D4589-1)))</f>
        <v/>
      </c>
      <c r="F4589" s="29" t="str">
        <f t="array" ref="F4589">IF($A4589="","",
  LET(
    r, $D4589,
    startD, INDEX(Calculation!B$2:B9627, r),
    endD,   INDEX(Calculation!C$2:C9627, r),
    asOf,   MIN($A4589,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90">
      <c r="A4590" s="28"/>
      <c r="B4590" s="29"/>
      <c r="C4590" s="29" t="str">
        <f t="shared" si="1"/>
        <v/>
      </c>
      <c r="D4590" s="6" t="str">
        <f>IF(A4590="","",MATCH(A4590,Calculation!B$2:B9627,1))</f>
        <v/>
      </c>
      <c r="E4590" s="29" t="str">
        <f t="array" ref="E4590">IF(D4590="","",IF(D4590=1,0,INDEX(Calculation!Q$2:Q9627,D4590-1)))</f>
        <v/>
      </c>
      <c r="F4590" s="29" t="str">
        <f t="array" ref="F4590">IF($A4590="","",
  LET(
    r, $D4590,
    startD, INDEX(Calculation!B$2:B9627, r),
    endD,   INDEX(Calculation!C$2:C9627, r),
    asOf,   MIN($A4590,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91">
      <c r="A4591" s="28"/>
      <c r="B4591" s="29"/>
      <c r="C4591" s="29" t="str">
        <f t="shared" si="1"/>
        <v/>
      </c>
      <c r="D4591" s="6" t="str">
        <f>IF(A4591="","",MATCH(A4591,Calculation!B$2:B9627,1))</f>
        <v/>
      </c>
      <c r="E4591" s="29" t="str">
        <f t="array" ref="E4591">IF(D4591="","",IF(D4591=1,0,INDEX(Calculation!Q$2:Q9627,D4591-1)))</f>
        <v/>
      </c>
      <c r="F4591" s="29" t="str">
        <f t="array" ref="F4591">IF($A4591="","",
  LET(
    r, $D4591,
    startD, INDEX(Calculation!B$2:B9627, r),
    endD,   INDEX(Calculation!C$2:C9627, r),
    asOf,   MIN($A4591,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92">
      <c r="A4592" s="28"/>
      <c r="B4592" s="29"/>
      <c r="C4592" s="29" t="str">
        <f t="shared" si="1"/>
        <v/>
      </c>
      <c r="D4592" s="6" t="str">
        <f>IF(A4592="","",MATCH(A4592,Calculation!B$2:B9627,1))</f>
        <v/>
      </c>
      <c r="E4592" s="29" t="str">
        <f t="array" ref="E4592">IF(D4592="","",IF(D4592=1,0,INDEX(Calculation!Q$2:Q9627,D4592-1)))</f>
        <v/>
      </c>
      <c r="F4592" s="29" t="str">
        <f t="array" ref="F4592">IF($A4592="","",
  LET(
    r, $D4592,
    startD, INDEX(Calculation!B$2:B9627, r),
    endD,   INDEX(Calculation!C$2:C9627, r),
    asOf,   MIN($A4592,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93">
      <c r="A4593" s="28"/>
      <c r="B4593" s="29"/>
      <c r="C4593" s="29" t="str">
        <f t="shared" si="1"/>
        <v/>
      </c>
      <c r="D4593" s="6" t="str">
        <f>IF(A4593="","",MATCH(A4593,Calculation!B$2:B9627,1))</f>
        <v/>
      </c>
      <c r="E4593" s="29" t="str">
        <f t="array" ref="E4593">IF(D4593="","",IF(D4593=1,0,INDEX(Calculation!Q$2:Q9627,D4593-1)))</f>
        <v/>
      </c>
      <c r="F4593" s="29" t="str">
        <f t="array" ref="F4593">IF($A4593="","",
  LET(
    r, $D4593,
    startD, INDEX(Calculation!B$2:B9627, r),
    endD,   INDEX(Calculation!C$2:C9627, r),
    asOf,   MIN($A4593,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94">
      <c r="A4594" s="28"/>
      <c r="B4594" s="29"/>
      <c r="C4594" s="29" t="str">
        <f t="shared" si="1"/>
        <v/>
      </c>
      <c r="D4594" s="6" t="str">
        <f>IF(A4594="","",MATCH(A4594,Calculation!B$2:B9627,1))</f>
        <v/>
      </c>
      <c r="E4594" s="29" t="str">
        <f t="array" ref="E4594">IF(D4594="","",IF(D4594=1,0,INDEX(Calculation!Q$2:Q9627,D4594-1)))</f>
        <v/>
      </c>
      <c r="F4594" s="29" t="str">
        <f t="array" ref="F4594">IF($A4594="","",
  LET(
    r, $D4594,
    startD, INDEX(Calculation!B$2:B9627, r),
    endD,   INDEX(Calculation!C$2:C9627, r),
    asOf,   MIN($A4594,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95">
      <c r="A4595" s="28"/>
      <c r="B4595" s="29"/>
      <c r="C4595" s="29" t="str">
        <f t="shared" si="1"/>
        <v/>
      </c>
      <c r="D4595" s="6" t="str">
        <f>IF(A4595="","",MATCH(A4595,Calculation!B$2:B9627,1))</f>
        <v/>
      </c>
      <c r="E4595" s="29" t="str">
        <f t="array" ref="E4595">IF(D4595="","",IF(D4595=1,0,INDEX(Calculation!Q$2:Q9627,D4595-1)))</f>
        <v/>
      </c>
      <c r="F4595" s="29" t="str">
        <f t="array" ref="F4595">IF($A4595="","",
  LET(
    r, $D4595,
    startD, INDEX(Calculation!B$2:B9627, r),
    endD,   INDEX(Calculation!C$2:C9627, r),
    asOf,   MIN($A4595,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96">
      <c r="A4596" s="28"/>
      <c r="B4596" s="29"/>
      <c r="C4596" s="29" t="str">
        <f t="shared" si="1"/>
        <v/>
      </c>
      <c r="D4596" s="6" t="str">
        <f>IF(A4596="","",MATCH(A4596,Calculation!B$2:B9627,1))</f>
        <v/>
      </c>
      <c r="E4596" s="29" t="str">
        <f t="array" ref="E4596">IF(D4596="","",IF(D4596=1,0,INDEX(Calculation!Q$2:Q9627,D4596-1)))</f>
        <v/>
      </c>
      <c r="F4596" s="29" t="str">
        <f t="array" ref="F4596">IF($A4596="","",
  LET(
    r, $D4596,
    startD, INDEX(Calculation!B$2:B9627, r),
    endD,   INDEX(Calculation!C$2:C9627, r),
    asOf,   MIN($A4596,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97">
      <c r="A4597" s="28"/>
      <c r="B4597" s="29"/>
      <c r="C4597" s="29" t="str">
        <f t="shared" si="1"/>
        <v/>
      </c>
      <c r="D4597" s="6" t="str">
        <f>IF(A4597="","",MATCH(A4597,Calculation!B$2:B9627,1))</f>
        <v/>
      </c>
      <c r="E4597" s="29" t="str">
        <f t="array" ref="E4597">IF(D4597="","",IF(D4597=1,0,INDEX(Calculation!Q$2:Q9627,D4597-1)))</f>
        <v/>
      </c>
      <c r="F4597" s="29" t="str">
        <f t="array" ref="F4597">IF($A4597="","",
  LET(
    r, $D4597,
    startD, INDEX(Calculation!B$2:B9627, r),
    endD,   INDEX(Calculation!C$2:C9627, r),
    asOf,   MIN($A4597,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98">
      <c r="A4598" s="28"/>
      <c r="B4598" s="29"/>
      <c r="C4598" s="29" t="str">
        <f t="shared" si="1"/>
        <v/>
      </c>
      <c r="D4598" s="6" t="str">
        <f>IF(A4598="","",MATCH(A4598,Calculation!B$2:B9627,1))</f>
        <v/>
      </c>
      <c r="E4598" s="29" t="str">
        <f t="array" ref="E4598">IF(D4598="","",IF(D4598=1,0,INDEX(Calculation!Q$2:Q9627,D4598-1)))</f>
        <v/>
      </c>
      <c r="F4598" s="29" t="str">
        <f t="array" ref="F4598">IF($A4598="","",
  LET(
    r, $D4598,
    startD, INDEX(Calculation!B$2:B9627, r),
    endD,   INDEX(Calculation!C$2:C9627, r),
    asOf,   MIN($A4598,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599">
      <c r="A4599" s="28"/>
      <c r="B4599" s="29"/>
      <c r="C4599" s="29" t="str">
        <f t="shared" si="1"/>
        <v/>
      </c>
      <c r="D4599" s="6" t="str">
        <f>IF(A4599="","",MATCH(A4599,Calculation!B$2:B9627,1))</f>
        <v/>
      </c>
      <c r="E4599" s="29" t="str">
        <f t="array" ref="E4599">IF(D4599="","",IF(D4599=1,0,INDEX(Calculation!Q$2:Q9627,D4599-1)))</f>
        <v/>
      </c>
      <c r="F4599" s="29" t="str">
        <f t="array" ref="F4599">IF($A4599="","",
  LET(
    r, $D4599,
    startD, INDEX(Calculation!B$2:B9627, r),
    endD,   INDEX(Calculation!C$2:C9627, r),
    asOf,   MIN($A4599,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00">
      <c r="A4600" s="28"/>
      <c r="B4600" s="29"/>
      <c r="C4600" s="29" t="str">
        <f t="shared" si="1"/>
        <v/>
      </c>
      <c r="D4600" s="6" t="str">
        <f>IF(A4600="","",MATCH(A4600,Calculation!B$2:B9627,1))</f>
        <v/>
      </c>
      <c r="E4600" s="29" t="str">
        <f t="array" ref="E4600">IF(D4600="","",IF(D4600=1,0,INDEX(Calculation!Q$2:Q9627,D4600-1)))</f>
        <v/>
      </c>
      <c r="F4600" s="29" t="str">
        <f t="array" ref="F4600">IF($A4600="","",
  LET(
    r, $D4600,
    startD, INDEX(Calculation!B$2:B9627, r),
    endD,   INDEX(Calculation!C$2:C9627, r),
    asOf,   MIN($A4600,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01">
      <c r="A4601" s="28"/>
      <c r="B4601" s="29"/>
      <c r="C4601" s="29" t="str">
        <f t="shared" si="1"/>
        <v/>
      </c>
      <c r="D4601" s="6" t="str">
        <f>IF(A4601="","",MATCH(A4601,Calculation!B$2:B9627,1))</f>
        <v/>
      </c>
      <c r="E4601" s="29" t="str">
        <f t="array" ref="E4601">IF(D4601="","",IF(D4601=1,0,INDEX(Calculation!Q$2:Q9627,D4601-1)))</f>
        <v/>
      </c>
      <c r="F4601" s="29" t="str">
        <f t="array" ref="F4601">IF($A4601="","",
  LET(
    r, $D4601,
    startD, INDEX(Calculation!B$2:B9627, r),
    endD,   INDEX(Calculation!C$2:C9627, r),
    asOf,   MIN($A4601,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02">
      <c r="A4602" s="28"/>
      <c r="B4602" s="29"/>
      <c r="C4602" s="29" t="str">
        <f t="shared" si="1"/>
        <v/>
      </c>
      <c r="D4602" s="6" t="str">
        <f>IF(A4602="","",MATCH(A4602,Calculation!B$2:B9627,1))</f>
        <v/>
      </c>
      <c r="E4602" s="29" t="str">
        <f t="array" ref="E4602">IF(D4602="","",IF(D4602=1,0,INDEX(Calculation!Q$2:Q9627,D4602-1)))</f>
        <v/>
      </c>
      <c r="F4602" s="29" t="str">
        <f t="array" ref="F4602">IF($A4602="","",
  LET(
    r, $D4602,
    startD, INDEX(Calculation!B$2:B9627, r),
    endD,   INDEX(Calculation!C$2:C9627, r),
    asOf,   MIN($A4602,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03">
      <c r="A4603" s="28"/>
      <c r="B4603" s="29"/>
      <c r="C4603" s="29" t="str">
        <f t="shared" si="1"/>
        <v/>
      </c>
      <c r="D4603" s="6" t="str">
        <f>IF(A4603="","",MATCH(A4603,Calculation!B$2:B9627,1))</f>
        <v/>
      </c>
      <c r="E4603" s="29" t="str">
        <f t="array" ref="E4603">IF(D4603="","",IF(D4603=1,0,INDEX(Calculation!Q$2:Q9627,D4603-1)))</f>
        <v/>
      </c>
      <c r="F4603" s="29" t="str">
        <f t="array" ref="F4603">IF($A4603="","",
  LET(
    r, $D4603,
    startD, INDEX(Calculation!B$2:B9627, r),
    endD,   INDEX(Calculation!C$2:C9627, r),
    asOf,   MIN($A4603,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04">
      <c r="A4604" s="28"/>
      <c r="B4604" s="29"/>
      <c r="C4604" s="29" t="str">
        <f t="shared" si="1"/>
        <v/>
      </c>
      <c r="D4604" s="6" t="str">
        <f>IF(A4604="","",MATCH(A4604,Calculation!B$2:B9627,1))</f>
        <v/>
      </c>
      <c r="E4604" s="29" t="str">
        <f t="array" ref="E4604">IF(D4604="","",IF(D4604=1,0,INDEX(Calculation!Q$2:Q9627,D4604-1)))</f>
        <v/>
      </c>
      <c r="F4604" s="29" t="str">
        <f t="array" ref="F4604">IF($A4604="","",
  LET(
    r, $D4604,
    startD, INDEX(Calculation!B$2:B9627, r),
    endD,   INDEX(Calculation!C$2:C9627, r),
    asOf,   MIN($A4604,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05">
      <c r="A4605" s="28"/>
      <c r="B4605" s="29"/>
      <c r="C4605" s="29" t="str">
        <f t="shared" si="1"/>
        <v/>
      </c>
      <c r="D4605" s="6" t="str">
        <f>IF(A4605="","",MATCH(A4605,Calculation!B$2:B9627,1))</f>
        <v/>
      </c>
      <c r="E4605" s="29" t="str">
        <f t="array" ref="E4605">IF(D4605="","",IF(D4605=1,0,INDEX(Calculation!Q$2:Q9627,D4605-1)))</f>
        <v/>
      </c>
      <c r="F4605" s="29" t="str">
        <f t="array" ref="F4605">IF($A4605="","",
  LET(
    r, $D4605,
    startD, INDEX(Calculation!B$2:B9627, r),
    endD,   INDEX(Calculation!C$2:C9627, r),
    asOf,   MIN($A4605,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06">
      <c r="A4606" s="28"/>
      <c r="B4606" s="29"/>
      <c r="C4606" s="29" t="str">
        <f t="shared" si="1"/>
        <v/>
      </c>
      <c r="D4606" s="6" t="str">
        <f>IF(A4606="","",MATCH(A4606,Calculation!B$2:B9627,1))</f>
        <v/>
      </c>
      <c r="E4606" s="29" t="str">
        <f t="array" ref="E4606">IF(D4606="","",IF(D4606=1,0,INDEX(Calculation!Q$2:Q9627,D4606-1)))</f>
        <v/>
      </c>
      <c r="F4606" s="29" t="str">
        <f t="array" ref="F4606">IF($A4606="","",
  LET(
    r, $D4606,
    startD, INDEX(Calculation!B$2:B9627, r),
    endD,   INDEX(Calculation!C$2:C9627, r),
    asOf,   MIN($A4606,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07">
      <c r="A4607" s="28"/>
      <c r="B4607" s="29"/>
      <c r="C4607" s="29" t="str">
        <f t="shared" si="1"/>
        <v/>
      </c>
      <c r="D4607" s="6" t="str">
        <f>IF(A4607="","",MATCH(A4607,Calculation!B$2:B9627,1))</f>
        <v/>
      </c>
      <c r="E4607" s="29" t="str">
        <f t="array" ref="E4607">IF(D4607="","",IF(D4607=1,0,INDEX(Calculation!Q$2:Q9627,D4607-1)))</f>
        <v/>
      </c>
      <c r="F4607" s="29" t="str">
        <f t="array" ref="F4607">IF($A4607="","",
  LET(
    r, $D4607,
    startD, INDEX(Calculation!B$2:B9627, r),
    endD,   INDEX(Calculation!C$2:C9627, r),
    asOf,   MIN($A4607,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08">
      <c r="A4608" s="28"/>
      <c r="B4608" s="29"/>
      <c r="C4608" s="29" t="str">
        <f t="shared" si="1"/>
        <v/>
      </c>
      <c r="D4608" s="6" t="str">
        <f>IF(A4608="","",MATCH(A4608,Calculation!B$2:B9627,1))</f>
        <v/>
      </c>
      <c r="E4608" s="29" t="str">
        <f t="array" ref="E4608">IF(D4608="","",IF(D4608=1,0,INDEX(Calculation!Q$2:Q9627,D4608-1)))</f>
        <v/>
      </c>
      <c r="F4608" s="29" t="str">
        <f t="array" ref="F4608">IF($A4608="","",
  LET(
    r, $D4608,
    startD, INDEX(Calculation!B$2:B9627, r),
    endD,   INDEX(Calculation!C$2:C9627, r),
    asOf,   MIN($A4608,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09">
      <c r="A4609" s="28"/>
      <c r="B4609" s="29"/>
      <c r="C4609" s="29" t="str">
        <f t="shared" si="1"/>
        <v/>
      </c>
      <c r="D4609" s="6" t="str">
        <f>IF(A4609="","",MATCH(A4609,Calculation!B$2:B9627,1))</f>
        <v/>
      </c>
      <c r="E4609" s="29" t="str">
        <f t="array" ref="E4609">IF(D4609="","",IF(D4609=1,0,INDEX(Calculation!Q$2:Q9627,D4609-1)))</f>
        <v/>
      </c>
      <c r="F4609" s="29" t="str">
        <f t="array" ref="F4609">IF($A4609="","",
  LET(
    r, $D4609,
    startD, INDEX(Calculation!B$2:B9627, r),
    endD,   INDEX(Calculation!C$2:C9627, r),
    asOf,   MIN($A4609,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10">
      <c r="A4610" s="28"/>
      <c r="B4610" s="29"/>
      <c r="C4610" s="29" t="str">
        <f t="shared" si="1"/>
        <v/>
      </c>
      <c r="D4610" s="6" t="str">
        <f>IF(A4610="","",MATCH(A4610,Calculation!B$2:B9627,1))</f>
        <v/>
      </c>
      <c r="E4610" s="29" t="str">
        <f t="array" ref="E4610">IF(D4610="","",IF(D4610=1,0,INDEX(Calculation!Q$2:Q9627,D4610-1)))</f>
        <v/>
      </c>
      <c r="F4610" s="29" t="str">
        <f t="array" ref="F4610">IF($A4610="","",
  LET(
    r, $D4610,
    startD, INDEX(Calculation!B$2:B9627, r),
    endD,   INDEX(Calculation!C$2:C9627, r),
    asOf,   MIN($A4610,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11">
      <c r="A4611" s="28"/>
      <c r="B4611" s="29"/>
      <c r="C4611" s="29" t="str">
        <f t="shared" si="1"/>
        <v/>
      </c>
      <c r="D4611" s="6" t="str">
        <f>IF(A4611="","",MATCH(A4611,Calculation!B$2:B9627,1))</f>
        <v/>
      </c>
      <c r="E4611" s="29" t="str">
        <f t="array" ref="E4611">IF(D4611="","",IF(D4611=1,0,INDEX(Calculation!Q$2:Q9627,D4611-1)))</f>
        <v/>
      </c>
      <c r="F4611" s="29" t="str">
        <f t="array" ref="F4611">IF($A4611="","",
  LET(
    r, $D4611,
    startD, INDEX(Calculation!B$2:B9627, r),
    endD,   INDEX(Calculation!C$2:C9627, r),
    asOf,   MIN($A4611,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12">
      <c r="A4612" s="28"/>
      <c r="B4612" s="29"/>
      <c r="C4612" s="29" t="str">
        <f t="shared" si="1"/>
        <v/>
      </c>
      <c r="D4612" s="6" t="str">
        <f>IF(A4612="","",MATCH(A4612,Calculation!B$2:B9627,1))</f>
        <v/>
      </c>
      <c r="E4612" s="29" t="str">
        <f t="array" ref="E4612">IF(D4612="","",IF(D4612=1,0,INDEX(Calculation!Q$2:Q9627,D4612-1)))</f>
        <v/>
      </c>
      <c r="F4612" s="29" t="str">
        <f t="array" ref="F4612">IF($A4612="","",
  LET(
    r, $D4612,
    startD, INDEX(Calculation!B$2:B9627, r),
    endD,   INDEX(Calculation!C$2:C9627, r),
    asOf,   MIN($A4612,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13">
      <c r="A4613" s="28"/>
      <c r="B4613" s="29"/>
      <c r="C4613" s="29" t="str">
        <f t="shared" si="1"/>
        <v/>
      </c>
      <c r="D4613" s="6" t="str">
        <f>IF(A4613="","",MATCH(A4613,Calculation!B$2:B9627,1))</f>
        <v/>
      </c>
      <c r="E4613" s="29" t="str">
        <f t="array" ref="E4613">IF(D4613="","",IF(D4613=1,0,INDEX(Calculation!Q$2:Q9627,D4613-1)))</f>
        <v/>
      </c>
      <c r="F4613" s="29" t="str">
        <f t="array" ref="F4613">IF($A4613="","",
  LET(
    r, $D4613,
    startD, INDEX(Calculation!B$2:B9627, r),
    endD,   INDEX(Calculation!C$2:C9627, r),
    asOf,   MIN($A4613,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14">
      <c r="A4614" s="28"/>
      <c r="B4614" s="29"/>
      <c r="C4614" s="29" t="str">
        <f t="shared" si="1"/>
        <v/>
      </c>
      <c r="D4614" s="6" t="str">
        <f>IF(A4614="","",MATCH(A4614,Calculation!B$2:B9627,1))</f>
        <v/>
      </c>
      <c r="E4614" s="29" t="str">
        <f t="array" ref="E4614">IF(D4614="","",IF(D4614=1,0,INDEX(Calculation!Q$2:Q9627,D4614-1)))</f>
        <v/>
      </c>
      <c r="F4614" s="29" t="str">
        <f t="array" ref="F4614">IF($A4614="","",
  LET(
    r, $D4614,
    startD, INDEX(Calculation!B$2:B9627, r),
    endD,   INDEX(Calculation!C$2:C9627, r),
    asOf,   MIN($A4614,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15">
      <c r="A4615" s="28"/>
      <c r="B4615" s="29"/>
      <c r="C4615" s="29" t="str">
        <f t="shared" si="1"/>
        <v/>
      </c>
      <c r="D4615" s="6" t="str">
        <f>IF(A4615="","",MATCH(A4615,Calculation!B$2:B9627,1))</f>
        <v/>
      </c>
      <c r="E4615" s="29" t="str">
        <f t="array" ref="E4615">IF(D4615="","",IF(D4615=1,0,INDEX(Calculation!Q$2:Q9627,D4615-1)))</f>
        <v/>
      </c>
      <c r="F4615" s="29" t="str">
        <f t="array" ref="F4615">IF($A4615="","",
  LET(
    r, $D4615,
    startD, INDEX(Calculation!B$2:B9627, r),
    endD,   INDEX(Calculation!C$2:C9627, r),
    asOf,   MIN($A4615,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16">
      <c r="A4616" s="28"/>
      <c r="B4616" s="29"/>
      <c r="C4616" s="29" t="str">
        <f t="shared" si="1"/>
        <v/>
      </c>
      <c r="D4616" s="6" t="str">
        <f>IF(A4616="","",MATCH(A4616,Calculation!B$2:B9627,1))</f>
        <v/>
      </c>
      <c r="E4616" s="29" t="str">
        <f t="array" ref="E4616">IF(D4616="","",IF(D4616=1,0,INDEX(Calculation!Q$2:Q9627,D4616-1)))</f>
        <v/>
      </c>
      <c r="F4616" s="29" t="str">
        <f t="array" ref="F4616">IF($A4616="","",
  LET(
    r, $D4616,
    startD, INDEX(Calculation!B$2:B9627, r),
    endD,   INDEX(Calculation!C$2:C9627, r),
    asOf,   MIN($A4616,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17">
      <c r="A4617" s="28"/>
      <c r="B4617" s="29"/>
      <c r="C4617" s="29" t="str">
        <f t="shared" si="1"/>
        <v/>
      </c>
      <c r="D4617" s="6" t="str">
        <f>IF(A4617="","",MATCH(A4617,Calculation!B$2:B9627,1))</f>
        <v/>
      </c>
      <c r="E4617" s="29" t="str">
        <f t="array" ref="E4617">IF(D4617="","",IF(D4617=1,0,INDEX(Calculation!Q$2:Q9627,D4617-1)))</f>
        <v/>
      </c>
      <c r="F4617" s="29" t="str">
        <f t="array" ref="F4617">IF($A4617="","",
  LET(
    r, $D4617,
    startD, INDEX(Calculation!B$2:B9627, r),
    endD,   INDEX(Calculation!C$2:C9627, r),
    asOf,   MIN($A4617,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18">
      <c r="A4618" s="28"/>
      <c r="B4618" s="29"/>
      <c r="C4618" s="29" t="str">
        <f t="shared" si="1"/>
        <v/>
      </c>
      <c r="D4618" s="6" t="str">
        <f>IF(A4618="","",MATCH(A4618,Calculation!B$2:B9627,1))</f>
        <v/>
      </c>
      <c r="E4618" s="29" t="str">
        <f t="array" ref="E4618">IF(D4618="","",IF(D4618=1,0,INDEX(Calculation!Q$2:Q9627,D4618-1)))</f>
        <v/>
      </c>
      <c r="F4618" s="29" t="str">
        <f t="array" ref="F4618">IF($A4618="","",
  LET(
    r, $D4618,
    startD, INDEX(Calculation!B$2:B9627, r),
    endD,   INDEX(Calculation!C$2:C9627, r),
    asOf,   MIN($A4618,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19">
      <c r="A4619" s="28"/>
      <c r="B4619" s="29"/>
      <c r="C4619" s="29" t="str">
        <f t="shared" si="1"/>
        <v/>
      </c>
      <c r="D4619" s="6" t="str">
        <f>IF(A4619="","",MATCH(A4619,Calculation!B$2:B9627,1))</f>
        <v/>
      </c>
      <c r="E4619" s="29" t="str">
        <f t="array" ref="E4619">IF(D4619="","",IF(D4619=1,0,INDEX(Calculation!Q$2:Q9627,D4619-1)))</f>
        <v/>
      </c>
      <c r="F4619" s="29" t="str">
        <f t="array" ref="F4619">IF($A4619="","",
  LET(
    r, $D4619,
    startD, INDEX(Calculation!B$2:B9627, r),
    endD,   INDEX(Calculation!C$2:C9627, r),
    asOf,   MIN($A4619,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20">
      <c r="A4620" s="28"/>
      <c r="B4620" s="29"/>
      <c r="C4620" s="29" t="str">
        <f t="shared" si="1"/>
        <v/>
      </c>
      <c r="D4620" s="6" t="str">
        <f>IF(A4620="","",MATCH(A4620,Calculation!B$2:B9627,1))</f>
        <v/>
      </c>
      <c r="E4620" s="29" t="str">
        <f t="array" ref="E4620">IF(D4620="","",IF(D4620=1,0,INDEX(Calculation!Q$2:Q9627,D4620-1)))</f>
        <v/>
      </c>
      <c r="F4620" s="29" t="str">
        <f t="array" ref="F4620">IF($A4620="","",
  LET(
    r, $D4620,
    startD, INDEX(Calculation!B$2:B9627, r),
    endD,   INDEX(Calculation!C$2:C9627, r),
    asOf,   MIN($A4620,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21">
      <c r="A4621" s="28"/>
      <c r="B4621" s="29"/>
      <c r="C4621" s="29" t="str">
        <f t="shared" si="1"/>
        <v/>
      </c>
      <c r="D4621" s="6" t="str">
        <f>IF(A4621="","",MATCH(A4621,Calculation!B$2:B9627,1))</f>
        <v/>
      </c>
      <c r="E4621" s="29" t="str">
        <f t="array" ref="E4621">IF(D4621="","",IF(D4621=1,0,INDEX(Calculation!Q$2:Q9627,D4621-1)))</f>
        <v/>
      </c>
      <c r="F4621" s="29" t="str">
        <f t="array" ref="F4621">IF($A4621="","",
  LET(
    r, $D4621,
    startD, INDEX(Calculation!B$2:B9627, r),
    endD,   INDEX(Calculation!C$2:C9627, r),
    asOf,   MIN($A4621,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22">
      <c r="A4622" s="28"/>
      <c r="B4622" s="29"/>
      <c r="C4622" s="29" t="str">
        <f t="shared" si="1"/>
        <v/>
      </c>
      <c r="D4622" s="6" t="str">
        <f>IF(A4622="","",MATCH(A4622,Calculation!B$2:B9627,1))</f>
        <v/>
      </c>
      <c r="E4622" s="29" t="str">
        <f t="array" ref="E4622">IF(D4622="","",IF(D4622=1,0,INDEX(Calculation!Q$2:Q9627,D4622-1)))</f>
        <v/>
      </c>
      <c r="F4622" s="29" t="str">
        <f t="array" ref="F4622">IF($A4622="","",
  LET(
    r, $D4622,
    startD, INDEX(Calculation!B$2:B9627, r),
    endD,   INDEX(Calculation!C$2:C9627, r),
    asOf,   MIN($A4622,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23">
      <c r="A4623" s="28"/>
      <c r="B4623" s="29"/>
      <c r="C4623" s="29" t="str">
        <f t="shared" si="1"/>
        <v/>
      </c>
      <c r="D4623" s="6" t="str">
        <f>IF(A4623="","",MATCH(A4623,Calculation!B$2:B9627,1))</f>
        <v/>
      </c>
      <c r="E4623" s="29" t="str">
        <f t="array" ref="E4623">IF(D4623="","",IF(D4623=1,0,INDEX(Calculation!Q$2:Q9627,D4623-1)))</f>
        <v/>
      </c>
      <c r="F4623" s="29" t="str">
        <f t="array" ref="F4623">IF($A4623="","",
  LET(
    r, $D4623,
    startD, INDEX(Calculation!B$2:B9627, r),
    endD,   INDEX(Calculation!C$2:C9627, r),
    asOf,   MIN($A4623,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24">
      <c r="A4624" s="28"/>
      <c r="B4624" s="29"/>
      <c r="C4624" s="29" t="str">
        <f t="shared" si="1"/>
        <v/>
      </c>
      <c r="D4624" s="6" t="str">
        <f>IF(A4624="","",MATCH(A4624,Calculation!B$2:B9627,1))</f>
        <v/>
      </c>
      <c r="E4624" s="29" t="str">
        <f t="array" ref="E4624">IF(D4624="","",IF(D4624=1,0,INDEX(Calculation!Q$2:Q9627,D4624-1)))</f>
        <v/>
      </c>
      <c r="F4624" s="29" t="str">
        <f t="array" ref="F4624">IF($A4624="","",
  LET(
    r, $D4624,
    startD, INDEX(Calculation!B$2:B9627, r),
    endD,   INDEX(Calculation!C$2:C9627, r),
    asOf,   MIN($A4624,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25">
      <c r="A4625" s="28"/>
      <c r="B4625" s="29"/>
      <c r="C4625" s="29" t="str">
        <f t="shared" si="1"/>
        <v/>
      </c>
      <c r="D4625" s="6" t="str">
        <f>IF(A4625="","",MATCH(A4625,Calculation!B$2:B9627,1))</f>
        <v/>
      </c>
      <c r="E4625" s="29" t="str">
        <f t="array" ref="E4625">IF(D4625="","",IF(D4625=1,0,INDEX(Calculation!Q$2:Q9627,D4625-1)))</f>
        <v/>
      </c>
      <c r="F4625" s="29" t="str">
        <f t="array" ref="F4625">IF($A4625="","",
  LET(
    r, $D4625,
    startD, INDEX(Calculation!B$2:B9627, r),
    endD,   INDEX(Calculation!C$2:C9627, r),
    asOf,   MIN($A4625,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26">
      <c r="A4626" s="28"/>
      <c r="B4626" s="29"/>
      <c r="C4626" s="29" t="str">
        <f t="shared" si="1"/>
        <v/>
      </c>
      <c r="D4626" s="6" t="str">
        <f>IF(A4626="","",MATCH(A4626,Calculation!B$2:B9627,1))</f>
        <v/>
      </c>
      <c r="E4626" s="29" t="str">
        <f t="array" ref="E4626">IF(D4626="","",IF(D4626=1,0,INDEX(Calculation!Q$2:Q9627,D4626-1)))</f>
        <v/>
      </c>
      <c r="F4626" s="29" t="str">
        <f t="array" ref="F4626">IF($A4626="","",
  LET(
    r, $D4626,
    startD, INDEX(Calculation!B$2:B9627, r),
    endD,   INDEX(Calculation!C$2:C9627, r),
    asOf,   MIN($A4626,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27">
      <c r="A4627" s="28"/>
      <c r="B4627" s="29"/>
      <c r="C4627" s="29" t="str">
        <f t="shared" si="1"/>
        <v/>
      </c>
      <c r="D4627" s="6" t="str">
        <f>IF(A4627="","",MATCH(A4627,Calculation!B$2:B9627,1))</f>
        <v/>
      </c>
      <c r="E4627" s="29" t="str">
        <f t="array" ref="E4627">IF(D4627="","",IF(D4627=1,0,INDEX(Calculation!Q$2:Q9627,D4627-1)))</f>
        <v/>
      </c>
      <c r="F4627" s="29" t="str">
        <f t="array" ref="F4627">IF($A4627="","",
  LET(
    r, $D4627,
    startD, INDEX(Calculation!B$2:B9627, r),
    endD,   INDEX(Calculation!C$2:C9627, r),
    asOf,   MIN($A4627,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28">
      <c r="A4628" s="28"/>
      <c r="B4628" s="29"/>
      <c r="C4628" s="29" t="str">
        <f t="shared" si="1"/>
        <v/>
      </c>
      <c r="D4628" s="6" t="str">
        <f>IF(A4628="","",MATCH(A4628,Calculation!B$2:B9627,1))</f>
        <v/>
      </c>
      <c r="E4628" s="29" t="str">
        <f t="array" ref="E4628">IF(D4628="","",IF(D4628=1,0,INDEX(Calculation!Q$2:Q9627,D4628-1)))</f>
        <v/>
      </c>
      <c r="F4628" s="29" t="str">
        <f t="array" ref="F4628">IF($A4628="","",
  LET(
    r, $D4628,
    startD, INDEX(Calculation!B$2:B9627, r),
    endD,   INDEX(Calculation!C$2:C9627, r),
    asOf,   MIN($A4628,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29">
      <c r="A4629" s="28"/>
      <c r="B4629" s="29"/>
      <c r="C4629" s="29" t="str">
        <f t="shared" si="1"/>
        <v/>
      </c>
      <c r="D4629" s="6" t="str">
        <f>IF(A4629="","",MATCH(A4629,Calculation!B$2:B9627,1))</f>
        <v/>
      </c>
      <c r="E4629" s="29" t="str">
        <f t="array" ref="E4629">IF(D4629="","",IF(D4629=1,0,INDEX(Calculation!Q$2:Q9627,D4629-1)))</f>
        <v/>
      </c>
      <c r="F4629" s="29" t="str">
        <f t="array" ref="F4629">IF($A4629="","",
  LET(
    r, $D4629,
    startD, INDEX(Calculation!B$2:B9627, r),
    endD,   INDEX(Calculation!C$2:C9627, r),
    asOf,   MIN($A4629,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30">
      <c r="A4630" s="28"/>
      <c r="B4630" s="29"/>
      <c r="C4630" s="29" t="str">
        <f t="shared" si="1"/>
        <v/>
      </c>
      <c r="D4630" s="6" t="str">
        <f>IF(A4630="","",MATCH(A4630,Calculation!B$2:B9627,1))</f>
        <v/>
      </c>
      <c r="E4630" s="29" t="str">
        <f t="array" ref="E4630">IF(D4630="","",IF(D4630=1,0,INDEX(Calculation!Q$2:Q9627,D4630-1)))</f>
        <v/>
      </c>
      <c r="F4630" s="29" t="str">
        <f t="array" ref="F4630">IF($A4630="","",
  LET(
    r, $D4630,
    startD, INDEX(Calculation!B$2:B9627, r),
    endD,   INDEX(Calculation!C$2:C9627, r),
    asOf,   MIN($A4630,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31">
      <c r="A4631" s="28"/>
      <c r="B4631" s="29"/>
      <c r="C4631" s="29" t="str">
        <f t="shared" si="1"/>
        <v/>
      </c>
      <c r="D4631" s="6" t="str">
        <f>IF(A4631="","",MATCH(A4631,Calculation!B$2:B9627,1))</f>
        <v/>
      </c>
      <c r="E4631" s="29" t="str">
        <f t="array" ref="E4631">IF(D4631="","",IF(D4631=1,0,INDEX(Calculation!Q$2:Q9627,D4631-1)))</f>
        <v/>
      </c>
      <c r="F4631" s="29" t="str">
        <f t="array" ref="F4631">IF($A4631="","",
  LET(
    r, $D4631,
    startD, INDEX(Calculation!B$2:B9627, r),
    endD,   INDEX(Calculation!C$2:C9627, r),
    asOf,   MIN($A4631,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32">
      <c r="A4632" s="28"/>
      <c r="B4632" s="29"/>
      <c r="C4632" s="29" t="str">
        <f t="shared" si="1"/>
        <v/>
      </c>
      <c r="D4632" s="6" t="str">
        <f>IF(A4632="","",MATCH(A4632,Calculation!B$2:B9627,1))</f>
        <v/>
      </c>
      <c r="E4632" s="29" t="str">
        <f t="array" ref="E4632">IF(D4632="","",IF(D4632=1,0,INDEX(Calculation!Q$2:Q9627,D4632-1)))</f>
        <v/>
      </c>
      <c r="F4632" s="29" t="str">
        <f t="array" ref="F4632">IF($A4632="","",
  LET(
    r, $D4632,
    startD, INDEX(Calculation!B$2:B9627, r),
    endD,   INDEX(Calculation!C$2:C9627, r),
    asOf,   MIN($A4632,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33">
      <c r="A4633" s="28"/>
      <c r="B4633" s="29"/>
      <c r="C4633" s="29" t="str">
        <f t="shared" si="1"/>
        <v/>
      </c>
      <c r="D4633" s="6" t="str">
        <f>IF(A4633="","",MATCH(A4633,Calculation!B$2:B9627,1))</f>
        <v/>
      </c>
      <c r="E4633" s="29" t="str">
        <f t="array" ref="E4633">IF(D4633="","",IF(D4633=1,0,INDEX(Calculation!Q$2:Q9627,D4633-1)))</f>
        <v/>
      </c>
      <c r="F4633" s="29" t="str">
        <f t="array" ref="F4633">IF($A4633="","",
  LET(
    r, $D4633,
    startD, INDEX(Calculation!B$2:B9627, r),
    endD,   INDEX(Calculation!C$2:C9627, r),
    asOf,   MIN($A4633,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34">
      <c r="A4634" s="28"/>
      <c r="B4634" s="29"/>
      <c r="C4634" s="29" t="str">
        <f t="shared" si="1"/>
        <v/>
      </c>
      <c r="D4634" s="6" t="str">
        <f>IF(A4634="","",MATCH(A4634,Calculation!B$2:B9627,1))</f>
        <v/>
      </c>
      <c r="E4634" s="29" t="str">
        <f t="array" ref="E4634">IF(D4634="","",IF(D4634=1,0,INDEX(Calculation!Q$2:Q9627,D4634-1)))</f>
        <v/>
      </c>
      <c r="F4634" s="29" t="str">
        <f t="array" ref="F4634">IF($A4634="","",
  LET(
    r, $D4634,
    startD, INDEX(Calculation!B$2:B9627, r),
    endD,   INDEX(Calculation!C$2:C9627, r),
    asOf,   MIN($A4634,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35">
      <c r="A4635" s="28"/>
      <c r="B4635" s="29"/>
      <c r="C4635" s="29" t="str">
        <f t="shared" si="1"/>
        <v/>
      </c>
      <c r="D4635" s="6" t="str">
        <f>IF(A4635="","",MATCH(A4635,Calculation!B$2:B9627,1))</f>
        <v/>
      </c>
      <c r="E4635" s="29" t="str">
        <f t="array" ref="E4635">IF(D4635="","",IF(D4635=1,0,INDEX(Calculation!Q$2:Q9627,D4635-1)))</f>
        <v/>
      </c>
      <c r="F4635" s="29" t="str">
        <f t="array" ref="F4635">IF($A4635="","",
  LET(
    r, $D4635,
    startD, INDEX(Calculation!B$2:B9627, r),
    endD,   INDEX(Calculation!C$2:C9627, r),
    asOf,   MIN($A4635,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36">
      <c r="A4636" s="28"/>
      <c r="B4636" s="29"/>
      <c r="C4636" s="29" t="str">
        <f t="shared" si="1"/>
        <v/>
      </c>
      <c r="D4636" s="6" t="str">
        <f>IF(A4636="","",MATCH(A4636,Calculation!B$2:B9627,1))</f>
        <v/>
      </c>
      <c r="E4636" s="29" t="str">
        <f t="array" ref="E4636">IF(D4636="","",IF(D4636=1,0,INDEX(Calculation!Q$2:Q9627,D4636-1)))</f>
        <v/>
      </c>
      <c r="F4636" s="29" t="str">
        <f t="array" ref="F4636">IF($A4636="","",
  LET(
    r, $D4636,
    startD, INDEX(Calculation!B$2:B9627, r),
    endD,   INDEX(Calculation!C$2:C9627, r),
    asOf,   MIN($A4636,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37">
      <c r="A4637" s="28"/>
      <c r="B4637" s="29"/>
      <c r="C4637" s="29" t="str">
        <f t="shared" si="1"/>
        <v/>
      </c>
      <c r="D4637" s="6" t="str">
        <f>IF(A4637="","",MATCH(A4637,Calculation!B$2:B9627,1))</f>
        <v/>
      </c>
      <c r="E4637" s="29" t="str">
        <f t="array" ref="E4637">IF(D4637="","",IF(D4637=1,0,INDEX(Calculation!Q$2:Q9627,D4637-1)))</f>
        <v/>
      </c>
      <c r="F4637" s="29" t="str">
        <f t="array" ref="F4637">IF($A4637="","",
  LET(
    r, $D4637,
    startD, INDEX(Calculation!B$2:B9627, r),
    endD,   INDEX(Calculation!C$2:C9627, r),
    asOf,   MIN($A4637,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38">
      <c r="A4638" s="28"/>
      <c r="B4638" s="29"/>
      <c r="C4638" s="29" t="str">
        <f t="shared" si="1"/>
        <v/>
      </c>
      <c r="D4638" s="6" t="str">
        <f>IF(A4638="","",MATCH(A4638,Calculation!B$2:B9627,1))</f>
        <v/>
      </c>
      <c r="E4638" s="29" t="str">
        <f t="array" ref="E4638">IF(D4638="","",IF(D4638=1,0,INDEX(Calculation!Q$2:Q9627,D4638-1)))</f>
        <v/>
      </c>
      <c r="F4638" s="29" t="str">
        <f t="array" ref="F4638">IF($A4638="","",
  LET(
    r, $D4638,
    startD, INDEX(Calculation!B$2:B9627, r),
    endD,   INDEX(Calculation!C$2:C9627, r),
    asOf,   MIN($A4638,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39">
      <c r="A4639" s="28"/>
      <c r="B4639" s="29"/>
      <c r="C4639" s="29" t="str">
        <f t="shared" si="1"/>
        <v/>
      </c>
      <c r="D4639" s="6" t="str">
        <f>IF(A4639="","",MATCH(A4639,Calculation!B$2:B9627,1))</f>
        <v/>
      </c>
      <c r="E4639" s="29" t="str">
        <f t="array" ref="E4639">IF(D4639="","",IF(D4639=1,0,INDEX(Calculation!Q$2:Q9627,D4639-1)))</f>
        <v/>
      </c>
      <c r="F4639" s="29" t="str">
        <f t="array" ref="F4639">IF($A4639="","",
  LET(
    r, $D4639,
    startD, INDEX(Calculation!B$2:B9627, r),
    endD,   INDEX(Calculation!C$2:C9627, r),
    asOf,   MIN($A4639,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40">
      <c r="A4640" s="28"/>
      <c r="B4640" s="29"/>
      <c r="C4640" s="29" t="str">
        <f t="shared" si="1"/>
        <v/>
      </c>
      <c r="D4640" s="6" t="str">
        <f>IF(A4640="","",MATCH(A4640,Calculation!B$2:B9627,1))</f>
        <v/>
      </c>
      <c r="E4640" s="29" t="str">
        <f t="array" ref="E4640">IF(D4640="","",IF(D4640=1,0,INDEX(Calculation!Q$2:Q9627,D4640-1)))</f>
        <v/>
      </c>
      <c r="F4640" s="29" t="str">
        <f t="array" ref="F4640">IF($A4640="","",
  LET(
    r, $D4640,
    startD, INDEX(Calculation!B$2:B9627, r),
    endD,   INDEX(Calculation!C$2:C9627, r),
    asOf,   MIN($A4640,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41">
      <c r="A4641" s="28"/>
      <c r="B4641" s="29"/>
      <c r="C4641" s="29" t="str">
        <f t="shared" si="1"/>
        <v/>
      </c>
      <c r="D4641" s="6" t="str">
        <f>IF(A4641="","",MATCH(A4641,Calculation!B$2:B9627,1))</f>
        <v/>
      </c>
      <c r="E4641" s="29" t="str">
        <f t="array" ref="E4641">IF(D4641="","",IF(D4641=1,0,INDEX(Calculation!Q$2:Q9627,D4641-1)))</f>
        <v/>
      </c>
      <c r="F4641" s="29" t="str">
        <f t="array" ref="F4641">IF($A4641="","",
  LET(
    r, $D4641,
    startD, INDEX(Calculation!B$2:B9627, r),
    endD,   INDEX(Calculation!C$2:C9627, r),
    asOf,   MIN($A4641,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42">
      <c r="A4642" s="28"/>
      <c r="B4642" s="29"/>
      <c r="C4642" s="29" t="str">
        <f t="shared" si="1"/>
        <v/>
      </c>
      <c r="D4642" s="6" t="str">
        <f>IF(A4642="","",MATCH(A4642,Calculation!B$2:B9627,1))</f>
        <v/>
      </c>
      <c r="E4642" s="29" t="str">
        <f t="array" ref="E4642">IF(D4642="","",IF(D4642=1,0,INDEX(Calculation!Q$2:Q9627,D4642-1)))</f>
        <v/>
      </c>
      <c r="F4642" s="29" t="str">
        <f t="array" ref="F4642">IF($A4642="","",
  LET(
    r, $D4642,
    startD, INDEX(Calculation!B$2:B9627, r),
    endD,   INDEX(Calculation!C$2:C9627, r),
    asOf,   MIN($A4642,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43">
      <c r="A4643" s="28"/>
      <c r="B4643" s="29"/>
      <c r="C4643" s="29" t="str">
        <f t="shared" si="1"/>
        <v/>
      </c>
      <c r="D4643" s="6" t="str">
        <f>IF(A4643="","",MATCH(A4643,Calculation!B$2:B9627,1))</f>
        <v/>
      </c>
      <c r="E4643" s="29" t="str">
        <f t="array" ref="E4643">IF(D4643="","",IF(D4643=1,0,INDEX(Calculation!Q$2:Q9627,D4643-1)))</f>
        <v/>
      </c>
      <c r="F4643" s="29" t="str">
        <f t="array" ref="F4643">IF($A4643="","",
  LET(
    r, $D4643,
    startD, INDEX(Calculation!B$2:B9627, r),
    endD,   INDEX(Calculation!C$2:C9627, r),
    asOf,   MIN($A4643,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44">
      <c r="A4644" s="28"/>
      <c r="B4644" s="29"/>
      <c r="C4644" s="29" t="str">
        <f t="shared" si="1"/>
        <v/>
      </c>
      <c r="D4644" s="6" t="str">
        <f>IF(A4644="","",MATCH(A4644,Calculation!B$2:B9627,1))</f>
        <v/>
      </c>
      <c r="E4644" s="29" t="str">
        <f t="array" ref="E4644">IF(D4644="","",IF(D4644=1,0,INDEX(Calculation!Q$2:Q9627,D4644-1)))</f>
        <v/>
      </c>
      <c r="F4644" s="29" t="str">
        <f t="array" ref="F4644">IF($A4644="","",
  LET(
    r, $D4644,
    startD, INDEX(Calculation!B$2:B9627, r),
    endD,   INDEX(Calculation!C$2:C9627, r),
    asOf,   MIN($A4644,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45">
      <c r="A4645" s="28"/>
      <c r="B4645" s="29"/>
      <c r="C4645" s="29" t="str">
        <f t="shared" si="1"/>
        <v/>
      </c>
      <c r="D4645" s="6" t="str">
        <f>IF(A4645="","",MATCH(A4645,Calculation!B$2:B9627,1))</f>
        <v/>
      </c>
      <c r="E4645" s="29" t="str">
        <f t="array" ref="E4645">IF(D4645="","",IF(D4645=1,0,INDEX(Calculation!Q$2:Q9627,D4645-1)))</f>
        <v/>
      </c>
      <c r="F4645" s="29" t="str">
        <f t="array" ref="F4645">IF($A4645="","",
  LET(
    r, $D4645,
    startD, INDEX(Calculation!B$2:B9627, r),
    endD,   INDEX(Calculation!C$2:C9627, r),
    asOf,   MIN($A4645,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46">
      <c r="A4646" s="28"/>
      <c r="B4646" s="29"/>
      <c r="C4646" s="29" t="str">
        <f t="shared" si="1"/>
        <v/>
      </c>
      <c r="D4646" s="6" t="str">
        <f>IF(A4646="","",MATCH(A4646,Calculation!B$2:B9627,1))</f>
        <v/>
      </c>
      <c r="E4646" s="29" t="str">
        <f t="array" ref="E4646">IF(D4646="","",IF(D4646=1,0,INDEX(Calculation!Q$2:Q9627,D4646-1)))</f>
        <v/>
      </c>
      <c r="F4646" s="29" t="str">
        <f t="array" ref="F4646">IF($A4646="","",
  LET(
    r, $D4646,
    startD, INDEX(Calculation!B$2:B9627, r),
    endD,   INDEX(Calculation!C$2:C9627, r),
    asOf,   MIN($A4646,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47">
      <c r="A4647" s="28"/>
      <c r="B4647" s="29"/>
      <c r="C4647" s="29" t="str">
        <f t="shared" si="1"/>
        <v/>
      </c>
      <c r="D4647" s="6" t="str">
        <f>IF(A4647="","",MATCH(A4647,Calculation!B$2:B9627,1))</f>
        <v/>
      </c>
      <c r="E4647" s="29" t="str">
        <f t="array" ref="E4647">IF(D4647="","",IF(D4647=1,0,INDEX(Calculation!Q$2:Q9627,D4647-1)))</f>
        <v/>
      </c>
      <c r="F4647" s="29" t="str">
        <f t="array" ref="F4647">IF($A4647="","",
  LET(
    r, $D4647,
    startD, INDEX(Calculation!B$2:B9627, r),
    endD,   INDEX(Calculation!C$2:C9627, r),
    asOf,   MIN($A4647,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48">
      <c r="A4648" s="28"/>
      <c r="B4648" s="29"/>
      <c r="C4648" s="29" t="str">
        <f t="shared" si="1"/>
        <v/>
      </c>
      <c r="D4648" s="6" t="str">
        <f>IF(A4648="","",MATCH(A4648,Calculation!B$2:B9627,1))</f>
        <v/>
      </c>
      <c r="E4648" s="29" t="str">
        <f t="array" ref="E4648">IF(D4648="","",IF(D4648=1,0,INDEX(Calculation!Q$2:Q9627,D4648-1)))</f>
        <v/>
      </c>
      <c r="F4648" s="29" t="str">
        <f t="array" ref="F4648">IF($A4648="","",
  LET(
    r, $D4648,
    startD, INDEX(Calculation!B$2:B9627, r),
    endD,   INDEX(Calculation!C$2:C9627, r),
    asOf,   MIN($A4648,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49">
      <c r="A4649" s="28"/>
      <c r="B4649" s="29"/>
      <c r="C4649" s="29" t="str">
        <f t="shared" si="1"/>
        <v/>
      </c>
      <c r="D4649" s="6" t="str">
        <f>IF(A4649="","",MATCH(A4649,Calculation!B$2:B9627,1))</f>
        <v/>
      </c>
      <c r="E4649" s="29" t="str">
        <f t="array" ref="E4649">IF(D4649="","",IF(D4649=1,0,INDEX(Calculation!Q$2:Q9627,D4649-1)))</f>
        <v/>
      </c>
      <c r="F4649" s="29" t="str">
        <f t="array" ref="F4649">IF($A4649="","",
  LET(
    r, $D4649,
    startD, INDEX(Calculation!B$2:B9627, r),
    endD,   INDEX(Calculation!C$2:C9627, r),
    asOf,   MIN($A4649,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50">
      <c r="A4650" s="28"/>
      <c r="B4650" s="29"/>
      <c r="C4650" s="29" t="str">
        <f t="shared" si="1"/>
        <v/>
      </c>
      <c r="D4650" s="6" t="str">
        <f>IF(A4650="","",MATCH(A4650,Calculation!B$2:B9627,1))</f>
        <v/>
      </c>
      <c r="E4650" s="29" t="str">
        <f t="array" ref="E4650">IF(D4650="","",IF(D4650=1,0,INDEX(Calculation!Q$2:Q9627,D4650-1)))</f>
        <v/>
      </c>
      <c r="F4650" s="29" t="str">
        <f t="array" ref="F4650">IF($A4650="","",
  LET(
    r, $D4650,
    startD, INDEX(Calculation!B$2:B9627, r),
    endD,   INDEX(Calculation!C$2:C9627, r),
    asOf,   MIN($A4650,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51">
      <c r="A4651" s="28"/>
      <c r="B4651" s="29"/>
      <c r="C4651" s="29" t="str">
        <f t="shared" si="1"/>
        <v/>
      </c>
      <c r="D4651" s="6" t="str">
        <f>IF(A4651="","",MATCH(A4651,Calculation!B$2:B9627,1))</f>
        <v/>
      </c>
      <c r="E4651" s="29" t="str">
        <f t="array" ref="E4651">IF(D4651="","",IF(D4651=1,0,INDEX(Calculation!Q$2:Q9627,D4651-1)))</f>
        <v/>
      </c>
      <c r="F4651" s="29" t="str">
        <f t="array" ref="F4651">IF($A4651="","",
  LET(
    r, $D4651,
    startD, INDEX(Calculation!B$2:B9627, r),
    endD,   INDEX(Calculation!C$2:C9627, r),
    asOf,   MIN($A4651,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52">
      <c r="A4652" s="28"/>
      <c r="B4652" s="29"/>
      <c r="C4652" s="29" t="str">
        <f t="shared" si="1"/>
        <v/>
      </c>
      <c r="D4652" s="6" t="str">
        <f>IF(A4652="","",MATCH(A4652,Calculation!B$2:B9627,1))</f>
        <v/>
      </c>
      <c r="E4652" s="29" t="str">
        <f t="array" ref="E4652">IF(D4652="","",IF(D4652=1,0,INDEX(Calculation!Q$2:Q9627,D4652-1)))</f>
        <v/>
      </c>
      <c r="F4652" s="29" t="str">
        <f t="array" ref="F4652">IF($A4652="","",
  LET(
    r, $D4652,
    startD, INDEX(Calculation!B$2:B9627, r),
    endD,   INDEX(Calculation!C$2:C9627, r),
    asOf,   MIN($A4652,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53">
      <c r="A4653" s="28"/>
      <c r="B4653" s="29"/>
      <c r="C4653" s="29" t="str">
        <f t="shared" si="1"/>
        <v/>
      </c>
      <c r="D4653" s="6" t="str">
        <f>IF(A4653="","",MATCH(A4653,Calculation!B$2:B9627,1))</f>
        <v/>
      </c>
      <c r="E4653" s="29" t="str">
        <f t="array" ref="E4653">IF(D4653="","",IF(D4653=1,0,INDEX(Calculation!Q$2:Q9627,D4653-1)))</f>
        <v/>
      </c>
      <c r="F4653" s="29" t="str">
        <f t="array" ref="F4653">IF($A4653="","",
  LET(
    r, $D4653,
    startD, INDEX(Calculation!B$2:B9627, r),
    endD,   INDEX(Calculation!C$2:C9627, r),
    asOf,   MIN($A4653,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54">
      <c r="A4654" s="28"/>
      <c r="B4654" s="29"/>
      <c r="C4654" s="29" t="str">
        <f t="shared" si="1"/>
        <v/>
      </c>
      <c r="D4654" s="6" t="str">
        <f>IF(A4654="","",MATCH(A4654,Calculation!B$2:B9627,1))</f>
        <v/>
      </c>
      <c r="E4654" s="29" t="str">
        <f t="array" ref="E4654">IF(D4654="","",IF(D4654=1,0,INDEX(Calculation!Q$2:Q9627,D4654-1)))</f>
        <v/>
      </c>
      <c r="F4654" s="29" t="str">
        <f t="array" ref="F4654">IF($A4654="","",
  LET(
    r, $D4654,
    startD, INDEX(Calculation!B$2:B9627, r),
    endD,   INDEX(Calculation!C$2:C9627, r),
    asOf,   MIN($A4654,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55">
      <c r="A4655" s="28"/>
      <c r="B4655" s="29"/>
      <c r="C4655" s="29" t="str">
        <f t="shared" si="1"/>
        <v/>
      </c>
      <c r="D4655" s="6" t="str">
        <f>IF(A4655="","",MATCH(A4655,Calculation!B$2:B9627,1))</f>
        <v/>
      </c>
      <c r="E4655" s="29" t="str">
        <f t="array" ref="E4655">IF(D4655="","",IF(D4655=1,0,INDEX(Calculation!Q$2:Q9627,D4655-1)))</f>
        <v/>
      </c>
      <c r="F4655" s="29" t="str">
        <f t="array" ref="F4655">IF($A4655="","",
  LET(
    r, $D4655,
    startD, INDEX(Calculation!B$2:B9627, r),
    endD,   INDEX(Calculation!C$2:C9627, r),
    asOf,   MIN($A4655,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56">
      <c r="A4656" s="28"/>
      <c r="B4656" s="29"/>
      <c r="C4656" s="29" t="str">
        <f t="shared" si="1"/>
        <v/>
      </c>
      <c r="D4656" s="6" t="str">
        <f>IF(A4656="","",MATCH(A4656,Calculation!B$2:B9627,1))</f>
        <v/>
      </c>
      <c r="E4656" s="29" t="str">
        <f t="array" ref="E4656">IF(D4656="","",IF(D4656=1,0,INDEX(Calculation!Q$2:Q9627,D4656-1)))</f>
        <v/>
      </c>
      <c r="F4656" s="29" t="str">
        <f t="array" ref="F4656">IF($A4656="","",
  LET(
    r, $D4656,
    startD, INDEX(Calculation!B$2:B9627, r),
    endD,   INDEX(Calculation!C$2:C9627, r),
    asOf,   MIN($A4656,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57">
      <c r="A4657" s="28"/>
      <c r="B4657" s="29"/>
      <c r="C4657" s="29" t="str">
        <f t="shared" si="1"/>
        <v/>
      </c>
      <c r="D4657" s="6" t="str">
        <f>IF(A4657="","",MATCH(A4657,Calculation!B$2:B9627,1))</f>
        <v/>
      </c>
      <c r="E4657" s="29" t="str">
        <f t="array" ref="E4657">IF(D4657="","",IF(D4657=1,0,INDEX(Calculation!Q$2:Q9627,D4657-1)))</f>
        <v/>
      </c>
      <c r="F4657" s="29" t="str">
        <f t="array" ref="F4657">IF($A4657="","",
  LET(
    r, $D4657,
    startD, INDEX(Calculation!B$2:B9627, r),
    endD,   INDEX(Calculation!C$2:C9627, r),
    asOf,   MIN($A4657,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58">
      <c r="A4658" s="28"/>
      <c r="B4658" s="29"/>
      <c r="C4658" s="29" t="str">
        <f t="shared" si="1"/>
        <v/>
      </c>
      <c r="D4658" s="6" t="str">
        <f>IF(A4658="","",MATCH(A4658,Calculation!B$2:B9627,1))</f>
        <v/>
      </c>
      <c r="E4658" s="29" t="str">
        <f t="array" ref="E4658">IF(D4658="","",IF(D4658=1,0,INDEX(Calculation!Q$2:Q9627,D4658-1)))</f>
        <v/>
      </c>
      <c r="F4658" s="29" t="str">
        <f t="array" ref="F4658">IF($A4658="","",
  LET(
    r, $D4658,
    startD, INDEX(Calculation!B$2:B9627, r),
    endD,   INDEX(Calculation!C$2:C9627, r),
    asOf,   MIN($A4658,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59">
      <c r="A4659" s="28"/>
      <c r="B4659" s="29"/>
      <c r="C4659" s="29" t="str">
        <f t="shared" si="1"/>
        <v/>
      </c>
      <c r="D4659" s="6" t="str">
        <f>IF(A4659="","",MATCH(A4659,Calculation!B$2:B9627,1))</f>
        <v/>
      </c>
      <c r="E4659" s="29" t="str">
        <f t="array" ref="E4659">IF(D4659="","",IF(D4659=1,0,INDEX(Calculation!Q$2:Q9627,D4659-1)))</f>
        <v/>
      </c>
      <c r="F4659" s="29" t="str">
        <f t="array" ref="F4659">IF($A4659="","",
  LET(
    r, $D4659,
    startD, INDEX(Calculation!B$2:B9627, r),
    endD,   INDEX(Calculation!C$2:C9627, r),
    asOf,   MIN($A4659,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60">
      <c r="A4660" s="28"/>
      <c r="B4660" s="29"/>
      <c r="C4660" s="29" t="str">
        <f t="shared" si="1"/>
        <v/>
      </c>
      <c r="D4660" s="6" t="str">
        <f>IF(A4660="","",MATCH(A4660,Calculation!B$2:B9627,1))</f>
        <v/>
      </c>
      <c r="E4660" s="29" t="str">
        <f t="array" ref="E4660">IF(D4660="","",IF(D4660=1,0,INDEX(Calculation!Q$2:Q9627,D4660-1)))</f>
        <v/>
      </c>
      <c r="F4660" s="29" t="str">
        <f t="array" ref="F4660">IF($A4660="","",
  LET(
    r, $D4660,
    startD, INDEX(Calculation!B$2:B9627, r),
    endD,   INDEX(Calculation!C$2:C9627, r),
    asOf,   MIN($A4660,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61">
      <c r="A4661" s="28"/>
      <c r="B4661" s="29"/>
      <c r="C4661" s="29" t="str">
        <f t="shared" si="1"/>
        <v/>
      </c>
      <c r="D4661" s="6" t="str">
        <f>IF(A4661="","",MATCH(A4661,Calculation!B$2:B9627,1))</f>
        <v/>
      </c>
      <c r="E4661" s="29" t="str">
        <f t="array" ref="E4661">IF(D4661="","",IF(D4661=1,0,INDEX(Calculation!Q$2:Q9627,D4661-1)))</f>
        <v/>
      </c>
      <c r="F4661" s="29" t="str">
        <f t="array" ref="F4661">IF($A4661="","",
  LET(
    r, $D4661,
    startD, INDEX(Calculation!B$2:B9627, r),
    endD,   INDEX(Calculation!C$2:C9627, r),
    asOf,   MIN($A4661,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62">
      <c r="A4662" s="28"/>
      <c r="B4662" s="29"/>
      <c r="C4662" s="29" t="str">
        <f t="shared" si="1"/>
        <v/>
      </c>
      <c r="D4662" s="6" t="str">
        <f>IF(A4662="","",MATCH(A4662,Calculation!B$2:B9627,1))</f>
        <v/>
      </c>
      <c r="E4662" s="29" t="str">
        <f t="array" ref="E4662">IF(D4662="","",IF(D4662=1,0,INDEX(Calculation!Q$2:Q9627,D4662-1)))</f>
        <v/>
      </c>
      <c r="F4662" s="29" t="str">
        <f t="array" ref="F4662">IF($A4662="","",
  LET(
    r, $D4662,
    startD, INDEX(Calculation!B$2:B9627, r),
    endD,   INDEX(Calculation!C$2:C9627, r),
    asOf,   MIN($A4662,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63">
      <c r="A4663" s="28"/>
      <c r="B4663" s="29"/>
      <c r="C4663" s="29" t="str">
        <f t="shared" si="1"/>
        <v/>
      </c>
      <c r="D4663" s="6" t="str">
        <f>IF(A4663="","",MATCH(A4663,Calculation!B$2:B9627,1))</f>
        <v/>
      </c>
      <c r="E4663" s="29" t="str">
        <f t="array" ref="E4663">IF(D4663="","",IF(D4663=1,0,INDEX(Calculation!Q$2:Q9627,D4663-1)))</f>
        <v/>
      </c>
      <c r="F4663" s="29" t="str">
        <f t="array" ref="F4663">IF($A4663="","",
  LET(
    r, $D4663,
    startD, INDEX(Calculation!B$2:B9627, r),
    endD,   INDEX(Calculation!C$2:C9627, r),
    asOf,   MIN($A4663,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64">
      <c r="A4664" s="28"/>
      <c r="B4664" s="29"/>
      <c r="C4664" s="29" t="str">
        <f t="shared" si="1"/>
        <v/>
      </c>
      <c r="D4664" s="6" t="str">
        <f>IF(A4664="","",MATCH(A4664,Calculation!B$2:B9627,1))</f>
        <v/>
      </c>
      <c r="E4664" s="29" t="str">
        <f t="array" ref="E4664">IF(D4664="","",IF(D4664=1,0,INDEX(Calculation!Q$2:Q9627,D4664-1)))</f>
        <v/>
      </c>
      <c r="F4664" s="29" t="str">
        <f t="array" ref="F4664">IF($A4664="","",
  LET(
    r, $D4664,
    startD, INDEX(Calculation!B$2:B9627, r),
    endD,   INDEX(Calculation!C$2:C9627, r),
    asOf,   MIN($A4664,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65">
      <c r="A4665" s="28"/>
      <c r="B4665" s="29"/>
      <c r="C4665" s="29" t="str">
        <f t="shared" si="1"/>
        <v/>
      </c>
      <c r="D4665" s="6" t="str">
        <f>IF(A4665="","",MATCH(A4665,Calculation!B$2:B9627,1))</f>
        <v/>
      </c>
      <c r="E4665" s="29" t="str">
        <f t="array" ref="E4665">IF(D4665="","",IF(D4665=1,0,INDEX(Calculation!Q$2:Q9627,D4665-1)))</f>
        <v/>
      </c>
      <c r="F4665" s="29" t="str">
        <f t="array" ref="F4665">IF($A4665="","",
  LET(
    r, $D4665,
    startD, INDEX(Calculation!B$2:B9627, r),
    endD,   INDEX(Calculation!C$2:C9627, r),
    asOf,   MIN($A4665,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66">
      <c r="A4666" s="28"/>
      <c r="B4666" s="29"/>
      <c r="C4666" s="29" t="str">
        <f t="shared" si="1"/>
        <v/>
      </c>
      <c r="D4666" s="6" t="str">
        <f>IF(A4666="","",MATCH(A4666,Calculation!B$2:B9627,1))</f>
        <v/>
      </c>
      <c r="E4666" s="29" t="str">
        <f t="array" ref="E4666">IF(D4666="","",IF(D4666=1,0,INDEX(Calculation!Q$2:Q9627,D4666-1)))</f>
        <v/>
      </c>
      <c r="F4666" s="29" t="str">
        <f t="array" ref="F4666">IF($A4666="","",
  LET(
    r, $D4666,
    startD, INDEX(Calculation!B$2:B9627, r),
    endD,   INDEX(Calculation!C$2:C9627, r),
    asOf,   MIN($A4666,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67">
      <c r="A4667" s="28"/>
      <c r="B4667" s="29"/>
      <c r="C4667" s="29" t="str">
        <f t="shared" si="1"/>
        <v/>
      </c>
      <c r="D4667" s="6" t="str">
        <f>IF(A4667="","",MATCH(A4667,Calculation!B$2:B9627,1))</f>
        <v/>
      </c>
      <c r="E4667" s="29" t="str">
        <f t="array" ref="E4667">IF(D4667="","",IF(D4667=1,0,INDEX(Calculation!Q$2:Q9627,D4667-1)))</f>
        <v/>
      </c>
      <c r="F4667" s="29" t="str">
        <f t="array" ref="F4667">IF($A4667="","",
  LET(
    r, $D4667,
    startD, INDEX(Calculation!B$2:B9627, r),
    endD,   INDEX(Calculation!C$2:C9627, r),
    asOf,   MIN($A4667,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68">
      <c r="A4668" s="28"/>
      <c r="B4668" s="29"/>
      <c r="C4668" s="29" t="str">
        <f t="shared" si="1"/>
        <v/>
      </c>
      <c r="D4668" s="6" t="str">
        <f>IF(A4668="","",MATCH(A4668,Calculation!B$2:B9627,1))</f>
        <v/>
      </c>
      <c r="E4668" s="29" t="str">
        <f t="array" ref="E4668">IF(D4668="","",IF(D4668=1,0,INDEX(Calculation!Q$2:Q9627,D4668-1)))</f>
        <v/>
      </c>
      <c r="F4668" s="29" t="str">
        <f t="array" ref="F4668">IF($A4668="","",
  LET(
    r, $D4668,
    startD, INDEX(Calculation!B$2:B9627, r),
    endD,   INDEX(Calculation!C$2:C9627, r),
    asOf,   MIN($A4668,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69">
      <c r="A4669" s="28"/>
      <c r="B4669" s="29"/>
      <c r="C4669" s="29" t="str">
        <f t="shared" si="1"/>
        <v/>
      </c>
      <c r="D4669" s="6" t="str">
        <f>IF(A4669="","",MATCH(A4669,Calculation!B$2:B9627,1))</f>
        <v/>
      </c>
      <c r="E4669" s="29" t="str">
        <f t="array" ref="E4669">IF(D4669="","",IF(D4669=1,0,INDEX(Calculation!Q$2:Q9627,D4669-1)))</f>
        <v/>
      </c>
      <c r="F4669" s="29" t="str">
        <f t="array" ref="F4669">IF($A4669="","",
  LET(
    r, $D4669,
    startD, INDEX(Calculation!B$2:B9627, r),
    endD,   INDEX(Calculation!C$2:C9627, r),
    asOf,   MIN($A4669,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70">
      <c r="A4670" s="28"/>
      <c r="B4670" s="29"/>
      <c r="C4670" s="29" t="str">
        <f t="shared" si="1"/>
        <v/>
      </c>
      <c r="D4670" s="6" t="str">
        <f>IF(A4670="","",MATCH(A4670,Calculation!B$2:B9627,1))</f>
        <v/>
      </c>
      <c r="E4670" s="29" t="str">
        <f t="array" ref="E4670">IF(D4670="","",IF(D4670=1,0,INDEX(Calculation!Q$2:Q9627,D4670-1)))</f>
        <v/>
      </c>
      <c r="F4670" s="29" t="str">
        <f t="array" ref="F4670">IF($A4670="","",
  LET(
    r, $D4670,
    startD, INDEX(Calculation!B$2:B9627, r),
    endD,   INDEX(Calculation!C$2:C9627, r),
    asOf,   MIN($A4670,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71">
      <c r="A4671" s="28"/>
      <c r="B4671" s="29"/>
      <c r="C4671" s="29" t="str">
        <f t="shared" si="1"/>
        <v/>
      </c>
      <c r="D4671" s="6" t="str">
        <f>IF(A4671="","",MATCH(A4671,Calculation!B$2:B9627,1))</f>
        <v/>
      </c>
      <c r="E4671" s="29" t="str">
        <f t="array" ref="E4671">IF(D4671="","",IF(D4671=1,0,INDEX(Calculation!Q$2:Q9627,D4671-1)))</f>
        <v/>
      </c>
      <c r="F4671" s="29" t="str">
        <f t="array" ref="F4671">IF($A4671="","",
  LET(
    r, $D4671,
    startD, INDEX(Calculation!B$2:B9627, r),
    endD,   INDEX(Calculation!C$2:C9627, r),
    asOf,   MIN($A4671,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72">
      <c r="A4672" s="28"/>
      <c r="B4672" s="29"/>
      <c r="C4672" s="29" t="str">
        <f t="shared" si="1"/>
        <v/>
      </c>
      <c r="D4672" s="6" t="str">
        <f>IF(A4672="","",MATCH(A4672,Calculation!B$2:B9627,1))</f>
        <v/>
      </c>
      <c r="E4672" s="29" t="str">
        <f t="array" ref="E4672">IF(D4672="","",IF(D4672=1,0,INDEX(Calculation!Q$2:Q9627,D4672-1)))</f>
        <v/>
      </c>
      <c r="F4672" s="29" t="str">
        <f t="array" ref="F4672">IF($A4672="","",
  LET(
    r, $D4672,
    startD, INDEX(Calculation!B$2:B9627, r),
    endD,   INDEX(Calculation!C$2:C9627, r),
    asOf,   MIN($A4672,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73">
      <c r="A4673" s="28"/>
      <c r="B4673" s="29"/>
      <c r="C4673" s="29" t="str">
        <f t="shared" si="1"/>
        <v/>
      </c>
      <c r="D4673" s="6" t="str">
        <f>IF(A4673="","",MATCH(A4673,Calculation!B$2:B9627,1))</f>
        <v/>
      </c>
      <c r="E4673" s="29" t="str">
        <f t="array" ref="E4673">IF(D4673="","",IF(D4673=1,0,INDEX(Calculation!Q$2:Q9627,D4673-1)))</f>
        <v/>
      </c>
      <c r="F4673" s="29" t="str">
        <f t="array" ref="F4673">IF($A4673="","",
  LET(
    r, $D4673,
    startD, INDEX(Calculation!B$2:B9627, r),
    endD,   INDEX(Calculation!C$2:C9627, r),
    asOf,   MIN($A4673,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74">
      <c r="A4674" s="28"/>
      <c r="B4674" s="29"/>
      <c r="C4674" s="29" t="str">
        <f t="shared" si="1"/>
        <v/>
      </c>
      <c r="D4674" s="6" t="str">
        <f>IF(A4674="","",MATCH(A4674,Calculation!B$2:B9627,1))</f>
        <v/>
      </c>
      <c r="E4674" s="29" t="str">
        <f t="array" ref="E4674">IF(D4674="","",IF(D4674=1,0,INDEX(Calculation!Q$2:Q9627,D4674-1)))</f>
        <v/>
      </c>
      <c r="F4674" s="29" t="str">
        <f t="array" ref="F4674">IF($A4674="","",
  LET(
    r, $D4674,
    startD, INDEX(Calculation!B$2:B9627, r),
    endD,   INDEX(Calculation!C$2:C9627, r),
    asOf,   MIN($A4674,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75">
      <c r="A4675" s="28"/>
      <c r="B4675" s="29"/>
      <c r="C4675" s="29" t="str">
        <f t="shared" si="1"/>
        <v/>
      </c>
      <c r="D4675" s="6" t="str">
        <f>IF(A4675="","",MATCH(A4675,Calculation!B$2:B9627,1))</f>
        <v/>
      </c>
      <c r="E4675" s="29" t="str">
        <f t="array" ref="E4675">IF(D4675="","",IF(D4675=1,0,INDEX(Calculation!Q$2:Q9627,D4675-1)))</f>
        <v/>
      </c>
      <c r="F4675" s="29" t="str">
        <f t="array" ref="F4675">IF($A4675="","",
  LET(
    r, $D4675,
    startD, INDEX(Calculation!B$2:B9627, r),
    endD,   INDEX(Calculation!C$2:C9627, r),
    asOf,   MIN($A4675,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76">
      <c r="A4676" s="28"/>
      <c r="B4676" s="29"/>
      <c r="C4676" s="29" t="str">
        <f t="shared" si="1"/>
        <v/>
      </c>
      <c r="D4676" s="6" t="str">
        <f>IF(A4676="","",MATCH(A4676,Calculation!B$2:B9627,1))</f>
        <v/>
      </c>
      <c r="E4676" s="29" t="str">
        <f t="array" ref="E4676">IF(D4676="","",IF(D4676=1,0,INDEX(Calculation!Q$2:Q9627,D4676-1)))</f>
        <v/>
      </c>
      <c r="F4676" s="29" t="str">
        <f t="array" ref="F4676">IF($A4676="","",
  LET(
    r, $D4676,
    startD, INDEX(Calculation!B$2:B9627, r),
    endD,   INDEX(Calculation!C$2:C9627, r),
    asOf,   MIN($A4676,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77">
      <c r="A4677" s="28"/>
      <c r="B4677" s="29"/>
      <c r="C4677" s="29" t="str">
        <f t="shared" si="1"/>
        <v/>
      </c>
      <c r="D4677" s="6" t="str">
        <f>IF(A4677="","",MATCH(A4677,Calculation!B$2:B9627,1))</f>
        <v/>
      </c>
      <c r="E4677" s="29" t="str">
        <f t="array" ref="E4677">IF(D4677="","",IF(D4677=1,0,INDEX(Calculation!Q$2:Q9627,D4677-1)))</f>
        <v/>
      </c>
      <c r="F4677" s="29" t="str">
        <f t="array" ref="F4677">IF($A4677="","",
  LET(
    r, $D4677,
    startD, INDEX(Calculation!B$2:B9627, r),
    endD,   INDEX(Calculation!C$2:C9627, r),
    asOf,   MIN($A4677,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78">
      <c r="A4678" s="28"/>
      <c r="B4678" s="29"/>
      <c r="C4678" s="29" t="str">
        <f t="shared" si="1"/>
        <v/>
      </c>
      <c r="D4678" s="6" t="str">
        <f>IF(A4678="","",MATCH(A4678,Calculation!B$2:B9627,1))</f>
        <v/>
      </c>
      <c r="E4678" s="29" t="str">
        <f t="array" ref="E4678">IF(D4678="","",IF(D4678=1,0,INDEX(Calculation!Q$2:Q9627,D4678-1)))</f>
        <v/>
      </c>
      <c r="F4678" s="29" t="str">
        <f t="array" ref="F4678">IF($A4678="","",
  LET(
    r, $D4678,
    startD, INDEX(Calculation!B$2:B9627, r),
    endD,   INDEX(Calculation!C$2:C9627, r),
    asOf,   MIN($A4678,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79">
      <c r="A4679" s="28"/>
      <c r="B4679" s="29"/>
      <c r="C4679" s="29" t="str">
        <f t="shared" si="1"/>
        <v/>
      </c>
      <c r="D4679" s="6" t="str">
        <f>IF(A4679="","",MATCH(A4679,Calculation!B$2:B9627,1))</f>
        <v/>
      </c>
      <c r="E4679" s="29" t="str">
        <f t="array" ref="E4679">IF(D4679="","",IF(D4679=1,0,INDEX(Calculation!Q$2:Q9627,D4679-1)))</f>
        <v/>
      </c>
      <c r="F4679" s="29" t="str">
        <f t="array" ref="F4679">IF($A4679="","",
  LET(
    r, $D4679,
    startD, INDEX(Calculation!B$2:B9627, r),
    endD,   INDEX(Calculation!C$2:C9627, r),
    asOf,   MIN($A4679,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80">
      <c r="A4680" s="28"/>
      <c r="B4680" s="29"/>
      <c r="C4680" s="29" t="str">
        <f t="shared" si="1"/>
        <v/>
      </c>
      <c r="D4680" s="6" t="str">
        <f>IF(A4680="","",MATCH(A4680,Calculation!B$2:B9627,1))</f>
        <v/>
      </c>
      <c r="E4680" s="29" t="str">
        <f t="array" ref="E4680">IF(D4680="","",IF(D4680=1,0,INDEX(Calculation!Q$2:Q9627,D4680-1)))</f>
        <v/>
      </c>
      <c r="F4680" s="29" t="str">
        <f t="array" ref="F4680">IF($A4680="","",
  LET(
    r, $D4680,
    startD, INDEX(Calculation!B$2:B9627, r),
    endD,   INDEX(Calculation!C$2:C9627, r),
    asOf,   MIN($A4680,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81">
      <c r="A4681" s="28"/>
      <c r="B4681" s="29"/>
      <c r="C4681" s="29" t="str">
        <f t="shared" si="1"/>
        <v/>
      </c>
      <c r="D4681" s="6" t="str">
        <f>IF(A4681="","",MATCH(A4681,Calculation!B$2:B9627,1))</f>
        <v/>
      </c>
      <c r="E4681" s="29" t="str">
        <f t="array" ref="E4681">IF(D4681="","",IF(D4681=1,0,INDEX(Calculation!Q$2:Q9627,D4681-1)))</f>
        <v/>
      </c>
      <c r="F4681" s="29" t="str">
        <f t="array" ref="F4681">IF($A4681="","",
  LET(
    r, $D4681,
    startD, INDEX(Calculation!B$2:B9627, r),
    endD,   INDEX(Calculation!C$2:C9627, r),
    asOf,   MIN($A4681,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82">
      <c r="A4682" s="28"/>
      <c r="B4682" s="29"/>
      <c r="C4682" s="29" t="str">
        <f t="shared" si="1"/>
        <v/>
      </c>
      <c r="D4682" s="6" t="str">
        <f>IF(A4682="","",MATCH(A4682,Calculation!B$2:B9627,1))</f>
        <v/>
      </c>
      <c r="E4682" s="29" t="str">
        <f t="array" ref="E4682">IF(D4682="","",IF(D4682=1,0,INDEX(Calculation!Q$2:Q9627,D4682-1)))</f>
        <v/>
      </c>
      <c r="F4682" s="29" t="str">
        <f t="array" ref="F4682">IF($A4682="","",
  LET(
    r, $D4682,
    startD, INDEX(Calculation!B$2:B9627, r),
    endD,   INDEX(Calculation!C$2:C9627, r),
    asOf,   MIN($A4682,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83">
      <c r="A4683" s="28"/>
      <c r="B4683" s="29"/>
      <c r="C4683" s="29" t="str">
        <f t="shared" si="1"/>
        <v/>
      </c>
      <c r="D4683" s="6" t="str">
        <f>IF(A4683="","",MATCH(A4683,Calculation!B$2:B9627,1))</f>
        <v/>
      </c>
      <c r="E4683" s="29" t="str">
        <f t="array" ref="E4683">IF(D4683="","",IF(D4683=1,0,INDEX(Calculation!Q$2:Q9627,D4683-1)))</f>
        <v/>
      </c>
      <c r="F4683" s="29" t="str">
        <f t="array" ref="F4683">IF($A4683="","",
  LET(
    r, $D4683,
    startD, INDEX(Calculation!B$2:B9627, r),
    endD,   INDEX(Calculation!C$2:C9627, r),
    asOf,   MIN($A4683,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84">
      <c r="A4684" s="28"/>
      <c r="B4684" s="29"/>
      <c r="C4684" s="29" t="str">
        <f t="shared" si="1"/>
        <v/>
      </c>
      <c r="D4684" s="6" t="str">
        <f>IF(A4684="","",MATCH(A4684,Calculation!B$2:B9627,1))</f>
        <v/>
      </c>
      <c r="E4684" s="29" t="str">
        <f t="array" ref="E4684">IF(D4684="","",IF(D4684=1,0,INDEX(Calculation!Q$2:Q9627,D4684-1)))</f>
        <v/>
      </c>
      <c r="F4684" s="29" t="str">
        <f t="array" ref="F4684">IF($A4684="","",
  LET(
    r, $D4684,
    startD, INDEX(Calculation!B$2:B9627, r),
    endD,   INDEX(Calculation!C$2:C9627, r),
    asOf,   MIN($A4684,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85">
      <c r="A4685" s="28"/>
      <c r="B4685" s="29"/>
      <c r="C4685" s="29" t="str">
        <f t="shared" si="1"/>
        <v/>
      </c>
      <c r="D4685" s="6" t="str">
        <f>IF(A4685="","",MATCH(A4685,Calculation!B$2:B9627,1))</f>
        <v/>
      </c>
      <c r="E4685" s="29" t="str">
        <f t="array" ref="E4685">IF(D4685="","",IF(D4685=1,0,INDEX(Calculation!Q$2:Q9627,D4685-1)))</f>
        <v/>
      </c>
      <c r="F4685" s="29" t="str">
        <f t="array" ref="F4685">IF($A4685="","",
  LET(
    r, $D4685,
    startD, INDEX(Calculation!B$2:B9627, r),
    endD,   INDEX(Calculation!C$2:C9627, r),
    asOf,   MIN($A4685,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86">
      <c r="A4686" s="28"/>
      <c r="B4686" s="29"/>
      <c r="C4686" s="29" t="str">
        <f t="shared" si="1"/>
        <v/>
      </c>
      <c r="D4686" s="6" t="str">
        <f>IF(A4686="","",MATCH(A4686,Calculation!B$2:B9627,1))</f>
        <v/>
      </c>
      <c r="E4686" s="29" t="str">
        <f t="array" ref="E4686">IF(D4686="","",IF(D4686=1,0,INDEX(Calculation!Q$2:Q9627,D4686-1)))</f>
        <v/>
      </c>
      <c r="F4686" s="29" t="str">
        <f t="array" ref="F4686">IF($A4686="","",
  LET(
    r, $D4686,
    startD, INDEX(Calculation!B$2:B9627, r),
    endD,   INDEX(Calculation!C$2:C9627, r),
    asOf,   MIN($A4686,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87">
      <c r="A4687" s="28"/>
      <c r="B4687" s="29"/>
      <c r="C4687" s="29" t="str">
        <f t="shared" si="1"/>
        <v/>
      </c>
      <c r="D4687" s="6" t="str">
        <f>IF(A4687="","",MATCH(A4687,Calculation!B$2:B9627,1))</f>
        <v/>
      </c>
      <c r="E4687" s="29" t="str">
        <f t="array" ref="E4687">IF(D4687="","",IF(D4687=1,0,INDEX(Calculation!Q$2:Q9627,D4687-1)))</f>
        <v/>
      </c>
      <c r="F4687" s="29" t="str">
        <f t="array" ref="F4687">IF($A4687="","",
  LET(
    r, $D4687,
    startD, INDEX(Calculation!B$2:B9627, r),
    endD,   INDEX(Calculation!C$2:C9627, r),
    asOf,   MIN($A4687,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88">
      <c r="A4688" s="28"/>
      <c r="B4688" s="29"/>
      <c r="C4688" s="29" t="str">
        <f t="shared" si="1"/>
        <v/>
      </c>
      <c r="D4688" s="6" t="str">
        <f>IF(A4688="","",MATCH(A4688,Calculation!B$2:B9627,1))</f>
        <v/>
      </c>
      <c r="E4688" s="29" t="str">
        <f t="array" ref="E4688">IF(D4688="","",IF(D4688=1,0,INDEX(Calculation!Q$2:Q9627,D4688-1)))</f>
        <v/>
      </c>
      <c r="F4688" s="29" t="str">
        <f t="array" ref="F4688">IF($A4688="","",
  LET(
    r, $D4688,
    startD, INDEX(Calculation!B$2:B9627, r),
    endD,   INDEX(Calculation!C$2:C9627, r),
    asOf,   MIN($A4688,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89">
      <c r="A4689" s="28"/>
      <c r="B4689" s="29"/>
      <c r="C4689" s="29" t="str">
        <f t="shared" si="1"/>
        <v/>
      </c>
      <c r="D4689" s="6" t="str">
        <f>IF(A4689="","",MATCH(A4689,Calculation!B$2:B9627,1))</f>
        <v/>
      </c>
      <c r="E4689" s="29" t="str">
        <f t="array" ref="E4689">IF(D4689="","",IF(D4689=1,0,INDEX(Calculation!Q$2:Q9627,D4689-1)))</f>
        <v/>
      </c>
      <c r="F4689" s="29" t="str">
        <f t="array" ref="F4689">IF($A4689="","",
  LET(
    r, $D4689,
    startD, INDEX(Calculation!B$2:B9627, r),
    endD,   INDEX(Calculation!C$2:C9627, r),
    asOf,   MIN($A4689,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90">
      <c r="A4690" s="28"/>
      <c r="B4690" s="29"/>
      <c r="C4690" s="29" t="str">
        <f t="shared" si="1"/>
        <v/>
      </c>
      <c r="D4690" s="6" t="str">
        <f>IF(A4690="","",MATCH(A4690,Calculation!B$2:B9627,1))</f>
        <v/>
      </c>
      <c r="E4690" s="29" t="str">
        <f t="array" ref="E4690">IF(D4690="","",IF(D4690=1,0,INDEX(Calculation!Q$2:Q9627,D4690-1)))</f>
        <v/>
      </c>
      <c r="F4690" s="29" t="str">
        <f t="array" ref="F4690">IF($A4690="","",
  LET(
    r, $D4690,
    startD, INDEX(Calculation!B$2:B9627, r),
    endD,   INDEX(Calculation!C$2:C9627, r),
    asOf,   MIN($A4690,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91">
      <c r="A4691" s="28"/>
      <c r="B4691" s="29"/>
      <c r="C4691" s="29" t="str">
        <f t="shared" si="1"/>
        <v/>
      </c>
      <c r="D4691" s="6" t="str">
        <f>IF(A4691="","",MATCH(A4691,Calculation!B$2:B9627,1))</f>
        <v/>
      </c>
      <c r="E4691" s="29" t="str">
        <f t="array" ref="E4691">IF(D4691="","",IF(D4691=1,0,INDEX(Calculation!Q$2:Q9627,D4691-1)))</f>
        <v/>
      </c>
      <c r="F4691" s="29" t="str">
        <f t="array" ref="F4691">IF($A4691="","",
  LET(
    r, $D4691,
    startD, INDEX(Calculation!B$2:B9627, r),
    endD,   INDEX(Calculation!C$2:C9627, r),
    asOf,   MIN($A4691,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92">
      <c r="A4692" s="28"/>
      <c r="B4692" s="29"/>
      <c r="C4692" s="29" t="str">
        <f t="shared" si="1"/>
        <v/>
      </c>
      <c r="D4692" s="6" t="str">
        <f>IF(A4692="","",MATCH(A4692,Calculation!B$2:B9627,1))</f>
        <v/>
      </c>
      <c r="E4692" s="29" t="str">
        <f t="array" ref="E4692">IF(D4692="","",IF(D4692=1,0,INDEX(Calculation!Q$2:Q9627,D4692-1)))</f>
        <v/>
      </c>
      <c r="F4692" s="29" t="str">
        <f t="array" ref="F4692">IF($A4692="","",
  LET(
    r, $D4692,
    startD, INDEX(Calculation!B$2:B9627, r),
    endD,   INDEX(Calculation!C$2:C9627, r),
    asOf,   MIN($A4692,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93">
      <c r="A4693" s="28"/>
      <c r="B4693" s="29"/>
      <c r="C4693" s="29" t="str">
        <f t="shared" si="1"/>
        <v/>
      </c>
      <c r="D4693" s="6" t="str">
        <f>IF(A4693="","",MATCH(A4693,Calculation!B$2:B9627,1))</f>
        <v/>
      </c>
      <c r="E4693" s="29" t="str">
        <f t="array" ref="E4693">IF(D4693="","",IF(D4693=1,0,INDEX(Calculation!Q$2:Q9627,D4693-1)))</f>
        <v/>
      </c>
      <c r="F4693" s="29" t="str">
        <f t="array" ref="F4693">IF($A4693="","",
  LET(
    r, $D4693,
    startD, INDEX(Calculation!B$2:B9627, r),
    endD,   INDEX(Calculation!C$2:C9627, r),
    asOf,   MIN($A4693,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94">
      <c r="A4694" s="28"/>
      <c r="B4694" s="29"/>
      <c r="C4694" s="29" t="str">
        <f t="shared" si="1"/>
        <v/>
      </c>
      <c r="D4694" s="6" t="str">
        <f>IF(A4694="","",MATCH(A4694,Calculation!B$2:B9627,1))</f>
        <v/>
      </c>
      <c r="E4694" s="29" t="str">
        <f t="array" ref="E4694">IF(D4694="","",IF(D4694=1,0,INDEX(Calculation!Q$2:Q9627,D4694-1)))</f>
        <v/>
      </c>
      <c r="F4694" s="29" t="str">
        <f t="array" ref="F4694">IF($A4694="","",
  LET(
    r, $D4694,
    startD, INDEX(Calculation!B$2:B9627, r),
    endD,   INDEX(Calculation!C$2:C9627, r),
    asOf,   MIN($A4694,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95">
      <c r="A4695" s="28"/>
      <c r="B4695" s="29"/>
      <c r="C4695" s="29" t="str">
        <f t="shared" si="1"/>
        <v/>
      </c>
      <c r="D4695" s="6" t="str">
        <f>IF(A4695="","",MATCH(A4695,Calculation!B$2:B9627,1))</f>
        <v/>
      </c>
      <c r="E4695" s="29" t="str">
        <f t="array" ref="E4695">IF(D4695="","",IF(D4695=1,0,INDEX(Calculation!Q$2:Q9627,D4695-1)))</f>
        <v/>
      </c>
      <c r="F4695" s="29" t="str">
        <f t="array" ref="F4695">IF($A4695="","",
  LET(
    r, $D4695,
    startD, INDEX(Calculation!B$2:B9627, r),
    endD,   INDEX(Calculation!C$2:C9627, r),
    asOf,   MIN($A4695,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96">
      <c r="A4696" s="28"/>
      <c r="B4696" s="29"/>
      <c r="C4696" s="29" t="str">
        <f t="shared" si="1"/>
        <v/>
      </c>
      <c r="D4696" s="6" t="str">
        <f>IF(A4696="","",MATCH(A4696,Calculation!B$2:B9627,1))</f>
        <v/>
      </c>
      <c r="E4696" s="29" t="str">
        <f t="array" ref="E4696">IF(D4696="","",IF(D4696=1,0,INDEX(Calculation!Q$2:Q9627,D4696-1)))</f>
        <v/>
      </c>
      <c r="F4696" s="29" t="str">
        <f t="array" ref="F4696">IF($A4696="","",
  LET(
    r, $D4696,
    startD, INDEX(Calculation!B$2:B9627, r),
    endD,   INDEX(Calculation!C$2:C9627, r),
    asOf,   MIN($A4696,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97">
      <c r="A4697" s="28"/>
      <c r="B4697" s="29"/>
      <c r="C4697" s="29" t="str">
        <f t="shared" si="1"/>
        <v/>
      </c>
      <c r="D4697" s="6" t="str">
        <f>IF(A4697="","",MATCH(A4697,Calculation!B$2:B9627,1))</f>
        <v/>
      </c>
      <c r="E4697" s="29" t="str">
        <f t="array" ref="E4697">IF(D4697="","",IF(D4697=1,0,INDEX(Calculation!Q$2:Q9627,D4697-1)))</f>
        <v/>
      </c>
      <c r="F4697" s="29" t="str">
        <f t="array" ref="F4697">IF($A4697="","",
  LET(
    r, $D4697,
    startD, INDEX(Calculation!B$2:B9627, r),
    endD,   INDEX(Calculation!C$2:C9627, r),
    asOf,   MIN($A4697,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98">
      <c r="A4698" s="28"/>
      <c r="B4698" s="29"/>
      <c r="C4698" s="29" t="str">
        <f t="shared" si="1"/>
        <v/>
      </c>
      <c r="D4698" s="6" t="str">
        <f>IF(A4698="","",MATCH(A4698,Calculation!B$2:B9627,1))</f>
        <v/>
      </c>
      <c r="E4698" s="29" t="str">
        <f t="array" ref="E4698">IF(D4698="","",IF(D4698=1,0,INDEX(Calculation!Q$2:Q9627,D4698-1)))</f>
        <v/>
      </c>
      <c r="F4698" s="29" t="str">
        <f t="array" ref="F4698">IF($A4698="","",
  LET(
    r, $D4698,
    startD, INDEX(Calculation!B$2:B9627, r),
    endD,   INDEX(Calculation!C$2:C9627, r),
    asOf,   MIN($A4698,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699">
      <c r="A4699" s="28"/>
      <c r="B4699" s="29"/>
      <c r="C4699" s="29" t="str">
        <f t="shared" si="1"/>
        <v/>
      </c>
      <c r="D4699" s="6" t="str">
        <f>IF(A4699="","",MATCH(A4699,Calculation!B$2:B9627,1))</f>
        <v/>
      </c>
      <c r="E4699" s="29" t="str">
        <f t="array" ref="E4699">IF(D4699="","",IF(D4699=1,0,INDEX(Calculation!Q$2:Q9627,D4699-1)))</f>
        <v/>
      </c>
      <c r="F4699" s="29" t="str">
        <f t="array" ref="F4699">IF($A4699="","",
  LET(
    r, $D4699,
    startD, INDEX(Calculation!B$2:B9627, r),
    endD,   INDEX(Calculation!C$2:C9627, r),
    asOf,   MIN($A4699,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00">
      <c r="A4700" s="28"/>
      <c r="B4700" s="29"/>
      <c r="C4700" s="29" t="str">
        <f t="shared" si="1"/>
        <v/>
      </c>
      <c r="D4700" s="6" t="str">
        <f>IF(A4700="","",MATCH(A4700,Calculation!B$2:B9627,1))</f>
        <v/>
      </c>
      <c r="E4700" s="29" t="str">
        <f t="array" ref="E4700">IF(D4700="","",IF(D4700=1,0,INDEX(Calculation!Q$2:Q9627,D4700-1)))</f>
        <v/>
      </c>
      <c r="F4700" s="29" t="str">
        <f t="array" ref="F4700">IF($A4700="","",
  LET(
    r, $D4700,
    startD, INDEX(Calculation!B$2:B9627, r),
    endD,   INDEX(Calculation!C$2:C9627, r),
    asOf,   MIN($A4700,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01">
      <c r="A4701" s="28"/>
      <c r="B4701" s="29"/>
      <c r="C4701" s="29" t="str">
        <f t="shared" si="1"/>
        <v/>
      </c>
      <c r="D4701" s="6" t="str">
        <f>IF(A4701="","",MATCH(A4701,Calculation!B$2:B9627,1))</f>
        <v/>
      </c>
      <c r="E4701" s="29" t="str">
        <f t="array" ref="E4701">IF(D4701="","",IF(D4701=1,0,INDEX(Calculation!Q$2:Q9627,D4701-1)))</f>
        <v/>
      </c>
      <c r="F4701" s="29" t="str">
        <f t="array" ref="F4701">IF($A4701="","",
  LET(
    r, $D4701,
    startD, INDEX(Calculation!B$2:B9627, r),
    endD,   INDEX(Calculation!C$2:C9627, r),
    asOf,   MIN($A4701,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02">
      <c r="A4702" s="28"/>
      <c r="B4702" s="29"/>
      <c r="C4702" s="29" t="str">
        <f t="shared" si="1"/>
        <v/>
      </c>
      <c r="D4702" s="6" t="str">
        <f>IF(A4702="","",MATCH(A4702,Calculation!B$2:B9627,1))</f>
        <v/>
      </c>
      <c r="E4702" s="29" t="str">
        <f t="array" ref="E4702">IF(D4702="","",IF(D4702=1,0,INDEX(Calculation!Q$2:Q9627,D4702-1)))</f>
        <v/>
      </c>
      <c r="F4702" s="29" t="str">
        <f t="array" ref="F4702">IF($A4702="","",
  LET(
    r, $D4702,
    startD, INDEX(Calculation!B$2:B9627, r),
    endD,   INDEX(Calculation!C$2:C9627, r),
    asOf,   MIN($A4702,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03">
      <c r="A4703" s="28"/>
      <c r="B4703" s="29"/>
      <c r="C4703" s="29" t="str">
        <f t="shared" si="1"/>
        <v/>
      </c>
      <c r="D4703" s="6" t="str">
        <f>IF(A4703="","",MATCH(A4703,Calculation!B$2:B9627,1))</f>
        <v/>
      </c>
      <c r="E4703" s="29" t="str">
        <f t="array" ref="E4703">IF(D4703="","",IF(D4703=1,0,INDEX(Calculation!Q$2:Q9627,D4703-1)))</f>
        <v/>
      </c>
      <c r="F4703" s="29" t="str">
        <f t="array" ref="F4703">IF($A4703="","",
  LET(
    r, $D4703,
    startD, INDEX(Calculation!B$2:B9627, r),
    endD,   INDEX(Calculation!C$2:C9627, r),
    asOf,   MIN($A4703,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04">
      <c r="A4704" s="28"/>
      <c r="B4704" s="29"/>
      <c r="C4704" s="29" t="str">
        <f t="shared" si="1"/>
        <v/>
      </c>
      <c r="D4704" s="6" t="str">
        <f>IF(A4704="","",MATCH(A4704,Calculation!B$2:B9627,1))</f>
        <v/>
      </c>
      <c r="E4704" s="29" t="str">
        <f t="array" ref="E4704">IF(D4704="","",IF(D4704=1,0,INDEX(Calculation!Q$2:Q9627,D4704-1)))</f>
        <v/>
      </c>
      <c r="F4704" s="29" t="str">
        <f t="array" ref="F4704">IF($A4704="","",
  LET(
    r, $D4704,
    startD, INDEX(Calculation!B$2:B9627, r),
    endD,   INDEX(Calculation!C$2:C9627, r),
    asOf,   MIN($A4704,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05">
      <c r="A4705" s="28"/>
      <c r="B4705" s="29"/>
      <c r="C4705" s="29" t="str">
        <f t="shared" si="1"/>
        <v/>
      </c>
      <c r="D4705" s="6" t="str">
        <f>IF(A4705="","",MATCH(A4705,Calculation!B$2:B9627,1))</f>
        <v/>
      </c>
      <c r="E4705" s="29" t="str">
        <f t="array" ref="E4705">IF(D4705="","",IF(D4705=1,0,INDEX(Calculation!Q$2:Q9627,D4705-1)))</f>
        <v/>
      </c>
      <c r="F4705" s="29" t="str">
        <f t="array" ref="F4705">IF($A4705="","",
  LET(
    r, $D4705,
    startD, INDEX(Calculation!B$2:B9627, r),
    endD,   INDEX(Calculation!C$2:C9627, r),
    asOf,   MIN($A4705,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06">
      <c r="A4706" s="28"/>
      <c r="B4706" s="29"/>
      <c r="C4706" s="29" t="str">
        <f t="shared" si="1"/>
        <v/>
      </c>
      <c r="D4706" s="6" t="str">
        <f>IF(A4706="","",MATCH(A4706,Calculation!B$2:B9627,1))</f>
        <v/>
      </c>
      <c r="E4706" s="29" t="str">
        <f t="array" ref="E4706">IF(D4706="","",IF(D4706=1,0,INDEX(Calculation!Q$2:Q9627,D4706-1)))</f>
        <v/>
      </c>
      <c r="F4706" s="29" t="str">
        <f t="array" ref="F4706">IF($A4706="","",
  LET(
    r, $D4706,
    startD, INDEX(Calculation!B$2:B9627, r),
    endD,   INDEX(Calculation!C$2:C9627, r),
    asOf,   MIN($A4706,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07">
      <c r="A4707" s="28"/>
      <c r="B4707" s="29"/>
      <c r="C4707" s="29" t="str">
        <f t="shared" si="1"/>
        <v/>
      </c>
      <c r="D4707" s="6" t="str">
        <f>IF(A4707="","",MATCH(A4707,Calculation!B$2:B9627,1))</f>
        <v/>
      </c>
      <c r="E4707" s="29" t="str">
        <f t="array" ref="E4707">IF(D4707="","",IF(D4707=1,0,INDEX(Calculation!Q$2:Q9627,D4707-1)))</f>
        <v/>
      </c>
      <c r="F4707" s="29" t="str">
        <f t="array" ref="F4707">IF($A4707="","",
  LET(
    r, $D4707,
    startD, INDEX(Calculation!B$2:B9627, r),
    endD,   INDEX(Calculation!C$2:C9627, r),
    asOf,   MIN($A4707,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08">
      <c r="A4708" s="28"/>
      <c r="B4708" s="29"/>
      <c r="C4708" s="29" t="str">
        <f t="shared" si="1"/>
        <v/>
      </c>
      <c r="D4708" s="6" t="str">
        <f>IF(A4708="","",MATCH(A4708,Calculation!B$2:B9627,1))</f>
        <v/>
      </c>
      <c r="E4708" s="29" t="str">
        <f t="array" ref="E4708">IF(D4708="","",IF(D4708=1,0,INDEX(Calculation!Q$2:Q9627,D4708-1)))</f>
        <v/>
      </c>
      <c r="F4708" s="29" t="str">
        <f t="array" ref="F4708">IF($A4708="","",
  LET(
    r, $D4708,
    startD, INDEX(Calculation!B$2:B9627, r),
    endD,   INDEX(Calculation!C$2:C9627, r),
    asOf,   MIN($A4708,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09">
      <c r="A4709" s="28"/>
      <c r="B4709" s="29"/>
      <c r="C4709" s="29" t="str">
        <f t="shared" si="1"/>
        <v/>
      </c>
      <c r="D4709" s="6" t="str">
        <f>IF(A4709="","",MATCH(A4709,Calculation!B$2:B9627,1))</f>
        <v/>
      </c>
      <c r="E4709" s="29" t="str">
        <f t="array" ref="E4709">IF(D4709="","",IF(D4709=1,0,INDEX(Calculation!Q$2:Q9627,D4709-1)))</f>
        <v/>
      </c>
      <c r="F4709" s="29" t="str">
        <f t="array" ref="F4709">IF($A4709="","",
  LET(
    r, $D4709,
    startD, INDEX(Calculation!B$2:B9627, r),
    endD,   INDEX(Calculation!C$2:C9627, r),
    asOf,   MIN($A4709,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10">
      <c r="A4710" s="28"/>
      <c r="B4710" s="29"/>
      <c r="C4710" s="29" t="str">
        <f t="shared" si="1"/>
        <v/>
      </c>
      <c r="D4710" s="6" t="str">
        <f>IF(A4710="","",MATCH(A4710,Calculation!B$2:B9627,1))</f>
        <v/>
      </c>
      <c r="E4710" s="29" t="str">
        <f t="array" ref="E4710">IF(D4710="","",IF(D4710=1,0,INDEX(Calculation!Q$2:Q9627,D4710-1)))</f>
        <v/>
      </c>
      <c r="F4710" s="29" t="str">
        <f t="array" ref="F4710">IF($A4710="","",
  LET(
    r, $D4710,
    startD, INDEX(Calculation!B$2:B9627, r),
    endD,   INDEX(Calculation!C$2:C9627, r),
    asOf,   MIN($A4710,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11">
      <c r="A4711" s="28"/>
      <c r="B4711" s="29"/>
      <c r="C4711" s="29" t="str">
        <f t="shared" si="1"/>
        <v/>
      </c>
      <c r="D4711" s="6" t="str">
        <f>IF(A4711="","",MATCH(A4711,Calculation!B$2:B9627,1))</f>
        <v/>
      </c>
      <c r="E4711" s="29" t="str">
        <f t="array" ref="E4711">IF(D4711="","",IF(D4711=1,0,INDEX(Calculation!Q$2:Q9627,D4711-1)))</f>
        <v/>
      </c>
      <c r="F4711" s="29" t="str">
        <f t="array" ref="F4711">IF($A4711="","",
  LET(
    r, $D4711,
    startD, INDEX(Calculation!B$2:B9627, r),
    endD,   INDEX(Calculation!C$2:C9627, r),
    asOf,   MIN($A4711,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12">
      <c r="A4712" s="28"/>
      <c r="B4712" s="29"/>
      <c r="C4712" s="29" t="str">
        <f t="shared" si="1"/>
        <v/>
      </c>
      <c r="D4712" s="6" t="str">
        <f>IF(A4712="","",MATCH(A4712,Calculation!B$2:B9627,1))</f>
        <v/>
      </c>
      <c r="E4712" s="29" t="str">
        <f t="array" ref="E4712">IF(D4712="","",IF(D4712=1,0,INDEX(Calculation!Q$2:Q9627,D4712-1)))</f>
        <v/>
      </c>
      <c r="F4712" s="29" t="str">
        <f t="array" ref="F4712">IF($A4712="","",
  LET(
    r, $D4712,
    startD, INDEX(Calculation!B$2:B9627, r),
    endD,   INDEX(Calculation!C$2:C9627, r),
    asOf,   MIN($A4712,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13">
      <c r="A4713" s="28"/>
      <c r="B4713" s="29"/>
      <c r="C4713" s="29" t="str">
        <f t="shared" si="1"/>
        <v/>
      </c>
      <c r="D4713" s="6" t="str">
        <f>IF(A4713="","",MATCH(A4713,Calculation!B$2:B9627,1))</f>
        <v/>
      </c>
      <c r="E4713" s="29" t="str">
        <f t="array" ref="E4713">IF(D4713="","",IF(D4713=1,0,INDEX(Calculation!Q$2:Q9627,D4713-1)))</f>
        <v/>
      </c>
      <c r="F4713" s="29" t="str">
        <f t="array" ref="F4713">IF($A4713="","",
  LET(
    r, $D4713,
    startD, INDEX(Calculation!B$2:B9627, r),
    endD,   INDEX(Calculation!C$2:C9627, r),
    asOf,   MIN($A4713,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14">
      <c r="A4714" s="28"/>
      <c r="B4714" s="29"/>
      <c r="C4714" s="29" t="str">
        <f t="shared" si="1"/>
        <v/>
      </c>
      <c r="D4714" s="6" t="str">
        <f>IF(A4714="","",MATCH(A4714,Calculation!B$2:B9627,1))</f>
        <v/>
      </c>
      <c r="E4714" s="29" t="str">
        <f t="array" ref="E4714">IF(D4714="","",IF(D4714=1,0,INDEX(Calculation!Q$2:Q9627,D4714-1)))</f>
        <v/>
      </c>
      <c r="F4714" s="29" t="str">
        <f t="array" ref="F4714">IF($A4714="","",
  LET(
    r, $D4714,
    startD, INDEX(Calculation!B$2:B9627, r),
    endD,   INDEX(Calculation!C$2:C9627, r),
    asOf,   MIN($A4714,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15">
      <c r="A4715" s="28"/>
      <c r="B4715" s="29"/>
      <c r="C4715" s="29" t="str">
        <f t="shared" si="1"/>
        <v/>
      </c>
      <c r="D4715" s="6" t="str">
        <f>IF(A4715="","",MATCH(A4715,Calculation!B$2:B9627,1))</f>
        <v/>
      </c>
      <c r="E4715" s="29" t="str">
        <f t="array" ref="E4715">IF(D4715="","",IF(D4715=1,0,INDEX(Calculation!Q$2:Q9627,D4715-1)))</f>
        <v/>
      </c>
      <c r="F4715" s="29" t="str">
        <f t="array" ref="F4715">IF($A4715="","",
  LET(
    r, $D4715,
    startD, INDEX(Calculation!B$2:B9627, r),
    endD,   INDEX(Calculation!C$2:C9627, r),
    asOf,   MIN($A4715,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16">
      <c r="A4716" s="28"/>
      <c r="B4716" s="29"/>
      <c r="C4716" s="29" t="str">
        <f t="shared" si="1"/>
        <v/>
      </c>
      <c r="D4716" s="6" t="str">
        <f>IF(A4716="","",MATCH(A4716,Calculation!B$2:B9627,1))</f>
        <v/>
      </c>
      <c r="E4716" s="29" t="str">
        <f t="array" ref="E4716">IF(D4716="","",IF(D4716=1,0,INDEX(Calculation!Q$2:Q9627,D4716-1)))</f>
        <v/>
      </c>
      <c r="F4716" s="29" t="str">
        <f t="array" ref="F4716">IF($A4716="","",
  LET(
    r, $D4716,
    startD, INDEX(Calculation!B$2:B9627, r),
    endD,   INDEX(Calculation!C$2:C9627, r),
    asOf,   MIN($A4716,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17">
      <c r="A4717" s="28"/>
      <c r="B4717" s="29"/>
      <c r="C4717" s="29" t="str">
        <f t="shared" si="1"/>
        <v/>
      </c>
      <c r="D4717" s="6" t="str">
        <f>IF(A4717="","",MATCH(A4717,Calculation!B$2:B9627,1))</f>
        <v/>
      </c>
      <c r="E4717" s="29" t="str">
        <f t="array" ref="E4717">IF(D4717="","",IF(D4717=1,0,INDEX(Calculation!Q$2:Q9627,D4717-1)))</f>
        <v/>
      </c>
      <c r="F4717" s="29" t="str">
        <f t="array" ref="F4717">IF($A4717="","",
  LET(
    r, $D4717,
    startD, INDEX(Calculation!B$2:B9627, r),
    endD,   INDEX(Calculation!C$2:C9627, r),
    asOf,   MIN($A4717,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18">
      <c r="A4718" s="28"/>
      <c r="B4718" s="29"/>
      <c r="C4718" s="29" t="str">
        <f t="shared" si="1"/>
        <v/>
      </c>
      <c r="D4718" s="6" t="str">
        <f>IF(A4718="","",MATCH(A4718,Calculation!B$2:B9627,1))</f>
        <v/>
      </c>
      <c r="E4718" s="29" t="str">
        <f t="array" ref="E4718">IF(D4718="","",IF(D4718=1,0,INDEX(Calculation!Q$2:Q9627,D4718-1)))</f>
        <v/>
      </c>
      <c r="F4718" s="29" t="str">
        <f t="array" ref="F4718">IF($A4718="","",
  LET(
    r, $D4718,
    startD, INDEX(Calculation!B$2:B9627, r),
    endD,   INDEX(Calculation!C$2:C9627, r),
    asOf,   MIN($A4718,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19">
      <c r="A4719" s="28"/>
      <c r="B4719" s="29"/>
      <c r="C4719" s="29" t="str">
        <f t="shared" si="1"/>
        <v/>
      </c>
      <c r="D4719" s="6" t="str">
        <f>IF(A4719="","",MATCH(A4719,Calculation!B$2:B9627,1))</f>
        <v/>
      </c>
      <c r="E4719" s="29" t="str">
        <f t="array" ref="E4719">IF(D4719="","",IF(D4719=1,0,INDEX(Calculation!Q$2:Q9627,D4719-1)))</f>
        <v/>
      </c>
      <c r="F4719" s="29" t="str">
        <f t="array" ref="F4719">IF($A4719="","",
  LET(
    r, $D4719,
    startD, INDEX(Calculation!B$2:B9627, r),
    endD,   INDEX(Calculation!C$2:C9627, r),
    asOf,   MIN($A4719,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20">
      <c r="A4720" s="28"/>
      <c r="B4720" s="29"/>
      <c r="C4720" s="29" t="str">
        <f t="shared" si="1"/>
        <v/>
      </c>
      <c r="D4720" s="6" t="str">
        <f>IF(A4720="","",MATCH(A4720,Calculation!B$2:B9627,1))</f>
        <v/>
      </c>
      <c r="E4720" s="29" t="str">
        <f t="array" ref="E4720">IF(D4720="","",IF(D4720=1,0,INDEX(Calculation!Q$2:Q9627,D4720-1)))</f>
        <v/>
      </c>
      <c r="F4720" s="29" t="str">
        <f t="array" ref="F4720">IF($A4720="","",
  LET(
    r, $D4720,
    startD, INDEX(Calculation!B$2:B9627, r),
    endD,   INDEX(Calculation!C$2:C9627, r),
    asOf,   MIN($A4720,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21">
      <c r="A4721" s="28"/>
      <c r="B4721" s="29"/>
      <c r="C4721" s="29" t="str">
        <f t="shared" si="1"/>
        <v/>
      </c>
      <c r="D4721" s="6" t="str">
        <f>IF(A4721="","",MATCH(A4721,Calculation!B$2:B9627,1))</f>
        <v/>
      </c>
      <c r="E4721" s="29" t="str">
        <f t="array" ref="E4721">IF(D4721="","",IF(D4721=1,0,INDEX(Calculation!Q$2:Q9627,D4721-1)))</f>
        <v/>
      </c>
      <c r="F4721" s="29" t="str">
        <f t="array" ref="F4721">IF($A4721="","",
  LET(
    r, $D4721,
    startD, INDEX(Calculation!B$2:B9627, r),
    endD,   INDEX(Calculation!C$2:C9627, r),
    asOf,   MIN($A4721,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22">
      <c r="A4722" s="28"/>
      <c r="B4722" s="29"/>
      <c r="C4722" s="29" t="str">
        <f t="shared" si="1"/>
        <v/>
      </c>
      <c r="D4722" s="6" t="str">
        <f>IF(A4722="","",MATCH(A4722,Calculation!B$2:B9627,1))</f>
        <v/>
      </c>
      <c r="E4722" s="29" t="str">
        <f t="array" ref="E4722">IF(D4722="","",IF(D4722=1,0,INDEX(Calculation!Q$2:Q9627,D4722-1)))</f>
        <v/>
      </c>
      <c r="F4722" s="29" t="str">
        <f t="array" ref="F4722">IF($A4722="","",
  LET(
    r, $D4722,
    startD, INDEX(Calculation!B$2:B9627, r),
    endD,   INDEX(Calculation!C$2:C9627, r),
    asOf,   MIN($A4722,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23">
      <c r="A4723" s="28"/>
      <c r="B4723" s="29"/>
      <c r="C4723" s="29" t="str">
        <f t="shared" si="1"/>
        <v/>
      </c>
      <c r="D4723" s="6" t="str">
        <f>IF(A4723="","",MATCH(A4723,Calculation!B$2:B9627,1))</f>
        <v/>
      </c>
      <c r="E4723" s="29" t="str">
        <f t="array" ref="E4723">IF(D4723="","",IF(D4723=1,0,INDEX(Calculation!Q$2:Q9627,D4723-1)))</f>
        <v/>
      </c>
      <c r="F4723" s="29" t="str">
        <f t="array" ref="F4723">IF($A4723="","",
  LET(
    r, $D4723,
    startD, INDEX(Calculation!B$2:B9627, r),
    endD,   INDEX(Calculation!C$2:C9627, r),
    asOf,   MIN($A4723,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24">
      <c r="A4724" s="28"/>
      <c r="B4724" s="29"/>
      <c r="C4724" s="29" t="str">
        <f t="shared" si="1"/>
        <v/>
      </c>
      <c r="D4724" s="6" t="str">
        <f>IF(A4724="","",MATCH(A4724,Calculation!B$2:B9627,1))</f>
        <v/>
      </c>
      <c r="E4724" s="29" t="str">
        <f t="array" ref="E4724">IF(D4724="","",IF(D4724=1,0,INDEX(Calculation!Q$2:Q9627,D4724-1)))</f>
        <v/>
      </c>
      <c r="F4724" s="29" t="str">
        <f t="array" ref="F4724">IF($A4724="","",
  LET(
    r, $D4724,
    startD, INDEX(Calculation!B$2:B9627, r),
    endD,   INDEX(Calculation!C$2:C9627, r),
    asOf,   MIN($A4724,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25">
      <c r="A4725" s="28"/>
      <c r="B4725" s="29"/>
      <c r="C4725" s="29" t="str">
        <f t="shared" si="1"/>
        <v/>
      </c>
      <c r="D4725" s="6" t="str">
        <f>IF(A4725="","",MATCH(A4725,Calculation!B$2:B9627,1))</f>
        <v/>
      </c>
      <c r="E4725" s="29" t="str">
        <f t="array" ref="E4725">IF(D4725="","",IF(D4725=1,0,INDEX(Calculation!Q$2:Q9627,D4725-1)))</f>
        <v/>
      </c>
      <c r="F4725" s="29" t="str">
        <f t="array" ref="F4725">IF($A4725="","",
  LET(
    r, $D4725,
    startD, INDEX(Calculation!B$2:B9627, r),
    endD,   INDEX(Calculation!C$2:C9627, r),
    asOf,   MIN($A4725,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26">
      <c r="A4726" s="28"/>
      <c r="B4726" s="29"/>
      <c r="C4726" s="29" t="str">
        <f t="shared" si="1"/>
        <v/>
      </c>
      <c r="D4726" s="6" t="str">
        <f>IF(A4726="","",MATCH(A4726,Calculation!B$2:B9627,1))</f>
        <v/>
      </c>
      <c r="E4726" s="29" t="str">
        <f t="array" ref="E4726">IF(D4726="","",IF(D4726=1,0,INDEX(Calculation!Q$2:Q9627,D4726-1)))</f>
        <v/>
      </c>
      <c r="F4726" s="29" t="str">
        <f t="array" ref="F4726">IF($A4726="","",
  LET(
    r, $D4726,
    startD, INDEX(Calculation!B$2:B9627, r),
    endD,   INDEX(Calculation!C$2:C9627, r),
    asOf,   MIN($A4726,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27">
      <c r="A4727" s="28"/>
      <c r="B4727" s="29"/>
      <c r="C4727" s="29" t="str">
        <f t="shared" si="1"/>
        <v/>
      </c>
      <c r="D4727" s="6" t="str">
        <f>IF(A4727="","",MATCH(A4727,Calculation!B$2:B9627,1))</f>
        <v/>
      </c>
      <c r="E4727" s="29" t="str">
        <f t="array" ref="E4727">IF(D4727="","",IF(D4727=1,0,INDEX(Calculation!Q$2:Q9627,D4727-1)))</f>
        <v/>
      </c>
      <c r="F4727" s="29" t="str">
        <f t="array" ref="F4727">IF($A4727="","",
  LET(
    r, $D4727,
    startD, INDEX(Calculation!B$2:B9627, r),
    endD,   INDEX(Calculation!C$2:C9627, r),
    asOf,   MIN($A4727,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28">
      <c r="A4728" s="28"/>
      <c r="B4728" s="29"/>
      <c r="C4728" s="29" t="str">
        <f t="shared" si="1"/>
        <v/>
      </c>
      <c r="D4728" s="6" t="str">
        <f>IF(A4728="","",MATCH(A4728,Calculation!B$2:B9627,1))</f>
        <v/>
      </c>
      <c r="E4728" s="29" t="str">
        <f t="array" ref="E4728">IF(D4728="","",IF(D4728=1,0,INDEX(Calculation!Q$2:Q9627,D4728-1)))</f>
        <v/>
      </c>
      <c r="F4728" s="29" t="str">
        <f t="array" ref="F4728">IF($A4728="","",
  LET(
    r, $D4728,
    startD, INDEX(Calculation!B$2:B9627, r),
    endD,   INDEX(Calculation!C$2:C9627, r),
    asOf,   MIN($A4728,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29">
      <c r="A4729" s="28"/>
      <c r="B4729" s="29"/>
      <c r="C4729" s="29" t="str">
        <f t="shared" si="1"/>
        <v/>
      </c>
      <c r="D4729" s="6" t="str">
        <f>IF(A4729="","",MATCH(A4729,Calculation!B$2:B9627,1))</f>
        <v/>
      </c>
      <c r="E4729" s="29" t="str">
        <f t="array" ref="E4729">IF(D4729="","",IF(D4729=1,0,INDEX(Calculation!Q$2:Q9627,D4729-1)))</f>
        <v/>
      </c>
      <c r="F4729" s="29" t="str">
        <f t="array" ref="F4729">IF($A4729="","",
  LET(
    r, $D4729,
    startD, INDEX(Calculation!B$2:B9627, r),
    endD,   INDEX(Calculation!C$2:C9627, r),
    asOf,   MIN($A4729,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30">
      <c r="A4730" s="28"/>
      <c r="B4730" s="29"/>
      <c r="C4730" s="29" t="str">
        <f t="shared" si="1"/>
        <v/>
      </c>
      <c r="D4730" s="6" t="str">
        <f>IF(A4730="","",MATCH(A4730,Calculation!B$2:B9627,1))</f>
        <v/>
      </c>
      <c r="E4730" s="29" t="str">
        <f t="array" ref="E4730">IF(D4730="","",IF(D4730=1,0,INDEX(Calculation!Q$2:Q9627,D4730-1)))</f>
        <v/>
      </c>
      <c r="F4730" s="29" t="str">
        <f t="array" ref="F4730">IF($A4730="","",
  LET(
    r, $D4730,
    startD, INDEX(Calculation!B$2:B9627, r),
    endD,   INDEX(Calculation!C$2:C9627, r),
    asOf,   MIN($A4730,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31">
      <c r="A4731" s="28"/>
      <c r="B4731" s="29"/>
      <c r="C4731" s="29" t="str">
        <f t="shared" si="1"/>
        <v/>
      </c>
      <c r="D4731" s="6" t="str">
        <f>IF(A4731="","",MATCH(A4731,Calculation!B$2:B9627,1))</f>
        <v/>
      </c>
      <c r="E4731" s="29" t="str">
        <f t="array" ref="E4731">IF(D4731="","",IF(D4731=1,0,INDEX(Calculation!Q$2:Q9627,D4731-1)))</f>
        <v/>
      </c>
      <c r="F4731" s="29" t="str">
        <f t="array" ref="F4731">IF($A4731="","",
  LET(
    r, $D4731,
    startD, INDEX(Calculation!B$2:B9627, r),
    endD,   INDEX(Calculation!C$2:C9627, r),
    asOf,   MIN($A4731,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32">
      <c r="A4732" s="28"/>
      <c r="B4732" s="29"/>
      <c r="C4732" s="29" t="str">
        <f t="shared" si="1"/>
        <v/>
      </c>
      <c r="D4732" s="6" t="str">
        <f>IF(A4732="","",MATCH(A4732,Calculation!B$2:B9627,1))</f>
        <v/>
      </c>
      <c r="E4732" s="29" t="str">
        <f t="array" ref="E4732">IF(D4732="","",IF(D4732=1,0,INDEX(Calculation!Q$2:Q9627,D4732-1)))</f>
        <v/>
      </c>
      <c r="F4732" s="29" t="str">
        <f t="array" ref="F4732">IF($A4732="","",
  LET(
    r, $D4732,
    startD, INDEX(Calculation!B$2:B9627, r),
    endD,   INDEX(Calculation!C$2:C9627, r),
    asOf,   MIN($A4732,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33">
      <c r="A4733" s="28"/>
      <c r="B4733" s="29"/>
      <c r="C4733" s="29" t="str">
        <f t="shared" si="1"/>
        <v/>
      </c>
      <c r="D4733" s="6" t="str">
        <f>IF(A4733="","",MATCH(A4733,Calculation!B$2:B9627,1))</f>
        <v/>
      </c>
      <c r="E4733" s="29" t="str">
        <f t="array" ref="E4733">IF(D4733="","",IF(D4733=1,0,INDEX(Calculation!Q$2:Q9627,D4733-1)))</f>
        <v/>
      </c>
      <c r="F4733" s="29" t="str">
        <f t="array" ref="F4733">IF($A4733="","",
  LET(
    r, $D4733,
    startD, INDEX(Calculation!B$2:B9627, r),
    endD,   INDEX(Calculation!C$2:C9627, r),
    asOf,   MIN($A4733,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34">
      <c r="A4734" s="28"/>
      <c r="B4734" s="29"/>
      <c r="C4734" s="29" t="str">
        <f t="shared" si="1"/>
        <v/>
      </c>
      <c r="D4734" s="6" t="str">
        <f>IF(A4734="","",MATCH(A4734,Calculation!B$2:B9627,1))</f>
        <v/>
      </c>
      <c r="E4734" s="29" t="str">
        <f t="array" ref="E4734">IF(D4734="","",IF(D4734=1,0,INDEX(Calculation!Q$2:Q9627,D4734-1)))</f>
        <v/>
      </c>
      <c r="F4734" s="29" t="str">
        <f t="array" ref="F4734">IF($A4734="","",
  LET(
    r, $D4734,
    startD, INDEX(Calculation!B$2:B9627, r),
    endD,   INDEX(Calculation!C$2:C9627, r),
    asOf,   MIN($A4734,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35">
      <c r="A4735" s="28"/>
      <c r="B4735" s="29"/>
      <c r="C4735" s="29" t="str">
        <f t="shared" si="1"/>
        <v/>
      </c>
      <c r="D4735" s="6" t="str">
        <f>IF(A4735="","",MATCH(A4735,Calculation!B$2:B9627,1))</f>
        <v/>
      </c>
      <c r="E4735" s="29" t="str">
        <f t="array" ref="E4735">IF(D4735="","",IF(D4735=1,0,INDEX(Calculation!Q$2:Q9627,D4735-1)))</f>
        <v/>
      </c>
      <c r="F4735" s="29" t="str">
        <f t="array" ref="F4735">IF($A4735="","",
  LET(
    r, $D4735,
    startD, INDEX(Calculation!B$2:B9627, r),
    endD,   INDEX(Calculation!C$2:C9627, r),
    asOf,   MIN($A4735,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36">
      <c r="A4736" s="28"/>
      <c r="B4736" s="29"/>
      <c r="C4736" s="29" t="str">
        <f t="shared" si="1"/>
        <v/>
      </c>
      <c r="D4736" s="6" t="str">
        <f>IF(A4736="","",MATCH(A4736,Calculation!B$2:B9627,1))</f>
        <v/>
      </c>
      <c r="E4736" s="29" t="str">
        <f t="array" ref="E4736">IF(D4736="","",IF(D4736=1,0,INDEX(Calculation!Q$2:Q9627,D4736-1)))</f>
        <v/>
      </c>
      <c r="F4736" s="29" t="str">
        <f t="array" ref="F4736">IF($A4736="","",
  LET(
    r, $D4736,
    startD, INDEX(Calculation!B$2:B9627, r),
    endD,   INDEX(Calculation!C$2:C9627, r),
    asOf,   MIN($A4736,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37">
      <c r="A4737" s="28"/>
      <c r="B4737" s="29"/>
      <c r="C4737" s="29" t="str">
        <f t="shared" si="1"/>
        <v/>
      </c>
      <c r="D4737" s="6" t="str">
        <f>IF(A4737="","",MATCH(A4737,Calculation!B$2:B9627,1))</f>
        <v/>
      </c>
      <c r="E4737" s="29" t="str">
        <f t="array" ref="E4737">IF(D4737="","",IF(D4737=1,0,INDEX(Calculation!Q$2:Q9627,D4737-1)))</f>
        <v/>
      </c>
      <c r="F4737" s="29" t="str">
        <f t="array" ref="F4737">IF($A4737="","",
  LET(
    r, $D4737,
    startD, INDEX(Calculation!B$2:B9627, r),
    endD,   INDEX(Calculation!C$2:C9627, r),
    asOf,   MIN($A4737,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38">
      <c r="A4738" s="28"/>
      <c r="B4738" s="29"/>
      <c r="C4738" s="29" t="str">
        <f t="shared" si="1"/>
        <v/>
      </c>
      <c r="D4738" s="6" t="str">
        <f>IF(A4738="","",MATCH(A4738,Calculation!B$2:B9627,1))</f>
        <v/>
      </c>
      <c r="E4738" s="29" t="str">
        <f t="array" ref="E4738">IF(D4738="","",IF(D4738=1,0,INDEX(Calculation!Q$2:Q9627,D4738-1)))</f>
        <v/>
      </c>
      <c r="F4738" s="29" t="str">
        <f t="array" ref="F4738">IF($A4738="","",
  LET(
    r, $D4738,
    startD, INDEX(Calculation!B$2:B9627, r),
    endD,   INDEX(Calculation!C$2:C9627, r),
    asOf,   MIN($A4738,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39">
      <c r="A4739" s="28"/>
      <c r="B4739" s="29"/>
      <c r="C4739" s="29" t="str">
        <f t="shared" si="1"/>
        <v/>
      </c>
      <c r="D4739" s="6" t="str">
        <f>IF(A4739="","",MATCH(A4739,Calculation!B$2:B9627,1))</f>
        <v/>
      </c>
      <c r="E4739" s="29" t="str">
        <f t="array" ref="E4739">IF(D4739="","",IF(D4739=1,0,INDEX(Calculation!Q$2:Q9627,D4739-1)))</f>
        <v/>
      </c>
      <c r="F4739" s="29" t="str">
        <f t="array" ref="F4739">IF($A4739="","",
  LET(
    r, $D4739,
    startD, INDEX(Calculation!B$2:B9627, r),
    endD,   INDEX(Calculation!C$2:C9627, r),
    asOf,   MIN($A4739,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40">
      <c r="A4740" s="28"/>
      <c r="B4740" s="29"/>
      <c r="C4740" s="29" t="str">
        <f t="shared" si="1"/>
        <v/>
      </c>
      <c r="D4740" s="6" t="str">
        <f>IF(A4740="","",MATCH(A4740,Calculation!B$2:B9627,1))</f>
        <v/>
      </c>
      <c r="E4740" s="29" t="str">
        <f t="array" ref="E4740">IF(D4740="","",IF(D4740=1,0,INDEX(Calculation!Q$2:Q9627,D4740-1)))</f>
        <v/>
      </c>
      <c r="F4740" s="29" t="str">
        <f t="array" ref="F4740">IF($A4740="","",
  LET(
    r, $D4740,
    startD, INDEX(Calculation!B$2:B9627, r),
    endD,   INDEX(Calculation!C$2:C9627, r),
    asOf,   MIN($A4740,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41">
      <c r="A4741" s="28"/>
      <c r="B4741" s="29"/>
      <c r="C4741" s="29" t="str">
        <f t="shared" si="1"/>
        <v/>
      </c>
      <c r="D4741" s="6" t="str">
        <f>IF(A4741="","",MATCH(A4741,Calculation!B$2:B9627,1))</f>
        <v/>
      </c>
      <c r="E4741" s="29" t="str">
        <f t="array" ref="E4741">IF(D4741="","",IF(D4741=1,0,INDEX(Calculation!Q$2:Q9627,D4741-1)))</f>
        <v/>
      </c>
      <c r="F4741" s="29" t="str">
        <f t="array" ref="F4741">IF($A4741="","",
  LET(
    r, $D4741,
    startD, INDEX(Calculation!B$2:B9627, r),
    endD,   INDEX(Calculation!C$2:C9627, r),
    asOf,   MIN($A4741,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42">
      <c r="A4742" s="28"/>
      <c r="B4742" s="29"/>
      <c r="C4742" s="29" t="str">
        <f t="shared" si="1"/>
        <v/>
      </c>
      <c r="D4742" s="6" t="str">
        <f>IF(A4742="","",MATCH(A4742,Calculation!B$2:B9627,1))</f>
        <v/>
      </c>
      <c r="E4742" s="29" t="str">
        <f t="array" ref="E4742">IF(D4742="","",IF(D4742=1,0,INDEX(Calculation!Q$2:Q9627,D4742-1)))</f>
        <v/>
      </c>
      <c r="F4742" s="29" t="str">
        <f t="array" ref="F4742">IF($A4742="","",
  LET(
    r, $D4742,
    startD, INDEX(Calculation!B$2:B9627, r),
    endD,   INDEX(Calculation!C$2:C9627, r),
    asOf,   MIN($A4742,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43">
      <c r="A4743" s="28"/>
      <c r="B4743" s="29"/>
      <c r="C4743" s="29" t="str">
        <f t="shared" si="1"/>
        <v/>
      </c>
      <c r="D4743" s="6" t="str">
        <f>IF(A4743="","",MATCH(A4743,Calculation!B$2:B9627,1))</f>
        <v/>
      </c>
      <c r="E4743" s="29" t="str">
        <f t="array" ref="E4743">IF(D4743="","",IF(D4743=1,0,INDEX(Calculation!Q$2:Q9627,D4743-1)))</f>
        <v/>
      </c>
      <c r="F4743" s="29" t="str">
        <f t="array" ref="F4743">IF($A4743="","",
  LET(
    r, $D4743,
    startD, INDEX(Calculation!B$2:B9627, r),
    endD,   INDEX(Calculation!C$2:C9627, r),
    asOf,   MIN($A4743,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44">
      <c r="A4744" s="28"/>
      <c r="B4744" s="29"/>
      <c r="C4744" s="29" t="str">
        <f t="shared" si="1"/>
        <v/>
      </c>
      <c r="D4744" s="6" t="str">
        <f>IF(A4744="","",MATCH(A4744,Calculation!B$2:B9627,1))</f>
        <v/>
      </c>
      <c r="E4744" s="29" t="str">
        <f t="array" ref="E4744">IF(D4744="","",IF(D4744=1,0,INDEX(Calculation!Q$2:Q9627,D4744-1)))</f>
        <v/>
      </c>
      <c r="F4744" s="29" t="str">
        <f t="array" ref="F4744">IF($A4744="","",
  LET(
    r, $D4744,
    startD, INDEX(Calculation!B$2:B9627, r),
    endD,   INDEX(Calculation!C$2:C9627, r),
    asOf,   MIN($A4744,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45">
      <c r="A4745" s="28"/>
      <c r="B4745" s="29"/>
      <c r="C4745" s="29" t="str">
        <f t="shared" si="1"/>
        <v/>
      </c>
      <c r="D4745" s="6" t="str">
        <f>IF(A4745="","",MATCH(A4745,Calculation!B$2:B9627,1))</f>
        <v/>
      </c>
      <c r="E4745" s="29" t="str">
        <f t="array" ref="E4745">IF(D4745="","",IF(D4745=1,0,INDEX(Calculation!Q$2:Q9627,D4745-1)))</f>
        <v/>
      </c>
      <c r="F4745" s="29" t="str">
        <f t="array" ref="F4745">IF($A4745="","",
  LET(
    r, $D4745,
    startD, INDEX(Calculation!B$2:B9627, r),
    endD,   INDEX(Calculation!C$2:C9627, r),
    asOf,   MIN($A4745,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46">
      <c r="A4746" s="28"/>
      <c r="B4746" s="29"/>
      <c r="C4746" s="29" t="str">
        <f t="shared" si="1"/>
        <v/>
      </c>
      <c r="D4746" s="6" t="str">
        <f>IF(A4746="","",MATCH(A4746,Calculation!B$2:B9627,1))</f>
        <v/>
      </c>
      <c r="E4746" s="29" t="str">
        <f t="array" ref="E4746">IF(D4746="","",IF(D4746=1,0,INDEX(Calculation!Q$2:Q9627,D4746-1)))</f>
        <v/>
      </c>
      <c r="F4746" s="29" t="str">
        <f t="array" ref="F4746">IF($A4746="","",
  LET(
    r, $D4746,
    startD, INDEX(Calculation!B$2:B9627, r),
    endD,   INDEX(Calculation!C$2:C9627, r),
    asOf,   MIN($A4746,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47">
      <c r="A4747" s="28"/>
      <c r="B4747" s="29"/>
      <c r="C4747" s="29" t="str">
        <f t="shared" si="1"/>
        <v/>
      </c>
      <c r="D4747" s="6" t="str">
        <f>IF(A4747="","",MATCH(A4747,Calculation!B$2:B9627,1))</f>
        <v/>
      </c>
      <c r="E4747" s="29" t="str">
        <f t="array" ref="E4747">IF(D4747="","",IF(D4747=1,0,INDEX(Calculation!Q$2:Q9627,D4747-1)))</f>
        <v/>
      </c>
      <c r="F4747" s="29" t="str">
        <f t="array" ref="F4747">IF($A4747="","",
  LET(
    r, $D4747,
    startD, INDEX(Calculation!B$2:B9627, r),
    endD,   INDEX(Calculation!C$2:C9627, r),
    asOf,   MIN($A4747,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48">
      <c r="A4748" s="28"/>
      <c r="B4748" s="29"/>
      <c r="C4748" s="29" t="str">
        <f t="shared" si="1"/>
        <v/>
      </c>
      <c r="D4748" s="6" t="str">
        <f>IF(A4748="","",MATCH(A4748,Calculation!B$2:B9627,1))</f>
        <v/>
      </c>
      <c r="E4748" s="29" t="str">
        <f t="array" ref="E4748">IF(D4748="","",IF(D4748=1,0,INDEX(Calculation!Q$2:Q9627,D4748-1)))</f>
        <v/>
      </c>
      <c r="F4748" s="29" t="str">
        <f t="array" ref="F4748">IF($A4748="","",
  LET(
    r, $D4748,
    startD, INDEX(Calculation!B$2:B9627, r),
    endD,   INDEX(Calculation!C$2:C9627, r),
    asOf,   MIN($A4748,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49">
      <c r="A4749" s="28"/>
      <c r="B4749" s="29"/>
      <c r="C4749" s="29" t="str">
        <f t="shared" si="1"/>
        <v/>
      </c>
      <c r="D4749" s="6" t="str">
        <f>IF(A4749="","",MATCH(A4749,Calculation!B$2:B9627,1))</f>
        <v/>
      </c>
      <c r="E4749" s="29" t="str">
        <f t="array" ref="E4749">IF(D4749="","",IF(D4749=1,0,INDEX(Calculation!Q$2:Q9627,D4749-1)))</f>
        <v/>
      </c>
      <c r="F4749" s="29" t="str">
        <f t="array" ref="F4749">IF($A4749="","",
  LET(
    r, $D4749,
    startD, INDEX(Calculation!B$2:B9627, r),
    endD,   INDEX(Calculation!C$2:C9627, r),
    asOf,   MIN($A4749,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50">
      <c r="A4750" s="28"/>
      <c r="B4750" s="29"/>
      <c r="C4750" s="29" t="str">
        <f t="shared" si="1"/>
        <v/>
      </c>
      <c r="D4750" s="6" t="str">
        <f>IF(A4750="","",MATCH(A4750,Calculation!B$2:B9627,1))</f>
        <v/>
      </c>
      <c r="E4750" s="29" t="str">
        <f t="array" ref="E4750">IF(D4750="","",IF(D4750=1,0,INDEX(Calculation!Q$2:Q9627,D4750-1)))</f>
        <v/>
      </c>
      <c r="F4750" s="29" t="str">
        <f t="array" ref="F4750">IF($A4750="","",
  LET(
    r, $D4750,
    startD, INDEX(Calculation!B$2:B9627, r),
    endD,   INDEX(Calculation!C$2:C9627, r),
    asOf,   MIN($A4750,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51">
      <c r="A4751" s="28"/>
      <c r="B4751" s="29"/>
      <c r="C4751" s="29" t="str">
        <f t="shared" si="1"/>
        <v/>
      </c>
      <c r="D4751" s="6" t="str">
        <f>IF(A4751="","",MATCH(A4751,Calculation!B$2:B9627,1))</f>
        <v/>
      </c>
      <c r="E4751" s="29" t="str">
        <f t="array" ref="E4751">IF(D4751="","",IF(D4751=1,0,INDEX(Calculation!Q$2:Q9627,D4751-1)))</f>
        <v/>
      </c>
      <c r="F4751" s="29" t="str">
        <f t="array" ref="F4751">IF($A4751="","",
  LET(
    r, $D4751,
    startD, INDEX(Calculation!B$2:B9627, r),
    endD,   INDEX(Calculation!C$2:C9627, r),
    asOf,   MIN($A4751,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52">
      <c r="A4752" s="28"/>
      <c r="B4752" s="29"/>
      <c r="C4752" s="29" t="str">
        <f t="shared" si="1"/>
        <v/>
      </c>
      <c r="D4752" s="6" t="str">
        <f>IF(A4752="","",MATCH(A4752,Calculation!B$2:B9627,1))</f>
        <v/>
      </c>
      <c r="E4752" s="29" t="str">
        <f t="array" ref="E4752">IF(D4752="","",IF(D4752=1,0,INDEX(Calculation!Q$2:Q9627,D4752-1)))</f>
        <v/>
      </c>
      <c r="F4752" s="29" t="str">
        <f t="array" ref="F4752">IF($A4752="","",
  LET(
    r, $D4752,
    startD, INDEX(Calculation!B$2:B9627, r),
    endD,   INDEX(Calculation!C$2:C9627, r),
    asOf,   MIN($A4752,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53">
      <c r="A4753" s="28"/>
      <c r="B4753" s="29"/>
      <c r="C4753" s="29" t="str">
        <f t="shared" si="1"/>
        <v/>
      </c>
      <c r="D4753" s="6" t="str">
        <f>IF(A4753="","",MATCH(A4753,Calculation!B$2:B9627,1))</f>
        <v/>
      </c>
      <c r="E4753" s="29" t="str">
        <f t="array" ref="E4753">IF(D4753="","",IF(D4753=1,0,INDEX(Calculation!Q$2:Q9627,D4753-1)))</f>
        <v/>
      </c>
      <c r="F4753" s="29" t="str">
        <f t="array" ref="F4753">IF($A4753="","",
  LET(
    r, $D4753,
    startD, INDEX(Calculation!B$2:B9627, r),
    endD,   INDEX(Calculation!C$2:C9627, r),
    asOf,   MIN($A4753,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54">
      <c r="A4754" s="28"/>
      <c r="B4754" s="29"/>
      <c r="C4754" s="29" t="str">
        <f t="shared" si="1"/>
        <v/>
      </c>
      <c r="D4754" s="6" t="str">
        <f>IF(A4754="","",MATCH(A4754,Calculation!B$2:B9627,1))</f>
        <v/>
      </c>
      <c r="E4754" s="29" t="str">
        <f t="array" ref="E4754">IF(D4754="","",IF(D4754=1,0,INDEX(Calculation!Q$2:Q9627,D4754-1)))</f>
        <v/>
      </c>
      <c r="F4754" s="29" t="str">
        <f t="array" ref="F4754">IF($A4754="","",
  LET(
    r, $D4754,
    startD, INDEX(Calculation!B$2:B9627, r),
    endD,   INDEX(Calculation!C$2:C9627, r),
    asOf,   MIN($A4754,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55">
      <c r="A4755" s="28"/>
      <c r="B4755" s="29"/>
      <c r="C4755" s="29" t="str">
        <f t="shared" si="1"/>
        <v/>
      </c>
      <c r="D4755" s="6" t="str">
        <f>IF(A4755="","",MATCH(A4755,Calculation!B$2:B9627,1))</f>
        <v/>
      </c>
      <c r="E4755" s="29" t="str">
        <f t="array" ref="E4755">IF(D4755="","",IF(D4755=1,0,INDEX(Calculation!Q$2:Q9627,D4755-1)))</f>
        <v/>
      </c>
      <c r="F4755" s="29" t="str">
        <f t="array" ref="F4755">IF($A4755="","",
  LET(
    r, $D4755,
    startD, INDEX(Calculation!B$2:B9627, r),
    endD,   INDEX(Calculation!C$2:C9627, r),
    asOf,   MIN($A4755,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56">
      <c r="A4756" s="28"/>
      <c r="B4756" s="29"/>
      <c r="C4756" s="29" t="str">
        <f t="shared" si="1"/>
        <v/>
      </c>
      <c r="D4756" s="6" t="str">
        <f>IF(A4756="","",MATCH(A4756,Calculation!B$2:B9627,1))</f>
        <v/>
      </c>
      <c r="E4756" s="29" t="str">
        <f t="array" ref="E4756">IF(D4756="","",IF(D4756=1,0,INDEX(Calculation!Q$2:Q9627,D4756-1)))</f>
        <v/>
      </c>
      <c r="F4756" s="29" t="str">
        <f t="array" ref="F4756">IF($A4756="","",
  LET(
    r, $D4756,
    startD, INDEX(Calculation!B$2:B9627, r),
    endD,   INDEX(Calculation!C$2:C9627, r),
    asOf,   MIN($A4756,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57">
      <c r="A4757" s="28"/>
      <c r="B4757" s="29"/>
      <c r="C4757" s="29" t="str">
        <f t="shared" si="1"/>
        <v/>
      </c>
      <c r="D4757" s="6" t="str">
        <f>IF(A4757="","",MATCH(A4757,Calculation!B$2:B9627,1))</f>
        <v/>
      </c>
      <c r="E4757" s="29" t="str">
        <f t="array" ref="E4757">IF(D4757="","",IF(D4757=1,0,INDEX(Calculation!Q$2:Q9627,D4757-1)))</f>
        <v/>
      </c>
      <c r="F4757" s="29" t="str">
        <f t="array" ref="F4757">IF($A4757="","",
  LET(
    r, $D4757,
    startD, INDEX(Calculation!B$2:B9627, r),
    endD,   INDEX(Calculation!C$2:C9627, r),
    asOf,   MIN($A4757,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58">
      <c r="A4758" s="28"/>
      <c r="B4758" s="29"/>
      <c r="C4758" s="29" t="str">
        <f t="shared" si="1"/>
        <v/>
      </c>
      <c r="D4758" s="6" t="str">
        <f>IF(A4758="","",MATCH(A4758,Calculation!B$2:B9627,1))</f>
        <v/>
      </c>
      <c r="E4758" s="29" t="str">
        <f t="array" ref="E4758">IF(D4758="","",IF(D4758=1,0,INDEX(Calculation!Q$2:Q9627,D4758-1)))</f>
        <v/>
      </c>
      <c r="F4758" s="29" t="str">
        <f t="array" ref="F4758">IF($A4758="","",
  LET(
    r, $D4758,
    startD, INDEX(Calculation!B$2:B9627, r),
    endD,   INDEX(Calculation!C$2:C9627, r),
    asOf,   MIN($A4758,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59">
      <c r="A4759" s="28"/>
      <c r="B4759" s="29"/>
      <c r="C4759" s="29" t="str">
        <f t="shared" si="1"/>
        <v/>
      </c>
      <c r="D4759" s="6" t="str">
        <f>IF(A4759="","",MATCH(A4759,Calculation!B$2:B9627,1))</f>
        <v/>
      </c>
      <c r="E4759" s="29" t="str">
        <f t="array" ref="E4759">IF(D4759="","",IF(D4759=1,0,INDEX(Calculation!Q$2:Q9627,D4759-1)))</f>
        <v/>
      </c>
      <c r="F4759" s="29" t="str">
        <f t="array" ref="F4759">IF($A4759="","",
  LET(
    r, $D4759,
    startD, INDEX(Calculation!B$2:B9627, r),
    endD,   INDEX(Calculation!C$2:C9627, r),
    asOf,   MIN($A4759,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60">
      <c r="A4760" s="28"/>
      <c r="B4760" s="29"/>
      <c r="C4760" s="29" t="str">
        <f t="shared" si="1"/>
        <v/>
      </c>
      <c r="D4760" s="6" t="str">
        <f>IF(A4760="","",MATCH(A4760,Calculation!B$2:B9627,1))</f>
        <v/>
      </c>
      <c r="E4760" s="29" t="str">
        <f t="array" ref="E4760">IF(D4760="","",IF(D4760=1,0,INDEX(Calculation!Q$2:Q9627,D4760-1)))</f>
        <v/>
      </c>
      <c r="F4760" s="29" t="str">
        <f t="array" ref="F4760">IF($A4760="","",
  LET(
    r, $D4760,
    startD, INDEX(Calculation!B$2:B9627, r),
    endD,   INDEX(Calculation!C$2:C9627, r),
    asOf,   MIN($A4760,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61">
      <c r="A4761" s="28"/>
      <c r="B4761" s="29"/>
      <c r="C4761" s="29" t="str">
        <f t="shared" si="1"/>
        <v/>
      </c>
      <c r="D4761" s="6" t="str">
        <f>IF(A4761="","",MATCH(A4761,Calculation!B$2:B9627,1))</f>
        <v/>
      </c>
      <c r="E4761" s="29" t="str">
        <f t="array" ref="E4761">IF(D4761="","",IF(D4761=1,0,INDEX(Calculation!Q$2:Q9627,D4761-1)))</f>
        <v/>
      </c>
      <c r="F4761" s="29" t="str">
        <f t="array" ref="F4761">IF($A4761="","",
  LET(
    r, $D4761,
    startD, INDEX(Calculation!B$2:B9627, r),
    endD,   INDEX(Calculation!C$2:C9627, r),
    asOf,   MIN($A4761,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62">
      <c r="A4762" s="28"/>
      <c r="B4762" s="29"/>
      <c r="C4762" s="29" t="str">
        <f t="shared" si="1"/>
        <v/>
      </c>
      <c r="D4762" s="6" t="str">
        <f>IF(A4762="","",MATCH(A4762,Calculation!B$2:B9627,1))</f>
        <v/>
      </c>
      <c r="E4762" s="29" t="str">
        <f t="array" ref="E4762">IF(D4762="","",IF(D4762=1,0,INDEX(Calculation!Q$2:Q9627,D4762-1)))</f>
        <v/>
      </c>
      <c r="F4762" s="29" t="str">
        <f t="array" ref="F4762">IF($A4762="","",
  LET(
    r, $D4762,
    startD, INDEX(Calculation!B$2:B9627, r),
    endD,   INDEX(Calculation!C$2:C9627, r),
    asOf,   MIN($A4762,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63">
      <c r="A4763" s="28"/>
      <c r="B4763" s="29"/>
      <c r="C4763" s="29" t="str">
        <f t="shared" si="1"/>
        <v/>
      </c>
      <c r="D4763" s="6" t="str">
        <f>IF(A4763="","",MATCH(A4763,Calculation!B$2:B9627,1))</f>
        <v/>
      </c>
      <c r="E4763" s="29" t="str">
        <f t="array" ref="E4763">IF(D4763="","",IF(D4763=1,0,INDEX(Calculation!Q$2:Q9627,D4763-1)))</f>
        <v/>
      </c>
      <c r="F4763" s="29" t="str">
        <f t="array" ref="F4763">IF($A4763="","",
  LET(
    r, $D4763,
    startD, INDEX(Calculation!B$2:B9627, r),
    endD,   INDEX(Calculation!C$2:C9627, r),
    asOf,   MIN($A4763,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64">
      <c r="A4764" s="28"/>
      <c r="B4764" s="29"/>
      <c r="C4764" s="29" t="str">
        <f t="shared" si="1"/>
        <v/>
      </c>
      <c r="D4764" s="6" t="str">
        <f>IF(A4764="","",MATCH(A4764,Calculation!B$2:B9627,1))</f>
        <v/>
      </c>
      <c r="E4764" s="29" t="str">
        <f t="array" ref="E4764">IF(D4764="","",IF(D4764=1,0,INDEX(Calculation!Q$2:Q9627,D4764-1)))</f>
        <v/>
      </c>
      <c r="F4764" s="29" t="str">
        <f t="array" ref="F4764">IF($A4764="","",
  LET(
    r, $D4764,
    startD, INDEX(Calculation!B$2:B9627, r),
    endD,   INDEX(Calculation!C$2:C9627, r),
    asOf,   MIN($A4764,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65">
      <c r="A4765" s="28"/>
      <c r="B4765" s="29"/>
      <c r="C4765" s="29" t="str">
        <f t="shared" si="1"/>
        <v/>
      </c>
      <c r="D4765" s="6" t="str">
        <f>IF(A4765="","",MATCH(A4765,Calculation!B$2:B9627,1))</f>
        <v/>
      </c>
      <c r="E4765" s="29" t="str">
        <f t="array" ref="E4765">IF(D4765="","",IF(D4765=1,0,INDEX(Calculation!Q$2:Q9627,D4765-1)))</f>
        <v/>
      </c>
      <c r="F4765" s="29" t="str">
        <f t="array" ref="F4765">IF($A4765="","",
  LET(
    r, $D4765,
    startD, INDEX(Calculation!B$2:B9627, r),
    endD,   INDEX(Calculation!C$2:C9627, r),
    asOf,   MIN($A4765,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66">
      <c r="A4766" s="28"/>
      <c r="B4766" s="29"/>
      <c r="C4766" s="29" t="str">
        <f t="shared" si="1"/>
        <v/>
      </c>
      <c r="D4766" s="6" t="str">
        <f>IF(A4766="","",MATCH(A4766,Calculation!B$2:B9627,1))</f>
        <v/>
      </c>
      <c r="E4766" s="29" t="str">
        <f t="array" ref="E4766">IF(D4766="","",IF(D4766=1,0,INDEX(Calculation!Q$2:Q9627,D4766-1)))</f>
        <v/>
      </c>
      <c r="F4766" s="29" t="str">
        <f t="array" ref="F4766">IF($A4766="","",
  LET(
    r, $D4766,
    startD, INDEX(Calculation!B$2:B9627, r),
    endD,   INDEX(Calculation!C$2:C9627, r),
    asOf,   MIN($A4766,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67">
      <c r="A4767" s="28"/>
      <c r="B4767" s="29"/>
      <c r="C4767" s="29" t="str">
        <f t="shared" si="1"/>
        <v/>
      </c>
      <c r="D4767" s="6" t="str">
        <f>IF(A4767="","",MATCH(A4767,Calculation!B$2:B9627,1))</f>
        <v/>
      </c>
      <c r="E4767" s="29" t="str">
        <f t="array" ref="E4767">IF(D4767="","",IF(D4767=1,0,INDEX(Calculation!Q$2:Q9627,D4767-1)))</f>
        <v/>
      </c>
      <c r="F4767" s="29" t="str">
        <f t="array" ref="F4767">IF($A4767="","",
  LET(
    r, $D4767,
    startD, INDEX(Calculation!B$2:B9627, r),
    endD,   INDEX(Calculation!C$2:C9627, r),
    asOf,   MIN($A4767,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68">
      <c r="A4768" s="28"/>
      <c r="B4768" s="29"/>
      <c r="C4768" s="29" t="str">
        <f t="shared" si="1"/>
        <v/>
      </c>
      <c r="D4768" s="6" t="str">
        <f>IF(A4768="","",MATCH(A4768,Calculation!B$2:B9627,1))</f>
        <v/>
      </c>
      <c r="E4768" s="29" t="str">
        <f t="array" ref="E4768">IF(D4768="","",IF(D4768=1,0,INDEX(Calculation!Q$2:Q9627,D4768-1)))</f>
        <v/>
      </c>
      <c r="F4768" s="29" t="str">
        <f t="array" ref="F4768">IF($A4768="","",
  LET(
    r, $D4768,
    startD, INDEX(Calculation!B$2:B9627, r),
    endD,   INDEX(Calculation!C$2:C9627, r),
    asOf,   MIN($A4768,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69">
      <c r="A4769" s="28"/>
      <c r="B4769" s="29"/>
      <c r="C4769" s="29" t="str">
        <f t="shared" si="1"/>
        <v/>
      </c>
      <c r="D4769" s="6" t="str">
        <f>IF(A4769="","",MATCH(A4769,Calculation!B$2:B9627,1))</f>
        <v/>
      </c>
      <c r="E4769" s="29" t="str">
        <f t="array" ref="E4769">IF(D4769="","",IF(D4769=1,0,INDEX(Calculation!Q$2:Q9627,D4769-1)))</f>
        <v/>
      </c>
      <c r="F4769" s="29" t="str">
        <f t="array" ref="F4769">IF($A4769="","",
  LET(
    r, $D4769,
    startD, INDEX(Calculation!B$2:B9627, r),
    endD,   INDEX(Calculation!C$2:C9627, r),
    asOf,   MIN($A4769,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70">
      <c r="A4770" s="28"/>
      <c r="B4770" s="29"/>
      <c r="C4770" s="29" t="str">
        <f t="shared" si="1"/>
        <v/>
      </c>
      <c r="D4770" s="6" t="str">
        <f>IF(A4770="","",MATCH(A4770,Calculation!B$2:B9627,1))</f>
        <v/>
      </c>
      <c r="E4770" s="29" t="str">
        <f t="array" ref="E4770">IF(D4770="","",IF(D4770=1,0,INDEX(Calculation!Q$2:Q9627,D4770-1)))</f>
        <v/>
      </c>
      <c r="F4770" s="29" t="str">
        <f t="array" ref="F4770">IF($A4770="","",
  LET(
    r, $D4770,
    startD, INDEX(Calculation!B$2:B9627, r),
    endD,   INDEX(Calculation!C$2:C9627, r),
    asOf,   MIN($A4770,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71">
      <c r="A4771" s="28"/>
      <c r="B4771" s="29"/>
      <c r="C4771" s="29" t="str">
        <f t="shared" si="1"/>
        <v/>
      </c>
      <c r="D4771" s="6" t="str">
        <f>IF(A4771="","",MATCH(A4771,Calculation!B$2:B9627,1))</f>
        <v/>
      </c>
      <c r="E4771" s="29" t="str">
        <f t="array" ref="E4771">IF(D4771="","",IF(D4771=1,0,INDEX(Calculation!Q$2:Q9627,D4771-1)))</f>
        <v/>
      </c>
      <c r="F4771" s="29" t="str">
        <f t="array" ref="F4771">IF($A4771="","",
  LET(
    r, $D4771,
    startD, INDEX(Calculation!B$2:B9627, r),
    endD,   INDEX(Calculation!C$2:C9627, r),
    asOf,   MIN($A4771,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72">
      <c r="A4772" s="28"/>
      <c r="B4772" s="29"/>
      <c r="C4772" s="29" t="str">
        <f t="shared" si="1"/>
        <v/>
      </c>
      <c r="D4772" s="6" t="str">
        <f>IF(A4772="","",MATCH(A4772,Calculation!B$2:B9627,1))</f>
        <v/>
      </c>
      <c r="E4772" s="29" t="str">
        <f t="array" ref="E4772">IF(D4772="","",IF(D4772=1,0,INDEX(Calculation!Q$2:Q9627,D4772-1)))</f>
        <v/>
      </c>
      <c r="F4772" s="29" t="str">
        <f t="array" ref="F4772">IF($A4772="","",
  LET(
    r, $D4772,
    startD, INDEX(Calculation!B$2:B9627, r),
    endD,   INDEX(Calculation!C$2:C9627, r),
    asOf,   MIN($A4772,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73">
      <c r="A4773" s="28"/>
      <c r="B4773" s="29"/>
      <c r="C4773" s="29" t="str">
        <f t="shared" si="1"/>
        <v/>
      </c>
      <c r="D4773" s="6" t="str">
        <f>IF(A4773="","",MATCH(A4773,Calculation!B$2:B9627,1))</f>
        <v/>
      </c>
      <c r="E4773" s="29" t="str">
        <f t="array" ref="E4773">IF(D4773="","",IF(D4773=1,0,INDEX(Calculation!Q$2:Q9627,D4773-1)))</f>
        <v/>
      </c>
      <c r="F4773" s="29" t="str">
        <f t="array" ref="F4773">IF($A4773="","",
  LET(
    r, $D4773,
    startD, INDEX(Calculation!B$2:B9627, r),
    endD,   INDEX(Calculation!C$2:C9627, r),
    asOf,   MIN($A4773,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74">
      <c r="A4774" s="28"/>
      <c r="B4774" s="29"/>
      <c r="C4774" s="29" t="str">
        <f t="shared" si="1"/>
        <v/>
      </c>
      <c r="D4774" s="6" t="str">
        <f>IF(A4774="","",MATCH(A4774,Calculation!B$2:B9627,1))</f>
        <v/>
      </c>
      <c r="E4774" s="29" t="str">
        <f t="array" ref="E4774">IF(D4774="","",IF(D4774=1,0,INDEX(Calculation!Q$2:Q9627,D4774-1)))</f>
        <v/>
      </c>
      <c r="F4774" s="29" t="str">
        <f t="array" ref="F4774">IF($A4774="","",
  LET(
    r, $D4774,
    startD, INDEX(Calculation!B$2:B9627, r),
    endD,   INDEX(Calculation!C$2:C9627, r),
    asOf,   MIN($A4774,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75">
      <c r="A4775" s="28"/>
      <c r="B4775" s="29"/>
      <c r="C4775" s="29" t="str">
        <f t="shared" si="1"/>
        <v/>
      </c>
      <c r="D4775" s="6" t="str">
        <f>IF(A4775="","",MATCH(A4775,Calculation!B$2:B9627,1))</f>
        <v/>
      </c>
      <c r="E4775" s="29" t="str">
        <f t="array" ref="E4775">IF(D4775="","",IF(D4775=1,0,INDEX(Calculation!Q$2:Q9627,D4775-1)))</f>
        <v/>
      </c>
      <c r="F4775" s="29" t="str">
        <f t="array" ref="F4775">IF($A4775="","",
  LET(
    r, $D4775,
    startD, INDEX(Calculation!B$2:B9627, r),
    endD,   INDEX(Calculation!C$2:C9627, r),
    asOf,   MIN($A4775,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76">
      <c r="A4776" s="28"/>
      <c r="B4776" s="29"/>
      <c r="C4776" s="29" t="str">
        <f t="shared" si="1"/>
        <v/>
      </c>
      <c r="D4776" s="6" t="str">
        <f>IF(A4776="","",MATCH(A4776,Calculation!B$2:B9627,1))</f>
        <v/>
      </c>
      <c r="E4776" s="29" t="str">
        <f t="array" ref="E4776">IF(D4776="","",IF(D4776=1,0,INDEX(Calculation!Q$2:Q9627,D4776-1)))</f>
        <v/>
      </c>
      <c r="F4776" s="29" t="str">
        <f t="array" ref="F4776">IF($A4776="","",
  LET(
    r, $D4776,
    startD, INDEX(Calculation!B$2:B9627, r),
    endD,   INDEX(Calculation!C$2:C9627, r),
    asOf,   MIN($A4776,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77">
      <c r="A4777" s="28"/>
      <c r="B4777" s="29"/>
      <c r="C4777" s="29" t="str">
        <f t="shared" si="1"/>
        <v/>
      </c>
      <c r="D4777" s="6" t="str">
        <f>IF(A4777="","",MATCH(A4777,Calculation!B$2:B9627,1))</f>
        <v/>
      </c>
      <c r="E4777" s="29" t="str">
        <f t="array" ref="E4777">IF(D4777="","",IF(D4777=1,0,INDEX(Calculation!Q$2:Q9627,D4777-1)))</f>
        <v/>
      </c>
      <c r="F4777" s="29" t="str">
        <f t="array" ref="F4777">IF($A4777="","",
  LET(
    r, $D4777,
    startD, INDEX(Calculation!B$2:B9627, r),
    endD,   INDEX(Calculation!C$2:C9627, r),
    asOf,   MIN($A4777,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78">
      <c r="A4778" s="28"/>
      <c r="B4778" s="29"/>
      <c r="C4778" s="29" t="str">
        <f t="shared" si="1"/>
        <v/>
      </c>
      <c r="D4778" s="6" t="str">
        <f>IF(A4778="","",MATCH(A4778,Calculation!B$2:B9627,1))</f>
        <v/>
      </c>
      <c r="E4778" s="29" t="str">
        <f t="array" ref="E4778">IF(D4778="","",IF(D4778=1,0,INDEX(Calculation!Q$2:Q9627,D4778-1)))</f>
        <v/>
      </c>
      <c r="F4778" s="29" t="str">
        <f t="array" ref="F4778">IF($A4778="","",
  LET(
    r, $D4778,
    startD, INDEX(Calculation!B$2:B9627, r),
    endD,   INDEX(Calculation!C$2:C9627, r),
    asOf,   MIN($A4778,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79">
      <c r="A4779" s="28"/>
      <c r="B4779" s="29"/>
      <c r="C4779" s="29" t="str">
        <f t="shared" si="1"/>
        <v/>
      </c>
      <c r="D4779" s="6" t="str">
        <f>IF(A4779="","",MATCH(A4779,Calculation!B$2:B9627,1))</f>
        <v/>
      </c>
      <c r="E4779" s="29" t="str">
        <f t="array" ref="E4779">IF(D4779="","",IF(D4779=1,0,INDEX(Calculation!Q$2:Q9627,D4779-1)))</f>
        <v/>
      </c>
      <c r="F4779" s="29" t="str">
        <f t="array" ref="F4779">IF($A4779="","",
  LET(
    r, $D4779,
    startD, INDEX(Calculation!B$2:B9627, r),
    endD,   INDEX(Calculation!C$2:C9627, r),
    asOf,   MIN($A4779,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80">
      <c r="A4780" s="28"/>
      <c r="B4780" s="29"/>
      <c r="C4780" s="29" t="str">
        <f t="shared" si="1"/>
        <v/>
      </c>
      <c r="D4780" s="6" t="str">
        <f>IF(A4780="","",MATCH(A4780,Calculation!B$2:B9627,1))</f>
        <v/>
      </c>
      <c r="E4780" s="29" t="str">
        <f t="array" ref="E4780">IF(D4780="","",IF(D4780=1,0,INDEX(Calculation!Q$2:Q9627,D4780-1)))</f>
        <v/>
      </c>
      <c r="F4780" s="29" t="str">
        <f t="array" ref="F4780">IF($A4780="","",
  LET(
    r, $D4780,
    startD, INDEX(Calculation!B$2:B9627, r),
    endD,   INDEX(Calculation!C$2:C9627, r),
    asOf,   MIN($A4780,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81">
      <c r="A4781" s="28"/>
      <c r="B4781" s="29"/>
      <c r="C4781" s="29" t="str">
        <f t="shared" si="1"/>
        <v/>
      </c>
      <c r="D4781" s="6" t="str">
        <f>IF(A4781="","",MATCH(A4781,Calculation!B$2:B9627,1))</f>
        <v/>
      </c>
      <c r="E4781" s="29" t="str">
        <f t="array" ref="E4781">IF(D4781="","",IF(D4781=1,0,INDEX(Calculation!Q$2:Q9627,D4781-1)))</f>
        <v/>
      </c>
      <c r="F4781" s="29" t="str">
        <f t="array" ref="F4781">IF($A4781="","",
  LET(
    r, $D4781,
    startD, INDEX(Calculation!B$2:B9627, r),
    endD,   INDEX(Calculation!C$2:C9627, r),
    asOf,   MIN($A4781,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82">
      <c r="A4782" s="28"/>
      <c r="B4782" s="29"/>
      <c r="C4782" s="29" t="str">
        <f t="shared" si="1"/>
        <v/>
      </c>
      <c r="D4782" s="6" t="str">
        <f>IF(A4782="","",MATCH(A4782,Calculation!B$2:B9627,1))</f>
        <v/>
      </c>
      <c r="E4782" s="29" t="str">
        <f t="array" ref="E4782">IF(D4782="","",IF(D4782=1,0,INDEX(Calculation!Q$2:Q9627,D4782-1)))</f>
        <v/>
      </c>
      <c r="F4782" s="29" t="str">
        <f t="array" ref="F4782">IF($A4782="","",
  LET(
    r, $D4782,
    startD, INDEX(Calculation!B$2:B9627, r),
    endD,   INDEX(Calculation!C$2:C9627, r),
    asOf,   MIN($A4782,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83">
      <c r="A4783" s="28"/>
      <c r="B4783" s="29"/>
      <c r="C4783" s="29" t="str">
        <f t="shared" si="1"/>
        <v/>
      </c>
      <c r="D4783" s="6" t="str">
        <f>IF(A4783="","",MATCH(A4783,Calculation!B$2:B9627,1))</f>
        <v/>
      </c>
      <c r="E4783" s="29" t="str">
        <f t="array" ref="E4783">IF(D4783="","",IF(D4783=1,0,INDEX(Calculation!Q$2:Q9627,D4783-1)))</f>
        <v/>
      </c>
      <c r="F4783" s="29" t="str">
        <f t="array" ref="F4783">IF($A4783="","",
  LET(
    r, $D4783,
    startD, INDEX(Calculation!B$2:B9627, r),
    endD,   INDEX(Calculation!C$2:C9627, r),
    asOf,   MIN($A4783,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84">
      <c r="A4784" s="28"/>
      <c r="B4784" s="29"/>
      <c r="C4784" s="29" t="str">
        <f t="shared" si="1"/>
        <v/>
      </c>
      <c r="D4784" s="6" t="str">
        <f>IF(A4784="","",MATCH(A4784,Calculation!B$2:B9627,1))</f>
        <v/>
      </c>
      <c r="E4784" s="29" t="str">
        <f t="array" ref="E4784">IF(D4784="","",IF(D4784=1,0,INDEX(Calculation!Q$2:Q9627,D4784-1)))</f>
        <v/>
      </c>
      <c r="F4784" s="29" t="str">
        <f t="array" ref="F4784">IF($A4784="","",
  LET(
    r, $D4784,
    startD, INDEX(Calculation!B$2:B9627, r),
    endD,   INDEX(Calculation!C$2:C9627, r),
    asOf,   MIN($A4784,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85">
      <c r="A4785" s="28"/>
      <c r="B4785" s="29"/>
      <c r="C4785" s="29" t="str">
        <f t="shared" si="1"/>
        <v/>
      </c>
      <c r="D4785" s="6" t="str">
        <f>IF(A4785="","",MATCH(A4785,Calculation!B$2:B9627,1))</f>
        <v/>
      </c>
      <c r="E4785" s="29" t="str">
        <f t="array" ref="E4785">IF(D4785="","",IF(D4785=1,0,INDEX(Calculation!Q$2:Q9627,D4785-1)))</f>
        <v/>
      </c>
      <c r="F4785" s="29" t="str">
        <f t="array" ref="F4785">IF($A4785="","",
  LET(
    r, $D4785,
    startD, INDEX(Calculation!B$2:B9627, r),
    endD,   INDEX(Calculation!C$2:C9627, r),
    asOf,   MIN($A4785,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86">
      <c r="A4786" s="28"/>
      <c r="B4786" s="29"/>
      <c r="C4786" s="29" t="str">
        <f t="shared" si="1"/>
        <v/>
      </c>
      <c r="D4786" s="6" t="str">
        <f>IF(A4786="","",MATCH(A4786,Calculation!B$2:B9627,1))</f>
        <v/>
      </c>
      <c r="E4786" s="29" t="str">
        <f t="array" ref="E4786">IF(D4786="","",IF(D4786=1,0,INDEX(Calculation!Q$2:Q9627,D4786-1)))</f>
        <v/>
      </c>
      <c r="F4786" s="29" t="str">
        <f t="array" ref="F4786">IF($A4786="","",
  LET(
    r, $D4786,
    startD, INDEX(Calculation!B$2:B9627, r),
    endD,   INDEX(Calculation!C$2:C9627, r),
    asOf,   MIN($A4786,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87">
      <c r="A4787" s="28"/>
      <c r="B4787" s="29"/>
      <c r="C4787" s="29" t="str">
        <f t="shared" si="1"/>
        <v/>
      </c>
      <c r="D4787" s="6" t="str">
        <f>IF(A4787="","",MATCH(A4787,Calculation!B$2:B9627,1))</f>
        <v/>
      </c>
      <c r="E4787" s="29" t="str">
        <f t="array" ref="E4787">IF(D4787="","",IF(D4787=1,0,INDEX(Calculation!Q$2:Q9627,D4787-1)))</f>
        <v/>
      </c>
      <c r="F4787" s="29" t="str">
        <f t="array" ref="F4787">IF($A4787="","",
  LET(
    r, $D4787,
    startD, INDEX(Calculation!B$2:B9627, r),
    endD,   INDEX(Calculation!C$2:C9627, r),
    asOf,   MIN($A4787,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88">
      <c r="A4788" s="28"/>
      <c r="B4788" s="29"/>
      <c r="C4788" s="29" t="str">
        <f t="shared" si="1"/>
        <v/>
      </c>
      <c r="D4788" s="6" t="str">
        <f>IF(A4788="","",MATCH(A4788,Calculation!B$2:B9627,1))</f>
        <v/>
      </c>
      <c r="E4788" s="29" t="str">
        <f t="array" ref="E4788">IF(D4788="","",IF(D4788=1,0,INDEX(Calculation!Q$2:Q9627,D4788-1)))</f>
        <v/>
      </c>
      <c r="F4788" s="29" t="str">
        <f t="array" ref="F4788">IF($A4788="","",
  LET(
    r, $D4788,
    startD, INDEX(Calculation!B$2:B9627, r),
    endD,   INDEX(Calculation!C$2:C9627, r),
    asOf,   MIN($A4788,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89">
      <c r="A4789" s="28"/>
      <c r="B4789" s="29"/>
      <c r="C4789" s="29" t="str">
        <f t="shared" si="1"/>
        <v/>
      </c>
      <c r="D4789" s="6" t="str">
        <f>IF(A4789="","",MATCH(A4789,Calculation!B$2:B9627,1))</f>
        <v/>
      </c>
      <c r="E4789" s="29" t="str">
        <f t="array" ref="E4789">IF(D4789="","",IF(D4789=1,0,INDEX(Calculation!Q$2:Q9627,D4789-1)))</f>
        <v/>
      </c>
      <c r="F4789" s="29" t="str">
        <f t="array" ref="F4789">IF($A4789="","",
  LET(
    r, $D4789,
    startD, INDEX(Calculation!B$2:B9627, r),
    endD,   INDEX(Calculation!C$2:C9627, r),
    asOf,   MIN($A4789,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90">
      <c r="A4790" s="28"/>
      <c r="B4790" s="29"/>
      <c r="C4790" s="29" t="str">
        <f t="shared" si="1"/>
        <v/>
      </c>
      <c r="D4790" s="6" t="str">
        <f>IF(A4790="","",MATCH(A4790,Calculation!B$2:B9627,1))</f>
        <v/>
      </c>
      <c r="E4790" s="29" t="str">
        <f t="array" ref="E4790">IF(D4790="","",IF(D4790=1,0,INDEX(Calculation!Q$2:Q9627,D4790-1)))</f>
        <v/>
      </c>
      <c r="F4790" s="29" t="str">
        <f t="array" ref="F4790">IF($A4790="","",
  LET(
    r, $D4790,
    startD, INDEX(Calculation!B$2:B9627, r),
    endD,   INDEX(Calculation!C$2:C9627, r),
    asOf,   MIN($A4790,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91">
      <c r="A4791" s="28"/>
      <c r="B4791" s="29"/>
      <c r="C4791" s="29" t="str">
        <f t="shared" si="1"/>
        <v/>
      </c>
      <c r="D4791" s="6" t="str">
        <f>IF(A4791="","",MATCH(A4791,Calculation!B$2:B9627,1))</f>
        <v/>
      </c>
      <c r="E4791" s="29" t="str">
        <f t="array" ref="E4791">IF(D4791="","",IF(D4791=1,0,INDEX(Calculation!Q$2:Q9627,D4791-1)))</f>
        <v/>
      </c>
      <c r="F4791" s="29" t="str">
        <f t="array" ref="F4791">IF($A4791="","",
  LET(
    r, $D4791,
    startD, INDEX(Calculation!B$2:B9627, r),
    endD,   INDEX(Calculation!C$2:C9627, r),
    asOf,   MIN($A4791,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92">
      <c r="A4792" s="28"/>
      <c r="B4792" s="29"/>
      <c r="C4792" s="29" t="str">
        <f t="shared" si="1"/>
        <v/>
      </c>
      <c r="D4792" s="6" t="str">
        <f>IF(A4792="","",MATCH(A4792,Calculation!B$2:B9627,1))</f>
        <v/>
      </c>
      <c r="E4792" s="29" t="str">
        <f t="array" ref="E4792">IF(D4792="","",IF(D4792=1,0,INDEX(Calculation!Q$2:Q9627,D4792-1)))</f>
        <v/>
      </c>
      <c r="F4792" s="29" t="str">
        <f t="array" ref="F4792">IF($A4792="","",
  LET(
    r, $D4792,
    startD, INDEX(Calculation!B$2:B9627, r),
    endD,   INDEX(Calculation!C$2:C9627, r),
    asOf,   MIN($A4792,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93">
      <c r="A4793" s="28"/>
      <c r="B4793" s="29"/>
      <c r="C4793" s="29" t="str">
        <f t="shared" si="1"/>
        <v/>
      </c>
      <c r="D4793" s="6" t="str">
        <f>IF(A4793="","",MATCH(A4793,Calculation!B$2:B9627,1))</f>
        <v/>
      </c>
      <c r="E4793" s="29" t="str">
        <f t="array" ref="E4793">IF(D4793="","",IF(D4793=1,0,INDEX(Calculation!Q$2:Q9627,D4793-1)))</f>
        <v/>
      </c>
      <c r="F4793" s="29" t="str">
        <f t="array" ref="F4793">IF($A4793="","",
  LET(
    r, $D4793,
    startD, INDEX(Calculation!B$2:B9627, r),
    endD,   INDEX(Calculation!C$2:C9627, r),
    asOf,   MIN($A4793,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94">
      <c r="A4794" s="28"/>
      <c r="B4794" s="29"/>
      <c r="C4794" s="29" t="str">
        <f t="shared" si="1"/>
        <v/>
      </c>
      <c r="D4794" s="6" t="str">
        <f>IF(A4794="","",MATCH(A4794,Calculation!B$2:B9627,1))</f>
        <v/>
      </c>
      <c r="E4794" s="29" t="str">
        <f t="array" ref="E4794">IF(D4794="","",IF(D4794=1,0,INDEX(Calculation!Q$2:Q9627,D4794-1)))</f>
        <v/>
      </c>
      <c r="F4794" s="29" t="str">
        <f t="array" ref="F4794">IF($A4794="","",
  LET(
    r, $D4794,
    startD, INDEX(Calculation!B$2:B9627, r),
    endD,   INDEX(Calculation!C$2:C9627, r),
    asOf,   MIN($A4794,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95">
      <c r="A4795" s="28"/>
      <c r="B4795" s="29"/>
      <c r="C4795" s="29" t="str">
        <f t="shared" si="1"/>
        <v/>
      </c>
      <c r="D4795" s="6" t="str">
        <f>IF(A4795="","",MATCH(A4795,Calculation!B$2:B9627,1))</f>
        <v/>
      </c>
      <c r="E4795" s="29" t="str">
        <f t="array" ref="E4795">IF(D4795="","",IF(D4795=1,0,INDEX(Calculation!Q$2:Q9627,D4795-1)))</f>
        <v/>
      </c>
      <c r="F4795" s="29" t="str">
        <f t="array" ref="F4795">IF($A4795="","",
  LET(
    r, $D4795,
    startD, INDEX(Calculation!B$2:B9627, r),
    endD,   INDEX(Calculation!C$2:C9627, r),
    asOf,   MIN($A4795,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96">
      <c r="A4796" s="28"/>
      <c r="B4796" s="29"/>
      <c r="C4796" s="29" t="str">
        <f t="shared" si="1"/>
        <v/>
      </c>
      <c r="D4796" s="6" t="str">
        <f>IF(A4796="","",MATCH(A4796,Calculation!B$2:B9627,1))</f>
        <v/>
      </c>
      <c r="E4796" s="29" t="str">
        <f t="array" ref="E4796">IF(D4796="","",IF(D4796=1,0,INDEX(Calculation!Q$2:Q9627,D4796-1)))</f>
        <v/>
      </c>
      <c r="F4796" s="29" t="str">
        <f t="array" ref="F4796">IF($A4796="","",
  LET(
    r, $D4796,
    startD, INDEX(Calculation!B$2:B9627, r),
    endD,   INDEX(Calculation!C$2:C9627, r),
    asOf,   MIN($A4796,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97">
      <c r="A4797" s="28"/>
      <c r="B4797" s="29"/>
      <c r="C4797" s="29" t="str">
        <f t="shared" si="1"/>
        <v/>
      </c>
      <c r="D4797" s="6" t="str">
        <f>IF(A4797="","",MATCH(A4797,Calculation!B$2:B9627,1))</f>
        <v/>
      </c>
      <c r="E4797" s="29" t="str">
        <f t="array" ref="E4797">IF(D4797="","",IF(D4797=1,0,INDEX(Calculation!Q$2:Q9627,D4797-1)))</f>
        <v/>
      </c>
      <c r="F4797" s="29" t="str">
        <f t="array" ref="F4797">IF($A4797="","",
  LET(
    r, $D4797,
    startD, INDEX(Calculation!B$2:B9627, r),
    endD,   INDEX(Calculation!C$2:C9627, r),
    asOf,   MIN($A4797,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98">
      <c r="A4798" s="28"/>
      <c r="B4798" s="29"/>
      <c r="C4798" s="29" t="str">
        <f t="shared" si="1"/>
        <v/>
      </c>
      <c r="D4798" s="6" t="str">
        <f>IF(A4798="","",MATCH(A4798,Calculation!B$2:B9627,1))</f>
        <v/>
      </c>
      <c r="E4798" s="29" t="str">
        <f t="array" ref="E4798">IF(D4798="","",IF(D4798=1,0,INDEX(Calculation!Q$2:Q9627,D4798-1)))</f>
        <v/>
      </c>
      <c r="F4798" s="29" t="str">
        <f t="array" ref="F4798">IF($A4798="","",
  LET(
    r, $D4798,
    startD, INDEX(Calculation!B$2:B9627, r),
    endD,   INDEX(Calculation!C$2:C9627, r),
    asOf,   MIN($A4798,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799">
      <c r="A4799" s="28"/>
      <c r="B4799" s="29"/>
      <c r="C4799" s="29" t="str">
        <f t="shared" si="1"/>
        <v/>
      </c>
      <c r="D4799" s="6" t="str">
        <f>IF(A4799="","",MATCH(A4799,Calculation!B$2:B9627,1))</f>
        <v/>
      </c>
      <c r="E4799" s="29" t="str">
        <f t="array" ref="E4799">IF(D4799="","",IF(D4799=1,0,INDEX(Calculation!Q$2:Q9627,D4799-1)))</f>
        <v/>
      </c>
      <c r="F4799" s="29" t="str">
        <f t="array" ref="F4799">IF($A4799="","",
  LET(
    r, $D4799,
    startD, INDEX(Calculation!B$2:B9627, r),
    endD,   INDEX(Calculation!C$2:C9627, r),
    asOf,   MIN($A4799,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00">
      <c r="A4800" s="28"/>
      <c r="B4800" s="29"/>
      <c r="C4800" s="29" t="str">
        <f t="shared" si="1"/>
        <v/>
      </c>
      <c r="D4800" s="6" t="str">
        <f>IF(A4800="","",MATCH(A4800,Calculation!B$2:B9627,1))</f>
        <v/>
      </c>
      <c r="E4800" s="29" t="str">
        <f t="array" ref="E4800">IF(D4800="","",IF(D4800=1,0,INDEX(Calculation!Q$2:Q9627,D4800-1)))</f>
        <v/>
      </c>
      <c r="F4800" s="29" t="str">
        <f t="array" ref="F4800">IF($A4800="","",
  LET(
    r, $D4800,
    startD, INDEX(Calculation!B$2:B9627, r),
    endD,   INDEX(Calculation!C$2:C9627, r),
    asOf,   MIN($A4800,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01">
      <c r="A4801" s="28"/>
      <c r="B4801" s="29"/>
      <c r="C4801" s="29" t="str">
        <f t="shared" si="1"/>
        <v/>
      </c>
      <c r="D4801" s="6" t="str">
        <f>IF(A4801="","",MATCH(A4801,Calculation!B$2:B9627,1))</f>
        <v/>
      </c>
      <c r="E4801" s="29" t="str">
        <f t="array" ref="E4801">IF(D4801="","",IF(D4801=1,0,INDEX(Calculation!Q$2:Q9627,D4801-1)))</f>
        <v/>
      </c>
      <c r="F4801" s="29" t="str">
        <f t="array" ref="F4801">IF($A4801="","",
  LET(
    r, $D4801,
    startD, INDEX(Calculation!B$2:B9627, r),
    endD,   INDEX(Calculation!C$2:C9627, r),
    asOf,   MIN($A4801,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02">
      <c r="A4802" s="28"/>
      <c r="B4802" s="29"/>
      <c r="C4802" s="29" t="str">
        <f t="shared" si="1"/>
        <v/>
      </c>
      <c r="D4802" s="6" t="str">
        <f>IF(A4802="","",MATCH(A4802,Calculation!B$2:B9627,1))</f>
        <v/>
      </c>
      <c r="E4802" s="29" t="str">
        <f t="array" ref="E4802">IF(D4802="","",IF(D4802=1,0,INDEX(Calculation!Q$2:Q9627,D4802-1)))</f>
        <v/>
      </c>
      <c r="F4802" s="29" t="str">
        <f t="array" ref="F4802">IF($A4802="","",
  LET(
    r, $D4802,
    startD, INDEX(Calculation!B$2:B9627, r),
    endD,   INDEX(Calculation!C$2:C9627, r),
    asOf,   MIN($A4802,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03">
      <c r="A4803" s="28"/>
      <c r="B4803" s="29"/>
      <c r="C4803" s="29" t="str">
        <f t="shared" si="1"/>
        <v/>
      </c>
      <c r="D4803" s="6" t="str">
        <f>IF(A4803="","",MATCH(A4803,Calculation!B$2:B9627,1))</f>
        <v/>
      </c>
      <c r="E4803" s="29" t="str">
        <f t="array" ref="E4803">IF(D4803="","",IF(D4803=1,0,INDEX(Calculation!Q$2:Q9627,D4803-1)))</f>
        <v/>
      </c>
      <c r="F4803" s="29" t="str">
        <f t="array" ref="F4803">IF($A4803="","",
  LET(
    r, $D4803,
    startD, INDEX(Calculation!B$2:B9627, r),
    endD,   INDEX(Calculation!C$2:C9627, r),
    asOf,   MIN($A4803,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04">
      <c r="A4804" s="28"/>
      <c r="B4804" s="29"/>
      <c r="C4804" s="29" t="str">
        <f t="shared" si="1"/>
        <v/>
      </c>
      <c r="D4804" s="6" t="str">
        <f>IF(A4804="","",MATCH(A4804,Calculation!B$2:B9627,1))</f>
        <v/>
      </c>
      <c r="E4804" s="29" t="str">
        <f t="array" ref="E4804">IF(D4804="","",IF(D4804=1,0,INDEX(Calculation!Q$2:Q9627,D4804-1)))</f>
        <v/>
      </c>
      <c r="F4804" s="29" t="str">
        <f t="array" ref="F4804">IF($A4804="","",
  LET(
    r, $D4804,
    startD, INDEX(Calculation!B$2:B9627, r),
    endD,   INDEX(Calculation!C$2:C9627, r),
    asOf,   MIN($A4804,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05">
      <c r="A4805" s="28"/>
      <c r="B4805" s="29"/>
      <c r="C4805" s="29" t="str">
        <f t="shared" si="1"/>
        <v/>
      </c>
      <c r="D4805" s="6" t="str">
        <f>IF(A4805="","",MATCH(A4805,Calculation!B$2:B9627,1))</f>
        <v/>
      </c>
      <c r="E4805" s="29" t="str">
        <f t="array" ref="E4805">IF(D4805="","",IF(D4805=1,0,INDEX(Calculation!Q$2:Q9627,D4805-1)))</f>
        <v/>
      </c>
      <c r="F4805" s="29" t="str">
        <f t="array" ref="F4805">IF($A4805="","",
  LET(
    r, $D4805,
    startD, INDEX(Calculation!B$2:B9627, r),
    endD,   INDEX(Calculation!C$2:C9627, r),
    asOf,   MIN($A4805,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06">
      <c r="A4806" s="28"/>
      <c r="B4806" s="29"/>
      <c r="C4806" s="29" t="str">
        <f t="shared" si="1"/>
        <v/>
      </c>
      <c r="D4806" s="6" t="str">
        <f>IF(A4806="","",MATCH(A4806,Calculation!B$2:B9627,1))</f>
        <v/>
      </c>
      <c r="E4806" s="29" t="str">
        <f t="array" ref="E4806">IF(D4806="","",IF(D4806=1,0,INDEX(Calculation!Q$2:Q9627,D4806-1)))</f>
        <v/>
      </c>
      <c r="F4806" s="29" t="str">
        <f t="array" ref="F4806">IF($A4806="","",
  LET(
    r, $D4806,
    startD, INDEX(Calculation!B$2:B9627, r),
    endD,   INDEX(Calculation!C$2:C9627, r),
    asOf,   MIN($A4806,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07">
      <c r="A4807" s="28"/>
      <c r="B4807" s="29"/>
      <c r="C4807" s="29" t="str">
        <f t="shared" si="1"/>
        <v/>
      </c>
      <c r="D4807" s="6" t="str">
        <f>IF(A4807="","",MATCH(A4807,Calculation!B$2:B9627,1))</f>
        <v/>
      </c>
      <c r="E4807" s="29" t="str">
        <f t="array" ref="E4807">IF(D4807="","",IF(D4807=1,0,INDEX(Calculation!Q$2:Q9627,D4807-1)))</f>
        <v/>
      </c>
      <c r="F4807" s="29" t="str">
        <f t="array" ref="F4807">IF($A4807="","",
  LET(
    r, $D4807,
    startD, INDEX(Calculation!B$2:B9627, r),
    endD,   INDEX(Calculation!C$2:C9627, r),
    asOf,   MIN($A4807,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08">
      <c r="A4808" s="28"/>
      <c r="B4808" s="29"/>
      <c r="C4808" s="29" t="str">
        <f t="shared" si="1"/>
        <v/>
      </c>
      <c r="D4808" s="6" t="str">
        <f>IF(A4808="","",MATCH(A4808,Calculation!B$2:B9627,1))</f>
        <v/>
      </c>
      <c r="E4808" s="29" t="str">
        <f t="array" ref="E4808">IF(D4808="","",IF(D4808=1,0,INDEX(Calculation!Q$2:Q9627,D4808-1)))</f>
        <v/>
      </c>
      <c r="F4808" s="29" t="str">
        <f t="array" ref="F4808">IF($A4808="","",
  LET(
    r, $D4808,
    startD, INDEX(Calculation!B$2:B9627, r),
    endD,   INDEX(Calculation!C$2:C9627, r),
    asOf,   MIN($A4808,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09">
      <c r="A4809" s="28"/>
      <c r="B4809" s="29"/>
      <c r="C4809" s="29" t="str">
        <f t="shared" si="1"/>
        <v/>
      </c>
      <c r="D4809" s="6" t="str">
        <f>IF(A4809="","",MATCH(A4809,Calculation!B$2:B9627,1))</f>
        <v/>
      </c>
      <c r="E4809" s="29" t="str">
        <f t="array" ref="E4809">IF(D4809="","",IF(D4809=1,0,INDEX(Calculation!Q$2:Q9627,D4809-1)))</f>
        <v/>
      </c>
      <c r="F4809" s="29" t="str">
        <f t="array" ref="F4809">IF($A4809="","",
  LET(
    r, $D4809,
    startD, INDEX(Calculation!B$2:B9627, r),
    endD,   INDEX(Calculation!C$2:C9627, r),
    asOf,   MIN($A4809,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10">
      <c r="A4810" s="28"/>
      <c r="B4810" s="29"/>
      <c r="C4810" s="29" t="str">
        <f t="shared" si="1"/>
        <v/>
      </c>
      <c r="D4810" s="6" t="str">
        <f>IF(A4810="","",MATCH(A4810,Calculation!B$2:B9627,1))</f>
        <v/>
      </c>
      <c r="E4810" s="29" t="str">
        <f t="array" ref="E4810">IF(D4810="","",IF(D4810=1,0,INDEX(Calculation!Q$2:Q9627,D4810-1)))</f>
        <v/>
      </c>
      <c r="F4810" s="29" t="str">
        <f t="array" ref="F4810">IF($A4810="","",
  LET(
    r, $D4810,
    startD, INDEX(Calculation!B$2:B9627, r),
    endD,   INDEX(Calculation!C$2:C9627, r),
    asOf,   MIN($A4810,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11">
      <c r="A4811" s="28"/>
      <c r="B4811" s="29"/>
      <c r="C4811" s="29" t="str">
        <f t="shared" si="1"/>
        <v/>
      </c>
      <c r="D4811" s="6" t="str">
        <f>IF(A4811="","",MATCH(A4811,Calculation!B$2:B9627,1))</f>
        <v/>
      </c>
      <c r="E4811" s="29" t="str">
        <f t="array" ref="E4811">IF(D4811="","",IF(D4811=1,0,INDEX(Calculation!Q$2:Q9627,D4811-1)))</f>
        <v/>
      </c>
      <c r="F4811" s="29" t="str">
        <f t="array" ref="F4811">IF($A4811="","",
  LET(
    r, $D4811,
    startD, INDEX(Calculation!B$2:B9627, r),
    endD,   INDEX(Calculation!C$2:C9627, r),
    asOf,   MIN($A4811,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12">
      <c r="A4812" s="28"/>
      <c r="B4812" s="29"/>
      <c r="C4812" s="29" t="str">
        <f t="shared" si="1"/>
        <v/>
      </c>
      <c r="D4812" s="6" t="str">
        <f>IF(A4812="","",MATCH(A4812,Calculation!B$2:B9627,1))</f>
        <v/>
      </c>
      <c r="E4812" s="29" t="str">
        <f t="array" ref="E4812">IF(D4812="","",IF(D4812=1,0,INDEX(Calculation!Q$2:Q9627,D4812-1)))</f>
        <v/>
      </c>
      <c r="F4812" s="29" t="str">
        <f t="array" ref="F4812">IF($A4812="","",
  LET(
    r, $D4812,
    startD, INDEX(Calculation!B$2:B9627, r),
    endD,   INDEX(Calculation!C$2:C9627, r),
    asOf,   MIN($A4812,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13">
      <c r="A4813" s="28"/>
      <c r="B4813" s="29"/>
      <c r="C4813" s="29" t="str">
        <f t="shared" si="1"/>
        <v/>
      </c>
      <c r="D4813" s="6" t="str">
        <f>IF(A4813="","",MATCH(A4813,Calculation!B$2:B9627,1))</f>
        <v/>
      </c>
      <c r="E4813" s="29" t="str">
        <f t="array" ref="E4813">IF(D4813="","",IF(D4813=1,0,INDEX(Calculation!Q$2:Q9627,D4813-1)))</f>
        <v/>
      </c>
      <c r="F4813" s="29" t="str">
        <f t="array" ref="F4813">IF($A4813="","",
  LET(
    r, $D4813,
    startD, INDEX(Calculation!B$2:B9627, r),
    endD,   INDEX(Calculation!C$2:C9627, r),
    asOf,   MIN($A4813,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14">
      <c r="A4814" s="28"/>
      <c r="B4814" s="29"/>
      <c r="C4814" s="29" t="str">
        <f t="shared" si="1"/>
        <v/>
      </c>
      <c r="D4814" s="6" t="str">
        <f>IF(A4814="","",MATCH(A4814,Calculation!B$2:B9627,1))</f>
        <v/>
      </c>
      <c r="E4814" s="29" t="str">
        <f t="array" ref="E4814">IF(D4814="","",IF(D4814=1,0,INDEX(Calculation!Q$2:Q9627,D4814-1)))</f>
        <v/>
      </c>
      <c r="F4814" s="29" t="str">
        <f t="array" ref="F4814">IF($A4814="","",
  LET(
    r, $D4814,
    startD, INDEX(Calculation!B$2:B9627, r),
    endD,   INDEX(Calculation!C$2:C9627, r),
    asOf,   MIN($A4814,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15">
      <c r="A4815" s="28"/>
      <c r="B4815" s="29"/>
      <c r="C4815" s="29" t="str">
        <f t="shared" si="1"/>
        <v/>
      </c>
      <c r="D4815" s="6" t="str">
        <f>IF(A4815="","",MATCH(A4815,Calculation!B$2:B9627,1))</f>
        <v/>
      </c>
      <c r="E4815" s="29" t="str">
        <f t="array" ref="E4815">IF(D4815="","",IF(D4815=1,0,INDEX(Calculation!Q$2:Q9627,D4815-1)))</f>
        <v/>
      </c>
      <c r="F4815" s="29" t="str">
        <f t="array" ref="F4815">IF($A4815="","",
  LET(
    r, $D4815,
    startD, INDEX(Calculation!B$2:B9627, r),
    endD,   INDEX(Calculation!C$2:C9627, r),
    asOf,   MIN($A4815,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16">
      <c r="A4816" s="28"/>
      <c r="B4816" s="29"/>
      <c r="C4816" s="29" t="str">
        <f t="shared" si="1"/>
        <v/>
      </c>
      <c r="D4816" s="6" t="str">
        <f>IF(A4816="","",MATCH(A4816,Calculation!B$2:B9627,1))</f>
        <v/>
      </c>
      <c r="E4816" s="29" t="str">
        <f t="array" ref="E4816">IF(D4816="","",IF(D4816=1,0,INDEX(Calculation!Q$2:Q9627,D4816-1)))</f>
        <v/>
      </c>
      <c r="F4816" s="29" t="str">
        <f t="array" ref="F4816">IF($A4816="","",
  LET(
    r, $D4816,
    startD, INDEX(Calculation!B$2:B9627, r),
    endD,   INDEX(Calculation!C$2:C9627, r),
    asOf,   MIN($A4816,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17">
      <c r="A4817" s="28"/>
      <c r="B4817" s="29"/>
      <c r="C4817" s="29" t="str">
        <f t="shared" si="1"/>
        <v/>
      </c>
      <c r="D4817" s="6" t="str">
        <f>IF(A4817="","",MATCH(A4817,Calculation!B$2:B9627,1))</f>
        <v/>
      </c>
      <c r="E4817" s="29" t="str">
        <f t="array" ref="E4817">IF(D4817="","",IF(D4817=1,0,INDEX(Calculation!Q$2:Q9627,D4817-1)))</f>
        <v/>
      </c>
      <c r="F4817" s="29" t="str">
        <f t="array" ref="F4817">IF($A4817="","",
  LET(
    r, $D4817,
    startD, INDEX(Calculation!B$2:B9627, r),
    endD,   INDEX(Calculation!C$2:C9627, r),
    asOf,   MIN($A4817,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18">
      <c r="A4818" s="28"/>
      <c r="B4818" s="29"/>
      <c r="C4818" s="29" t="str">
        <f t="shared" si="1"/>
        <v/>
      </c>
      <c r="D4818" s="6" t="str">
        <f>IF(A4818="","",MATCH(A4818,Calculation!B$2:B9627,1))</f>
        <v/>
      </c>
      <c r="E4818" s="29" t="str">
        <f t="array" ref="E4818">IF(D4818="","",IF(D4818=1,0,INDEX(Calculation!Q$2:Q9627,D4818-1)))</f>
        <v/>
      </c>
      <c r="F4818" s="29" t="str">
        <f t="array" ref="F4818">IF($A4818="","",
  LET(
    r, $D4818,
    startD, INDEX(Calculation!B$2:B9627, r),
    endD,   INDEX(Calculation!C$2:C9627, r),
    asOf,   MIN($A4818,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19">
      <c r="A4819" s="28"/>
      <c r="B4819" s="29"/>
      <c r="C4819" s="29" t="str">
        <f t="shared" si="1"/>
        <v/>
      </c>
      <c r="D4819" s="6" t="str">
        <f>IF(A4819="","",MATCH(A4819,Calculation!B$2:B9627,1))</f>
        <v/>
      </c>
      <c r="E4819" s="29" t="str">
        <f t="array" ref="E4819">IF(D4819="","",IF(D4819=1,0,INDEX(Calculation!Q$2:Q9627,D4819-1)))</f>
        <v/>
      </c>
      <c r="F4819" s="29" t="str">
        <f t="array" ref="F4819">IF($A4819="","",
  LET(
    r, $D4819,
    startD, INDEX(Calculation!B$2:B9627, r),
    endD,   INDEX(Calculation!C$2:C9627, r),
    asOf,   MIN($A4819,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20">
      <c r="A4820" s="28"/>
      <c r="B4820" s="29"/>
      <c r="C4820" s="29" t="str">
        <f t="shared" si="1"/>
        <v/>
      </c>
      <c r="D4820" s="6" t="str">
        <f>IF(A4820="","",MATCH(A4820,Calculation!B$2:B9627,1))</f>
        <v/>
      </c>
      <c r="E4820" s="29" t="str">
        <f t="array" ref="E4820">IF(D4820="","",IF(D4820=1,0,INDEX(Calculation!Q$2:Q9627,D4820-1)))</f>
        <v/>
      </c>
      <c r="F4820" s="29" t="str">
        <f t="array" ref="F4820">IF($A4820="","",
  LET(
    r, $D4820,
    startD, INDEX(Calculation!B$2:B9627, r),
    endD,   INDEX(Calculation!C$2:C9627, r),
    asOf,   MIN($A4820,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21">
      <c r="A4821" s="28"/>
      <c r="B4821" s="29"/>
      <c r="C4821" s="29" t="str">
        <f t="shared" si="1"/>
        <v/>
      </c>
      <c r="D4821" s="6" t="str">
        <f>IF(A4821="","",MATCH(A4821,Calculation!B$2:B9627,1))</f>
        <v/>
      </c>
      <c r="E4821" s="29" t="str">
        <f t="array" ref="E4821">IF(D4821="","",IF(D4821=1,0,INDEX(Calculation!Q$2:Q9627,D4821-1)))</f>
        <v/>
      </c>
      <c r="F4821" s="29" t="str">
        <f t="array" ref="F4821">IF($A4821="","",
  LET(
    r, $D4821,
    startD, INDEX(Calculation!B$2:B9627, r),
    endD,   INDEX(Calculation!C$2:C9627, r),
    asOf,   MIN($A4821,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22">
      <c r="A4822" s="28"/>
      <c r="B4822" s="29"/>
      <c r="C4822" s="29" t="str">
        <f t="shared" si="1"/>
        <v/>
      </c>
      <c r="D4822" s="6" t="str">
        <f>IF(A4822="","",MATCH(A4822,Calculation!B$2:B9627,1))</f>
        <v/>
      </c>
      <c r="E4822" s="29" t="str">
        <f t="array" ref="E4822">IF(D4822="","",IF(D4822=1,0,INDEX(Calculation!Q$2:Q9627,D4822-1)))</f>
        <v/>
      </c>
      <c r="F4822" s="29" t="str">
        <f t="array" ref="F4822">IF($A4822="","",
  LET(
    r, $D4822,
    startD, INDEX(Calculation!B$2:B9627, r),
    endD,   INDEX(Calculation!C$2:C9627, r),
    asOf,   MIN($A4822,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23">
      <c r="A4823" s="28"/>
      <c r="B4823" s="29"/>
      <c r="C4823" s="29" t="str">
        <f t="shared" si="1"/>
        <v/>
      </c>
      <c r="D4823" s="6" t="str">
        <f>IF(A4823="","",MATCH(A4823,Calculation!B$2:B9627,1))</f>
        <v/>
      </c>
      <c r="E4823" s="29" t="str">
        <f t="array" ref="E4823">IF(D4823="","",IF(D4823=1,0,INDEX(Calculation!Q$2:Q9627,D4823-1)))</f>
        <v/>
      </c>
      <c r="F4823" s="29" t="str">
        <f t="array" ref="F4823">IF($A4823="","",
  LET(
    r, $D4823,
    startD, INDEX(Calculation!B$2:B9627, r),
    endD,   INDEX(Calculation!C$2:C9627, r),
    asOf,   MIN($A4823,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24">
      <c r="A4824" s="28"/>
      <c r="B4824" s="29"/>
      <c r="C4824" s="29" t="str">
        <f t="shared" si="1"/>
        <v/>
      </c>
      <c r="D4824" s="6" t="str">
        <f>IF(A4824="","",MATCH(A4824,Calculation!B$2:B9627,1))</f>
        <v/>
      </c>
      <c r="E4824" s="29" t="str">
        <f t="array" ref="E4824">IF(D4824="","",IF(D4824=1,0,INDEX(Calculation!Q$2:Q9627,D4824-1)))</f>
        <v/>
      </c>
      <c r="F4824" s="29" t="str">
        <f t="array" ref="F4824">IF($A4824="","",
  LET(
    r, $D4824,
    startD, INDEX(Calculation!B$2:B9627, r),
    endD,   INDEX(Calculation!C$2:C9627, r),
    asOf,   MIN($A4824,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25">
      <c r="A4825" s="28"/>
      <c r="B4825" s="29"/>
      <c r="C4825" s="29" t="str">
        <f t="shared" si="1"/>
        <v/>
      </c>
      <c r="D4825" s="6" t="str">
        <f>IF(A4825="","",MATCH(A4825,Calculation!B$2:B9627,1))</f>
        <v/>
      </c>
      <c r="E4825" s="29" t="str">
        <f t="array" ref="E4825">IF(D4825="","",IF(D4825=1,0,INDEX(Calculation!Q$2:Q9627,D4825-1)))</f>
        <v/>
      </c>
      <c r="F4825" s="29" t="str">
        <f t="array" ref="F4825">IF($A4825="","",
  LET(
    r, $D4825,
    startD, INDEX(Calculation!B$2:B9627, r),
    endD,   INDEX(Calculation!C$2:C9627, r),
    asOf,   MIN($A4825,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26">
      <c r="A4826" s="28"/>
      <c r="B4826" s="29"/>
      <c r="C4826" s="29" t="str">
        <f t="shared" si="1"/>
        <v/>
      </c>
      <c r="D4826" s="6" t="str">
        <f>IF(A4826="","",MATCH(A4826,Calculation!B$2:B9627,1))</f>
        <v/>
      </c>
      <c r="E4826" s="29" t="str">
        <f t="array" ref="E4826">IF(D4826="","",IF(D4826=1,0,INDEX(Calculation!Q$2:Q9627,D4826-1)))</f>
        <v/>
      </c>
      <c r="F4826" s="29" t="str">
        <f t="array" ref="F4826">IF($A4826="","",
  LET(
    r, $D4826,
    startD, INDEX(Calculation!B$2:B9627, r),
    endD,   INDEX(Calculation!C$2:C9627, r),
    asOf,   MIN($A4826,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27">
      <c r="A4827" s="28"/>
      <c r="B4827" s="29"/>
      <c r="C4827" s="29" t="str">
        <f t="shared" si="1"/>
        <v/>
      </c>
      <c r="D4827" s="6" t="str">
        <f>IF(A4827="","",MATCH(A4827,Calculation!B$2:B9627,1))</f>
        <v/>
      </c>
      <c r="E4827" s="29" t="str">
        <f t="array" ref="E4827">IF(D4827="","",IF(D4827=1,0,INDEX(Calculation!Q$2:Q9627,D4827-1)))</f>
        <v/>
      </c>
      <c r="F4827" s="29" t="str">
        <f t="array" ref="F4827">IF($A4827="","",
  LET(
    r, $D4827,
    startD, INDEX(Calculation!B$2:B9627, r),
    endD,   INDEX(Calculation!C$2:C9627, r),
    asOf,   MIN($A4827,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28">
      <c r="A4828" s="28"/>
      <c r="B4828" s="29"/>
      <c r="C4828" s="29" t="str">
        <f t="shared" si="1"/>
        <v/>
      </c>
      <c r="D4828" s="6" t="str">
        <f>IF(A4828="","",MATCH(A4828,Calculation!B$2:B9627,1))</f>
        <v/>
      </c>
      <c r="E4828" s="29" t="str">
        <f t="array" ref="E4828">IF(D4828="","",IF(D4828=1,0,INDEX(Calculation!Q$2:Q9627,D4828-1)))</f>
        <v/>
      </c>
      <c r="F4828" s="29" t="str">
        <f t="array" ref="F4828">IF($A4828="","",
  LET(
    r, $D4828,
    startD, INDEX(Calculation!B$2:B9627, r),
    endD,   INDEX(Calculation!C$2:C9627, r),
    asOf,   MIN($A4828,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29">
      <c r="A4829" s="28"/>
      <c r="B4829" s="29"/>
      <c r="C4829" s="29" t="str">
        <f t="shared" si="1"/>
        <v/>
      </c>
      <c r="D4829" s="6" t="str">
        <f>IF(A4829="","",MATCH(A4829,Calculation!B$2:B9627,1))</f>
        <v/>
      </c>
      <c r="E4829" s="29" t="str">
        <f t="array" ref="E4829">IF(D4829="","",IF(D4829=1,0,INDEX(Calculation!Q$2:Q9627,D4829-1)))</f>
        <v/>
      </c>
      <c r="F4829" s="29" t="str">
        <f t="array" ref="F4829">IF($A4829="","",
  LET(
    r, $D4829,
    startD, INDEX(Calculation!B$2:B9627, r),
    endD,   INDEX(Calculation!C$2:C9627, r),
    asOf,   MIN($A4829,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30">
      <c r="A4830" s="28"/>
      <c r="B4830" s="29"/>
      <c r="C4830" s="29" t="str">
        <f t="shared" si="1"/>
        <v/>
      </c>
      <c r="D4830" s="6" t="str">
        <f>IF(A4830="","",MATCH(A4830,Calculation!B$2:B9627,1))</f>
        <v/>
      </c>
      <c r="E4830" s="29" t="str">
        <f t="array" ref="E4830">IF(D4830="","",IF(D4830=1,0,INDEX(Calculation!Q$2:Q9627,D4830-1)))</f>
        <v/>
      </c>
      <c r="F4830" s="29" t="str">
        <f t="array" ref="F4830">IF($A4830="","",
  LET(
    r, $D4830,
    startD, INDEX(Calculation!B$2:B9627, r),
    endD,   INDEX(Calculation!C$2:C9627, r),
    asOf,   MIN($A4830,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31">
      <c r="A4831" s="28"/>
      <c r="B4831" s="29"/>
      <c r="C4831" s="29" t="str">
        <f t="shared" si="1"/>
        <v/>
      </c>
      <c r="D4831" s="6" t="str">
        <f>IF(A4831="","",MATCH(A4831,Calculation!B$2:B9627,1))</f>
        <v/>
      </c>
      <c r="E4831" s="29" t="str">
        <f t="array" ref="E4831">IF(D4831="","",IF(D4831=1,0,INDEX(Calculation!Q$2:Q9627,D4831-1)))</f>
        <v/>
      </c>
      <c r="F4831" s="29" t="str">
        <f t="array" ref="F4831">IF($A4831="","",
  LET(
    r, $D4831,
    startD, INDEX(Calculation!B$2:B9627, r),
    endD,   INDEX(Calculation!C$2:C9627, r),
    asOf,   MIN($A4831,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32">
      <c r="A4832" s="28"/>
      <c r="B4832" s="29"/>
      <c r="C4832" s="29" t="str">
        <f t="shared" si="1"/>
        <v/>
      </c>
      <c r="D4832" s="6" t="str">
        <f>IF(A4832="","",MATCH(A4832,Calculation!B$2:B9627,1))</f>
        <v/>
      </c>
      <c r="E4832" s="29" t="str">
        <f t="array" ref="E4832">IF(D4832="","",IF(D4832=1,0,INDEX(Calculation!Q$2:Q9627,D4832-1)))</f>
        <v/>
      </c>
      <c r="F4832" s="29" t="str">
        <f t="array" ref="F4832">IF($A4832="","",
  LET(
    r, $D4832,
    startD, INDEX(Calculation!B$2:B9627, r),
    endD,   INDEX(Calculation!C$2:C9627, r),
    asOf,   MIN($A4832,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33">
      <c r="A4833" s="28"/>
      <c r="B4833" s="29"/>
      <c r="C4833" s="29" t="str">
        <f t="shared" si="1"/>
        <v/>
      </c>
      <c r="D4833" s="6" t="str">
        <f>IF(A4833="","",MATCH(A4833,Calculation!B$2:B9627,1))</f>
        <v/>
      </c>
      <c r="E4833" s="29" t="str">
        <f t="array" ref="E4833">IF(D4833="","",IF(D4833=1,0,INDEX(Calculation!Q$2:Q9627,D4833-1)))</f>
        <v/>
      </c>
      <c r="F4833" s="29" t="str">
        <f t="array" ref="F4833">IF($A4833="","",
  LET(
    r, $D4833,
    startD, INDEX(Calculation!B$2:B9627, r),
    endD,   INDEX(Calculation!C$2:C9627, r),
    asOf,   MIN($A4833,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34">
      <c r="A4834" s="28"/>
      <c r="B4834" s="29"/>
      <c r="C4834" s="29" t="str">
        <f t="shared" si="1"/>
        <v/>
      </c>
      <c r="D4834" s="6" t="str">
        <f>IF(A4834="","",MATCH(A4834,Calculation!B$2:B9627,1))</f>
        <v/>
      </c>
      <c r="E4834" s="29" t="str">
        <f t="array" ref="E4834">IF(D4834="","",IF(D4834=1,0,INDEX(Calculation!Q$2:Q9627,D4834-1)))</f>
        <v/>
      </c>
      <c r="F4834" s="29" t="str">
        <f t="array" ref="F4834">IF($A4834="","",
  LET(
    r, $D4834,
    startD, INDEX(Calculation!B$2:B9627, r),
    endD,   INDEX(Calculation!C$2:C9627, r),
    asOf,   MIN($A4834,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35">
      <c r="A4835" s="28"/>
      <c r="B4835" s="29"/>
      <c r="C4835" s="29" t="str">
        <f t="shared" si="1"/>
        <v/>
      </c>
      <c r="D4835" s="6" t="str">
        <f>IF(A4835="","",MATCH(A4835,Calculation!B$2:B9627,1))</f>
        <v/>
      </c>
      <c r="E4835" s="29" t="str">
        <f t="array" ref="E4835">IF(D4835="","",IF(D4835=1,0,INDEX(Calculation!Q$2:Q9627,D4835-1)))</f>
        <v/>
      </c>
      <c r="F4835" s="29" t="str">
        <f t="array" ref="F4835">IF($A4835="","",
  LET(
    r, $D4835,
    startD, INDEX(Calculation!B$2:B9627, r),
    endD,   INDEX(Calculation!C$2:C9627, r),
    asOf,   MIN($A4835,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36">
      <c r="A4836" s="28"/>
      <c r="B4836" s="29"/>
      <c r="C4836" s="29" t="str">
        <f t="shared" si="1"/>
        <v/>
      </c>
      <c r="D4836" s="6" t="str">
        <f>IF(A4836="","",MATCH(A4836,Calculation!B$2:B9627,1))</f>
        <v/>
      </c>
      <c r="E4836" s="29" t="str">
        <f t="array" ref="E4836">IF(D4836="","",IF(D4836=1,0,INDEX(Calculation!Q$2:Q9627,D4836-1)))</f>
        <v/>
      </c>
      <c r="F4836" s="29" t="str">
        <f t="array" ref="F4836">IF($A4836="","",
  LET(
    r, $D4836,
    startD, INDEX(Calculation!B$2:B9627, r),
    endD,   INDEX(Calculation!C$2:C9627, r),
    asOf,   MIN($A4836,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37">
      <c r="A4837" s="28"/>
      <c r="B4837" s="29"/>
      <c r="C4837" s="29" t="str">
        <f t="shared" si="1"/>
        <v/>
      </c>
      <c r="D4837" s="6" t="str">
        <f>IF(A4837="","",MATCH(A4837,Calculation!B$2:B9627,1))</f>
        <v/>
      </c>
      <c r="E4837" s="29" t="str">
        <f t="array" ref="E4837">IF(D4837="","",IF(D4837=1,0,INDEX(Calculation!Q$2:Q9627,D4837-1)))</f>
        <v/>
      </c>
      <c r="F4837" s="29" t="str">
        <f t="array" ref="F4837">IF($A4837="","",
  LET(
    r, $D4837,
    startD, INDEX(Calculation!B$2:B9627, r),
    endD,   INDEX(Calculation!C$2:C9627, r),
    asOf,   MIN($A4837,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38">
      <c r="A4838" s="28"/>
      <c r="B4838" s="29"/>
      <c r="C4838" s="29" t="str">
        <f t="shared" si="1"/>
        <v/>
      </c>
      <c r="D4838" s="6" t="str">
        <f>IF(A4838="","",MATCH(A4838,Calculation!B$2:B9627,1))</f>
        <v/>
      </c>
      <c r="E4838" s="29" t="str">
        <f t="array" ref="E4838">IF(D4838="","",IF(D4838=1,0,INDEX(Calculation!Q$2:Q9627,D4838-1)))</f>
        <v/>
      </c>
      <c r="F4838" s="29" t="str">
        <f t="array" ref="F4838">IF($A4838="","",
  LET(
    r, $D4838,
    startD, INDEX(Calculation!B$2:B9627, r),
    endD,   INDEX(Calculation!C$2:C9627, r),
    asOf,   MIN($A4838,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39">
      <c r="A4839" s="28"/>
      <c r="B4839" s="29"/>
      <c r="C4839" s="29" t="str">
        <f t="shared" si="1"/>
        <v/>
      </c>
      <c r="D4839" s="6" t="str">
        <f>IF(A4839="","",MATCH(A4839,Calculation!B$2:B9627,1))</f>
        <v/>
      </c>
      <c r="E4839" s="29" t="str">
        <f t="array" ref="E4839">IF(D4839="","",IF(D4839=1,0,INDEX(Calculation!Q$2:Q9627,D4839-1)))</f>
        <v/>
      </c>
      <c r="F4839" s="29" t="str">
        <f t="array" ref="F4839">IF($A4839="","",
  LET(
    r, $D4839,
    startD, INDEX(Calculation!B$2:B9627, r),
    endD,   INDEX(Calculation!C$2:C9627, r),
    asOf,   MIN($A4839,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40">
      <c r="A4840" s="28"/>
      <c r="B4840" s="29"/>
      <c r="C4840" s="29" t="str">
        <f t="shared" si="1"/>
        <v/>
      </c>
      <c r="D4840" s="6" t="str">
        <f>IF(A4840="","",MATCH(A4840,Calculation!B$2:B9627,1))</f>
        <v/>
      </c>
      <c r="E4840" s="29" t="str">
        <f t="array" ref="E4840">IF(D4840="","",IF(D4840=1,0,INDEX(Calculation!Q$2:Q9627,D4840-1)))</f>
        <v/>
      </c>
      <c r="F4840" s="29" t="str">
        <f t="array" ref="F4840">IF($A4840="","",
  LET(
    r, $D4840,
    startD, INDEX(Calculation!B$2:B9627, r),
    endD,   INDEX(Calculation!C$2:C9627, r),
    asOf,   MIN($A4840,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41">
      <c r="A4841" s="28"/>
      <c r="B4841" s="29"/>
      <c r="C4841" s="29" t="str">
        <f t="shared" si="1"/>
        <v/>
      </c>
      <c r="D4841" s="6" t="str">
        <f>IF(A4841="","",MATCH(A4841,Calculation!B$2:B9627,1))</f>
        <v/>
      </c>
      <c r="E4841" s="29" t="str">
        <f t="array" ref="E4841">IF(D4841="","",IF(D4841=1,0,INDEX(Calculation!Q$2:Q9627,D4841-1)))</f>
        <v/>
      </c>
      <c r="F4841" s="29" t="str">
        <f t="array" ref="F4841">IF($A4841="","",
  LET(
    r, $D4841,
    startD, INDEX(Calculation!B$2:B9627, r),
    endD,   INDEX(Calculation!C$2:C9627, r),
    asOf,   MIN($A4841,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42">
      <c r="A4842" s="28"/>
      <c r="B4842" s="29"/>
      <c r="C4842" s="29" t="str">
        <f t="shared" si="1"/>
        <v/>
      </c>
      <c r="D4842" s="6" t="str">
        <f>IF(A4842="","",MATCH(A4842,Calculation!B$2:B9627,1))</f>
        <v/>
      </c>
      <c r="E4842" s="29" t="str">
        <f t="array" ref="E4842">IF(D4842="","",IF(D4842=1,0,INDEX(Calculation!Q$2:Q9627,D4842-1)))</f>
        <v/>
      </c>
      <c r="F4842" s="29" t="str">
        <f t="array" ref="F4842">IF($A4842="","",
  LET(
    r, $D4842,
    startD, INDEX(Calculation!B$2:B9627, r),
    endD,   INDEX(Calculation!C$2:C9627, r),
    asOf,   MIN($A4842,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43">
      <c r="A4843" s="28"/>
      <c r="B4843" s="29"/>
      <c r="C4843" s="29" t="str">
        <f t="shared" si="1"/>
        <v/>
      </c>
      <c r="D4843" s="6" t="str">
        <f>IF(A4843="","",MATCH(A4843,Calculation!B$2:B9627,1))</f>
        <v/>
      </c>
      <c r="E4843" s="29" t="str">
        <f t="array" ref="E4843">IF(D4843="","",IF(D4843=1,0,INDEX(Calculation!Q$2:Q9627,D4843-1)))</f>
        <v/>
      </c>
      <c r="F4843" s="29" t="str">
        <f t="array" ref="F4843">IF($A4843="","",
  LET(
    r, $D4843,
    startD, INDEX(Calculation!B$2:B9627, r),
    endD,   INDEX(Calculation!C$2:C9627, r),
    asOf,   MIN($A4843,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44">
      <c r="A4844" s="28"/>
      <c r="B4844" s="29"/>
      <c r="C4844" s="29" t="str">
        <f t="shared" si="1"/>
        <v/>
      </c>
      <c r="D4844" s="6" t="str">
        <f>IF(A4844="","",MATCH(A4844,Calculation!B$2:B9627,1))</f>
        <v/>
      </c>
      <c r="E4844" s="29" t="str">
        <f t="array" ref="E4844">IF(D4844="","",IF(D4844=1,0,INDEX(Calculation!Q$2:Q9627,D4844-1)))</f>
        <v/>
      </c>
      <c r="F4844" s="29" t="str">
        <f t="array" ref="F4844">IF($A4844="","",
  LET(
    r, $D4844,
    startD, INDEX(Calculation!B$2:B9627, r),
    endD,   INDEX(Calculation!C$2:C9627, r),
    asOf,   MIN($A4844,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45">
      <c r="A4845" s="28"/>
      <c r="B4845" s="29"/>
      <c r="C4845" s="29" t="str">
        <f t="shared" si="1"/>
        <v/>
      </c>
      <c r="D4845" s="6" t="str">
        <f>IF(A4845="","",MATCH(A4845,Calculation!B$2:B9627,1))</f>
        <v/>
      </c>
      <c r="E4845" s="29" t="str">
        <f t="array" ref="E4845">IF(D4845="","",IF(D4845=1,0,INDEX(Calculation!Q$2:Q9627,D4845-1)))</f>
        <v/>
      </c>
      <c r="F4845" s="29" t="str">
        <f t="array" ref="F4845">IF($A4845="","",
  LET(
    r, $D4845,
    startD, INDEX(Calculation!B$2:B9627, r),
    endD,   INDEX(Calculation!C$2:C9627, r),
    asOf,   MIN($A4845,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46">
      <c r="A4846" s="28"/>
      <c r="B4846" s="29"/>
      <c r="C4846" s="29" t="str">
        <f t="shared" si="1"/>
        <v/>
      </c>
      <c r="D4846" s="6" t="str">
        <f>IF(A4846="","",MATCH(A4846,Calculation!B$2:B9627,1))</f>
        <v/>
      </c>
      <c r="E4846" s="29" t="str">
        <f t="array" ref="E4846">IF(D4846="","",IF(D4846=1,0,INDEX(Calculation!Q$2:Q9627,D4846-1)))</f>
        <v/>
      </c>
      <c r="F4846" s="29" t="str">
        <f t="array" ref="F4846">IF($A4846="","",
  LET(
    r, $D4846,
    startD, INDEX(Calculation!B$2:B9627, r),
    endD,   INDEX(Calculation!C$2:C9627, r),
    asOf,   MIN($A4846,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47">
      <c r="A4847" s="28"/>
      <c r="B4847" s="29"/>
      <c r="C4847" s="29" t="str">
        <f t="shared" si="1"/>
        <v/>
      </c>
      <c r="D4847" s="6" t="str">
        <f>IF(A4847="","",MATCH(A4847,Calculation!B$2:B9627,1))</f>
        <v/>
      </c>
      <c r="E4847" s="29" t="str">
        <f t="array" ref="E4847">IF(D4847="","",IF(D4847=1,0,INDEX(Calculation!Q$2:Q9627,D4847-1)))</f>
        <v/>
      </c>
      <c r="F4847" s="29" t="str">
        <f t="array" ref="F4847">IF($A4847="","",
  LET(
    r, $D4847,
    startD, INDEX(Calculation!B$2:B9627, r),
    endD,   INDEX(Calculation!C$2:C9627, r),
    asOf,   MIN($A4847,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48">
      <c r="A4848" s="28"/>
      <c r="B4848" s="29"/>
      <c r="C4848" s="29" t="str">
        <f t="shared" si="1"/>
        <v/>
      </c>
      <c r="D4848" s="6" t="str">
        <f>IF(A4848="","",MATCH(A4848,Calculation!B$2:B9627,1))</f>
        <v/>
      </c>
      <c r="E4848" s="29" t="str">
        <f t="array" ref="E4848">IF(D4848="","",IF(D4848=1,0,INDEX(Calculation!Q$2:Q9627,D4848-1)))</f>
        <v/>
      </c>
      <c r="F4848" s="29" t="str">
        <f t="array" ref="F4848">IF($A4848="","",
  LET(
    r, $D4848,
    startD, INDEX(Calculation!B$2:B9627, r),
    endD,   INDEX(Calculation!C$2:C9627, r),
    asOf,   MIN($A4848,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49">
      <c r="A4849" s="28"/>
      <c r="B4849" s="29"/>
      <c r="C4849" s="29" t="str">
        <f t="shared" si="1"/>
        <v/>
      </c>
      <c r="D4849" s="6" t="str">
        <f>IF(A4849="","",MATCH(A4849,Calculation!B$2:B9627,1))</f>
        <v/>
      </c>
      <c r="E4849" s="29" t="str">
        <f t="array" ref="E4849">IF(D4849="","",IF(D4849=1,0,INDEX(Calculation!Q$2:Q9627,D4849-1)))</f>
        <v/>
      </c>
      <c r="F4849" s="29" t="str">
        <f t="array" ref="F4849">IF($A4849="","",
  LET(
    r, $D4849,
    startD, INDEX(Calculation!B$2:B9627, r),
    endD,   INDEX(Calculation!C$2:C9627, r),
    asOf,   MIN($A4849,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50">
      <c r="A4850" s="28"/>
      <c r="B4850" s="29"/>
      <c r="C4850" s="29" t="str">
        <f t="shared" si="1"/>
        <v/>
      </c>
      <c r="D4850" s="6" t="str">
        <f>IF(A4850="","",MATCH(A4850,Calculation!B$2:B9627,1))</f>
        <v/>
      </c>
      <c r="E4850" s="29" t="str">
        <f t="array" ref="E4850">IF(D4850="","",IF(D4850=1,0,INDEX(Calculation!Q$2:Q9627,D4850-1)))</f>
        <v/>
      </c>
      <c r="F4850" s="29" t="str">
        <f t="array" ref="F4850">IF($A4850="","",
  LET(
    r, $D4850,
    startD, INDEX(Calculation!B$2:B9627, r),
    endD,   INDEX(Calculation!C$2:C9627, r),
    asOf,   MIN($A4850,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51">
      <c r="A4851" s="28"/>
      <c r="B4851" s="29"/>
      <c r="C4851" s="29" t="str">
        <f t="shared" si="1"/>
        <v/>
      </c>
      <c r="D4851" s="6" t="str">
        <f>IF(A4851="","",MATCH(A4851,Calculation!B$2:B9627,1))</f>
        <v/>
      </c>
      <c r="E4851" s="29" t="str">
        <f t="array" ref="E4851">IF(D4851="","",IF(D4851=1,0,INDEX(Calculation!Q$2:Q9627,D4851-1)))</f>
        <v/>
      </c>
      <c r="F4851" s="29" t="str">
        <f t="array" ref="F4851">IF($A4851="","",
  LET(
    r, $D4851,
    startD, INDEX(Calculation!B$2:B9627, r),
    endD,   INDEX(Calculation!C$2:C9627, r),
    asOf,   MIN($A4851,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52">
      <c r="A4852" s="28"/>
      <c r="B4852" s="29"/>
      <c r="C4852" s="29" t="str">
        <f t="shared" si="1"/>
        <v/>
      </c>
      <c r="D4852" s="6" t="str">
        <f>IF(A4852="","",MATCH(A4852,Calculation!B$2:B9627,1))</f>
        <v/>
      </c>
      <c r="E4852" s="29" t="str">
        <f t="array" ref="E4852">IF(D4852="","",IF(D4852=1,0,INDEX(Calculation!Q$2:Q9627,D4852-1)))</f>
        <v/>
      </c>
      <c r="F4852" s="29" t="str">
        <f t="array" ref="F4852">IF($A4852="","",
  LET(
    r, $D4852,
    startD, INDEX(Calculation!B$2:B9627, r),
    endD,   INDEX(Calculation!C$2:C9627, r),
    asOf,   MIN($A4852,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53">
      <c r="A4853" s="28"/>
      <c r="B4853" s="29"/>
      <c r="C4853" s="29" t="str">
        <f t="shared" si="1"/>
        <v/>
      </c>
      <c r="D4853" s="6" t="str">
        <f>IF(A4853="","",MATCH(A4853,Calculation!B$2:B9627,1))</f>
        <v/>
      </c>
      <c r="E4853" s="29" t="str">
        <f t="array" ref="E4853">IF(D4853="","",IF(D4853=1,0,INDEX(Calculation!Q$2:Q9627,D4853-1)))</f>
        <v/>
      </c>
      <c r="F4853" s="29" t="str">
        <f t="array" ref="F4853">IF($A4853="","",
  LET(
    r, $D4853,
    startD, INDEX(Calculation!B$2:B9627, r),
    endD,   INDEX(Calculation!C$2:C9627, r),
    asOf,   MIN($A4853,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54">
      <c r="A4854" s="28"/>
      <c r="B4854" s="29"/>
      <c r="C4854" s="29" t="str">
        <f t="shared" si="1"/>
        <v/>
      </c>
      <c r="D4854" s="6" t="str">
        <f>IF(A4854="","",MATCH(A4854,Calculation!B$2:B9627,1))</f>
        <v/>
      </c>
      <c r="E4854" s="29" t="str">
        <f t="array" ref="E4854">IF(D4854="","",IF(D4854=1,0,INDEX(Calculation!Q$2:Q9627,D4854-1)))</f>
        <v/>
      </c>
      <c r="F4854" s="29" t="str">
        <f t="array" ref="F4854">IF($A4854="","",
  LET(
    r, $D4854,
    startD, INDEX(Calculation!B$2:B9627, r),
    endD,   INDEX(Calculation!C$2:C9627, r),
    asOf,   MIN($A4854,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55">
      <c r="A4855" s="28"/>
      <c r="B4855" s="29"/>
      <c r="C4855" s="29" t="str">
        <f t="shared" si="1"/>
        <v/>
      </c>
      <c r="D4855" s="6" t="str">
        <f>IF(A4855="","",MATCH(A4855,Calculation!B$2:B9627,1))</f>
        <v/>
      </c>
      <c r="E4855" s="29" t="str">
        <f t="array" ref="E4855">IF(D4855="","",IF(D4855=1,0,INDEX(Calculation!Q$2:Q9627,D4855-1)))</f>
        <v/>
      </c>
      <c r="F4855" s="29" t="str">
        <f t="array" ref="F4855">IF($A4855="","",
  LET(
    r, $D4855,
    startD, INDEX(Calculation!B$2:B9627, r),
    endD,   INDEX(Calculation!C$2:C9627, r),
    asOf,   MIN($A4855,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56">
      <c r="A4856" s="28"/>
      <c r="B4856" s="29"/>
      <c r="C4856" s="29" t="str">
        <f t="shared" si="1"/>
        <v/>
      </c>
      <c r="D4856" s="6" t="str">
        <f>IF(A4856="","",MATCH(A4856,Calculation!B$2:B9627,1))</f>
        <v/>
      </c>
      <c r="E4856" s="29" t="str">
        <f t="array" ref="E4856">IF(D4856="","",IF(D4856=1,0,INDEX(Calculation!Q$2:Q9627,D4856-1)))</f>
        <v/>
      </c>
      <c r="F4856" s="29" t="str">
        <f t="array" ref="F4856">IF($A4856="","",
  LET(
    r, $D4856,
    startD, INDEX(Calculation!B$2:B9627, r),
    endD,   INDEX(Calculation!C$2:C9627, r),
    asOf,   MIN($A4856,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57">
      <c r="A4857" s="28"/>
      <c r="B4857" s="29"/>
      <c r="C4857" s="29" t="str">
        <f t="shared" si="1"/>
        <v/>
      </c>
      <c r="D4857" s="6" t="str">
        <f>IF(A4857="","",MATCH(A4857,Calculation!B$2:B9627,1))</f>
        <v/>
      </c>
      <c r="E4857" s="29" t="str">
        <f t="array" ref="E4857">IF(D4857="","",IF(D4857=1,0,INDEX(Calculation!Q$2:Q9627,D4857-1)))</f>
        <v/>
      </c>
      <c r="F4857" s="29" t="str">
        <f t="array" ref="F4857">IF($A4857="","",
  LET(
    r, $D4857,
    startD, INDEX(Calculation!B$2:B9627, r),
    endD,   INDEX(Calculation!C$2:C9627, r),
    asOf,   MIN($A4857,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58">
      <c r="A4858" s="28"/>
      <c r="B4858" s="29"/>
      <c r="C4858" s="29" t="str">
        <f t="shared" si="1"/>
        <v/>
      </c>
      <c r="D4858" s="6" t="str">
        <f>IF(A4858="","",MATCH(A4858,Calculation!B$2:B9627,1))</f>
        <v/>
      </c>
      <c r="E4858" s="29" t="str">
        <f t="array" ref="E4858">IF(D4858="","",IF(D4858=1,0,INDEX(Calculation!Q$2:Q9627,D4858-1)))</f>
        <v/>
      </c>
      <c r="F4858" s="29" t="str">
        <f t="array" ref="F4858">IF($A4858="","",
  LET(
    r, $D4858,
    startD, INDEX(Calculation!B$2:B9627, r),
    endD,   INDEX(Calculation!C$2:C9627, r),
    asOf,   MIN($A4858,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59">
      <c r="A4859" s="28"/>
      <c r="B4859" s="29"/>
      <c r="C4859" s="29" t="str">
        <f t="shared" si="1"/>
        <v/>
      </c>
      <c r="D4859" s="6" t="str">
        <f>IF(A4859="","",MATCH(A4859,Calculation!B$2:B9627,1))</f>
        <v/>
      </c>
      <c r="E4859" s="29" t="str">
        <f t="array" ref="E4859">IF(D4859="","",IF(D4859=1,0,INDEX(Calculation!Q$2:Q9627,D4859-1)))</f>
        <v/>
      </c>
      <c r="F4859" s="29" t="str">
        <f t="array" ref="F4859">IF($A4859="","",
  LET(
    r, $D4859,
    startD, INDEX(Calculation!B$2:B9627, r),
    endD,   INDEX(Calculation!C$2:C9627, r),
    asOf,   MIN($A4859,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60">
      <c r="A4860" s="28"/>
      <c r="B4860" s="29"/>
      <c r="C4860" s="29" t="str">
        <f t="shared" si="1"/>
        <v/>
      </c>
      <c r="D4860" s="6" t="str">
        <f>IF(A4860="","",MATCH(A4860,Calculation!B$2:B9627,1))</f>
        <v/>
      </c>
      <c r="E4860" s="29" t="str">
        <f t="array" ref="E4860">IF(D4860="","",IF(D4860=1,0,INDEX(Calculation!Q$2:Q9627,D4860-1)))</f>
        <v/>
      </c>
      <c r="F4860" s="29" t="str">
        <f t="array" ref="F4860">IF($A4860="","",
  LET(
    r, $D4860,
    startD, INDEX(Calculation!B$2:B9627, r),
    endD,   INDEX(Calculation!C$2:C9627, r),
    asOf,   MIN($A4860,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61">
      <c r="A4861" s="28"/>
      <c r="B4861" s="29"/>
      <c r="C4861" s="29" t="str">
        <f t="shared" si="1"/>
        <v/>
      </c>
      <c r="D4861" s="6" t="str">
        <f>IF(A4861="","",MATCH(A4861,Calculation!B$2:B9627,1))</f>
        <v/>
      </c>
      <c r="E4861" s="29" t="str">
        <f t="array" ref="E4861">IF(D4861="","",IF(D4861=1,0,INDEX(Calculation!Q$2:Q9627,D4861-1)))</f>
        <v/>
      </c>
      <c r="F4861" s="29" t="str">
        <f t="array" ref="F4861">IF($A4861="","",
  LET(
    r, $D4861,
    startD, INDEX(Calculation!B$2:B9627, r),
    endD,   INDEX(Calculation!C$2:C9627, r),
    asOf,   MIN($A4861,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62">
      <c r="A4862" s="28"/>
      <c r="B4862" s="29"/>
      <c r="C4862" s="29" t="str">
        <f t="shared" si="1"/>
        <v/>
      </c>
      <c r="D4862" s="6" t="str">
        <f>IF(A4862="","",MATCH(A4862,Calculation!B$2:B9627,1))</f>
        <v/>
      </c>
      <c r="E4862" s="29" t="str">
        <f t="array" ref="E4862">IF(D4862="","",IF(D4862=1,0,INDEX(Calculation!Q$2:Q9627,D4862-1)))</f>
        <v/>
      </c>
      <c r="F4862" s="29" t="str">
        <f t="array" ref="F4862">IF($A4862="","",
  LET(
    r, $D4862,
    startD, INDEX(Calculation!B$2:B9627, r),
    endD,   INDEX(Calculation!C$2:C9627, r),
    asOf,   MIN($A4862,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63">
      <c r="A4863" s="28"/>
      <c r="B4863" s="29"/>
      <c r="C4863" s="29" t="str">
        <f t="shared" si="1"/>
        <v/>
      </c>
      <c r="D4863" s="6" t="str">
        <f>IF(A4863="","",MATCH(A4863,Calculation!B$2:B9627,1))</f>
        <v/>
      </c>
      <c r="E4863" s="29" t="str">
        <f t="array" ref="E4863">IF(D4863="","",IF(D4863=1,0,INDEX(Calculation!Q$2:Q9627,D4863-1)))</f>
        <v/>
      </c>
      <c r="F4863" s="29" t="str">
        <f t="array" ref="F4863">IF($A4863="","",
  LET(
    r, $D4863,
    startD, INDEX(Calculation!B$2:B9627, r),
    endD,   INDEX(Calculation!C$2:C9627, r),
    asOf,   MIN($A4863,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64">
      <c r="A4864" s="28"/>
      <c r="B4864" s="29"/>
      <c r="C4864" s="29" t="str">
        <f t="shared" si="1"/>
        <v/>
      </c>
      <c r="D4864" s="6" t="str">
        <f>IF(A4864="","",MATCH(A4864,Calculation!B$2:B9627,1))</f>
        <v/>
      </c>
      <c r="E4864" s="29" t="str">
        <f t="array" ref="E4864">IF(D4864="","",IF(D4864=1,0,INDEX(Calculation!Q$2:Q9627,D4864-1)))</f>
        <v/>
      </c>
      <c r="F4864" s="29" t="str">
        <f t="array" ref="F4864">IF($A4864="","",
  LET(
    r, $D4864,
    startD, INDEX(Calculation!B$2:B9627, r),
    endD,   INDEX(Calculation!C$2:C9627, r),
    asOf,   MIN($A4864,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65">
      <c r="A4865" s="28"/>
      <c r="B4865" s="29"/>
      <c r="C4865" s="29" t="str">
        <f t="shared" si="1"/>
        <v/>
      </c>
      <c r="D4865" s="6" t="str">
        <f>IF(A4865="","",MATCH(A4865,Calculation!B$2:B9627,1))</f>
        <v/>
      </c>
      <c r="E4865" s="29" t="str">
        <f t="array" ref="E4865">IF(D4865="","",IF(D4865=1,0,INDEX(Calculation!Q$2:Q9627,D4865-1)))</f>
        <v/>
      </c>
      <c r="F4865" s="29" t="str">
        <f t="array" ref="F4865">IF($A4865="","",
  LET(
    r, $D4865,
    startD, INDEX(Calculation!B$2:B9627, r),
    endD,   INDEX(Calculation!C$2:C9627, r),
    asOf,   MIN($A4865,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66">
      <c r="A4866" s="28"/>
      <c r="B4866" s="29"/>
      <c r="C4866" s="29" t="str">
        <f t="shared" si="1"/>
        <v/>
      </c>
      <c r="D4866" s="6" t="str">
        <f>IF(A4866="","",MATCH(A4866,Calculation!B$2:B9627,1))</f>
        <v/>
      </c>
      <c r="E4866" s="29" t="str">
        <f t="array" ref="E4866">IF(D4866="","",IF(D4866=1,0,INDEX(Calculation!Q$2:Q9627,D4866-1)))</f>
        <v/>
      </c>
      <c r="F4866" s="29" t="str">
        <f t="array" ref="F4866">IF($A4866="","",
  LET(
    r, $D4866,
    startD, INDEX(Calculation!B$2:B9627, r),
    endD,   INDEX(Calculation!C$2:C9627, r),
    asOf,   MIN($A4866,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67">
      <c r="A4867" s="28"/>
      <c r="B4867" s="29"/>
      <c r="C4867" s="29" t="str">
        <f t="shared" si="1"/>
        <v/>
      </c>
      <c r="D4867" s="6" t="str">
        <f>IF(A4867="","",MATCH(A4867,Calculation!B$2:B9627,1))</f>
        <v/>
      </c>
      <c r="E4867" s="29" t="str">
        <f t="array" ref="E4867">IF(D4867="","",IF(D4867=1,0,INDEX(Calculation!Q$2:Q9627,D4867-1)))</f>
        <v/>
      </c>
      <c r="F4867" s="29" t="str">
        <f t="array" ref="F4867">IF($A4867="","",
  LET(
    r, $D4867,
    startD, INDEX(Calculation!B$2:B9627, r),
    endD,   INDEX(Calculation!C$2:C9627, r),
    asOf,   MIN($A4867,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68">
      <c r="A4868" s="28"/>
      <c r="B4868" s="29"/>
      <c r="C4868" s="29" t="str">
        <f t="shared" si="1"/>
        <v/>
      </c>
      <c r="D4868" s="6" t="str">
        <f>IF(A4868="","",MATCH(A4868,Calculation!B$2:B9627,1))</f>
        <v/>
      </c>
      <c r="E4868" s="29" t="str">
        <f t="array" ref="E4868">IF(D4868="","",IF(D4868=1,0,INDEX(Calculation!Q$2:Q9627,D4868-1)))</f>
        <v/>
      </c>
      <c r="F4868" s="29" t="str">
        <f t="array" ref="F4868">IF($A4868="","",
  LET(
    r, $D4868,
    startD, INDEX(Calculation!B$2:B9627, r),
    endD,   INDEX(Calculation!C$2:C9627, r),
    asOf,   MIN($A4868,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69">
      <c r="A4869" s="28"/>
      <c r="B4869" s="29"/>
      <c r="C4869" s="29" t="str">
        <f t="shared" si="1"/>
        <v/>
      </c>
      <c r="D4869" s="6" t="str">
        <f>IF(A4869="","",MATCH(A4869,Calculation!B$2:B9627,1))</f>
        <v/>
      </c>
      <c r="E4869" s="29" t="str">
        <f t="array" ref="E4869">IF(D4869="","",IF(D4869=1,0,INDEX(Calculation!Q$2:Q9627,D4869-1)))</f>
        <v/>
      </c>
      <c r="F4869" s="29" t="str">
        <f t="array" ref="F4869">IF($A4869="","",
  LET(
    r, $D4869,
    startD, INDEX(Calculation!B$2:B9627, r),
    endD,   INDEX(Calculation!C$2:C9627, r),
    asOf,   MIN($A4869,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70">
      <c r="A4870" s="28"/>
      <c r="B4870" s="29"/>
      <c r="C4870" s="29" t="str">
        <f t="shared" si="1"/>
        <v/>
      </c>
      <c r="D4870" s="6" t="str">
        <f>IF(A4870="","",MATCH(A4870,Calculation!B$2:B9627,1))</f>
        <v/>
      </c>
      <c r="E4870" s="29" t="str">
        <f t="array" ref="E4870">IF(D4870="","",IF(D4870=1,0,INDEX(Calculation!Q$2:Q9627,D4870-1)))</f>
        <v/>
      </c>
      <c r="F4870" s="29" t="str">
        <f t="array" ref="F4870">IF($A4870="","",
  LET(
    r, $D4870,
    startD, INDEX(Calculation!B$2:B9627, r),
    endD,   INDEX(Calculation!C$2:C9627, r),
    asOf,   MIN($A4870,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71">
      <c r="A4871" s="28"/>
      <c r="B4871" s="29"/>
      <c r="C4871" s="29" t="str">
        <f t="shared" si="1"/>
        <v/>
      </c>
      <c r="D4871" s="6" t="str">
        <f>IF(A4871="","",MATCH(A4871,Calculation!B$2:B9627,1))</f>
        <v/>
      </c>
      <c r="E4871" s="29" t="str">
        <f t="array" ref="E4871">IF(D4871="","",IF(D4871=1,0,INDEX(Calculation!Q$2:Q9627,D4871-1)))</f>
        <v/>
      </c>
      <c r="F4871" s="29" t="str">
        <f t="array" ref="F4871">IF($A4871="","",
  LET(
    r, $D4871,
    startD, INDEX(Calculation!B$2:B9627, r),
    endD,   INDEX(Calculation!C$2:C9627, r),
    asOf,   MIN($A4871,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72">
      <c r="A4872" s="28"/>
      <c r="B4872" s="29"/>
      <c r="C4872" s="29" t="str">
        <f t="shared" si="1"/>
        <v/>
      </c>
      <c r="D4872" s="6" t="str">
        <f>IF(A4872="","",MATCH(A4872,Calculation!B$2:B9627,1))</f>
        <v/>
      </c>
      <c r="E4872" s="29" t="str">
        <f t="array" ref="E4872">IF(D4872="","",IF(D4872=1,0,INDEX(Calculation!Q$2:Q9627,D4872-1)))</f>
        <v/>
      </c>
      <c r="F4872" s="29" t="str">
        <f t="array" ref="F4872">IF($A4872="","",
  LET(
    r, $D4872,
    startD, INDEX(Calculation!B$2:B9627, r),
    endD,   INDEX(Calculation!C$2:C9627, r),
    asOf,   MIN($A4872,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73">
      <c r="A4873" s="28"/>
      <c r="B4873" s="29"/>
      <c r="C4873" s="29" t="str">
        <f t="shared" si="1"/>
        <v/>
      </c>
      <c r="D4873" s="6" t="str">
        <f>IF(A4873="","",MATCH(A4873,Calculation!B$2:B9627,1))</f>
        <v/>
      </c>
      <c r="E4873" s="29" t="str">
        <f t="array" ref="E4873">IF(D4873="","",IF(D4873=1,0,INDEX(Calculation!Q$2:Q9627,D4873-1)))</f>
        <v/>
      </c>
      <c r="F4873" s="29" t="str">
        <f t="array" ref="F4873">IF($A4873="","",
  LET(
    r, $D4873,
    startD, INDEX(Calculation!B$2:B9627, r),
    endD,   INDEX(Calculation!C$2:C9627, r),
    asOf,   MIN($A4873,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74">
      <c r="A4874" s="28"/>
      <c r="B4874" s="29"/>
      <c r="C4874" s="29" t="str">
        <f t="shared" si="1"/>
        <v/>
      </c>
      <c r="D4874" s="6" t="str">
        <f>IF(A4874="","",MATCH(A4874,Calculation!B$2:B9627,1))</f>
        <v/>
      </c>
      <c r="E4874" s="29" t="str">
        <f t="array" ref="E4874">IF(D4874="","",IF(D4874=1,0,INDEX(Calculation!Q$2:Q9627,D4874-1)))</f>
        <v/>
      </c>
      <c r="F4874" s="29" t="str">
        <f t="array" ref="F4874">IF($A4874="","",
  LET(
    r, $D4874,
    startD, INDEX(Calculation!B$2:B9627, r),
    endD,   INDEX(Calculation!C$2:C9627, r),
    asOf,   MIN($A4874,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75">
      <c r="A4875" s="28"/>
      <c r="B4875" s="29"/>
      <c r="C4875" s="29" t="str">
        <f t="shared" si="1"/>
        <v/>
      </c>
      <c r="D4875" s="6" t="str">
        <f>IF(A4875="","",MATCH(A4875,Calculation!B$2:B9627,1))</f>
        <v/>
      </c>
      <c r="E4875" s="29" t="str">
        <f t="array" ref="E4875">IF(D4875="","",IF(D4875=1,0,INDEX(Calculation!Q$2:Q9627,D4875-1)))</f>
        <v/>
      </c>
      <c r="F4875" s="29" t="str">
        <f t="array" ref="F4875">IF($A4875="","",
  LET(
    r, $D4875,
    startD, INDEX(Calculation!B$2:B9627, r),
    endD,   INDEX(Calculation!C$2:C9627, r),
    asOf,   MIN($A4875,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76">
      <c r="A4876" s="28"/>
      <c r="B4876" s="29"/>
      <c r="C4876" s="29" t="str">
        <f t="shared" si="1"/>
        <v/>
      </c>
      <c r="D4876" s="6" t="str">
        <f>IF(A4876="","",MATCH(A4876,Calculation!B$2:B9627,1))</f>
        <v/>
      </c>
      <c r="E4876" s="29" t="str">
        <f t="array" ref="E4876">IF(D4876="","",IF(D4876=1,0,INDEX(Calculation!Q$2:Q9627,D4876-1)))</f>
        <v/>
      </c>
      <c r="F4876" s="29" t="str">
        <f t="array" ref="F4876">IF($A4876="","",
  LET(
    r, $D4876,
    startD, INDEX(Calculation!B$2:B9627, r),
    endD,   INDEX(Calculation!C$2:C9627, r),
    asOf,   MIN($A4876,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77">
      <c r="A4877" s="28"/>
      <c r="B4877" s="29"/>
      <c r="C4877" s="29" t="str">
        <f t="shared" si="1"/>
        <v/>
      </c>
      <c r="D4877" s="6" t="str">
        <f>IF(A4877="","",MATCH(A4877,Calculation!B$2:B9627,1))</f>
        <v/>
      </c>
      <c r="E4877" s="29" t="str">
        <f t="array" ref="E4877">IF(D4877="","",IF(D4877=1,0,INDEX(Calculation!Q$2:Q9627,D4877-1)))</f>
        <v/>
      </c>
      <c r="F4877" s="29" t="str">
        <f t="array" ref="F4877">IF($A4877="","",
  LET(
    r, $D4877,
    startD, INDEX(Calculation!B$2:B9627, r),
    endD,   INDEX(Calculation!C$2:C9627, r),
    asOf,   MIN($A4877,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78">
      <c r="A4878" s="28"/>
      <c r="B4878" s="29"/>
      <c r="C4878" s="29" t="str">
        <f t="shared" si="1"/>
        <v/>
      </c>
      <c r="D4878" s="6" t="str">
        <f>IF(A4878="","",MATCH(A4878,Calculation!B$2:B9627,1))</f>
        <v/>
      </c>
      <c r="E4878" s="29" t="str">
        <f t="array" ref="E4878">IF(D4878="","",IF(D4878=1,0,INDEX(Calculation!Q$2:Q9627,D4878-1)))</f>
        <v/>
      </c>
      <c r="F4878" s="29" t="str">
        <f t="array" ref="F4878">IF($A4878="","",
  LET(
    r, $D4878,
    startD, INDEX(Calculation!B$2:B9627, r),
    endD,   INDEX(Calculation!C$2:C9627, r),
    asOf,   MIN($A4878,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79">
      <c r="A4879" s="28"/>
      <c r="B4879" s="29"/>
      <c r="C4879" s="29" t="str">
        <f t="shared" si="1"/>
        <v/>
      </c>
      <c r="D4879" s="6" t="str">
        <f>IF(A4879="","",MATCH(A4879,Calculation!B$2:B9627,1))</f>
        <v/>
      </c>
      <c r="E4879" s="29" t="str">
        <f t="array" ref="E4879">IF(D4879="","",IF(D4879=1,0,INDEX(Calculation!Q$2:Q9627,D4879-1)))</f>
        <v/>
      </c>
      <c r="F4879" s="29" t="str">
        <f t="array" ref="F4879">IF($A4879="","",
  LET(
    r, $D4879,
    startD, INDEX(Calculation!B$2:B9627, r),
    endD,   INDEX(Calculation!C$2:C9627, r),
    asOf,   MIN($A4879,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80">
      <c r="A4880" s="28"/>
      <c r="B4880" s="29"/>
      <c r="C4880" s="29" t="str">
        <f t="shared" si="1"/>
        <v/>
      </c>
      <c r="D4880" s="6" t="str">
        <f>IF(A4880="","",MATCH(A4880,Calculation!B$2:B9627,1))</f>
        <v/>
      </c>
      <c r="E4880" s="29" t="str">
        <f t="array" ref="E4880">IF(D4880="","",IF(D4880=1,0,INDEX(Calculation!Q$2:Q9627,D4880-1)))</f>
        <v/>
      </c>
      <c r="F4880" s="29" t="str">
        <f t="array" ref="F4880">IF($A4880="","",
  LET(
    r, $D4880,
    startD, INDEX(Calculation!B$2:B9627, r),
    endD,   INDEX(Calculation!C$2:C9627, r),
    asOf,   MIN($A4880,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81">
      <c r="A4881" s="28"/>
      <c r="B4881" s="29"/>
      <c r="C4881" s="29" t="str">
        <f t="shared" si="1"/>
        <v/>
      </c>
      <c r="D4881" s="6" t="str">
        <f>IF(A4881="","",MATCH(A4881,Calculation!B$2:B9627,1))</f>
        <v/>
      </c>
      <c r="E4881" s="29" t="str">
        <f t="array" ref="E4881">IF(D4881="","",IF(D4881=1,0,INDEX(Calculation!Q$2:Q9627,D4881-1)))</f>
        <v/>
      </c>
      <c r="F4881" s="29" t="str">
        <f t="array" ref="F4881">IF($A4881="","",
  LET(
    r, $D4881,
    startD, INDEX(Calculation!B$2:B9627, r),
    endD,   INDEX(Calculation!C$2:C9627, r),
    asOf,   MIN($A4881,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82">
      <c r="A4882" s="28"/>
      <c r="B4882" s="29"/>
      <c r="C4882" s="29" t="str">
        <f t="shared" si="1"/>
        <v/>
      </c>
      <c r="D4882" s="6" t="str">
        <f>IF(A4882="","",MATCH(A4882,Calculation!B$2:B9627,1))</f>
        <v/>
      </c>
      <c r="E4882" s="29" t="str">
        <f t="array" ref="E4882">IF(D4882="","",IF(D4882=1,0,INDEX(Calculation!Q$2:Q9627,D4882-1)))</f>
        <v/>
      </c>
      <c r="F4882" s="29" t="str">
        <f t="array" ref="F4882">IF($A4882="","",
  LET(
    r, $D4882,
    startD, INDEX(Calculation!B$2:B9627, r),
    endD,   INDEX(Calculation!C$2:C9627, r),
    asOf,   MIN($A4882,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83">
      <c r="A4883" s="28"/>
      <c r="B4883" s="29"/>
      <c r="C4883" s="29" t="str">
        <f t="shared" si="1"/>
        <v/>
      </c>
      <c r="D4883" s="6" t="str">
        <f>IF(A4883="","",MATCH(A4883,Calculation!B$2:B9627,1))</f>
        <v/>
      </c>
      <c r="E4883" s="29" t="str">
        <f t="array" ref="E4883">IF(D4883="","",IF(D4883=1,0,INDEX(Calculation!Q$2:Q9627,D4883-1)))</f>
        <v/>
      </c>
      <c r="F4883" s="29" t="str">
        <f t="array" ref="F4883">IF($A4883="","",
  LET(
    r, $D4883,
    startD, INDEX(Calculation!B$2:B9627, r),
    endD,   INDEX(Calculation!C$2:C9627, r),
    asOf,   MIN($A4883,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84">
      <c r="A4884" s="28"/>
      <c r="B4884" s="29"/>
      <c r="C4884" s="29" t="str">
        <f t="shared" si="1"/>
        <v/>
      </c>
      <c r="D4884" s="6" t="str">
        <f>IF(A4884="","",MATCH(A4884,Calculation!B$2:B9627,1))</f>
        <v/>
      </c>
      <c r="E4884" s="29" t="str">
        <f t="array" ref="E4884">IF(D4884="","",IF(D4884=1,0,INDEX(Calculation!Q$2:Q9627,D4884-1)))</f>
        <v/>
      </c>
      <c r="F4884" s="29" t="str">
        <f t="array" ref="F4884">IF($A4884="","",
  LET(
    r, $D4884,
    startD, INDEX(Calculation!B$2:B9627, r),
    endD,   INDEX(Calculation!C$2:C9627, r),
    asOf,   MIN($A4884,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85">
      <c r="A4885" s="28"/>
      <c r="B4885" s="29"/>
      <c r="C4885" s="29" t="str">
        <f t="shared" si="1"/>
        <v/>
      </c>
      <c r="D4885" s="6" t="str">
        <f>IF(A4885="","",MATCH(A4885,Calculation!B$2:B9627,1))</f>
        <v/>
      </c>
      <c r="E4885" s="29" t="str">
        <f t="array" ref="E4885">IF(D4885="","",IF(D4885=1,0,INDEX(Calculation!Q$2:Q9627,D4885-1)))</f>
        <v/>
      </c>
      <c r="F4885" s="29" t="str">
        <f t="array" ref="F4885">IF($A4885="","",
  LET(
    r, $D4885,
    startD, INDEX(Calculation!B$2:B9627, r),
    endD,   INDEX(Calculation!C$2:C9627, r),
    asOf,   MIN($A4885,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86">
      <c r="A4886" s="28"/>
      <c r="B4886" s="29"/>
      <c r="C4886" s="29" t="str">
        <f t="shared" si="1"/>
        <v/>
      </c>
      <c r="D4886" s="6" t="str">
        <f>IF(A4886="","",MATCH(A4886,Calculation!B$2:B9627,1))</f>
        <v/>
      </c>
      <c r="E4886" s="29" t="str">
        <f t="array" ref="E4886">IF(D4886="","",IF(D4886=1,0,INDEX(Calculation!Q$2:Q9627,D4886-1)))</f>
        <v/>
      </c>
      <c r="F4886" s="29" t="str">
        <f t="array" ref="F4886">IF($A4886="","",
  LET(
    r, $D4886,
    startD, INDEX(Calculation!B$2:B9627, r),
    endD,   INDEX(Calculation!C$2:C9627, r),
    asOf,   MIN($A4886,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87">
      <c r="A4887" s="28"/>
      <c r="B4887" s="29"/>
      <c r="C4887" s="29" t="str">
        <f t="shared" si="1"/>
        <v/>
      </c>
      <c r="D4887" s="6" t="str">
        <f>IF(A4887="","",MATCH(A4887,Calculation!B$2:B9627,1))</f>
        <v/>
      </c>
      <c r="E4887" s="29" t="str">
        <f t="array" ref="E4887">IF(D4887="","",IF(D4887=1,0,INDEX(Calculation!Q$2:Q9627,D4887-1)))</f>
        <v/>
      </c>
      <c r="F4887" s="29" t="str">
        <f t="array" ref="F4887">IF($A4887="","",
  LET(
    r, $D4887,
    startD, INDEX(Calculation!B$2:B9627, r),
    endD,   INDEX(Calculation!C$2:C9627, r),
    asOf,   MIN($A4887,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88">
      <c r="A4888" s="28"/>
      <c r="B4888" s="29"/>
      <c r="C4888" s="29" t="str">
        <f t="shared" si="1"/>
        <v/>
      </c>
      <c r="D4888" s="6" t="str">
        <f>IF(A4888="","",MATCH(A4888,Calculation!B$2:B9627,1))</f>
        <v/>
      </c>
      <c r="E4888" s="29" t="str">
        <f t="array" ref="E4888">IF(D4888="","",IF(D4888=1,0,INDEX(Calculation!Q$2:Q9627,D4888-1)))</f>
        <v/>
      </c>
      <c r="F4888" s="29" t="str">
        <f t="array" ref="F4888">IF($A4888="","",
  LET(
    r, $D4888,
    startD, INDEX(Calculation!B$2:B9627, r),
    endD,   INDEX(Calculation!C$2:C9627, r),
    asOf,   MIN($A4888,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89">
      <c r="A4889" s="28"/>
      <c r="B4889" s="29"/>
      <c r="C4889" s="29" t="str">
        <f t="shared" si="1"/>
        <v/>
      </c>
      <c r="D4889" s="6" t="str">
        <f>IF(A4889="","",MATCH(A4889,Calculation!B$2:B9627,1))</f>
        <v/>
      </c>
      <c r="E4889" s="29" t="str">
        <f t="array" ref="E4889">IF(D4889="","",IF(D4889=1,0,INDEX(Calculation!Q$2:Q9627,D4889-1)))</f>
        <v/>
      </c>
      <c r="F4889" s="29" t="str">
        <f t="array" ref="F4889">IF($A4889="","",
  LET(
    r, $D4889,
    startD, INDEX(Calculation!B$2:B9627, r),
    endD,   INDEX(Calculation!C$2:C9627, r),
    asOf,   MIN($A4889,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90">
      <c r="A4890" s="28"/>
      <c r="B4890" s="29"/>
      <c r="C4890" s="29" t="str">
        <f t="shared" si="1"/>
        <v/>
      </c>
      <c r="D4890" s="6" t="str">
        <f>IF(A4890="","",MATCH(A4890,Calculation!B$2:B9627,1))</f>
        <v/>
      </c>
      <c r="E4890" s="29" t="str">
        <f t="array" ref="E4890">IF(D4890="","",IF(D4890=1,0,INDEX(Calculation!Q$2:Q9627,D4890-1)))</f>
        <v/>
      </c>
      <c r="F4890" s="29" t="str">
        <f t="array" ref="F4890">IF($A4890="","",
  LET(
    r, $D4890,
    startD, INDEX(Calculation!B$2:B9627, r),
    endD,   INDEX(Calculation!C$2:C9627, r),
    asOf,   MIN($A4890,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91">
      <c r="A4891" s="28"/>
      <c r="B4891" s="29"/>
      <c r="C4891" s="29" t="str">
        <f t="shared" si="1"/>
        <v/>
      </c>
      <c r="D4891" s="6" t="str">
        <f>IF(A4891="","",MATCH(A4891,Calculation!B$2:B9627,1))</f>
        <v/>
      </c>
      <c r="E4891" s="29" t="str">
        <f t="array" ref="E4891">IF(D4891="","",IF(D4891=1,0,INDEX(Calculation!Q$2:Q9627,D4891-1)))</f>
        <v/>
      </c>
      <c r="F4891" s="29" t="str">
        <f t="array" ref="F4891">IF($A4891="","",
  LET(
    r, $D4891,
    startD, INDEX(Calculation!B$2:B9627, r),
    endD,   INDEX(Calculation!C$2:C9627, r),
    asOf,   MIN($A4891,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92">
      <c r="A4892" s="28"/>
      <c r="B4892" s="29"/>
      <c r="C4892" s="29" t="str">
        <f t="shared" si="1"/>
        <v/>
      </c>
      <c r="D4892" s="6" t="str">
        <f>IF(A4892="","",MATCH(A4892,Calculation!B$2:B9627,1))</f>
        <v/>
      </c>
      <c r="E4892" s="29" t="str">
        <f t="array" ref="E4892">IF(D4892="","",IF(D4892=1,0,INDEX(Calculation!Q$2:Q9627,D4892-1)))</f>
        <v/>
      </c>
      <c r="F4892" s="29" t="str">
        <f t="array" ref="F4892">IF($A4892="","",
  LET(
    r, $D4892,
    startD, INDEX(Calculation!B$2:B9627, r),
    endD,   INDEX(Calculation!C$2:C9627, r),
    asOf,   MIN($A4892,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93">
      <c r="A4893" s="28"/>
      <c r="B4893" s="29"/>
      <c r="C4893" s="29" t="str">
        <f t="shared" si="1"/>
        <v/>
      </c>
      <c r="D4893" s="6" t="str">
        <f>IF(A4893="","",MATCH(A4893,Calculation!B$2:B9627,1))</f>
        <v/>
      </c>
      <c r="E4893" s="29" t="str">
        <f t="array" ref="E4893">IF(D4893="","",IF(D4893=1,0,INDEX(Calculation!Q$2:Q9627,D4893-1)))</f>
        <v/>
      </c>
      <c r="F4893" s="29" t="str">
        <f t="array" ref="F4893">IF($A4893="","",
  LET(
    r, $D4893,
    startD, INDEX(Calculation!B$2:B9627, r),
    endD,   INDEX(Calculation!C$2:C9627, r),
    asOf,   MIN($A4893,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94">
      <c r="A4894" s="28"/>
      <c r="B4894" s="29"/>
      <c r="C4894" s="29" t="str">
        <f t="shared" si="1"/>
        <v/>
      </c>
      <c r="D4894" s="6" t="str">
        <f>IF(A4894="","",MATCH(A4894,Calculation!B$2:B9627,1))</f>
        <v/>
      </c>
      <c r="E4894" s="29" t="str">
        <f t="array" ref="E4894">IF(D4894="","",IF(D4894=1,0,INDEX(Calculation!Q$2:Q9627,D4894-1)))</f>
        <v/>
      </c>
      <c r="F4894" s="29" t="str">
        <f t="array" ref="F4894">IF($A4894="","",
  LET(
    r, $D4894,
    startD, INDEX(Calculation!B$2:B9627, r),
    endD,   INDEX(Calculation!C$2:C9627, r),
    asOf,   MIN($A4894,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95">
      <c r="A4895" s="28"/>
      <c r="B4895" s="29"/>
      <c r="C4895" s="29" t="str">
        <f t="shared" si="1"/>
        <v/>
      </c>
      <c r="D4895" s="6" t="str">
        <f>IF(A4895="","",MATCH(A4895,Calculation!B$2:B9627,1))</f>
        <v/>
      </c>
      <c r="E4895" s="29" t="str">
        <f t="array" ref="E4895">IF(D4895="","",IF(D4895=1,0,INDEX(Calculation!Q$2:Q9627,D4895-1)))</f>
        <v/>
      </c>
      <c r="F4895" s="29" t="str">
        <f t="array" ref="F4895">IF($A4895="","",
  LET(
    r, $D4895,
    startD, INDEX(Calculation!B$2:B9627, r),
    endD,   INDEX(Calculation!C$2:C9627, r),
    asOf,   MIN($A4895,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96">
      <c r="A4896" s="28"/>
      <c r="B4896" s="29"/>
      <c r="C4896" s="29" t="str">
        <f t="shared" si="1"/>
        <v/>
      </c>
      <c r="D4896" s="6" t="str">
        <f>IF(A4896="","",MATCH(A4896,Calculation!B$2:B9627,1))</f>
        <v/>
      </c>
      <c r="E4896" s="29" t="str">
        <f t="array" ref="E4896">IF(D4896="","",IF(D4896=1,0,INDEX(Calculation!Q$2:Q9627,D4896-1)))</f>
        <v/>
      </c>
      <c r="F4896" s="29" t="str">
        <f t="array" ref="F4896">IF($A4896="","",
  LET(
    r, $D4896,
    startD, INDEX(Calculation!B$2:B9627, r),
    endD,   INDEX(Calculation!C$2:C9627, r),
    asOf,   MIN($A4896,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97">
      <c r="A4897" s="28"/>
      <c r="B4897" s="29"/>
      <c r="C4897" s="29" t="str">
        <f t="shared" si="1"/>
        <v/>
      </c>
      <c r="D4897" s="6" t="str">
        <f>IF(A4897="","",MATCH(A4897,Calculation!B$2:B9627,1))</f>
        <v/>
      </c>
      <c r="E4897" s="29" t="str">
        <f t="array" ref="E4897">IF(D4897="","",IF(D4897=1,0,INDEX(Calculation!Q$2:Q9627,D4897-1)))</f>
        <v/>
      </c>
      <c r="F4897" s="29" t="str">
        <f t="array" ref="F4897">IF($A4897="","",
  LET(
    r, $D4897,
    startD, INDEX(Calculation!B$2:B9627, r),
    endD,   INDEX(Calculation!C$2:C9627, r),
    asOf,   MIN($A4897,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98">
      <c r="A4898" s="28"/>
      <c r="B4898" s="29"/>
      <c r="C4898" s="29" t="str">
        <f t="shared" si="1"/>
        <v/>
      </c>
      <c r="D4898" s="6" t="str">
        <f>IF(A4898="","",MATCH(A4898,Calculation!B$2:B9627,1))</f>
        <v/>
      </c>
      <c r="E4898" s="29" t="str">
        <f t="array" ref="E4898">IF(D4898="","",IF(D4898=1,0,INDEX(Calculation!Q$2:Q9627,D4898-1)))</f>
        <v/>
      </c>
      <c r="F4898" s="29" t="str">
        <f t="array" ref="F4898">IF($A4898="","",
  LET(
    r, $D4898,
    startD, INDEX(Calculation!B$2:B9627, r),
    endD,   INDEX(Calculation!C$2:C9627, r),
    asOf,   MIN($A4898,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899">
      <c r="A4899" s="28"/>
      <c r="B4899" s="29"/>
      <c r="C4899" s="29" t="str">
        <f t="shared" si="1"/>
        <v/>
      </c>
      <c r="D4899" s="6" t="str">
        <f>IF(A4899="","",MATCH(A4899,Calculation!B$2:B9627,1))</f>
        <v/>
      </c>
      <c r="E4899" s="29" t="str">
        <f t="array" ref="E4899">IF(D4899="","",IF(D4899=1,0,INDEX(Calculation!Q$2:Q9627,D4899-1)))</f>
        <v/>
      </c>
      <c r="F4899" s="29" t="str">
        <f t="array" ref="F4899">IF($A4899="","",
  LET(
    r, $D4899,
    startD, INDEX(Calculation!B$2:B9627, r),
    endD,   INDEX(Calculation!C$2:C9627, r),
    asOf,   MIN($A4899,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00">
      <c r="A4900" s="28"/>
      <c r="B4900" s="29"/>
      <c r="C4900" s="29" t="str">
        <f t="shared" si="1"/>
        <v/>
      </c>
      <c r="D4900" s="6" t="str">
        <f>IF(A4900="","",MATCH(A4900,Calculation!B$2:B9627,1))</f>
        <v/>
      </c>
      <c r="E4900" s="29" t="str">
        <f t="array" ref="E4900">IF(D4900="","",IF(D4900=1,0,INDEX(Calculation!Q$2:Q9627,D4900-1)))</f>
        <v/>
      </c>
      <c r="F4900" s="29" t="str">
        <f t="array" ref="F4900">IF($A4900="","",
  LET(
    r, $D4900,
    startD, INDEX(Calculation!B$2:B9627, r),
    endD,   INDEX(Calculation!C$2:C9627, r),
    asOf,   MIN($A4900,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01">
      <c r="A4901" s="28"/>
      <c r="B4901" s="29"/>
      <c r="C4901" s="29" t="str">
        <f t="shared" si="1"/>
        <v/>
      </c>
      <c r="D4901" s="6" t="str">
        <f>IF(A4901="","",MATCH(A4901,Calculation!B$2:B9627,1))</f>
        <v/>
      </c>
      <c r="E4901" s="29" t="str">
        <f t="array" ref="E4901">IF(D4901="","",IF(D4901=1,0,INDEX(Calculation!Q$2:Q9627,D4901-1)))</f>
        <v/>
      </c>
      <c r="F4901" s="29" t="str">
        <f t="array" ref="F4901">IF($A4901="","",
  LET(
    r, $D4901,
    startD, INDEX(Calculation!B$2:B9627, r),
    endD,   INDEX(Calculation!C$2:C9627, r),
    asOf,   MIN($A4901,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02">
      <c r="A4902" s="28"/>
      <c r="B4902" s="29"/>
      <c r="C4902" s="29" t="str">
        <f t="shared" si="1"/>
        <v/>
      </c>
      <c r="D4902" s="6" t="str">
        <f>IF(A4902="","",MATCH(A4902,Calculation!B$2:B9627,1))</f>
        <v/>
      </c>
      <c r="E4902" s="29" t="str">
        <f t="array" ref="E4902">IF(D4902="","",IF(D4902=1,0,INDEX(Calculation!Q$2:Q9627,D4902-1)))</f>
        <v/>
      </c>
      <c r="F4902" s="29" t="str">
        <f t="array" ref="F4902">IF($A4902="","",
  LET(
    r, $D4902,
    startD, INDEX(Calculation!B$2:B9627, r),
    endD,   INDEX(Calculation!C$2:C9627, r),
    asOf,   MIN($A4902,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03">
      <c r="A4903" s="28"/>
      <c r="B4903" s="29"/>
      <c r="C4903" s="29" t="str">
        <f t="shared" si="1"/>
        <v/>
      </c>
      <c r="D4903" s="6" t="str">
        <f>IF(A4903="","",MATCH(A4903,Calculation!B$2:B9627,1))</f>
        <v/>
      </c>
      <c r="E4903" s="29" t="str">
        <f t="array" ref="E4903">IF(D4903="","",IF(D4903=1,0,INDEX(Calculation!Q$2:Q9627,D4903-1)))</f>
        <v/>
      </c>
      <c r="F4903" s="29" t="str">
        <f t="array" ref="F4903">IF($A4903="","",
  LET(
    r, $D4903,
    startD, INDEX(Calculation!B$2:B9627, r),
    endD,   INDEX(Calculation!C$2:C9627, r),
    asOf,   MIN($A4903,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04">
      <c r="A4904" s="28"/>
      <c r="B4904" s="29"/>
      <c r="C4904" s="29" t="str">
        <f t="shared" si="1"/>
        <v/>
      </c>
      <c r="D4904" s="6" t="str">
        <f>IF(A4904="","",MATCH(A4904,Calculation!B$2:B9627,1))</f>
        <v/>
      </c>
      <c r="E4904" s="29" t="str">
        <f t="array" ref="E4904">IF(D4904="","",IF(D4904=1,0,INDEX(Calculation!Q$2:Q9627,D4904-1)))</f>
        <v/>
      </c>
      <c r="F4904" s="29" t="str">
        <f t="array" ref="F4904">IF($A4904="","",
  LET(
    r, $D4904,
    startD, INDEX(Calculation!B$2:B9627, r),
    endD,   INDEX(Calculation!C$2:C9627, r),
    asOf,   MIN($A4904,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05">
      <c r="A4905" s="28"/>
      <c r="B4905" s="29"/>
      <c r="C4905" s="29" t="str">
        <f t="shared" si="1"/>
        <v/>
      </c>
      <c r="D4905" s="6" t="str">
        <f>IF(A4905="","",MATCH(A4905,Calculation!B$2:B9627,1))</f>
        <v/>
      </c>
      <c r="E4905" s="29" t="str">
        <f t="array" ref="E4905">IF(D4905="","",IF(D4905=1,0,INDEX(Calculation!Q$2:Q9627,D4905-1)))</f>
        <v/>
      </c>
      <c r="F4905" s="29" t="str">
        <f t="array" ref="F4905">IF($A4905="","",
  LET(
    r, $D4905,
    startD, INDEX(Calculation!B$2:B9627, r),
    endD,   INDEX(Calculation!C$2:C9627, r),
    asOf,   MIN($A4905,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06">
      <c r="A4906" s="28"/>
      <c r="B4906" s="29"/>
      <c r="C4906" s="29" t="str">
        <f t="shared" si="1"/>
        <v/>
      </c>
      <c r="D4906" s="6" t="str">
        <f>IF(A4906="","",MATCH(A4906,Calculation!B$2:B9627,1))</f>
        <v/>
      </c>
      <c r="E4906" s="29" t="str">
        <f t="array" ref="E4906">IF(D4906="","",IF(D4906=1,0,INDEX(Calculation!Q$2:Q9627,D4906-1)))</f>
        <v/>
      </c>
      <c r="F4906" s="29" t="str">
        <f t="array" ref="F4906">IF($A4906="","",
  LET(
    r, $D4906,
    startD, INDEX(Calculation!B$2:B9627, r),
    endD,   INDEX(Calculation!C$2:C9627, r),
    asOf,   MIN($A4906,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07">
      <c r="A4907" s="28"/>
      <c r="B4907" s="29"/>
      <c r="C4907" s="29" t="str">
        <f t="shared" si="1"/>
        <v/>
      </c>
      <c r="D4907" s="6" t="str">
        <f>IF(A4907="","",MATCH(A4907,Calculation!B$2:B9627,1))</f>
        <v/>
      </c>
      <c r="E4907" s="29" t="str">
        <f t="array" ref="E4907">IF(D4907="","",IF(D4907=1,0,INDEX(Calculation!Q$2:Q9627,D4907-1)))</f>
        <v/>
      </c>
      <c r="F4907" s="29" t="str">
        <f t="array" ref="F4907">IF($A4907="","",
  LET(
    r, $D4907,
    startD, INDEX(Calculation!B$2:B9627, r),
    endD,   INDEX(Calculation!C$2:C9627, r),
    asOf,   MIN($A4907,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08">
      <c r="A4908" s="28"/>
      <c r="B4908" s="29"/>
      <c r="C4908" s="29" t="str">
        <f t="shared" si="1"/>
        <v/>
      </c>
      <c r="D4908" s="6" t="str">
        <f>IF(A4908="","",MATCH(A4908,Calculation!B$2:B9627,1))</f>
        <v/>
      </c>
      <c r="E4908" s="29" t="str">
        <f t="array" ref="E4908">IF(D4908="","",IF(D4908=1,0,INDEX(Calculation!Q$2:Q9627,D4908-1)))</f>
        <v/>
      </c>
      <c r="F4908" s="29" t="str">
        <f t="array" ref="F4908">IF($A4908="","",
  LET(
    r, $D4908,
    startD, INDEX(Calculation!B$2:B9627, r),
    endD,   INDEX(Calculation!C$2:C9627, r),
    asOf,   MIN($A4908,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09">
      <c r="A4909" s="28"/>
      <c r="B4909" s="29"/>
      <c r="C4909" s="29" t="str">
        <f t="shared" si="1"/>
        <v/>
      </c>
      <c r="D4909" s="6" t="str">
        <f>IF(A4909="","",MATCH(A4909,Calculation!B$2:B9627,1))</f>
        <v/>
      </c>
      <c r="E4909" s="29" t="str">
        <f t="array" ref="E4909">IF(D4909="","",IF(D4909=1,0,INDEX(Calculation!Q$2:Q9627,D4909-1)))</f>
        <v/>
      </c>
      <c r="F4909" s="29" t="str">
        <f t="array" ref="F4909">IF($A4909="","",
  LET(
    r, $D4909,
    startD, INDEX(Calculation!B$2:B9627, r),
    endD,   INDEX(Calculation!C$2:C9627, r),
    asOf,   MIN($A4909,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10">
      <c r="A4910" s="28"/>
      <c r="B4910" s="29"/>
      <c r="C4910" s="29" t="str">
        <f t="shared" si="1"/>
        <v/>
      </c>
      <c r="D4910" s="6" t="str">
        <f>IF(A4910="","",MATCH(A4910,Calculation!B$2:B9627,1))</f>
        <v/>
      </c>
      <c r="E4910" s="29" t="str">
        <f t="array" ref="E4910">IF(D4910="","",IF(D4910=1,0,INDEX(Calculation!Q$2:Q9627,D4910-1)))</f>
        <v/>
      </c>
      <c r="F4910" s="29" t="str">
        <f t="array" ref="F4910">IF($A4910="","",
  LET(
    r, $D4910,
    startD, INDEX(Calculation!B$2:B9627, r),
    endD,   INDEX(Calculation!C$2:C9627, r),
    asOf,   MIN($A4910,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11">
      <c r="A4911" s="28"/>
      <c r="B4911" s="29"/>
      <c r="C4911" s="29" t="str">
        <f t="shared" si="1"/>
        <v/>
      </c>
      <c r="D4911" s="6" t="str">
        <f>IF(A4911="","",MATCH(A4911,Calculation!B$2:B9627,1))</f>
        <v/>
      </c>
      <c r="E4911" s="29" t="str">
        <f t="array" ref="E4911">IF(D4911="","",IF(D4911=1,0,INDEX(Calculation!Q$2:Q9627,D4911-1)))</f>
        <v/>
      </c>
      <c r="F4911" s="29" t="str">
        <f t="array" ref="F4911">IF($A4911="","",
  LET(
    r, $D4911,
    startD, INDEX(Calculation!B$2:B9627, r),
    endD,   INDEX(Calculation!C$2:C9627, r),
    asOf,   MIN($A4911,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12">
      <c r="A4912" s="28"/>
      <c r="B4912" s="29"/>
      <c r="C4912" s="29" t="str">
        <f t="shared" si="1"/>
        <v/>
      </c>
      <c r="D4912" s="6" t="str">
        <f>IF(A4912="","",MATCH(A4912,Calculation!B$2:B9627,1))</f>
        <v/>
      </c>
      <c r="E4912" s="29" t="str">
        <f t="array" ref="E4912">IF(D4912="","",IF(D4912=1,0,INDEX(Calculation!Q$2:Q9627,D4912-1)))</f>
        <v/>
      </c>
      <c r="F4912" s="29" t="str">
        <f t="array" ref="F4912">IF($A4912="","",
  LET(
    r, $D4912,
    startD, INDEX(Calculation!B$2:B9627, r),
    endD,   INDEX(Calculation!C$2:C9627, r),
    asOf,   MIN($A4912,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13">
      <c r="A4913" s="28"/>
      <c r="B4913" s="29"/>
      <c r="C4913" s="29" t="str">
        <f t="shared" si="1"/>
        <v/>
      </c>
      <c r="D4913" s="6" t="str">
        <f>IF(A4913="","",MATCH(A4913,Calculation!B$2:B9627,1))</f>
        <v/>
      </c>
      <c r="E4913" s="29" t="str">
        <f t="array" ref="E4913">IF(D4913="","",IF(D4913=1,0,INDEX(Calculation!Q$2:Q9627,D4913-1)))</f>
        <v/>
      </c>
      <c r="F4913" s="29" t="str">
        <f t="array" ref="F4913">IF($A4913="","",
  LET(
    r, $D4913,
    startD, INDEX(Calculation!B$2:B9627, r),
    endD,   INDEX(Calculation!C$2:C9627, r),
    asOf,   MIN($A4913,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14">
      <c r="A4914" s="28"/>
      <c r="B4914" s="29"/>
      <c r="C4914" s="29" t="str">
        <f t="shared" si="1"/>
        <v/>
      </c>
      <c r="D4914" s="6" t="str">
        <f>IF(A4914="","",MATCH(A4914,Calculation!B$2:B9627,1))</f>
        <v/>
      </c>
      <c r="E4914" s="29" t="str">
        <f t="array" ref="E4914">IF(D4914="","",IF(D4914=1,0,INDEX(Calculation!Q$2:Q9627,D4914-1)))</f>
        <v/>
      </c>
      <c r="F4914" s="29" t="str">
        <f t="array" ref="F4914">IF($A4914="","",
  LET(
    r, $D4914,
    startD, INDEX(Calculation!B$2:B9627, r),
    endD,   INDEX(Calculation!C$2:C9627, r),
    asOf,   MIN($A4914,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15">
      <c r="A4915" s="28"/>
      <c r="B4915" s="29"/>
      <c r="C4915" s="29" t="str">
        <f t="shared" si="1"/>
        <v/>
      </c>
      <c r="D4915" s="6" t="str">
        <f>IF(A4915="","",MATCH(A4915,Calculation!B$2:B9627,1))</f>
        <v/>
      </c>
      <c r="E4915" s="29" t="str">
        <f t="array" ref="E4915">IF(D4915="","",IF(D4915=1,0,INDEX(Calculation!Q$2:Q9627,D4915-1)))</f>
        <v/>
      </c>
      <c r="F4915" s="29" t="str">
        <f t="array" ref="F4915">IF($A4915="","",
  LET(
    r, $D4915,
    startD, INDEX(Calculation!B$2:B9627, r),
    endD,   INDEX(Calculation!C$2:C9627, r),
    asOf,   MIN($A4915,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16">
      <c r="A4916" s="28"/>
      <c r="B4916" s="29"/>
      <c r="C4916" s="29" t="str">
        <f t="shared" si="1"/>
        <v/>
      </c>
      <c r="D4916" s="6" t="str">
        <f>IF(A4916="","",MATCH(A4916,Calculation!B$2:B9627,1))</f>
        <v/>
      </c>
      <c r="E4916" s="29" t="str">
        <f t="array" ref="E4916">IF(D4916="","",IF(D4916=1,0,INDEX(Calculation!Q$2:Q9627,D4916-1)))</f>
        <v/>
      </c>
      <c r="F4916" s="29" t="str">
        <f t="array" ref="F4916">IF($A4916="","",
  LET(
    r, $D4916,
    startD, INDEX(Calculation!B$2:B9627, r),
    endD,   INDEX(Calculation!C$2:C9627, r),
    asOf,   MIN($A4916,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17">
      <c r="A4917" s="28"/>
      <c r="B4917" s="29"/>
      <c r="C4917" s="29" t="str">
        <f t="shared" si="1"/>
        <v/>
      </c>
      <c r="D4917" s="6" t="str">
        <f>IF(A4917="","",MATCH(A4917,Calculation!B$2:B9627,1))</f>
        <v/>
      </c>
      <c r="E4917" s="29" t="str">
        <f t="array" ref="E4917">IF(D4917="","",IF(D4917=1,0,INDEX(Calculation!Q$2:Q9627,D4917-1)))</f>
        <v/>
      </c>
      <c r="F4917" s="29" t="str">
        <f t="array" ref="F4917">IF($A4917="","",
  LET(
    r, $D4917,
    startD, INDEX(Calculation!B$2:B9627, r),
    endD,   INDEX(Calculation!C$2:C9627, r),
    asOf,   MIN($A4917,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18">
      <c r="A4918" s="28"/>
      <c r="B4918" s="29"/>
      <c r="C4918" s="29" t="str">
        <f t="shared" si="1"/>
        <v/>
      </c>
      <c r="D4918" s="6" t="str">
        <f>IF(A4918="","",MATCH(A4918,Calculation!B$2:B9627,1))</f>
        <v/>
      </c>
      <c r="E4918" s="29" t="str">
        <f t="array" ref="E4918">IF(D4918="","",IF(D4918=1,0,INDEX(Calculation!Q$2:Q9627,D4918-1)))</f>
        <v/>
      </c>
      <c r="F4918" s="29" t="str">
        <f t="array" ref="F4918">IF($A4918="","",
  LET(
    r, $D4918,
    startD, INDEX(Calculation!B$2:B9627, r),
    endD,   INDEX(Calculation!C$2:C9627, r),
    asOf,   MIN($A4918,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19">
      <c r="A4919" s="28"/>
      <c r="B4919" s="29"/>
      <c r="C4919" s="29" t="str">
        <f t="shared" si="1"/>
        <v/>
      </c>
      <c r="D4919" s="6" t="str">
        <f>IF(A4919="","",MATCH(A4919,Calculation!B$2:B9627,1))</f>
        <v/>
      </c>
      <c r="E4919" s="29" t="str">
        <f t="array" ref="E4919">IF(D4919="","",IF(D4919=1,0,INDEX(Calculation!Q$2:Q9627,D4919-1)))</f>
        <v/>
      </c>
      <c r="F4919" s="29" t="str">
        <f t="array" ref="F4919">IF($A4919="","",
  LET(
    r, $D4919,
    startD, INDEX(Calculation!B$2:B9627, r),
    endD,   INDEX(Calculation!C$2:C9627, r),
    asOf,   MIN($A4919,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20">
      <c r="A4920" s="28"/>
      <c r="B4920" s="29"/>
      <c r="C4920" s="29" t="str">
        <f t="shared" si="1"/>
        <v/>
      </c>
      <c r="D4920" s="6" t="str">
        <f>IF(A4920="","",MATCH(A4920,Calculation!B$2:B9627,1))</f>
        <v/>
      </c>
      <c r="E4920" s="29" t="str">
        <f t="array" ref="E4920">IF(D4920="","",IF(D4920=1,0,INDEX(Calculation!Q$2:Q9627,D4920-1)))</f>
        <v/>
      </c>
      <c r="F4920" s="29" t="str">
        <f t="array" ref="F4920">IF($A4920="","",
  LET(
    r, $D4920,
    startD, INDEX(Calculation!B$2:B9627, r),
    endD,   INDEX(Calculation!C$2:C9627, r),
    asOf,   MIN($A4920,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21">
      <c r="A4921" s="28"/>
      <c r="B4921" s="29"/>
      <c r="C4921" s="29" t="str">
        <f t="shared" si="1"/>
        <v/>
      </c>
      <c r="D4921" s="6" t="str">
        <f>IF(A4921="","",MATCH(A4921,Calculation!B$2:B9627,1))</f>
        <v/>
      </c>
      <c r="E4921" s="29" t="str">
        <f t="array" ref="E4921">IF(D4921="","",IF(D4921=1,0,INDEX(Calculation!Q$2:Q9627,D4921-1)))</f>
        <v/>
      </c>
      <c r="F4921" s="29" t="str">
        <f t="array" ref="F4921">IF($A4921="","",
  LET(
    r, $D4921,
    startD, INDEX(Calculation!B$2:B9627, r),
    endD,   INDEX(Calculation!C$2:C9627, r),
    asOf,   MIN($A4921,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22">
      <c r="A4922" s="28"/>
      <c r="B4922" s="29"/>
      <c r="C4922" s="29" t="str">
        <f t="shared" si="1"/>
        <v/>
      </c>
      <c r="D4922" s="6" t="str">
        <f>IF(A4922="","",MATCH(A4922,Calculation!B$2:B9627,1))</f>
        <v/>
      </c>
      <c r="E4922" s="29" t="str">
        <f t="array" ref="E4922">IF(D4922="","",IF(D4922=1,0,INDEX(Calculation!Q$2:Q9627,D4922-1)))</f>
        <v/>
      </c>
      <c r="F4922" s="29" t="str">
        <f t="array" ref="F4922">IF($A4922="","",
  LET(
    r, $D4922,
    startD, INDEX(Calculation!B$2:B9627, r),
    endD,   INDEX(Calculation!C$2:C9627, r),
    asOf,   MIN($A4922,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23">
      <c r="A4923" s="28"/>
      <c r="B4923" s="29"/>
      <c r="C4923" s="29" t="str">
        <f t="shared" si="1"/>
        <v/>
      </c>
      <c r="D4923" s="6" t="str">
        <f>IF(A4923="","",MATCH(A4923,Calculation!B$2:B9627,1))</f>
        <v/>
      </c>
      <c r="E4923" s="29" t="str">
        <f t="array" ref="E4923">IF(D4923="","",IF(D4923=1,0,INDEX(Calculation!Q$2:Q9627,D4923-1)))</f>
        <v/>
      </c>
      <c r="F4923" s="29" t="str">
        <f t="array" ref="F4923">IF($A4923="","",
  LET(
    r, $D4923,
    startD, INDEX(Calculation!B$2:B9627, r),
    endD,   INDEX(Calculation!C$2:C9627, r),
    asOf,   MIN($A4923,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24">
      <c r="A4924" s="28"/>
      <c r="B4924" s="29"/>
      <c r="C4924" s="29" t="str">
        <f t="shared" si="1"/>
        <v/>
      </c>
      <c r="D4924" s="6" t="str">
        <f>IF(A4924="","",MATCH(A4924,Calculation!B$2:B9627,1))</f>
        <v/>
      </c>
      <c r="E4924" s="29" t="str">
        <f t="array" ref="E4924">IF(D4924="","",IF(D4924=1,0,INDEX(Calculation!Q$2:Q9627,D4924-1)))</f>
        <v/>
      </c>
      <c r="F4924" s="29" t="str">
        <f t="array" ref="F4924">IF($A4924="","",
  LET(
    r, $D4924,
    startD, INDEX(Calculation!B$2:B9627, r),
    endD,   INDEX(Calculation!C$2:C9627, r),
    asOf,   MIN($A4924,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25">
      <c r="A4925" s="28"/>
      <c r="B4925" s="29"/>
      <c r="C4925" s="29" t="str">
        <f t="shared" si="1"/>
        <v/>
      </c>
      <c r="D4925" s="6" t="str">
        <f>IF(A4925="","",MATCH(A4925,Calculation!B$2:B9627,1))</f>
        <v/>
      </c>
      <c r="E4925" s="29" t="str">
        <f t="array" ref="E4925">IF(D4925="","",IF(D4925=1,0,INDEX(Calculation!Q$2:Q9627,D4925-1)))</f>
        <v/>
      </c>
      <c r="F4925" s="29" t="str">
        <f t="array" ref="F4925">IF($A4925="","",
  LET(
    r, $D4925,
    startD, INDEX(Calculation!B$2:B9627, r),
    endD,   INDEX(Calculation!C$2:C9627, r),
    asOf,   MIN($A4925,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26">
      <c r="A4926" s="28"/>
      <c r="B4926" s="29"/>
      <c r="C4926" s="29" t="str">
        <f t="shared" si="1"/>
        <v/>
      </c>
      <c r="D4926" s="6" t="str">
        <f>IF(A4926="","",MATCH(A4926,Calculation!B$2:B9627,1))</f>
        <v/>
      </c>
      <c r="E4926" s="29" t="str">
        <f t="array" ref="E4926">IF(D4926="","",IF(D4926=1,0,INDEX(Calculation!Q$2:Q9627,D4926-1)))</f>
        <v/>
      </c>
      <c r="F4926" s="29" t="str">
        <f t="array" ref="F4926">IF($A4926="","",
  LET(
    r, $D4926,
    startD, INDEX(Calculation!B$2:B9627, r),
    endD,   INDEX(Calculation!C$2:C9627, r),
    asOf,   MIN($A4926,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27">
      <c r="A4927" s="28"/>
      <c r="B4927" s="29"/>
      <c r="C4927" s="29" t="str">
        <f t="shared" si="1"/>
        <v/>
      </c>
      <c r="D4927" s="6" t="str">
        <f>IF(A4927="","",MATCH(A4927,Calculation!B$2:B9627,1))</f>
        <v/>
      </c>
      <c r="E4927" s="29" t="str">
        <f t="array" ref="E4927">IF(D4927="","",IF(D4927=1,0,INDEX(Calculation!Q$2:Q9627,D4927-1)))</f>
        <v/>
      </c>
      <c r="F4927" s="29" t="str">
        <f t="array" ref="F4927">IF($A4927="","",
  LET(
    r, $D4927,
    startD, INDEX(Calculation!B$2:B9627, r),
    endD,   INDEX(Calculation!C$2:C9627, r),
    asOf,   MIN($A4927,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28">
      <c r="A4928" s="28"/>
      <c r="B4928" s="29"/>
      <c r="C4928" s="29" t="str">
        <f t="shared" si="1"/>
        <v/>
      </c>
      <c r="D4928" s="6" t="str">
        <f>IF(A4928="","",MATCH(A4928,Calculation!B$2:B9627,1))</f>
        <v/>
      </c>
      <c r="E4928" s="29" t="str">
        <f t="array" ref="E4928">IF(D4928="","",IF(D4928=1,0,INDEX(Calculation!Q$2:Q9627,D4928-1)))</f>
        <v/>
      </c>
      <c r="F4928" s="29" t="str">
        <f t="array" ref="F4928">IF($A4928="","",
  LET(
    r, $D4928,
    startD, INDEX(Calculation!B$2:B9627, r),
    endD,   INDEX(Calculation!C$2:C9627, r),
    asOf,   MIN($A4928,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29">
      <c r="A4929" s="28"/>
      <c r="B4929" s="29"/>
      <c r="C4929" s="29" t="str">
        <f t="shared" si="1"/>
        <v/>
      </c>
      <c r="D4929" s="6" t="str">
        <f>IF(A4929="","",MATCH(A4929,Calculation!B$2:B9627,1))</f>
        <v/>
      </c>
      <c r="E4929" s="29" t="str">
        <f t="array" ref="E4929">IF(D4929="","",IF(D4929=1,0,INDEX(Calculation!Q$2:Q9627,D4929-1)))</f>
        <v/>
      </c>
      <c r="F4929" s="29" t="str">
        <f t="array" ref="F4929">IF($A4929="","",
  LET(
    r, $D4929,
    startD, INDEX(Calculation!B$2:B9627, r),
    endD,   INDEX(Calculation!C$2:C9627, r),
    asOf,   MIN($A4929,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30">
      <c r="A4930" s="28"/>
      <c r="B4930" s="29"/>
      <c r="C4930" s="29" t="str">
        <f t="shared" si="1"/>
        <v/>
      </c>
      <c r="D4930" s="6" t="str">
        <f>IF(A4930="","",MATCH(A4930,Calculation!B$2:B9627,1))</f>
        <v/>
      </c>
      <c r="E4930" s="29" t="str">
        <f t="array" ref="E4930">IF(D4930="","",IF(D4930=1,0,INDEX(Calculation!Q$2:Q9627,D4930-1)))</f>
        <v/>
      </c>
      <c r="F4930" s="29" t="str">
        <f t="array" ref="F4930">IF($A4930="","",
  LET(
    r, $D4930,
    startD, INDEX(Calculation!B$2:B9627, r),
    endD,   INDEX(Calculation!C$2:C9627, r),
    asOf,   MIN($A4930,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31">
      <c r="A4931" s="28"/>
      <c r="B4931" s="29"/>
      <c r="C4931" s="29" t="str">
        <f t="shared" si="1"/>
        <v/>
      </c>
      <c r="D4931" s="6" t="str">
        <f>IF(A4931="","",MATCH(A4931,Calculation!B$2:B9627,1))</f>
        <v/>
      </c>
      <c r="E4931" s="29" t="str">
        <f t="array" ref="E4931">IF(D4931="","",IF(D4931=1,0,INDEX(Calculation!Q$2:Q9627,D4931-1)))</f>
        <v/>
      </c>
      <c r="F4931" s="29" t="str">
        <f t="array" ref="F4931">IF($A4931="","",
  LET(
    r, $D4931,
    startD, INDEX(Calculation!B$2:B9627, r),
    endD,   INDEX(Calculation!C$2:C9627, r),
    asOf,   MIN($A4931,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32">
      <c r="A4932" s="28"/>
      <c r="B4932" s="29"/>
      <c r="C4932" s="29" t="str">
        <f t="shared" si="1"/>
        <v/>
      </c>
      <c r="D4932" s="6" t="str">
        <f>IF(A4932="","",MATCH(A4932,Calculation!B$2:B9627,1))</f>
        <v/>
      </c>
      <c r="E4932" s="29" t="str">
        <f t="array" ref="E4932">IF(D4932="","",IF(D4932=1,0,INDEX(Calculation!Q$2:Q9627,D4932-1)))</f>
        <v/>
      </c>
      <c r="F4932" s="29" t="str">
        <f t="array" ref="F4932">IF($A4932="","",
  LET(
    r, $D4932,
    startD, INDEX(Calculation!B$2:B9627, r),
    endD,   INDEX(Calculation!C$2:C9627, r),
    asOf,   MIN($A4932,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33">
      <c r="A4933" s="28"/>
      <c r="B4933" s="29"/>
      <c r="C4933" s="29" t="str">
        <f t="shared" si="1"/>
        <v/>
      </c>
      <c r="D4933" s="6" t="str">
        <f>IF(A4933="","",MATCH(A4933,Calculation!B$2:B9627,1))</f>
        <v/>
      </c>
      <c r="E4933" s="29" t="str">
        <f t="array" ref="E4933">IF(D4933="","",IF(D4933=1,0,INDEX(Calculation!Q$2:Q9627,D4933-1)))</f>
        <v/>
      </c>
      <c r="F4933" s="29" t="str">
        <f t="array" ref="F4933">IF($A4933="","",
  LET(
    r, $D4933,
    startD, INDEX(Calculation!B$2:B9627, r),
    endD,   INDEX(Calculation!C$2:C9627, r),
    asOf,   MIN($A4933,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34">
      <c r="A4934" s="28"/>
      <c r="B4934" s="29"/>
      <c r="C4934" s="29" t="str">
        <f t="shared" si="1"/>
        <v/>
      </c>
      <c r="D4934" s="6" t="str">
        <f>IF(A4934="","",MATCH(A4934,Calculation!B$2:B9627,1))</f>
        <v/>
      </c>
      <c r="E4934" s="29" t="str">
        <f t="array" ref="E4934">IF(D4934="","",IF(D4934=1,0,INDEX(Calculation!Q$2:Q9627,D4934-1)))</f>
        <v/>
      </c>
      <c r="F4934" s="29" t="str">
        <f t="array" ref="F4934">IF($A4934="","",
  LET(
    r, $D4934,
    startD, INDEX(Calculation!B$2:B9627, r),
    endD,   INDEX(Calculation!C$2:C9627, r),
    asOf,   MIN($A4934,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35">
      <c r="A4935" s="28"/>
      <c r="B4935" s="29"/>
      <c r="C4935" s="29" t="str">
        <f t="shared" si="1"/>
        <v/>
      </c>
      <c r="D4935" s="6" t="str">
        <f>IF(A4935="","",MATCH(A4935,Calculation!B$2:B9627,1))</f>
        <v/>
      </c>
      <c r="E4935" s="29" t="str">
        <f t="array" ref="E4935">IF(D4935="","",IF(D4935=1,0,INDEX(Calculation!Q$2:Q9627,D4935-1)))</f>
        <v/>
      </c>
      <c r="F4935" s="29" t="str">
        <f t="array" ref="F4935">IF($A4935="","",
  LET(
    r, $D4935,
    startD, INDEX(Calculation!B$2:B9627, r),
    endD,   INDEX(Calculation!C$2:C9627, r),
    asOf,   MIN($A4935,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36">
      <c r="A4936" s="28"/>
      <c r="B4936" s="29"/>
      <c r="C4936" s="29" t="str">
        <f t="shared" si="1"/>
        <v/>
      </c>
      <c r="D4936" s="6" t="str">
        <f>IF(A4936="","",MATCH(A4936,Calculation!B$2:B9627,1))</f>
        <v/>
      </c>
      <c r="E4936" s="29" t="str">
        <f t="array" ref="E4936">IF(D4936="","",IF(D4936=1,0,INDEX(Calculation!Q$2:Q9627,D4936-1)))</f>
        <v/>
      </c>
      <c r="F4936" s="29" t="str">
        <f t="array" ref="F4936">IF($A4936="","",
  LET(
    r, $D4936,
    startD, INDEX(Calculation!B$2:B9627, r),
    endD,   INDEX(Calculation!C$2:C9627, r),
    asOf,   MIN($A4936,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37">
      <c r="A4937" s="28"/>
      <c r="B4937" s="29"/>
      <c r="C4937" s="29" t="str">
        <f t="shared" si="1"/>
        <v/>
      </c>
      <c r="D4937" s="6" t="str">
        <f>IF(A4937="","",MATCH(A4937,Calculation!B$2:B9627,1))</f>
        <v/>
      </c>
      <c r="E4937" s="29" t="str">
        <f t="array" ref="E4937">IF(D4937="","",IF(D4937=1,0,INDEX(Calculation!Q$2:Q9627,D4937-1)))</f>
        <v/>
      </c>
      <c r="F4937" s="29" t="str">
        <f t="array" ref="F4937">IF($A4937="","",
  LET(
    r, $D4937,
    startD, INDEX(Calculation!B$2:B9627, r),
    endD,   INDEX(Calculation!C$2:C9627, r),
    asOf,   MIN($A4937,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38">
      <c r="A4938" s="28"/>
      <c r="B4938" s="29"/>
      <c r="C4938" s="29" t="str">
        <f t="shared" si="1"/>
        <v/>
      </c>
      <c r="D4938" s="6" t="str">
        <f>IF(A4938="","",MATCH(A4938,Calculation!B$2:B9627,1))</f>
        <v/>
      </c>
      <c r="E4938" s="29" t="str">
        <f t="array" ref="E4938">IF(D4938="","",IF(D4938=1,0,INDEX(Calculation!Q$2:Q9627,D4938-1)))</f>
        <v/>
      </c>
      <c r="F4938" s="29" t="str">
        <f t="array" ref="F4938">IF($A4938="","",
  LET(
    r, $D4938,
    startD, INDEX(Calculation!B$2:B9627, r),
    endD,   INDEX(Calculation!C$2:C9627, r),
    asOf,   MIN($A4938,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39">
      <c r="A4939" s="28"/>
      <c r="B4939" s="29"/>
      <c r="C4939" s="29" t="str">
        <f t="shared" si="1"/>
        <v/>
      </c>
      <c r="D4939" s="6" t="str">
        <f>IF(A4939="","",MATCH(A4939,Calculation!B$2:B9627,1))</f>
        <v/>
      </c>
      <c r="E4939" s="29" t="str">
        <f t="array" ref="E4939">IF(D4939="","",IF(D4939=1,0,INDEX(Calculation!Q$2:Q9627,D4939-1)))</f>
        <v/>
      </c>
      <c r="F4939" s="29" t="str">
        <f t="array" ref="F4939">IF($A4939="","",
  LET(
    r, $D4939,
    startD, INDEX(Calculation!B$2:B9627, r),
    endD,   INDEX(Calculation!C$2:C9627, r),
    asOf,   MIN($A4939,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40">
      <c r="A4940" s="28"/>
      <c r="B4940" s="29"/>
      <c r="C4940" s="29" t="str">
        <f t="shared" si="1"/>
        <v/>
      </c>
      <c r="D4940" s="6" t="str">
        <f>IF(A4940="","",MATCH(A4940,Calculation!B$2:B9627,1))</f>
        <v/>
      </c>
      <c r="E4940" s="29" t="str">
        <f t="array" ref="E4940">IF(D4940="","",IF(D4940=1,0,INDEX(Calculation!Q$2:Q9627,D4940-1)))</f>
        <v/>
      </c>
      <c r="F4940" s="29" t="str">
        <f t="array" ref="F4940">IF($A4940="","",
  LET(
    r, $D4940,
    startD, INDEX(Calculation!B$2:B9627, r),
    endD,   INDEX(Calculation!C$2:C9627, r),
    asOf,   MIN($A4940,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41">
      <c r="A4941" s="28"/>
      <c r="B4941" s="29"/>
      <c r="C4941" s="29" t="str">
        <f t="shared" si="1"/>
        <v/>
      </c>
      <c r="D4941" s="6" t="str">
        <f>IF(A4941="","",MATCH(A4941,Calculation!B$2:B9627,1))</f>
        <v/>
      </c>
      <c r="E4941" s="29" t="str">
        <f t="array" ref="E4941">IF(D4941="","",IF(D4941=1,0,INDEX(Calculation!Q$2:Q9627,D4941-1)))</f>
        <v/>
      </c>
      <c r="F4941" s="29" t="str">
        <f t="array" ref="F4941">IF($A4941="","",
  LET(
    r, $D4941,
    startD, INDEX(Calculation!B$2:B9627, r),
    endD,   INDEX(Calculation!C$2:C9627, r),
    asOf,   MIN($A4941,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42">
      <c r="A4942" s="28"/>
      <c r="B4942" s="29"/>
      <c r="C4942" s="29" t="str">
        <f t="shared" si="1"/>
        <v/>
      </c>
      <c r="D4942" s="6" t="str">
        <f>IF(A4942="","",MATCH(A4942,Calculation!B$2:B9627,1))</f>
        <v/>
      </c>
      <c r="E4942" s="29" t="str">
        <f t="array" ref="E4942">IF(D4942="","",IF(D4942=1,0,INDEX(Calculation!Q$2:Q9627,D4942-1)))</f>
        <v/>
      </c>
      <c r="F4942" s="29" t="str">
        <f t="array" ref="F4942">IF($A4942="","",
  LET(
    r, $D4942,
    startD, INDEX(Calculation!B$2:B9627, r),
    endD,   INDEX(Calculation!C$2:C9627, r),
    asOf,   MIN($A4942,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43">
      <c r="A4943" s="28"/>
      <c r="B4943" s="29"/>
      <c r="C4943" s="29" t="str">
        <f t="shared" si="1"/>
        <v/>
      </c>
      <c r="D4943" s="6" t="str">
        <f>IF(A4943="","",MATCH(A4943,Calculation!B$2:B9627,1))</f>
        <v/>
      </c>
      <c r="E4943" s="29" t="str">
        <f t="array" ref="E4943">IF(D4943="","",IF(D4943=1,0,INDEX(Calculation!Q$2:Q9627,D4943-1)))</f>
        <v/>
      </c>
      <c r="F4943" s="29" t="str">
        <f t="array" ref="F4943">IF($A4943="","",
  LET(
    r, $D4943,
    startD, INDEX(Calculation!B$2:B9627, r),
    endD,   INDEX(Calculation!C$2:C9627, r),
    asOf,   MIN($A4943,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44">
      <c r="A4944" s="28"/>
      <c r="B4944" s="29"/>
      <c r="C4944" s="29" t="str">
        <f t="shared" si="1"/>
        <v/>
      </c>
      <c r="D4944" s="6" t="str">
        <f>IF(A4944="","",MATCH(A4944,Calculation!B$2:B9627,1))</f>
        <v/>
      </c>
      <c r="E4944" s="29" t="str">
        <f t="array" ref="E4944">IF(D4944="","",IF(D4944=1,0,INDEX(Calculation!Q$2:Q9627,D4944-1)))</f>
        <v/>
      </c>
      <c r="F4944" s="29" t="str">
        <f t="array" ref="F4944">IF($A4944="","",
  LET(
    r, $D4944,
    startD, INDEX(Calculation!B$2:B9627, r),
    endD,   INDEX(Calculation!C$2:C9627, r),
    asOf,   MIN($A4944,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45">
      <c r="A4945" s="28"/>
      <c r="B4945" s="29"/>
      <c r="C4945" s="29" t="str">
        <f t="shared" si="1"/>
        <v/>
      </c>
      <c r="D4945" s="6" t="str">
        <f>IF(A4945="","",MATCH(A4945,Calculation!B$2:B9627,1))</f>
        <v/>
      </c>
      <c r="E4945" s="29" t="str">
        <f t="array" ref="E4945">IF(D4945="","",IF(D4945=1,0,INDEX(Calculation!Q$2:Q9627,D4945-1)))</f>
        <v/>
      </c>
      <c r="F4945" s="29" t="str">
        <f t="array" ref="F4945">IF($A4945="","",
  LET(
    r, $D4945,
    startD, INDEX(Calculation!B$2:B9627, r),
    endD,   INDEX(Calculation!C$2:C9627, r),
    asOf,   MIN($A4945,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46">
      <c r="A4946" s="28"/>
      <c r="B4946" s="29"/>
      <c r="C4946" s="29" t="str">
        <f t="shared" si="1"/>
        <v/>
      </c>
      <c r="D4946" s="6" t="str">
        <f>IF(A4946="","",MATCH(A4946,Calculation!B$2:B9627,1))</f>
        <v/>
      </c>
      <c r="E4946" s="29" t="str">
        <f t="array" ref="E4946">IF(D4946="","",IF(D4946=1,0,INDEX(Calculation!Q$2:Q9627,D4946-1)))</f>
        <v/>
      </c>
      <c r="F4946" s="29" t="str">
        <f t="array" ref="F4946">IF($A4946="","",
  LET(
    r, $D4946,
    startD, INDEX(Calculation!B$2:B9627, r),
    endD,   INDEX(Calculation!C$2:C9627, r),
    asOf,   MIN($A4946,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47">
      <c r="A4947" s="28"/>
      <c r="B4947" s="29"/>
      <c r="C4947" s="29" t="str">
        <f t="shared" si="1"/>
        <v/>
      </c>
      <c r="D4947" s="6" t="str">
        <f>IF(A4947="","",MATCH(A4947,Calculation!B$2:B9627,1))</f>
        <v/>
      </c>
      <c r="E4947" s="29" t="str">
        <f t="array" ref="E4947">IF(D4947="","",IF(D4947=1,0,INDEX(Calculation!Q$2:Q9627,D4947-1)))</f>
        <v/>
      </c>
      <c r="F4947" s="29" t="str">
        <f t="array" ref="F4947">IF($A4947="","",
  LET(
    r, $D4947,
    startD, INDEX(Calculation!B$2:B9627, r),
    endD,   INDEX(Calculation!C$2:C9627, r),
    asOf,   MIN($A4947,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48">
      <c r="A4948" s="28"/>
      <c r="B4948" s="29"/>
      <c r="C4948" s="29" t="str">
        <f t="shared" si="1"/>
        <v/>
      </c>
      <c r="D4948" s="6" t="str">
        <f>IF(A4948="","",MATCH(A4948,Calculation!B$2:B9627,1))</f>
        <v/>
      </c>
      <c r="E4948" s="29" t="str">
        <f t="array" ref="E4948">IF(D4948="","",IF(D4948=1,0,INDEX(Calculation!Q$2:Q9627,D4948-1)))</f>
        <v/>
      </c>
      <c r="F4948" s="29" t="str">
        <f t="array" ref="F4948">IF($A4948="","",
  LET(
    r, $D4948,
    startD, INDEX(Calculation!B$2:B9627, r),
    endD,   INDEX(Calculation!C$2:C9627, r),
    asOf,   MIN($A4948,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49">
      <c r="A4949" s="28"/>
      <c r="B4949" s="29"/>
      <c r="C4949" s="29" t="str">
        <f t="shared" si="1"/>
        <v/>
      </c>
      <c r="D4949" s="6" t="str">
        <f>IF(A4949="","",MATCH(A4949,Calculation!B$2:B9627,1))</f>
        <v/>
      </c>
      <c r="E4949" s="29" t="str">
        <f t="array" ref="E4949">IF(D4949="","",IF(D4949=1,0,INDEX(Calculation!Q$2:Q9627,D4949-1)))</f>
        <v/>
      </c>
      <c r="F4949" s="29" t="str">
        <f t="array" ref="F4949">IF($A4949="","",
  LET(
    r, $D4949,
    startD, INDEX(Calculation!B$2:B9627, r),
    endD,   INDEX(Calculation!C$2:C9627, r),
    asOf,   MIN($A4949,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50">
      <c r="A4950" s="28"/>
      <c r="B4950" s="29"/>
      <c r="C4950" s="29" t="str">
        <f t="shared" si="1"/>
        <v/>
      </c>
      <c r="D4950" s="6" t="str">
        <f>IF(A4950="","",MATCH(A4950,Calculation!B$2:B9627,1))</f>
        <v/>
      </c>
      <c r="E4950" s="29" t="str">
        <f t="array" ref="E4950">IF(D4950="","",IF(D4950=1,0,INDEX(Calculation!Q$2:Q9627,D4950-1)))</f>
        <v/>
      </c>
      <c r="F4950" s="29" t="str">
        <f t="array" ref="F4950">IF($A4950="","",
  LET(
    r, $D4950,
    startD, INDEX(Calculation!B$2:B9627, r),
    endD,   INDEX(Calculation!C$2:C9627, r),
    asOf,   MIN($A4950,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51">
      <c r="A4951" s="28"/>
      <c r="B4951" s="29"/>
      <c r="C4951" s="29" t="str">
        <f t="shared" si="1"/>
        <v/>
      </c>
      <c r="D4951" s="6" t="str">
        <f>IF(A4951="","",MATCH(A4951,Calculation!B$2:B9627,1))</f>
        <v/>
      </c>
      <c r="E4951" s="29" t="str">
        <f t="array" ref="E4951">IF(D4951="","",IF(D4951=1,0,INDEX(Calculation!Q$2:Q9627,D4951-1)))</f>
        <v/>
      </c>
      <c r="F4951" s="29" t="str">
        <f t="array" ref="F4951">IF($A4951="","",
  LET(
    r, $D4951,
    startD, INDEX(Calculation!B$2:B9627, r),
    endD,   INDEX(Calculation!C$2:C9627, r),
    asOf,   MIN($A4951,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52">
      <c r="A4952" s="28"/>
      <c r="B4952" s="29"/>
      <c r="C4952" s="29" t="str">
        <f t="shared" si="1"/>
        <v/>
      </c>
      <c r="D4952" s="6" t="str">
        <f>IF(A4952="","",MATCH(A4952,Calculation!B$2:B9627,1))</f>
        <v/>
      </c>
      <c r="E4952" s="29" t="str">
        <f t="array" ref="E4952">IF(D4952="","",IF(D4952=1,0,INDEX(Calculation!Q$2:Q9627,D4952-1)))</f>
        <v/>
      </c>
      <c r="F4952" s="29" t="str">
        <f t="array" ref="F4952">IF($A4952="","",
  LET(
    r, $D4952,
    startD, INDEX(Calculation!B$2:B9627, r),
    endD,   INDEX(Calculation!C$2:C9627, r),
    asOf,   MIN($A4952,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53">
      <c r="A4953" s="28"/>
      <c r="B4953" s="29"/>
      <c r="C4953" s="29" t="str">
        <f t="shared" si="1"/>
        <v/>
      </c>
      <c r="D4953" s="6" t="str">
        <f>IF(A4953="","",MATCH(A4953,Calculation!B$2:B9627,1))</f>
        <v/>
      </c>
      <c r="E4953" s="29" t="str">
        <f t="array" ref="E4953">IF(D4953="","",IF(D4953=1,0,INDEX(Calculation!Q$2:Q9627,D4953-1)))</f>
        <v/>
      </c>
      <c r="F4953" s="29" t="str">
        <f t="array" ref="F4953">IF($A4953="","",
  LET(
    r, $D4953,
    startD, INDEX(Calculation!B$2:B9627, r),
    endD,   INDEX(Calculation!C$2:C9627, r),
    asOf,   MIN($A4953,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54">
      <c r="A4954" s="28"/>
      <c r="B4954" s="29"/>
      <c r="C4954" s="29" t="str">
        <f t="shared" si="1"/>
        <v/>
      </c>
      <c r="D4954" s="6" t="str">
        <f>IF(A4954="","",MATCH(A4954,Calculation!B$2:B9627,1))</f>
        <v/>
      </c>
      <c r="E4954" s="29" t="str">
        <f t="array" ref="E4954">IF(D4954="","",IF(D4954=1,0,INDEX(Calculation!Q$2:Q9627,D4954-1)))</f>
        <v/>
      </c>
      <c r="F4954" s="29" t="str">
        <f t="array" ref="F4954">IF($A4954="","",
  LET(
    r, $D4954,
    startD, INDEX(Calculation!B$2:B9627, r),
    endD,   INDEX(Calculation!C$2:C9627, r),
    asOf,   MIN($A4954,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55">
      <c r="A4955" s="28"/>
      <c r="B4955" s="29"/>
      <c r="C4955" s="29" t="str">
        <f t="shared" si="1"/>
        <v/>
      </c>
      <c r="D4955" s="6" t="str">
        <f>IF(A4955="","",MATCH(A4955,Calculation!B$2:B9627,1))</f>
        <v/>
      </c>
      <c r="E4955" s="29" t="str">
        <f t="array" ref="E4955">IF(D4955="","",IF(D4955=1,0,INDEX(Calculation!Q$2:Q9627,D4955-1)))</f>
        <v/>
      </c>
      <c r="F4955" s="29" t="str">
        <f t="array" ref="F4955">IF($A4955="","",
  LET(
    r, $D4955,
    startD, INDEX(Calculation!B$2:B9627, r),
    endD,   INDEX(Calculation!C$2:C9627, r),
    asOf,   MIN($A4955,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56">
      <c r="A4956" s="28"/>
      <c r="B4956" s="29"/>
      <c r="C4956" s="29" t="str">
        <f t="shared" si="1"/>
        <v/>
      </c>
      <c r="D4956" s="6" t="str">
        <f>IF(A4956="","",MATCH(A4956,Calculation!B$2:B9627,1))</f>
        <v/>
      </c>
      <c r="E4956" s="29" t="str">
        <f t="array" ref="E4956">IF(D4956="","",IF(D4956=1,0,INDEX(Calculation!Q$2:Q9627,D4956-1)))</f>
        <v/>
      </c>
      <c r="F4956" s="29" t="str">
        <f t="array" ref="F4956">IF($A4956="","",
  LET(
    r, $D4956,
    startD, INDEX(Calculation!B$2:B9627, r),
    endD,   INDEX(Calculation!C$2:C9627, r),
    asOf,   MIN($A4956,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57">
      <c r="A4957" s="28"/>
      <c r="B4957" s="29"/>
      <c r="C4957" s="29" t="str">
        <f t="shared" si="1"/>
        <v/>
      </c>
      <c r="D4957" s="6" t="str">
        <f>IF(A4957="","",MATCH(A4957,Calculation!B$2:B9627,1))</f>
        <v/>
      </c>
      <c r="E4957" s="29" t="str">
        <f t="array" ref="E4957">IF(D4957="","",IF(D4957=1,0,INDEX(Calculation!Q$2:Q9627,D4957-1)))</f>
        <v/>
      </c>
      <c r="F4957" s="29" t="str">
        <f t="array" ref="F4957">IF($A4957="","",
  LET(
    r, $D4957,
    startD, INDEX(Calculation!B$2:B9627, r),
    endD,   INDEX(Calculation!C$2:C9627, r),
    asOf,   MIN($A4957,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58">
      <c r="A4958" s="28"/>
      <c r="B4958" s="29"/>
      <c r="C4958" s="29" t="str">
        <f t="shared" si="1"/>
        <v/>
      </c>
      <c r="D4958" s="6" t="str">
        <f>IF(A4958="","",MATCH(A4958,Calculation!B$2:B9627,1))</f>
        <v/>
      </c>
      <c r="E4958" s="29" t="str">
        <f t="array" ref="E4958">IF(D4958="","",IF(D4958=1,0,INDEX(Calculation!Q$2:Q9627,D4958-1)))</f>
        <v/>
      </c>
      <c r="F4958" s="29" t="str">
        <f t="array" ref="F4958">IF($A4958="","",
  LET(
    r, $D4958,
    startD, INDEX(Calculation!B$2:B9627, r),
    endD,   INDEX(Calculation!C$2:C9627, r),
    asOf,   MIN($A4958,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59">
      <c r="A4959" s="28"/>
      <c r="B4959" s="29"/>
      <c r="C4959" s="29" t="str">
        <f t="shared" si="1"/>
        <v/>
      </c>
      <c r="D4959" s="6" t="str">
        <f>IF(A4959="","",MATCH(A4959,Calculation!B$2:B9627,1))</f>
        <v/>
      </c>
      <c r="E4959" s="29" t="str">
        <f t="array" ref="E4959">IF(D4959="","",IF(D4959=1,0,INDEX(Calculation!Q$2:Q9627,D4959-1)))</f>
        <v/>
      </c>
      <c r="F4959" s="29" t="str">
        <f t="array" ref="F4959">IF($A4959="","",
  LET(
    r, $D4959,
    startD, INDEX(Calculation!B$2:B9627, r),
    endD,   INDEX(Calculation!C$2:C9627, r),
    asOf,   MIN($A4959,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60">
      <c r="A4960" s="28"/>
      <c r="B4960" s="29"/>
      <c r="C4960" s="29" t="str">
        <f t="shared" si="1"/>
        <v/>
      </c>
      <c r="D4960" s="6" t="str">
        <f>IF(A4960="","",MATCH(A4960,Calculation!B$2:B9627,1))</f>
        <v/>
      </c>
      <c r="E4960" s="29" t="str">
        <f t="array" ref="E4960">IF(D4960="","",IF(D4960=1,0,INDEX(Calculation!Q$2:Q9627,D4960-1)))</f>
        <v/>
      </c>
      <c r="F4960" s="29" t="str">
        <f t="array" ref="F4960">IF($A4960="","",
  LET(
    r, $D4960,
    startD, INDEX(Calculation!B$2:B9627, r),
    endD,   INDEX(Calculation!C$2:C9627, r),
    asOf,   MIN($A4960,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61">
      <c r="A4961" s="28"/>
      <c r="B4961" s="29"/>
      <c r="C4961" s="29" t="str">
        <f t="shared" si="1"/>
        <v/>
      </c>
      <c r="D4961" s="6" t="str">
        <f>IF(A4961="","",MATCH(A4961,Calculation!B$2:B9627,1))</f>
        <v/>
      </c>
      <c r="E4961" s="29" t="str">
        <f t="array" ref="E4961">IF(D4961="","",IF(D4961=1,0,INDEX(Calculation!Q$2:Q9627,D4961-1)))</f>
        <v/>
      </c>
      <c r="F4961" s="29" t="str">
        <f t="array" ref="F4961">IF($A4961="","",
  LET(
    r, $D4961,
    startD, INDEX(Calculation!B$2:B9627, r),
    endD,   INDEX(Calculation!C$2:C9627, r),
    asOf,   MIN($A4961,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62">
      <c r="A4962" s="28"/>
      <c r="B4962" s="29"/>
      <c r="C4962" s="29" t="str">
        <f t="shared" si="1"/>
        <v/>
      </c>
      <c r="D4962" s="6" t="str">
        <f>IF(A4962="","",MATCH(A4962,Calculation!B$2:B9627,1))</f>
        <v/>
      </c>
      <c r="E4962" s="29" t="str">
        <f t="array" ref="E4962">IF(D4962="","",IF(D4962=1,0,INDEX(Calculation!Q$2:Q9627,D4962-1)))</f>
        <v/>
      </c>
      <c r="F4962" s="29" t="str">
        <f t="array" ref="F4962">IF($A4962="","",
  LET(
    r, $D4962,
    startD, INDEX(Calculation!B$2:B9627, r),
    endD,   INDEX(Calculation!C$2:C9627, r),
    asOf,   MIN($A4962,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63">
      <c r="A4963" s="28"/>
      <c r="B4963" s="29"/>
      <c r="C4963" s="29" t="str">
        <f t="shared" si="1"/>
        <v/>
      </c>
      <c r="D4963" s="6" t="str">
        <f>IF(A4963="","",MATCH(A4963,Calculation!B$2:B9627,1))</f>
        <v/>
      </c>
      <c r="E4963" s="29" t="str">
        <f t="array" ref="E4963">IF(D4963="","",IF(D4963=1,0,INDEX(Calculation!Q$2:Q9627,D4963-1)))</f>
        <v/>
      </c>
      <c r="F4963" s="29" t="str">
        <f t="array" ref="F4963">IF($A4963="","",
  LET(
    r, $D4963,
    startD, INDEX(Calculation!B$2:B9627, r),
    endD,   INDEX(Calculation!C$2:C9627, r),
    asOf,   MIN($A4963,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64">
      <c r="A4964" s="28"/>
      <c r="B4964" s="29"/>
      <c r="C4964" s="29" t="str">
        <f t="shared" si="1"/>
        <v/>
      </c>
      <c r="D4964" s="6" t="str">
        <f>IF(A4964="","",MATCH(A4964,Calculation!B$2:B9627,1))</f>
        <v/>
      </c>
      <c r="E4964" s="29" t="str">
        <f t="array" ref="E4964">IF(D4964="","",IF(D4964=1,0,INDEX(Calculation!Q$2:Q9627,D4964-1)))</f>
        <v/>
      </c>
      <c r="F4964" s="29" t="str">
        <f t="array" ref="F4964">IF($A4964="","",
  LET(
    r, $D4964,
    startD, INDEX(Calculation!B$2:B9627, r),
    endD,   INDEX(Calculation!C$2:C9627, r),
    asOf,   MIN($A4964,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65">
      <c r="A4965" s="28"/>
      <c r="B4965" s="29"/>
      <c r="C4965" s="29" t="str">
        <f t="shared" si="1"/>
        <v/>
      </c>
      <c r="D4965" s="6" t="str">
        <f>IF(A4965="","",MATCH(A4965,Calculation!B$2:B9627,1))</f>
        <v/>
      </c>
      <c r="E4965" s="29" t="str">
        <f t="array" ref="E4965">IF(D4965="","",IF(D4965=1,0,INDEX(Calculation!Q$2:Q9627,D4965-1)))</f>
        <v/>
      </c>
      <c r="F4965" s="29" t="str">
        <f t="array" ref="F4965">IF($A4965="","",
  LET(
    r, $D4965,
    startD, INDEX(Calculation!B$2:B9627, r),
    endD,   INDEX(Calculation!C$2:C9627, r),
    asOf,   MIN($A4965,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66">
      <c r="A4966" s="28"/>
      <c r="B4966" s="29"/>
      <c r="C4966" s="29" t="str">
        <f t="shared" si="1"/>
        <v/>
      </c>
      <c r="D4966" s="6" t="str">
        <f>IF(A4966="","",MATCH(A4966,Calculation!B$2:B9627,1))</f>
        <v/>
      </c>
      <c r="E4966" s="29" t="str">
        <f t="array" ref="E4966">IF(D4966="","",IF(D4966=1,0,INDEX(Calculation!Q$2:Q9627,D4966-1)))</f>
        <v/>
      </c>
      <c r="F4966" s="29" t="str">
        <f t="array" ref="F4966">IF($A4966="","",
  LET(
    r, $D4966,
    startD, INDEX(Calculation!B$2:B9627, r),
    endD,   INDEX(Calculation!C$2:C9627, r),
    asOf,   MIN($A4966,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67">
      <c r="A4967" s="28"/>
      <c r="B4967" s="29"/>
      <c r="C4967" s="29" t="str">
        <f t="shared" si="1"/>
        <v/>
      </c>
      <c r="D4967" s="6" t="str">
        <f>IF(A4967="","",MATCH(A4967,Calculation!B$2:B9627,1))</f>
        <v/>
      </c>
      <c r="E4967" s="29" t="str">
        <f t="array" ref="E4967">IF(D4967="","",IF(D4967=1,0,INDEX(Calculation!Q$2:Q9627,D4967-1)))</f>
        <v/>
      </c>
      <c r="F4967" s="29" t="str">
        <f t="array" ref="F4967">IF($A4967="","",
  LET(
    r, $D4967,
    startD, INDEX(Calculation!B$2:B9627, r),
    endD,   INDEX(Calculation!C$2:C9627, r),
    asOf,   MIN($A4967,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68">
      <c r="A4968" s="28"/>
      <c r="B4968" s="29"/>
      <c r="C4968" s="29" t="str">
        <f t="shared" si="1"/>
        <v/>
      </c>
      <c r="D4968" s="6" t="str">
        <f>IF(A4968="","",MATCH(A4968,Calculation!B$2:B9627,1))</f>
        <v/>
      </c>
      <c r="E4968" s="29" t="str">
        <f t="array" ref="E4968">IF(D4968="","",IF(D4968=1,0,INDEX(Calculation!Q$2:Q9627,D4968-1)))</f>
        <v/>
      </c>
      <c r="F4968" s="29" t="str">
        <f t="array" ref="F4968">IF($A4968="","",
  LET(
    r, $D4968,
    startD, INDEX(Calculation!B$2:B9627, r),
    endD,   INDEX(Calculation!C$2:C9627, r),
    asOf,   MIN($A4968,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69">
      <c r="A4969" s="28"/>
      <c r="B4969" s="29"/>
      <c r="C4969" s="29" t="str">
        <f t="shared" si="1"/>
        <v/>
      </c>
      <c r="D4969" s="6" t="str">
        <f>IF(A4969="","",MATCH(A4969,Calculation!B$2:B9627,1))</f>
        <v/>
      </c>
      <c r="E4969" s="29" t="str">
        <f t="array" ref="E4969">IF(D4969="","",IF(D4969=1,0,INDEX(Calculation!Q$2:Q9627,D4969-1)))</f>
        <v/>
      </c>
      <c r="F4969" s="29" t="str">
        <f t="array" ref="F4969">IF($A4969="","",
  LET(
    r, $D4969,
    startD, INDEX(Calculation!B$2:B9627, r),
    endD,   INDEX(Calculation!C$2:C9627, r),
    asOf,   MIN($A4969,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70">
      <c r="A4970" s="28"/>
      <c r="B4970" s="29"/>
      <c r="C4970" s="29" t="str">
        <f t="shared" si="1"/>
        <v/>
      </c>
      <c r="D4970" s="6" t="str">
        <f>IF(A4970="","",MATCH(A4970,Calculation!B$2:B9627,1))</f>
        <v/>
      </c>
      <c r="E4970" s="29" t="str">
        <f t="array" ref="E4970">IF(D4970="","",IF(D4970=1,0,INDEX(Calculation!Q$2:Q9627,D4970-1)))</f>
        <v/>
      </c>
      <c r="F4970" s="29" t="str">
        <f t="array" ref="F4970">IF($A4970="","",
  LET(
    r, $D4970,
    startD, INDEX(Calculation!B$2:B9627, r),
    endD,   INDEX(Calculation!C$2:C9627, r),
    asOf,   MIN($A4970,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71">
      <c r="A4971" s="28"/>
      <c r="B4971" s="29"/>
      <c r="C4971" s="29" t="str">
        <f t="shared" si="1"/>
        <v/>
      </c>
      <c r="D4971" s="6" t="str">
        <f>IF(A4971="","",MATCH(A4971,Calculation!B$2:B9627,1))</f>
        <v/>
      </c>
      <c r="E4971" s="29" t="str">
        <f t="array" ref="E4971">IF(D4971="","",IF(D4971=1,0,INDEX(Calculation!Q$2:Q9627,D4971-1)))</f>
        <v/>
      </c>
      <c r="F4971" s="29" t="str">
        <f t="array" ref="F4971">IF($A4971="","",
  LET(
    r, $D4971,
    startD, INDEX(Calculation!B$2:B9627, r),
    endD,   INDEX(Calculation!C$2:C9627, r),
    asOf,   MIN($A4971,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72">
      <c r="A4972" s="28"/>
      <c r="B4972" s="29"/>
      <c r="C4972" s="29" t="str">
        <f t="shared" si="1"/>
        <v/>
      </c>
      <c r="D4972" s="6" t="str">
        <f>IF(A4972="","",MATCH(A4972,Calculation!B$2:B9627,1))</f>
        <v/>
      </c>
      <c r="E4972" s="29" t="str">
        <f t="array" ref="E4972">IF(D4972="","",IF(D4972=1,0,INDEX(Calculation!Q$2:Q9627,D4972-1)))</f>
        <v/>
      </c>
      <c r="F4972" s="29" t="str">
        <f t="array" ref="F4972">IF($A4972="","",
  LET(
    r, $D4972,
    startD, INDEX(Calculation!B$2:B9627, r),
    endD,   INDEX(Calculation!C$2:C9627, r),
    asOf,   MIN($A4972,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73">
      <c r="A4973" s="28"/>
      <c r="B4973" s="29"/>
      <c r="C4973" s="29" t="str">
        <f t="shared" si="1"/>
        <v/>
      </c>
      <c r="D4973" s="6" t="str">
        <f>IF(A4973="","",MATCH(A4973,Calculation!B$2:B9627,1))</f>
        <v/>
      </c>
      <c r="E4973" s="29" t="str">
        <f t="array" ref="E4973">IF(D4973="","",IF(D4973=1,0,INDEX(Calculation!Q$2:Q9627,D4973-1)))</f>
        <v/>
      </c>
      <c r="F4973" s="29" t="str">
        <f t="array" ref="F4973">IF($A4973="","",
  LET(
    r, $D4973,
    startD, INDEX(Calculation!B$2:B9627, r),
    endD,   INDEX(Calculation!C$2:C9627, r),
    asOf,   MIN($A4973,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74">
      <c r="A4974" s="28"/>
      <c r="B4974" s="29"/>
      <c r="C4974" s="29" t="str">
        <f t="shared" si="1"/>
        <v/>
      </c>
      <c r="D4974" s="6" t="str">
        <f>IF(A4974="","",MATCH(A4974,Calculation!B$2:B9627,1))</f>
        <v/>
      </c>
      <c r="E4974" s="29" t="str">
        <f t="array" ref="E4974">IF(D4974="","",IF(D4974=1,0,INDEX(Calculation!Q$2:Q9627,D4974-1)))</f>
        <v/>
      </c>
      <c r="F4974" s="29" t="str">
        <f t="array" ref="F4974">IF($A4974="","",
  LET(
    r, $D4974,
    startD, INDEX(Calculation!B$2:B9627, r),
    endD,   INDEX(Calculation!C$2:C9627, r),
    asOf,   MIN($A4974,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75">
      <c r="A4975" s="28"/>
      <c r="B4975" s="29"/>
      <c r="C4975" s="29" t="str">
        <f t="shared" si="1"/>
        <v/>
      </c>
      <c r="D4975" s="6" t="str">
        <f>IF(A4975="","",MATCH(A4975,Calculation!B$2:B9627,1))</f>
        <v/>
      </c>
      <c r="E4975" s="29" t="str">
        <f t="array" ref="E4975">IF(D4975="","",IF(D4975=1,0,INDEX(Calculation!Q$2:Q9627,D4975-1)))</f>
        <v/>
      </c>
      <c r="F4975" s="29" t="str">
        <f t="array" ref="F4975">IF($A4975="","",
  LET(
    r, $D4975,
    startD, INDEX(Calculation!B$2:B9627, r),
    endD,   INDEX(Calculation!C$2:C9627, r),
    asOf,   MIN($A4975,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76">
      <c r="A4976" s="28"/>
      <c r="B4976" s="29"/>
      <c r="C4976" s="29" t="str">
        <f t="shared" si="1"/>
        <v/>
      </c>
      <c r="D4976" s="6" t="str">
        <f>IF(A4976="","",MATCH(A4976,Calculation!B$2:B9627,1))</f>
        <v/>
      </c>
      <c r="E4976" s="29" t="str">
        <f t="array" ref="E4976">IF(D4976="","",IF(D4976=1,0,INDEX(Calculation!Q$2:Q9627,D4976-1)))</f>
        <v/>
      </c>
      <c r="F4976" s="29" t="str">
        <f t="array" ref="F4976">IF($A4976="","",
  LET(
    r, $D4976,
    startD, INDEX(Calculation!B$2:B9627, r),
    endD,   INDEX(Calculation!C$2:C9627, r),
    asOf,   MIN($A4976,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77">
      <c r="A4977" s="28"/>
      <c r="B4977" s="29"/>
      <c r="C4977" s="29" t="str">
        <f t="shared" si="1"/>
        <v/>
      </c>
      <c r="D4977" s="6" t="str">
        <f>IF(A4977="","",MATCH(A4977,Calculation!B$2:B9627,1))</f>
        <v/>
      </c>
      <c r="E4977" s="29" t="str">
        <f t="array" ref="E4977">IF(D4977="","",IF(D4977=1,0,INDEX(Calculation!Q$2:Q9627,D4977-1)))</f>
        <v/>
      </c>
      <c r="F4977" s="29" t="str">
        <f t="array" ref="F4977">IF($A4977="","",
  LET(
    r, $D4977,
    startD, INDEX(Calculation!B$2:B9627, r),
    endD,   INDEX(Calculation!C$2:C9627, r),
    asOf,   MIN($A4977,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78">
      <c r="A4978" s="28"/>
      <c r="B4978" s="29"/>
      <c r="C4978" s="29" t="str">
        <f t="shared" si="1"/>
        <v/>
      </c>
      <c r="D4978" s="6" t="str">
        <f>IF(A4978="","",MATCH(A4978,Calculation!B$2:B9627,1))</f>
        <v/>
      </c>
      <c r="E4978" s="29" t="str">
        <f t="array" ref="E4978">IF(D4978="","",IF(D4978=1,0,INDEX(Calculation!Q$2:Q9627,D4978-1)))</f>
        <v/>
      </c>
      <c r="F4978" s="29" t="str">
        <f t="array" ref="F4978">IF($A4978="","",
  LET(
    r, $D4978,
    startD, INDEX(Calculation!B$2:B9627, r),
    endD,   INDEX(Calculation!C$2:C9627, r),
    asOf,   MIN($A4978,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79">
      <c r="A4979" s="28"/>
      <c r="B4979" s="29"/>
      <c r="C4979" s="29" t="str">
        <f t="shared" si="1"/>
        <v/>
      </c>
      <c r="D4979" s="6" t="str">
        <f>IF(A4979="","",MATCH(A4979,Calculation!B$2:B9627,1))</f>
        <v/>
      </c>
      <c r="E4979" s="29" t="str">
        <f t="array" ref="E4979">IF(D4979="","",IF(D4979=1,0,INDEX(Calculation!Q$2:Q9627,D4979-1)))</f>
        <v/>
      </c>
      <c r="F4979" s="29" t="str">
        <f t="array" ref="F4979">IF($A4979="","",
  LET(
    r, $D4979,
    startD, INDEX(Calculation!B$2:B9627, r),
    endD,   INDEX(Calculation!C$2:C9627, r),
    asOf,   MIN($A4979,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80">
      <c r="A4980" s="28"/>
      <c r="B4980" s="29"/>
      <c r="C4980" s="29" t="str">
        <f t="shared" si="1"/>
        <v/>
      </c>
      <c r="D4980" s="6" t="str">
        <f>IF(A4980="","",MATCH(A4980,Calculation!B$2:B9627,1))</f>
        <v/>
      </c>
      <c r="E4980" s="29" t="str">
        <f t="array" ref="E4980">IF(D4980="","",IF(D4980=1,0,INDEX(Calculation!Q$2:Q9627,D4980-1)))</f>
        <v/>
      </c>
      <c r="F4980" s="29" t="str">
        <f t="array" ref="F4980">IF($A4980="","",
  LET(
    r, $D4980,
    startD, INDEX(Calculation!B$2:B9627, r),
    endD,   INDEX(Calculation!C$2:C9627, r),
    asOf,   MIN($A4980,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81">
      <c r="A4981" s="28"/>
      <c r="B4981" s="29"/>
      <c r="C4981" s="29" t="str">
        <f t="shared" si="1"/>
        <v/>
      </c>
      <c r="D4981" s="6" t="str">
        <f>IF(A4981="","",MATCH(A4981,Calculation!B$2:B9627,1))</f>
        <v/>
      </c>
      <c r="E4981" s="29" t="str">
        <f t="array" ref="E4981">IF(D4981="","",IF(D4981=1,0,INDEX(Calculation!Q$2:Q9627,D4981-1)))</f>
        <v/>
      </c>
      <c r="F4981" s="29" t="str">
        <f t="array" ref="F4981">IF($A4981="","",
  LET(
    r, $D4981,
    startD, INDEX(Calculation!B$2:B9627, r),
    endD,   INDEX(Calculation!C$2:C9627, r),
    asOf,   MIN($A4981,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82">
      <c r="A4982" s="28"/>
      <c r="B4982" s="29"/>
      <c r="C4982" s="29" t="str">
        <f t="shared" si="1"/>
        <v/>
      </c>
      <c r="D4982" s="6" t="str">
        <f>IF(A4982="","",MATCH(A4982,Calculation!B$2:B9627,1))</f>
        <v/>
      </c>
      <c r="E4982" s="29" t="str">
        <f t="array" ref="E4982">IF(D4982="","",IF(D4982=1,0,INDEX(Calculation!Q$2:Q9627,D4982-1)))</f>
        <v/>
      </c>
      <c r="F4982" s="29" t="str">
        <f t="array" ref="F4982">IF($A4982="","",
  LET(
    r, $D4982,
    startD, INDEX(Calculation!B$2:B9627, r),
    endD,   INDEX(Calculation!C$2:C9627, r),
    asOf,   MIN($A4982,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83">
      <c r="A4983" s="28"/>
      <c r="B4983" s="29"/>
      <c r="C4983" s="29" t="str">
        <f t="shared" si="1"/>
        <v/>
      </c>
      <c r="D4983" s="6" t="str">
        <f>IF(A4983="","",MATCH(A4983,Calculation!B$2:B9627,1))</f>
        <v/>
      </c>
      <c r="E4983" s="29" t="str">
        <f t="array" ref="E4983">IF(D4983="","",IF(D4983=1,0,INDEX(Calculation!Q$2:Q9627,D4983-1)))</f>
        <v/>
      </c>
      <c r="F4983" s="29" t="str">
        <f t="array" ref="F4983">IF($A4983="","",
  LET(
    r, $D4983,
    startD, INDEX(Calculation!B$2:B9627, r),
    endD,   INDEX(Calculation!C$2:C9627, r),
    asOf,   MIN($A4983,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84">
      <c r="A4984" s="28"/>
      <c r="B4984" s="29"/>
      <c r="C4984" s="29" t="str">
        <f t="shared" si="1"/>
        <v/>
      </c>
      <c r="D4984" s="6" t="str">
        <f>IF(A4984="","",MATCH(A4984,Calculation!B$2:B9627,1))</f>
        <v/>
      </c>
      <c r="E4984" s="29" t="str">
        <f t="array" ref="E4984">IF(D4984="","",IF(D4984=1,0,INDEX(Calculation!Q$2:Q9627,D4984-1)))</f>
        <v/>
      </c>
      <c r="F4984" s="29" t="str">
        <f t="array" ref="F4984">IF($A4984="","",
  LET(
    r, $D4984,
    startD, INDEX(Calculation!B$2:B9627, r),
    endD,   INDEX(Calculation!C$2:C9627, r),
    asOf,   MIN($A4984,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85">
      <c r="A4985" s="28"/>
      <c r="B4985" s="29"/>
      <c r="C4985" s="29" t="str">
        <f t="shared" si="1"/>
        <v/>
      </c>
      <c r="D4985" s="6" t="str">
        <f>IF(A4985="","",MATCH(A4985,Calculation!B$2:B9627,1))</f>
        <v/>
      </c>
      <c r="E4985" s="29" t="str">
        <f t="array" ref="E4985">IF(D4985="","",IF(D4985=1,0,INDEX(Calculation!Q$2:Q9627,D4985-1)))</f>
        <v/>
      </c>
      <c r="F4985" s="29" t="str">
        <f t="array" ref="F4985">IF($A4985="","",
  LET(
    r, $D4985,
    startD, INDEX(Calculation!B$2:B9627, r),
    endD,   INDEX(Calculation!C$2:C9627, r),
    asOf,   MIN($A4985,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86">
      <c r="A4986" s="28"/>
      <c r="B4986" s="29"/>
      <c r="C4986" s="29" t="str">
        <f t="shared" si="1"/>
        <v/>
      </c>
      <c r="D4986" s="6" t="str">
        <f>IF(A4986="","",MATCH(A4986,Calculation!B$2:B9627,1))</f>
        <v/>
      </c>
      <c r="E4986" s="29" t="str">
        <f t="array" ref="E4986">IF(D4986="","",IF(D4986=1,0,INDEX(Calculation!Q$2:Q9627,D4986-1)))</f>
        <v/>
      </c>
      <c r="F4986" s="29" t="str">
        <f t="array" ref="F4986">IF($A4986="","",
  LET(
    r, $D4986,
    startD, INDEX(Calculation!B$2:B9627, r),
    endD,   INDEX(Calculation!C$2:C9627, r),
    asOf,   MIN($A4986,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87">
      <c r="A4987" s="28"/>
      <c r="B4987" s="29"/>
      <c r="C4987" s="29" t="str">
        <f t="shared" si="1"/>
        <v/>
      </c>
      <c r="D4987" s="6" t="str">
        <f>IF(A4987="","",MATCH(A4987,Calculation!B$2:B9627,1))</f>
        <v/>
      </c>
      <c r="E4987" s="29" t="str">
        <f t="array" ref="E4987">IF(D4987="","",IF(D4987=1,0,INDEX(Calculation!Q$2:Q9627,D4987-1)))</f>
        <v/>
      </c>
      <c r="F4987" s="29" t="str">
        <f t="array" ref="F4987">IF($A4987="","",
  LET(
    r, $D4987,
    startD, INDEX(Calculation!B$2:B9627, r),
    endD,   INDEX(Calculation!C$2:C9627, r),
    asOf,   MIN($A4987,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88">
      <c r="A4988" s="28"/>
      <c r="B4988" s="29"/>
      <c r="C4988" s="29" t="str">
        <f t="shared" si="1"/>
        <v/>
      </c>
      <c r="D4988" s="6" t="str">
        <f>IF(A4988="","",MATCH(A4988,Calculation!B$2:B9627,1))</f>
        <v/>
      </c>
      <c r="E4988" s="29" t="str">
        <f t="array" ref="E4988">IF(D4988="","",IF(D4988=1,0,INDEX(Calculation!Q$2:Q9627,D4988-1)))</f>
        <v/>
      </c>
      <c r="F4988" s="29" t="str">
        <f t="array" ref="F4988">IF($A4988="","",
  LET(
    r, $D4988,
    startD, INDEX(Calculation!B$2:B9627, r),
    endD,   INDEX(Calculation!C$2:C9627, r),
    asOf,   MIN($A4988,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89">
      <c r="A4989" s="28"/>
      <c r="B4989" s="29"/>
      <c r="C4989" s="29" t="str">
        <f t="shared" si="1"/>
        <v/>
      </c>
      <c r="D4989" s="6" t="str">
        <f>IF(A4989="","",MATCH(A4989,Calculation!B$2:B9627,1))</f>
        <v/>
      </c>
      <c r="E4989" s="29" t="str">
        <f t="array" ref="E4989">IF(D4989="","",IF(D4989=1,0,INDEX(Calculation!Q$2:Q9627,D4989-1)))</f>
        <v/>
      </c>
      <c r="F4989" s="29" t="str">
        <f t="array" ref="F4989">IF($A4989="","",
  LET(
    r, $D4989,
    startD, INDEX(Calculation!B$2:B9627, r),
    endD,   INDEX(Calculation!C$2:C9627, r),
    asOf,   MIN($A4989,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90">
      <c r="A4990" s="28"/>
      <c r="B4990" s="29"/>
      <c r="C4990" s="29" t="str">
        <f t="shared" si="1"/>
        <v/>
      </c>
      <c r="D4990" s="6" t="str">
        <f>IF(A4990="","",MATCH(A4990,Calculation!B$2:B9627,1))</f>
        <v/>
      </c>
      <c r="E4990" s="29" t="str">
        <f t="array" ref="E4990">IF(D4990="","",IF(D4990=1,0,INDEX(Calculation!Q$2:Q9627,D4990-1)))</f>
        <v/>
      </c>
      <c r="F4990" s="29" t="str">
        <f t="array" ref="F4990">IF($A4990="","",
  LET(
    r, $D4990,
    startD, INDEX(Calculation!B$2:B9627, r),
    endD,   INDEX(Calculation!C$2:C9627, r),
    asOf,   MIN($A4990,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91">
      <c r="A4991" s="28"/>
      <c r="B4991" s="29"/>
      <c r="C4991" s="29" t="str">
        <f t="shared" si="1"/>
        <v/>
      </c>
      <c r="D4991" s="6" t="str">
        <f>IF(A4991="","",MATCH(A4991,Calculation!B$2:B9627,1))</f>
        <v/>
      </c>
      <c r="E4991" s="29" t="str">
        <f t="array" ref="E4991">IF(D4991="","",IF(D4991=1,0,INDEX(Calculation!Q$2:Q9627,D4991-1)))</f>
        <v/>
      </c>
      <c r="F4991" s="29" t="str">
        <f t="array" ref="F4991">IF($A4991="","",
  LET(
    r, $D4991,
    startD, INDEX(Calculation!B$2:B9627, r),
    endD,   INDEX(Calculation!C$2:C9627, r),
    asOf,   MIN($A4991,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92">
      <c r="A4992" s="28"/>
      <c r="B4992" s="29"/>
      <c r="C4992" s="29" t="str">
        <f t="shared" si="1"/>
        <v/>
      </c>
      <c r="D4992" s="6" t="str">
        <f>IF(A4992="","",MATCH(A4992,Calculation!B$2:B9627,1))</f>
        <v/>
      </c>
      <c r="E4992" s="29" t="str">
        <f t="array" ref="E4992">IF(D4992="","",IF(D4992=1,0,INDEX(Calculation!Q$2:Q9627,D4992-1)))</f>
        <v/>
      </c>
      <c r="F4992" s="29" t="str">
        <f t="array" ref="F4992">IF($A4992="","",
  LET(
    r, $D4992,
    startD, INDEX(Calculation!B$2:B9627, r),
    endD,   INDEX(Calculation!C$2:C9627, r),
    asOf,   MIN($A4992,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93">
      <c r="A4993" s="28"/>
      <c r="B4993" s="29"/>
      <c r="C4993" s="29" t="str">
        <f t="shared" si="1"/>
        <v/>
      </c>
      <c r="D4993" s="6" t="str">
        <f>IF(A4993="","",MATCH(A4993,Calculation!B$2:B9627,1))</f>
        <v/>
      </c>
      <c r="E4993" s="29" t="str">
        <f t="array" ref="E4993">IF(D4993="","",IF(D4993=1,0,INDEX(Calculation!Q$2:Q9627,D4993-1)))</f>
        <v/>
      </c>
      <c r="F4993" s="29" t="str">
        <f t="array" ref="F4993">IF($A4993="","",
  LET(
    r, $D4993,
    startD, INDEX(Calculation!B$2:B9627, r),
    endD,   INDEX(Calculation!C$2:C9627, r),
    asOf,   MIN($A4993,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94">
      <c r="A4994" s="28"/>
      <c r="B4994" s="29"/>
      <c r="C4994" s="29" t="str">
        <f t="shared" si="1"/>
        <v/>
      </c>
      <c r="D4994" s="6" t="str">
        <f>IF(A4994="","",MATCH(A4994,Calculation!B$2:B9627,1))</f>
        <v/>
      </c>
      <c r="E4994" s="29" t="str">
        <f t="array" ref="E4994">IF(D4994="","",IF(D4994=1,0,INDEX(Calculation!Q$2:Q9627,D4994-1)))</f>
        <v/>
      </c>
      <c r="F4994" s="29" t="str">
        <f t="array" ref="F4994">IF($A4994="","",
  LET(
    r, $D4994,
    startD, INDEX(Calculation!B$2:B9627, r),
    endD,   INDEX(Calculation!C$2:C9627, r),
    asOf,   MIN($A4994,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95">
      <c r="A4995" s="28"/>
      <c r="B4995" s="29"/>
      <c r="C4995" s="29" t="str">
        <f t="shared" si="1"/>
        <v/>
      </c>
      <c r="D4995" s="6" t="str">
        <f>IF(A4995="","",MATCH(A4995,Calculation!B$2:B9627,1))</f>
        <v/>
      </c>
      <c r="E4995" s="29" t="str">
        <f t="array" ref="E4995">IF(D4995="","",IF(D4995=1,0,INDEX(Calculation!Q$2:Q9627,D4995-1)))</f>
        <v/>
      </c>
      <c r="F4995" s="29" t="str">
        <f t="array" ref="F4995">IF($A4995="","",
  LET(
    r, $D4995,
    startD, INDEX(Calculation!B$2:B9627, r),
    endD,   INDEX(Calculation!C$2:C9627, r),
    asOf,   MIN($A4995,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96">
      <c r="A4996" s="28"/>
      <c r="B4996" s="29"/>
      <c r="C4996" s="29" t="str">
        <f t="shared" si="1"/>
        <v/>
      </c>
      <c r="D4996" s="6" t="str">
        <f>IF(A4996="","",MATCH(A4996,Calculation!B$2:B9627,1))</f>
        <v/>
      </c>
      <c r="E4996" s="29" t="str">
        <f t="array" ref="E4996">IF(D4996="","",IF(D4996=1,0,INDEX(Calculation!Q$2:Q9627,D4996-1)))</f>
        <v/>
      </c>
      <c r="F4996" s="29" t="str">
        <f t="array" ref="F4996">IF($A4996="","",
  LET(
    r, $D4996,
    startD, INDEX(Calculation!B$2:B9627, r),
    endD,   INDEX(Calculation!C$2:C9627, r),
    asOf,   MIN($A4996,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97">
      <c r="A4997" s="28"/>
      <c r="B4997" s="29"/>
      <c r="C4997" s="29" t="str">
        <f t="shared" si="1"/>
        <v/>
      </c>
      <c r="D4997" s="6" t="str">
        <f>IF(A4997="","",MATCH(A4997,Calculation!B$2:B9627,1))</f>
        <v/>
      </c>
      <c r="E4997" s="29" t="str">
        <f t="array" ref="E4997">IF(D4997="","",IF(D4997=1,0,INDEX(Calculation!Q$2:Q9627,D4997-1)))</f>
        <v/>
      </c>
      <c r="F4997" s="29" t="str">
        <f t="array" ref="F4997">IF($A4997="","",
  LET(
    r, $D4997,
    startD, INDEX(Calculation!B$2:B9627, r),
    endD,   INDEX(Calculation!C$2:C9627, r),
    asOf,   MIN($A4997,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98">
      <c r="A4998" s="28"/>
      <c r="B4998" s="29"/>
      <c r="C4998" s="29" t="str">
        <f t="shared" si="1"/>
        <v/>
      </c>
      <c r="D4998" s="6" t="str">
        <f>IF(A4998="","",MATCH(A4998,Calculation!B$2:B9627,1))</f>
        <v/>
      </c>
      <c r="E4998" s="29" t="str">
        <f t="array" ref="E4998">IF(D4998="","",IF(D4998=1,0,INDEX(Calculation!Q$2:Q9627,D4998-1)))</f>
        <v/>
      </c>
      <c r="F4998" s="29" t="str">
        <f t="array" ref="F4998">IF($A4998="","",
  LET(
    r, $D4998,
    startD, INDEX(Calculation!B$2:B9627, r),
    endD,   INDEX(Calculation!C$2:C9627, r),
    asOf,   MIN($A4998,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4999">
      <c r="A4999" s="28"/>
      <c r="B4999" s="29"/>
      <c r="C4999" s="29" t="str">
        <f t="shared" si="1"/>
        <v/>
      </c>
      <c r="D4999" s="6" t="str">
        <f>IF(A4999="","",MATCH(A4999,Calculation!B$2:B9627,1))</f>
        <v/>
      </c>
      <c r="E4999" s="29" t="str">
        <f t="array" ref="E4999">IF(D4999="","",IF(D4999=1,0,INDEX(Calculation!Q$2:Q9627,D4999-1)))</f>
        <v/>
      </c>
      <c r="F4999" s="29" t="str">
        <f t="array" ref="F4999">IF($A4999="","",
  LET(
    r, $D4999,
    startD, INDEX(Calculation!B$2:B9627, r),
    endD,   INDEX(Calculation!C$2:C9627, r),
    asOf,   MIN($A4999,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00">
      <c r="A5000" s="28"/>
      <c r="B5000" s="29"/>
      <c r="C5000" s="29" t="str">
        <f t="shared" si="1"/>
        <v/>
      </c>
      <c r="D5000" s="6" t="str">
        <f>IF(A5000="","",MATCH(A5000,Calculation!B$2:B9627,1))</f>
        <v/>
      </c>
      <c r="E5000" s="29" t="str">
        <f t="array" ref="E5000">IF(D5000="","",IF(D5000=1,0,INDEX(Calculation!Q$2:Q9627,D5000-1)))</f>
        <v/>
      </c>
      <c r="F5000" s="29" t="str">
        <f t="array" ref="F5000">IF($A5000="","",
  LET(
    r, $D5000,
    startD, INDEX(Calculation!B$2:B9627, r),
    endD,   INDEX(Calculation!C$2:C9627, r),
    asOf,   MIN($A5000,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01">
      <c r="A5001" s="28"/>
      <c r="B5001" s="29"/>
      <c r="C5001" s="29" t="str">
        <f t="shared" si="1"/>
        <v/>
      </c>
      <c r="D5001" s="6" t="str">
        <f>IF(A5001="","",MATCH(A5001,Calculation!B$2:B9627,1))</f>
        <v/>
      </c>
      <c r="E5001" s="29" t="str">
        <f t="array" ref="E5001">IF(D5001="","",IF(D5001=1,0,INDEX(Calculation!Q$2:Q9627,D5001-1)))</f>
        <v/>
      </c>
      <c r="F5001" s="29" t="str">
        <f t="array" ref="F5001">IF($A5001="","",
  LET(
    r, $D5001,
    startD, INDEX(Calculation!B$2:B9627, r),
    endD,   INDEX(Calculation!C$2:C9627, r),
    asOf,   MIN($A5001,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02">
      <c r="A5002" s="28"/>
      <c r="B5002" s="29"/>
      <c r="C5002" s="29" t="str">
        <f t="shared" si="1"/>
        <v/>
      </c>
      <c r="D5002" s="6" t="str">
        <f>IF(A5002="","",MATCH(A5002,Calculation!B$2:B9627,1))</f>
        <v/>
      </c>
      <c r="E5002" s="29" t="str">
        <f t="array" ref="E5002">IF(D5002="","",IF(D5002=1,0,INDEX(Calculation!Q$2:Q9627,D5002-1)))</f>
        <v/>
      </c>
      <c r="F5002" s="29" t="str">
        <f t="array" ref="F5002">IF($A5002="","",
  LET(
    r, $D5002,
    startD, INDEX(Calculation!B$2:B9627, r),
    endD,   INDEX(Calculation!C$2:C9627, r),
    asOf,   MIN($A5002,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03">
      <c r="A5003" s="28"/>
      <c r="B5003" s="29"/>
      <c r="C5003" s="29" t="str">
        <f t="shared" si="1"/>
        <v/>
      </c>
      <c r="D5003" s="6" t="str">
        <f>IF(A5003="","",MATCH(A5003,Calculation!B$2:B9627,1))</f>
        <v/>
      </c>
      <c r="E5003" s="29" t="str">
        <f t="array" ref="E5003">IF(D5003="","",IF(D5003=1,0,INDEX(Calculation!Q$2:Q9627,D5003-1)))</f>
        <v/>
      </c>
      <c r="F5003" s="29" t="str">
        <f t="array" ref="F5003">IF($A5003="","",
  LET(
    r, $D5003,
    startD, INDEX(Calculation!B$2:B9627, r),
    endD,   INDEX(Calculation!C$2:C9627, r),
    asOf,   MIN($A5003,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04">
      <c r="A5004" s="28"/>
      <c r="B5004" s="29"/>
      <c r="C5004" s="29" t="str">
        <f t="shared" si="1"/>
        <v/>
      </c>
      <c r="D5004" s="6" t="str">
        <f>IF(A5004="","",MATCH(A5004,Calculation!B$2:B9627,1))</f>
        <v/>
      </c>
      <c r="E5004" s="29" t="str">
        <f t="array" ref="E5004">IF(D5004="","",IF(D5004=1,0,INDEX(Calculation!Q$2:Q9627,D5004-1)))</f>
        <v/>
      </c>
      <c r="F5004" s="29" t="str">
        <f t="array" ref="F5004">IF($A5004="","",
  LET(
    r, $D5004,
    startD, INDEX(Calculation!B$2:B9627, r),
    endD,   INDEX(Calculation!C$2:C9627, r),
    asOf,   MIN($A5004,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05">
      <c r="A5005" s="28"/>
      <c r="B5005" s="29"/>
      <c r="C5005" s="29" t="str">
        <f t="shared" si="1"/>
        <v/>
      </c>
      <c r="D5005" s="6" t="str">
        <f>IF(A5005="","",MATCH(A5005,Calculation!B$2:B9627,1))</f>
        <v/>
      </c>
      <c r="E5005" s="29" t="str">
        <f t="array" ref="E5005">IF(D5005="","",IF(D5005=1,0,INDEX(Calculation!Q$2:Q9627,D5005-1)))</f>
        <v/>
      </c>
      <c r="F5005" s="29" t="str">
        <f t="array" ref="F5005">IF($A5005="","",
  LET(
    r, $D5005,
    startD, INDEX(Calculation!B$2:B9627, r),
    endD,   INDEX(Calculation!C$2:C9627, r),
    asOf,   MIN($A5005,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06">
      <c r="A5006" s="28"/>
      <c r="B5006" s="29"/>
      <c r="C5006" s="29" t="str">
        <f t="shared" si="1"/>
        <v/>
      </c>
      <c r="D5006" s="6" t="str">
        <f>IF(A5006="","",MATCH(A5006,Calculation!B$2:B9627,1))</f>
        <v/>
      </c>
      <c r="E5006" s="29" t="str">
        <f t="array" ref="E5006">IF(D5006="","",IF(D5006=1,0,INDEX(Calculation!Q$2:Q9627,D5006-1)))</f>
        <v/>
      </c>
      <c r="F5006" s="29" t="str">
        <f t="array" ref="F5006">IF($A5006="","",
  LET(
    r, $D5006,
    startD, INDEX(Calculation!B$2:B9627, r),
    endD,   INDEX(Calculation!C$2:C9627, r),
    asOf,   MIN($A5006,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07">
      <c r="A5007" s="28"/>
      <c r="B5007" s="29"/>
      <c r="C5007" s="29" t="str">
        <f t="shared" si="1"/>
        <v/>
      </c>
      <c r="D5007" s="6" t="str">
        <f>IF(A5007="","",MATCH(A5007,Calculation!B$2:B9627,1))</f>
        <v/>
      </c>
      <c r="E5007" s="29" t="str">
        <f t="array" ref="E5007">IF(D5007="","",IF(D5007=1,0,INDEX(Calculation!Q$2:Q9627,D5007-1)))</f>
        <v/>
      </c>
      <c r="F5007" s="29" t="str">
        <f t="array" ref="F5007">IF($A5007="","",
  LET(
    r, $D5007,
    startD, INDEX(Calculation!B$2:B9627, r),
    endD,   INDEX(Calculation!C$2:C9627, r),
    asOf,   MIN($A5007,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08">
      <c r="A5008" s="28"/>
      <c r="B5008" s="29"/>
      <c r="C5008" s="29" t="str">
        <f t="shared" si="1"/>
        <v/>
      </c>
      <c r="D5008" s="6" t="str">
        <f>IF(A5008="","",MATCH(A5008,Calculation!B$2:B9627,1))</f>
        <v/>
      </c>
      <c r="E5008" s="29" t="str">
        <f t="array" ref="E5008">IF(D5008="","",IF(D5008=1,0,INDEX(Calculation!Q$2:Q9627,D5008-1)))</f>
        <v/>
      </c>
      <c r="F5008" s="29" t="str">
        <f t="array" ref="F5008">IF($A5008="","",
  LET(
    r, $D5008,
    startD, INDEX(Calculation!B$2:B9627, r),
    endD,   INDEX(Calculation!C$2:C9627, r),
    asOf,   MIN($A5008,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09">
      <c r="A5009" s="28"/>
      <c r="B5009" s="29"/>
      <c r="C5009" s="29" t="str">
        <f t="shared" si="1"/>
        <v/>
      </c>
      <c r="D5009" s="6" t="str">
        <f>IF(A5009="","",MATCH(A5009,Calculation!B$2:B9627,1))</f>
        <v/>
      </c>
      <c r="E5009" s="29" t="str">
        <f t="array" ref="E5009">IF(D5009="","",IF(D5009=1,0,INDEX(Calculation!Q$2:Q9627,D5009-1)))</f>
        <v/>
      </c>
      <c r="F5009" s="29" t="str">
        <f t="array" ref="F5009">IF($A5009="","",
  LET(
    r, $D5009,
    startD, INDEX(Calculation!B$2:B9627, r),
    endD,   INDEX(Calculation!C$2:C9627, r),
    asOf,   MIN($A5009,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10">
      <c r="A5010" s="28"/>
      <c r="B5010" s="29"/>
      <c r="C5010" s="29" t="str">
        <f t="shared" si="1"/>
        <v/>
      </c>
      <c r="D5010" s="6" t="str">
        <f>IF(A5010="","",MATCH(A5010,Calculation!B$2:B9627,1))</f>
        <v/>
      </c>
      <c r="E5010" s="29" t="str">
        <f t="array" ref="E5010">IF(D5010="","",IF(D5010=1,0,INDEX(Calculation!Q$2:Q9627,D5010-1)))</f>
        <v/>
      </c>
      <c r="F5010" s="29" t="str">
        <f t="array" ref="F5010">IF($A5010="","",
  LET(
    r, $D5010,
    startD, INDEX(Calculation!B$2:B9627, r),
    endD,   INDEX(Calculation!C$2:C9627, r),
    asOf,   MIN($A5010,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11">
      <c r="A5011" s="28"/>
      <c r="B5011" s="29"/>
      <c r="C5011" s="29" t="str">
        <f t="shared" si="1"/>
        <v/>
      </c>
      <c r="D5011" s="6" t="str">
        <f>IF(A5011="","",MATCH(A5011,Calculation!B$2:B9627,1))</f>
        <v/>
      </c>
      <c r="E5011" s="29" t="str">
        <f t="array" ref="E5011">IF(D5011="","",IF(D5011=1,0,INDEX(Calculation!Q$2:Q9627,D5011-1)))</f>
        <v/>
      </c>
      <c r="F5011" s="29" t="str">
        <f t="array" ref="F5011">IF($A5011="","",
  LET(
    r, $D5011,
    startD, INDEX(Calculation!B$2:B9627, r),
    endD,   INDEX(Calculation!C$2:C9627, r),
    asOf,   MIN($A5011,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12">
      <c r="A5012" s="28"/>
      <c r="B5012" s="29"/>
      <c r="C5012" s="29" t="str">
        <f t="shared" si="1"/>
        <v/>
      </c>
      <c r="D5012" s="6" t="str">
        <f>IF(A5012="","",MATCH(A5012,Calculation!B$2:B9627,1))</f>
        <v/>
      </c>
      <c r="E5012" s="29" t="str">
        <f t="array" ref="E5012">IF(D5012="","",IF(D5012=1,0,INDEX(Calculation!Q$2:Q9627,D5012-1)))</f>
        <v/>
      </c>
      <c r="F5012" s="29" t="str">
        <f t="array" ref="F5012">IF($A5012="","",
  LET(
    r, $D5012,
    startD, INDEX(Calculation!B$2:B9627, r),
    endD,   INDEX(Calculation!C$2:C9627, r),
    asOf,   MIN($A5012,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13">
      <c r="A5013" s="28"/>
      <c r="B5013" s="29"/>
      <c r="C5013" s="29" t="str">
        <f t="shared" si="1"/>
        <v/>
      </c>
      <c r="D5013" s="6" t="str">
        <f>IF(A5013="","",MATCH(A5013,Calculation!B$2:B9627,1))</f>
        <v/>
      </c>
      <c r="E5013" s="29" t="str">
        <f t="array" ref="E5013">IF(D5013="","",IF(D5013=1,0,INDEX(Calculation!Q$2:Q9627,D5013-1)))</f>
        <v/>
      </c>
      <c r="F5013" s="29" t="str">
        <f t="array" ref="F5013">IF($A5013="","",
  LET(
    r, $D5013,
    startD, INDEX(Calculation!B$2:B9627, r),
    endD,   INDEX(Calculation!C$2:C9627, r),
    asOf,   MIN($A5013,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14">
      <c r="A5014" s="28"/>
      <c r="B5014" s="29"/>
      <c r="C5014" s="29" t="str">
        <f t="shared" si="1"/>
        <v/>
      </c>
      <c r="D5014" s="6" t="str">
        <f>IF(A5014="","",MATCH(A5014,Calculation!B$2:B9627,1))</f>
        <v/>
      </c>
      <c r="E5014" s="29" t="str">
        <f t="array" ref="E5014">IF(D5014="","",IF(D5014=1,0,INDEX(Calculation!Q$2:Q9627,D5014-1)))</f>
        <v/>
      </c>
      <c r="F5014" s="29" t="str">
        <f t="array" ref="F5014">IF($A5014="","",
  LET(
    r, $D5014,
    startD, INDEX(Calculation!B$2:B9627, r),
    endD,   INDEX(Calculation!C$2:C9627, r),
    asOf,   MIN($A5014,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15">
      <c r="A5015" s="28"/>
      <c r="B5015" s="29"/>
      <c r="C5015" s="29" t="str">
        <f t="shared" si="1"/>
        <v/>
      </c>
      <c r="D5015" s="6" t="str">
        <f>IF(A5015="","",MATCH(A5015,Calculation!B$2:B9627,1))</f>
        <v/>
      </c>
      <c r="E5015" s="29" t="str">
        <f t="array" ref="E5015">IF(D5015="","",IF(D5015=1,0,INDEX(Calculation!Q$2:Q9627,D5015-1)))</f>
        <v/>
      </c>
      <c r="F5015" s="29" t="str">
        <f t="array" ref="F5015">IF($A5015="","",
  LET(
    r, $D5015,
    startD, INDEX(Calculation!B$2:B9627, r),
    endD,   INDEX(Calculation!C$2:C9627, r),
    asOf,   MIN($A5015,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16">
      <c r="A5016" s="28"/>
      <c r="B5016" s="29"/>
      <c r="C5016" s="29" t="str">
        <f t="shared" si="1"/>
        <v/>
      </c>
      <c r="D5016" s="6" t="str">
        <f>IF(A5016="","",MATCH(A5016,Calculation!B$2:B9627,1))</f>
        <v/>
      </c>
      <c r="E5016" s="29" t="str">
        <f t="array" ref="E5016">IF(D5016="","",IF(D5016=1,0,INDEX(Calculation!Q$2:Q9627,D5016-1)))</f>
        <v/>
      </c>
      <c r="F5016" s="29" t="str">
        <f t="array" ref="F5016">IF($A5016="","",
  LET(
    r, $D5016,
    startD, INDEX(Calculation!B$2:B9627, r),
    endD,   INDEX(Calculation!C$2:C9627, r),
    asOf,   MIN($A5016,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17">
      <c r="A5017" s="28"/>
      <c r="B5017" s="29"/>
      <c r="C5017" s="29" t="str">
        <f t="shared" si="1"/>
        <v/>
      </c>
      <c r="D5017" s="6" t="str">
        <f>IF(A5017="","",MATCH(A5017,Calculation!B$2:B9627,1))</f>
        <v/>
      </c>
      <c r="E5017" s="29" t="str">
        <f t="array" ref="E5017">IF(D5017="","",IF(D5017=1,0,INDEX(Calculation!Q$2:Q9627,D5017-1)))</f>
        <v/>
      </c>
      <c r="F5017" s="29" t="str">
        <f t="array" ref="F5017">IF($A5017="","",
  LET(
    r, $D5017,
    startD, INDEX(Calculation!B$2:B9627, r),
    endD,   INDEX(Calculation!C$2:C9627, r),
    asOf,   MIN($A5017,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18">
      <c r="A5018" s="28"/>
      <c r="B5018" s="29"/>
      <c r="C5018" s="29" t="str">
        <f t="shared" si="1"/>
        <v/>
      </c>
      <c r="D5018" s="6" t="str">
        <f>IF(A5018="","",MATCH(A5018,Calculation!B$2:B9627,1))</f>
        <v/>
      </c>
      <c r="E5018" s="29" t="str">
        <f t="array" ref="E5018">IF(D5018="","",IF(D5018=1,0,INDEX(Calculation!Q$2:Q9627,D5018-1)))</f>
        <v/>
      </c>
      <c r="F5018" s="29" t="str">
        <f t="array" ref="F5018">IF($A5018="","",
  LET(
    r, $D5018,
    startD, INDEX(Calculation!B$2:B9627, r),
    endD,   INDEX(Calculation!C$2:C9627, r),
    asOf,   MIN($A5018,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19">
      <c r="A5019" s="28"/>
      <c r="B5019" s="29"/>
      <c r="C5019" s="29" t="str">
        <f t="shared" si="1"/>
        <v/>
      </c>
      <c r="D5019" s="6" t="str">
        <f>IF(A5019="","",MATCH(A5019,Calculation!B$2:B9627,1))</f>
        <v/>
      </c>
      <c r="E5019" s="29" t="str">
        <f t="array" ref="E5019">IF(D5019="","",IF(D5019=1,0,INDEX(Calculation!Q$2:Q9627,D5019-1)))</f>
        <v/>
      </c>
      <c r="F5019" s="29" t="str">
        <f t="array" ref="F5019">IF($A5019="","",
  LET(
    r, $D5019,
    startD, INDEX(Calculation!B$2:B9627, r),
    endD,   INDEX(Calculation!C$2:C9627, r),
    asOf,   MIN($A5019,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20">
      <c r="A5020" s="28"/>
      <c r="B5020" s="29"/>
      <c r="C5020" s="29" t="str">
        <f t="shared" si="1"/>
        <v/>
      </c>
      <c r="D5020" s="6" t="str">
        <f>IF(A5020="","",MATCH(A5020,Calculation!B$2:B9627,1))</f>
        <v/>
      </c>
      <c r="E5020" s="29" t="str">
        <f t="array" ref="E5020">IF(D5020="","",IF(D5020=1,0,INDEX(Calculation!Q$2:Q9627,D5020-1)))</f>
        <v/>
      </c>
      <c r="F5020" s="29" t="str">
        <f t="array" ref="F5020">IF($A5020="","",
  LET(
    r, $D5020,
    startD, INDEX(Calculation!B$2:B9627, r),
    endD,   INDEX(Calculation!C$2:C9627, r),
    asOf,   MIN($A5020,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21">
      <c r="A5021" s="28"/>
      <c r="B5021" s="29"/>
      <c r="C5021" s="29" t="str">
        <f t="shared" si="1"/>
        <v/>
      </c>
      <c r="D5021" s="6" t="str">
        <f>IF(A5021="","",MATCH(A5021,Calculation!B$2:B9627,1))</f>
        <v/>
      </c>
      <c r="E5021" s="29" t="str">
        <f t="array" ref="E5021">IF(D5021="","",IF(D5021=1,0,INDEX(Calculation!Q$2:Q9627,D5021-1)))</f>
        <v/>
      </c>
      <c r="F5021" s="29" t="str">
        <f t="array" ref="F5021">IF($A5021="","",
  LET(
    r, $D5021,
    startD, INDEX(Calculation!B$2:B9627, r),
    endD,   INDEX(Calculation!C$2:C9627, r),
    asOf,   MIN($A5021,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22">
      <c r="A5022" s="28"/>
      <c r="B5022" s="29"/>
      <c r="C5022" s="29" t="str">
        <f t="shared" si="1"/>
        <v/>
      </c>
      <c r="D5022" s="6" t="str">
        <f>IF(A5022="","",MATCH(A5022,Calculation!B$2:B9627,1))</f>
        <v/>
      </c>
      <c r="E5022" s="29" t="str">
        <f t="array" ref="E5022">IF(D5022="","",IF(D5022=1,0,INDEX(Calculation!Q$2:Q9627,D5022-1)))</f>
        <v/>
      </c>
      <c r="F5022" s="29" t="str">
        <f t="array" ref="F5022">IF($A5022="","",
  LET(
    r, $D5022,
    startD, INDEX(Calculation!B$2:B9627, r),
    endD,   INDEX(Calculation!C$2:C9627, r),
    asOf,   MIN($A5022,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23">
      <c r="A5023" s="28"/>
      <c r="B5023" s="29"/>
      <c r="C5023" s="29" t="str">
        <f t="shared" si="1"/>
        <v/>
      </c>
      <c r="D5023" s="6" t="str">
        <f>IF(A5023="","",MATCH(A5023,Calculation!B$2:B9627,1))</f>
        <v/>
      </c>
      <c r="E5023" s="29" t="str">
        <f t="array" ref="E5023">IF(D5023="","",IF(D5023=1,0,INDEX(Calculation!Q$2:Q9627,D5023-1)))</f>
        <v/>
      </c>
      <c r="F5023" s="29" t="str">
        <f t="array" ref="F5023">IF($A5023="","",
  LET(
    r, $D5023,
    startD, INDEX(Calculation!B$2:B9627, r),
    endD,   INDEX(Calculation!C$2:C9627, r),
    asOf,   MIN($A5023,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24">
      <c r="A5024" s="28"/>
      <c r="B5024" s="29"/>
      <c r="C5024" s="29" t="str">
        <f t="shared" si="1"/>
        <v/>
      </c>
      <c r="D5024" s="6" t="str">
        <f>IF(A5024="","",MATCH(A5024,Calculation!B$2:B9627,1))</f>
        <v/>
      </c>
      <c r="E5024" s="29" t="str">
        <f t="array" ref="E5024">IF(D5024="","",IF(D5024=1,0,INDEX(Calculation!Q$2:Q9627,D5024-1)))</f>
        <v/>
      </c>
      <c r="F5024" s="29" t="str">
        <f t="array" ref="F5024">IF($A5024="","",
  LET(
    r, $D5024,
    startD, INDEX(Calculation!B$2:B9627, r),
    endD,   INDEX(Calculation!C$2:C9627, r),
    asOf,   MIN($A5024,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25">
      <c r="A5025" s="28"/>
      <c r="B5025" s="29"/>
      <c r="C5025" s="29" t="str">
        <f t="shared" si="1"/>
        <v/>
      </c>
      <c r="D5025" s="6" t="str">
        <f>IF(A5025="","",MATCH(A5025,Calculation!B$2:B9627,1))</f>
        <v/>
      </c>
      <c r="E5025" s="29" t="str">
        <f t="array" ref="E5025">IF(D5025="","",IF(D5025=1,0,INDEX(Calculation!Q$2:Q9627,D5025-1)))</f>
        <v/>
      </c>
      <c r="F5025" s="29" t="str">
        <f t="array" ref="F5025">IF($A5025="","",
  LET(
    r, $D5025,
    startD, INDEX(Calculation!B$2:B9627, r),
    endD,   INDEX(Calculation!C$2:C9627, r),
    asOf,   MIN($A5025,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26">
      <c r="A5026" s="28"/>
      <c r="B5026" s="29"/>
      <c r="C5026" s="29" t="str">
        <f t="shared" si="1"/>
        <v/>
      </c>
      <c r="D5026" s="6" t="str">
        <f>IF(A5026="","",MATCH(A5026,Calculation!B$2:B9627,1))</f>
        <v/>
      </c>
      <c r="E5026" s="29" t="str">
        <f t="array" ref="E5026">IF(D5026="","",IF(D5026=1,0,INDEX(Calculation!Q$2:Q9627,D5026-1)))</f>
        <v/>
      </c>
      <c r="F5026" s="29" t="str">
        <f t="array" ref="F5026">IF($A5026="","",
  LET(
    r, $D5026,
    startD, INDEX(Calculation!B$2:B9627, r),
    endD,   INDEX(Calculation!C$2:C9627, r),
    asOf,   MIN($A5026,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27">
      <c r="A5027" s="28"/>
      <c r="B5027" s="29"/>
      <c r="C5027" s="29" t="str">
        <f t="shared" si="1"/>
        <v/>
      </c>
      <c r="D5027" s="6" t="str">
        <f>IF(A5027="","",MATCH(A5027,Calculation!B$2:B9627,1))</f>
        <v/>
      </c>
      <c r="E5027" s="29" t="str">
        <f t="array" ref="E5027">IF(D5027="","",IF(D5027=1,0,INDEX(Calculation!Q$2:Q9627,D5027-1)))</f>
        <v/>
      </c>
      <c r="F5027" s="29" t="str">
        <f t="array" ref="F5027">IF($A5027="","",
  LET(
    r, $D5027,
    startD, INDEX(Calculation!B$2:B9627, r),
    endD,   INDEX(Calculation!C$2:C9627, r),
    asOf,   MIN($A5027,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28">
      <c r="A5028" s="28"/>
      <c r="B5028" s="29"/>
      <c r="C5028" s="29" t="str">
        <f t="shared" si="1"/>
        <v/>
      </c>
      <c r="D5028" s="6" t="str">
        <f>IF(A5028="","",MATCH(A5028,Calculation!B$2:B9627,1))</f>
        <v/>
      </c>
      <c r="E5028" s="29" t="str">
        <f t="array" ref="E5028">IF(D5028="","",IF(D5028=1,0,INDEX(Calculation!Q$2:Q9627,D5028-1)))</f>
        <v/>
      </c>
      <c r="F5028" s="29" t="str">
        <f t="array" ref="F5028">IF($A5028="","",
  LET(
    r, $D5028,
    startD, INDEX(Calculation!B$2:B9627, r),
    endD,   INDEX(Calculation!C$2:C9627, r),
    asOf,   MIN($A5028,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29">
      <c r="A5029" s="28"/>
      <c r="B5029" s="29"/>
      <c r="C5029" s="29" t="str">
        <f t="shared" si="1"/>
        <v/>
      </c>
      <c r="D5029" s="6" t="str">
        <f>IF(A5029="","",MATCH(A5029,Calculation!B$2:B9627,1))</f>
        <v/>
      </c>
      <c r="E5029" s="29" t="str">
        <f t="array" ref="E5029">IF(D5029="","",IF(D5029=1,0,INDEX(Calculation!Q$2:Q9627,D5029-1)))</f>
        <v/>
      </c>
      <c r="F5029" s="29" t="str">
        <f t="array" ref="F5029">IF($A5029="","",
  LET(
    r, $D5029,
    startD, INDEX(Calculation!B$2:B9627, r),
    endD,   INDEX(Calculation!C$2:C9627, r),
    asOf,   MIN($A5029,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30">
      <c r="A5030" s="28"/>
      <c r="B5030" s="29"/>
      <c r="C5030" s="29" t="str">
        <f t="shared" si="1"/>
        <v/>
      </c>
      <c r="D5030" s="6" t="str">
        <f>IF(A5030="","",MATCH(A5030,Calculation!B$2:B9627,1))</f>
        <v/>
      </c>
      <c r="E5030" s="29" t="str">
        <f t="array" ref="E5030">IF(D5030="","",IF(D5030=1,0,INDEX(Calculation!Q$2:Q9627,D5030-1)))</f>
        <v/>
      </c>
      <c r="F5030" s="29" t="str">
        <f t="array" ref="F5030">IF($A5030="","",
  LET(
    r, $D5030,
    startD, INDEX(Calculation!B$2:B9627, r),
    endD,   INDEX(Calculation!C$2:C9627, r),
    asOf,   MIN($A5030,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31">
      <c r="A5031" s="28"/>
      <c r="B5031" s="29"/>
      <c r="C5031" s="29" t="str">
        <f t="shared" si="1"/>
        <v/>
      </c>
      <c r="D5031" s="6" t="str">
        <f>IF(A5031="","",MATCH(A5031,Calculation!B$2:B9627,1))</f>
        <v/>
      </c>
      <c r="E5031" s="29" t="str">
        <f t="array" ref="E5031">IF(D5031="","",IF(D5031=1,0,INDEX(Calculation!Q$2:Q9627,D5031-1)))</f>
        <v/>
      </c>
      <c r="F5031" s="29" t="str">
        <f t="array" ref="F5031">IF($A5031="","",
  LET(
    r, $D5031,
    startD, INDEX(Calculation!B$2:B9627, r),
    endD,   INDEX(Calculation!C$2:C9627, r),
    asOf,   MIN($A5031,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32">
      <c r="A5032" s="28"/>
      <c r="B5032" s="29"/>
      <c r="C5032" s="29" t="str">
        <f t="shared" si="1"/>
        <v/>
      </c>
      <c r="D5032" s="6" t="str">
        <f>IF(A5032="","",MATCH(A5032,Calculation!B$2:B9627,1))</f>
        <v/>
      </c>
      <c r="E5032" s="29" t="str">
        <f t="array" ref="E5032">IF(D5032="","",IF(D5032=1,0,INDEX(Calculation!Q$2:Q9627,D5032-1)))</f>
        <v/>
      </c>
      <c r="F5032" s="29" t="str">
        <f t="array" ref="F5032">IF($A5032="","",
  LET(
    r, $D5032,
    startD, INDEX(Calculation!B$2:B9627, r),
    endD,   INDEX(Calculation!C$2:C9627, r),
    asOf,   MIN($A5032,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33">
      <c r="A5033" s="28"/>
      <c r="B5033" s="29"/>
      <c r="C5033" s="29" t="str">
        <f t="shared" si="1"/>
        <v/>
      </c>
      <c r="D5033" s="6" t="str">
        <f>IF(A5033="","",MATCH(A5033,Calculation!B$2:B9627,1))</f>
        <v/>
      </c>
      <c r="E5033" s="29" t="str">
        <f t="array" ref="E5033">IF(D5033="","",IF(D5033=1,0,INDEX(Calculation!Q$2:Q9627,D5033-1)))</f>
        <v/>
      </c>
      <c r="F5033" s="29" t="str">
        <f t="array" ref="F5033">IF($A5033="","",
  LET(
    r, $D5033,
    startD, INDEX(Calculation!B$2:B9627, r),
    endD,   INDEX(Calculation!C$2:C9627, r),
    asOf,   MIN($A5033,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34">
      <c r="A5034" s="28"/>
      <c r="B5034" s="29"/>
      <c r="C5034" s="29" t="str">
        <f t="shared" si="1"/>
        <v/>
      </c>
      <c r="D5034" s="6" t="str">
        <f>IF(A5034="","",MATCH(A5034,Calculation!B$2:B9627,1))</f>
        <v/>
      </c>
      <c r="E5034" s="29" t="str">
        <f t="array" ref="E5034">IF(D5034="","",IF(D5034=1,0,INDEX(Calculation!Q$2:Q9627,D5034-1)))</f>
        <v/>
      </c>
      <c r="F5034" s="29" t="str">
        <f t="array" ref="F5034">IF($A5034="","",
  LET(
    r, $D5034,
    startD, INDEX(Calculation!B$2:B9627, r),
    endD,   INDEX(Calculation!C$2:C9627, r),
    asOf,   MIN($A5034,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35">
      <c r="A5035" s="28"/>
      <c r="B5035" s="29"/>
      <c r="C5035" s="29" t="str">
        <f t="shared" si="1"/>
        <v/>
      </c>
      <c r="D5035" s="6" t="str">
        <f>IF(A5035="","",MATCH(A5035,Calculation!B$2:B9627,1))</f>
        <v/>
      </c>
      <c r="E5035" s="29" t="str">
        <f t="array" ref="E5035">IF(D5035="","",IF(D5035=1,0,INDEX(Calculation!Q$2:Q9627,D5035-1)))</f>
        <v/>
      </c>
      <c r="F5035" s="29" t="str">
        <f t="array" ref="F5035">IF($A5035="","",
  LET(
    r, $D5035,
    startD, INDEX(Calculation!B$2:B9627, r),
    endD,   INDEX(Calculation!C$2:C9627, r),
    asOf,   MIN($A5035,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36">
      <c r="A5036" s="28"/>
      <c r="B5036" s="29"/>
      <c r="C5036" s="29" t="str">
        <f t="shared" si="1"/>
        <v/>
      </c>
      <c r="D5036" s="6" t="str">
        <f>IF(A5036="","",MATCH(A5036,Calculation!B$2:B9627,1))</f>
        <v/>
      </c>
      <c r="E5036" s="29" t="str">
        <f t="array" ref="E5036">IF(D5036="","",IF(D5036=1,0,INDEX(Calculation!Q$2:Q9627,D5036-1)))</f>
        <v/>
      </c>
      <c r="F5036" s="29" t="str">
        <f t="array" ref="F5036">IF($A5036="","",
  LET(
    r, $D5036,
    startD, INDEX(Calculation!B$2:B9627, r),
    endD,   INDEX(Calculation!C$2:C9627, r),
    asOf,   MIN($A5036,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37">
      <c r="A5037" s="28"/>
      <c r="B5037" s="29"/>
      <c r="C5037" s="29" t="str">
        <f t="shared" si="1"/>
        <v/>
      </c>
      <c r="D5037" s="6" t="str">
        <f>IF(A5037="","",MATCH(A5037,Calculation!B$2:B9627,1))</f>
        <v/>
      </c>
      <c r="E5037" s="29" t="str">
        <f t="array" ref="E5037">IF(D5037="","",IF(D5037=1,0,INDEX(Calculation!Q$2:Q9627,D5037-1)))</f>
        <v/>
      </c>
      <c r="F5037" s="29" t="str">
        <f t="array" ref="F5037">IF($A5037="","",
  LET(
    r, $D5037,
    startD, INDEX(Calculation!B$2:B9627, r),
    endD,   INDEX(Calculation!C$2:C9627, r),
    asOf,   MIN($A5037,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38">
      <c r="A5038" s="28"/>
      <c r="B5038" s="29"/>
      <c r="C5038" s="29" t="str">
        <f t="shared" si="1"/>
        <v/>
      </c>
      <c r="D5038" s="6" t="str">
        <f>IF(A5038="","",MATCH(A5038,Calculation!B$2:B9627,1))</f>
        <v/>
      </c>
      <c r="E5038" s="29" t="str">
        <f t="array" ref="E5038">IF(D5038="","",IF(D5038=1,0,INDEX(Calculation!Q$2:Q9627,D5038-1)))</f>
        <v/>
      </c>
      <c r="F5038" s="29" t="str">
        <f t="array" ref="F5038">IF($A5038="","",
  LET(
    r, $D5038,
    startD, INDEX(Calculation!B$2:B9627, r),
    endD,   INDEX(Calculation!C$2:C9627, r),
    asOf,   MIN($A5038,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39">
      <c r="A5039" s="28"/>
      <c r="B5039" s="29"/>
      <c r="C5039" s="29" t="str">
        <f t="shared" si="1"/>
        <v/>
      </c>
      <c r="D5039" s="6" t="str">
        <f>IF(A5039="","",MATCH(A5039,Calculation!B$2:B9627,1))</f>
        <v/>
      </c>
      <c r="E5039" s="29" t="str">
        <f t="array" ref="E5039">IF(D5039="","",IF(D5039=1,0,INDEX(Calculation!Q$2:Q9627,D5039-1)))</f>
        <v/>
      </c>
      <c r="F5039" s="29" t="str">
        <f t="array" ref="F5039">IF($A5039="","",
  LET(
    r, $D5039,
    startD, INDEX(Calculation!B$2:B9627, r),
    endD,   INDEX(Calculation!C$2:C9627, r),
    asOf,   MIN($A5039,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40">
      <c r="A5040" s="28"/>
      <c r="B5040" s="29"/>
      <c r="C5040" s="29" t="str">
        <f t="shared" si="1"/>
        <v/>
      </c>
      <c r="D5040" s="6" t="str">
        <f>IF(A5040="","",MATCH(A5040,Calculation!B$2:B9627,1))</f>
        <v/>
      </c>
      <c r="E5040" s="29" t="str">
        <f t="array" ref="E5040">IF(D5040="","",IF(D5040=1,0,INDEX(Calculation!Q$2:Q9627,D5040-1)))</f>
        <v/>
      </c>
      <c r="F5040" s="29" t="str">
        <f t="array" ref="F5040">IF($A5040="","",
  LET(
    r, $D5040,
    startD, INDEX(Calculation!B$2:B9627, r),
    endD,   INDEX(Calculation!C$2:C9627, r),
    asOf,   MIN($A5040,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41">
      <c r="A5041" s="28"/>
      <c r="B5041" s="29"/>
      <c r="C5041" s="29" t="str">
        <f t="shared" si="1"/>
        <v/>
      </c>
      <c r="D5041" s="6" t="str">
        <f>IF(A5041="","",MATCH(A5041,Calculation!B$2:B9627,1))</f>
        <v/>
      </c>
      <c r="E5041" s="29" t="str">
        <f t="array" ref="E5041">IF(D5041="","",IF(D5041=1,0,INDEX(Calculation!Q$2:Q9627,D5041-1)))</f>
        <v/>
      </c>
      <c r="F5041" s="29" t="str">
        <f t="array" ref="F5041">IF($A5041="","",
  LET(
    r, $D5041,
    startD, INDEX(Calculation!B$2:B9627, r),
    endD,   INDEX(Calculation!C$2:C9627, r),
    asOf,   MIN($A5041,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42">
      <c r="A5042" s="28"/>
      <c r="B5042" s="29"/>
      <c r="C5042" s="29" t="str">
        <f t="shared" si="1"/>
        <v/>
      </c>
      <c r="D5042" s="6" t="str">
        <f>IF(A5042="","",MATCH(A5042,Calculation!B$2:B9627,1))</f>
        <v/>
      </c>
      <c r="E5042" s="29" t="str">
        <f t="array" ref="E5042">IF(D5042="","",IF(D5042=1,0,INDEX(Calculation!Q$2:Q9627,D5042-1)))</f>
        <v/>
      </c>
      <c r="F5042" s="29" t="str">
        <f t="array" ref="F5042">IF($A5042="","",
  LET(
    r, $D5042,
    startD, INDEX(Calculation!B$2:B9627, r),
    endD,   INDEX(Calculation!C$2:C9627, r),
    asOf,   MIN($A5042,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43">
      <c r="A5043" s="28"/>
      <c r="B5043" s="29"/>
      <c r="C5043" s="29" t="str">
        <f t="shared" si="1"/>
        <v/>
      </c>
      <c r="D5043" s="6" t="str">
        <f>IF(A5043="","",MATCH(A5043,Calculation!B$2:B9627,1))</f>
        <v/>
      </c>
      <c r="E5043" s="29" t="str">
        <f t="array" ref="E5043">IF(D5043="","",IF(D5043=1,0,INDEX(Calculation!Q$2:Q9627,D5043-1)))</f>
        <v/>
      </c>
      <c r="F5043" s="29" t="str">
        <f t="array" ref="F5043">IF($A5043="","",
  LET(
    r, $D5043,
    startD, INDEX(Calculation!B$2:B9627, r),
    endD,   INDEX(Calculation!C$2:C9627, r),
    asOf,   MIN($A5043,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44">
      <c r="A5044" s="28"/>
      <c r="B5044" s="29"/>
      <c r="C5044" s="29" t="str">
        <f t="shared" si="1"/>
        <v/>
      </c>
      <c r="D5044" s="6" t="str">
        <f>IF(A5044="","",MATCH(A5044,Calculation!B$2:B9627,1))</f>
        <v/>
      </c>
      <c r="E5044" s="29" t="str">
        <f t="array" ref="E5044">IF(D5044="","",IF(D5044=1,0,INDEX(Calculation!Q$2:Q9627,D5044-1)))</f>
        <v/>
      </c>
      <c r="F5044" s="29" t="str">
        <f t="array" ref="F5044">IF($A5044="","",
  LET(
    r, $D5044,
    startD, INDEX(Calculation!B$2:B9627, r),
    endD,   INDEX(Calculation!C$2:C9627, r),
    asOf,   MIN($A5044,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45">
      <c r="A5045" s="28"/>
      <c r="B5045" s="29"/>
      <c r="C5045" s="29" t="str">
        <f t="shared" si="1"/>
        <v/>
      </c>
      <c r="D5045" s="6" t="str">
        <f>IF(A5045="","",MATCH(A5045,Calculation!B$2:B9627,1))</f>
        <v/>
      </c>
      <c r="E5045" s="29" t="str">
        <f t="array" ref="E5045">IF(D5045="","",IF(D5045=1,0,INDEX(Calculation!Q$2:Q9627,D5045-1)))</f>
        <v/>
      </c>
      <c r="F5045" s="29" t="str">
        <f t="array" ref="F5045">IF($A5045="","",
  LET(
    r, $D5045,
    startD, INDEX(Calculation!B$2:B9627, r),
    endD,   INDEX(Calculation!C$2:C9627, r),
    asOf,   MIN($A5045,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46">
      <c r="A5046" s="28"/>
      <c r="B5046" s="29"/>
      <c r="C5046" s="29" t="str">
        <f t="shared" si="1"/>
        <v/>
      </c>
      <c r="D5046" s="6" t="str">
        <f>IF(A5046="","",MATCH(A5046,Calculation!B$2:B9627,1))</f>
        <v/>
      </c>
      <c r="E5046" s="29" t="str">
        <f t="array" ref="E5046">IF(D5046="","",IF(D5046=1,0,INDEX(Calculation!Q$2:Q9627,D5046-1)))</f>
        <v/>
      </c>
      <c r="F5046" s="29" t="str">
        <f t="array" ref="F5046">IF($A5046="","",
  LET(
    r, $D5046,
    startD, INDEX(Calculation!B$2:B9627, r),
    endD,   INDEX(Calculation!C$2:C9627, r),
    asOf,   MIN($A5046,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47">
      <c r="A5047" s="28"/>
      <c r="B5047" s="29"/>
      <c r="C5047" s="29" t="str">
        <f t="shared" si="1"/>
        <v/>
      </c>
      <c r="D5047" s="6" t="str">
        <f>IF(A5047="","",MATCH(A5047,Calculation!B$2:B9627,1))</f>
        <v/>
      </c>
      <c r="E5047" s="29" t="str">
        <f t="array" ref="E5047">IF(D5047="","",IF(D5047=1,0,INDEX(Calculation!Q$2:Q9627,D5047-1)))</f>
        <v/>
      </c>
      <c r="F5047" s="29" t="str">
        <f t="array" ref="F5047">IF($A5047="","",
  LET(
    r, $D5047,
    startD, INDEX(Calculation!B$2:B9627, r),
    endD,   INDEX(Calculation!C$2:C9627, r),
    asOf,   MIN($A5047,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48">
      <c r="A5048" s="28"/>
      <c r="B5048" s="29"/>
      <c r="C5048" s="29" t="str">
        <f t="shared" si="1"/>
        <v/>
      </c>
      <c r="D5048" s="6" t="str">
        <f>IF(A5048="","",MATCH(A5048,Calculation!B$2:B9627,1))</f>
        <v/>
      </c>
      <c r="E5048" s="29" t="str">
        <f t="array" ref="E5048">IF(D5048="","",IF(D5048=1,0,INDEX(Calculation!Q$2:Q9627,D5048-1)))</f>
        <v/>
      </c>
      <c r="F5048" s="29" t="str">
        <f t="array" ref="F5048">IF($A5048="","",
  LET(
    r, $D5048,
    startD, INDEX(Calculation!B$2:B9627, r),
    endD,   INDEX(Calculation!C$2:C9627, r),
    asOf,   MIN($A5048,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49">
      <c r="A5049" s="28"/>
      <c r="B5049" s="29"/>
      <c r="C5049" s="29" t="str">
        <f t="shared" si="1"/>
        <v/>
      </c>
      <c r="D5049" s="6" t="str">
        <f>IF(A5049="","",MATCH(A5049,Calculation!B$2:B9627,1))</f>
        <v/>
      </c>
      <c r="E5049" s="29" t="str">
        <f t="array" ref="E5049">IF(D5049="","",IF(D5049=1,0,INDEX(Calculation!Q$2:Q9627,D5049-1)))</f>
        <v/>
      </c>
      <c r="F5049" s="29" t="str">
        <f t="array" ref="F5049">IF($A5049="","",
  LET(
    r, $D5049,
    startD, INDEX(Calculation!B$2:B9627, r),
    endD,   INDEX(Calculation!C$2:C9627, r),
    asOf,   MIN($A5049,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50">
      <c r="A5050" s="28"/>
      <c r="B5050" s="29"/>
      <c r="C5050" s="29" t="str">
        <f t="shared" si="1"/>
        <v/>
      </c>
      <c r="D5050" s="6" t="str">
        <f>IF(A5050="","",MATCH(A5050,Calculation!B$2:B9627,1))</f>
        <v/>
      </c>
      <c r="E5050" s="29" t="str">
        <f t="array" ref="E5050">IF(D5050="","",IF(D5050=1,0,INDEX(Calculation!Q$2:Q9627,D5050-1)))</f>
        <v/>
      </c>
      <c r="F5050" s="29" t="str">
        <f t="array" ref="F5050">IF($A5050="","",
  LET(
    r, $D5050,
    startD, INDEX(Calculation!B$2:B9627, r),
    endD,   INDEX(Calculation!C$2:C9627, r),
    asOf,   MIN($A5050,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51">
      <c r="A5051" s="28"/>
      <c r="B5051" s="29"/>
      <c r="C5051" s="29" t="str">
        <f t="shared" si="1"/>
        <v/>
      </c>
      <c r="D5051" s="6" t="str">
        <f>IF(A5051="","",MATCH(A5051,Calculation!B$2:B9627,1))</f>
        <v/>
      </c>
      <c r="E5051" s="29" t="str">
        <f t="array" ref="E5051">IF(D5051="","",IF(D5051=1,0,INDEX(Calculation!Q$2:Q9627,D5051-1)))</f>
        <v/>
      </c>
      <c r="F5051" s="29" t="str">
        <f t="array" ref="F5051">IF($A5051="","",
  LET(
    r, $D5051,
    startD, INDEX(Calculation!B$2:B9627, r),
    endD,   INDEX(Calculation!C$2:C9627, r),
    asOf,   MIN($A5051,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52">
      <c r="A5052" s="28"/>
      <c r="B5052" s="29"/>
      <c r="C5052" s="29" t="str">
        <f t="shared" si="1"/>
        <v/>
      </c>
      <c r="D5052" s="6" t="str">
        <f>IF(A5052="","",MATCH(A5052,Calculation!B$2:B9627,1))</f>
        <v/>
      </c>
      <c r="E5052" s="29" t="str">
        <f t="array" ref="E5052">IF(D5052="","",IF(D5052=1,0,INDEX(Calculation!Q$2:Q9627,D5052-1)))</f>
        <v/>
      </c>
      <c r="F5052" s="29" t="str">
        <f t="array" ref="F5052">IF($A5052="","",
  LET(
    r, $D5052,
    startD, INDEX(Calculation!B$2:B9627, r),
    endD,   INDEX(Calculation!C$2:C9627, r),
    asOf,   MIN($A5052,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53">
      <c r="A5053" s="28"/>
      <c r="B5053" s="29"/>
      <c r="C5053" s="29" t="str">
        <f t="shared" si="1"/>
        <v/>
      </c>
      <c r="D5053" s="6" t="str">
        <f>IF(A5053="","",MATCH(A5053,Calculation!B$2:B9627,1))</f>
        <v/>
      </c>
      <c r="E5053" s="29" t="str">
        <f t="array" ref="E5053">IF(D5053="","",IF(D5053=1,0,INDEX(Calculation!Q$2:Q9627,D5053-1)))</f>
        <v/>
      </c>
      <c r="F5053" s="29" t="str">
        <f t="array" ref="F5053">IF($A5053="","",
  LET(
    r, $D5053,
    startD, INDEX(Calculation!B$2:B9627, r),
    endD,   INDEX(Calculation!C$2:C9627, r),
    asOf,   MIN($A5053,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54">
      <c r="A5054" s="28"/>
      <c r="B5054" s="29"/>
      <c r="C5054" s="29" t="str">
        <f t="shared" si="1"/>
        <v/>
      </c>
      <c r="D5054" s="6" t="str">
        <f>IF(A5054="","",MATCH(A5054,Calculation!B$2:B9627,1))</f>
        <v/>
      </c>
      <c r="E5054" s="29" t="str">
        <f t="array" ref="E5054">IF(D5054="","",IF(D5054=1,0,INDEX(Calculation!Q$2:Q9627,D5054-1)))</f>
        <v/>
      </c>
      <c r="F5054" s="29" t="str">
        <f t="array" ref="F5054">IF($A5054="","",
  LET(
    r, $D5054,
    startD, INDEX(Calculation!B$2:B9627, r),
    endD,   INDEX(Calculation!C$2:C9627, r),
    asOf,   MIN($A5054,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55">
      <c r="A5055" s="28"/>
      <c r="B5055" s="29"/>
      <c r="C5055" s="29" t="str">
        <f t="shared" si="1"/>
        <v/>
      </c>
      <c r="D5055" s="6" t="str">
        <f>IF(A5055="","",MATCH(A5055,Calculation!B$2:B9627,1))</f>
        <v/>
      </c>
      <c r="E5055" s="29" t="str">
        <f t="array" ref="E5055">IF(D5055="","",IF(D5055=1,0,INDEX(Calculation!Q$2:Q9627,D5055-1)))</f>
        <v/>
      </c>
      <c r="F5055" s="29" t="str">
        <f t="array" ref="F5055">IF($A5055="","",
  LET(
    r, $D5055,
    startD, INDEX(Calculation!B$2:B9627, r),
    endD,   INDEX(Calculation!C$2:C9627, r),
    asOf,   MIN($A5055,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56">
      <c r="A5056" s="28"/>
      <c r="B5056" s="29"/>
      <c r="C5056" s="29" t="str">
        <f t="shared" si="1"/>
        <v/>
      </c>
      <c r="D5056" s="6" t="str">
        <f>IF(A5056="","",MATCH(A5056,Calculation!B$2:B9627,1))</f>
        <v/>
      </c>
      <c r="E5056" s="29" t="str">
        <f t="array" ref="E5056">IF(D5056="","",IF(D5056=1,0,INDEX(Calculation!Q$2:Q9627,D5056-1)))</f>
        <v/>
      </c>
      <c r="F5056" s="29" t="str">
        <f t="array" ref="F5056">IF($A5056="","",
  LET(
    r, $D5056,
    startD, INDEX(Calculation!B$2:B9627, r),
    endD,   INDEX(Calculation!C$2:C9627, r),
    asOf,   MIN($A5056,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57">
      <c r="A5057" s="28"/>
      <c r="B5057" s="29"/>
      <c r="C5057" s="29" t="str">
        <f t="shared" si="1"/>
        <v/>
      </c>
      <c r="D5057" s="6" t="str">
        <f>IF(A5057="","",MATCH(A5057,Calculation!B$2:B9627,1))</f>
        <v/>
      </c>
      <c r="E5057" s="29" t="str">
        <f t="array" ref="E5057">IF(D5057="","",IF(D5057=1,0,INDEX(Calculation!Q$2:Q9627,D5057-1)))</f>
        <v/>
      </c>
      <c r="F5057" s="29" t="str">
        <f t="array" ref="F5057">IF($A5057="","",
  LET(
    r, $D5057,
    startD, INDEX(Calculation!B$2:B9627, r),
    endD,   INDEX(Calculation!C$2:C9627, r),
    asOf,   MIN($A5057,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58">
      <c r="A5058" s="28"/>
      <c r="B5058" s="29"/>
      <c r="C5058" s="29" t="str">
        <f t="shared" si="1"/>
        <v/>
      </c>
      <c r="D5058" s="6" t="str">
        <f>IF(A5058="","",MATCH(A5058,Calculation!B$2:B9627,1))</f>
        <v/>
      </c>
      <c r="E5058" s="29" t="str">
        <f t="array" ref="E5058">IF(D5058="","",IF(D5058=1,0,INDEX(Calculation!Q$2:Q9627,D5058-1)))</f>
        <v/>
      </c>
      <c r="F5058" s="29" t="str">
        <f t="array" ref="F5058">IF($A5058="","",
  LET(
    r, $D5058,
    startD, INDEX(Calculation!B$2:B9627, r),
    endD,   INDEX(Calculation!C$2:C9627, r),
    asOf,   MIN($A5058,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59">
      <c r="A5059" s="28"/>
      <c r="B5059" s="29"/>
      <c r="C5059" s="29" t="str">
        <f t="shared" si="1"/>
        <v/>
      </c>
      <c r="D5059" s="6" t="str">
        <f>IF(A5059="","",MATCH(A5059,Calculation!B$2:B9627,1))</f>
        <v/>
      </c>
      <c r="E5059" s="29" t="str">
        <f t="array" ref="E5059">IF(D5059="","",IF(D5059=1,0,INDEX(Calculation!Q$2:Q9627,D5059-1)))</f>
        <v/>
      </c>
      <c r="F5059" s="29" t="str">
        <f t="array" ref="F5059">IF($A5059="","",
  LET(
    r, $D5059,
    startD, INDEX(Calculation!B$2:B9627, r),
    endD,   INDEX(Calculation!C$2:C9627, r),
    asOf,   MIN($A5059,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60">
      <c r="A5060" s="28"/>
      <c r="B5060" s="29"/>
      <c r="C5060" s="29" t="str">
        <f t="shared" si="1"/>
        <v/>
      </c>
      <c r="D5060" s="6" t="str">
        <f>IF(A5060="","",MATCH(A5060,Calculation!B$2:B9627,1))</f>
        <v/>
      </c>
      <c r="E5060" s="29" t="str">
        <f t="array" ref="E5060">IF(D5060="","",IF(D5060=1,0,INDEX(Calculation!Q$2:Q9627,D5060-1)))</f>
        <v/>
      </c>
      <c r="F5060" s="29" t="str">
        <f t="array" ref="F5060">IF($A5060="","",
  LET(
    r, $D5060,
    startD, INDEX(Calculation!B$2:B9627, r),
    endD,   INDEX(Calculation!C$2:C9627, r),
    asOf,   MIN($A5060,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61">
      <c r="A5061" s="28"/>
      <c r="B5061" s="29"/>
      <c r="C5061" s="29" t="str">
        <f t="shared" si="1"/>
        <v/>
      </c>
      <c r="D5061" s="6" t="str">
        <f>IF(A5061="","",MATCH(A5061,Calculation!B$2:B9627,1))</f>
        <v/>
      </c>
      <c r="E5061" s="29" t="str">
        <f t="array" ref="E5061">IF(D5061="","",IF(D5061=1,0,INDEX(Calculation!Q$2:Q9627,D5061-1)))</f>
        <v/>
      </c>
      <c r="F5061" s="29" t="str">
        <f t="array" ref="F5061">IF($A5061="","",
  LET(
    r, $D5061,
    startD, INDEX(Calculation!B$2:B9627, r),
    endD,   INDEX(Calculation!C$2:C9627, r),
    asOf,   MIN($A5061,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62">
      <c r="A5062" s="28"/>
      <c r="B5062" s="29"/>
      <c r="C5062" s="29" t="str">
        <f t="shared" si="1"/>
        <v/>
      </c>
      <c r="D5062" s="6" t="str">
        <f>IF(A5062="","",MATCH(A5062,Calculation!B$2:B9627,1))</f>
        <v/>
      </c>
      <c r="E5062" s="29" t="str">
        <f t="array" ref="E5062">IF(D5062="","",IF(D5062=1,0,INDEX(Calculation!Q$2:Q9627,D5062-1)))</f>
        <v/>
      </c>
      <c r="F5062" s="29" t="str">
        <f t="array" ref="F5062">IF($A5062="","",
  LET(
    r, $D5062,
    startD, INDEX(Calculation!B$2:B9627, r),
    endD,   INDEX(Calculation!C$2:C9627, r),
    asOf,   MIN($A5062,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63">
      <c r="A5063" s="28"/>
      <c r="B5063" s="29"/>
      <c r="C5063" s="29" t="str">
        <f t="shared" si="1"/>
        <v/>
      </c>
      <c r="D5063" s="6" t="str">
        <f>IF(A5063="","",MATCH(A5063,Calculation!B$2:B9627,1))</f>
        <v/>
      </c>
      <c r="E5063" s="29" t="str">
        <f t="array" ref="E5063">IF(D5063="","",IF(D5063=1,0,INDEX(Calculation!Q$2:Q9627,D5063-1)))</f>
        <v/>
      </c>
      <c r="F5063" s="29" t="str">
        <f t="array" ref="F5063">IF($A5063="","",
  LET(
    r, $D5063,
    startD, INDEX(Calculation!B$2:B9627, r),
    endD,   INDEX(Calculation!C$2:C9627, r),
    asOf,   MIN($A5063,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64">
      <c r="A5064" s="28"/>
      <c r="B5064" s="29"/>
      <c r="C5064" s="29" t="str">
        <f t="shared" si="1"/>
        <v/>
      </c>
      <c r="D5064" s="6" t="str">
        <f>IF(A5064="","",MATCH(A5064,Calculation!B$2:B9627,1))</f>
        <v/>
      </c>
      <c r="E5064" s="29" t="str">
        <f t="array" ref="E5064">IF(D5064="","",IF(D5064=1,0,INDEX(Calculation!Q$2:Q9627,D5064-1)))</f>
        <v/>
      </c>
      <c r="F5064" s="29" t="str">
        <f t="array" ref="F5064">IF($A5064="","",
  LET(
    r, $D5064,
    startD, INDEX(Calculation!B$2:B9627, r),
    endD,   INDEX(Calculation!C$2:C9627, r),
    asOf,   MIN($A5064,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65">
      <c r="A5065" s="28"/>
      <c r="B5065" s="29"/>
      <c r="C5065" s="29" t="str">
        <f t="shared" si="1"/>
        <v/>
      </c>
      <c r="D5065" s="6" t="str">
        <f>IF(A5065="","",MATCH(A5065,Calculation!B$2:B9627,1))</f>
        <v/>
      </c>
      <c r="E5065" s="29" t="str">
        <f t="array" ref="E5065">IF(D5065="","",IF(D5065=1,0,INDEX(Calculation!Q$2:Q9627,D5065-1)))</f>
        <v/>
      </c>
      <c r="F5065" s="29" t="str">
        <f t="array" ref="F5065">IF($A5065="","",
  LET(
    r, $D5065,
    startD, INDEX(Calculation!B$2:B9627, r),
    endD,   INDEX(Calculation!C$2:C9627, r),
    asOf,   MIN($A5065,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66">
      <c r="A5066" s="28"/>
      <c r="B5066" s="29"/>
      <c r="C5066" s="29" t="str">
        <f t="shared" si="1"/>
        <v/>
      </c>
      <c r="D5066" s="6" t="str">
        <f>IF(A5066="","",MATCH(A5066,Calculation!B$2:B9627,1))</f>
        <v/>
      </c>
      <c r="E5066" s="29" t="str">
        <f t="array" ref="E5066">IF(D5066="","",IF(D5066=1,0,INDEX(Calculation!Q$2:Q9627,D5066-1)))</f>
        <v/>
      </c>
      <c r="F5066" s="29" t="str">
        <f t="array" ref="F5066">IF($A5066="","",
  LET(
    r, $D5066,
    startD, INDEX(Calculation!B$2:B9627, r),
    endD,   INDEX(Calculation!C$2:C9627, r),
    asOf,   MIN($A5066,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67">
      <c r="A5067" s="28"/>
      <c r="B5067" s="29"/>
      <c r="C5067" s="29" t="str">
        <f t="shared" si="1"/>
        <v/>
      </c>
      <c r="D5067" s="6" t="str">
        <f>IF(A5067="","",MATCH(A5067,Calculation!B$2:B9627,1))</f>
        <v/>
      </c>
      <c r="E5067" s="29" t="str">
        <f t="array" ref="E5067">IF(D5067="","",IF(D5067=1,0,INDEX(Calculation!Q$2:Q9627,D5067-1)))</f>
        <v/>
      </c>
      <c r="F5067" s="29" t="str">
        <f t="array" ref="F5067">IF($A5067="","",
  LET(
    r, $D5067,
    startD, INDEX(Calculation!B$2:B9627, r),
    endD,   INDEX(Calculation!C$2:C9627, r),
    asOf,   MIN($A5067,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68">
      <c r="A5068" s="28"/>
      <c r="B5068" s="29"/>
      <c r="C5068" s="29" t="str">
        <f t="shared" si="1"/>
        <v/>
      </c>
      <c r="D5068" s="6" t="str">
        <f>IF(A5068="","",MATCH(A5068,Calculation!B$2:B9627,1))</f>
        <v/>
      </c>
      <c r="E5068" s="29" t="str">
        <f t="array" ref="E5068">IF(D5068="","",IF(D5068=1,0,INDEX(Calculation!Q$2:Q9627,D5068-1)))</f>
        <v/>
      </c>
      <c r="F5068" s="29" t="str">
        <f t="array" ref="F5068">IF($A5068="","",
  LET(
    r, $D5068,
    startD, INDEX(Calculation!B$2:B9627, r),
    endD,   INDEX(Calculation!C$2:C9627, r),
    asOf,   MIN($A5068,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69">
      <c r="A5069" s="28"/>
      <c r="B5069" s="29"/>
      <c r="C5069" s="29" t="str">
        <f t="shared" si="1"/>
        <v/>
      </c>
      <c r="D5069" s="6" t="str">
        <f>IF(A5069="","",MATCH(A5069,Calculation!B$2:B9627,1))</f>
        <v/>
      </c>
      <c r="E5069" s="29" t="str">
        <f t="array" ref="E5069">IF(D5069="","",IF(D5069=1,0,INDEX(Calculation!Q$2:Q9627,D5069-1)))</f>
        <v/>
      </c>
      <c r="F5069" s="29" t="str">
        <f t="array" ref="F5069">IF($A5069="","",
  LET(
    r, $D5069,
    startD, INDEX(Calculation!B$2:B9627, r),
    endD,   INDEX(Calculation!C$2:C9627, r),
    asOf,   MIN($A5069,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70">
      <c r="A5070" s="28"/>
      <c r="B5070" s="29"/>
      <c r="C5070" s="29" t="str">
        <f t="shared" si="1"/>
        <v/>
      </c>
      <c r="D5070" s="6" t="str">
        <f>IF(A5070="","",MATCH(A5070,Calculation!B$2:B9627,1))</f>
        <v/>
      </c>
      <c r="E5070" s="29" t="str">
        <f t="array" ref="E5070">IF(D5070="","",IF(D5070=1,0,INDEX(Calculation!Q$2:Q9627,D5070-1)))</f>
        <v/>
      </c>
      <c r="F5070" s="29" t="str">
        <f t="array" ref="F5070">IF($A5070="","",
  LET(
    r, $D5070,
    startD, INDEX(Calculation!B$2:B9627, r),
    endD,   INDEX(Calculation!C$2:C9627, r),
    asOf,   MIN($A5070,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71">
      <c r="A5071" s="28"/>
      <c r="B5071" s="29"/>
      <c r="C5071" s="29" t="str">
        <f t="shared" si="1"/>
        <v/>
      </c>
      <c r="D5071" s="6" t="str">
        <f>IF(A5071="","",MATCH(A5071,Calculation!B$2:B9627,1))</f>
        <v/>
      </c>
      <c r="E5071" s="29" t="str">
        <f t="array" ref="E5071">IF(D5071="","",IF(D5071=1,0,INDEX(Calculation!Q$2:Q9627,D5071-1)))</f>
        <v/>
      </c>
      <c r="F5071" s="29" t="str">
        <f t="array" ref="F5071">IF($A5071="","",
  LET(
    r, $D5071,
    startD, INDEX(Calculation!B$2:B9627, r),
    endD,   INDEX(Calculation!C$2:C9627, r),
    asOf,   MIN($A5071,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72">
      <c r="A5072" s="28"/>
      <c r="B5072" s="29"/>
      <c r="C5072" s="29" t="str">
        <f t="shared" si="1"/>
        <v/>
      </c>
      <c r="D5072" s="6" t="str">
        <f>IF(A5072="","",MATCH(A5072,Calculation!B$2:B9627,1))</f>
        <v/>
      </c>
      <c r="E5072" s="29" t="str">
        <f t="array" ref="E5072">IF(D5072="","",IF(D5072=1,0,INDEX(Calculation!Q$2:Q9627,D5072-1)))</f>
        <v/>
      </c>
      <c r="F5072" s="29" t="str">
        <f t="array" ref="F5072">IF($A5072="","",
  LET(
    r, $D5072,
    startD, INDEX(Calculation!B$2:B9627, r),
    endD,   INDEX(Calculation!C$2:C9627, r),
    asOf,   MIN($A5072,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73">
      <c r="A5073" s="28"/>
      <c r="B5073" s="29"/>
      <c r="C5073" s="29" t="str">
        <f t="shared" si="1"/>
        <v/>
      </c>
      <c r="D5073" s="6" t="str">
        <f>IF(A5073="","",MATCH(A5073,Calculation!B$2:B9627,1))</f>
        <v/>
      </c>
      <c r="E5073" s="29" t="str">
        <f t="array" ref="E5073">IF(D5073="","",IF(D5073=1,0,INDEX(Calculation!Q$2:Q9627,D5073-1)))</f>
        <v/>
      </c>
      <c r="F5073" s="29" t="str">
        <f t="array" ref="F5073">IF($A5073="","",
  LET(
    r, $D5073,
    startD, INDEX(Calculation!B$2:B9627, r),
    endD,   INDEX(Calculation!C$2:C9627, r),
    asOf,   MIN($A5073,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74">
      <c r="A5074" s="28"/>
      <c r="B5074" s="29"/>
      <c r="C5074" s="29" t="str">
        <f t="shared" si="1"/>
        <v/>
      </c>
      <c r="D5074" s="6" t="str">
        <f>IF(A5074="","",MATCH(A5074,Calculation!B$2:B9627,1))</f>
        <v/>
      </c>
      <c r="E5074" s="29" t="str">
        <f t="array" ref="E5074">IF(D5074="","",IF(D5074=1,0,INDEX(Calculation!Q$2:Q9627,D5074-1)))</f>
        <v/>
      </c>
      <c r="F5074" s="29" t="str">
        <f t="array" ref="F5074">IF($A5074="","",
  LET(
    r, $D5074,
    startD, INDEX(Calculation!B$2:B9627, r),
    endD,   INDEX(Calculation!C$2:C9627, r),
    asOf,   MIN($A5074,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75">
      <c r="A5075" s="28"/>
      <c r="B5075" s="29"/>
      <c r="C5075" s="29" t="str">
        <f t="shared" si="1"/>
        <v/>
      </c>
      <c r="D5075" s="6" t="str">
        <f>IF(A5075="","",MATCH(A5075,Calculation!B$2:B9627,1))</f>
        <v/>
      </c>
      <c r="E5075" s="29" t="str">
        <f t="array" ref="E5075">IF(D5075="","",IF(D5075=1,0,INDEX(Calculation!Q$2:Q9627,D5075-1)))</f>
        <v/>
      </c>
      <c r="F5075" s="29" t="str">
        <f t="array" ref="F5075">IF($A5075="","",
  LET(
    r, $D5075,
    startD, INDEX(Calculation!B$2:B9627, r),
    endD,   INDEX(Calculation!C$2:C9627, r),
    asOf,   MIN($A5075,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76">
      <c r="A5076" s="28"/>
      <c r="B5076" s="29"/>
      <c r="C5076" s="29" t="str">
        <f t="shared" si="1"/>
        <v/>
      </c>
      <c r="D5076" s="6" t="str">
        <f>IF(A5076="","",MATCH(A5076,Calculation!B$2:B9627,1))</f>
        <v/>
      </c>
      <c r="E5076" s="29" t="str">
        <f t="array" ref="E5076">IF(D5076="","",IF(D5076=1,0,INDEX(Calculation!Q$2:Q9627,D5076-1)))</f>
        <v/>
      </c>
      <c r="F5076" s="29" t="str">
        <f t="array" ref="F5076">IF($A5076="","",
  LET(
    r, $D5076,
    startD, INDEX(Calculation!B$2:B9627, r),
    endD,   INDEX(Calculation!C$2:C9627, r),
    asOf,   MIN($A5076,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77">
      <c r="A5077" s="28"/>
      <c r="B5077" s="29"/>
      <c r="C5077" s="29" t="str">
        <f t="shared" si="1"/>
        <v/>
      </c>
      <c r="D5077" s="6" t="str">
        <f>IF(A5077="","",MATCH(A5077,Calculation!B$2:B9627,1))</f>
        <v/>
      </c>
      <c r="E5077" s="29" t="str">
        <f t="array" ref="E5077">IF(D5077="","",IF(D5077=1,0,INDEX(Calculation!Q$2:Q9627,D5077-1)))</f>
        <v/>
      </c>
      <c r="F5077" s="29" t="str">
        <f t="array" ref="F5077">IF($A5077="","",
  LET(
    r, $D5077,
    startD, INDEX(Calculation!B$2:B9627, r),
    endD,   INDEX(Calculation!C$2:C9627, r),
    asOf,   MIN($A5077,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78">
      <c r="A5078" s="28"/>
      <c r="B5078" s="29"/>
      <c r="C5078" s="29" t="str">
        <f t="shared" si="1"/>
        <v/>
      </c>
      <c r="D5078" s="6" t="str">
        <f>IF(A5078="","",MATCH(A5078,Calculation!B$2:B9627,1))</f>
        <v/>
      </c>
      <c r="E5078" s="29" t="str">
        <f t="array" ref="E5078">IF(D5078="","",IF(D5078=1,0,INDEX(Calculation!Q$2:Q9627,D5078-1)))</f>
        <v/>
      </c>
      <c r="F5078" s="29" t="str">
        <f t="array" ref="F5078">IF($A5078="","",
  LET(
    r, $D5078,
    startD, INDEX(Calculation!B$2:B9627, r),
    endD,   INDEX(Calculation!C$2:C9627, r),
    asOf,   MIN($A5078,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79">
      <c r="A5079" s="28"/>
      <c r="B5079" s="29"/>
      <c r="C5079" s="29" t="str">
        <f t="shared" si="1"/>
        <v/>
      </c>
      <c r="D5079" s="6" t="str">
        <f>IF(A5079="","",MATCH(A5079,Calculation!B$2:B9627,1))</f>
        <v/>
      </c>
      <c r="E5079" s="29" t="str">
        <f t="array" ref="E5079">IF(D5079="","",IF(D5079=1,0,INDEX(Calculation!Q$2:Q9627,D5079-1)))</f>
        <v/>
      </c>
      <c r="F5079" s="29" t="str">
        <f t="array" ref="F5079">IF($A5079="","",
  LET(
    r, $D5079,
    startD, INDEX(Calculation!B$2:B9627, r),
    endD,   INDEX(Calculation!C$2:C9627, r),
    asOf,   MIN($A5079,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80">
      <c r="A5080" s="28"/>
      <c r="B5080" s="29"/>
      <c r="C5080" s="29" t="str">
        <f t="shared" si="1"/>
        <v/>
      </c>
      <c r="D5080" s="6" t="str">
        <f>IF(A5080="","",MATCH(A5080,Calculation!B$2:B9627,1))</f>
        <v/>
      </c>
      <c r="E5080" s="29" t="str">
        <f t="array" ref="E5080">IF(D5080="","",IF(D5080=1,0,INDEX(Calculation!Q$2:Q9627,D5080-1)))</f>
        <v/>
      </c>
      <c r="F5080" s="29" t="str">
        <f t="array" ref="F5080">IF($A5080="","",
  LET(
    r, $D5080,
    startD, INDEX(Calculation!B$2:B9627, r),
    endD,   INDEX(Calculation!C$2:C9627, r),
    asOf,   MIN($A5080,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81">
      <c r="A5081" s="28"/>
      <c r="B5081" s="29"/>
      <c r="C5081" s="29" t="str">
        <f t="shared" si="1"/>
        <v/>
      </c>
      <c r="D5081" s="6" t="str">
        <f>IF(A5081="","",MATCH(A5081,Calculation!B$2:B9627,1))</f>
        <v/>
      </c>
      <c r="E5081" s="29" t="str">
        <f t="array" ref="E5081">IF(D5081="","",IF(D5081=1,0,INDEX(Calculation!Q$2:Q9627,D5081-1)))</f>
        <v/>
      </c>
      <c r="F5081" s="29" t="str">
        <f t="array" ref="F5081">IF($A5081="","",
  LET(
    r, $D5081,
    startD, INDEX(Calculation!B$2:B9627, r),
    endD,   INDEX(Calculation!C$2:C9627, r),
    asOf,   MIN($A5081,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82">
      <c r="A5082" s="28"/>
      <c r="B5082" s="29"/>
      <c r="C5082" s="29" t="str">
        <f t="shared" si="1"/>
        <v/>
      </c>
      <c r="D5082" s="6" t="str">
        <f>IF(A5082="","",MATCH(A5082,Calculation!B$2:B9627,1))</f>
        <v/>
      </c>
      <c r="E5082" s="29" t="str">
        <f t="array" ref="E5082">IF(D5082="","",IF(D5082=1,0,INDEX(Calculation!Q$2:Q9627,D5082-1)))</f>
        <v/>
      </c>
      <c r="F5082" s="29" t="str">
        <f t="array" ref="F5082">IF($A5082="","",
  LET(
    r, $D5082,
    startD, INDEX(Calculation!B$2:B9627, r),
    endD,   INDEX(Calculation!C$2:C9627, r),
    asOf,   MIN($A5082,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83">
      <c r="A5083" s="28"/>
      <c r="B5083" s="29"/>
      <c r="C5083" s="29" t="str">
        <f t="shared" si="1"/>
        <v/>
      </c>
      <c r="D5083" s="6" t="str">
        <f>IF(A5083="","",MATCH(A5083,Calculation!B$2:B9627,1))</f>
        <v/>
      </c>
      <c r="E5083" s="29" t="str">
        <f t="array" ref="E5083">IF(D5083="","",IF(D5083=1,0,INDEX(Calculation!Q$2:Q9627,D5083-1)))</f>
        <v/>
      </c>
      <c r="F5083" s="29" t="str">
        <f t="array" ref="F5083">IF($A5083="","",
  LET(
    r, $D5083,
    startD, INDEX(Calculation!B$2:B9627, r),
    endD,   INDEX(Calculation!C$2:C9627, r),
    asOf,   MIN($A5083,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84">
      <c r="A5084" s="28"/>
      <c r="B5084" s="29"/>
      <c r="C5084" s="29" t="str">
        <f t="shared" si="1"/>
        <v/>
      </c>
      <c r="D5084" s="6" t="str">
        <f>IF(A5084="","",MATCH(A5084,Calculation!B$2:B9627,1))</f>
        <v/>
      </c>
      <c r="E5084" s="29" t="str">
        <f t="array" ref="E5084">IF(D5084="","",IF(D5084=1,0,INDEX(Calculation!Q$2:Q9627,D5084-1)))</f>
        <v/>
      </c>
      <c r="F5084" s="29" t="str">
        <f t="array" ref="F5084">IF($A5084="","",
  LET(
    r, $D5084,
    startD, INDEX(Calculation!B$2:B9627, r),
    endD,   INDEX(Calculation!C$2:C9627, r),
    asOf,   MIN($A5084,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85">
      <c r="A5085" s="28"/>
      <c r="B5085" s="29"/>
      <c r="C5085" s="29" t="str">
        <f t="shared" si="1"/>
        <v/>
      </c>
      <c r="D5085" s="6" t="str">
        <f>IF(A5085="","",MATCH(A5085,Calculation!B$2:B9627,1))</f>
        <v/>
      </c>
      <c r="E5085" s="29" t="str">
        <f t="array" ref="E5085">IF(D5085="","",IF(D5085=1,0,INDEX(Calculation!Q$2:Q9627,D5085-1)))</f>
        <v/>
      </c>
      <c r="F5085" s="29" t="str">
        <f t="array" ref="F5085">IF($A5085="","",
  LET(
    r, $D5085,
    startD, INDEX(Calculation!B$2:B9627, r),
    endD,   INDEX(Calculation!C$2:C9627, r),
    asOf,   MIN($A5085,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86">
      <c r="A5086" s="28"/>
      <c r="B5086" s="29"/>
      <c r="C5086" s="29" t="str">
        <f t="shared" si="1"/>
        <v/>
      </c>
      <c r="D5086" s="6" t="str">
        <f>IF(A5086="","",MATCH(A5086,Calculation!B$2:B9627,1))</f>
        <v/>
      </c>
      <c r="E5086" s="29" t="str">
        <f t="array" ref="E5086">IF(D5086="","",IF(D5086=1,0,INDEX(Calculation!Q$2:Q9627,D5086-1)))</f>
        <v/>
      </c>
      <c r="F5086" s="29" t="str">
        <f t="array" ref="F5086">IF($A5086="","",
  LET(
    r, $D5086,
    startD, INDEX(Calculation!B$2:B9627, r),
    endD,   INDEX(Calculation!C$2:C9627, r),
    asOf,   MIN($A5086,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87">
      <c r="A5087" s="28"/>
      <c r="B5087" s="29"/>
      <c r="C5087" s="29" t="str">
        <f t="shared" si="1"/>
        <v/>
      </c>
      <c r="D5087" s="6" t="str">
        <f>IF(A5087="","",MATCH(A5087,Calculation!B$2:B9627,1))</f>
        <v/>
      </c>
      <c r="E5087" s="29" t="str">
        <f t="array" ref="E5087">IF(D5087="","",IF(D5087=1,0,INDEX(Calculation!Q$2:Q9627,D5087-1)))</f>
        <v/>
      </c>
      <c r="F5087" s="29" t="str">
        <f t="array" ref="F5087">IF($A5087="","",
  LET(
    r, $D5087,
    startD, INDEX(Calculation!B$2:B9627, r),
    endD,   INDEX(Calculation!C$2:C9627, r),
    asOf,   MIN($A5087,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88">
      <c r="A5088" s="28"/>
      <c r="B5088" s="29"/>
      <c r="C5088" s="29" t="str">
        <f t="shared" si="1"/>
        <v/>
      </c>
      <c r="D5088" s="6" t="str">
        <f>IF(A5088="","",MATCH(A5088,Calculation!B$2:B9627,1))</f>
        <v/>
      </c>
      <c r="E5088" s="29" t="str">
        <f t="array" ref="E5088">IF(D5088="","",IF(D5088=1,0,INDEX(Calculation!Q$2:Q9627,D5088-1)))</f>
        <v/>
      </c>
      <c r="F5088" s="29" t="str">
        <f t="array" ref="F5088">IF($A5088="","",
  LET(
    r, $D5088,
    startD, INDEX(Calculation!B$2:B9627, r),
    endD,   INDEX(Calculation!C$2:C9627, r),
    asOf,   MIN($A5088,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89">
      <c r="A5089" s="28"/>
      <c r="B5089" s="29"/>
      <c r="C5089" s="29" t="str">
        <f t="shared" si="1"/>
        <v/>
      </c>
      <c r="D5089" s="6" t="str">
        <f>IF(A5089="","",MATCH(A5089,Calculation!B$2:B9627,1))</f>
        <v/>
      </c>
      <c r="E5089" s="29" t="str">
        <f t="array" ref="E5089">IF(D5089="","",IF(D5089=1,0,INDEX(Calculation!Q$2:Q9627,D5089-1)))</f>
        <v/>
      </c>
      <c r="F5089" s="29" t="str">
        <f t="array" ref="F5089">IF($A5089="","",
  LET(
    r, $D5089,
    startD, INDEX(Calculation!B$2:B9627, r),
    endD,   INDEX(Calculation!C$2:C9627, r),
    asOf,   MIN($A5089,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90">
      <c r="A5090" s="28"/>
      <c r="B5090" s="29"/>
      <c r="C5090" s="29" t="str">
        <f t="shared" si="1"/>
        <v/>
      </c>
      <c r="D5090" s="6" t="str">
        <f>IF(A5090="","",MATCH(A5090,Calculation!B$2:B9627,1))</f>
        <v/>
      </c>
      <c r="E5090" s="29" t="str">
        <f t="array" ref="E5090">IF(D5090="","",IF(D5090=1,0,INDEX(Calculation!Q$2:Q9627,D5090-1)))</f>
        <v/>
      </c>
      <c r="F5090" s="29" t="str">
        <f t="array" ref="F5090">IF($A5090="","",
  LET(
    r, $D5090,
    startD, INDEX(Calculation!B$2:B9627, r),
    endD,   INDEX(Calculation!C$2:C9627, r),
    asOf,   MIN($A5090,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91">
      <c r="A5091" s="28"/>
      <c r="B5091" s="29"/>
      <c r="C5091" s="29" t="str">
        <f t="shared" si="1"/>
        <v/>
      </c>
      <c r="D5091" s="6" t="str">
        <f>IF(A5091="","",MATCH(A5091,Calculation!B$2:B9627,1))</f>
        <v/>
      </c>
      <c r="E5091" s="29" t="str">
        <f t="array" ref="E5091">IF(D5091="","",IF(D5091=1,0,INDEX(Calculation!Q$2:Q9627,D5091-1)))</f>
        <v/>
      </c>
      <c r="F5091" s="29" t="str">
        <f t="array" ref="F5091">IF($A5091="","",
  LET(
    r, $D5091,
    startD, INDEX(Calculation!B$2:B9627, r),
    endD,   INDEX(Calculation!C$2:C9627, r),
    asOf,   MIN($A5091,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92">
      <c r="A5092" s="28"/>
      <c r="B5092" s="29"/>
      <c r="C5092" s="29" t="str">
        <f t="shared" si="1"/>
        <v/>
      </c>
      <c r="D5092" s="6" t="str">
        <f>IF(A5092="","",MATCH(A5092,Calculation!B$2:B9627,1))</f>
        <v/>
      </c>
      <c r="E5092" s="29" t="str">
        <f t="array" ref="E5092">IF(D5092="","",IF(D5092=1,0,INDEX(Calculation!Q$2:Q9627,D5092-1)))</f>
        <v/>
      </c>
      <c r="F5092" s="29" t="str">
        <f t="array" ref="F5092">IF($A5092="","",
  LET(
    r, $D5092,
    startD, INDEX(Calculation!B$2:B9627, r),
    endD,   INDEX(Calculation!C$2:C9627, r),
    asOf,   MIN($A5092,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93">
      <c r="A5093" s="28"/>
      <c r="B5093" s="29"/>
      <c r="C5093" s="29" t="str">
        <f t="shared" si="1"/>
        <v/>
      </c>
      <c r="D5093" s="6" t="str">
        <f>IF(A5093="","",MATCH(A5093,Calculation!B$2:B9627,1))</f>
        <v/>
      </c>
      <c r="E5093" s="29" t="str">
        <f t="array" ref="E5093">IF(D5093="","",IF(D5093=1,0,INDEX(Calculation!Q$2:Q9627,D5093-1)))</f>
        <v/>
      </c>
      <c r="F5093" s="29" t="str">
        <f t="array" ref="F5093">IF($A5093="","",
  LET(
    r, $D5093,
    startD, INDEX(Calculation!B$2:B9627, r),
    endD,   INDEX(Calculation!C$2:C9627, r),
    asOf,   MIN($A5093,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94">
      <c r="A5094" s="28"/>
      <c r="B5094" s="29"/>
      <c r="C5094" s="29" t="str">
        <f t="shared" si="1"/>
        <v/>
      </c>
      <c r="D5094" s="6" t="str">
        <f>IF(A5094="","",MATCH(A5094,Calculation!B$2:B9627,1))</f>
        <v/>
      </c>
      <c r="E5094" s="29" t="str">
        <f t="array" ref="E5094">IF(D5094="","",IF(D5094=1,0,INDEX(Calculation!Q$2:Q9627,D5094-1)))</f>
        <v/>
      </c>
      <c r="F5094" s="29" t="str">
        <f t="array" ref="F5094">IF($A5094="","",
  LET(
    r, $D5094,
    startD, INDEX(Calculation!B$2:B9627, r),
    endD,   INDEX(Calculation!C$2:C9627, r),
    asOf,   MIN($A5094,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95">
      <c r="A5095" s="28"/>
      <c r="B5095" s="29"/>
      <c r="C5095" s="29" t="str">
        <f t="shared" si="1"/>
        <v/>
      </c>
      <c r="D5095" s="6" t="str">
        <f>IF(A5095="","",MATCH(A5095,Calculation!B$2:B9627,1))</f>
        <v/>
      </c>
      <c r="E5095" s="29" t="str">
        <f t="array" ref="E5095">IF(D5095="","",IF(D5095=1,0,INDEX(Calculation!Q$2:Q9627,D5095-1)))</f>
        <v/>
      </c>
      <c r="F5095" s="29" t="str">
        <f t="array" ref="F5095">IF($A5095="","",
  LET(
    r, $D5095,
    startD, INDEX(Calculation!B$2:B9627, r),
    endD,   INDEX(Calculation!C$2:C9627, r),
    asOf,   MIN($A5095,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96">
      <c r="A5096" s="28"/>
      <c r="B5096" s="29"/>
      <c r="C5096" s="29" t="str">
        <f t="shared" si="1"/>
        <v/>
      </c>
      <c r="D5096" s="6" t="str">
        <f>IF(A5096="","",MATCH(A5096,Calculation!B$2:B9627,1))</f>
        <v/>
      </c>
      <c r="E5096" s="29" t="str">
        <f t="array" ref="E5096">IF(D5096="","",IF(D5096=1,0,INDEX(Calculation!Q$2:Q9627,D5096-1)))</f>
        <v/>
      </c>
      <c r="F5096" s="29" t="str">
        <f t="array" ref="F5096">IF($A5096="","",
  LET(
    r, $D5096,
    startD, INDEX(Calculation!B$2:B9627, r),
    endD,   INDEX(Calculation!C$2:C9627, r),
    asOf,   MIN($A5096,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97">
      <c r="A5097" s="28"/>
      <c r="B5097" s="29"/>
      <c r="C5097" s="29" t="str">
        <f t="shared" si="1"/>
        <v/>
      </c>
      <c r="D5097" s="6" t="str">
        <f>IF(A5097="","",MATCH(A5097,Calculation!B$2:B9627,1))</f>
        <v/>
      </c>
      <c r="E5097" s="29" t="str">
        <f t="array" ref="E5097">IF(D5097="","",IF(D5097=1,0,INDEX(Calculation!Q$2:Q9627,D5097-1)))</f>
        <v/>
      </c>
      <c r="F5097" s="29" t="str">
        <f t="array" ref="F5097">IF($A5097="","",
  LET(
    r, $D5097,
    startD, INDEX(Calculation!B$2:B9627, r),
    endD,   INDEX(Calculation!C$2:C9627, r),
    asOf,   MIN($A5097,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98">
      <c r="A5098" s="28"/>
      <c r="B5098" s="29"/>
      <c r="C5098" s="29" t="str">
        <f t="shared" si="1"/>
        <v/>
      </c>
      <c r="D5098" s="6" t="str">
        <f>IF(A5098="","",MATCH(A5098,Calculation!B$2:B9627,1))</f>
        <v/>
      </c>
      <c r="E5098" s="29" t="str">
        <f t="array" ref="E5098">IF(D5098="","",IF(D5098=1,0,INDEX(Calculation!Q$2:Q9627,D5098-1)))</f>
        <v/>
      </c>
      <c r="F5098" s="29" t="str">
        <f t="array" ref="F5098">IF($A5098="","",
  LET(
    r, $D5098,
    startD, INDEX(Calculation!B$2:B9627, r),
    endD,   INDEX(Calculation!C$2:C9627, r),
    asOf,   MIN($A5098,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099">
      <c r="A5099" s="28"/>
      <c r="B5099" s="29"/>
      <c r="C5099" s="29" t="str">
        <f t="shared" si="1"/>
        <v/>
      </c>
      <c r="D5099" s="6" t="str">
        <f>IF(A5099="","",MATCH(A5099,Calculation!B$2:B9627,1))</f>
        <v/>
      </c>
      <c r="E5099" s="29" t="str">
        <f t="array" ref="E5099">IF(D5099="","",IF(D5099=1,0,INDEX(Calculation!Q$2:Q9627,D5099-1)))</f>
        <v/>
      </c>
      <c r="F5099" s="29" t="str">
        <f t="array" ref="F5099">IF($A5099="","",
  LET(
    r, $D5099,
    startD, INDEX(Calculation!B$2:B9627, r),
    endD,   INDEX(Calculation!C$2:C9627, r),
    asOf,   MIN($A5099,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00">
      <c r="A5100" s="28"/>
      <c r="B5100" s="29"/>
      <c r="C5100" s="29" t="str">
        <f t="shared" si="1"/>
        <v/>
      </c>
      <c r="D5100" s="6" t="str">
        <f>IF(A5100="","",MATCH(A5100,Calculation!B$2:B9627,1))</f>
        <v/>
      </c>
      <c r="E5100" s="29" t="str">
        <f t="array" ref="E5100">IF(D5100="","",IF(D5100=1,0,INDEX(Calculation!Q$2:Q9627,D5100-1)))</f>
        <v/>
      </c>
      <c r="F5100" s="29" t="str">
        <f t="array" ref="F5100">IF($A5100="","",
  LET(
    r, $D5100,
    startD, INDEX(Calculation!B$2:B9627, r),
    endD,   INDEX(Calculation!C$2:C9627, r),
    asOf,   MIN($A5100,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01">
      <c r="A5101" s="28"/>
      <c r="B5101" s="29"/>
      <c r="C5101" s="29" t="str">
        <f t="shared" si="1"/>
        <v/>
      </c>
      <c r="D5101" s="6" t="str">
        <f>IF(A5101="","",MATCH(A5101,Calculation!B$2:B9627,1))</f>
        <v/>
      </c>
      <c r="E5101" s="29" t="str">
        <f t="array" ref="E5101">IF(D5101="","",IF(D5101=1,0,INDEX(Calculation!Q$2:Q9627,D5101-1)))</f>
        <v/>
      </c>
      <c r="F5101" s="29" t="str">
        <f t="array" ref="F5101">IF($A5101="","",
  LET(
    r, $D5101,
    startD, INDEX(Calculation!B$2:B9627, r),
    endD,   INDEX(Calculation!C$2:C9627, r),
    asOf,   MIN($A5101,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02">
      <c r="A5102" s="28"/>
      <c r="B5102" s="29"/>
      <c r="C5102" s="29" t="str">
        <f t="shared" si="1"/>
        <v/>
      </c>
      <c r="D5102" s="6" t="str">
        <f>IF(A5102="","",MATCH(A5102,Calculation!B$2:B9627,1))</f>
        <v/>
      </c>
      <c r="E5102" s="29" t="str">
        <f t="array" ref="E5102">IF(D5102="","",IF(D5102=1,0,INDEX(Calculation!Q$2:Q9627,D5102-1)))</f>
        <v/>
      </c>
      <c r="F5102" s="29" t="str">
        <f t="array" ref="F5102">IF($A5102="","",
  LET(
    r, $D5102,
    startD, INDEX(Calculation!B$2:B9627, r),
    endD,   INDEX(Calculation!C$2:C9627, r),
    asOf,   MIN($A5102,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03">
      <c r="A5103" s="28"/>
      <c r="B5103" s="29"/>
      <c r="C5103" s="29" t="str">
        <f t="shared" si="1"/>
        <v/>
      </c>
      <c r="D5103" s="6" t="str">
        <f>IF(A5103="","",MATCH(A5103,Calculation!B$2:B9627,1))</f>
        <v/>
      </c>
      <c r="E5103" s="29" t="str">
        <f t="array" ref="E5103">IF(D5103="","",IF(D5103=1,0,INDEX(Calculation!Q$2:Q9627,D5103-1)))</f>
        <v/>
      </c>
      <c r="F5103" s="29" t="str">
        <f t="array" ref="F5103">IF($A5103="","",
  LET(
    r, $D5103,
    startD, INDEX(Calculation!B$2:B9627, r),
    endD,   INDEX(Calculation!C$2:C9627, r),
    asOf,   MIN($A5103,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04">
      <c r="A5104" s="28"/>
      <c r="B5104" s="29"/>
      <c r="C5104" s="29" t="str">
        <f t="shared" si="1"/>
        <v/>
      </c>
      <c r="D5104" s="6" t="str">
        <f>IF(A5104="","",MATCH(A5104,Calculation!B$2:B9627,1))</f>
        <v/>
      </c>
      <c r="E5104" s="29" t="str">
        <f t="array" ref="E5104">IF(D5104="","",IF(D5104=1,0,INDEX(Calculation!Q$2:Q9627,D5104-1)))</f>
        <v/>
      </c>
      <c r="F5104" s="29" t="str">
        <f t="array" ref="F5104">IF($A5104="","",
  LET(
    r, $D5104,
    startD, INDEX(Calculation!B$2:B9627, r),
    endD,   INDEX(Calculation!C$2:C9627, r),
    asOf,   MIN($A5104,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05">
      <c r="A5105" s="28"/>
      <c r="B5105" s="29"/>
      <c r="C5105" s="29" t="str">
        <f t="shared" si="1"/>
        <v/>
      </c>
      <c r="D5105" s="6" t="str">
        <f>IF(A5105="","",MATCH(A5105,Calculation!B$2:B9627,1))</f>
        <v/>
      </c>
      <c r="E5105" s="29" t="str">
        <f t="array" ref="E5105">IF(D5105="","",IF(D5105=1,0,INDEX(Calculation!Q$2:Q9627,D5105-1)))</f>
        <v/>
      </c>
      <c r="F5105" s="29" t="str">
        <f t="array" ref="F5105">IF($A5105="","",
  LET(
    r, $D5105,
    startD, INDEX(Calculation!B$2:B9627, r),
    endD,   INDEX(Calculation!C$2:C9627, r),
    asOf,   MIN($A5105,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06">
      <c r="A5106" s="28"/>
      <c r="B5106" s="29"/>
      <c r="C5106" s="29" t="str">
        <f t="shared" si="1"/>
        <v/>
      </c>
      <c r="D5106" s="6" t="str">
        <f>IF(A5106="","",MATCH(A5106,Calculation!B$2:B9627,1))</f>
        <v/>
      </c>
      <c r="E5106" s="29" t="str">
        <f t="array" ref="E5106">IF(D5106="","",IF(D5106=1,0,INDEX(Calculation!Q$2:Q9627,D5106-1)))</f>
        <v/>
      </c>
      <c r="F5106" s="29" t="str">
        <f t="array" ref="F5106">IF($A5106="","",
  LET(
    r, $D5106,
    startD, INDEX(Calculation!B$2:B9627, r),
    endD,   INDEX(Calculation!C$2:C9627, r),
    asOf,   MIN($A5106,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07">
      <c r="A5107" s="28"/>
      <c r="B5107" s="29"/>
      <c r="C5107" s="29" t="str">
        <f t="shared" si="1"/>
        <v/>
      </c>
      <c r="D5107" s="6" t="str">
        <f>IF(A5107="","",MATCH(A5107,Calculation!B$2:B9627,1))</f>
        <v/>
      </c>
      <c r="E5107" s="29" t="str">
        <f t="array" ref="E5107">IF(D5107="","",IF(D5107=1,0,INDEX(Calculation!Q$2:Q9627,D5107-1)))</f>
        <v/>
      </c>
      <c r="F5107" s="29" t="str">
        <f t="array" ref="F5107">IF($A5107="","",
  LET(
    r, $D5107,
    startD, INDEX(Calculation!B$2:B9627, r),
    endD,   INDEX(Calculation!C$2:C9627, r),
    asOf,   MIN($A5107,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08">
      <c r="A5108" s="28"/>
      <c r="B5108" s="29"/>
      <c r="C5108" s="29" t="str">
        <f t="shared" si="1"/>
        <v/>
      </c>
      <c r="D5108" s="6" t="str">
        <f>IF(A5108="","",MATCH(A5108,Calculation!B$2:B9627,1))</f>
        <v/>
      </c>
      <c r="E5108" s="29" t="str">
        <f t="array" ref="E5108">IF(D5108="","",IF(D5108=1,0,INDEX(Calculation!Q$2:Q9627,D5108-1)))</f>
        <v/>
      </c>
      <c r="F5108" s="29" t="str">
        <f t="array" ref="F5108">IF($A5108="","",
  LET(
    r, $D5108,
    startD, INDEX(Calculation!B$2:B9627, r),
    endD,   INDEX(Calculation!C$2:C9627, r),
    asOf,   MIN($A5108,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09">
      <c r="A5109" s="28"/>
      <c r="B5109" s="29"/>
      <c r="C5109" s="29" t="str">
        <f t="shared" si="1"/>
        <v/>
      </c>
      <c r="D5109" s="6" t="str">
        <f>IF(A5109="","",MATCH(A5109,Calculation!B$2:B9627,1))</f>
        <v/>
      </c>
      <c r="E5109" s="29" t="str">
        <f t="array" ref="E5109">IF(D5109="","",IF(D5109=1,0,INDEX(Calculation!Q$2:Q9627,D5109-1)))</f>
        <v/>
      </c>
      <c r="F5109" s="29" t="str">
        <f t="array" ref="F5109">IF($A5109="","",
  LET(
    r, $D5109,
    startD, INDEX(Calculation!B$2:B9627, r),
    endD,   INDEX(Calculation!C$2:C9627, r),
    asOf,   MIN($A5109,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10">
      <c r="A5110" s="28"/>
      <c r="B5110" s="29"/>
      <c r="C5110" s="29" t="str">
        <f t="shared" si="1"/>
        <v/>
      </c>
      <c r="D5110" s="6" t="str">
        <f>IF(A5110="","",MATCH(A5110,Calculation!B$2:B9627,1))</f>
        <v/>
      </c>
      <c r="E5110" s="29" t="str">
        <f t="array" ref="E5110">IF(D5110="","",IF(D5110=1,0,INDEX(Calculation!Q$2:Q9627,D5110-1)))</f>
        <v/>
      </c>
      <c r="F5110" s="29" t="str">
        <f t="array" ref="F5110">IF($A5110="","",
  LET(
    r, $D5110,
    startD, INDEX(Calculation!B$2:B9627, r),
    endD,   INDEX(Calculation!C$2:C9627, r),
    asOf,   MIN($A5110,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11">
      <c r="A5111" s="28"/>
      <c r="B5111" s="29"/>
      <c r="C5111" s="29" t="str">
        <f t="shared" si="1"/>
        <v/>
      </c>
      <c r="D5111" s="6" t="str">
        <f>IF(A5111="","",MATCH(A5111,Calculation!B$2:B9627,1))</f>
        <v/>
      </c>
      <c r="E5111" s="29" t="str">
        <f t="array" ref="E5111">IF(D5111="","",IF(D5111=1,0,INDEX(Calculation!Q$2:Q9627,D5111-1)))</f>
        <v/>
      </c>
      <c r="F5111" s="29" t="str">
        <f t="array" ref="F5111">IF($A5111="","",
  LET(
    r, $D5111,
    startD, INDEX(Calculation!B$2:B9627, r),
    endD,   INDEX(Calculation!C$2:C9627, r),
    asOf,   MIN($A5111,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12">
      <c r="A5112" s="28"/>
      <c r="B5112" s="29"/>
      <c r="C5112" s="29" t="str">
        <f t="shared" si="1"/>
        <v/>
      </c>
      <c r="D5112" s="6" t="str">
        <f>IF(A5112="","",MATCH(A5112,Calculation!B$2:B9627,1))</f>
        <v/>
      </c>
      <c r="E5112" s="29" t="str">
        <f t="array" ref="E5112">IF(D5112="","",IF(D5112=1,0,INDEX(Calculation!Q$2:Q9627,D5112-1)))</f>
        <v/>
      </c>
      <c r="F5112" s="29" t="str">
        <f t="array" ref="F5112">IF($A5112="","",
  LET(
    r, $D5112,
    startD, INDEX(Calculation!B$2:B9627, r),
    endD,   INDEX(Calculation!C$2:C9627, r),
    asOf,   MIN($A5112,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13">
      <c r="A5113" s="28"/>
      <c r="B5113" s="29"/>
      <c r="C5113" s="29" t="str">
        <f t="shared" si="1"/>
        <v/>
      </c>
      <c r="D5113" s="6" t="str">
        <f>IF(A5113="","",MATCH(A5113,Calculation!B$2:B9627,1))</f>
        <v/>
      </c>
      <c r="E5113" s="29" t="str">
        <f t="array" ref="E5113">IF(D5113="","",IF(D5113=1,0,INDEX(Calculation!Q$2:Q9627,D5113-1)))</f>
        <v/>
      </c>
      <c r="F5113" s="29" t="str">
        <f t="array" ref="F5113">IF($A5113="","",
  LET(
    r, $D5113,
    startD, INDEX(Calculation!B$2:B9627, r),
    endD,   INDEX(Calculation!C$2:C9627, r),
    asOf,   MIN($A5113,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14">
      <c r="A5114" s="28"/>
      <c r="B5114" s="29"/>
      <c r="C5114" s="29" t="str">
        <f t="shared" si="1"/>
        <v/>
      </c>
      <c r="D5114" s="6" t="str">
        <f>IF(A5114="","",MATCH(A5114,Calculation!B$2:B9627,1))</f>
        <v/>
      </c>
      <c r="E5114" s="29" t="str">
        <f t="array" ref="E5114">IF(D5114="","",IF(D5114=1,0,INDEX(Calculation!Q$2:Q9627,D5114-1)))</f>
        <v/>
      </c>
      <c r="F5114" s="29" t="str">
        <f t="array" ref="F5114">IF($A5114="","",
  LET(
    r, $D5114,
    startD, INDEX(Calculation!B$2:B9627, r),
    endD,   INDEX(Calculation!C$2:C9627, r),
    asOf,   MIN($A5114,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15">
      <c r="A5115" s="28"/>
      <c r="B5115" s="29"/>
      <c r="C5115" s="29" t="str">
        <f t="shared" si="1"/>
        <v/>
      </c>
      <c r="D5115" s="6" t="str">
        <f>IF(A5115="","",MATCH(A5115,Calculation!B$2:B9627,1))</f>
        <v/>
      </c>
      <c r="E5115" s="29" t="str">
        <f t="array" ref="E5115">IF(D5115="","",IF(D5115=1,0,INDEX(Calculation!Q$2:Q9627,D5115-1)))</f>
        <v/>
      </c>
      <c r="F5115" s="29" t="str">
        <f t="array" ref="F5115">IF($A5115="","",
  LET(
    r, $D5115,
    startD, INDEX(Calculation!B$2:B9627, r),
    endD,   INDEX(Calculation!C$2:C9627, r),
    asOf,   MIN($A5115,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16">
      <c r="A5116" s="28"/>
      <c r="B5116" s="29"/>
      <c r="C5116" s="29" t="str">
        <f t="shared" si="1"/>
        <v/>
      </c>
      <c r="D5116" s="6" t="str">
        <f>IF(A5116="","",MATCH(A5116,Calculation!B$2:B9627,1))</f>
        <v/>
      </c>
      <c r="E5116" s="29" t="str">
        <f t="array" ref="E5116">IF(D5116="","",IF(D5116=1,0,INDEX(Calculation!Q$2:Q9627,D5116-1)))</f>
        <v/>
      </c>
      <c r="F5116" s="29" t="str">
        <f t="array" ref="F5116">IF($A5116="","",
  LET(
    r, $D5116,
    startD, INDEX(Calculation!B$2:B9627, r),
    endD,   INDEX(Calculation!C$2:C9627, r),
    asOf,   MIN($A5116,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17">
      <c r="A5117" s="28"/>
      <c r="B5117" s="29"/>
      <c r="C5117" s="29" t="str">
        <f t="shared" si="1"/>
        <v/>
      </c>
      <c r="D5117" s="6" t="str">
        <f>IF(A5117="","",MATCH(A5117,Calculation!B$2:B9627,1))</f>
        <v/>
      </c>
      <c r="E5117" s="29" t="str">
        <f t="array" ref="E5117">IF(D5117="","",IF(D5117=1,0,INDEX(Calculation!Q$2:Q9627,D5117-1)))</f>
        <v/>
      </c>
      <c r="F5117" s="29" t="str">
        <f t="array" ref="F5117">IF($A5117="","",
  LET(
    r, $D5117,
    startD, INDEX(Calculation!B$2:B9627, r),
    endD,   INDEX(Calculation!C$2:C9627, r),
    asOf,   MIN($A5117,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18">
      <c r="A5118" s="28"/>
      <c r="B5118" s="29"/>
      <c r="C5118" s="29" t="str">
        <f t="shared" si="1"/>
        <v/>
      </c>
      <c r="D5118" s="6" t="str">
        <f>IF(A5118="","",MATCH(A5118,Calculation!B$2:B9627,1))</f>
        <v/>
      </c>
      <c r="E5118" s="29" t="str">
        <f t="array" ref="E5118">IF(D5118="","",IF(D5118=1,0,INDEX(Calculation!Q$2:Q9627,D5118-1)))</f>
        <v/>
      </c>
      <c r="F5118" s="29" t="str">
        <f t="array" ref="F5118">IF($A5118="","",
  LET(
    r, $D5118,
    startD, INDEX(Calculation!B$2:B9627, r),
    endD,   INDEX(Calculation!C$2:C9627, r),
    asOf,   MIN($A5118,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19">
      <c r="A5119" s="28"/>
      <c r="B5119" s="29"/>
      <c r="C5119" s="29" t="str">
        <f t="shared" si="1"/>
        <v/>
      </c>
      <c r="D5119" s="6" t="str">
        <f>IF(A5119="","",MATCH(A5119,Calculation!B$2:B9627,1))</f>
        <v/>
      </c>
      <c r="E5119" s="29" t="str">
        <f t="array" ref="E5119">IF(D5119="","",IF(D5119=1,0,INDEX(Calculation!Q$2:Q9627,D5119-1)))</f>
        <v/>
      </c>
      <c r="F5119" s="29" t="str">
        <f t="array" ref="F5119">IF($A5119="","",
  LET(
    r, $D5119,
    startD, INDEX(Calculation!B$2:B9627, r),
    endD,   INDEX(Calculation!C$2:C9627, r),
    asOf,   MIN($A5119,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20">
      <c r="A5120" s="28"/>
      <c r="B5120" s="29"/>
      <c r="C5120" s="29" t="str">
        <f t="shared" si="1"/>
        <v/>
      </c>
      <c r="D5120" s="6" t="str">
        <f>IF(A5120="","",MATCH(A5120,Calculation!B$2:B9627,1))</f>
        <v/>
      </c>
      <c r="E5120" s="29" t="str">
        <f t="array" ref="E5120">IF(D5120="","",IF(D5120=1,0,INDEX(Calculation!Q$2:Q9627,D5120-1)))</f>
        <v/>
      </c>
      <c r="F5120" s="29" t="str">
        <f t="array" ref="F5120">IF($A5120="","",
  LET(
    r, $D5120,
    startD, INDEX(Calculation!B$2:B9627, r),
    endD,   INDEX(Calculation!C$2:C9627, r),
    asOf,   MIN($A5120,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21">
      <c r="A5121" s="28"/>
      <c r="B5121" s="29"/>
      <c r="C5121" s="29" t="str">
        <f t="shared" si="1"/>
        <v/>
      </c>
      <c r="D5121" s="6" t="str">
        <f>IF(A5121="","",MATCH(A5121,Calculation!B$2:B9627,1))</f>
        <v/>
      </c>
      <c r="E5121" s="29" t="str">
        <f t="array" ref="E5121">IF(D5121="","",IF(D5121=1,0,INDEX(Calculation!Q$2:Q9627,D5121-1)))</f>
        <v/>
      </c>
      <c r="F5121" s="29" t="str">
        <f t="array" ref="F5121">IF($A5121="","",
  LET(
    r, $D5121,
    startD, INDEX(Calculation!B$2:B9627, r),
    endD,   INDEX(Calculation!C$2:C9627, r),
    asOf,   MIN($A5121,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22">
      <c r="A5122" s="28"/>
      <c r="B5122" s="29"/>
      <c r="C5122" s="29" t="str">
        <f t="shared" si="1"/>
        <v/>
      </c>
      <c r="D5122" s="6" t="str">
        <f>IF(A5122="","",MATCH(A5122,Calculation!B$2:B9627,1))</f>
        <v/>
      </c>
      <c r="E5122" s="29" t="str">
        <f t="array" ref="E5122">IF(D5122="","",IF(D5122=1,0,INDEX(Calculation!Q$2:Q9627,D5122-1)))</f>
        <v/>
      </c>
      <c r="F5122" s="29" t="str">
        <f t="array" ref="F5122">IF($A5122="","",
  LET(
    r, $D5122,
    startD, INDEX(Calculation!B$2:B9627, r),
    endD,   INDEX(Calculation!C$2:C9627, r),
    asOf,   MIN($A5122,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23">
      <c r="A5123" s="28"/>
      <c r="B5123" s="29"/>
      <c r="C5123" s="29" t="str">
        <f t="shared" si="1"/>
        <v/>
      </c>
      <c r="D5123" s="6" t="str">
        <f>IF(A5123="","",MATCH(A5123,Calculation!B$2:B9627,1))</f>
        <v/>
      </c>
      <c r="E5123" s="29" t="str">
        <f t="array" ref="E5123">IF(D5123="","",IF(D5123=1,0,INDEX(Calculation!Q$2:Q9627,D5123-1)))</f>
        <v/>
      </c>
      <c r="F5123" s="29" t="str">
        <f t="array" ref="F5123">IF($A5123="","",
  LET(
    r, $D5123,
    startD, INDEX(Calculation!B$2:B9627, r),
    endD,   INDEX(Calculation!C$2:C9627, r),
    asOf,   MIN($A5123,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24">
      <c r="A5124" s="28"/>
      <c r="B5124" s="29"/>
      <c r="C5124" s="29" t="str">
        <f t="shared" si="1"/>
        <v/>
      </c>
      <c r="D5124" s="6" t="str">
        <f>IF(A5124="","",MATCH(A5124,Calculation!B$2:B9627,1))</f>
        <v/>
      </c>
      <c r="E5124" s="29" t="str">
        <f t="array" ref="E5124">IF(D5124="","",IF(D5124=1,0,INDEX(Calculation!Q$2:Q9627,D5124-1)))</f>
        <v/>
      </c>
      <c r="F5124" s="29" t="str">
        <f t="array" ref="F5124">IF($A5124="","",
  LET(
    r, $D5124,
    startD, INDEX(Calculation!B$2:B9627, r),
    endD,   INDEX(Calculation!C$2:C9627, r),
    asOf,   MIN($A5124,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25">
      <c r="A5125" s="28"/>
      <c r="B5125" s="29"/>
      <c r="C5125" s="29" t="str">
        <f t="shared" si="1"/>
        <v/>
      </c>
      <c r="D5125" s="6" t="str">
        <f>IF(A5125="","",MATCH(A5125,Calculation!B$2:B9627,1))</f>
        <v/>
      </c>
      <c r="E5125" s="29" t="str">
        <f t="array" ref="E5125">IF(D5125="","",IF(D5125=1,0,INDEX(Calculation!Q$2:Q9627,D5125-1)))</f>
        <v/>
      </c>
      <c r="F5125" s="29" t="str">
        <f t="array" ref="F5125">IF($A5125="","",
  LET(
    r, $D5125,
    startD, INDEX(Calculation!B$2:B9627, r),
    endD,   INDEX(Calculation!C$2:C9627, r),
    asOf,   MIN($A5125,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26">
      <c r="A5126" s="28"/>
      <c r="B5126" s="29"/>
      <c r="C5126" s="29" t="str">
        <f t="shared" si="1"/>
        <v/>
      </c>
      <c r="D5126" s="6" t="str">
        <f>IF(A5126="","",MATCH(A5126,Calculation!B$2:B9627,1))</f>
        <v/>
      </c>
      <c r="E5126" s="29" t="str">
        <f t="array" ref="E5126">IF(D5126="","",IF(D5126=1,0,INDEX(Calculation!Q$2:Q9627,D5126-1)))</f>
        <v/>
      </c>
      <c r="F5126" s="29" t="str">
        <f t="array" ref="F5126">IF($A5126="","",
  LET(
    r, $D5126,
    startD, INDEX(Calculation!B$2:B9627, r),
    endD,   INDEX(Calculation!C$2:C9627, r),
    asOf,   MIN($A5126,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27">
      <c r="A5127" s="28"/>
      <c r="B5127" s="29"/>
      <c r="C5127" s="29" t="str">
        <f t="shared" si="1"/>
        <v/>
      </c>
      <c r="D5127" s="6" t="str">
        <f>IF(A5127="","",MATCH(A5127,Calculation!B$2:B9627,1))</f>
        <v/>
      </c>
      <c r="E5127" s="29" t="str">
        <f t="array" ref="E5127">IF(D5127="","",IF(D5127=1,0,INDEX(Calculation!Q$2:Q9627,D5127-1)))</f>
        <v/>
      </c>
      <c r="F5127" s="29" t="str">
        <f t="array" ref="F5127">IF($A5127="","",
  LET(
    r, $D5127,
    startD, INDEX(Calculation!B$2:B9627, r),
    endD,   INDEX(Calculation!C$2:C9627, r),
    asOf,   MIN($A5127,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28">
      <c r="A5128" s="28"/>
      <c r="B5128" s="29"/>
      <c r="C5128" s="29" t="str">
        <f t="shared" si="1"/>
        <v/>
      </c>
      <c r="D5128" s="6" t="str">
        <f>IF(A5128="","",MATCH(A5128,Calculation!B$2:B9627,1))</f>
        <v/>
      </c>
      <c r="E5128" s="29" t="str">
        <f t="array" ref="E5128">IF(D5128="","",IF(D5128=1,0,INDEX(Calculation!Q$2:Q9627,D5128-1)))</f>
        <v/>
      </c>
      <c r="F5128" s="29" t="str">
        <f t="array" ref="F5128">IF($A5128="","",
  LET(
    r, $D5128,
    startD, INDEX(Calculation!B$2:B9627, r),
    endD,   INDEX(Calculation!C$2:C9627, r),
    asOf,   MIN($A5128,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29">
      <c r="A5129" s="28"/>
      <c r="B5129" s="29"/>
      <c r="C5129" s="29" t="str">
        <f t="shared" si="1"/>
        <v/>
      </c>
      <c r="D5129" s="6" t="str">
        <f>IF(A5129="","",MATCH(A5129,Calculation!B$2:B9627,1))</f>
        <v/>
      </c>
      <c r="E5129" s="29" t="str">
        <f t="array" ref="E5129">IF(D5129="","",IF(D5129=1,0,INDEX(Calculation!Q$2:Q9627,D5129-1)))</f>
        <v/>
      </c>
      <c r="F5129" s="29" t="str">
        <f t="array" ref="F5129">IF($A5129="","",
  LET(
    r, $D5129,
    startD, INDEX(Calculation!B$2:B9627, r),
    endD,   INDEX(Calculation!C$2:C9627, r),
    asOf,   MIN($A5129,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30">
      <c r="A5130" s="28"/>
      <c r="B5130" s="29"/>
      <c r="C5130" s="29" t="str">
        <f t="shared" si="1"/>
        <v/>
      </c>
      <c r="D5130" s="6" t="str">
        <f>IF(A5130="","",MATCH(A5130,Calculation!B$2:B9627,1))</f>
        <v/>
      </c>
      <c r="E5130" s="29" t="str">
        <f t="array" ref="E5130">IF(D5130="","",IF(D5130=1,0,INDEX(Calculation!Q$2:Q9627,D5130-1)))</f>
        <v/>
      </c>
      <c r="F5130" s="29" t="str">
        <f t="array" ref="F5130">IF($A5130="","",
  LET(
    r, $D5130,
    startD, INDEX(Calculation!B$2:B9627, r),
    endD,   INDEX(Calculation!C$2:C9627, r),
    asOf,   MIN($A5130,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31">
      <c r="A5131" s="28"/>
      <c r="B5131" s="29"/>
      <c r="C5131" s="29" t="str">
        <f t="shared" si="1"/>
        <v/>
      </c>
      <c r="D5131" s="6" t="str">
        <f>IF(A5131="","",MATCH(A5131,Calculation!B$2:B9627,1))</f>
        <v/>
      </c>
      <c r="E5131" s="29" t="str">
        <f t="array" ref="E5131">IF(D5131="","",IF(D5131=1,0,INDEX(Calculation!Q$2:Q9627,D5131-1)))</f>
        <v/>
      </c>
      <c r="F5131" s="29" t="str">
        <f t="array" ref="F5131">IF($A5131="","",
  LET(
    r, $D5131,
    startD, INDEX(Calculation!B$2:B9627, r),
    endD,   INDEX(Calculation!C$2:C9627, r),
    asOf,   MIN($A5131,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32">
      <c r="A5132" s="28"/>
      <c r="B5132" s="29"/>
      <c r="C5132" s="29" t="str">
        <f t="shared" si="1"/>
        <v/>
      </c>
      <c r="D5132" s="6" t="str">
        <f>IF(A5132="","",MATCH(A5132,Calculation!B$2:B9627,1))</f>
        <v/>
      </c>
      <c r="E5132" s="29" t="str">
        <f t="array" ref="E5132">IF(D5132="","",IF(D5132=1,0,INDEX(Calculation!Q$2:Q9627,D5132-1)))</f>
        <v/>
      </c>
      <c r="F5132" s="29" t="str">
        <f t="array" ref="F5132">IF($A5132="","",
  LET(
    r, $D5132,
    startD, INDEX(Calculation!B$2:B9627, r),
    endD,   INDEX(Calculation!C$2:C9627, r),
    asOf,   MIN($A5132,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33">
      <c r="A5133" s="28"/>
      <c r="B5133" s="29"/>
      <c r="C5133" s="29" t="str">
        <f t="shared" si="1"/>
        <v/>
      </c>
      <c r="D5133" s="6" t="str">
        <f>IF(A5133="","",MATCH(A5133,Calculation!B$2:B9627,1))</f>
        <v/>
      </c>
      <c r="E5133" s="29" t="str">
        <f t="array" ref="E5133">IF(D5133="","",IF(D5133=1,0,INDEX(Calculation!Q$2:Q9627,D5133-1)))</f>
        <v/>
      </c>
      <c r="F5133" s="29" t="str">
        <f t="array" ref="F5133">IF($A5133="","",
  LET(
    r, $D5133,
    startD, INDEX(Calculation!B$2:B9627, r),
    endD,   INDEX(Calculation!C$2:C9627, r),
    asOf,   MIN($A5133,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34">
      <c r="A5134" s="28"/>
      <c r="B5134" s="29"/>
      <c r="C5134" s="29" t="str">
        <f t="shared" si="1"/>
        <v/>
      </c>
      <c r="D5134" s="6" t="str">
        <f>IF(A5134="","",MATCH(A5134,Calculation!B$2:B9627,1))</f>
        <v/>
      </c>
      <c r="E5134" s="29" t="str">
        <f t="array" ref="E5134">IF(D5134="","",IF(D5134=1,0,INDEX(Calculation!Q$2:Q9627,D5134-1)))</f>
        <v/>
      </c>
      <c r="F5134" s="29" t="str">
        <f t="array" ref="F5134">IF($A5134="","",
  LET(
    r, $D5134,
    startD, INDEX(Calculation!B$2:B9627, r),
    endD,   INDEX(Calculation!C$2:C9627, r),
    asOf,   MIN($A5134,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35">
      <c r="A5135" s="28"/>
      <c r="B5135" s="29"/>
      <c r="C5135" s="29" t="str">
        <f t="shared" si="1"/>
        <v/>
      </c>
      <c r="D5135" s="6" t="str">
        <f>IF(A5135="","",MATCH(A5135,Calculation!B$2:B9627,1))</f>
        <v/>
      </c>
      <c r="E5135" s="29" t="str">
        <f t="array" ref="E5135">IF(D5135="","",IF(D5135=1,0,INDEX(Calculation!Q$2:Q9627,D5135-1)))</f>
        <v/>
      </c>
      <c r="F5135" s="29" t="str">
        <f t="array" ref="F5135">IF($A5135="","",
  LET(
    r, $D5135,
    startD, INDEX(Calculation!B$2:B9627, r),
    endD,   INDEX(Calculation!C$2:C9627, r),
    asOf,   MIN($A5135,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36">
      <c r="A5136" s="28"/>
      <c r="B5136" s="29"/>
      <c r="C5136" s="29" t="str">
        <f t="shared" si="1"/>
        <v/>
      </c>
      <c r="D5136" s="6" t="str">
        <f>IF(A5136="","",MATCH(A5136,Calculation!B$2:B9627,1))</f>
        <v/>
      </c>
      <c r="E5136" s="29" t="str">
        <f t="array" ref="E5136">IF(D5136="","",IF(D5136=1,0,INDEX(Calculation!Q$2:Q9627,D5136-1)))</f>
        <v/>
      </c>
      <c r="F5136" s="29" t="str">
        <f t="array" ref="F5136">IF($A5136="","",
  LET(
    r, $D5136,
    startD, INDEX(Calculation!B$2:B9627, r),
    endD,   INDEX(Calculation!C$2:C9627, r),
    asOf,   MIN($A5136,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37">
      <c r="A5137" s="28"/>
      <c r="B5137" s="29"/>
      <c r="C5137" s="29" t="str">
        <f t="shared" si="1"/>
        <v/>
      </c>
      <c r="D5137" s="6" t="str">
        <f>IF(A5137="","",MATCH(A5137,Calculation!B$2:B9627,1))</f>
        <v/>
      </c>
      <c r="E5137" s="29" t="str">
        <f t="array" ref="E5137">IF(D5137="","",IF(D5137=1,0,INDEX(Calculation!Q$2:Q9627,D5137-1)))</f>
        <v/>
      </c>
      <c r="F5137" s="29" t="str">
        <f t="array" ref="F5137">IF($A5137="","",
  LET(
    r, $D5137,
    startD, INDEX(Calculation!B$2:B9627, r),
    endD,   INDEX(Calculation!C$2:C9627, r),
    asOf,   MIN($A5137,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38">
      <c r="A5138" s="28"/>
      <c r="B5138" s="29"/>
      <c r="C5138" s="29" t="str">
        <f t="shared" si="1"/>
        <v/>
      </c>
      <c r="D5138" s="6" t="str">
        <f>IF(A5138="","",MATCH(A5138,Calculation!B$2:B9627,1))</f>
        <v/>
      </c>
      <c r="E5138" s="29" t="str">
        <f t="array" ref="E5138">IF(D5138="","",IF(D5138=1,0,INDEX(Calculation!Q$2:Q9627,D5138-1)))</f>
        <v/>
      </c>
      <c r="F5138" s="29" t="str">
        <f t="array" ref="F5138">IF($A5138="","",
  LET(
    r, $D5138,
    startD, INDEX(Calculation!B$2:B9627, r),
    endD,   INDEX(Calculation!C$2:C9627, r),
    asOf,   MIN($A5138,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39">
      <c r="A5139" s="28"/>
      <c r="B5139" s="29"/>
      <c r="C5139" s="29" t="str">
        <f t="shared" si="1"/>
        <v/>
      </c>
      <c r="D5139" s="6" t="str">
        <f>IF(A5139="","",MATCH(A5139,Calculation!B$2:B9627,1))</f>
        <v/>
      </c>
      <c r="E5139" s="29" t="str">
        <f t="array" ref="E5139">IF(D5139="","",IF(D5139=1,0,INDEX(Calculation!Q$2:Q9627,D5139-1)))</f>
        <v/>
      </c>
      <c r="F5139" s="29" t="str">
        <f t="array" ref="F5139">IF($A5139="","",
  LET(
    r, $D5139,
    startD, INDEX(Calculation!B$2:B9627, r),
    endD,   INDEX(Calculation!C$2:C9627, r),
    asOf,   MIN($A5139,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40">
      <c r="A5140" s="28"/>
      <c r="B5140" s="29"/>
      <c r="C5140" s="29" t="str">
        <f t="shared" si="1"/>
        <v/>
      </c>
      <c r="D5140" s="6" t="str">
        <f>IF(A5140="","",MATCH(A5140,Calculation!B$2:B9627,1))</f>
        <v/>
      </c>
      <c r="E5140" s="29" t="str">
        <f t="array" ref="E5140">IF(D5140="","",IF(D5140=1,0,INDEX(Calculation!Q$2:Q9627,D5140-1)))</f>
        <v/>
      </c>
      <c r="F5140" s="29" t="str">
        <f t="array" ref="F5140">IF($A5140="","",
  LET(
    r, $D5140,
    startD, INDEX(Calculation!B$2:B9627, r),
    endD,   INDEX(Calculation!C$2:C9627, r),
    asOf,   MIN($A5140,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41">
      <c r="A5141" s="28"/>
      <c r="B5141" s="29"/>
      <c r="C5141" s="29" t="str">
        <f t="shared" si="1"/>
        <v/>
      </c>
      <c r="D5141" s="6" t="str">
        <f>IF(A5141="","",MATCH(A5141,Calculation!B$2:B9627,1))</f>
        <v/>
      </c>
      <c r="E5141" s="29" t="str">
        <f t="array" ref="E5141">IF(D5141="","",IF(D5141=1,0,INDEX(Calculation!Q$2:Q9627,D5141-1)))</f>
        <v/>
      </c>
      <c r="F5141" s="29" t="str">
        <f t="array" ref="F5141">IF($A5141="","",
  LET(
    r, $D5141,
    startD, INDEX(Calculation!B$2:B9627, r),
    endD,   INDEX(Calculation!C$2:C9627, r),
    asOf,   MIN($A5141,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42">
      <c r="A5142" s="28"/>
      <c r="B5142" s="29"/>
      <c r="C5142" s="29" t="str">
        <f t="shared" si="1"/>
        <v/>
      </c>
      <c r="D5142" s="6" t="str">
        <f>IF(A5142="","",MATCH(A5142,Calculation!B$2:B9627,1))</f>
        <v/>
      </c>
      <c r="E5142" s="29" t="str">
        <f t="array" ref="E5142">IF(D5142="","",IF(D5142=1,0,INDEX(Calculation!Q$2:Q9627,D5142-1)))</f>
        <v/>
      </c>
      <c r="F5142" s="29" t="str">
        <f t="array" ref="F5142">IF($A5142="","",
  LET(
    r, $D5142,
    startD, INDEX(Calculation!B$2:B9627, r),
    endD,   INDEX(Calculation!C$2:C9627, r),
    asOf,   MIN($A5142,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43">
      <c r="A5143" s="28"/>
      <c r="B5143" s="29"/>
      <c r="C5143" s="29" t="str">
        <f t="shared" si="1"/>
        <v/>
      </c>
      <c r="D5143" s="6" t="str">
        <f>IF(A5143="","",MATCH(A5143,Calculation!B$2:B9627,1))</f>
        <v/>
      </c>
      <c r="E5143" s="29" t="str">
        <f t="array" ref="E5143">IF(D5143="","",IF(D5143=1,0,INDEX(Calculation!Q$2:Q9627,D5143-1)))</f>
        <v/>
      </c>
      <c r="F5143" s="29" t="str">
        <f t="array" ref="F5143">IF($A5143="","",
  LET(
    r, $D5143,
    startD, INDEX(Calculation!B$2:B9627, r),
    endD,   INDEX(Calculation!C$2:C9627, r),
    asOf,   MIN($A5143,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44">
      <c r="A5144" s="28"/>
      <c r="B5144" s="29"/>
      <c r="C5144" s="29" t="str">
        <f t="shared" si="1"/>
        <v/>
      </c>
      <c r="D5144" s="6" t="str">
        <f>IF(A5144="","",MATCH(A5144,Calculation!B$2:B9627,1))</f>
        <v/>
      </c>
      <c r="E5144" s="29" t="str">
        <f t="array" ref="E5144">IF(D5144="","",IF(D5144=1,0,INDEX(Calculation!Q$2:Q9627,D5144-1)))</f>
        <v/>
      </c>
      <c r="F5144" s="29" t="str">
        <f t="array" ref="F5144">IF($A5144="","",
  LET(
    r, $D5144,
    startD, INDEX(Calculation!B$2:B9627, r),
    endD,   INDEX(Calculation!C$2:C9627, r),
    asOf,   MIN($A5144,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45">
      <c r="A5145" s="28"/>
      <c r="B5145" s="29"/>
      <c r="C5145" s="29" t="str">
        <f t="shared" si="1"/>
        <v/>
      </c>
      <c r="D5145" s="6" t="str">
        <f>IF(A5145="","",MATCH(A5145,Calculation!B$2:B9627,1))</f>
        <v/>
      </c>
      <c r="E5145" s="29" t="str">
        <f t="array" ref="E5145">IF(D5145="","",IF(D5145=1,0,INDEX(Calculation!Q$2:Q9627,D5145-1)))</f>
        <v/>
      </c>
      <c r="F5145" s="29" t="str">
        <f t="array" ref="F5145">IF($A5145="","",
  LET(
    r, $D5145,
    startD, INDEX(Calculation!B$2:B9627, r),
    endD,   INDEX(Calculation!C$2:C9627, r),
    asOf,   MIN($A5145,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46">
      <c r="A5146" s="28"/>
      <c r="B5146" s="29"/>
      <c r="C5146" s="29" t="str">
        <f t="shared" si="1"/>
        <v/>
      </c>
      <c r="D5146" s="6" t="str">
        <f>IF(A5146="","",MATCH(A5146,Calculation!B$2:B9627,1))</f>
        <v/>
      </c>
      <c r="E5146" s="29" t="str">
        <f t="array" ref="E5146">IF(D5146="","",IF(D5146=1,0,INDEX(Calculation!Q$2:Q9627,D5146-1)))</f>
        <v/>
      </c>
      <c r="F5146" s="29" t="str">
        <f t="array" ref="F5146">IF($A5146="","",
  LET(
    r, $D5146,
    startD, INDEX(Calculation!B$2:B9627, r),
    endD,   INDEX(Calculation!C$2:C9627, r),
    asOf,   MIN($A5146,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47">
      <c r="A5147" s="28"/>
      <c r="B5147" s="29"/>
      <c r="C5147" s="29" t="str">
        <f t="shared" si="1"/>
        <v/>
      </c>
      <c r="D5147" s="6" t="str">
        <f>IF(A5147="","",MATCH(A5147,Calculation!B$2:B9627,1))</f>
        <v/>
      </c>
      <c r="E5147" s="29" t="str">
        <f t="array" ref="E5147">IF(D5147="","",IF(D5147=1,0,INDEX(Calculation!Q$2:Q9627,D5147-1)))</f>
        <v/>
      </c>
      <c r="F5147" s="29" t="str">
        <f t="array" ref="F5147">IF($A5147="","",
  LET(
    r, $D5147,
    startD, INDEX(Calculation!B$2:B9627, r),
    endD,   INDEX(Calculation!C$2:C9627, r),
    asOf,   MIN($A5147,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48">
      <c r="A5148" s="28"/>
      <c r="B5148" s="29"/>
      <c r="C5148" s="29" t="str">
        <f t="shared" si="1"/>
        <v/>
      </c>
      <c r="D5148" s="6" t="str">
        <f>IF(A5148="","",MATCH(A5148,Calculation!B$2:B9627,1))</f>
        <v/>
      </c>
      <c r="E5148" s="29" t="str">
        <f t="array" ref="E5148">IF(D5148="","",IF(D5148=1,0,INDEX(Calculation!Q$2:Q9627,D5148-1)))</f>
        <v/>
      </c>
      <c r="F5148" s="29" t="str">
        <f t="array" ref="F5148">IF($A5148="","",
  LET(
    r, $D5148,
    startD, INDEX(Calculation!B$2:B9627, r),
    endD,   INDEX(Calculation!C$2:C9627, r),
    asOf,   MIN($A5148,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49">
      <c r="A5149" s="28"/>
      <c r="B5149" s="29"/>
      <c r="C5149" s="29" t="str">
        <f t="shared" si="1"/>
        <v/>
      </c>
      <c r="D5149" s="6" t="str">
        <f>IF(A5149="","",MATCH(A5149,Calculation!B$2:B9627,1))</f>
        <v/>
      </c>
      <c r="E5149" s="29" t="str">
        <f t="array" ref="E5149">IF(D5149="","",IF(D5149=1,0,INDEX(Calculation!Q$2:Q9627,D5149-1)))</f>
        <v/>
      </c>
      <c r="F5149" s="29" t="str">
        <f t="array" ref="F5149">IF($A5149="","",
  LET(
    r, $D5149,
    startD, INDEX(Calculation!B$2:B9627, r),
    endD,   INDEX(Calculation!C$2:C9627, r),
    asOf,   MIN($A5149,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50">
      <c r="A5150" s="28"/>
      <c r="B5150" s="29"/>
      <c r="C5150" s="29" t="str">
        <f t="shared" si="1"/>
        <v/>
      </c>
      <c r="D5150" s="6" t="str">
        <f>IF(A5150="","",MATCH(A5150,Calculation!B$2:B9627,1))</f>
        <v/>
      </c>
      <c r="E5150" s="29" t="str">
        <f t="array" ref="E5150">IF(D5150="","",IF(D5150=1,0,INDEX(Calculation!Q$2:Q9627,D5150-1)))</f>
        <v/>
      </c>
      <c r="F5150" s="29" t="str">
        <f t="array" ref="F5150">IF($A5150="","",
  LET(
    r, $D5150,
    startD, INDEX(Calculation!B$2:B9627, r),
    endD,   INDEX(Calculation!C$2:C9627, r),
    asOf,   MIN($A5150,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51">
      <c r="A5151" s="28"/>
      <c r="B5151" s="29"/>
      <c r="C5151" s="29" t="str">
        <f t="shared" si="1"/>
        <v/>
      </c>
      <c r="D5151" s="6" t="str">
        <f>IF(A5151="","",MATCH(A5151,Calculation!B$2:B9627,1))</f>
        <v/>
      </c>
      <c r="E5151" s="29" t="str">
        <f t="array" ref="E5151">IF(D5151="","",IF(D5151=1,0,INDEX(Calculation!Q$2:Q9627,D5151-1)))</f>
        <v/>
      </c>
      <c r="F5151" s="29" t="str">
        <f t="array" ref="F5151">IF($A5151="","",
  LET(
    r, $D5151,
    startD, INDEX(Calculation!B$2:B9627, r),
    endD,   INDEX(Calculation!C$2:C9627, r),
    asOf,   MIN($A5151,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52">
      <c r="A5152" s="28"/>
      <c r="B5152" s="29"/>
      <c r="C5152" s="29" t="str">
        <f t="shared" si="1"/>
        <v/>
      </c>
      <c r="D5152" s="6" t="str">
        <f>IF(A5152="","",MATCH(A5152,Calculation!B$2:B9627,1))</f>
        <v/>
      </c>
      <c r="E5152" s="29" t="str">
        <f t="array" ref="E5152">IF(D5152="","",IF(D5152=1,0,INDEX(Calculation!Q$2:Q9627,D5152-1)))</f>
        <v/>
      </c>
      <c r="F5152" s="29" t="str">
        <f t="array" ref="F5152">IF($A5152="","",
  LET(
    r, $D5152,
    startD, INDEX(Calculation!B$2:B9627, r),
    endD,   INDEX(Calculation!C$2:C9627, r),
    asOf,   MIN($A5152,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53">
      <c r="A5153" s="28"/>
      <c r="B5153" s="29"/>
      <c r="C5153" s="29" t="str">
        <f t="shared" si="1"/>
        <v/>
      </c>
      <c r="D5153" s="6" t="str">
        <f>IF(A5153="","",MATCH(A5153,Calculation!B$2:B9627,1))</f>
        <v/>
      </c>
      <c r="E5153" s="29" t="str">
        <f t="array" ref="E5153">IF(D5153="","",IF(D5153=1,0,INDEX(Calculation!Q$2:Q9627,D5153-1)))</f>
        <v/>
      </c>
      <c r="F5153" s="29" t="str">
        <f t="array" ref="F5153">IF($A5153="","",
  LET(
    r, $D5153,
    startD, INDEX(Calculation!B$2:B9627, r),
    endD,   INDEX(Calculation!C$2:C9627, r),
    asOf,   MIN($A5153,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54">
      <c r="A5154" s="28"/>
      <c r="B5154" s="29"/>
      <c r="C5154" s="29" t="str">
        <f t="shared" si="1"/>
        <v/>
      </c>
      <c r="D5154" s="6" t="str">
        <f>IF(A5154="","",MATCH(A5154,Calculation!B$2:B9627,1))</f>
        <v/>
      </c>
      <c r="E5154" s="29" t="str">
        <f t="array" ref="E5154">IF(D5154="","",IF(D5154=1,0,INDEX(Calculation!Q$2:Q9627,D5154-1)))</f>
        <v/>
      </c>
      <c r="F5154" s="29" t="str">
        <f t="array" ref="F5154">IF($A5154="","",
  LET(
    r, $D5154,
    startD, INDEX(Calculation!B$2:B9627, r),
    endD,   INDEX(Calculation!C$2:C9627, r),
    asOf,   MIN($A5154,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55">
      <c r="A5155" s="28"/>
      <c r="B5155" s="29"/>
      <c r="C5155" s="29" t="str">
        <f t="shared" si="1"/>
        <v/>
      </c>
      <c r="D5155" s="6" t="str">
        <f>IF(A5155="","",MATCH(A5155,Calculation!B$2:B9627,1))</f>
        <v/>
      </c>
      <c r="E5155" s="29" t="str">
        <f t="array" ref="E5155">IF(D5155="","",IF(D5155=1,0,INDEX(Calculation!Q$2:Q9627,D5155-1)))</f>
        <v/>
      </c>
      <c r="F5155" s="29" t="str">
        <f t="array" ref="F5155">IF($A5155="","",
  LET(
    r, $D5155,
    startD, INDEX(Calculation!B$2:B9627, r),
    endD,   INDEX(Calculation!C$2:C9627, r),
    asOf,   MIN($A5155,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56">
      <c r="A5156" s="28"/>
      <c r="B5156" s="29"/>
      <c r="C5156" s="29" t="str">
        <f t="shared" si="1"/>
        <v/>
      </c>
      <c r="D5156" s="6" t="str">
        <f>IF(A5156="","",MATCH(A5156,Calculation!B$2:B9627,1))</f>
        <v/>
      </c>
      <c r="E5156" s="29" t="str">
        <f t="array" ref="E5156">IF(D5156="","",IF(D5156=1,0,INDEX(Calculation!Q$2:Q9627,D5156-1)))</f>
        <v/>
      </c>
      <c r="F5156" s="29" t="str">
        <f t="array" ref="F5156">IF($A5156="","",
  LET(
    r, $D5156,
    startD, INDEX(Calculation!B$2:B9627, r),
    endD,   INDEX(Calculation!C$2:C9627, r),
    asOf,   MIN($A5156,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57">
      <c r="A5157" s="28"/>
      <c r="B5157" s="29"/>
      <c r="C5157" s="29" t="str">
        <f t="shared" si="1"/>
        <v/>
      </c>
      <c r="D5157" s="6" t="str">
        <f>IF(A5157="","",MATCH(A5157,Calculation!B$2:B9627,1))</f>
        <v/>
      </c>
      <c r="E5157" s="29" t="str">
        <f t="array" ref="E5157">IF(D5157="","",IF(D5157=1,0,INDEX(Calculation!Q$2:Q9627,D5157-1)))</f>
        <v/>
      </c>
      <c r="F5157" s="29" t="str">
        <f t="array" ref="F5157">IF($A5157="","",
  LET(
    r, $D5157,
    startD, INDEX(Calculation!B$2:B9627, r),
    endD,   INDEX(Calculation!C$2:C9627, r),
    asOf,   MIN($A5157,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58">
      <c r="A5158" s="28"/>
      <c r="B5158" s="29"/>
      <c r="C5158" s="29" t="str">
        <f t="shared" si="1"/>
        <v/>
      </c>
      <c r="D5158" s="6" t="str">
        <f>IF(A5158="","",MATCH(A5158,Calculation!B$2:B9627,1))</f>
        <v/>
      </c>
      <c r="E5158" s="29" t="str">
        <f t="array" ref="E5158">IF(D5158="","",IF(D5158=1,0,INDEX(Calculation!Q$2:Q9627,D5158-1)))</f>
        <v/>
      </c>
      <c r="F5158" s="29" t="str">
        <f t="array" ref="F5158">IF($A5158="","",
  LET(
    r, $D5158,
    startD, INDEX(Calculation!B$2:B9627, r),
    endD,   INDEX(Calculation!C$2:C9627, r),
    asOf,   MIN($A5158,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59">
      <c r="A5159" s="28"/>
      <c r="B5159" s="29"/>
      <c r="C5159" s="29" t="str">
        <f t="shared" si="1"/>
        <v/>
      </c>
      <c r="D5159" s="6" t="str">
        <f>IF(A5159="","",MATCH(A5159,Calculation!B$2:B9627,1))</f>
        <v/>
      </c>
      <c r="E5159" s="29" t="str">
        <f t="array" ref="E5159">IF(D5159="","",IF(D5159=1,0,INDEX(Calculation!Q$2:Q9627,D5159-1)))</f>
        <v/>
      </c>
      <c r="F5159" s="29" t="str">
        <f t="array" ref="F5159">IF($A5159="","",
  LET(
    r, $D5159,
    startD, INDEX(Calculation!B$2:B9627, r),
    endD,   INDEX(Calculation!C$2:C9627, r),
    asOf,   MIN($A5159,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60">
      <c r="A5160" s="28"/>
      <c r="B5160" s="29"/>
      <c r="C5160" s="29" t="str">
        <f t="shared" si="1"/>
        <v/>
      </c>
      <c r="D5160" s="6" t="str">
        <f>IF(A5160="","",MATCH(A5160,Calculation!B$2:B9627,1))</f>
        <v/>
      </c>
      <c r="E5160" s="29" t="str">
        <f t="array" ref="E5160">IF(D5160="","",IF(D5160=1,0,INDEX(Calculation!Q$2:Q9627,D5160-1)))</f>
        <v/>
      </c>
      <c r="F5160" s="29" t="str">
        <f t="array" ref="F5160">IF($A5160="","",
  LET(
    r, $D5160,
    startD, INDEX(Calculation!B$2:B9627, r),
    endD,   INDEX(Calculation!C$2:C9627, r),
    asOf,   MIN($A5160,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61">
      <c r="A5161" s="28"/>
      <c r="B5161" s="29"/>
      <c r="C5161" s="29" t="str">
        <f t="shared" si="1"/>
        <v/>
      </c>
      <c r="D5161" s="6" t="str">
        <f>IF(A5161="","",MATCH(A5161,Calculation!B$2:B9627,1))</f>
        <v/>
      </c>
      <c r="E5161" s="29" t="str">
        <f t="array" ref="E5161">IF(D5161="","",IF(D5161=1,0,INDEX(Calculation!Q$2:Q9627,D5161-1)))</f>
        <v/>
      </c>
      <c r="F5161" s="29" t="str">
        <f t="array" ref="F5161">IF($A5161="","",
  LET(
    r, $D5161,
    startD, INDEX(Calculation!B$2:B9627, r),
    endD,   INDEX(Calculation!C$2:C9627, r),
    asOf,   MIN($A5161,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62">
      <c r="A5162" s="28"/>
      <c r="B5162" s="29"/>
      <c r="C5162" s="29" t="str">
        <f t="shared" si="1"/>
        <v/>
      </c>
      <c r="D5162" s="6" t="str">
        <f>IF(A5162="","",MATCH(A5162,Calculation!B$2:B9627,1))</f>
        <v/>
      </c>
      <c r="E5162" s="29" t="str">
        <f t="array" ref="E5162">IF(D5162="","",IF(D5162=1,0,INDEX(Calculation!Q$2:Q9627,D5162-1)))</f>
        <v/>
      </c>
      <c r="F5162" s="29" t="str">
        <f t="array" ref="F5162">IF($A5162="","",
  LET(
    r, $D5162,
    startD, INDEX(Calculation!B$2:B9627, r),
    endD,   INDEX(Calculation!C$2:C9627, r),
    asOf,   MIN($A5162,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63">
      <c r="A5163" s="28"/>
      <c r="B5163" s="29"/>
      <c r="C5163" s="29" t="str">
        <f t="shared" si="1"/>
        <v/>
      </c>
      <c r="D5163" s="6" t="str">
        <f>IF(A5163="","",MATCH(A5163,Calculation!B$2:B9627,1))</f>
        <v/>
      </c>
      <c r="E5163" s="29" t="str">
        <f t="array" ref="E5163">IF(D5163="","",IF(D5163=1,0,INDEX(Calculation!Q$2:Q9627,D5163-1)))</f>
        <v/>
      </c>
      <c r="F5163" s="29" t="str">
        <f t="array" ref="F5163">IF($A5163="","",
  LET(
    r, $D5163,
    startD, INDEX(Calculation!B$2:B9627, r),
    endD,   INDEX(Calculation!C$2:C9627, r),
    asOf,   MIN($A5163,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64">
      <c r="A5164" s="28"/>
      <c r="B5164" s="29"/>
      <c r="C5164" s="29" t="str">
        <f t="shared" si="1"/>
        <v/>
      </c>
      <c r="D5164" s="6" t="str">
        <f>IF(A5164="","",MATCH(A5164,Calculation!B$2:B9627,1))</f>
        <v/>
      </c>
      <c r="E5164" s="29" t="str">
        <f t="array" ref="E5164">IF(D5164="","",IF(D5164=1,0,INDEX(Calculation!Q$2:Q9627,D5164-1)))</f>
        <v/>
      </c>
      <c r="F5164" s="29" t="str">
        <f t="array" ref="F5164">IF($A5164="","",
  LET(
    r, $D5164,
    startD, INDEX(Calculation!B$2:B9627, r),
    endD,   INDEX(Calculation!C$2:C9627, r),
    asOf,   MIN($A5164,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65">
      <c r="A5165" s="28"/>
      <c r="B5165" s="29"/>
      <c r="C5165" s="29" t="str">
        <f t="shared" si="1"/>
        <v/>
      </c>
      <c r="D5165" s="6" t="str">
        <f>IF(A5165="","",MATCH(A5165,Calculation!B$2:B9627,1))</f>
        <v/>
      </c>
      <c r="E5165" s="29" t="str">
        <f t="array" ref="E5165">IF(D5165="","",IF(D5165=1,0,INDEX(Calculation!Q$2:Q9627,D5165-1)))</f>
        <v/>
      </c>
      <c r="F5165" s="29" t="str">
        <f t="array" ref="F5165">IF($A5165="","",
  LET(
    r, $D5165,
    startD, INDEX(Calculation!B$2:B9627, r),
    endD,   INDEX(Calculation!C$2:C9627, r),
    asOf,   MIN($A5165,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66">
      <c r="A5166" s="28"/>
      <c r="B5166" s="29"/>
      <c r="C5166" s="29" t="str">
        <f t="shared" si="1"/>
        <v/>
      </c>
      <c r="D5166" s="6" t="str">
        <f>IF(A5166="","",MATCH(A5166,Calculation!B$2:B9627,1))</f>
        <v/>
      </c>
      <c r="E5166" s="29" t="str">
        <f t="array" ref="E5166">IF(D5166="","",IF(D5166=1,0,INDEX(Calculation!Q$2:Q9627,D5166-1)))</f>
        <v/>
      </c>
      <c r="F5166" s="29" t="str">
        <f t="array" ref="F5166">IF($A5166="","",
  LET(
    r, $D5166,
    startD, INDEX(Calculation!B$2:B9627, r),
    endD,   INDEX(Calculation!C$2:C9627, r),
    asOf,   MIN($A5166,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67">
      <c r="A5167" s="28"/>
      <c r="B5167" s="29"/>
      <c r="C5167" s="29" t="str">
        <f t="shared" si="1"/>
        <v/>
      </c>
      <c r="D5167" s="6" t="str">
        <f>IF(A5167="","",MATCH(A5167,Calculation!B$2:B9627,1))</f>
        <v/>
      </c>
      <c r="E5167" s="29" t="str">
        <f t="array" ref="E5167">IF(D5167="","",IF(D5167=1,0,INDEX(Calculation!Q$2:Q9627,D5167-1)))</f>
        <v/>
      </c>
      <c r="F5167" s="29" t="str">
        <f t="array" ref="F5167">IF($A5167="","",
  LET(
    r, $D5167,
    startD, INDEX(Calculation!B$2:B9627, r),
    endD,   INDEX(Calculation!C$2:C9627, r),
    asOf,   MIN($A5167,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68">
      <c r="A5168" s="28"/>
      <c r="B5168" s="29"/>
      <c r="C5168" s="29" t="str">
        <f t="shared" si="1"/>
        <v/>
      </c>
      <c r="D5168" s="6" t="str">
        <f>IF(A5168="","",MATCH(A5168,Calculation!B$2:B9627,1))</f>
        <v/>
      </c>
      <c r="E5168" s="29" t="str">
        <f t="array" ref="E5168">IF(D5168="","",IF(D5168=1,0,INDEX(Calculation!Q$2:Q9627,D5168-1)))</f>
        <v/>
      </c>
      <c r="F5168" s="29" t="str">
        <f t="array" ref="F5168">IF($A5168="","",
  LET(
    r, $D5168,
    startD, INDEX(Calculation!B$2:B9627, r),
    endD,   INDEX(Calculation!C$2:C9627, r),
    asOf,   MIN($A5168,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69">
      <c r="A5169" s="28"/>
      <c r="B5169" s="29"/>
      <c r="C5169" s="29" t="str">
        <f t="shared" si="1"/>
        <v/>
      </c>
      <c r="D5169" s="6" t="str">
        <f>IF(A5169="","",MATCH(A5169,Calculation!B$2:B9627,1))</f>
        <v/>
      </c>
      <c r="E5169" s="29" t="str">
        <f t="array" ref="E5169">IF(D5169="","",IF(D5169=1,0,INDEX(Calculation!Q$2:Q9627,D5169-1)))</f>
        <v/>
      </c>
      <c r="F5169" s="29" t="str">
        <f t="array" ref="F5169">IF($A5169="","",
  LET(
    r, $D5169,
    startD, INDEX(Calculation!B$2:B9627, r),
    endD,   INDEX(Calculation!C$2:C9627, r),
    asOf,   MIN($A5169,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70">
      <c r="A5170" s="28"/>
      <c r="B5170" s="29"/>
      <c r="C5170" s="29" t="str">
        <f t="shared" si="1"/>
        <v/>
      </c>
      <c r="D5170" s="6" t="str">
        <f>IF(A5170="","",MATCH(A5170,Calculation!B$2:B9627,1))</f>
        <v/>
      </c>
      <c r="E5170" s="29" t="str">
        <f t="array" ref="E5170">IF(D5170="","",IF(D5170=1,0,INDEX(Calculation!Q$2:Q9627,D5170-1)))</f>
        <v/>
      </c>
      <c r="F5170" s="29" t="str">
        <f t="array" ref="F5170">IF($A5170="","",
  LET(
    r, $D5170,
    startD, INDEX(Calculation!B$2:B9627, r),
    endD,   INDEX(Calculation!C$2:C9627, r),
    asOf,   MIN($A5170,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71">
      <c r="A5171" s="28"/>
      <c r="B5171" s="29"/>
      <c r="C5171" s="29" t="str">
        <f t="shared" si="1"/>
        <v/>
      </c>
      <c r="D5171" s="6" t="str">
        <f>IF(A5171="","",MATCH(A5171,Calculation!B$2:B9627,1))</f>
        <v/>
      </c>
      <c r="E5171" s="29" t="str">
        <f t="array" ref="E5171">IF(D5171="","",IF(D5171=1,0,INDEX(Calculation!Q$2:Q9627,D5171-1)))</f>
        <v/>
      </c>
      <c r="F5171" s="29" t="str">
        <f t="array" ref="F5171">IF($A5171="","",
  LET(
    r, $D5171,
    startD, INDEX(Calculation!B$2:B9627, r),
    endD,   INDEX(Calculation!C$2:C9627, r),
    asOf,   MIN($A5171,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72">
      <c r="A5172" s="28"/>
      <c r="B5172" s="29"/>
      <c r="C5172" s="29" t="str">
        <f t="shared" si="1"/>
        <v/>
      </c>
      <c r="D5172" s="6" t="str">
        <f>IF(A5172="","",MATCH(A5172,Calculation!B$2:B9627,1))</f>
        <v/>
      </c>
      <c r="E5172" s="29" t="str">
        <f t="array" ref="E5172">IF(D5172="","",IF(D5172=1,0,INDEX(Calculation!Q$2:Q9627,D5172-1)))</f>
        <v/>
      </c>
      <c r="F5172" s="29" t="str">
        <f t="array" ref="F5172">IF($A5172="","",
  LET(
    r, $D5172,
    startD, INDEX(Calculation!B$2:B9627, r),
    endD,   INDEX(Calculation!C$2:C9627, r),
    asOf,   MIN($A5172,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73">
      <c r="A5173" s="28"/>
      <c r="B5173" s="29"/>
      <c r="C5173" s="29" t="str">
        <f t="shared" si="1"/>
        <v/>
      </c>
      <c r="D5173" s="6" t="str">
        <f>IF(A5173="","",MATCH(A5173,Calculation!B$2:B9627,1))</f>
        <v/>
      </c>
      <c r="E5173" s="29" t="str">
        <f t="array" ref="E5173">IF(D5173="","",IF(D5173=1,0,INDEX(Calculation!Q$2:Q9627,D5173-1)))</f>
        <v/>
      </c>
      <c r="F5173" s="29" t="str">
        <f t="array" ref="F5173">IF($A5173="","",
  LET(
    r, $D5173,
    startD, INDEX(Calculation!B$2:B9627, r),
    endD,   INDEX(Calculation!C$2:C9627, r),
    asOf,   MIN($A5173,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74">
      <c r="A5174" s="28"/>
      <c r="B5174" s="29"/>
      <c r="C5174" s="29" t="str">
        <f t="shared" si="1"/>
        <v/>
      </c>
      <c r="D5174" s="6" t="str">
        <f>IF(A5174="","",MATCH(A5174,Calculation!B$2:B9627,1))</f>
        <v/>
      </c>
      <c r="E5174" s="29" t="str">
        <f t="array" ref="E5174">IF(D5174="","",IF(D5174=1,0,INDEX(Calculation!Q$2:Q9627,D5174-1)))</f>
        <v/>
      </c>
      <c r="F5174" s="29" t="str">
        <f t="array" ref="F5174">IF($A5174="","",
  LET(
    r, $D5174,
    startD, INDEX(Calculation!B$2:B9627, r),
    endD,   INDEX(Calculation!C$2:C9627, r),
    asOf,   MIN($A5174,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75">
      <c r="A5175" s="28"/>
      <c r="B5175" s="29"/>
      <c r="C5175" s="29" t="str">
        <f t="shared" si="1"/>
        <v/>
      </c>
      <c r="D5175" s="6" t="str">
        <f>IF(A5175="","",MATCH(A5175,Calculation!B$2:B9627,1))</f>
        <v/>
      </c>
      <c r="E5175" s="29" t="str">
        <f t="array" ref="E5175">IF(D5175="","",IF(D5175=1,0,INDEX(Calculation!Q$2:Q9627,D5175-1)))</f>
        <v/>
      </c>
      <c r="F5175" s="29" t="str">
        <f t="array" ref="F5175">IF($A5175="","",
  LET(
    r, $D5175,
    startD, INDEX(Calculation!B$2:B9627, r),
    endD,   INDEX(Calculation!C$2:C9627, r),
    asOf,   MIN($A5175,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76">
      <c r="A5176" s="28"/>
      <c r="B5176" s="29"/>
      <c r="C5176" s="29" t="str">
        <f t="shared" si="1"/>
        <v/>
      </c>
      <c r="D5176" s="6" t="str">
        <f>IF(A5176="","",MATCH(A5176,Calculation!B$2:B9627,1))</f>
        <v/>
      </c>
      <c r="E5176" s="29" t="str">
        <f t="array" ref="E5176">IF(D5176="","",IF(D5176=1,0,INDEX(Calculation!Q$2:Q9627,D5176-1)))</f>
        <v/>
      </c>
      <c r="F5176" s="29" t="str">
        <f t="array" ref="F5176">IF($A5176="","",
  LET(
    r, $D5176,
    startD, INDEX(Calculation!B$2:B9627, r),
    endD,   INDEX(Calculation!C$2:C9627, r),
    asOf,   MIN($A5176,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77">
      <c r="A5177" s="28"/>
      <c r="B5177" s="29"/>
      <c r="C5177" s="29" t="str">
        <f t="shared" si="1"/>
        <v/>
      </c>
      <c r="D5177" s="6" t="str">
        <f>IF(A5177="","",MATCH(A5177,Calculation!B$2:B9627,1))</f>
        <v/>
      </c>
      <c r="E5177" s="29" t="str">
        <f t="array" ref="E5177">IF(D5177="","",IF(D5177=1,0,INDEX(Calculation!Q$2:Q9627,D5177-1)))</f>
        <v/>
      </c>
      <c r="F5177" s="29" t="str">
        <f t="array" ref="F5177">IF($A5177="","",
  LET(
    r, $D5177,
    startD, INDEX(Calculation!B$2:B9627, r),
    endD,   INDEX(Calculation!C$2:C9627, r),
    asOf,   MIN($A5177,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78">
      <c r="A5178" s="28"/>
      <c r="B5178" s="29"/>
      <c r="C5178" s="29" t="str">
        <f t="shared" si="1"/>
        <v/>
      </c>
      <c r="D5178" s="6" t="str">
        <f>IF(A5178="","",MATCH(A5178,Calculation!B$2:B9627,1))</f>
        <v/>
      </c>
      <c r="E5178" s="29" t="str">
        <f t="array" ref="E5178">IF(D5178="","",IF(D5178=1,0,INDEX(Calculation!Q$2:Q9627,D5178-1)))</f>
        <v/>
      </c>
      <c r="F5178" s="29" t="str">
        <f t="array" ref="F5178">IF($A5178="","",
  LET(
    r, $D5178,
    startD, INDEX(Calculation!B$2:B9627, r),
    endD,   INDEX(Calculation!C$2:C9627, r),
    asOf,   MIN($A5178,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79">
      <c r="A5179" s="28"/>
      <c r="B5179" s="29"/>
      <c r="C5179" s="29" t="str">
        <f t="shared" si="1"/>
        <v/>
      </c>
      <c r="D5179" s="6" t="str">
        <f>IF(A5179="","",MATCH(A5179,Calculation!B$2:B9627,1))</f>
        <v/>
      </c>
      <c r="E5179" s="29" t="str">
        <f t="array" ref="E5179">IF(D5179="","",IF(D5179=1,0,INDEX(Calculation!Q$2:Q9627,D5179-1)))</f>
        <v/>
      </c>
      <c r="F5179" s="29" t="str">
        <f t="array" ref="F5179">IF($A5179="","",
  LET(
    r, $D5179,
    startD, INDEX(Calculation!B$2:B9627, r),
    endD,   INDEX(Calculation!C$2:C9627, r),
    asOf,   MIN($A5179,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80">
      <c r="A5180" s="28"/>
      <c r="B5180" s="29"/>
      <c r="C5180" s="29" t="str">
        <f t="shared" si="1"/>
        <v/>
      </c>
      <c r="D5180" s="6" t="str">
        <f>IF(A5180="","",MATCH(A5180,Calculation!B$2:B9627,1))</f>
        <v/>
      </c>
      <c r="E5180" s="29" t="str">
        <f t="array" ref="E5180">IF(D5180="","",IF(D5180=1,0,INDEX(Calculation!Q$2:Q9627,D5180-1)))</f>
        <v/>
      </c>
      <c r="F5180" s="29" t="str">
        <f t="array" ref="F5180">IF($A5180="","",
  LET(
    r, $D5180,
    startD, INDEX(Calculation!B$2:B9627, r),
    endD,   INDEX(Calculation!C$2:C9627, r),
    asOf,   MIN($A5180,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81">
      <c r="A5181" s="28"/>
      <c r="B5181" s="29"/>
      <c r="C5181" s="29" t="str">
        <f t="shared" si="1"/>
        <v/>
      </c>
      <c r="D5181" s="6" t="str">
        <f>IF(A5181="","",MATCH(A5181,Calculation!B$2:B9627,1))</f>
        <v/>
      </c>
      <c r="E5181" s="29" t="str">
        <f t="array" ref="E5181">IF(D5181="","",IF(D5181=1,0,INDEX(Calculation!Q$2:Q9627,D5181-1)))</f>
        <v/>
      </c>
      <c r="F5181" s="29" t="str">
        <f t="array" ref="F5181">IF($A5181="","",
  LET(
    r, $D5181,
    startD, INDEX(Calculation!B$2:B9627, r),
    endD,   INDEX(Calculation!C$2:C9627, r),
    asOf,   MIN($A5181,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82">
      <c r="A5182" s="28"/>
      <c r="B5182" s="29"/>
      <c r="C5182" s="29" t="str">
        <f t="shared" si="1"/>
        <v/>
      </c>
      <c r="D5182" s="6" t="str">
        <f>IF(A5182="","",MATCH(A5182,Calculation!B$2:B9627,1))</f>
        <v/>
      </c>
      <c r="E5182" s="29" t="str">
        <f t="array" ref="E5182">IF(D5182="","",IF(D5182=1,0,INDEX(Calculation!Q$2:Q9627,D5182-1)))</f>
        <v/>
      </c>
      <c r="F5182" s="29" t="str">
        <f t="array" ref="F5182">IF($A5182="","",
  LET(
    r, $D5182,
    startD, INDEX(Calculation!B$2:B9627, r),
    endD,   INDEX(Calculation!C$2:C9627, r),
    asOf,   MIN($A5182,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83">
      <c r="A5183" s="28"/>
      <c r="B5183" s="29"/>
      <c r="C5183" s="29" t="str">
        <f t="shared" si="1"/>
        <v/>
      </c>
      <c r="D5183" s="6" t="str">
        <f>IF(A5183="","",MATCH(A5183,Calculation!B$2:B9627,1))</f>
        <v/>
      </c>
      <c r="E5183" s="29" t="str">
        <f t="array" ref="E5183">IF(D5183="","",IF(D5183=1,0,INDEX(Calculation!Q$2:Q9627,D5183-1)))</f>
        <v/>
      </c>
      <c r="F5183" s="29" t="str">
        <f t="array" ref="F5183">IF($A5183="","",
  LET(
    r, $D5183,
    startD, INDEX(Calculation!B$2:B9627, r),
    endD,   INDEX(Calculation!C$2:C9627, r),
    asOf,   MIN($A5183,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84">
      <c r="A5184" s="28"/>
      <c r="B5184" s="29"/>
      <c r="C5184" s="29" t="str">
        <f t="shared" si="1"/>
        <v/>
      </c>
      <c r="D5184" s="6" t="str">
        <f>IF(A5184="","",MATCH(A5184,Calculation!B$2:B9627,1))</f>
        <v/>
      </c>
      <c r="E5184" s="29" t="str">
        <f t="array" ref="E5184">IF(D5184="","",IF(D5184=1,0,INDEX(Calculation!Q$2:Q9627,D5184-1)))</f>
        <v/>
      </c>
      <c r="F5184" s="29" t="str">
        <f t="array" ref="F5184">IF($A5184="","",
  LET(
    r, $D5184,
    startD, INDEX(Calculation!B$2:B9627, r),
    endD,   INDEX(Calculation!C$2:C9627, r),
    asOf,   MIN($A5184,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85">
      <c r="A5185" s="28"/>
      <c r="B5185" s="29"/>
      <c r="C5185" s="29" t="str">
        <f t="shared" si="1"/>
        <v/>
      </c>
      <c r="D5185" s="6" t="str">
        <f>IF(A5185="","",MATCH(A5185,Calculation!B$2:B9627,1))</f>
        <v/>
      </c>
      <c r="E5185" s="29" t="str">
        <f t="array" ref="E5185">IF(D5185="","",IF(D5185=1,0,INDEX(Calculation!Q$2:Q9627,D5185-1)))</f>
        <v/>
      </c>
      <c r="F5185" s="29" t="str">
        <f t="array" ref="F5185">IF($A5185="","",
  LET(
    r, $D5185,
    startD, INDEX(Calculation!B$2:B9627, r),
    endD,   INDEX(Calculation!C$2:C9627, r),
    asOf,   MIN($A5185,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86">
      <c r="A5186" s="28"/>
      <c r="B5186" s="29"/>
      <c r="C5186" s="29" t="str">
        <f t="shared" si="1"/>
        <v/>
      </c>
      <c r="D5186" s="6" t="str">
        <f>IF(A5186="","",MATCH(A5186,Calculation!B$2:B9627,1))</f>
        <v/>
      </c>
      <c r="E5186" s="29" t="str">
        <f t="array" ref="E5186">IF(D5186="","",IF(D5186=1,0,INDEX(Calculation!Q$2:Q9627,D5186-1)))</f>
        <v/>
      </c>
      <c r="F5186" s="29" t="str">
        <f t="array" ref="F5186">IF($A5186="","",
  LET(
    r, $D5186,
    startD, INDEX(Calculation!B$2:B9627, r),
    endD,   INDEX(Calculation!C$2:C9627, r),
    asOf,   MIN($A5186,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87">
      <c r="A5187" s="28"/>
      <c r="B5187" s="29"/>
      <c r="C5187" s="29" t="str">
        <f t="shared" si="1"/>
        <v/>
      </c>
      <c r="D5187" s="6" t="str">
        <f>IF(A5187="","",MATCH(A5187,Calculation!B$2:B9627,1))</f>
        <v/>
      </c>
      <c r="E5187" s="29" t="str">
        <f t="array" ref="E5187">IF(D5187="","",IF(D5187=1,0,INDEX(Calculation!Q$2:Q9627,D5187-1)))</f>
        <v/>
      </c>
      <c r="F5187" s="29" t="str">
        <f t="array" ref="F5187">IF($A5187="","",
  LET(
    r, $D5187,
    startD, INDEX(Calculation!B$2:B9627, r),
    endD,   INDEX(Calculation!C$2:C9627, r),
    asOf,   MIN($A5187,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88">
      <c r="A5188" s="28"/>
      <c r="B5188" s="29"/>
      <c r="C5188" s="29" t="str">
        <f t="shared" si="1"/>
        <v/>
      </c>
      <c r="D5188" s="6" t="str">
        <f>IF(A5188="","",MATCH(A5188,Calculation!B$2:B9627,1))</f>
        <v/>
      </c>
      <c r="E5188" s="29" t="str">
        <f t="array" ref="E5188">IF(D5188="","",IF(D5188=1,0,INDEX(Calculation!Q$2:Q9627,D5188-1)))</f>
        <v/>
      </c>
      <c r="F5188" s="29" t="str">
        <f t="array" ref="F5188">IF($A5188="","",
  LET(
    r, $D5188,
    startD, INDEX(Calculation!B$2:B9627, r),
    endD,   INDEX(Calculation!C$2:C9627, r),
    asOf,   MIN($A5188,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89">
      <c r="A5189" s="28"/>
      <c r="B5189" s="29"/>
      <c r="C5189" s="29" t="str">
        <f t="shared" si="1"/>
        <v/>
      </c>
      <c r="D5189" s="6" t="str">
        <f>IF(A5189="","",MATCH(A5189,Calculation!B$2:B9627,1))</f>
        <v/>
      </c>
      <c r="E5189" s="29" t="str">
        <f t="array" ref="E5189">IF(D5189="","",IF(D5189=1,0,INDEX(Calculation!Q$2:Q9627,D5189-1)))</f>
        <v/>
      </c>
      <c r="F5189" s="29" t="str">
        <f t="array" ref="F5189">IF($A5189="","",
  LET(
    r, $D5189,
    startD, INDEX(Calculation!B$2:B9627, r),
    endD,   INDEX(Calculation!C$2:C9627, r),
    asOf,   MIN($A5189,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90">
      <c r="A5190" s="28"/>
      <c r="B5190" s="29"/>
      <c r="C5190" s="29" t="str">
        <f t="shared" si="1"/>
        <v/>
      </c>
      <c r="D5190" s="6" t="str">
        <f>IF(A5190="","",MATCH(A5190,Calculation!B$2:B9627,1))</f>
        <v/>
      </c>
      <c r="E5190" s="29" t="str">
        <f t="array" ref="E5190">IF(D5190="","",IF(D5190=1,0,INDEX(Calculation!Q$2:Q9627,D5190-1)))</f>
        <v/>
      </c>
      <c r="F5190" s="29" t="str">
        <f t="array" ref="F5190">IF($A5190="","",
  LET(
    r, $D5190,
    startD, INDEX(Calculation!B$2:B9627, r),
    endD,   INDEX(Calculation!C$2:C9627, r),
    asOf,   MIN($A5190,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91">
      <c r="A5191" s="28"/>
      <c r="B5191" s="29"/>
      <c r="C5191" s="29" t="str">
        <f t="shared" si="1"/>
        <v/>
      </c>
      <c r="D5191" s="6" t="str">
        <f>IF(A5191="","",MATCH(A5191,Calculation!B$2:B9627,1))</f>
        <v/>
      </c>
      <c r="E5191" s="29" t="str">
        <f t="array" ref="E5191">IF(D5191="","",IF(D5191=1,0,INDEX(Calculation!Q$2:Q9627,D5191-1)))</f>
        <v/>
      </c>
      <c r="F5191" s="29" t="str">
        <f t="array" ref="F5191">IF($A5191="","",
  LET(
    r, $D5191,
    startD, INDEX(Calculation!B$2:B9627, r),
    endD,   INDEX(Calculation!C$2:C9627, r),
    asOf,   MIN($A5191,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92">
      <c r="A5192" s="28"/>
      <c r="B5192" s="29"/>
      <c r="C5192" s="29" t="str">
        <f t="shared" si="1"/>
        <v/>
      </c>
      <c r="D5192" s="6" t="str">
        <f>IF(A5192="","",MATCH(A5192,Calculation!B$2:B9627,1))</f>
        <v/>
      </c>
      <c r="E5192" s="29" t="str">
        <f t="array" ref="E5192">IF(D5192="","",IF(D5192=1,0,INDEX(Calculation!Q$2:Q9627,D5192-1)))</f>
        <v/>
      </c>
      <c r="F5192" s="29" t="str">
        <f t="array" ref="F5192">IF($A5192="","",
  LET(
    r, $D5192,
    startD, INDEX(Calculation!B$2:B9627, r),
    endD,   INDEX(Calculation!C$2:C9627, r),
    asOf,   MIN($A5192,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93">
      <c r="A5193" s="28"/>
      <c r="B5193" s="29"/>
      <c r="C5193" s="29" t="str">
        <f t="shared" si="1"/>
        <v/>
      </c>
      <c r="D5193" s="6" t="str">
        <f>IF(A5193="","",MATCH(A5193,Calculation!B$2:B9627,1))</f>
        <v/>
      </c>
      <c r="E5193" s="29" t="str">
        <f t="array" ref="E5193">IF(D5193="","",IF(D5193=1,0,INDEX(Calculation!Q$2:Q9627,D5193-1)))</f>
        <v/>
      </c>
      <c r="F5193" s="29" t="str">
        <f t="array" ref="F5193">IF($A5193="","",
  LET(
    r, $D5193,
    startD, INDEX(Calculation!B$2:B9627, r),
    endD,   INDEX(Calculation!C$2:C9627, r),
    asOf,   MIN($A5193,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94">
      <c r="A5194" s="28"/>
      <c r="B5194" s="29"/>
      <c r="C5194" s="29" t="str">
        <f t="shared" si="1"/>
        <v/>
      </c>
      <c r="D5194" s="6" t="str">
        <f>IF(A5194="","",MATCH(A5194,Calculation!B$2:B9627,1))</f>
        <v/>
      </c>
      <c r="E5194" s="29" t="str">
        <f t="array" ref="E5194">IF(D5194="","",IF(D5194=1,0,INDEX(Calculation!Q$2:Q9627,D5194-1)))</f>
        <v/>
      </c>
      <c r="F5194" s="29" t="str">
        <f t="array" ref="F5194">IF($A5194="","",
  LET(
    r, $D5194,
    startD, INDEX(Calculation!B$2:B9627, r),
    endD,   INDEX(Calculation!C$2:C9627, r),
    asOf,   MIN($A5194,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95">
      <c r="A5195" s="28"/>
      <c r="B5195" s="29"/>
      <c r="C5195" s="29" t="str">
        <f t="shared" si="1"/>
        <v/>
      </c>
      <c r="D5195" s="6" t="str">
        <f>IF(A5195="","",MATCH(A5195,Calculation!B$2:B9627,1))</f>
        <v/>
      </c>
      <c r="E5195" s="29" t="str">
        <f t="array" ref="E5195">IF(D5195="","",IF(D5195=1,0,INDEX(Calculation!Q$2:Q9627,D5195-1)))</f>
        <v/>
      </c>
      <c r="F5195" s="29" t="str">
        <f t="array" ref="F5195">IF($A5195="","",
  LET(
    r, $D5195,
    startD, INDEX(Calculation!B$2:B9627, r),
    endD,   INDEX(Calculation!C$2:C9627, r),
    asOf,   MIN($A5195,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96">
      <c r="A5196" s="28"/>
      <c r="B5196" s="29"/>
      <c r="C5196" s="29" t="str">
        <f t="shared" si="1"/>
        <v/>
      </c>
      <c r="D5196" s="6" t="str">
        <f>IF(A5196="","",MATCH(A5196,Calculation!B$2:B9627,1))</f>
        <v/>
      </c>
      <c r="E5196" s="29" t="str">
        <f t="array" ref="E5196">IF(D5196="","",IF(D5196=1,0,INDEX(Calculation!Q$2:Q9627,D5196-1)))</f>
        <v/>
      </c>
      <c r="F5196" s="29" t="str">
        <f t="array" ref="F5196">IF($A5196="","",
  LET(
    r, $D5196,
    startD, INDEX(Calculation!B$2:B9627, r),
    endD,   INDEX(Calculation!C$2:C9627, r),
    asOf,   MIN($A5196,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97">
      <c r="A5197" s="28"/>
      <c r="B5197" s="29"/>
      <c r="C5197" s="29" t="str">
        <f t="shared" si="1"/>
        <v/>
      </c>
      <c r="D5197" s="6" t="str">
        <f>IF(A5197="","",MATCH(A5197,Calculation!B$2:B9627,1))</f>
        <v/>
      </c>
      <c r="E5197" s="29" t="str">
        <f t="array" ref="E5197">IF(D5197="","",IF(D5197=1,0,INDEX(Calculation!Q$2:Q9627,D5197-1)))</f>
        <v/>
      </c>
      <c r="F5197" s="29" t="str">
        <f t="array" ref="F5197">IF($A5197="","",
  LET(
    r, $D5197,
    startD, INDEX(Calculation!B$2:B9627, r),
    endD,   INDEX(Calculation!C$2:C9627, r),
    asOf,   MIN($A5197,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98">
      <c r="A5198" s="28"/>
      <c r="B5198" s="29"/>
      <c r="C5198" s="29" t="str">
        <f t="shared" si="1"/>
        <v/>
      </c>
      <c r="D5198" s="6" t="str">
        <f>IF(A5198="","",MATCH(A5198,Calculation!B$2:B9627,1))</f>
        <v/>
      </c>
      <c r="E5198" s="29" t="str">
        <f t="array" ref="E5198">IF(D5198="","",IF(D5198=1,0,INDEX(Calculation!Q$2:Q9627,D5198-1)))</f>
        <v/>
      </c>
      <c r="F5198" s="29" t="str">
        <f t="array" ref="F5198">IF($A5198="","",
  LET(
    r, $D5198,
    startD, INDEX(Calculation!B$2:B9627, r),
    endD,   INDEX(Calculation!C$2:C9627, r),
    asOf,   MIN($A5198,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199">
      <c r="A5199" s="28"/>
      <c r="B5199" s="29"/>
      <c r="C5199" s="29" t="str">
        <f t="shared" si="1"/>
        <v/>
      </c>
      <c r="D5199" s="6" t="str">
        <f>IF(A5199="","",MATCH(A5199,Calculation!B$2:B9627,1))</f>
        <v/>
      </c>
      <c r="E5199" s="29" t="str">
        <f t="array" ref="E5199">IF(D5199="","",IF(D5199=1,0,INDEX(Calculation!Q$2:Q9627,D5199-1)))</f>
        <v/>
      </c>
      <c r="F5199" s="29" t="str">
        <f t="array" ref="F5199">IF($A5199="","",
  LET(
    r, $D5199,
    startD, INDEX(Calculation!B$2:B9627, r),
    endD,   INDEX(Calculation!C$2:C9627, r),
    asOf,   MIN($A5199,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00">
      <c r="A5200" s="28"/>
      <c r="B5200" s="29"/>
      <c r="C5200" s="29" t="str">
        <f t="shared" si="1"/>
        <v/>
      </c>
      <c r="D5200" s="6" t="str">
        <f>IF(A5200="","",MATCH(A5200,Calculation!B$2:B9627,1))</f>
        <v/>
      </c>
      <c r="E5200" s="29" t="str">
        <f t="array" ref="E5200">IF(D5200="","",IF(D5200=1,0,INDEX(Calculation!Q$2:Q9627,D5200-1)))</f>
        <v/>
      </c>
      <c r="F5200" s="29" t="str">
        <f t="array" ref="F5200">IF($A5200="","",
  LET(
    r, $D5200,
    startD, INDEX(Calculation!B$2:B9627, r),
    endD,   INDEX(Calculation!C$2:C9627, r),
    asOf,   MIN($A5200,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01">
      <c r="A5201" s="28"/>
      <c r="B5201" s="29"/>
      <c r="C5201" s="29" t="str">
        <f t="shared" si="1"/>
        <v/>
      </c>
      <c r="D5201" s="6" t="str">
        <f>IF(A5201="","",MATCH(A5201,Calculation!B$2:B9627,1))</f>
        <v/>
      </c>
      <c r="E5201" s="29" t="str">
        <f t="array" ref="E5201">IF(D5201="","",IF(D5201=1,0,INDEX(Calculation!Q$2:Q9627,D5201-1)))</f>
        <v/>
      </c>
      <c r="F5201" s="29" t="str">
        <f t="array" ref="F5201">IF($A5201="","",
  LET(
    r, $D5201,
    startD, INDEX(Calculation!B$2:B9627, r),
    endD,   INDEX(Calculation!C$2:C9627, r),
    asOf,   MIN($A5201,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02">
      <c r="A5202" s="28"/>
      <c r="B5202" s="29"/>
      <c r="C5202" s="29" t="str">
        <f t="shared" si="1"/>
        <v/>
      </c>
      <c r="D5202" s="6" t="str">
        <f>IF(A5202="","",MATCH(A5202,Calculation!B$2:B9627,1))</f>
        <v/>
      </c>
      <c r="E5202" s="29" t="str">
        <f t="array" ref="E5202">IF(D5202="","",IF(D5202=1,0,INDEX(Calculation!Q$2:Q9627,D5202-1)))</f>
        <v/>
      </c>
      <c r="F5202" s="29" t="str">
        <f t="array" ref="F5202">IF($A5202="","",
  LET(
    r, $D5202,
    startD, INDEX(Calculation!B$2:B9627, r),
    endD,   INDEX(Calculation!C$2:C9627, r),
    asOf,   MIN($A5202,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03">
      <c r="A5203" s="28"/>
      <c r="B5203" s="29"/>
      <c r="C5203" s="29" t="str">
        <f t="shared" si="1"/>
        <v/>
      </c>
      <c r="D5203" s="6" t="str">
        <f>IF(A5203="","",MATCH(A5203,Calculation!B$2:B9627,1))</f>
        <v/>
      </c>
      <c r="E5203" s="29" t="str">
        <f t="array" ref="E5203">IF(D5203="","",IF(D5203=1,0,INDEX(Calculation!Q$2:Q9627,D5203-1)))</f>
        <v/>
      </c>
      <c r="F5203" s="29" t="str">
        <f t="array" ref="F5203">IF($A5203="","",
  LET(
    r, $D5203,
    startD, INDEX(Calculation!B$2:B9627, r),
    endD,   INDEX(Calculation!C$2:C9627, r),
    asOf,   MIN($A5203,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04">
      <c r="A5204" s="28"/>
      <c r="B5204" s="29"/>
      <c r="C5204" s="29" t="str">
        <f t="shared" si="1"/>
        <v/>
      </c>
      <c r="D5204" s="6" t="str">
        <f>IF(A5204="","",MATCH(A5204,Calculation!B$2:B9627,1))</f>
        <v/>
      </c>
      <c r="E5204" s="29" t="str">
        <f t="array" ref="E5204">IF(D5204="","",IF(D5204=1,0,INDEX(Calculation!Q$2:Q9627,D5204-1)))</f>
        <v/>
      </c>
      <c r="F5204" s="29" t="str">
        <f t="array" ref="F5204">IF($A5204="","",
  LET(
    r, $D5204,
    startD, INDEX(Calculation!B$2:B9627, r),
    endD,   INDEX(Calculation!C$2:C9627, r),
    asOf,   MIN($A5204,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05">
      <c r="A5205" s="28"/>
      <c r="B5205" s="29"/>
      <c r="C5205" s="29" t="str">
        <f t="shared" si="1"/>
        <v/>
      </c>
      <c r="D5205" s="6" t="str">
        <f>IF(A5205="","",MATCH(A5205,Calculation!B$2:B9627,1))</f>
        <v/>
      </c>
      <c r="E5205" s="29" t="str">
        <f t="array" ref="E5205">IF(D5205="","",IF(D5205=1,0,INDEX(Calculation!Q$2:Q9627,D5205-1)))</f>
        <v/>
      </c>
      <c r="F5205" s="29" t="str">
        <f t="array" ref="F5205">IF($A5205="","",
  LET(
    r, $D5205,
    startD, INDEX(Calculation!B$2:B9627, r),
    endD,   INDEX(Calculation!C$2:C9627, r),
    asOf,   MIN($A5205,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06">
      <c r="A5206" s="28"/>
      <c r="B5206" s="29"/>
      <c r="C5206" s="29" t="str">
        <f t="shared" si="1"/>
        <v/>
      </c>
      <c r="D5206" s="6" t="str">
        <f>IF(A5206="","",MATCH(A5206,Calculation!B$2:B9627,1))</f>
        <v/>
      </c>
      <c r="E5206" s="29" t="str">
        <f t="array" ref="E5206">IF(D5206="","",IF(D5206=1,0,INDEX(Calculation!Q$2:Q9627,D5206-1)))</f>
        <v/>
      </c>
      <c r="F5206" s="29" t="str">
        <f t="array" ref="F5206">IF($A5206="","",
  LET(
    r, $D5206,
    startD, INDEX(Calculation!B$2:B9627, r),
    endD,   INDEX(Calculation!C$2:C9627, r),
    asOf,   MIN($A5206,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07">
      <c r="A5207" s="28"/>
      <c r="B5207" s="29"/>
      <c r="C5207" s="29" t="str">
        <f t="shared" si="1"/>
        <v/>
      </c>
      <c r="D5207" s="6" t="str">
        <f>IF(A5207="","",MATCH(A5207,Calculation!B$2:B9627,1))</f>
        <v/>
      </c>
      <c r="E5207" s="29" t="str">
        <f t="array" ref="E5207">IF(D5207="","",IF(D5207=1,0,INDEX(Calculation!Q$2:Q9627,D5207-1)))</f>
        <v/>
      </c>
      <c r="F5207" s="29" t="str">
        <f t="array" ref="F5207">IF($A5207="","",
  LET(
    r, $D5207,
    startD, INDEX(Calculation!B$2:B9627, r),
    endD,   INDEX(Calculation!C$2:C9627, r),
    asOf,   MIN($A5207,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08">
      <c r="A5208" s="28"/>
      <c r="B5208" s="29"/>
      <c r="C5208" s="29" t="str">
        <f t="shared" si="1"/>
        <v/>
      </c>
      <c r="D5208" s="6" t="str">
        <f>IF(A5208="","",MATCH(A5208,Calculation!B$2:B9627,1))</f>
        <v/>
      </c>
      <c r="E5208" s="29" t="str">
        <f t="array" ref="E5208">IF(D5208="","",IF(D5208=1,0,INDEX(Calculation!Q$2:Q9627,D5208-1)))</f>
        <v/>
      </c>
      <c r="F5208" s="29" t="str">
        <f t="array" ref="F5208">IF($A5208="","",
  LET(
    r, $D5208,
    startD, INDEX(Calculation!B$2:B9627, r),
    endD,   INDEX(Calculation!C$2:C9627, r),
    asOf,   MIN($A5208,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09">
      <c r="A5209" s="28"/>
      <c r="B5209" s="29"/>
      <c r="C5209" s="29" t="str">
        <f t="shared" si="1"/>
        <v/>
      </c>
      <c r="D5209" s="6" t="str">
        <f>IF(A5209="","",MATCH(A5209,Calculation!B$2:B9627,1))</f>
        <v/>
      </c>
      <c r="E5209" s="29" t="str">
        <f t="array" ref="E5209">IF(D5209="","",IF(D5209=1,0,INDEX(Calculation!Q$2:Q9627,D5209-1)))</f>
        <v/>
      </c>
      <c r="F5209" s="29" t="str">
        <f t="array" ref="F5209">IF($A5209="","",
  LET(
    r, $D5209,
    startD, INDEX(Calculation!B$2:B9627, r),
    endD,   INDEX(Calculation!C$2:C9627, r),
    asOf,   MIN($A5209,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10">
      <c r="A5210" s="28"/>
      <c r="B5210" s="29"/>
      <c r="C5210" s="29" t="str">
        <f t="shared" si="1"/>
        <v/>
      </c>
      <c r="D5210" s="6" t="str">
        <f>IF(A5210="","",MATCH(A5210,Calculation!B$2:B9627,1))</f>
        <v/>
      </c>
      <c r="E5210" s="29" t="str">
        <f t="array" ref="E5210">IF(D5210="","",IF(D5210=1,0,INDEX(Calculation!Q$2:Q9627,D5210-1)))</f>
        <v/>
      </c>
      <c r="F5210" s="29" t="str">
        <f t="array" ref="F5210">IF($A5210="","",
  LET(
    r, $D5210,
    startD, INDEX(Calculation!B$2:B9627, r),
    endD,   INDEX(Calculation!C$2:C9627, r),
    asOf,   MIN($A5210,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11">
      <c r="A5211" s="28"/>
      <c r="B5211" s="29"/>
      <c r="C5211" s="29" t="str">
        <f t="shared" si="1"/>
        <v/>
      </c>
      <c r="D5211" s="6" t="str">
        <f>IF(A5211="","",MATCH(A5211,Calculation!B$2:B9627,1))</f>
        <v/>
      </c>
      <c r="E5211" s="29" t="str">
        <f t="array" ref="E5211">IF(D5211="","",IF(D5211=1,0,INDEX(Calculation!Q$2:Q9627,D5211-1)))</f>
        <v/>
      </c>
      <c r="F5211" s="29" t="str">
        <f t="array" ref="F5211">IF($A5211="","",
  LET(
    r, $D5211,
    startD, INDEX(Calculation!B$2:B9627, r),
    endD,   INDEX(Calculation!C$2:C9627, r),
    asOf,   MIN($A5211,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12">
      <c r="A5212" s="28"/>
      <c r="B5212" s="29"/>
      <c r="C5212" s="29" t="str">
        <f t="shared" si="1"/>
        <v/>
      </c>
      <c r="D5212" s="6" t="str">
        <f>IF(A5212="","",MATCH(A5212,Calculation!B$2:B9627,1))</f>
        <v/>
      </c>
      <c r="E5212" s="29" t="str">
        <f t="array" ref="E5212">IF(D5212="","",IF(D5212=1,0,INDEX(Calculation!Q$2:Q9627,D5212-1)))</f>
        <v/>
      </c>
      <c r="F5212" s="29" t="str">
        <f t="array" ref="F5212">IF($A5212="","",
  LET(
    r, $D5212,
    startD, INDEX(Calculation!B$2:B9627, r),
    endD,   INDEX(Calculation!C$2:C9627, r),
    asOf,   MIN($A5212,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13">
      <c r="A5213" s="28"/>
      <c r="B5213" s="29"/>
      <c r="C5213" s="29" t="str">
        <f t="shared" si="1"/>
        <v/>
      </c>
      <c r="D5213" s="6" t="str">
        <f>IF(A5213="","",MATCH(A5213,Calculation!B$2:B9627,1))</f>
        <v/>
      </c>
      <c r="E5213" s="29" t="str">
        <f t="array" ref="E5213">IF(D5213="","",IF(D5213=1,0,INDEX(Calculation!Q$2:Q9627,D5213-1)))</f>
        <v/>
      </c>
      <c r="F5213" s="29" t="str">
        <f t="array" ref="F5213">IF($A5213="","",
  LET(
    r, $D5213,
    startD, INDEX(Calculation!B$2:B9627, r),
    endD,   INDEX(Calculation!C$2:C9627, r),
    asOf,   MIN($A5213,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14">
      <c r="A5214" s="28"/>
      <c r="B5214" s="29"/>
      <c r="C5214" s="29" t="str">
        <f t="shared" si="1"/>
        <v/>
      </c>
      <c r="D5214" s="6" t="str">
        <f>IF(A5214="","",MATCH(A5214,Calculation!B$2:B9627,1))</f>
        <v/>
      </c>
      <c r="E5214" s="29" t="str">
        <f t="array" ref="E5214">IF(D5214="","",IF(D5214=1,0,INDEX(Calculation!Q$2:Q9627,D5214-1)))</f>
        <v/>
      </c>
      <c r="F5214" s="29" t="str">
        <f t="array" ref="F5214">IF($A5214="","",
  LET(
    r, $D5214,
    startD, INDEX(Calculation!B$2:B9627, r),
    endD,   INDEX(Calculation!C$2:C9627, r),
    asOf,   MIN($A5214,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15">
      <c r="A5215" s="28"/>
      <c r="B5215" s="29"/>
      <c r="C5215" s="29" t="str">
        <f t="shared" si="1"/>
        <v/>
      </c>
      <c r="D5215" s="6" t="str">
        <f>IF(A5215="","",MATCH(A5215,Calculation!B$2:B9627,1))</f>
        <v/>
      </c>
      <c r="E5215" s="29" t="str">
        <f t="array" ref="E5215">IF(D5215="","",IF(D5215=1,0,INDEX(Calculation!Q$2:Q9627,D5215-1)))</f>
        <v/>
      </c>
      <c r="F5215" s="29" t="str">
        <f t="array" ref="F5215">IF($A5215="","",
  LET(
    r, $D5215,
    startD, INDEX(Calculation!B$2:B9627, r),
    endD,   INDEX(Calculation!C$2:C9627, r),
    asOf,   MIN($A5215,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16">
      <c r="A5216" s="28"/>
      <c r="B5216" s="29"/>
      <c r="C5216" s="29" t="str">
        <f t="shared" si="1"/>
        <v/>
      </c>
      <c r="D5216" s="6" t="str">
        <f>IF(A5216="","",MATCH(A5216,Calculation!B$2:B9627,1))</f>
        <v/>
      </c>
      <c r="E5216" s="29" t="str">
        <f t="array" ref="E5216">IF(D5216="","",IF(D5216=1,0,INDEX(Calculation!Q$2:Q9627,D5216-1)))</f>
        <v/>
      </c>
      <c r="F5216" s="29" t="str">
        <f t="array" ref="F5216">IF($A5216="","",
  LET(
    r, $D5216,
    startD, INDEX(Calculation!B$2:B9627, r),
    endD,   INDEX(Calculation!C$2:C9627, r),
    asOf,   MIN($A5216,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17">
      <c r="A5217" s="28"/>
      <c r="B5217" s="29"/>
      <c r="C5217" s="29" t="str">
        <f t="shared" si="1"/>
        <v/>
      </c>
      <c r="D5217" s="6" t="str">
        <f>IF(A5217="","",MATCH(A5217,Calculation!B$2:B9627,1))</f>
        <v/>
      </c>
      <c r="E5217" s="29" t="str">
        <f t="array" ref="E5217">IF(D5217="","",IF(D5217=1,0,INDEX(Calculation!Q$2:Q9627,D5217-1)))</f>
        <v/>
      </c>
      <c r="F5217" s="29" t="str">
        <f t="array" ref="F5217">IF($A5217="","",
  LET(
    r, $D5217,
    startD, INDEX(Calculation!B$2:B9627, r),
    endD,   INDEX(Calculation!C$2:C9627, r),
    asOf,   MIN($A5217,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18">
      <c r="A5218" s="28"/>
      <c r="B5218" s="29"/>
      <c r="C5218" s="29" t="str">
        <f t="shared" si="1"/>
        <v/>
      </c>
      <c r="D5218" s="6" t="str">
        <f>IF(A5218="","",MATCH(A5218,Calculation!B$2:B9627,1))</f>
        <v/>
      </c>
      <c r="E5218" s="29" t="str">
        <f t="array" ref="E5218">IF(D5218="","",IF(D5218=1,0,INDEX(Calculation!Q$2:Q9627,D5218-1)))</f>
        <v/>
      </c>
      <c r="F5218" s="29" t="str">
        <f t="array" ref="F5218">IF($A5218="","",
  LET(
    r, $D5218,
    startD, INDEX(Calculation!B$2:B9627, r),
    endD,   INDEX(Calculation!C$2:C9627, r),
    asOf,   MIN($A5218,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19">
      <c r="A5219" s="28"/>
      <c r="B5219" s="29"/>
      <c r="C5219" s="29" t="str">
        <f t="shared" si="1"/>
        <v/>
      </c>
      <c r="D5219" s="6" t="str">
        <f>IF(A5219="","",MATCH(A5219,Calculation!B$2:B9627,1))</f>
        <v/>
      </c>
      <c r="E5219" s="29" t="str">
        <f t="array" ref="E5219">IF(D5219="","",IF(D5219=1,0,INDEX(Calculation!Q$2:Q9627,D5219-1)))</f>
        <v/>
      </c>
      <c r="F5219" s="29" t="str">
        <f t="array" ref="F5219">IF($A5219="","",
  LET(
    r, $D5219,
    startD, INDEX(Calculation!B$2:B9627, r),
    endD,   INDEX(Calculation!C$2:C9627, r),
    asOf,   MIN($A5219,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20">
      <c r="A5220" s="28"/>
      <c r="B5220" s="29"/>
      <c r="C5220" s="29" t="str">
        <f t="shared" si="1"/>
        <v/>
      </c>
      <c r="D5220" s="6" t="str">
        <f>IF(A5220="","",MATCH(A5220,Calculation!B$2:B9627,1))</f>
        <v/>
      </c>
      <c r="E5220" s="29" t="str">
        <f t="array" ref="E5220">IF(D5220="","",IF(D5220=1,0,INDEX(Calculation!Q$2:Q9627,D5220-1)))</f>
        <v/>
      </c>
      <c r="F5220" s="29" t="str">
        <f t="array" ref="F5220">IF($A5220="","",
  LET(
    r, $D5220,
    startD, INDEX(Calculation!B$2:B9627, r),
    endD,   INDEX(Calculation!C$2:C9627, r),
    asOf,   MIN($A5220,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21">
      <c r="A5221" s="28"/>
      <c r="B5221" s="29"/>
      <c r="C5221" s="29" t="str">
        <f t="shared" si="1"/>
        <v/>
      </c>
      <c r="D5221" s="6" t="str">
        <f>IF(A5221="","",MATCH(A5221,Calculation!B$2:B9627,1))</f>
        <v/>
      </c>
      <c r="E5221" s="29" t="str">
        <f t="array" ref="E5221">IF(D5221="","",IF(D5221=1,0,INDEX(Calculation!Q$2:Q9627,D5221-1)))</f>
        <v/>
      </c>
      <c r="F5221" s="29" t="str">
        <f t="array" ref="F5221">IF($A5221="","",
  LET(
    r, $D5221,
    startD, INDEX(Calculation!B$2:B9627, r),
    endD,   INDEX(Calculation!C$2:C9627, r),
    asOf,   MIN($A5221,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22">
      <c r="A5222" s="28"/>
      <c r="B5222" s="29"/>
      <c r="C5222" s="29" t="str">
        <f t="shared" si="1"/>
        <v/>
      </c>
      <c r="D5222" s="6" t="str">
        <f>IF(A5222="","",MATCH(A5222,Calculation!B$2:B9627,1))</f>
        <v/>
      </c>
      <c r="E5222" s="29" t="str">
        <f t="array" ref="E5222">IF(D5222="","",IF(D5222=1,0,INDEX(Calculation!Q$2:Q9627,D5222-1)))</f>
        <v/>
      </c>
      <c r="F5222" s="29" t="str">
        <f t="array" ref="F5222">IF($A5222="","",
  LET(
    r, $D5222,
    startD, INDEX(Calculation!B$2:B9627, r),
    endD,   INDEX(Calculation!C$2:C9627, r),
    asOf,   MIN($A5222,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23">
      <c r="A5223" s="28"/>
      <c r="B5223" s="29"/>
      <c r="C5223" s="29" t="str">
        <f t="shared" si="1"/>
        <v/>
      </c>
      <c r="D5223" s="6" t="str">
        <f>IF(A5223="","",MATCH(A5223,Calculation!B$2:B9627,1))</f>
        <v/>
      </c>
      <c r="E5223" s="29" t="str">
        <f t="array" ref="E5223">IF(D5223="","",IF(D5223=1,0,INDEX(Calculation!Q$2:Q9627,D5223-1)))</f>
        <v/>
      </c>
      <c r="F5223" s="29" t="str">
        <f t="array" ref="F5223">IF($A5223="","",
  LET(
    r, $D5223,
    startD, INDEX(Calculation!B$2:B9627, r),
    endD,   INDEX(Calculation!C$2:C9627, r),
    asOf,   MIN($A5223,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24">
      <c r="A5224" s="28"/>
      <c r="B5224" s="29"/>
      <c r="C5224" s="29" t="str">
        <f t="shared" si="1"/>
        <v/>
      </c>
      <c r="D5224" s="6" t="str">
        <f>IF(A5224="","",MATCH(A5224,Calculation!B$2:B9627,1))</f>
        <v/>
      </c>
      <c r="E5224" s="29" t="str">
        <f t="array" ref="E5224">IF(D5224="","",IF(D5224=1,0,INDEX(Calculation!Q$2:Q9627,D5224-1)))</f>
        <v/>
      </c>
      <c r="F5224" s="29" t="str">
        <f t="array" ref="F5224">IF($A5224="","",
  LET(
    r, $D5224,
    startD, INDEX(Calculation!B$2:B9627, r),
    endD,   INDEX(Calculation!C$2:C9627, r),
    asOf,   MIN($A5224,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25">
      <c r="A5225" s="28"/>
      <c r="B5225" s="29"/>
      <c r="C5225" s="29" t="str">
        <f t="shared" si="1"/>
        <v/>
      </c>
      <c r="D5225" s="6" t="str">
        <f>IF(A5225="","",MATCH(A5225,Calculation!B$2:B9627,1))</f>
        <v/>
      </c>
      <c r="E5225" s="29" t="str">
        <f t="array" ref="E5225">IF(D5225="","",IF(D5225=1,0,INDEX(Calculation!Q$2:Q9627,D5225-1)))</f>
        <v/>
      </c>
      <c r="F5225" s="29" t="str">
        <f t="array" ref="F5225">IF($A5225="","",
  LET(
    r, $D5225,
    startD, INDEX(Calculation!B$2:B9627, r),
    endD,   INDEX(Calculation!C$2:C9627, r),
    asOf,   MIN($A5225,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26">
      <c r="A5226" s="28"/>
      <c r="B5226" s="29"/>
      <c r="C5226" s="29" t="str">
        <f t="shared" si="1"/>
        <v/>
      </c>
      <c r="D5226" s="6" t="str">
        <f>IF(A5226="","",MATCH(A5226,Calculation!B$2:B9627,1))</f>
        <v/>
      </c>
      <c r="E5226" s="29" t="str">
        <f t="array" ref="E5226">IF(D5226="","",IF(D5226=1,0,INDEX(Calculation!Q$2:Q9627,D5226-1)))</f>
        <v/>
      </c>
      <c r="F5226" s="29" t="str">
        <f t="array" ref="F5226">IF($A5226="","",
  LET(
    r, $D5226,
    startD, INDEX(Calculation!B$2:B9627, r),
    endD,   INDEX(Calculation!C$2:C9627, r),
    asOf,   MIN($A5226,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27">
      <c r="A5227" s="28"/>
      <c r="B5227" s="29"/>
      <c r="C5227" s="29" t="str">
        <f t="shared" si="1"/>
        <v/>
      </c>
      <c r="D5227" s="6" t="str">
        <f>IF(A5227="","",MATCH(A5227,Calculation!B$2:B9627,1))</f>
        <v/>
      </c>
      <c r="E5227" s="29" t="str">
        <f t="array" ref="E5227">IF(D5227="","",IF(D5227=1,0,INDEX(Calculation!Q$2:Q9627,D5227-1)))</f>
        <v/>
      </c>
      <c r="F5227" s="29" t="str">
        <f t="array" ref="F5227">IF($A5227="","",
  LET(
    r, $D5227,
    startD, INDEX(Calculation!B$2:B9627, r),
    endD,   INDEX(Calculation!C$2:C9627, r),
    asOf,   MIN($A5227,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28">
      <c r="A5228" s="28"/>
      <c r="B5228" s="29"/>
      <c r="C5228" s="29" t="str">
        <f t="shared" si="1"/>
        <v/>
      </c>
      <c r="D5228" s="6" t="str">
        <f>IF(A5228="","",MATCH(A5228,Calculation!B$2:B9627,1))</f>
        <v/>
      </c>
      <c r="E5228" s="29" t="str">
        <f t="array" ref="E5228">IF(D5228="","",IF(D5228=1,0,INDEX(Calculation!Q$2:Q9627,D5228-1)))</f>
        <v/>
      </c>
      <c r="F5228" s="29" t="str">
        <f t="array" ref="F5228">IF($A5228="","",
  LET(
    r, $D5228,
    startD, INDEX(Calculation!B$2:B9627, r),
    endD,   INDEX(Calculation!C$2:C9627, r),
    asOf,   MIN($A5228,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29">
      <c r="A5229" s="28"/>
      <c r="B5229" s="29"/>
      <c r="C5229" s="29" t="str">
        <f t="shared" si="1"/>
        <v/>
      </c>
      <c r="D5229" s="6" t="str">
        <f>IF(A5229="","",MATCH(A5229,Calculation!B$2:B9627,1))</f>
        <v/>
      </c>
      <c r="E5229" s="29" t="str">
        <f t="array" ref="E5229">IF(D5229="","",IF(D5229=1,0,INDEX(Calculation!Q$2:Q9627,D5229-1)))</f>
        <v/>
      </c>
      <c r="F5229" s="29" t="str">
        <f t="array" ref="F5229">IF($A5229="","",
  LET(
    r, $D5229,
    startD, INDEX(Calculation!B$2:B9627, r),
    endD,   INDEX(Calculation!C$2:C9627, r),
    asOf,   MIN($A5229,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30">
      <c r="A5230" s="28"/>
      <c r="B5230" s="29"/>
      <c r="C5230" s="29" t="str">
        <f t="shared" si="1"/>
        <v/>
      </c>
      <c r="D5230" s="6" t="str">
        <f>IF(A5230="","",MATCH(A5230,Calculation!B$2:B9627,1))</f>
        <v/>
      </c>
      <c r="E5230" s="29" t="str">
        <f t="array" ref="E5230">IF(D5230="","",IF(D5230=1,0,INDEX(Calculation!Q$2:Q9627,D5230-1)))</f>
        <v/>
      </c>
      <c r="F5230" s="29" t="str">
        <f t="array" ref="F5230">IF($A5230="","",
  LET(
    r, $D5230,
    startD, INDEX(Calculation!B$2:B9627, r),
    endD,   INDEX(Calculation!C$2:C9627, r),
    asOf,   MIN($A5230,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31">
      <c r="A5231" s="28"/>
      <c r="B5231" s="29"/>
      <c r="C5231" s="29" t="str">
        <f t="shared" si="1"/>
        <v/>
      </c>
      <c r="D5231" s="6" t="str">
        <f>IF(A5231="","",MATCH(A5231,Calculation!B$2:B9627,1))</f>
        <v/>
      </c>
      <c r="E5231" s="29" t="str">
        <f t="array" ref="E5231">IF(D5231="","",IF(D5231=1,0,INDEX(Calculation!Q$2:Q9627,D5231-1)))</f>
        <v/>
      </c>
      <c r="F5231" s="29" t="str">
        <f t="array" ref="F5231">IF($A5231="","",
  LET(
    r, $D5231,
    startD, INDEX(Calculation!B$2:B9627, r),
    endD,   INDEX(Calculation!C$2:C9627, r),
    asOf,   MIN($A5231,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32">
      <c r="A5232" s="28"/>
      <c r="B5232" s="29"/>
      <c r="C5232" s="29" t="str">
        <f t="shared" si="1"/>
        <v/>
      </c>
      <c r="D5232" s="6" t="str">
        <f>IF(A5232="","",MATCH(A5232,Calculation!B$2:B9627,1))</f>
        <v/>
      </c>
      <c r="E5232" s="29" t="str">
        <f t="array" ref="E5232">IF(D5232="","",IF(D5232=1,0,INDEX(Calculation!Q$2:Q9627,D5232-1)))</f>
        <v/>
      </c>
      <c r="F5232" s="29" t="str">
        <f t="array" ref="F5232">IF($A5232="","",
  LET(
    r, $D5232,
    startD, INDEX(Calculation!B$2:B9627, r),
    endD,   INDEX(Calculation!C$2:C9627, r),
    asOf,   MIN($A5232,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33">
      <c r="A5233" s="28"/>
      <c r="B5233" s="29"/>
      <c r="C5233" s="29" t="str">
        <f t="shared" si="1"/>
        <v/>
      </c>
      <c r="D5233" s="6" t="str">
        <f>IF(A5233="","",MATCH(A5233,Calculation!B$2:B9627,1))</f>
        <v/>
      </c>
      <c r="E5233" s="29" t="str">
        <f t="array" ref="E5233">IF(D5233="","",IF(D5233=1,0,INDEX(Calculation!Q$2:Q9627,D5233-1)))</f>
        <v/>
      </c>
      <c r="F5233" s="29" t="str">
        <f t="array" ref="F5233">IF($A5233="","",
  LET(
    r, $D5233,
    startD, INDEX(Calculation!B$2:B9627, r),
    endD,   INDEX(Calculation!C$2:C9627, r),
    asOf,   MIN($A5233,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34">
      <c r="A5234" s="28"/>
      <c r="B5234" s="29"/>
      <c r="C5234" s="29" t="str">
        <f t="shared" si="1"/>
        <v/>
      </c>
      <c r="D5234" s="6" t="str">
        <f>IF(A5234="","",MATCH(A5234,Calculation!B$2:B9627,1))</f>
        <v/>
      </c>
      <c r="E5234" s="29" t="str">
        <f t="array" ref="E5234">IF(D5234="","",IF(D5234=1,0,INDEX(Calculation!Q$2:Q9627,D5234-1)))</f>
        <v/>
      </c>
      <c r="F5234" s="29" t="str">
        <f t="array" ref="F5234">IF($A5234="","",
  LET(
    r, $D5234,
    startD, INDEX(Calculation!B$2:B9627, r),
    endD,   INDEX(Calculation!C$2:C9627, r),
    asOf,   MIN($A5234,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35">
      <c r="A5235" s="28"/>
      <c r="B5235" s="29"/>
      <c r="C5235" s="29" t="str">
        <f t="shared" si="1"/>
        <v/>
      </c>
      <c r="D5235" s="6" t="str">
        <f>IF(A5235="","",MATCH(A5235,Calculation!B$2:B9627,1))</f>
        <v/>
      </c>
      <c r="E5235" s="29" t="str">
        <f t="array" ref="E5235">IF(D5235="","",IF(D5235=1,0,INDEX(Calculation!Q$2:Q9627,D5235-1)))</f>
        <v/>
      </c>
      <c r="F5235" s="29" t="str">
        <f t="array" ref="F5235">IF($A5235="","",
  LET(
    r, $D5235,
    startD, INDEX(Calculation!B$2:B9627, r),
    endD,   INDEX(Calculation!C$2:C9627, r),
    asOf,   MIN($A5235,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36">
      <c r="A5236" s="28"/>
      <c r="B5236" s="29"/>
      <c r="C5236" s="29" t="str">
        <f t="shared" si="1"/>
        <v/>
      </c>
      <c r="D5236" s="6" t="str">
        <f>IF(A5236="","",MATCH(A5236,Calculation!B$2:B9627,1))</f>
        <v/>
      </c>
      <c r="E5236" s="29" t="str">
        <f t="array" ref="E5236">IF(D5236="","",IF(D5236=1,0,INDEX(Calculation!Q$2:Q9627,D5236-1)))</f>
        <v/>
      </c>
      <c r="F5236" s="29" t="str">
        <f t="array" ref="F5236">IF($A5236="","",
  LET(
    r, $D5236,
    startD, INDEX(Calculation!B$2:B9627, r),
    endD,   INDEX(Calculation!C$2:C9627, r),
    asOf,   MIN($A5236,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37">
      <c r="A5237" s="28"/>
      <c r="B5237" s="29"/>
      <c r="C5237" s="29" t="str">
        <f t="shared" si="1"/>
        <v/>
      </c>
      <c r="D5237" s="6" t="str">
        <f>IF(A5237="","",MATCH(A5237,Calculation!B$2:B9627,1))</f>
        <v/>
      </c>
      <c r="E5237" s="29" t="str">
        <f t="array" ref="E5237">IF(D5237="","",IF(D5237=1,0,INDEX(Calculation!Q$2:Q9627,D5237-1)))</f>
        <v/>
      </c>
      <c r="F5237" s="29" t="str">
        <f t="array" ref="F5237">IF($A5237="","",
  LET(
    r, $D5237,
    startD, INDEX(Calculation!B$2:B9627, r),
    endD,   INDEX(Calculation!C$2:C9627, r),
    asOf,   MIN($A5237,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38">
      <c r="A5238" s="28"/>
      <c r="B5238" s="29"/>
      <c r="C5238" s="29" t="str">
        <f t="shared" si="1"/>
        <v/>
      </c>
      <c r="D5238" s="6" t="str">
        <f>IF(A5238="","",MATCH(A5238,Calculation!B$2:B9627,1))</f>
        <v/>
      </c>
      <c r="E5238" s="29" t="str">
        <f t="array" ref="E5238">IF(D5238="","",IF(D5238=1,0,INDEX(Calculation!Q$2:Q9627,D5238-1)))</f>
        <v/>
      </c>
      <c r="F5238" s="29" t="str">
        <f t="array" ref="F5238">IF($A5238="","",
  LET(
    r, $D5238,
    startD, INDEX(Calculation!B$2:B9627, r),
    endD,   INDEX(Calculation!C$2:C9627, r),
    asOf,   MIN($A5238,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39">
      <c r="A5239" s="28"/>
      <c r="B5239" s="29"/>
      <c r="C5239" s="29" t="str">
        <f t="shared" si="1"/>
        <v/>
      </c>
      <c r="D5239" s="6" t="str">
        <f>IF(A5239="","",MATCH(A5239,Calculation!B$2:B9627,1))</f>
        <v/>
      </c>
      <c r="E5239" s="29" t="str">
        <f t="array" ref="E5239">IF(D5239="","",IF(D5239=1,0,INDEX(Calculation!Q$2:Q9627,D5239-1)))</f>
        <v/>
      </c>
      <c r="F5239" s="29" t="str">
        <f t="array" ref="F5239">IF($A5239="","",
  LET(
    r, $D5239,
    startD, INDEX(Calculation!B$2:B9627, r),
    endD,   INDEX(Calculation!C$2:C9627, r),
    asOf,   MIN($A5239,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40">
      <c r="A5240" s="28"/>
      <c r="B5240" s="29"/>
      <c r="C5240" s="29" t="str">
        <f t="shared" si="1"/>
        <v/>
      </c>
      <c r="D5240" s="6" t="str">
        <f>IF(A5240="","",MATCH(A5240,Calculation!B$2:B9627,1))</f>
        <v/>
      </c>
      <c r="E5240" s="29" t="str">
        <f t="array" ref="E5240">IF(D5240="","",IF(D5240=1,0,INDEX(Calculation!Q$2:Q9627,D5240-1)))</f>
        <v/>
      </c>
      <c r="F5240" s="29" t="str">
        <f t="array" ref="F5240">IF($A5240="","",
  LET(
    r, $D5240,
    startD, INDEX(Calculation!B$2:B9627, r),
    endD,   INDEX(Calculation!C$2:C9627, r),
    asOf,   MIN($A5240,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41">
      <c r="A5241" s="28"/>
      <c r="B5241" s="29"/>
      <c r="C5241" s="29" t="str">
        <f t="shared" si="1"/>
        <v/>
      </c>
      <c r="D5241" s="6" t="str">
        <f>IF(A5241="","",MATCH(A5241,Calculation!B$2:B9627,1))</f>
        <v/>
      </c>
      <c r="E5241" s="29" t="str">
        <f t="array" ref="E5241">IF(D5241="","",IF(D5241=1,0,INDEX(Calculation!Q$2:Q9627,D5241-1)))</f>
        <v/>
      </c>
      <c r="F5241" s="29" t="str">
        <f t="array" ref="F5241">IF($A5241="","",
  LET(
    r, $D5241,
    startD, INDEX(Calculation!B$2:B9627, r),
    endD,   INDEX(Calculation!C$2:C9627, r),
    asOf,   MIN($A5241,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42">
      <c r="A5242" s="28"/>
      <c r="B5242" s="29"/>
      <c r="C5242" s="29" t="str">
        <f t="shared" si="1"/>
        <v/>
      </c>
      <c r="D5242" s="6" t="str">
        <f>IF(A5242="","",MATCH(A5242,Calculation!B$2:B9627,1))</f>
        <v/>
      </c>
      <c r="E5242" s="29" t="str">
        <f t="array" ref="E5242">IF(D5242="","",IF(D5242=1,0,INDEX(Calculation!Q$2:Q9627,D5242-1)))</f>
        <v/>
      </c>
      <c r="F5242" s="29" t="str">
        <f t="array" ref="F5242">IF($A5242="","",
  LET(
    r, $D5242,
    startD, INDEX(Calculation!B$2:B9627, r),
    endD,   INDEX(Calculation!C$2:C9627, r),
    asOf,   MIN($A5242,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43">
      <c r="A5243" s="28"/>
      <c r="B5243" s="29"/>
      <c r="C5243" s="29" t="str">
        <f t="shared" si="1"/>
        <v/>
      </c>
      <c r="D5243" s="6" t="str">
        <f>IF(A5243="","",MATCH(A5243,Calculation!B$2:B9627,1))</f>
        <v/>
      </c>
      <c r="E5243" s="29" t="str">
        <f t="array" ref="E5243">IF(D5243="","",IF(D5243=1,0,INDEX(Calculation!Q$2:Q9627,D5243-1)))</f>
        <v/>
      </c>
      <c r="F5243" s="29" t="str">
        <f t="array" ref="F5243">IF($A5243="","",
  LET(
    r, $D5243,
    startD, INDEX(Calculation!B$2:B9627, r),
    endD,   INDEX(Calculation!C$2:C9627, r),
    asOf,   MIN($A5243,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44">
      <c r="A5244" s="28"/>
      <c r="B5244" s="29"/>
      <c r="C5244" s="29" t="str">
        <f t="shared" si="1"/>
        <v/>
      </c>
      <c r="D5244" s="6" t="str">
        <f>IF(A5244="","",MATCH(A5244,Calculation!B$2:B9627,1))</f>
        <v/>
      </c>
      <c r="E5244" s="29" t="str">
        <f t="array" ref="E5244">IF(D5244="","",IF(D5244=1,0,INDEX(Calculation!Q$2:Q9627,D5244-1)))</f>
        <v/>
      </c>
      <c r="F5244" s="29" t="str">
        <f t="array" ref="F5244">IF($A5244="","",
  LET(
    r, $D5244,
    startD, INDEX(Calculation!B$2:B9627, r),
    endD,   INDEX(Calculation!C$2:C9627, r),
    asOf,   MIN($A5244,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45">
      <c r="A5245" s="28"/>
      <c r="B5245" s="29"/>
      <c r="C5245" s="29" t="str">
        <f t="shared" si="1"/>
        <v/>
      </c>
      <c r="D5245" s="6" t="str">
        <f>IF(A5245="","",MATCH(A5245,Calculation!B$2:B9627,1))</f>
        <v/>
      </c>
      <c r="E5245" s="29" t="str">
        <f t="array" ref="E5245">IF(D5245="","",IF(D5245=1,0,INDEX(Calculation!Q$2:Q9627,D5245-1)))</f>
        <v/>
      </c>
      <c r="F5245" s="29" t="str">
        <f t="array" ref="F5245">IF($A5245="","",
  LET(
    r, $D5245,
    startD, INDEX(Calculation!B$2:B9627, r),
    endD,   INDEX(Calculation!C$2:C9627, r),
    asOf,   MIN($A5245,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46">
      <c r="A5246" s="28"/>
      <c r="B5246" s="29"/>
      <c r="C5246" s="29" t="str">
        <f t="shared" si="1"/>
        <v/>
      </c>
      <c r="D5246" s="6" t="str">
        <f>IF(A5246="","",MATCH(A5246,Calculation!B$2:B9627,1))</f>
        <v/>
      </c>
      <c r="E5246" s="29" t="str">
        <f t="array" ref="E5246">IF(D5246="","",IF(D5246=1,0,INDEX(Calculation!Q$2:Q9627,D5246-1)))</f>
        <v/>
      </c>
      <c r="F5246" s="29" t="str">
        <f t="array" ref="F5246">IF($A5246="","",
  LET(
    r, $D5246,
    startD, INDEX(Calculation!B$2:B9627, r),
    endD,   INDEX(Calculation!C$2:C9627, r),
    asOf,   MIN($A5246,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47">
      <c r="A5247" s="28"/>
      <c r="B5247" s="29"/>
      <c r="C5247" s="29" t="str">
        <f t="shared" si="1"/>
        <v/>
      </c>
      <c r="D5247" s="6" t="str">
        <f>IF(A5247="","",MATCH(A5247,Calculation!B$2:B9627,1))</f>
        <v/>
      </c>
      <c r="E5247" s="29" t="str">
        <f t="array" ref="E5247">IF(D5247="","",IF(D5247=1,0,INDEX(Calculation!Q$2:Q9627,D5247-1)))</f>
        <v/>
      </c>
      <c r="F5247" s="29" t="str">
        <f t="array" ref="F5247">IF($A5247="","",
  LET(
    r, $D5247,
    startD, INDEX(Calculation!B$2:B9627, r),
    endD,   INDEX(Calculation!C$2:C9627, r),
    asOf,   MIN($A5247,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48">
      <c r="A5248" s="28"/>
      <c r="B5248" s="29"/>
      <c r="C5248" s="29" t="str">
        <f t="shared" si="1"/>
        <v/>
      </c>
      <c r="D5248" s="6" t="str">
        <f>IF(A5248="","",MATCH(A5248,Calculation!B$2:B9627,1))</f>
        <v/>
      </c>
      <c r="E5248" s="29" t="str">
        <f t="array" ref="E5248">IF(D5248="","",IF(D5248=1,0,INDEX(Calculation!Q$2:Q9627,D5248-1)))</f>
        <v/>
      </c>
      <c r="F5248" s="29" t="str">
        <f t="array" ref="F5248">IF($A5248="","",
  LET(
    r, $D5248,
    startD, INDEX(Calculation!B$2:B9627, r),
    endD,   INDEX(Calculation!C$2:C9627, r),
    asOf,   MIN($A5248,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49">
      <c r="A5249" s="28"/>
      <c r="B5249" s="29"/>
      <c r="C5249" s="29" t="str">
        <f t="shared" si="1"/>
        <v/>
      </c>
      <c r="D5249" s="6" t="str">
        <f>IF(A5249="","",MATCH(A5249,Calculation!B$2:B9627,1))</f>
        <v/>
      </c>
      <c r="E5249" s="29" t="str">
        <f t="array" ref="E5249">IF(D5249="","",IF(D5249=1,0,INDEX(Calculation!Q$2:Q9627,D5249-1)))</f>
        <v/>
      </c>
      <c r="F5249" s="29" t="str">
        <f t="array" ref="F5249">IF($A5249="","",
  LET(
    r, $D5249,
    startD, INDEX(Calculation!B$2:B9627, r),
    endD,   INDEX(Calculation!C$2:C9627, r),
    asOf,   MIN($A5249,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50">
      <c r="A5250" s="28"/>
      <c r="B5250" s="29"/>
      <c r="C5250" s="29" t="str">
        <f t="shared" si="1"/>
        <v/>
      </c>
      <c r="D5250" s="6" t="str">
        <f>IF(A5250="","",MATCH(A5250,Calculation!B$2:B9627,1))</f>
        <v/>
      </c>
      <c r="E5250" s="29" t="str">
        <f t="array" ref="E5250">IF(D5250="","",IF(D5250=1,0,INDEX(Calculation!Q$2:Q9627,D5250-1)))</f>
        <v/>
      </c>
      <c r="F5250" s="29" t="str">
        <f t="array" ref="F5250">IF($A5250="","",
  LET(
    r, $D5250,
    startD, INDEX(Calculation!B$2:B9627, r),
    endD,   INDEX(Calculation!C$2:C9627, r),
    asOf,   MIN($A5250,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51">
      <c r="A5251" s="28"/>
      <c r="B5251" s="29"/>
      <c r="C5251" s="29" t="str">
        <f t="shared" si="1"/>
        <v/>
      </c>
      <c r="D5251" s="6" t="str">
        <f>IF(A5251="","",MATCH(A5251,Calculation!B$2:B9627,1))</f>
        <v/>
      </c>
      <c r="E5251" s="29" t="str">
        <f t="array" ref="E5251">IF(D5251="","",IF(D5251=1,0,INDEX(Calculation!Q$2:Q9627,D5251-1)))</f>
        <v/>
      </c>
      <c r="F5251" s="29" t="str">
        <f t="array" ref="F5251">IF($A5251="","",
  LET(
    r, $D5251,
    startD, INDEX(Calculation!B$2:B9627, r),
    endD,   INDEX(Calculation!C$2:C9627, r),
    asOf,   MIN($A5251,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52">
      <c r="A5252" s="28"/>
      <c r="B5252" s="29"/>
      <c r="C5252" s="29" t="str">
        <f t="shared" si="1"/>
        <v/>
      </c>
      <c r="D5252" s="6" t="str">
        <f>IF(A5252="","",MATCH(A5252,Calculation!B$2:B9627,1))</f>
        <v/>
      </c>
      <c r="E5252" s="29" t="str">
        <f t="array" ref="E5252">IF(D5252="","",IF(D5252=1,0,INDEX(Calculation!Q$2:Q9627,D5252-1)))</f>
        <v/>
      </c>
      <c r="F5252" s="29" t="str">
        <f t="array" ref="F5252">IF($A5252="","",
  LET(
    r, $D5252,
    startD, INDEX(Calculation!B$2:B9627, r),
    endD,   INDEX(Calculation!C$2:C9627, r),
    asOf,   MIN($A5252,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53">
      <c r="A5253" s="28"/>
      <c r="B5253" s="29"/>
      <c r="C5253" s="29" t="str">
        <f t="shared" si="1"/>
        <v/>
      </c>
      <c r="D5253" s="6" t="str">
        <f>IF(A5253="","",MATCH(A5253,Calculation!B$2:B9627,1))</f>
        <v/>
      </c>
      <c r="E5253" s="29" t="str">
        <f t="array" ref="E5253">IF(D5253="","",IF(D5253=1,0,INDEX(Calculation!Q$2:Q9627,D5253-1)))</f>
        <v/>
      </c>
      <c r="F5253" s="29" t="str">
        <f t="array" ref="F5253">IF($A5253="","",
  LET(
    r, $D5253,
    startD, INDEX(Calculation!B$2:B9627, r),
    endD,   INDEX(Calculation!C$2:C9627, r),
    asOf,   MIN($A5253,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54">
      <c r="A5254" s="28"/>
      <c r="B5254" s="29"/>
      <c r="C5254" s="29" t="str">
        <f t="shared" si="1"/>
        <v/>
      </c>
      <c r="D5254" s="6" t="str">
        <f>IF(A5254="","",MATCH(A5254,Calculation!B$2:B9627,1))</f>
        <v/>
      </c>
      <c r="E5254" s="29" t="str">
        <f t="array" ref="E5254">IF(D5254="","",IF(D5254=1,0,INDEX(Calculation!Q$2:Q9627,D5254-1)))</f>
        <v/>
      </c>
      <c r="F5254" s="29" t="str">
        <f t="array" ref="F5254">IF($A5254="","",
  LET(
    r, $D5254,
    startD, INDEX(Calculation!B$2:B9627, r),
    endD,   INDEX(Calculation!C$2:C9627, r),
    asOf,   MIN($A5254,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55">
      <c r="A5255" s="28"/>
      <c r="B5255" s="29"/>
      <c r="C5255" s="29" t="str">
        <f t="shared" si="1"/>
        <v/>
      </c>
      <c r="D5255" s="6" t="str">
        <f>IF(A5255="","",MATCH(A5255,Calculation!B$2:B9627,1))</f>
        <v/>
      </c>
      <c r="E5255" s="29" t="str">
        <f t="array" ref="E5255">IF(D5255="","",IF(D5255=1,0,INDEX(Calculation!Q$2:Q9627,D5255-1)))</f>
        <v/>
      </c>
      <c r="F5255" s="29" t="str">
        <f t="array" ref="F5255">IF($A5255="","",
  LET(
    r, $D5255,
    startD, INDEX(Calculation!B$2:B9627, r),
    endD,   INDEX(Calculation!C$2:C9627, r),
    asOf,   MIN($A5255,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56">
      <c r="A5256" s="28"/>
      <c r="B5256" s="29"/>
      <c r="C5256" s="29" t="str">
        <f t="shared" si="1"/>
        <v/>
      </c>
      <c r="D5256" s="6" t="str">
        <f>IF(A5256="","",MATCH(A5256,Calculation!B$2:B9627,1))</f>
        <v/>
      </c>
      <c r="E5256" s="29" t="str">
        <f t="array" ref="E5256">IF(D5256="","",IF(D5256=1,0,INDEX(Calculation!Q$2:Q9627,D5256-1)))</f>
        <v/>
      </c>
      <c r="F5256" s="29" t="str">
        <f t="array" ref="F5256">IF($A5256="","",
  LET(
    r, $D5256,
    startD, INDEX(Calculation!B$2:B9627, r),
    endD,   INDEX(Calculation!C$2:C9627, r),
    asOf,   MIN($A5256,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57">
      <c r="A5257" s="28"/>
      <c r="B5257" s="29"/>
      <c r="C5257" s="29" t="str">
        <f t="shared" si="1"/>
        <v/>
      </c>
      <c r="D5257" s="6" t="str">
        <f>IF(A5257="","",MATCH(A5257,Calculation!B$2:B9627,1))</f>
        <v/>
      </c>
      <c r="E5257" s="29" t="str">
        <f t="array" ref="E5257">IF(D5257="","",IF(D5257=1,0,INDEX(Calculation!Q$2:Q9627,D5257-1)))</f>
        <v/>
      </c>
      <c r="F5257" s="29" t="str">
        <f t="array" ref="F5257">IF($A5257="","",
  LET(
    r, $D5257,
    startD, INDEX(Calculation!B$2:B9627, r),
    endD,   INDEX(Calculation!C$2:C9627, r),
    asOf,   MIN($A5257,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58">
      <c r="A5258" s="28"/>
      <c r="B5258" s="29"/>
      <c r="C5258" s="29" t="str">
        <f t="shared" si="1"/>
        <v/>
      </c>
      <c r="D5258" s="6" t="str">
        <f>IF(A5258="","",MATCH(A5258,Calculation!B$2:B9627,1))</f>
        <v/>
      </c>
      <c r="E5258" s="29" t="str">
        <f t="array" ref="E5258">IF(D5258="","",IF(D5258=1,0,INDEX(Calculation!Q$2:Q9627,D5258-1)))</f>
        <v/>
      </c>
      <c r="F5258" s="29" t="str">
        <f t="array" ref="F5258">IF($A5258="","",
  LET(
    r, $D5258,
    startD, INDEX(Calculation!B$2:B9627, r),
    endD,   INDEX(Calculation!C$2:C9627, r),
    asOf,   MIN($A5258,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59">
      <c r="A5259" s="28"/>
      <c r="B5259" s="29"/>
      <c r="C5259" s="29" t="str">
        <f t="shared" si="1"/>
        <v/>
      </c>
      <c r="D5259" s="6" t="str">
        <f>IF(A5259="","",MATCH(A5259,Calculation!B$2:B9627,1))</f>
        <v/>
      </c>
      <c r="E5259" s="29" t="str">
        <f t="array" ref="E5259">IF(D5259="","",IF(D5259=1,0,INDEX(Calculation!Q$2:Q9627,D5259-1)))</f>
        <v/>
      </c>
      <c r="F5259" s="29" t="str">
        <f t="array" ref="F5259">IF($A5259="","",
  LET(
    r, $D5259,
    startD, INDEX(Calculation!B$2:B9627, r),
    endD,   INDEX(Calculation!C$2:C9627, r),
    asOf,   MIN($A5259,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60">
      <c r="A5260" s="28"/>
      <c r="B5260" s="29"/>
      <c r="C5260" s="29" t="str">
        <f t="shared" si="1"/>
        <v/>
      </c>
      <c r="D5260" s="6" t="str">
        <f>IF(A5260="","",MATCH(A5260,Calculation!B$2:B9627,1))</f>
        <v/>
      </c>
      <c r="E5260" s="29" t="str">
        <f t="array" ref="E5260">IF(D5260="","",IF(D5260=1,0,INDEX(Calculation!Q$2:Q9627,D5260-1)))</f>
        <v/>
      </c>
      <c r="F5260" s="29" t="str">
        <f t="array" ref="F5260">IF($A5260="","",
  LET(
    r, $D5260,
    startD, INDEX(Calculation!B$2:B9627, r),
    endD,   INDEX(Calculation!C$2:C9627, r),
    asOf,   MIN($A5260,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61">
      <c r="A5261" s="28"/>
      <c r="B5261" s="29"/>
      <c r="C5261" s="29" t="str">
        <f t="shared" si="1"/>
        <v/>
      </c>
      <c r="D5261" s="6" t="str">
        <f>IF(A5261="","",MATCH(A5261,Calculation!B$2:B9627,1))</f>
        <v/>
      </c>
      <c r="E5261" s="29" t="str">
        <f t="array" ref="E5261">IF(D5261="","",IF(D5261=1,0,INDEX(Calculation!Q$2:Q9627,D5261-1)))</f>
        <v/>
      </c>
      <c r="F5261" s="29" t="str">
        <f t="array" ref="F5261">IF($A5261="","",
  LET(
    r, $D5261,
    startD, INDEX(Calculation!B$2:B9627, r),
    endD,   INDEX(Calculation!C$2:C9627, r),
    asOf,   MIN($A5261,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62">
      <c r="A5262" s="28"/>
      <c r="B5262" s="29"/>
      <c r="C5262" s="29" t="str">
        <f t="shared" si="1"/>
        <v/>
      </c>
      <c r="D5262" s="6" t="str">
        <f>IF(A5262="","",MATCH(A5262,Calculation!B$2:B9627,1))</f>
        <v/>
      </c>
      <c r="E5262" s="29" t="str">
        <f t="array" ref="E5262">IF(D5262="","",IF(D5262=1,0,INDEX(Calculation!Q$2:Q9627,D5262-1)))</f>
        <v/>
      </c>
      <c r="F5262" s="29" t="str">
        <f t="array" ref="F5262">IF($A5262="","",
  LET(
    r, $D5262,
    startD, INDEX(Calculation!B$2:B9627, r),
    endD,   INDEX(Calculation!C$2:C9627, r),
    asOf,   MIN($A5262,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63">
      <c r="A5263" s="28"/>
      <c r="B5263" s="29"/>
      <c r="C5263" s="29" t="str">
        <f t="shared" si="1"/>
        <v/>
      </c>
      <c r="D5263" s="6" t="str">
        <f>IF(A5263="","",MATCH(A5263,Calculation!B$2:B9627,1))</f>
        <v/>
      </c>
      <c r="E5263" s="29" t="str">
        <f t="array" ref="E5263">IF(D5263="","",IF(D5263=1,0,INDEX(Calculation!Q$2:Q9627,D5263-1)))</f>
        <v/>
      </c>
      <c r="F5263" s="29" t="str">
        <f t="array" ref="F5263">IF($A5263="","",
  LET(
    r, $D5263,
    startD, INDEX(Calculation!B$2:B9627, r),
    endD,   INDEX(Calculation!C$2:C9627, r),
    asOf,   MIN($A5263,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64">
      <c r="A5264" s="28"/>
      <c r="B5264" s="29"/>
      <c r="C5264" s="29" t="str">
        <f t="shared" si="1"/>
        <v/>
      </c>
      <c r="D5264" s="6" t="str">
        <f>IF(A5264="","",MATCH(A5264,Calculation!B$2:B9627,1))</f>
        <v/>
      </c>
      <c r="E5264" s="29" t="str">
        <f t="array" ref="E5264">IF(D5264="","",IF(D5264=1,0,INDEX(Calculation!Q$2:Q9627,D5264-1)))</f>
        <v/>
      </c>
      <c r="F5264" s="29" t="str">
        <f t="array" ref="F5264">IF($A5264="","",
  LET(
    r, $D5264,
    startD, INDEX(Calculation!B$2:B9627, r),
    endD,   INDEX(Calculation!C$2:C9627, r),
    asOf,   MIN($A5264,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65">
      <c r="A5265" s="28"/>
      <c r="B5265" s="29"/>
      <c r="C5265" s="29" t="str">
        <f t="shared" si="1"/>
        <v/>
      </c>
      <c r="D5265" s="6" t="str">
        <f>IF(A5265="","",MATCH(A5265,Calculation!B$2:B9627,1))</f>
        <v/>
      </c>
      <c r="E5265" s="29" t="str">
        <f t="array" ref="E5265">IF(D5265="","",IF(D5265=1,0,INDEX(Calculation!Q$2:Q9627,D5265-1)))</f>
        <v/>
      </c>
      <c r="F5265" s="29" t="str">
        <f t="array" ref="F5265">IF($A5265="","",
  LET(
    r, $D5265,
    startD, INDEX(Calculation!B$2:B9627, r),
    endD,   INDEX(Calculation!C$2:C9627, r),
    asOf,   MIN($A5265,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66">
      <c r="A5266" s="28"/>
      <c r="B5266" s="29"/>
      <c r="C5266" s="29" t="str">
        <f t="shared" si="1"/>
        <v/>
      </c>
      <c r="D5266" s="6" t="str">
        <f>IF(A5266="","",MATCH(A5266,Calculation!B$2:B9627,1))</f>
        <v/>
      </c>
      <c r="E5266" s="29" t="str">
        <f t="array" ref="E5266">IF(D5266="","",IF(D5266=1,0,INDEX(Calculation!Q$2:Q9627,D5266-1)))</f>
        <v/>
      </c>
      <c r="F5266" s="29" t="str">
        <f t="array" ref="F5266">IF($A5266="","",
  LET(
    r, $D5266,
    startD, INDEX(Calculation!B$2:B9627, r),
    endD,   INDEX(Calculation!C$2:C9627, r),
    asOf,   MIN($A5266,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67">
      <c r="A5267" s="28"/>
      <c r="B5267" s="29"/>
      <c r="C5267" s="29" t="str">
        <f t="shared" si="1"/>
        <v/>
      </c>
      <c r="D5267" s="6" t="str">
        <f>IF(A5267="","",MATCH(A5267,Calculation!B$2:B9627,1))</f>
        <v/>
      </c>
      <c r="E5267" s="29" t="str">
        <f t="array" ref="E5267">IF(D5267="","",IF(D5267=1,0,INDEX(Calculation!Q$2:Q9627,D5267-1)))</f>
        <v/>
      </c>
      <c r="F5267" s="29" t="str">
        <f t="array" ref="F5267">IF($A5267="","",
  LET(
    r, $D5267,
    startD, INDEX(Calculation!B$2:B9627, r),
    endD,   INDEX(Calculation!C$2:C9627, r),
    asOf,   MIN($A5267,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68">
      <c r="A5268" s="28"/>
      <c r="B5268" s="29"/>
      <c r="C5268" s="29" t="str">
        <f t="shared" si="1"/>
        <v/>
      </c>
      <c r="D5268" s="6" t="str">
        <f>IF(A5268="","",MATCH(A5268,Calculation!B$2:B9627,1))</f>
        <v/>
      </c>
      <c r="E5268" s="29" t="str">
        <f t="array" ref="E5268">IF(D5268="","",IF(D5268=1,0,INDEX(Calculation!Q$2:Q9627,D5268-1)))</f>
        <v/>
      </c>
      <c r="F5268" s="29" t="str">
        <f t="array" ref="F5268">IF($A5268="","",
  LET(
    r, $D5268,
    startD, INDEX(Calculation!B$2:B9627, r),
    endD,   INDEX(Calculation!C$2:C9627, r),
    asOf,   MIN($A5268,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69">
      <c r="A5269" s="28"/>
      <c r="B5269" s="29"/>
      <c r="C5269" s="29" t="str">
        <f t="shared" si="1"/>
        <v/>
      </c>
      <c r="D5269" s="6" t="str">
        <f>IF(A5269="","",MATCH(A5269,Calculation!B$2:B9627,1))</f>
        <v/>
      </c>
      <c r="E5269" s="29" t="str">
        <f t="array" ref="E5269">IF(D5269="","",IF(D5269=1,0,INDEX(Calculation!Q$2:Q9627,D5269-1)))</f>
        <v/>
      </c>
      <c r="F5269" s="29" t="str">
        <f t="array" ref="F5269">IF($A5269="","",
  LET(
    r, $D5269,
    startD, INDEX(Calculation!B$2:B9627, r),
    endD,   INDEX(Calculation!C$2:C9627, r),
    asOf,   MIN($A5269,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70">
      <c r="A5270" s="28"/>
      <c r="B5270" s="29"/>
      <c r="C5270" s="29" t="str">
        <f t="shared" si="1"/>
        <v/>
      </c>
      <c r="D5270" s="6" t="str">
        <f>IF(A5270="","",MATCH(A5270,Calculation!B$2:B9627,1))</f>
        <v/>
      </c>
      <c r="E5270" s="29" t="str">
        <f t="array" ref="E5270">IF(D5270="","",IF(D5270=1,0,INDEX(Calculation!Q$2:Q9627,D5270-1)))</f>
        <v/>
      </c>
      <c r="F5270" s="29" t="str">
        <f t="array" ref="F5270">IF($A5270="","",
  LET(
    r, $D5270,
    startD, INDEX(Calculation!B$2:B9627, r),
    endD,   INDEX(Calculation!C$2:C9627, r),
    asOf,   MIN($A5270,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71">
      <c r="A5271" s="28"/>
      <c r="B5271" s="29"/>
      <c r="C5271" s="29" t="str">
        <f t="shared" si="1"/>
        <v/>
      </c>
      <c r="D5271" s="6" t="str">
        <f>IF(A5271="","",MATCH(A5271,Calculation!B$2:B9627,1))</f>
        <v/>
      </c>
      <c r="E5271" s="29" t="str">
        <f t="array" ref="E5271">IF(D5271="","",IF(D5271=1,0,INDEX(Calculation!Q$2:Q9627,D5271-1)))</f>
        <v/>
      </c>
      <c r="F5271" s="29" t="str">
        <f t="array" ref="F5271">IF($A5271="","",
  LET(
    r, $D5271,
    startD, INDEX(Calculation!B$2:B9627, r),
    endD,   INDEX(Calculation!C$2:C9627, r),
    asOf,   MIN($A5271,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72">
      <c r="A5272" s="28"/>
      <c r="B5272" s="29"/>
      <c r="C5272" s="29" t="str">
        <f t="shared" si="1"/>
        <v/>
      </c>
      <c r="D5272" s="6" t="str">
        <f>IF(A5272="","",MATCH(A5272,Calculation!B$2:B9627,1))</f>
        <v/>
      </c>
      <c r="E5272" s="29" t="str">
        <f t="array" ref="E5272">IF(D5272="","",IF(D5272=1,0,INDEX(Calculation!Q$2:Q9627,D5272-1)))</f>
        <v/>
      </c>
      <c r="F5272" s="29" t="str">
        <f t="array" ref="F5272">IF($A5272="","",
  LET(
    r, $D5272,
    startD, INDEX(Calculation!B$2:B9627, r),
    endD,   INDEX(Calculation!C$2:C9627, r),
    asOf,   MIN($A5272,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73">
      <c r="A5273" s="28"/>
      <c r="B5273" s="29"/>
      <c r="C5273" s="29" t="str">
        <f t="shared" si="1"/>
        <v/>
      </c>
      <c r="D5273" s="6" t="str">
        <f>IF(A5273="","",MATCH(A5273,Calculation!B$2:B9627,1))</f>
        <v/>
      </c>
      <c r="E5273" s="29" t="str">
        <f t="array" ref="E5273">IF(D5273="","",IF(D5273=1,0,INDEX(Calculation!Q$2:Q9627,D5273-1)))</f>
        <v/>
      </c>
      <c r="F5273" s="29" t="str">
        <f t="array" ref="F5273">IF($A5273="","",
  LET(
    r, $D5273,
    startD, INDEX(Calculation!B$2:B9627, r),
    endD,   INDEX(Calculation!C$2:C9627, r),
    asOf,   MIN($A5273,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74">
      <c r="A5274" s="28"/>
      <c r="B5274" s="29"/>
      <c r="C5274" s="29" t="str">
        <f t="shared" si="1"/>
        <v/>
      </c>
      <c r="D5274" s="6" t="str">
        <f>IF(A5274="","",MATCH(A5274,Calculation!B$2:B9627,1))</f>
        <v/>
      </c>
      <c r="E5274" s="29" t="str">
        <f t="array" ref="E5274">IF(D5274="","",IF(D5274=1,0,INDEX(Calculation!Q$2:Q9627,D5274-1)))</f>
        <v/>
      </c>
      <c r="F5274" s="29" t="str">
        <f t="array" ref="F5274">IF($A5274="","",
  LET(
    r, $D5274,
    startD, INDEX(Calculation!B$2:B9627, r),
    endD,   INDEX(Calculation!C$2:C9627, r),
    asOf,   MIN($A5274,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75">
      <c r="A5275" s="28"/>
      <c r="B5275" s="29"/>
      <c r="C5275" s="29" t="str">
        <f t="shared" si="1"/>
        <v/>
      </c>
      <c r="D5275" s="6" t="str">
        <f>IF(A5275="","",MATCH(A5275,Calculation!B$2:B9627,1))</f>
        <v/>
      </c>
      <c r="E5275" s="29" t="str">
        <f t="array" ref="E5275">IF(D5275="","",IF(D5275=1,0,INDEX(Calculation!Q$2:Q9627,D5275-1)))</f>
        <v/>
      </c>
      <c r="F5275" s="29" t="str">
        <f t="array" ref="F5275">IF($A5275="","",
  LET(
    r, $D5275,
    startD, INDEX(Calculation!B$2:B9627, r),
    endD,   INDEX(Calculation!C$2:C9627, r),
    asOf,   MIN($A5275,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76">
      <c r="A5276" s="28"/>
      <c r="B5276" s="29"/>
      <c r="C5276" s="29" t="str">
        <f t="shared" si="1"/>
        <v/>
      </c>
      <c r="D5276" s="6" t="str">
        <f>IF(A5276="","",MATCH(A5276,Calculation!B$2:B9627,1))</f>
        <v/>
      </c>
      <c r="E5276" s="29" t="str">
        <f t="array" ref="E5276">IF(D5276="","",IF(D5276=1,0,INDEX(Calculation!Q$2:Q9627,D5276-1)))</f>
        <v/>
      </c>
      <c r="F5276" s="29" t="str">
        <f t="array" ref="F5276">IF($A5276="","",
  LET(
    r, $D5276,
    startD, INDEX(Calculation!B$2:B9627, r),
    endD,   INDEX(Calculation!C$2:C9627, r),
    asOf,   MIN($A5276,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77">
      <c r="A5277" s="28"/>
      <c r="B5277" s="29"/>
      <c r="C5277" s="29" t="str">
        <f t="shared" si="1"/>
        <v/>
      </c>
      <c r="D5277" s="6" t="str">
        <f>IF(A5277="","",MATCH(A5277,Calculation!B$2:B9627,1))</f>
        <v/>
      </c>
      <c r="E5277" s="29" t="str">
        <f t="array" ref="E5277">IF(D5277="","",IF(D5277=1,0,INDEX(Calculation!Q$2:Q9627,D5277-1)))</f>
        <v/>
      </c>
      <c r="F5277" s="29" t="str">
        <f t="array" ref="F5277">IF($A5277="","",
  LET(
    r, $D5277,
    startD, INDEX(Calculation!B$2:B9627, r),
    endD,   INDEX(Calculation!C$2:C9627, r),
    asOf,   MIN($A5277,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78">
      <c r="A5278" s="28"/>
      <c r="B5278" s="29"/>
      <c r="C5278" s="29" t="str">
        <f t="shared" si="1"/>
        <v/>
      </c>
      <c r="D5278" s="6" t="str">
        <f>IF(A5278="","",MATCH(A5278,Calculation!B$2:B9627,1))</f>
        <v/>
      </c>
      <c r="E5278" s="29" t="str">
        <f t="array" ref="E5278">IF(D5278="","",IF(D5278=1,0,INDEX(Calculation!Q$2:Q9627,D5278-1)))</f>
        <v/>
      </c>
      <c r="F5278" s="29" t="str">
        <f t="array" ref="F5278">IF($A5278="","",
  LET(
    r, $D5278,
    startD, INDEX(Calculation!B$2:B9627, r),
    endD,   INDEX(Calculation!C$2:C9627, r),
    asOf,   MIN($A5278,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79">
      <c r="A5279" s="28"/>
      <c r="B5279" s="29"/>
      <c r="C5279" s="29" t="str">
        <f t="shared" si="1"/>
        <v/>
      </c>
      <c r="D5279" s="6" t="str">
        <f>IF(A5279="","",MATCH(A5279,Calculation!B$2:B9627,1))</f>
        <v/>
      </c>
      <c r="E5279" s="29" t="str">
        <f t="array" ref="E5279">IF(D5279="","",IF(D5279=1,0,INDEX(Calculation!Q$2:Q9627,D5279-1)))</f>
        <v/>
      </c>
      <c r="F5279" s="29" t="str">
        <f t="array" ref="F5279">IF($A5279="","",
  LET(
    r, $D5279,
    startD, INDEX(Calculation!B$2:B9627, r),
    endD,   INDEX(Calculation!C$2:C9627, r),
    asOf,   MIN($A5279,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80">
      <c r="A5280" s="28"/>
      <c r="B5280" s="29"/>
      <c r="C5280" s="29" t="str">
        <f t="shared" si="1"/>
        <v/>
      </c>
      <c r="D5280" s="6" t="str">
        <f>IF(A5280="","",MATCH(A5280,Calculation!B$2:B9627,1))</f>
        <v/>
      </c>
      <c r="E5280" s="29" t="str">
        <f t="array" ref="E5280">IF(D5280="","",IF(D5280=1,0,INDEX(Calculation!Q$2:Q9627,D5280-1)))</f>
        <v/>
      </c>
      <c r="F5280" s="29" t="str">
        <f t="array" ref="F5280">IF($A5280="","",
  LET(
    r, $D5280,
    startD, INDEX(Calculation!B$2:B9627, r),
    endD,   INDEX(Calculation!C$2:C9627, r),
    asOf,   MIN($A5280,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81">
      <c r="A5281" s="28"/>
      <c r="B5281" s="29"/>
      <c r="C5281" s="29" t="str">
        <f t="shared" si="1"/>
        <v/>
      </c>
      <c r="D5281" s="6" t="str">
        <f>IF(A5281="","",MATCH(A5281,Calculation!B$2:B9627,1))</f>
        <v/>
      </c>
      <c r="E5281" s="29" t="str">
        <f t="array" ref="E5281">IF(D5281="","",IF(D5281=1,0,INDEX(Calculation!Q$2:Q9627,D5281-1)))</f>
        <v/>
      </c>
      <c r="F5281" s="29" t="str">
        <f t="array" ref="F5281">IF($A5281="","",
  LET(
    r, $D5281,
    startD, INDEX(Calculation!B$2:B9627, r),
    endD,   INDEX(Calculation!C$2:C9627, r),
    asOf,   MIN($A5281,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82">
      <c r="A5282" s="28"/>
      <c r="B5282" s="29"/>
      <c r="C5282" s="29" t="str">
        <f t="shared" si="1"/>
        <v/>
      </c>
      <c r="D5282" s="6" t="str">
        <f>IF(A5282="","",MATCH(A5282,Calculation!B$2:B9627,1))</f>
        <v/>
      </c>
      <c r="E5282" s="29" t="str">
        <f t="array" ref="E5282">IF(D5282="","",IF(D5282=1,0,INDEX(Calculation!Q$2:Q9627,D5282-1)))</f>
        <v/>
      </c>
      <c r="F5282" s="29" t="str">
        <f t="array" ref="F5282">IF($A5282="","",
  LET(
    r, $D5282,
    startD, INDEX(Calculation!B$2:B9627, r),
    endD,   INDEX(Calculation!C$2:C9627, r),
    asOf,   MIN($A5282,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83">
      <c r="A5283" s="28"/>
      <c r="B5283" s="29"/>
      <c r="C5283" s="29" t="str">
        <f t="shared" si="1"/>
        <v/>
      </c>
      <c r="D5283" s="6" t="str">
        <f>IF(A5283="","",MATCH(A5283,Calculation!B$2:B9627,1))</f>
        <v/>
      </c>
      <c r="E5283" s="29" t="str">
        <f t="array" ref="E5283">IF(D5283="","",IF(D5283=1,0,INDEX(Calculation!Q$2:Q9627,D5283-1)))</f>
        <v/>
      </c>
      <c r="F5283" s="29" t="str">
        <f t="array" ref="F5283">IF($A5283="","",
  LET(
    r, $D5283,
    startD, INDEX(Calculation!B$2:B9627, r),
    endD,   INDEX(Calculation!C$2:C9627, r),
    asOf,   MIN($A5283,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84">
      <c r="A5284" s="28"/>
      <c r="B5284" s="29"/>
      <c r="C5284" s="29" t="str">
        <f t="shared" si="1"/>
        <v/>
      </c>
      <c r="D5284" s="6" t="str">
        <f>IF(A5284="","",MATCH(A5284,Calculation!B$2:B9627,1))</f>
        <v/>
      </c>
      <c r="E5284" s="29" t="str">
        <f t="array" ref="E5284">IF(D5284="","",IF(D5284=1,0,INDEX(Calculation!Q$2:Q9627,D5284-1)))</f>
        <v/>
      </c>
      <c r="F5284" s="29" t="str">
        <f t="array" ref="F5284">IF($A5284="","",
  LET(
    r, $D5284,
    startD, INDEX(Calculation!B$2:B9627, r),
    endD,   INDEX(Calculation!C$2:C9627, r),
    asOf,   MIN($A5284,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85">
      <c r="A5285" s="28"/>
      <c r="B5285" s="29"/>
      <c r="C5285" s="29" t="str">
        <f t="shared" si="1"/>
        <v/>
      </c>
      <c r="D5285" s="6" t="str">
        <f>IF(A5285="","",MATCH(A5285,Calculation!B$2:B9627,1))</f>
        <v/>
      </c>
      <c r="E5285" s="29" t="str">
        <f t="array" ref="E5285">IF(D5285="","",IF(D5285=1,0,INDEX(Calculation!Q$2:Q9627,D5285-1)))</f>
        <v/>
      </c>
      <c r="F5285" s="29" t="str">
        <f t="array" ref="F5285">IF($A5285="","",
  LET(
    r, $D5285,
    startD, INDEX(Calculation!B$2:B9627, r),
    endD,   INDEX(Calculation!C$2:C9627, r),
    asOf,   MIN($A5285,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86">
      <c r="A5286" s="28"/>
      <c r="B5286" s="29"/>
      <c r="C5286" s="29" t="str">
        <f t="shared" si="1"/>
        <v/>
      </c>
      <c r="D5286" s="6" t="str">
        <f>IF(A5286="","",MATCH(A5286,Calculation!B$2:B9627,1))</f>
        <v/>
      </c>
      <c r="E5286" s="29" t="str">
        <f t="array" ref="E5286">IF(D5286="","",IF(D5286=1,0,INDEX(Calculation!Q$2:Q9627,D5286-1)))</f>
        <v/>
      </c>
      <c r="F5286" s="29" t="str">
        <f t="array" ref="F5286">IF($A5286="","",
  LET(
    r, $D5286,
    startD, INDEX(Calculation!B$2:B9627, r),
    endD,   INDEX(Calculation!C$2:C9627, r),
    asOf,   MIN($A5286,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87">
      <c r="A5287" s="28"/>
      <c r="B5287" s="29"/>
      <c r="C5287" s="29" t="str">
        <f t="shared" si="1"/>
        <v/>
      </c>
      <c r="D5287" s="6" t="str">
        <f>IF(A5287="","",MATCH(A5287,Calculation!B$2:B9627,1))</f>
        <v/>
      </c>
      <c r="E5287" s="29" t="str">
        <f t="array" ref="E5287">IF(D5287="","",IF(D5287=1,0,INDEX(Calculation!Q$2:Q9627,D5287-1)))</f>
        <v/>
      </c>
      <c r="F5287" s="29" t="str">
        <f t="array" ref="F5287">IF($A5287="","",
  LET(
    r, $D5287,
    startD, INDEX(Calculation!B$2:B9627, r),
    endD,   INDEX(Calculation!C$2:C9627, r),
    asOf,   MIN($A5287,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88">
      <c r="A5288" s="28"/>
      <c r="B5288" s="29"/>
      <c r="C5288" s="29" t="str">
        <f t="shared" si="1"/>
        <v/>
      </c>
      <c r="D5288" s="6" t="str">
        <f>IF(A5288="","",MATCH(A5288,Calculation!B$2:B9627,1))</f>
        <v/>
      </c>
      <c r="E5288" s="29" t="str">
        <f t="array" ref="E5288">IF(D5288="","",IF(D5288=1,0,INDEX(Calculation!Q$2:Q9627,D5288-1)))</f>
        <v/>
      </c>
      <c r="F5288" s="29" t="str">
        <f t="array" ref="F5288">IF($A5288="","",
  LET(
    r, $D5288,
    startD, INDEX(Calculation!B$2:B9627, r),
    endD,   INDEX(Calculation!C$2:C9627, r),
    asOf,   MIN($A5288,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89">
      <c r="A5289" s="28"/>
      <c r="B5289" s="29"/>
      <c r="C5289" s="29" t="str">
        <f t="shared" si="1"/>
        <v/>
      </c>
      <c r="D5289" s="6" t="str">
        <f>IF(A5289="","",MATCH(A5289,Calculation!B$2:B9627,1))</f>
        <v/>
      </c>
      <c r="E5289" s="29" t="str">
        <f t="array" ref="E5289">IF(D5289="","",IF(D5289=1,0,INDEX(Calculation!Q$2:Q9627,D5289-1)))</f>
        <v/>
      </c>
      <c r="F5289" s="29" t="str">
        <f t="array" ref="F5289">IF($A5289="","",
  LET(
    r, $D5289,
    startD, INDEX(Calculation!B$2:B9627, r),
    endD,   INDEX(Calculation!C$2:C9627, r),
    asOf,   MIN($A5289,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90">
      <c r="A5290" s="28"/>
      <c r="B5290" s="29"/>
      <c r="C5290" s="29" t="str">
        <f t="shared" si="1"/>
        <v/>
      </c>
      <c r="D5290" s="6" t="str">
        <f>IF(A5290="","",MATCH(A5290,Calculation!B$2:B9627,1))</f>
        <v/>
      </c>
      <c r="E5290" s="29" t="str">
        <f t="array" ref="E5290">IF(D5290="","",IF(D5290=1,0,INDEX(Calculation!Q$2:Q9627,D5290-1)))</f>
        <v/>
      </c>
      <c r="F5290" s="29" t="str">
        <f t="array" ref="F5290">IF($A5290="","",
  LET(
    r, $D5290,
    startD, INDEX(Calculation!B$2:B9627, r),
    endD,   INDEX(Calculation!C$2:C9627, r),
    asOf,   MIN($A5290,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91">
      <c r="A5291" s="28"/>
      <c r="B5291" s="29"/>
      <c r="C5291" s="29" t="str">
        <f t="shared" si="1"/>
        <v/>
      </c>
      <c r="D5291" s="6" t="str">
        <f>IF(A5291="","",MATCH(A5291,Calculation!B$2:B9627,1))</f>
        <v/>
      </c>
      <c r="E5291" s="29" t="str">
        <f t="array" ref="E5291">IF(D5291="","",IF(D5291=1,0,INDEX(Calculation!Q$2:Q9627,D5291-1)))</f>
        <v/>
      </c>
      <c r="F5291" s="29" t="str">
        <f t="array" ref="F5291">IF($A5291="","",
  LET(
    r, $D5291,
    startD, INDEX(Calculation!B$2:B9627, r),
    endD,   INDEX(Calculation!C$2:C9627, r),
    asOf,   MIN($A5291,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92">
      <c r="A5292" s="28"/>
      <c r="B5292" s="29"/>
      <c r="C5292" s="29" t="str">
        <f t="shared" si="1"/>
        <v/>
      </c>
      <c r="D5292" s="6" t="str">
        <f>IF(A5292="","",MATCH(A5292,Calculation!B$2:B9627,1))</f>
        <v/>
      </c>
      <c r="E5292" s="29" t="str">
        <f t="array" ref="E5292">IF(D5292="","",IF(D5292=1,0,INDEX(Calculation!Q$2:Q9627,D5292-1)))</f>
        <v/>
      </c>
      <c r="F5292" s="29" t="str">
        <f t="array" ref="F5292">IF($A5292="","",
  LET(
    r, $D5292,
    startD, INDEX(Calculation!B$2:B9627, r),
    endD,   INDEX(Calculation!C$2:C9627, r),
    asOf,   MIN($A5292,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93">
      <c r="A5293" s="28"/>
      <c r="B5293" s="29"/>
      <c r="C5293" s="29" t="str">
        <f t="shared" si="1"/>
        <v/>
      </c>
      <c r="D5293" s="6" t="str">
        <f>IF(A5293="","",MATCH(A5293,Calculation!B$2:B9627,1))</f>
        <v/>
      </c>
      <c r="E5293" s="29" t="str">
        <f t="array" ref="E5293">IF(D5293="","",IF(D5293=1,0,INDEX(Calculation!Q$2:Q9627,D5293-1)))</f>
        <v/>
      </c>
      <c r="F5293" s="29" t="str">
        <f t="array" ref="F5293">IF($A5293="","",
  LET(
    r, $D5293,
    startD, INDEX(Calculation!B$2:B9627, r),
    endD,   INDEX(Calculation!C$2:C9627, r),
    asOf,   MIN($A5293,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94">
      <c r="A5294" s="28"/>
      <c r="B5294" s="29"/>
      <c r="C5294" s="29" t="str">
        <f t="shared" si="1"/>
        <v/>
      </c>
      <c r="D5294" s="6" t="str">
        <f>IF(A5294="","",MATCH(A5294,Calculation!B$2:B9627,1))</f>
        <v/>
      </c>
      <c r="E5294" s="29" t="str">
        <f t="array" ref="E5294">IF(D5294="","",IF(D5294=1,0,INDEX(Calculation!Q$2:Q9627,D5294-1)))</f>
        <v/>
      </c>
      <c r="F5294" s="29" t="str">
        <f t="array" ref="F5294">IF($A5294="","",
  LET(
    r, $D5294,
    startD, INDEX(Calculation!B$2:B9627, r),
    endD,   INDEX(Calculation!C$2:C9627, r),
    asOf,   MIN($A5294,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95">
      <c r="A5295" s="28"/>
      <c r="B5295" s="29"/>
      <c r="C5295" s="29" t="str">
        <f t="shared" si="1"/>
        <v/>
      </c>
      <c r="D5295" s="6" t="str">
        <f>IF(A5295="","",MATCH(A5295,Calculation!B$2:B9627,1))</f>
        <v/>
      </c>
      <c r="E5295" s="29" t="str">
        <f t="array" ref="E5295">IF(D5295="","",IF(D5295=1,0,INDEX(Calculation!Q$2:Q9627,D5295-1)))</f>
        <v/>
      </c>
      <c r="F5295" s="29" t="str">
        <f t="array" ref="F5295">IF($A5295="","",
  LET(
    r, $D5295,
    startD, INDEX(Calculation!B$2:B9627, r),
    endD,   INDEX(Calculation!C$2:C9627, r),
    asOf,   MIN($A5295,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96">
      <c r="A5296" s="28"/>
      <c r="B5296" s="29"/>
      <c r="C5296" s="29" t="str">
        <f t="shared" si="1"/>
        <v/>
      </c>
      <c r="D5296" s="6" t="str">
        <f>IF(A5296="","",MATCH(A5296,Calculation!B$2:B9627,1))</f>
        <v/>
      </c>
      <c r="E5296" s="29" t="str">
        <f t="array" ref="E5296">IF(D5296="","",IF(D5296=1,0,INDEX(Calculation!Q$2:Q9627,D5296-1)))</f>
        <v/>
      </c>
      <c r="F5296" s="29" t="str">
        <f t="array" ref="F5296">IF($A5296="","",
  LET(
    r, $D5296,
    startD, INDEX(Calculation!B$2:B9627, r),
    endD,   INDEX(Calculation!C$2:C9627, r),
    asOf,   MIN($A5296,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97">
      <c r="A5297" s="28"/>
      <c r="B5297" s="29"/>
      <c r="C5297" s="29" t="str">
        <f t="shared" si="1"/>
        <v/>
      </c>
      <c r="D5297" s="6" t="str">
        <f>IF(A5297="","",MATCH(A5297,Calculation!B$2:B9627,1))</f>
        <v/>
      </c>
      <c r="E5297" s="29" t="str">
        <f t="array" ref="E5297">IF(D5297="","",IF(D5297=1,0,INDEX(Calculation!Q$2:Q9627,D5297-1)))</f>
        <v/>
      </c>
      <c r="F5297" s="29" t="str">
        <f t="array" ref="F5297">IF($A5297="","",
  LET(
    r, $D5297,
    startD, INDEX(Calculation!B$2:B9627, r),
    endD,   INDEX(Calculation!C$2:C9627, r),
    asOf,   MIN($A5297,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98">
      <c r="A5298" s="28"/>
      <c r="B5298" s="29"/>
      <c r="C5298" s="29" t="str">
        <f t="shared" si="1"/>
        <v/>
      </c>
      <c r="D5298" s="6" t="str">
        <f>IF(A5298="","",MATCH(A5298,Calculation!B$2:B9627,1))</f>
        <v/>
      </c>
      <c r="E5298" s="29" t="str">
        <f t="array" ref="E5298">IF(D5298="","",IF(D5298=1,0,INDEX(Calculation!Q$2:Q9627,D5298-1)))</f>
        <v/>
      </c>
      <c r="F5298" s="29" t="str">
        <f t="array" ref="F5298">IF($A5298="","",
  LET(
    r, $D5298,
    startD, INDEX(Calculation!B$2:B9627, r),
    endD,   INDEX(Calculation!C$2:C9627, r),
    asOf,   MIN($A5298,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299">
      <c r="A5299" s="28"/>
      <c r="B5299" s="29"/>
      <c r="C5299" s="29" t="str">
        <f t="shared" si="1"/>
        <v/>
      </c>
      <c r="D5299" s="6" t="str">
        <f>IF(A5299="","",MATCH(A5299,Calculation!B$2:B9627,1))</f>
        <v/>
      </c>
      <c r="E5299" s="29" t="str">
        <f t="array" ref="E5299">IF(D5299="","",IF(D5299=1,0,INDEX(Calculation!Q$2:Q9627,D5299-1)))</f>
        <v/>
      </c>
      <c r="F5299" s="29" t="str">
        <f t="array" ref="F5299">IF($A5299="","",
  LET(
    r, $D5299,
    startD, INDEX(Calculation!B$2:B9627, r),
    endD,   INDEX(Calculation!C$2:C9627, r),
    asOf,   MIN($A5299,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00">
      <c r="A5300" s="28"/>
      <c r="B5300" s="29"/>
      <c r="C5300" s="29" t="str">
        <f t="shared" si="1"/>
        <v/>
      </c>
      <c r="D5300" s="6" t="str">
        <f>IF(A5300="","",MATCH(A5300,Calculation!B$2:B9627,1))</f>
        <v/>
      </c>
      <c r="E5300" s="29" t="str">
        <f t="array" ref="E5300">IF(D5300="","",IF(D5300=1,0,INDEX(Calculation!Q$2:Q9627,D5300-1)))</f>
        <v/>
      </c>
      <c r="F5300" s="29" t="str">
        <f t="array" ref="F5300">IF($A5300="","",
  LET(
    r, $D5300,
    startD, INDEX(Calculation!B$2:B9627, r),
    endD,   INDEX(Calculation!C$2:C9627, r),
    asOf,   MIN($A5300,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01">
      <c r="A5301" s="28"/>
      <c r="B5301" s="29"/>
      <c r="C5301" s="29" t="str">
        <f t="shared" si="1"/>
        <v/>
      </c>
      <c r="D5301" s="6" t="str">
        <f>IF(A5301="","",MATCH(A5301,Calculation!B$2:B9627,1))</f>
        <v/>
      </c>
      <c r="E5301" s="29" t="str">
        <f t="array" ref="E5301">IF(D5301="","",IF(D5301=1,0,INDEX(Calculation!Q$2:Q9627,D5301-1)))</f>
        <v/>
      </c>
      <c r="F5301" s="29" t="str">
        <f t="array" ref="F5301">IF($A5301="","",
  LET(
    r, $D5301,
    startD, INDEX(Calculation!B$2:B9627, r),
    endD,   INDEX(Calculation!C$2:C9627, r),
    asOf,   MIN($A5301,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02">
      <c r="A5302" s="28"/>
      <c r="B5302" s="29"/>
      <c r="C5302" s="29" t="str">
        <f t="shared" si="1"/>
        <v/>
      </c>
      <c r="D5302" s="6" t="str">
        <f>IF(A5302="","",MATCH(A5302,Calculation!B$2:B9627,1))</f>
        <v/>
      </c>
      <c r="E5302" s="29" t="str">
        <f t="array" ref="E5302">IF(D5302="","",IF(D5302=1,0,INDEX(Calculation!Q$2:Q9627,D5302-1)))</f>
        <v/>
      </c>
      <c r="F5302" s="29" t="str">
        <f t="array" ref="F5302">IF($A5302="","",
  LET(
    r, $D5302,
    startD, INDEX(Calculation!B$2:B9627, r),
    endD,   INDEX(Calculation!C$2:C9627, r),
    asOf,   MIN($A5302,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03">
      <c r="A5303" s="28"/>
      <c r="B5303" s="29"/>
      <c r="C5303" s="29" t="str">
        <f t="shared" si="1"/>
        <v/>
      </c>
      <c r="D5303" s="6" t="str">
        <f>IF(A5303="","",MATCH(A5303,Calculation!B$2:B9627,1))</f>
        <v/>
      </c>
      <c r="E5303" s="29" t="str">
        <f t="array" ref="E5303">IF(D5303="","",IF(D5303=1,0,INDEX(Calculation!Q$2:Q9627,D5303-1)))</f>
        <v/>
      </c>
      <c r="F5303" s="29" t="str">
        <f t="array" ref="F5303">IF($A5303="","",
  LET(
    r, $D5303,
    startD, INDEX(Calculation!B$2:B9627, r),
    endD,   INDEX(Calculation!C$2:C9627, r),
    asOf,   MIN($A5303,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04">
      <c r="A5304" s="28"/>
      <c r="B5304" s="29"/>
      <c r="C5304" s="29" t="str">
        <f t="shared" si="1"/>
        <v/>
      </c>
      <c r="D5304" s="6" t="str">
        <f>IF(A5304="","",MATCH(A5304,Calculation!B$2:B9627,1))</f>
        <v/>
      </c>
      <c r="E5304" s="29" t="str">
        <f t="array" ref="E5304">IF(D5304="","",IF(D5304=1,0,INDEX(Calculation!Q$2:Q9627,D5304-1)))</f>
        <v/>
      </c>
      <c r="F5304" s="29" t="str">
        <f t="array" ref="F5304">IF($A5304="","",
  LET(
    r, $D5304,
    startD, INDEX(Calculation!B$2:B9627, r),
    endD,   INDEX(Calculation!C$2:C9627, r),
    asOf,   MIN($A5304,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05">
      <c r="A5305" s="28"/>
      <c r="B5305" s="29"/>
      <c r="C5305" s="29" t="str">
        <f t="shared" si="1"/>
        <v/>
      </c>
      <c r="D5305" s="6" t="str">
        <f>IF(A5305="","",MATCH(A5305,Calculation!B$2:B9627,1))</f>
        <v/>
      </c>
      <c r="E5305" s="29" t="str">
        <f t="array" ref="E5305">IF(D5305="","",IF(D5305=1,0,INDEX(Calculation!Q$2:Q9627,D5305-1)))</f>
        <v/>
      </c>
      <c r="F5305" s="29" t="str">
        <f t="array" ref="F5305">IF($A5305="","",
  LET(
    r, $D5305,
    startD, INDEX(Calculation!B$2:B9627, r),
    endD,   INDEX(Calculation!C$2:C9627, r),
    asOf,   MIN($A5305,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06">
      <c r="A5306" s="28"/>
      <c r="B5306" s="29"/>
      <c r="C5306" s="29" t="str">
        <f t="shared" si="1"/>
        <v/>
      </c>
      <c r="D5306" s="6" t="str">
        <f>IF(A5306="","",MATCH(A5306,Calculation!B$2:B9627,1))</f>
        <v/>
      </c>
      <c r="E5306" s="29" t="str">
        <f t="array" ref="E5306">IF(D5306="","",IF(D5306=1,0,INDEX(Calculation!Q$2:Q9627,D5306-1)))</f>
        <v/>
      </c>
      <c r="F5306" s="29" t="str">
        <f t="array" ref="F5306">IF($A5306="","",
  LET(
    r, $D5306,
    startD, INDEX(Calculation!B$2:B9627, r),
    endD,   INDEX(Calculation!C$2:C9627, r),
    asOf,   MIN($A5306,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07">
      <c r="A5307" s="28"/>
      <c r="B5307" s="29"/>
      <c r="C5307" s="29" t="str">
        <f t="shared" si="1"/>
        <v/>
      </c>
      <c r="D5307" s="6" t="str">
        <f>IF(A5307="","",MATCH(A5307,Calculation!B$2:B9627,1))</f>
        <v/>
      </c>
      <c r="E5307" s="29" t="str">
        <f t="array" ref="E5307">IF(D5307="","",IF(D5307=1,0,INDEX(Calculation!Q$2:Q9627,D5307-1)))</f>
        <v/>
      </c>
      <c r="F5307" s="29" t="str">
        <f t="array" ref="F5307">IF($A5307="","",
  LET(
    r, $D5307,
    startD, INDEX(Calculation!B$2:B9627, r),
    endD,   INDEX(Calculation!C$2:C9627, r),
    asOf,   MIN($A5307,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08">
      <c r="A5308" s="28"/>
      <c r="B5308" s="29"/>
      <c r="C5308" s="29" t="str">
        <f t="shared" si="1"/>
        <v/>
      </c>
      <c r="D5308" s="6" t="str">
        <f>IF(A5308="","",MATCH(A5308,Calculation!B$2:B9627,1))</f>
        <v/>
      </c>
      <c r="E5308" s="29" t="str">
        <f t="array" ref="E5308">IF(D5308="","",IF(D5308=1,0,INDEX(Calculation!Q$2:Q9627,D5308-1)))</f>
        <v/>
      </c>
      <c r="F5308" s="29" t="str">
        <f t="array" ref="F5308">IF($A5308="","",
  LET(
    r, $D5308,
    startD, INDEX(Calculation!B$2:B9627, r),
    endD,   INDEX(Calculation!C$2:C9627, r),
    asOf,   MIN($A5308,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09">
      <c r="A5309" s="28"/>
      <c r="B5309" s="29"/>
      <c r="C5309" s="29" t="str">
        <f t="shared" si="1"/>
        <v/>
      </c>
      <c r="D5309" s="6" t="str">
        <f>IF(A5309="","",MATCH(A5309,Calculation!B$2:B9627,1))</f>
        <v/>
      </c>
      <c r="E5309" s="29" t="str">
        <f t="array" ref="E5309">IF(D5309="","",IF(D5309=1,0,INDEX(Calculation!Q$2:Q9627,D5309-1)))</f>
        <v/>
      </c>
      <c r="F5309" s="29" t="str">
        <f t="array" ref="F5309">IF($A5309="","",
  LET(
    r, $D5309,
    startD, INDEX(Calculation!B$2:B9627, r),
    endD,   INDEX(Calculation!C$2:C9627, r),
    asOf,   MIN($A5309,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10">
      <c r="A5310" s="28"/>
      <c r="B5310" s="29"/>
      <c r="C5310" s="29" t="str">
        <f t="shared" si="1"/>
        <v/>
      </c>
      <c r="D5310" s="6" t="str">
        <f>IF(A5310="","",MATCH(A5310,Calculation!B$2:B9627,1))</f>
        <v/>
      </c>
      <c r="E5310" s="29" t="str">
        <f t="array" ref="E5310">IF(D5310="","",IF(D5310=1,0,INDEX(Calculation!Q$2:Q9627,D5310-1)))</f>
        <v/>
      </c>
      <c r="F5310" s="29" t="str">
        <f t="array" ref="F5310">IF($A5310="","",
  LET(
    r, $D5310,
    startD, INDEX(Calculation!B$2:B9627, r),
    endD,   INDEX(Calculation!C$2:C9627, r),
    asOf,   MIN($A5310,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11">
      <c r="A5311" s="28"/>
      <c r="B5311" s="29"/>
      <c r="C5311" s="29" t="str">
        <f t="shared" si="1"/>
        <v/>
      </c>
      <c r="D5311" s="6" t="str">
        <f>IF(A5311="","",MATCH(A5311,Calculation!B$2:B9627,1))</f>
        <v/>
      </c>
      <c r="E5311" s="29" t="str">
        <f t="array" ref="E5311">IF(D5311="","",IF(D5311=1,0,INDEX(Calculation!Q$2:Q9627,D5311-1)))</f>
        <v/>
      </c>
      <c r="F5311" s="29" t="str">
        <f t="array" ref="F5311">IF($A5311="","",
  LET(
    r, $D5311,
    startD, INDEX(Calculation!B$2:B9627, r),
    endD,   INDEX(Calculation!C$2:C9627, r),
    asOf,   MIN($A5311,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12">
      <c r="A5312" s="28"/>
      <c r="B5312" s="29"/>
      <c r="C5312" s="29" t="str">
        <f t="shared" si="1"/>
        <v/>
      </c>
      <c r="D5312" s="6" t="str">
        <f>IF(A5312="","",MATCH(A5312,Calculation!B$2:B9627,1))</f>
        <v/>
      </c>
      <c r="E5312" s="29" t="str">
        <f t="array" ref="E5312">IF(D5312="","",IF(D5312=1,0,INDEX(Calculation!Q$2:Q9627,D5312-1)))</f>
        <v/>
      </c>
      <c r="F5312" s="29" t="str">
        <f t="array" ref="F5312">IF($A5312="","",
  LET(
    r, $D5312,
    startD, INDEX(Calculation!B$2:B9627, r),
    endD,   INDEX(Calculation!C$2:C9627, r),
    asOf,   MIN($A5312,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13">
      <c r="A5313" s="28"/>
      <c r="B5313" s="29"/>
      <c r="C5313" s="29" t="str">
        <f t="shared" si="1"/>
        <v/>
      </c>
      <c r="D5313" s="6" t="str">
        <f>IF(A5313="","",MATCH(A5313,Calculation!B$2:B9627,1))</f>
        <v/>
      </c>
      <c r="E5313" s="29" t="str">
        <f t="array" ref="E5313">IF(D5313="","",IF(D5313=1,0,INDEX(Calculation!Q$2:Q9627,D5313-1)))</f>
        <v/>
      </c>
      <c r="F5313" s="29" t="str">
        <f t="array" ref="F5313">IF($A5313="","",
  LET(
    r, $D5313,
    startD, INDEX(Calculation!B$2:B9627, r),
    endD,   INDEX(Calculation!C$2:C9627, r),
    asOf,   MIN($A5313,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14">
      <c r="A5314" s="28"/>
      <c r="B5314" s="29"/>
      <c r="C5314" s="29" t="str">
        <f t="shared" si="1"/>
        <v/>
      </c>
      <c r="D5314" s="6" t="str">
        <f>IF(A5314="","",MATCH(A5314,Calculation!B$2:B9627,1))</f>
        <v/>
      </c>
      <c r="E5314" s="29" t="str">
        <f t="array" ref="E5314">IF(D5314="","",IF(D5314=1,0,INDEX(Calculation!Q$2:Q9627,D5314-1)))</f>
        <v/>
      </c>
      <c r="F5314" s="29" t="str">
        <f t="array" ref="F5314">IF($A5314="","",
  LET(
    r, $D5314,
    startD, INDEX(Calculation!B$2:B9627, r),
    endD,   INDEX(Calculation!C$2:C9627, r),
    asOf,   MIN($A5314,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15">
      <c r="A5315" s="28"/>
      <c r="B5315" s="29"/>
      <c r="C5315" s="29" t="str">
        <f t="shared" si="1"/>
        <v/>
      </c>
      <c r="D5315" s="6" t="str">
        <f>IF(A5315="","",MATCH(A5315,Calculation!B$2:B9627,1))</f>
        <v/>
      </c>
      <c r="E5315" s="29" t="str">
        <f t="array" ref="E5315">IF(D5315="","",IF(D5315=1,0,INDEX(Calculation!Q$2:Q9627,D5315-1)))</f>
        <v/>
      </c>
      <c r="F5315" s="29" t="str">
        <f t="array" ref="F5315">IF($A5315="","",
  LET(
    r, $D5315,
    startD, INDEX(Calculation!B$2:B9627, r),
    endD,   INDEX(Calculation!C$2:C9627, r),
    asOf,   MIN($A5315,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16">
      <c r="A5316" s="28"/>
      <c r="B5316" s="29"/>
      <c r="C5316" s="29" t="str">
        <f t="shared" si="1"/>
        <v/>
      </c>
      <c r="D5316" s="6" t="str">
        <f>IF(A5316="","",MATCH(A5316,Calculation!B$2:B9627,1))</f>
        <v/>
      </c>
      <c r="E5316" s="29" t="str">
        <f t="array" ref="E5316">IF(D5316="","",IF(D5316=1,0,INDEX(Calculation!Q$2:Q9627,D5316-1)))</f>
        <v/>
      </c>
      <c r="F5316" s="29" t="str">
        <f t="array" ref="F5316">IF($A5316="","",
  LET(
    r, $D5316,
    startD, INDEX(Calculation!B$2:B9627, r),
    endD,   INDEX(Calculation!C$2:C9627, r),
    asOf,   MIN($A5316,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17">
      <c r="A5317" s="28"/>
      <c r="B5317" s="29"/>
      <c r="C5317" s="29" t="str">
        <f t="shared" si="1"/>
        <v/>
      </c>
      <c r="D5317" s="6" t="str">
        <f>IF(A5317="","",MATCH(A5317,Calculation!B$2:B9627,1))</f>
        <v/>
      </c>
      <c r="E5317" s="29" t="str">
        <f t="array" ref="E5317">IF(D5317="","",IF(D5317=1,0,INDEX(Calculation!Q$2:Q9627,D5317-1)))</f>
        <v/>
      </c>
      <c r="F5317" s="29" t="str">
        <f t="array" ref="F5317">IF($A5317="","",
  LET(
    r, $D5317,
    startD, INDEX(Calculation!B$2:B9627, r),
    endD,   INDEX(Calculation!C$2:C9627, r),
    asOf,   MIN($A5317,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18">
      <c r="A5318" s="28"/>
      <c r="B5318" s="29"/>
      <c r="C5318" s="29" t="str">
        <f t="shared" si="1"/>
        <v/>
      </c>
      <c r="D5318" s="6" t="str">
        <f>IF(A5318="","",MATCH(A5318,Calculation!B$2:B9627,1))</f>
        <v/>
      </c>
      <c r="E5318" s="29" t="str">
        <f t="array" ref="E5318">IF(D5318="","",IF(D5318=1,0,INDEX(Calculation!Q$2:Q9627,D5318-1)))</f>
        <v/>
      </c>
      <c r="F5318" s="29" t="str">
        <f t="array" ref="F5318">IF($A5318="","",
  LET(
    r, $D5318,
    startD, INDEX(Calculation!B$2:B9627, r),
    endD,   INDEX(Calculation!C$2:C9627, r),
    asOf,   MIN($A5318,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19">
      <c r="A5319" s="28"/>
      <c r="B5319" s="29"/>
      <c r="C5319" s="29" t="str">
        <f t="shared" si="1"/>
        <v/>
      </c>
      <c r="D5319" s="6" t="str">
        <f>IF(A5319="","",MATCH(A5319,Calculation!B$2:B9627,1))</f>
        <v/>
      </c>
      <c r="E5319" s="29" t="str">
        <f t="array" ref="E5319">IF(D5319="","",IF(D5319=1,0,INDEX(Calculation!Q$2:Q9627,D5319-1)))</f>
        <v/>
      </c>
      <c r="F5319" s="29" t="str">
        <f t="array" ref="F5319">IF($A5319="","",
  LET(
    r, $D5319,
    startD, INDEX(Calculation!B$2:B9627, r),
    endD,   INDEX(Calculation!C$2:C9627, r),
    asOf,   MIN($A5319,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20">
      <c r="A5320" s="28"/>
      <c r="B5320" s="29"/>
      <c r="C5320" s="29" t="str">
        <f t="shared" si="1"/>
        <v/>
      </c>
      <c r="D5320" s="6" t="str">
        <f>IF(A5320="","",MATCH(A5320,Calculation!B$2:B9627,1))</f>
        <v/>
      </c>
      <c r="E5320" s="29" t="str">
        <f t="array" ref="E5320">IF(D5320="","",IF(D5320=1,0,INDEX(Calculation!Q$2:Q9627,D5320-1)))</f>
        <v/>
      </c>
      <c r="F5320" s="29" t="str">
        <f t="array" ref="F5320">IF($A5320="","",
  LET(
    r, $D5320,
    startD, INDEX(Calculation!B$2:B9627, r),
    endD,   INDEX(Calculation!C$2:C9627, r),
    asOf,   MIN($A5320,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21">
      <c r="A5321" s="28"/>
      <c r="B5321" s="29"/>
      <c r="C5321" s="29" t="str">
        <f t="shared" si="1"/>
        <v/>
      </c>
      <c r="D5321" s="6" t="str">
        <f>IF(A5321="","",MATCH(A5321,Calculation!B$2:B9627,1))</f>
        <v/>
      </c>
      <c r="E5321" s="29" t="str">
        <f t="array" ref="E5321">IF(D5321="","",IF(D5321=1,0,INDEX(Calculation!Q$2:Q9627,D5321-1)))</f>
        <v/>
      </c>
      <c r="F5321" s="29" t="str">
        <f t="array" ref="F5321">IF($A5321="","",
  LET(
    r, $D5321,
    startD, INDEX(Calculation!B$2:B9627, r),
    endD,   INDEX(Calculation!C$2:C9627, r),
    asOf,   MIN($A5321,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22">
      <c r="A5322" s="28"/>
      <c r="B5322" s="29"/>
      <c r="C5322" s="29" t="str">
        <f t="shared" si="1"/>
        <v/>
      </c>
      <c r="D5322" s="6" t="str">
        <f>IF(A5322="","",MATCH(A5322,Calculation!B$2:B9627,1))</f>
        <v/>
      </c>
      <c r="E5322" s="29" t="str">
        <f t="array" ref="E5322">IF(D5322="","",IF(D5322=1,0,INDEX(Calculation!Q$2:Q9627,D5322-1)))</f>
        <v/>
      </c>
      <c r="F5322" s="29" t="str">
        <f t="array" ref="F5322">IF($A5322="","",
  LET(
    r, $D5322,
    startD, INDEX(Calculation!B$2:B9627, r),
    endD,   INDEX(Calculation!C$2:C9627, r),
    asOf,   MIN($A5322,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23">
      <c r="A5323" s="28"/>
      <c r="B5323" s="29"/>
      <c r="C5323" s="29" t="str">
        <f t="shared" si="1"/>
        <v/>
      </c>
      <c r="D5323" s="6" t="str">
        <f>IF(A5323="","",MATCH(A5323,Calculation!B$2:B9627,1))</f>
        <v/>
      </c>
      <c r="E5323" s="29" t="str">
        <f t="array" ref="E5323">IF(D5323="","",IF(D5323=1,0,INDEX(Calculation!Q$2:Q9627,D5323-1)))</f>
        <v/>
      </c>
      <c r="F5323" s="29" t="str">
        <f t="array" ref="F5323">IF($A5323="","",
  LET(
    r, $D5323,
    startD, INDEX(Calculation!B$2:B9627, r),
    endD,   INDEX(Calculation!C$2:C9627, r),
    asOf,   MIN($A5323,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24">
      <c r="A5324" s="28"/>
      <c r="B5324" s="29"/>
      <c r="C5324" s="29" t="str">
        <f t="shared" si="1"/>
        <v/>
      </c>
      <c r="D5324" s="6" t="str">
        <f>IF(A5324="","",MATCH(A5324,Calculation!B$2:B9627,1))</f>
        <v/>
      </c>
      <c r="E5324" s="29" t="str">
        <f t="array" ref="E5324">IF(D5324="","",IF(D5324=1,0,INDEX(Calculation!Q$2:Q9627,D5324-1)))</f>
        <v/>
      </c>
      <c r="F5324" s="29" t="str">
        <f t="array" ref="F5324">IF($A5324="","",
  LET(
    r, $D5324,
    startD, INDEX(Calculation!B$2:B9627, r),
    endD,   INDEX(Calculation!C$2:C9627, r),
    asOf,   MIN($A5324,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25">
      <c r="A5325" s="28"/>
      <c r="B5325" s="29"/>
      <c r="C5325" s="29" t="str">
        <f t="shared" si="1"/>
        <v/>
      </c>
      <c r="D5325" s="6" t="str">
        <f>IF(A5325="","",MATCH(A5325,Calculation!B$2:B9627,1))</f>
        <v/>
      </c>
      <c r="E5325" s="29" t="str">
        <f t="array" ref="E5325">IF(D5325="","",IF(D5325=1,0,INDEX(Calculation!Q$2:Q9627,D5325-1)))</f>
        <v/>
      </c>
      <c r="F5325" s="29" t="str">
        <f t="array" ref="F5325">IF($A5325="","",
  LET(
    r, $D5325,
    startD, INDEX(Calculation!B$2:B9627, r),
    endD,   INDEX(Calculation!C$2:C9627, r),
    asOf,   MIN($A5325,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26">
      <c r="A5326" s="28"/>
      <c r="B5326" s="29"/>
      <c r="C5326" s="29" t="str">
        <f t="shared" si="1"/>
        <v/>
      </c>
      <c r="D5326" s="6" t="str">
        <f>IF(A5326="","",MATCH(A5326,Calculation!B$2:B9627,1))</f>
        <v/>
      </c>
      <c r="E5326" s="29" t="str">
        <f t="array" ref="E5326">IF(D5326="","",IF(D5326=1,0,INDEX(Calculation!Q$2:Q9627,D5326-1)))</f>
        <v/>
      </c>
      <c r="F5326" s="29" t="str">
        <f t="array" ref="F5326">IF($A5326="","",
  LET(
    r, $D5326,
    startD, INDEX(Calculation!B$2:B9627, r),
    endD,   INDEX(Calculation!C$2:C9627, r),
    asOf,   MIN($A5326,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27">
      <c r="A5327" s="28"/>
      <c r="B5327" s="29"/>
      <c r="C5327" s="29" t="str">
        <f t="shared" si="1"/>
        <v/>
      </c>
      <c r="D5327" s="6" t="str">
        <f>IF(A5327="","",MATCH(A5327,Calculation!B$2:B9627,1))</f>
        <v/>
      </c>
      <c r="E5327" s="29" t="str">
        <f t="array" ref="E5327">IF(D5327="","",IF(D5327=1,0,INDEX(Calculation!Q$2:Q9627,D5327-1)))</f>
        <v/>
      </c>
      <c r="F5327" s="29" t="str">
        <f t="array" ref="F5327">IF($A5327="","",
  LET(
    r, $D5327,
    startD, INDEX(Calculation!B$2:B9627, r),
    endD,   INDEX(Calculation!C$2:C9627, r),
    asOf,   MIN($A5327,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28">
      <c r="A5328" s="28"/>
      <c r="B5328" s="29"/>
      <c r="C5328" s="29" t="str">
        <f t="shared" si="1"/>
        <v/>
      </c>
      <c r="D5328" s="6" t="str">
        <f>IF(A5328="","",MATCH(A5328,Calculation!B$2:B9627,1))</f>
        <v/>
      </c>
      <c r="E5328" s="29" t="str">
        <f t="array" ref="E5328">IF(D5328="","",IF(D5328=1,0,INDEX(Calculation!Q$2:Q9627,D5328-1)))</f>
        <v/>
      </c>
      <c r="F5328" s="29" t="str">
        <f t="array" ref="F5328">IF($A5328="","",
  LET(
    r, $D5328,
    startD, INDEX(Calculation!B$2:B9627, r),
    endD,   INDEX(Calculation!C$2:C9627, r),
    asOf,   MIN($A5328,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29">
      <c r="A5329" s="28"/>
      <c r="B5329" s="29"/>
      <c r="C5329" s="29" t="str">
        <f t="shared" si="1"/>
        <v/>
      </c>
      <c r="D5329" s="6" t="str">
        <f>IF(A5329="","",MATCH(A5329,Calculation!B$2:B9627,1))</f>
        <v/>
      </c>
      <c r="E5329" s="29" t="str">
        <f t="array" ref="E5329">IF(D5329="","",IF(D5329=1,0,INDEX(Calculation!Q$2:Q9627,D5329-1)))</f>
        <v/>
      </c>
      <c r="F5329" s="29" t="str">
        <f t="array" ref="F5329">IF($A5329="","",
  LET(
    r, $D5329,
    startD, INDEX(Calculation!B$2:B9627, r),
    endD,   INDEX(Calculation!C$2:C9627, r),
    asOf,   MIN($A5329,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30">
      <c r="A5330" s="28"/>
      <c r="B5330" s="29"/>
      <c r="C5330" s="29" t="str">
        <f t="shared" si="1"/>
        <v/>
      </c>
      <c r="D5330" s="6" t="str">
        <f>IF(A5330="","",MATCH(A5330,Calculation!B$2:B9627,1))</f>
        <v/>
      </c>
      <c r="E5330" s="29" t="str">
        <f t="array" ref="E5330">IF(D5330="","",IF(D5330=1,0,INDEX(Calculation!Q$2:Q9627,D5330-1)))</f>
        <v/>
      </c>
      <c r="F5330" s="29" t="str">
        <f t="array" ref="F5330">IF($A5330="","",
  LET(
    r, $D5330,
    startD, INDEX(Calculation!B$2:B9627, r),
    endD,   INDEX(Calculation!C$2:C9627, r),
    asOf,   MIN($A5330,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31">
      <c r="A5331" s="28"/>
      <c r="B5331" s="29"/>
      <c r="C5331" s="29" t="str">
        <f t="shared" si="1"/>
        <v/>
      </c>
      <c r="D5331" s="6" t="str">
        <f>IF(A5331="","",MATCH(A5331,Calculation!B$2:B9627,1))</f>
        <v/>
      </c>
      <c r="E5331" s="29" t="str">
        <f t="array" ref="E5331">IF(D5331="","",IF(D5331=1,0,INDEX(Calculation!Q$2:Q9627,D5331-1)))</f>
        <v/>
      </c>
      <c r="F5331" s="29" t="str">
        <f t="array" ref="F5331">IF($A5331="","",
  LET(
    r, $D5331,
    startD, INDEX(Calculation!B$2:B9627, r),
    endD,   INDEX(Calculation!C$2:C9627, r),
    asOf,   MIN($A5331,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32">
      <c r="A5332" s="28"/>
      <c r="B5332" s="29"/>
      <c r="C5332" s="29" t="str">
        <f t="shared" si="1"/>
        <v/>
      </c>
      <c r="D5332" s="6" t="str">
        <f>IF(A5332="","",MATCH(A5332,Calculation!B$2:B9627,1))</f>
        <v/>
      </c>
      <c r="E5332" s="29" t="str">
        <f t="array" ref="E5332">IF(D5332="","",IF(D5332=1,0,INDEX(Calculation!Q$2:Q9627,D5332-1)))</f>
        <v/>
      </c>
      <c r="F5332" s="29" t="str">
        <f t="array" ref="F5332">IF($A5332="","",
  LET(
    r, $D5332,
    startD, INDEX(Calculation!B$2:B9627, r),
    endD,   INDEX(Calculation!C$2:C9627, r),
    asOf,   MIN($A5332,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33">
      <c r="A5333" s="28"/>
      <c r="B5333" s="29"/>
      <c r="C5333" s="29" t="str">
        <f t="shared" si="1"/>
        <v/>
      </c>
      <c r="D5333" s="6" t="str">
        <f>IF(A5333="","",MATCH(A5333,Calculation!B$2:B9627,1))</f>
        <v/>
      </c>
      <c r="E5333" s="29" t="str">
        <f t="array" ref="E5333">IF(D5333="","",IF(D5333=1,0,INDEX(Calculation!Q$2:Q9627,D5333-1)))</f>
        <v/>
      </c>
      <c r="F5333" s="29" t="str">
        <f t="array" ref="F5333">IF($A5333="","",
  LET(
    r, $D5333,
    startD, INDEX(Calculation!B$2:B9627, r),
    endD,   INDEX(Calculation!C$2:C9627, r),
    asOf,   MIN($A5333,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34">
      <c r="A5334" s="28"/>
      <c r="B5334" s="29"/>
      <c r="C5334" s="29" t="str">
        <f t="shared" si="1"/>
        <v/>
      </c>
      <c r="D5334" s="6" t="str">
        <f>IF(A5334="","",MATCH(A5334,Calculation!B$2:B9627,1))</f>
        <v/>
      </c>
      <c r="E5334" s="29" t="str">
        <f t="array" ref="E5334">IF(D5334="","",IF(D5334=1,0,INDEX(Calculation!Q$2:Q9627,D5334-1)))</f>
        <v/>
      </c>
      <c r="F5334" s="29" t="str">
        <f t="array" ref="F5334">IF($A5334="","",
  LET(
    r, $D5334,
    startD, INDEX(Calculation!B$2:B9627, r),
    endD,   INDEX(Calculation!C$2:C9627, r),
    asOf,   MIN($A5334,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35">
      <c r="A5335" s="28"/>
      <c r="B5335" s="29"/>
      <c r="C5335" s="29" t="str">
        <f t="shared" si="1"/>
        <v/>
      </c>
      <c r="D5335" s="6" t="str">
        <f>IF(A5335="","",MATCH(A5335,Calculation!B$2:B9627,1))</f>
        <v/>
      </c>
      <c r="E5335" s="29" t="str">
        <f t="array" ref="E5335">IF(D5335="","",IF(D5335=1,0,INDEX(Calculation!Q$2:Q9627,D5335-1)))</f>
        <v/>
      </c>
      <c r="F5335" s="29" t="str">
        <f t="array" ref="F5335">IF($A5335="","",
  LET(
    r, $D5335,
    startD, INDEX(Calculation!B$2:B9627, r),
    endD,   INDEX(Calculation!C$2:C9627, r),
    asOf,   MIN($A5335,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36">
      <c r="A5336" s="28"/>
      <c r="B5336" s="29"/>
      <c r="C5336" s="29" t="str">
        <f t="shared" si="1"/>
        <v/>
      </c>
      <c r="D5336" s="6" t="str">
        <f>IF(A5336="","",MATCH(A5336,Calculation!B$2:B9627,1))</f>
        <v/>
      </c>
      <c r="E5336" s="29" t="str">
        <f t="array" ref="E5336">IF(D5336="","",IF(D5336=1,0,INDEX(Calculation!Q$2:Q9627,D5336-1)))</f>
        <v/>
      </c>
      <c r="F5336" s="29" t="str">
        <f t="array" ref="F5336">IF($A5336="","",
  LET(
    r, $D5336,
    startD, INDEX(Calculation!B$2:B9627, r),
    endD,   INDEX(Calculation!C$2:C9627, r),
    asOf,   MIN($A5336,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37">
      <c r="A5337" s="28"/>
      <c r="B5337" s="29"/>
      <c r="C5337" s="29" t="str">
        <f t="shared" si="1"/>
        <v/>
      </c>
      <c r="D5337" s="6" t="str">
        <f>IF(A5337="","",MATCH(A5337,Calculation!B$2:B9627,1))</f>
        <v/>
      </c>
      <c r="E5337" s="29" t="str">
        <f t="array" ref="E5337">IF(D5337="","",IF(D5337=1,0,INDEX(Calculation!Q$2:Q9627,D5337-1)))</f>
        <v/>
      </c>
      <c r="F5337" s="29" t="str">
        <f t="array" ref="F5337">IF($A5337="","",
  LET(
    r, $D5337,
    startD, INDEX(Calculation!B$2:B9627, r),
    endD,   INDEX(Calculation!C$2:C9627, r),
    asOf,   MIN($A5337,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38">
      <c r="A5338" s="28"/>
      <c r="B5338" s="29"/>
      <c r="C5338" s="29" t="str">
        <f t="shared" si="1"/>
        <v/>
      </c>
      <c r="D5338" s="6" t="str">
        <f>IF(A5338="","",MATCH(A5338,Calculation!B$2:B9627,1))</f>
        <v/>
      </c>
      <c r="E5338" s="29" t="str">
        <f t="array" ref="E5338">IF(D5338="","",IF(D5338=1,0,INDEX(Calculation!Q$2:Q9627,D5338-1)))</f>
        <v/>
      </c>
      <c r="F5338" s="29" t="str">
        <f t="array" ref="F5338">IF($A5338="","",
  LET(
    r, $D5338,
    startD, INDEX(Calculation!B$2:B9627, r),
    endD,   INDEX(Calculation!C$2:C9627, r),
    asOf,   MIN($A5338,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39">
      <c r="A5339" s="28"/>
      <c r="B5339" s="29"/>
      <c r="C5339" s="29" t="str">
        <f t="shared" si="1"/>
        <v/>
      </c>
      <c r="D5339" s="6" t="str">
        <f>IF(A5339="","",MATCH(A5339,Calculation!B$2:B9627,1))</f>
        <v/>
      </c>
      <c r="E5339" s="29" t="str">
        <f t="array" ref="E5339">IF(D5339="","",IF(D5339=1,0,INDEX(Calculation!Q$2:Q9627,D5339-1)))</f>
        <v/>
      </c>
      <c r="F5339" s="29" t="str">
        <f t="array" ref="F5339">IF($A5339="","",
  LET(
    r, $D5339,
    startD, INDEX(Calculation!B$2:B9627, r),
    endD,   INDEX(Calculation!C$2:C9627, r),
    asOf,   MIN($A5339,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40">
      <c r="A5340" s="28"/>
      <c r="B5340" s="29"/>
      <c r="C5340" s="29" t="str">
        <f t="shared" si="1"/>
        <v/>
      </c>
      <c r="D5340" s="6" t="str">
        <f>IF(A5340="","",MATCH(A5340,Calculation!B$2:B9627,1))</f>
        <v/>
      </c>
      <c r="E5340" s="29" t="str">
        <f t="array" ref="E5340">IF(D5340="","",IF(D5340=1,0,INDEX(Calculation!Q$2:Q9627,D5340-1)))</f>
        <v/>
      </c>
      <c r="F5340" s="29" t="str">
        <f t="array" ref="F5340">IF($A5340="","",
  LET(
    r, $D5340,
    startD, INDEX(Calculation!B$2:B9627, r),
    endD,   INDEX(Calculation!C$2:C9627, r),
    asOf,   MIN($A5340,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41">
      <c r="A5341" s="28"/>
      <c r="B5341" s="29"/>
      <c r="C5341" s="29" t="str">
        <f t="shared" si="1"/>
        <v/>
      </c>
      <c r="D5341" s="6" t="str">
        <f>IF(A5341="","",MATCH(A5341,Calculation!B$2:B9627,1))</f>
        <v/>
      </c>
      <c r="E5341" s="29" t="str">
        <f t="array" ref="E5341">IF(D5341="","",IF(D5341=1,0,INDEX(Calculation!Q$2:Q9627,D5341-1)))</f>
        <v/>
      </c>
      <c r="F5341" s="29" t="str">
        <f t="array" ref="F5341">IF($A5341="","",
  LET(
    r, $D5341,
    startD, INDEX(Calculation!B$2:B9627, r),
    endD,   INDEX(Calculation!C$2:C9627, r),
    asOf,   MIN($A5341,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42">
      <c r="A5342" s="28"/>
      <c r="B5342" s="29"/>
      <c r="C5342" s="29" t="str">
        <f t="shared" si="1"/>
        <v/>
      </c>
      <c r="D5342" s="6" t="str">
        <f>IF(A5342="","",MATCH(A5342,Calculation!B$2:B9627,1))</f>
        <v/>
      </c>
      <c r="E5342" s="29" t="str">
        <f t="array" ref="E5342">IF(D5342="","",IF(D5342=1,0,INDEX(Calculation!Q$2:Q9627,D5342-1)))</f>
        <v/>
      </c>
      <c r="F5342" s="29" t="str">
        <f t="array" ref="F5342">IF($A5342="","",
  LET(
    r, $D5342,
    startD, INDEX(Calculation!B$2:B9627, r),
    endD,   INDEX(Calculation!C$2:C9627, r),
    asOf,   MIN($A5342,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43">
      <c r="A5343" s="28"/>
      <c r="B5343" s="29"/>
      <c r="C5343" s="29" t="str">
        <f t="shared" si="1"/>
        <v/>
      </c>
      <c r="D5343" s="6" t="str">
        <f>IF(A5343="","",MATCH(A5343,Calculation!B$2:B9627,1))</f>
        <v/>
      </c>
      <c r="E5343" s="29" t="str">
        <f t="array" ref="E5343">IF(D5343="","",IF(D5343=1,0,INDEX(Calculation!Q$2:Q9627,D5343-1)))</f>
        <v/>
      </c>
      <c r="F5343" s="29" t="str">
        <f t="array" ref="F5343">IF($A5343="","",
  LET(
    r, $D5343,
    startD, INDEX(Calculation!B$2:B9627, r),
    endD,   INDEX(Calculation!C$2:C9627, r),
    asOf,   MIN($A5343,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44">
      <c r="A5344" s="28"/>
      <c r="B5344" s="29"/>
      <c r="C5344" s="29" t="str">
        <f t="shared" si="1"/>
        <v/>
      </c>
      <c r="D5344" s="6" t="str">
        <f>IF(A5344="","",MATCH(A5344,Calculation!B$2:B9627,1))</f>
        <v/>
      </c>
      <c r="E5344" s="29" t="str">
        <f t="array" ref="E5344">IF(D5344="","",IF(D5344=1,0,INDEX(Calculation!Q$2:Q9627,D5344-1)))</f>
        <v/>
      </c>
      <c r="F5344" s="29" t="str">
        <f t="array" ref="F5344">IF($A5344="","",
  LET(
    r, $D5344,
    startD, INDEX(Calculation!B$2:B9627, r),
    endD,   INDEX(Calculation!C$2:C9627, r),
    asOf,   MIN($A5344,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45">
      <c r="A5345" s="28"/>
      <c r="B5345" s="29"/>
      <c r="C5345" s="29" t="str">
        <f t="shared" si="1"/>
        <v/>
      </c>
      <c r="D5345" s="6" t="str">
        <f>IF(A5345="","",MATCH(A5345,Calculation!B$2:B9627,1))</f>
        <v/>
      </c>
      <c r="E5345" s="29" t="str">
        <f t="array" ref="E5345">IF(D5345="","",IF(D5345=1,0,INDEX(Calculation!Q$2:Q9627,D5345-1)))</f>
        <v/>
      </c>
      <c r="F5345" s="29" t="str">
        <f t="array" ref="F5345">IF($A5345="","",
  LET(
    r, $D5345,
    startD, INDEX(Calculation!B$2:B9627, r),
    endD,   INDEX(Calculation!C$2:C9627, r),
    asOf,   MIN($A5345,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46">
      <c r="A5346" s="28"/>
      <c r="B5346" s="29"/>
      <c r="C5346" s="29" t="str">
        <f t="shared" si="1"/>
        <v/>
      </c>
      <c r="D5346" s="6" t="str">
        <f>IF(A5346="","",MATCH(A5346,Calculation!B$2:B9627,1))</f>
        <v/>
      </c>
      <c r="E5346" s="29" t="str">
        <f t="array" ref="E5346">IF(D5346="","",IF(D5346=1,0,INDEX(Calculation!Q$2:Q9627,D5346-1)))</f>
        <v/>
      </c>
      <c r="F5346" s="29" t="str">
        <f t="array" ref="F5346">IF($A5346="","",
  LET(
    r, $D5346,
    startD, INDEX(Calculation!B$2:B9627, r),
    endD,   INDEX(Calculation!C$2:C9627, r),
    asOf,   MIN($A5346,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47">
      <c r="A5347" s="28"/>
      <c r="B5347" s="29"/>
      <c r="C5347" s="29" t="str">
        <f t="shared" si="1"/>
        <v/>
      </c>
      <c r="D5347" s="6" t="str">
        <f>IF(A5347="","",MATCH(A5347,Calculation!B$2:B9627,1))</f>
        <v/>
      </c>
      <c r="E5347" s="29" t="str">
        <f t="array" ref="E5347">IF(D5347="","",IF(D5347=1,0,INDEX(Calculation!Q$2:Q9627,D5347-1)))</f>
        <v/>
      </c>
      <c r="F5347" s="29" t="str">
        <f t="array" ref="F5347">IF($A5347="","",
  LET(
    r, $D5347,
    startD, INDEX(Calculation!B$2:B9627, r),
    endD,   INDEX(Calculation!C$2:C9627, r),
    asOf,   MIN($A5347,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48">
      <c r="A5348" s="28"/>
      <c r="B5348" s="29"/>
      <c r="C5348" s="29" t="str">
        <f t="shared" si="1"/>
        <v/>
      </c>
      <c r="D5348" s="6" t="str">
        <f>IF(A5348="","",MATCH(A5348,Calculation!B$2:B9627,1))</f>
        <v/>
      </c>
      <c r="E5348" s="29" t="str">
        <f t="array" ref="E5348">IF(D5348="","",IF(D5348=1,0,INDEX(Calculation!Q$2:Q9627,D5348-1)))</f>
        <v/>
      </c>
      <c r="F5348" s="29" t="str">
        <f t="array" ref="F5348">IF($A5348="","",
  LET(
    r, $D5348,
    startD, INDEX(Calculation!B$2:B9627, r),
    endD,   INDEX(Calculation!C$2:C9627, r),
    asOf,   MIN($A5348,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49">
      <c r="A5349" s="28"/>
      <c r="B5349" s="29"/>
      <c r="C5349" s="29" t="str">
        <f t="shared" si="1"/>
        <v/>
      </c>
      <c r="D5349" s="6" t="str">
        <f>IF(A5349="","",MATCH(A5349,Calculation!B$2:B9627,1))</f>
        <v/>
      </c>
      <c r="E5349" s="29" t="str">
        <f t="array" ref="E5349">IF(D5349="","",IF(D5349=1,0,INDEX(Calculation!Q$2:Q9627,D5349-1)))</f>
        <v/>
      </c>
      <c r="F5349" s="29" t="str">
        <f t="array" ref="F5349">IF($A5349="","",
  LET(
    r, $D5349,
    startD, INDEX(Calculation!B$2:B9627, r),
    endD,   INDEX(Calculation!C$2:C9627, r),
    asOf,   MIN($A5349,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50">
      <c r="A5350" s="28"/>
      <c r="B5350" s="29"/>
      <c r="C5350" s="29" t="str">
        <f t="shared" si="1"/>
        <v/>
      </c>
      <c r="D5350" s="6" t="str">
        <f>IF(A5350="","",MATCH(A5350,Calculation!B$2:B9627,1))</f>
        <v/>
      </c>
      <c r="E5350" s="29" t="str">
        <f t="array" ref="E5350">IF(D5350="","",IF(D5350=1,0,INDEX(Calculation!Q$2:Q9627,D5350-1)))</f>
        <v/>
      </c>
      <c r="F5350" s="29" t="str">
        <f t="array" ref="F5350">IF($A5350="","",
  LET(
    r, $D5350,
    startD, INDEX(Calculation!B$2:B9627, r),
    endD,   INDEX(Calculation!C$2:C9627, r),
    asOf,   MIN($A5350,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51">
      <c r="A5351" s="28"/>
      <c r="B5351" s="29"/>
      <c r="C5351" s="29" t="str">
        <f t="shared" si="1"/>
        <v/>
      </c>
      <c r="D5351" s="6" t="str">
        <f>IF(A5351="","",MATCH(A5351,Calculation!B$2:B9627,1))</f>
        <v/>
      </c>
      <c r="E5351" s="29" t="str">
        <f t="array" ref="E5351">IF(D5351="","",IF(D5351=1,0,INDEX(Calculation!Q$2:Q9627,D5351-1)))</f>
        <v/>
      </c>
      <c r="F5351" s="29" t="str">
        <f t="array" ref="F5351">IF($A5351="","",
  LET(
    r, $D5351,
    startD, INDEX(Calculation!B$2:B9627, r),
    endD,   INDEX(Calculation!C$2:C9627, r),
    asOf,   MIN($A5351,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52">
      <c r="A5352" s="28"/>
      <c r="B5352" s="29"/>
      <c r="C5352" s="29" t="str">
        <f t="shared" si="1"/>
        <v/>
      </c>
      <c r="D5352" s="6" t="str">
        <f>IF(A5352="","",MATCH(A5352,Calculation!B$2:B9627,1))</f>
        <v/>
      </c>
      <c r="E5352" s="29" t="str">
        <f t="array" ref="E5352">IF(D5352="","",IF(D5352=1,0,INDEX(Calculation!Q$2:Q9627,D5352-1)))</f>
        <v/>
      </c>
      <c r="F5352" s="29" t="str">
        <f t="array" ref="F5352">IF($A5352="","",
  LET(
    r, $D5352,
    startD, INDEX(Calculation!B$2:B9627, r),
    endD,   INDEX(Calculation!C$2:C9627, r),
    asOf,   MIN($A5352,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53">
      <c r="A5353" s="28"/>
      <c r="B5353" s="29"/>
      <c r="C5353" s="29" t="str">
        <f t="shared" si="1"/>
        <v/>
      </c>
      <c r="D5353" s="6" t="str">
        <f>IF(A5353="","",MATCH(A5353,Calculation!B$2:B9627,1))</f>
        <v/>
      </c>
      <c r="E5353" s="29" t="str">
        <f t="array" ref="E5353">IF(D5353="","",IF(D5353=1,0,INDEX(Calculation!Q$2:Q9627,D5353-1)))</f>
        <v/>
      </c>
      <c r="F5353" s="29" t="str">
        <f t="array" ref="F5353">IF($A5353="","",
  LET(
    r, $D5353,
    startD, INDEX(Calculation!B$2:B9627, r),
    endD,   INDEX(Calculation!C$2:C9627, r),
    asOf,   MIN($A5353,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54">
      <c r="A5354" s="28"/>
      <c r="B5354" s="29"/>
      <c r="C5354" s="29" t="str">
        <f t="shared" si="1"/>
        <v/>
      </c>
      <c r="D5354" s="6" t="str">
        <f>IF(A5354="","",MATCH(A5354,Calculation!B$2:B9627,1))</f>
        <v/>
      </c>
      <c r="E5354" s="29" t="str">
        <f t="array" ref="E5354">IF(D5354="","",IF(D5354=1,0,INDEX(Calculation!Q$2:Q9627,D5354-1)))</f>
        <v/>
      </c>
      <c r="F5354" s="29" t="str">
        <f t="array" ref="F5354">IF($A5354="","",
  LET(
    r, $D5354,
    startD, INDEX(Calculation!B$2:B9627, r),
    endD,   INDEX(Calculation!C$2:C9627, r),
    asOf,   MIN($A5354,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55">
      <c r="A5355" s="28"/>
      <c r="B5355" s="29"/>
      <c r="C5355" s="29" t="str">
        <f t="shared" si="1"/>
        <v/>
      </c>
      <c r="D5355" s="6" t="str">
        <f>IF(A5355="","",MATCH(A5355,Calculation!B$2:B9627,1))</f>
        <v/>
      </c>
      <c r="E5355" s="29" t="str">
        <f t="array" ref="E5355">IF(D5355="","",IF(D5355=1,0,INDEX(Calculation!Q$2:Q9627,D5355-1)))</f>
        <v/>
      </c>
      <c r="F5355" s="29" t="str">
        <f t="array" ref="F5355">IF($A5355="","",
  LET(
    r, $D5355,
    startD, INDEX(Calculation!B$2:B9627, r),
    endD,   INDEX(Calculation!C$2:C9627, r),
    asOf,   MIN($A5355,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56">
      <c r="A5356" s="28"/>
      <c r="B5356" s="29"/>
      <c r="C5356" s="29" t="str">
        <f t="shared" si="1"/>
        <v/>
      </c>
      <c r="D5356" s="6" t="str">
        <f>IF(A5356="","",MATCH(A5356,Calculation!B$2:B9627,1))</f>
        <v/>
      </c>
      <c r="E5356" s="29" t="str">
        <f t="array" ref="E5356">IF(D5356="","",IF(D5356=1,0,INDEX(Calculation!Q$2:Q9627,D5356-1)))</f>
        <v/>
      </c>
      <c r="F5356" s="29" t="str">
        <f t="array" ref="F5356">IF($A5356="","",
  LET(
    r, $D5356,
    startD, INDEX(Calculation!B$2:B9627, r),
    endD,   INDEX(Calculation!C$2:C9627, r),
    asOf,   MIN($A5356,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57">
      <c r="A5357" s="28"/>
      <c r="B5357" s="29"/>
      <c r="C5357" s="29" t="str">
        <f t="shared" si="1"/>
        <v/>
      </c>
      <c r="D5357" s="6" t="str">
        <f>IF(A5357="","",MATCH(A5357,Calculation!B$2:B9627,1))</f>
        <v/>
      </c>
      <c r="E5357" s="29" t="str">
        <f t="array" ref="E5357">IF(D5357="","",IF(D5357=1,0,INDEX(Calculation!Q$2:Q9627,D5357-1)))</f>
        <v/>
      </c>
      <c r="F5357" s="29" t="str">
        <f t="array" ref="F5357">IF($A5357="","",
  LET(
    r, $D5357,
    startD, INDEX(Calculation!B$2:B9627, r),
    endD,   INDEX(Calculation!C$2:C9627, r),
    asOf,   MIN($A5357,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58">
      <c r="A5358" s="28"/>
      <c r="B5358" s="29"/>
      <c r="C5358" s="29" t="str">
        <f t="shared" si="1"/>
        <v/>
      </c>
      <c r="D5358" s="6" t="str">
        <f>IF(A5358="","",MATCH(A5358,Calculation!B$2:B9627,1))</f>
        <v/>
      </c>
      <c r="E5358" s="29" t="str">
        <f t="array" ref="E5358">IF(D5358="","",IF(D5358=1,0,INDEX(Calculation!Q$2:Q9627,D5358-1)))</f>
        <v/>
      </c>
      <c r="F5358" s="29" t="str">
        <f t="array" ref="F5358">IF($A5358="","",
  LET(
    r, $D5358,
    startD, INDEX(Calculation!B$2:B9627, r),
    endD,   INDEX(Calculation!C$2:C9627, r),
    asOf,   MIN($A5358,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59">
      <c r="A5359" s="28"/>
      <c r="B5359" s="29"/>
      <c r="C5359" s="29" t="str">
        <f t="shared" si="1"/>
        <v/>
      </c>
      <c r="D5359" s="6" t="str">
        <f>IF(A5359="","",MATCH(A5359,Calculation!B$2:B9627,1))</f>
        <v/>
      </c>
      <c r="E5359" s="29" t="str">
        <f t="array" ref="E5359">IF(D5359="","",IF(D5359=1,0,INDEX(Calculation!Q$2:Q9627,D5359-1)))</f>
        <v/>
      </c>
      <c r="F5359" s="29" t="str">
        <f t="array" ref="F5359">IF($A5359="","",
  LET(
    r, $D5359,
    startD, INDEX(Calculation!B$2:B9627, r),
    endD,   INDEX(Calculation!C$2:C9627, r),
    asOf,   MIN($A5359,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60">
      <c r="A5360" s="28"/>
      <c r="B5360" s="29"/>
      <c r="C5360" s="29" t="str">
        <f t="shared" si="1"/>
        <v/>
      </c>
      <c r="D5360" s="6" t="str">
        <f>IF(A5360="","",MATCH(A5360,Calculation!B$2:B9627,1))</f>
        <v/>
      </c>
      <c r="E5360" s="29" t="str">
        <f t="array" ref="E5360">IF(D5360="","",IF(D5360=1,0,INDEX(Calculation!Q$2:Q9627,D5360-1)))</f>
        <v/>
      </c>
      <c r="F5360" s="29" t="str">
        <f t="array" ref="F5360">IF($A5360="","",
  LET(
    r, $D5360,
    startD, INDEX(Calculation!B$2:B9627, r),
    endD,   INDEX(Calculation!C$2:C9627, r),
    asOf,   MIN($A5360,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61">
      <c r="A5361" s="28"/>
      <c r="B5361" s="29"/>
      <c r="C5361" s="29" t="str">
        <f t="shared" si="1"/>
        <v/>
      </c>
      <c r="D5361" s="6" t="str">
        <f>IF(A5361="","",MATCH(A5361,Calculation!B$2:B9627,1))</f>
        <v/>
      </c>
      <c r="E5361" s="29" t="str">
        <f t="array" ref="E5361">IF(D5361="","",IF(D5361=1,0,INDEX(Calculation!Q$2:Q9627,D5361-1)))</f>
        <v/>
      </c>
      <c r="F5361" s="29" t="str">
        <f t="array" ref="F5361">IF($A5361="","",
  LET(
    r, $D5361,
    startD, INDEX(Calculation!B$2:B9627, r),
    endD,   INDEX(Calculation!C$2:C9627, r),
    asOf,   MIN($A5361,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62">
      <c r="A5362" s="28"/>
      <c r="B5362" s="29"/>
      <c r="C5362" s="29" t="str">
        <f t="shared" si="1"/>
        <v/>
      </c>
      <c r="D5362" s="6" t="str">
        <f>IF(A5362="","",MATCH(A5362,Calculation!B$2:B9627,1))</f>
        <v/>
      </c>
      <c r="E5362" s="29" t="str">
        <f t="array" ref="E5362">IF(D5362="","",IF(D5362=1,0,INDEX(Calculation!Q$2:Q9627,D5362-1)))</f>
        <v/>
      </c>
      <c r="F5362" s="29" t="str">
        <f t="array" ref="F5362">IF($A5362="","",
  LET(
    r, $D5362,
    startD, INDEX(Calculation!B$2:B9627, r),
    endD,   INDEX(Calculation!C$2:C9627, r),
    asOf,   MIN($A5362,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63">
      <c r="A5363" s="28"/>
      <c r="B5363" s="29"/>
      <c r="C5363" s="29" t="str">
        <f t="shared" si="1"/>
        <v/>
      </c>
      <c r="D5363" s="6" t="str">
        <f>IF(A5363="","",MATCH(A5363,Calculation!B$2:B9627,1))</f>
        <v/>
      </c>
      <c r="E5363" s="29" t="str">
        <f t="array" ref="E5363">IF(D5363="","",IF(D5363=1,0,INDEX(Calculation!Q$2:Q9627,D5363-1)))</f>
        <v/>
      </c>
      <c r="F5363" s="29" t="str">
        <f t="array" ref="F5363">IF($A5363="","",
  LET(
    r, $D5363,
    startD, INDEX(Calculation!B$2:B9627, r),
    endD,   INDEX(Calculation!C$2:C9627, r),
    asOf,   MIN($A5363,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64">
      <c r="A5364" s="28"/>
      <c r="B5364" s="29"/>
      <c r="C5364" s="29" t="str">
        <f t="shared" si="1"/>
        <v/>
      </c>
      <c r="D5364" s="6" t="str">
        <f>IF(A5364="","",MATCH(A5364,Calculation!B$2:B9627,1))</f>
        <v/>
      </c>
      <c r="E5364" s="29" t="str">
        <f t="array" ref="E5364">IF(D5364="","",IF(D5364=1,0,INDEX(Calculation!Q$2:Q9627,D5364-1)))</f>
        <v/>
      </c>
      <c r="F5364" s="29" t="str">
        <f t="array" ref="F5364">IF($A5364="","",
  LET(
    r, $D5364,
    startD, INDEX(Calculation!B$2:B9627, r),
    endD,   INDEX(Calculation!C$2:C9627, r),
    asOf,   MIN($A5364,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65">
      <c r="A5365" s="28"/>
      <c r="B5365" s="29"/>
      <c r="C5365" s="29" t="str">
        <f t="shared" si="1"/>
        <v/>
      </c>
      <c r="D5365" s="6" t="str">
        <f>IF(A5365="","",MATCH(A5365,Calculation!B$2:B9627,1))</f>
        <v/>
      </c>
      <c r="E5365" s="29" t="str">
        <f t="array" ref="E5365">IF(D5365="","",IF(D5365=1,0,INDEX(Calculation!Q$2:Q9627,D5365-1)))</f>
        <v/>
      </c>
      <c r="F5365" s="29" t="str">
        <f t="array" ref="F5365">IF($A5365="","",
  LET(
    r, $D5365,
    startD, INDEX(Calculation!B$2:B9627, r),
    endD,   INDEX(Calculation!C$2:C9627, r),
    asOf,   MIN($A5365,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66">
      <c r="A5366" s="28"/>
      <c r="B5366" s="29"/>
      <c r="C5366" s="29" t="str">
        <f t="shared" si="1"/>
        <v/>
      </c>
      <c r="D5366" s="6" t="str">
        <f>IF(A5366="","",MATCH(A5366,Calculation!B$2:B9627,1))</f>
        <v/>
      </c>
      <c r="E5366" s="29" t="str">
        <f t="array" ref="E5366">IF(D5366="","",IF(D5366=1,0,INDEX(Calculation!Q$2:Q9627,D5366-1)))</f>
        <v/>
      </c>
      <c r="F5366" s="29" t="str">
        <f t="array" ref="F5366">IF($A5366="","",
  LET(
    r, $D5366,
    startD, INDEX(Calculation!B$2:B9627, r),
    endD,   INDEX(Calculation!C$2:C9627, r),
    asOf,   MIN($A5366,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67">
      <c r="A5367" s="28"/>
      <c r="B5367" s="29"/>
      <c r="C5367" s="29" t="str">
        <f t="shared" si="1"/>
        <v/>
      </c>
      <c r="D5367" s="6" t="str">
        <f>IF(A5367="","",MATCH(A5367,Calculation!B$2:B9627,1))</f>
        <v/>
      </c>
      <c r="E5367" s="29" t="str">
        <f t="array" ref="E5367">IF(D5367="","",IF(D5367=1,0,INDEX(Calculation!Q$2:Q9627,D5367-1)))</f>
        <v/>
      </c>
      <c r="F5367" s="29" t="str">
        <f t="array" ref="F5367">IF($A5367="","",
  LET(
    r, $D5367,
    startD, INDEX(Calculation!B$2:B9627, r),
    endD,   INDEX(Calculation!C$2:C9627, r),
    asOf,   MIN($A5367,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68">
      <c r="A5368" s="28"/>
      <c r="B5368" s="29"/>
      <c r="C5368" s="29" t="str">
        <f t="shared" si="1"/>
        <v/>
      </c>
      <c r="D5368" s="6" t="str">
        <f>IF(A5368="","",MATCH(A5368,Calculation!B$2:B9627,1))</f>
        <v/>
      </c>
      <c r="E5368" s="29" t="str">
        <f t="array" ref="E5368">IF(D5368="","",IF(D5368=1,0,INDEX(Calculation!Q$2:Q9627,D5368-1)))</f>
        <v/>
      </c>
      <c r="F5368" s="29" t="str">
        <f t="array" ref="F5368">IF($A5368="","",
  LET(
    r, $D5368,
    startD, INDEX(Calculation!B$2:B9627, r),
    endD,   INDEX(Calculation!C$2:C9627, r),
    asOf,   MIN($A5368,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69">
      <c r="A5369" s="28"/>
      <c r="B5369" s="29"/>
      <c r="C5369" s="29" t="str">
        <f t="shared" si="1"/>
        <v/>
      </c>
      <c r="D5369" s="6" t="str">
        <f>IF(A5369="","",MATCH(A5369,Calculation!B$2:B9627,1))</f>
        <v/>
      </c>
      <c r="E5369" s="29" t="str">
        <f t="array" ref="E5369">IF(D5369="","",IF(D5369=1,0,INDEX(Calculation!Q$2:Q9627,D5369-1)))</f>
        <v/>
      </c>
      <c r="F5369" s="29" t="str">
        <f t="array" ref="F5369">IF($A5369="","",
  LET(
    r, $D5369,
    startD, INDEX(Calculation!B$2:B9627, r),
    endD,   INDEX(Calculation!C$2:C9627, r),
    asOf,   MIN($A5369,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70">
      <c r="A5370" s="28"/>
      <c r="B5370" s="29"/>
      <c r="C5370" s="29" t="str">
        <f t="shared" si="1"/>
        <v/>
      </c>
      <c r="D5370" s="6" t="str">
        <f>IF(A5370="","",MATCH(A5370,Calculation!B$2:B9627,1))</f>
        <v/>
      </c>
      <c r="E5370" s="29" t="str">
        <f t="array" ref="E5370">IF(D5370="","",IF(D5370=1,0,INDEX(Calculation!Q$2:Q9627,D5370-1)))</f>
        <v/>
      </c>
      <c r="F5370" s="29" t="str">
        <f t="array" ref="F5370">IF($A5370="","",
  LET(
    r, $D5370,
    startD, INDEX(Calculation!B$2:B9627, r),
    endD,   INDEX(Calculation!C$2:C9627, r),
    asOf,   MIN($A5370,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71">
      <c r="A5371" s="28"/>
      <c r="B5371" s="29"/>
      <c r="C5371" s="29" t="str">
        <f t="shared" si="1"/>
        <v/>
      </c>
      <c r="D5371" s="6" t="str">
        <f>IF(A5371="","",MATCH(A5371,Calculation!B$2:B9627,1))</f>
        <v/>
      </c>
      <c r="E5371" s="29" t="str">
        <f t="array" ref="E5371">IF(D5371="","",IF(D5371=1,0,INDEX(Calculation!Q$2:Q9627,D5371-1)))</f>
        <v/>
      </c>
      <c r="F5371" s="29" t="str">
        <f t="array" ref="F5371">IF($A5371="","",
  LET(
    r, $D5371,
    startD, INDEX(Calculation!B$2:B9627, r),
    endD,   INDEX(Calculation!C$2:C9627, r),
    asOf,   MIN($A5371,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72">
      <c r="A5372" s="28"/>
      <c r="B5372" s="29"/>
      <c r="C5372" s="29" t="str">
        <f t="shared" si="1"/>
        <v/>
      </c>
      <c r="D5372" s="6" t="str">
        <f>IF(A5372="","",MATCH(A5372,Calculation!B$2:B9627,1))</f>
        <v/>
      </c>
      <c r="E5372" s="29" t="str">
        <f t="array" ref="E5372">IF(D5372="","",IF(D5372=1,0,INDEX(Calculation!Q$2:Q9627,D5372-1)))</f>
        <v/>
      </c>
      <c r="F5372" s="29" t="str">
        <f t="array" ref="F5372">IF($A5372="","",
  LET(
    r, $D5372,
    startD, INDEX(Calculation!B$2:B9627, r),
    endD,   INDEX(Calculation!C$2:C9627, r),
    asOf,   MIN($A5372,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73">
      <c r="A5373" s="28"/>
      <c r="B5373" s="29"/>
      <c r="C5373" s="29" t="str">
        <f t="shared" si="1"/>
        <v/>
      </c>
      <c r="D5373" s="6" t="str">
        <f>IF(A5373="","",MATCH(A5373,Calculation!B$2:B9627,1))</f>
        <v/>
      </c>
      <c r="E5373" s="29" t="str">
        <f t="array" ref="E5373">IF(D5373="","",IF(D5373=1,0,INDEX(Calculation!Q$2:Q9627,D5373-1)))</f>
        <v/>
      </c>
      <c r="F5373" s="29" t="str">
        <f t="array" ref="F5373">IF($A5373="","",
  LET(
    r, $D5373,
    startD, INDEX(Calculation!B$2:B9627, r),
    endD,   INDEX(Calculation!C$2:C9627, r),
    asOf,   MIN($A5373,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74">
      <c r="A5374" s="28"/>
      <c r="B5374" s="29"/>
      <c r="C5374" s="29" t="str">
        <f t="shared" si="1"/>
        <v/>
      </c>
      <c r="D5374" s="6" t="str">
        <f>IF(A5374="","",MATCH(A5374,Calculation!B$2:B9627,1))</f>
        <v/>
      </c>
      <c r="E5374" s="29" t="str">
        <f t="array" ref="E5374">IF(D5374="","",IF(D5374=1,0,INDEX(Calculation!Q$2:Q9627,D5374-1)))</f>
        <v/>
      </c>
      <c r="F5374" s="29" t="str">
        <f t="array" ref="F5374">IF($A5374="","",
  LET(
    r, $D5374,
    startD, INDEX(Calculation!B$2:B9627, r),
    endD,   INDEX(Calculation!C$2:C9627, r),
    asOf,   MIN($A5374,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75">
      <c r="A5375" s="28"/>
      <c r="B5375" s="29"/>
      <c r="C5375" s="29" t="str">
        <f t="shared" si="1"/>
        <v/>
      </c>
      <c r="D5375" s="6" t="str">
        <f>IF(A5375="","",MATCH(A5375,Calculation!B$2:B9627,1))</f>
        <v/>
      </c>
      <c r="E5375" s="29" t="str">
        <f t="array" ref="E5375">IF(D5375="","",IF(D5375=1,0,INDEX(Calculation!Q$2:Q9627,D5375-1)))</f>
        <v/>
      </c>
      <c r="F5375" s="29" t="str">
        <f t="array" ref="F5375">IF($A5375="","",
  LET(
    r, $D5375,
    startD, INDEX(Calculation!B$2:B9627, r),
    endD,   INDEX(Calculation!C$2:C9627, r),
    asOf,   MIN($A5375,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76">
      <c r="A5376" s="28"/>
      <c r="B5376" s="29"/>
      <c r="C5376" s="29" t="str">
        <f t="shared" si="1"/>
        <v/>
      </c>
      <c r="D5376" s="6" t="str">
        <f>IF(A5376="","",MATCH(A5376,Calculation!B$2:B9627,1))</f>
        <v/>
      </c>
      <c r="E5376" s="29" t="str">
        <f t="array" ref="E5376">IF(D5376="","",IF(D5376=1,0,INDEX(Calculation!Q$2:Q9627,D5376-1)))</f>
        <v/>
      </c>
      <c r="F5376" s="29" t="str">
        <f t="array" ref="F5376">IF($A5376="","",
  LET(
    r, $D5376,
    startD, INDEX(Calculation!B$2:B9627, r),
    endD,   INDEX(Calculation!C$2:C9627, r),
    asOf,   MIN($A5376,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77">
      <c r="A5377" s="28"/>
      <c r="B5377" s="29"/>
      <c r="C5377" s="29" t="str">
        <f t="shared" si="1"/>
        <v/>
      </c>
      <c r="D5377" s="6" t="str">
        <f>IF(A5377="","",MATCH(A5377,Calculation!B$2:B9627,1))</f>
        <v/>
      </c>
      <c r="E5377" s="29" t="str">
        <f t="array" ref="E5377">IF(D5377="","",IF(D5377=1,0,INDEX(Calculation!Q$2:Q9627,D5377-1)))</f>
        <v/>
      </c>
      <c r="F5377" s="29" t="str">
        <f t="array" ref="F5377">IF($A5377="","",
  LET(
    r, $D5377,
    startD, INDEX(Calculation!B$2:B9627, r),
    endD,   INDEX(Calculation!C$2:C9627, r),
    asOf,   MIN($A5377,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78">
      <c r="A5378" s="28"/>
      <c r="B5378" s="29"/>
      <c r="C5378" s="29" t="str">
        <f t="shared" si="1"/>
        <v/>
      </c>
      <c r="D5378" s="6" t="str">
        <f>IF(A5378="","",MATCH(A5378,Calculation!B$2:B9627,1))</f>
        <v/>
      </c>
      <c r="E5378" s="29" t="str">
        <f t="array" ref="E5378">IF(D5378="","",IF(D5378=1,0,INDEX(Calculation!Q$2:Q9627,D5378-1)))</f>
        <v/>
      </c>
      <c r="F5378" s="29" t="str">
        <f t="array" ref="F5378">IF($A5378="","",
  LET(
    r, $D5378,
    startD, INDEX(Calculation!B$2:B9627, r),
    endD,   INDEX(Calculation!C$2:C9627, r),
    asOf,   MIN($A5378,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79">
      <c r="A5379" s="28"/>
      <c r="B5379" s="29"/>
      <c r="C5379" s="29" t="str">
        <f t="shared" si="1"/>
        <v/>
      </c>
      <c r="D5379" s="6" t="str">
        <f>IF(A5379="","",MATCH(A5379,Calculation!B$2:B9627,1))</f>
        <v/>
      </c>
      <c r="E5379" s="29" t="str">
        <f t="array" ref="E5379">IF(D5379="","",IF(D5379=1,0,INDEX(Calculation!Q$2:Q9627,D5379-1)))</f>
        <v/>
      </c>
      <c r="F5379" s="29" t="str">
        <f t="array" ref="F5379">IF($A5379="","",
  LET(
    r, $D5379,
    startD, INDEX(Calculation!B$2:B9627, r),
    endD,   INDEX(Calculation!C$2:C9627, r),
    asOf,   MIN($A5379,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80">
      <c r="A5380" s="28"/>
      <c r="B5380" s="29"/>
      <c r="C5380" s="29" t="str">
        <f t="shared" si="1"/>
        <v/>
      </c>
      <c r="D5380" s="6" t="str">
        <f>IF(A5380="","",MATCH(A5380,Calculation!B$2:B9627,1))</f>
        <v/>
      </c>
      <c r="E5380" s="29" t="str">
        <f t="array" ref="E5380">IF(D5380="","",IF(D5380=1,0,INDEX(Calculation!Q$2:Q9627,D5380-1)))</f>
        <v/>
      </c>
      <c r="F5380" s="29" t="str">
        <f t="array" ref="F5380">IF($A5380="","",
  LET(
    r, $D5380,
    startD, INDEX(Calculation!B$2:B9627, r),
    endD,   INDEX(Calculation!C$2:C9627, r),
    asOf,   MIN($A5380,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81">
      <c r="A5381" s="28"/>
      <c r="B5381" s="29"/>
      <c r="C5381" s="29" t="str">
        <f t="shared" si="1"/>
        <v/>
      </c>
      <c r="D5381" s="6" t="str">
        <f>IF(A5381="","",MATCH(A5381,Calculation!B$2:B9627,1))</f>
        <v/>
      </c>
      <c r="E5381" s="29" t="str">
        <f t="array" ref="E5381">IF(D5381="","",IF(D5381=1,0,INDEX(Calculation!Q$2:Q9627,D5381-1)))</f>
        <v/>
      </c>
      <c r="F5381" s="29" t="str">
        <f t="array" ref="F5381">IF($A5381="","",
  LET(
    r, $D5381,
    startD, INDEX(Calculation!B$2:B9627, r),
    endD,   INDEX(Calculation!C$2:C9627, r),
    asOf,   MIN($A5381,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82">
      <c r="A5382" s="28"/>
      <c r="B5382" s="29"/>
      <c r="C5382" s="29" t="str">
        <f t="shared" si="1"/>
        <v/>
      </c>
      <c r="D5382" s="6" t="str">
        <f>IF(A5382="","",MATCH(A5382,Calculation!B$2:B9627,1))</f>
        <v/>
      </c>
      <c r="E5382" s="29" t="str">
        <f t="array" ref="E5382">IF(D5382="","",IF(D5382=1,0,INDEX(Calculation!Q$2:Q9627,D5382-1)))</f>
        <v/>
      </c>
      <c r="F5382" s="29" t="str">
        <f t="array" ref="F5382">IF($A5382="","",
  LET(
    r, $D5382,
    startD, INDEX(Calculation!B$2:B9627, r),
    endD,   INDEX(Calculation!C$2:C9627, r),
    asOf,   MIN($A5382,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83">
      <c r="A5383" s="28"/>
      <c r="B5383" s="29"/>
      <c r="C5383" s="29" t="str">
        <f t="shared" si="1"/>
        <v/>
      </c>
      <c r="D5383" s="6" t="str">
        <f>IF(A5383="","",MATCH(A5383,Calculation!B$2:B9627,1))</f>
        <v/>
      </c>
      <c r="E5383" s="29" t="str">
        <f t="array" ref="E5383">IF(D5383="","",IF(D5383=1,0,INDEX(Calculation!Q$2:Q9627,D5383-1)))</f>
        <v/>
      </c>
      <c r="F5383" s="29" t="str">
        <f t="array" ref="F5383">IF($A5383="","",
  LET(
    r, $D5383,
    startD, INDEX(Calculation!B$2:B9627, r),
    endD,   INDEX(Calculation!C$2:C9627, r),
    asOf,   MIN($A5383,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84">
      <c r="A5384" s="28"/>
      <c r="B5384" s="29"/>
      <c r="C5384" s="29" t="str">
        <f t="shared" si="1"/>
        <v/>
      </c>
      <c r="D5384" s="6" t="str">
        <f>IF(A5384="","",MATCH(A5384,Calculation!B$2:B9627,1))</f>
        <v/>
      </c>
      <c r="E5384" s="29" t="str">
        <f t="array" ref="E5384">IF(D5384="","",IF(D5384=1,0,INDEX(Calculation!Q$2:Q9627,D5384-1)))</f>
        <v/>
      </c>
      <c r="F5384" s="29" t="str">
        <f t="array" ref="F5384">IF($A5384="","",
  LET(
    r, $D5384,
    startD, INDEX(Calculation!B$2:B9627, r),
    endD,   INDEX(Calculation!C$2:C9627, r),
    asOf,   MIN($A5384,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85">
      <c r="A5385" s="28"/>
      <c r="B5385" s="29"/>
      <c r="C5385" s="29" t="str">
        <f t="shared" si="1"/>
        <v/>
      </c>
      <c r="D5385" s="6" t="str">
        <f>IF(A5385="","",MATCH(A5385,Calculation!B$2:B9627,1))</f>
        <v/>
      </c>
      <c r="E5385" s="29" t="str">
        <f t="array" ref="E5385">IF(D5385="","",IF(D5385=1,0,INDEX(Calculation!Q$2:Q9627,D5385-1)))</f>
        <v/>
      </c>
      <c r="F5385" s="29" t="str">
        <f t="array" ref="F5385">IF($A5385="","",
  LET(
    r, $D5385,
    startD, INDEX(Calculation!B$2:B9627, r),
    endD,   INDEX(Calculation!C$2:C9627, r),
    asOf,   MIN($A5385,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86">
      <c r="A5386" s="28"/>
      <c r="B5386" s="29"/>
      <c r="C5386" s="29" t="str">
        <f t="shared" si="1"/>
        <v/>
      </c>
      <c r="D5386" s="6" t="str">
        <f>IF(A5386="","",MATCH(A5386,Calculation!B$2:B9627,1))</f>
        <v/>
      </c>
      <c r="E5386" s="29" t="str">
        <f t="array" ref="E5386">IF(D5386="","",IF(D5386=1,0,INDEX(Calculation!Q$2:Q9627,D5386-1)))</f>
        <v/>
      </c>
      <c r="F5386" s="29" t="str">
        <f t="array" ref="F5386">IF($A5386="","",
  LET(
    r, $D5386,
    startD, INDEX(Calculation!B$2:B9627, r),
    endD,   INDEX(Calculation!C$2:C9627, r),
    asOf,   MIN($A5386,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87">
      <c r="A5387" s="28"/>
      <c r="B5387" s="29"/>
      <c r="C5387" s="29" t="str">
        <f t="shared" si="1"/>
        <v/>
      </c>
      <c r="D5387" s="6" t="str">
        <f>IF(A5387="","",MATCH(A5387,Calculation!B$2:B9627,1))</f>
        <v/>
      </c>
      <c r="E5387" s="29" t="str">
        <f t="array" ref="E5387">IF(D5387="","",IF(D5387=1,0,INDEX(Calculation!Q$2:Q9627,D5387-1)))</f>
        <v/>
      </c>
      <c r="F5387" s="29" t="str">
        <f t="array" ref="F5387">IF($A5387="","",
  LET(
    r, $D5387,
    startD, INDEX(Calculation!B$2:B9627, r),
    endD,   INDEX(Calculation!C$2:C9627, r),
    asOf,   MIN($A5387,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88">
      <c r="A5388" s="28"/>
      <c r="B5388" s="29"/>
      <c r="C5388" s="29" t="str">
        <f t="shared" si="1"/>
        <v/>
      </c>
      <c r="D5388" s="6" t="str">
        <f>IF(A5388="","",MATCH(A5388,Calculation!B$2:B9627,1))</f>
        <v/>
      </c>
      <c r="E5388" s="29" t="str">
        <f t="array" ref="E5388">IF(D5388="","",IF(D5388=1,0,INDEX(Calculation!Q$2:Q9627,D5388-1)))</f>
        <v/>
      </c>
      <c r="F5388" s="29" t="str">
        <f t="array" ref="F5388">IF($A5388="","",
  LET(
    r, $D5388,
    startD, INDEX(Calculation!B$2:B9627, r),
    endD,   INDEX(Calculation!C$2:C9627, r),
    asOf,   MIN($A5388,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89">
      <c r="A5389" s="28"/>
      <c r="B5389" s="29"/>
      <c r="C5389" s="29" t="str">
        <f t="shared" si="1"/>
        <v/>
      </c>
      <c r="D5389" s="6" t="str">
        <f>IF(A5389="","",MATCH(A5389,Calculation!B$2:B9627,1))</f>
        <v/>
      </c>
      <c r="E5389" s="29" t="str">
        <f t="array" ref="E5389">IF(D5389="","",IF(D5389=1,0,INDEX(Calculation!Q$2:Q9627,D5389-1)))</f>
        <v/>
      </c>
      <c r="F5389" s="29" t="str">
        <f t="array" ref="F5389">IF($A5389="","",
  LET(
    r, $D5389,
    startD, INDEX(Calculation!B$2:B9627, r),
    endD,   INDEX(Calculation!C$2:C9627, r),
    asOf,   MIN($A5389,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90">
      <c r="A5390" s="28"/>
      <c r="B5390" s="29"/>
      <c r="C5390" s="29" t="str">
        <f t="shared" si="1"/>
        <v/>
      </c>
      <c r="D5390" s="6" t="str">
        <f>IF(A5390="","",MATCH(A5390,Calculation!B$2:B9627,1))</f>
        <v/>
      </c>
      <c r="E5390" s="29" t="str">
        <f t="array" ref="E5390">IF(D5390="","",IF(D5390=1,0,INDEX(Calculation!Q$2:Q9627,D5390-1)))</f>
        <v/>
      </c>
      <c r="F5390" s="29" t="str">
        <f t="array" ref="F5390">IF($A5390="","",
  LET(
    r, $D5390,
    startD, INDEX(Calculation!B$2:B9627, r),
    endD,   INDEX(Calculation!C$2:C9627, r),
    asOf,   MIN($A5390,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91">
      <c r="A5391" s="28"/>
      <c r="B5391" s="29"/>
      <c r="C5391" s="29" t="str">
        <f t="shared" si="1"/>
        <v/>
      </c>
      <c r="D5391" s="6" t="str">
        <f>IF(A5391="","",MATCH(A5391,Calculation!B$2:B9627,1))</f>
        <v/>
      </c>
      <c r="E5391" s="29" t="str">
        <f t="array" ref="E5391">IF(D5391="","",IF(D5391=1,0,INDEX(Calculation!Q$2:Q9627,D5391-1)))</f>
        <v/>
      </c>
      <c r="F5391" s="29" t="str">
        <f t="array" ref="F5391">IF($A5391="","",
  LET(
    r, $D5391,
    startD, INDEX(Calculation!B$2:B9627, r),
    endD,   INDEX(Calculation!C$2:C9627, r),
    asOf,   MIN($A5391,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92">
      <c r="A5392" s="28"/>
      <c r="B5392" s="29"/>
      <c r="C5392" s="29" t="str">
        <f t="shared" si="1"/>
        <v/>
      </c>
      <c r="D5392" s="6" t="str">
        <f>IF(A5392="","",MATCH(A5392,Calculation!B$2:B9627,1))</f>
        <v/>
      </c>
      <c r="E5392" s="29" t="str">
        <f t="array" ref="E5392">IF(D5392="","",IF(D5392=1,0,INDEX(Calculation!Q$2:Q9627,D5392-1)))</f>
        <v/>
      </c>
      <c r="F5392" s="29" t="str">
        <f t="array" ref="F5392">IF($A5392="","",
  LET(
    r, $D5392,
    startD, INDEX(Calculation!B$2:B9627, r),
    endD,   INDEX(Calculation!C$2:C9627, r),
    asOf,   MIN($A5392,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93">
      <c r="A5393" s="28"/>
      <c r="B5393" s="29"/>
      <c r="C5393" s="29" t="str">
        <f t="shared" si="1"/>
        <v/>
      </c>
      <c r="D5393" s="6" t="str">
        <f>IF(A5393="","",MATCH(A5393,Calculation!B$2:B9627,1))</f>
        <v/>
      </c>
      <c r="E5393" s="29" t="str">
        <f t="array" ref="E5393">IF(D5393="","",IF(D5393=1,0,INDEX(Calculation!Q$2:Q9627,D5393-1)))</f>
        <v/>
      </c>
      <c r="F5393" s="29" t="str">
        <f t="array" ref="F5393">IF($A5393="","",
  LET(
    r, $D5393,
    startD, INDEX(Calculation!B$2:B9627, r),
    endD,   INDEX(Calculation!C$2:C9627, r),
    asOf,   MIN($A5393,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94">
      <c r="A5394" s="28"/>
      <c r="B5394" s="29"/>
      <c r="C5394" s="29" t="str">
        <f t="shared" si="1"/>
        <v/>
      </c>
      <c r="D5394" s="6" t="str">
        <f>IF(A5394="","",MATCH(A5394,Calculation!B$2:B9627,1))</f>
        <v/>
      </c>
      <c r="E5394" s="29" t="str">
        <f t="array" ref="E5394">IF(D5394="","",IF(D5394=1,0,INDEX(Calculation!Q$2:Q9627,D5394-1)))</f>
        <v/>
      </c>
      <c r="F5394" s="29" t="str">
        <f t="array" ref="F5394">IF($A5394="","",
  LET(
    r, $D5394,
    startD, INDEX(Calculation!B$2:B9627, r),
    endD,   INDEX(Calculation!C$2:C9627, r),
    asOf,   MIN($A5394,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95">
      <c r="A5395" s="28"/>
      <c r="B5395" s="29"/>
      <c r="C5395" s="29" t="str">
        <f t="shared" si="1"/>
        <v/>
      </c>
      <c r="D5395" s="6" t="str">
        <f>IF(A5395="","",MATCH(A5395,Calculation!B$2:B9627,1))</f>
        <v/>
      </c>
      <c r="E5395" s="29" t="str">
        <f t="array" ref="E5395">IF(D5395="","",IF(D5395=1,0,INDEX(Calculation!Q$2:Q9627,D5395-1)))</f>
        <v/>
      </c>
      <c r="F5395" s="29" t="str">
        <f t="array" ref="F5395">IF($A5395="","",
  LET(
    r, $D5395,
    startD, INDEX(Calculation!B$2:B9627, r),
    endD,   INDEX(Calculation!C$2:C9627, r),
    asOf,   MIN($A5395,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96">
      <c r="A5396" s="28"/>
      <c r="B5396" s="29"/>
      <c r="C5396" s="29" t="str">
        <f t="shared" si="1"/>
        <v/>
      </c>
      <c r="D5396" s="6" t="str">
        <f>IF(A5396="","",MATCH(A5396,Calculation!B$2:B9627,1))</f>
        <v/>
      </c>
      <c r="E5396" s="29" t="str">
        <f t="array" ref="E5396">IF(D5396="","",IF(D5396=1,0,INDEX(Calculation!Q$2:Q9627,D5396-1)))</f>
        <v/>
      </c>
      <c r="F5396" s="29" t="str">
        <f t="array" ref="F5396">IF($A5396="","",
  LET(
    r, $D5396,
    startD, INDEX(Calculation!B$2:B9627, r),
    endD,   INDEX(Calculation!C$2:C9627, r),
    asOf,   MIN($A5396,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97">
      <c r="A5397" s="28"/>
      <c r="B5397" s="29"/>
      <c r="C5397" s="29" t="str">
        <f t="shared" si="1"/>
        <v/>
      </c>
      <c r="D5397" s="6" t="str">
        <f>IF(A5397="","",MATCH(A5397,Calculation!B$2:B9627,1))</f>
        <v/>
      </c>
      <c r="E5397" s="29" t="str">
        <f t="array" ref="E5397">IF(D5397="","",IF(D5397=1,0,INDEX(Calculation!Q$2:Q9627,D5397-1)))</f>
        <v/>
      </c>
      <c r="F5397" s="29" t="str">
        <f t="array" ref="F5397">IF($A5397="","",
  LET(
    r, $D5397,
    startD, INDEX(Calculation!B$2:B9627, r),
    endD,   INDEX(Calculation!C$2:C9627, r),
    asOf,   MIN($A5397,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98">
      <c r="A5398" s="28"/>
      <c r="B5398" s="29"/>
      <c r="C5398" s="29" t="str">
        <f t="shared" si="1"/>
        <v/>
      </c>
      <c r="D5398" s="6" t="str">
        <f>IF(A5398="","",MATCH(A5398,Calculation!B$2:B9627,1))</f>
        <v/>
      </c>
      <c r="E5398" s="29" t="str">
        <f t="array" ref="E5398">IF(D5398="","",IF(D5398=1,0,INDEX(Calculation!Q$2:Q9627,D5398-1)))</f>
        <v/>
      </c>
      <c r="F5398" s="29" t="str">
        <f t="array" ref="F5398">IF($A5398="","",
  LET(
    r, $D5398,
    startD, INDEX(Calculation!B$2:B9627, r),
    endD,   INDEX(Calculation!C$2:C9627, r),
    asOf,   MIN($A5398,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399">
      <c r="A5399" s="28"/>
      <c r="B5399" s="29"/>
      <c r="C5399" s="29" t="str">
        <f t="shared" si="1"/>
        <v/>
      </c>
      <c r="D5399" s="6" t="str">
        <f>IF(A5399="","",MATCH(A5399,Calculation!B$2:B9627,1))</f>
        <v/>
      </c>
      <c r="E5399" s="29" t="str">
        <f t="array" ref="E5399">IF(D5399="","",IF(D5399=1,0,INDEX(Calculation!Q$2:Q9627,D5399-1)))</f>
        <v/>
      </c>
      <c r="F5399" s="29" t="str">
        <f t="array" ref="F5399">IF($A5399="","",
  LET(
    r, $D5399,
    startD, INDEX(Calculation!B$2:B9627, r),
    endD,   INDEX(Calculation!C$2:C9627, r),
    asOf,   MIN($A5399,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400">
      <c r="A5400" s="28"/>
      <c r="B5400" s="29"/>
      <c r="C5400" s="29" t="str">
        <f t="shared" si="1"/>
        <v/>
      </c>
      <c r="D5400" s="6" t="str">
        <f>IF(A5400="","",MATCH(A5400,Calculation!B$2:B9627,1))</f>
        <v/>
      </c>
      <c r="E5400" s="29" t="str">
        <f t="array" ref="E5400">IF(D5400="","",IF(D5400=1,0,INDEX(Calculation!Q$2:Q9627,D5400-1)))</f>
        <v/>
      </c>
      <c r="F5400" s="29" t="str">
        <f t="array" ref="F5400">IF($A5400="","",
  LET(
    r, $D5400,
    startD, INDEX(Calculation!B$2:B9627, r),
    endD,   INDEX(Calculation!C$2:C9627, r),
    asOf,   MIN($A5400,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401">
      <c r="A5401" s="28"/>
      <c r="B5401" s="29"/>
      <c r="C5401" s="29" t="str">
        <f t="shared" si="1"/>
        <v/>
      </c>
      <c r="D5401" s="6" t="str">
        <f>IF(A5401="","",MATCH(A5401,Calculation!B$2:B9627,1))</f>
        <v/>
      </c>
      <c r="E5401" s="29" t="str">
        <f t="array" ref="E5401">IF(D5401="","",IF(D5401=1,0,INDEX(Calculation!Q$2:Q9627,D5401-1)))</f>
        <v/>
      </c>
      <c r="F5401" s="29" t="str">
        <f t="array" ref="F5401">IF($A5401="","",
  LET(
    r, $D5401,
    startD, INDEX(Calculation!B$2:B9627, r),
    endD,   INDEX(Calculation!C$2:C9627, r),
    asOf,   MIN($A5401,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402">
      <c r="A5402" s="28"/>
      <c r="B5402" s="29"/>
      <c r="C5402" s="29" t="str">
        <f t="shared" si="1"/>
        <v/>
      </c>
      <c r="D5402" s="6" t="str">
        <f>IF(A5402="","",MATCH(A5402,Calculation!B$2:B9627,1))</f>
        <v/>
      </c>
      <c r="E5402" s="29" t="str">
        <f t="array" ref="E5402">IF(D5402="","",IF(D5402=1,0,INDEX(Calculation!Q$2:Q9627,D5402-1)))</f>
        <v/>
      </c>
      <c r="F5402" s="29" t="str">
        <f t="array" ref="F5402">IF($A5402="","",
  LET(
    r, $D5402,
    startD, INDEX(Calculation!B$2:B9627, r),
    endD,   INDEX(Calculation!C$2:C9627, r),
    asOf,   MIN($A5402,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403">
      <c r="A5403" s="28"/>
      <c r="B5403" s="29"/>
      <c r="C5403" s="29" t="str">
        <f t="shared" si="1"/>
        <v/>
      </c>
      <c r="D5403" s="6" t="str">
        <f>IF(A5403="","",MATCH(A5403,Calculation!B$2:B9627,1))</f>
        <v/>
      </c>
      <c r="E5403" s="29" t="str">
        <f t="array" ref="E5403">IF(D5403="","",IF(D5403=1,0,INDEX(Calculation!Q$2:Q9627,D5403-1)))</f>
        <v/>
      </c>
      <c r="F5403" s="29" t="str">
        <f t="array" ref="F5403">IF($A5403="","",
  LET(
    r, $D5403,
    startD, INDEX(Calculation!B$2:B9627, r),
    endD,   INDEX(Calculation!C$2:C9627, r),
    asOf,   MIN($A5403,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404">
      <c r="A5404" s="28"/>
      <c r="B5404" s="29"/>
      <c r="C5404" s="29" t="str">
        <f t="shared" si="1"/>
        <v/>
      </c>
      <c r="D5404" s="6" t="str">
        <f>IF(A5404="","",MATCH(A5404,Calculation!B$2:B9627,1))</f>
        <v/>
      </c>
      <c r="E5404" s="29" t="str">
        <f t="array" ref="E5404">IF(D5404="","",IF(D5404=1,0,INDEX(Calculation!Q$2:Q9627,D5404-1)))</f>
        <v/>
      </c>
      <c r="F5404" s="29" t="str">
        <f t="array" ref="F5404">IF($A5404="","",
  LET(
    r, $D5404,
    startD, INDEX(Calculation!B$2:B9627, r),
    endD,   INDEX(Calculation!C$2:C9627, r),
    asOf,   MIN($A5404,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405">
      <c r="A5405" s="28"/>
      <c r="B5405" s="29"/>
      <c r="C5405" s="29" t="str">
        <f t="shared" si="1"/>
        <v/>
      </c>
      <c r="D5405" s="6" t="str">
        <f>IF(A5405="","",MATCH(A5405,Calculation!B$2:B9627,1))</f>
        <v/>
      </c>
      <c r="E5405" s="29" t="str">
        <f t="array" ref="E5405">IF(D5405="","",IF(D5405=1,0,INDEX(Calculation!Q$2:Q9627,D5405-1)))</f>
        <v/>
      </c>
      <c r="F5405" s="29" t="str">
        <f t="array" ref="F5405">IF($A5405="","",
  LET(
    r, $D5405,
    startD, INDEX(Calculation!B$2:B9627, r),
    endD,   INDEX(Calculation!C$2:C9627, r),
    asOf,   MIN($A5405,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406">
      <c r="A5406" s="28"/>
      <c r="B5406" s="29"/>
      <c r="C5406" s="29" t="str">
        <f t="shared" si="1"/>
        <v/>
      </c>
      <c r="D5406" s="6" t="str">
        <f>IF(A5406="","",MATCH(A5406,Calculation!B$2:B9627,1))</f>
        <v/>
      </c>
      <c r="E5406" s="29" t="str">
        <f t="array" ref="E5406">IF(D5406="","",IF(D5406=1,0,INDEX(Calculation!Q$2:Q9627,D5406-1)))</f>
        <v/>
      </c>
      <c r="F5406" s="29" t="str">
        <f t="array" ref="F5406">IF($A5406="","",
  LET(
    r, $D5406,
    startD, INDEX(Calculation!B$2:B9627, r),
    endD,   INDEX(Calculation!C$2:C9627, r),
    asOf,   MIN($A5406,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407">
      <c r="A5407" s="28"/>
      <c r="B5407" s="29"/>
      <c r="C5407" s="29" t="str">
        <f t="shared" si="1"/>
        <v/>
      </c>
      <c r="D5407" s="6" t="str">
        <f>IF(A5407="","",MATCH(A5407,Calculation!B$2:B9627,1))</f>
        <v/>
      </c>
      <c r="E5407" s="29" t="str">
        <f t="array" ref="E5407">IF(D5407="","",IF(D5407=1,0,INDEX(Calculation!Q$2:Q9627,D5407-1)))</f>
        <v/>
      </c>
      <c r="F5407" s="29" t="str">
        <f t="array" ref="F5407">IF($A5407="","",
  LET(
    r, $D5407,
    startD, INDEX(Calculation!B$2:B9627, r),
    endD,   INDEX(Calculation!C$2:C9627, r),
    asOf,   MIN($A5407,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408">
      <c r="A5408" s="28"/>
      <c r="B5408" s="29"/>
      <c r="C5408" s="29" t="str">
        <f t="shared" si="1"/>
        <v/>
      </c>
      <c r="D5408" s="6" t="str">
        <f>IF(A5408="","",MATCH(A5408,Calculation!B$2:B9627,1))</f>
        <v/>
      </c>
      <c r="E5408" s="29" t="str">
        <f t="array" ref="E5408">IF(D5408="","",IF(D5408=1,0,INDEX(Calculation!Q$2:Q9627,D5408-1)))</f>
        <v/>
      </c>
      <c r="F5408" s="29" t="str">
        <f t="array" ref="F5408">IF($A5408="","",
  LET(
    r, $D5408,
    startD, INDEX(Calculation!B$2:B9627, r),
    endD,   INDEX(Calculation!C$2:C9627, r),
    asOf,   MIN($A5408,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409">
      <c r="A5409" s="28"/>
      <c r="B5409" s="29"/>
      <c r="C5409" s="29" t="str">
        <f t="shared" si="1"/>
        <v/>
      </c>
      <c r="D5409" s="6" t="str">
        <f>IF(A5409="","",MATCH(A5409,Calculation!B$2:B9627,1))</f>
        <v/>
      </c>
      <c r="E5409" s="29" t="str">
        <f t="array" ref="E5409">IF(D5409="","",IF(D5409=1,0,INDEX(Calculation!Q$2:Q9627,D5409-1)))</f>
        <v/>
      </c>
      <c r="F5409" s="29" t="str">
        <f t="array" ref="F5409">IF($A5409="","",
  LET(
    r, $D5409,
    startD, INDEX(Calculation!B$2:B9627, r),
    endD,   INDEX(Calculation!C$2:C9627, r),
    asOf,   MIN($A5409,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410">
      <c r="A5410" s="28"/>
      <c r="B5410" s="29"/>
      <c r="C5410" s="29" t="str">
        <f t="shared" si="1"/>
        <v/>
      </c>
      <c r="D5410" s="6" t="str">
        <f>IF(A5410="","",MATCH(A5410,Calculation!B$2:B9627,1))</f>
        <v/>
      </c>
      <c r="E5410" s="29" t="str">
        <f t="array" ref="E5410">IF(D5410="","",IF(D5410=1,0,INDEX(Calculation!Q$2:Q9627,D5410-1)))</f>
        <v/>
      </c>
      <c r="F5410" s="29" t="str">
        <f t="array" ref="F5410">IF($A5410="","",
  LET(
    r, $D5410,
    startD, INDEX(Calculation!B$2:B9627, r),
    endD,   INDEX(Calculation!C$2:C9627, r),
    asOf,   MIN($A5410,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411">
      <c r="A5411" s="28"/>
      <c r="B5411" s="29"/>
      <c r="C5411" s="29" t="str">
        <f t="shared" si="1"/>
        <v/>
      </c>
      <c r="D5411" s="6" t="str">
        <f>IF(A5411="","",MATCH(A5411,Calculation!B$2:B9627,1))</f>
        <v/>
      </c>
      <c r="E5411" s="29" t="str">
        <f t="array" ref="E5411">IF(D5411="","",IF(D5411=1,0,INDEX(Calculation!Q$2:Q9627,D5411-1)))</f>
        <v/>
      </c>
      <c r="F5411" s="29" t="str">
        <f t="array" ref="F5411">IF($A5411="","",
  LET(
    r, $D5411,
    startD, INDEX(Calculation!B$2:B9627, r),
    endD,   INDEX(Calculation!C$2:C9627, r),
    asOf,   MIN($A5411,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412">
      <c r="A5412" s="28"/>
      <c r="B5412" s="29"/>
      <c r="C5412" s="29" t="str">
        <f t="shared" si="1"/>
        <v/>
      </c>
      <c r="D5412" s="6" t="str">
        <f>IF(A5412="","",MATCH(A5412,Calculation!B$2:B9627,1))</f>
        <v/>
      </c>
      <c r="E5412" s="29" t="str">
        <f t="array" ref="E5412">IF(D5412="","",IF(D5412=1,0,INDEX(Calculation!Q$2:Q9627,D5412-1)))</f>
        <v/>
      </c>
      <c r="F5412" s="29" t="str">
        <f t="array" ref="F5412">IF($A5412="","",
  LET(
    r, $D5412,
    startD, INDEX(Calculation!B$2:B9627, r),
    endD,   INDEX(Calculation!C$2:C9627, r),
    asOf,   MIN($A5412,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413">
      <c r="A5413" s="28"/>
      <c r="B5413" s="29"/>
      <c r="C5413" s="29" t="str">
        <f t="shared" si="1"/>
        <v/>
      </c>
      <c r="D5413" s="6" t="str">
        <f>IF(A5413="","",MATCH(A5413,Calculation!B$2:B9627,1))</f>
        <v/>
      </c>
      <c r="E5413" s="29" t="str">
        <f t="array" ref="E5413">IF(D5413="","",IF(D5413=1,0,INDEX(Calculation!Q$2:Q9627,D5413-1)))</f>
        <v/>
      </c>
      <c r="F5413" s="29" t="str">
        <f t="array" ref="F5413">IF($A5413="","",
  LET(
    r, $D5413,
    startD, INDEX(Calculation!B$2:B9627, r),
    endD,   INDEX(Calculation!C$2:C9627, r),
    asOf,   MIN($A5413,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414">
      <c r="A5414" s="28"/>
      <c r="B5414" s="29"/>
      <c r="C5414" s="29" t="str">
        <f t="shared" si="1"/>
        <v/>
      </c>
      <c r="D5414" s="6" t="str">
        <f>IF(A5414="","",MATCH(A5414,Calculation!B$2:B9627,1))</f>
        <v/>
      </c>
      <c r="E5414" s="29" t="str">
        <f t="array" ref="E5414">IF(D5414="","",IF(D5414=1,0,INDEX(Calculation!Q$2:Q9627,D5414-1)))</f>
        <v/>
      </c>
      <c r="F5414" s="29" t="str">
        <f t="array" ref="F5414">IF($A5414="","",
  LET(
    r, $D5414,
    startD, INDEX(Calculation!B$2:B9627, r),
    endD,   INDEX(Calculation!C$2:C9627, r),
    asOf,   MIN($A5414,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415">
      <c r="A5415" s="28"/>
      <c r="B5415" s="29"/>
      <c r="C5415" s="29" t="str">
        <f t="shared" si="1"/>
        <v/>
      </c>
      <c r="D5415" s="6" t="str">
        <f>IF(A5415="","",MATCH(A5415,Calculation!B$2:B9627,1))</f>
        <v/>
      </c>
      <c r="E5415" s="29" t="str">
        <f t="array" ref="E5415">IF(D5415="","",IF(D5415=1,0,INDEX(Calculation!Q$2:Q9627,D5415-1)))</f>
        <v/>
      </c>
      <c r="F5415" s="29" t="str">
        <f t="array" ref="F5415">IF($A5415="","",
  LET(
    r, $D5415,
    startD, INDEX(Calculation!B$2:B9627, r),
    endD,   INDEX(Calculation!C$2:C9627, r),
    asOf,   MIN($A5415,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416">
      <c r="A5416" s="28"/>
      <c r="B5416" s="29"/>
      <c r="C5416" s="29" t="str">
        <f t="shared" si="1"/>
        <v/>
      </c>
      <c r="D5416" s="6" t="str">
        <f>IF(A5416="","",MATCH(A5416,Calculation!B$2:B9627,1))</f>
        <v/>
      </c>
      <c r="E5416" s="29" t="str">
        <f t="array" ref="E5416">IF(D5416="","",IF(D5416=1,0,INDEX(Calculation!Q$2:Q9627,D5416-1)))</f>
        <v/>
      </c>
      <c r="F5416" s="29" t="str">
        <f t="array" ref="F5416">IF($A5416="","",
  LET(
    r, $D5416,
    startD, INDEX(Calculation!B$2:B9627, r),
    endD,   INDEX(Calculation!C$2:C9627, r),
    asOf,   MIN($A5416,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417">
      <c r="A5417" s="28"/>
      <c r="B5417" s="29"/>
      <c r="C5417" s="29" t="str">
        <f t="shared" si="1"/>
        <v/>
      </c>
      <c r="D5417" s="6" t="str">
        <f>IF(A5417="","",MATCH(A5417,Calculation!B$2:B9627,1))</f>
        <v/>
      </c>
      <c r="E5417" s="29" t="str">
        <f t="array" ref="E5417">IF(D5417="","",IF(D5417=1,0,INDEX(Calculation!Q$2:Q9627,D5417-1)))</f>
        <v/>
      </c>
      <c r="F5417" s="29" t="str">
        <f t="array" ref="F5417">IF($A5417="","",
  LET(
    r, $D5417,
    startD, INDEX(Calculation!B$2:B9627, r),
    endD,   INDEX(Calculation!C$2:C9627, r),
    asOf,   MIN($A5417,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418">
      <c r="A5418" s="28"/>
      <c r="B5418" s="29"/>
      <c r="C5418" s="29" t="str">
        <f t="shared" si="1"/>
        <v/>
      </c>
      <c r="D5418" s="6" t="str">
        <f>IF(A5418="","",MATCH(A5418,Calculation!B$2:B9627,1))</f>
        <v/>
      </c>
      <c r="E5418" s="29" t="str">
        <f t="array" ref="E5418">IF(D5418="","",IF(D5418=1,0,INDEX(Calculation!Q$2:Q9627,D5418-1)))</f>
        <v/>
      </c>
      <c r="F5418" s="29" t="str">
        <f t="array" ref="F5418">IF($A5418="","",
  LET(
    r, $D5418,
    startD, INDEX(Calculation!B$2:B9627, r),
    endD,   INDEX(Calculation!C$2:C9627, r),
    asOf,   MIN($A5418,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419">
      <c r="A5419" s="28"/>
      <c r="B5419" s="29"/>
      <c r="C5419" s="29" t="str">
        <f t="shared" si="1"/>
        <v/>
      </c>
      <c r="D5419" s="6" t="str">
        <f>IF(A5419="","",MATCH(A5419,Calculation!B$2:B9627,1))</f>
        <v/>
      </c>
      <c r="E5419" s="29" t="str">
        <f t="array" ref="E5419">IF(D5419="","",IF(D5419=1,0,INDEX(Calculation!Q$2:Q9627,D5419-1)))</f>
        <v/>
      </c>
      <c r="F5419" s="29" t="str">
        <f t="array" ref="F5419">IF($A5419="","",
  LET(
    r, $D5419,
    startD, INDEX(Calculation!B$2:B9627, r),
    endD,   INDEX(Calculation!C$2:C9627, r),
    asOf,   MIN($A5419,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420">
      <c r="A5420" s="28"/>
      <c r="B5420" s="29"/>
      <c r="C5420" s="29" t="str">
        <f t="shared" si="1"/>
        <v/>
      </c>
      <c r="D5420" s="6" t="str">
        <f>IF(A5420="","",MATCH(A5420,Calculation!B$2:B9627,1))</f>
        <v/>
      </c>
      <c r="E5420" s="29" t="str">
        <f t="array" ref="E5420">IF(D5420="","",IF(D5420=1,0,INDEX(Calculation!Q$2:Q9627,D5420-1)))</f>
        <v/>
      </c>
      <c r="F5420" s="29" t="str">
        <f t="array" ref="F5420">IF($A5420="","",
  LET(
    r, $D5420,
    startD, INDEX(Calculation!B$2:B9627, r),
    endD,   INDEX(Calculation!C$2:C9627, r),
    asOf,   MIN($A5420,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421">
      <c r="A5421" s="28"/>
      <c r="B5421" s="29"/>
      <c r="C5421" s="29" t="str">
        <f t="shared" si="1"/>
        <v/>
      </c>
      <c r="D5421" s="6" t="str">
        <f>IF(A5421="","",MATCH(A5421,Calculation!B$2:B9627,1))</f>
        <v/>
      </c>
      <c r="E5421" s="29" t="str">
        <f t="array" ref="E5421">IF(D5421="","",IF(D5421=1,0,INDEX(Calculation!Q$2:Q9627,D5421-1)))</f>
        <v/>
      </c>
      <c r="F5421" s="29" t="str">
        <f t="array" ref="F5421">IF($A5421="","",
  LET(
    r, $D5421,
    startD, INDEX(Calculation!B$2:B9627, r),
    endD,   INDEX(Calculation!C$2:C9627, r),
    asOf,   MIN($A5421,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422">
      <c r="A5422" s="28"/>
      <c r="B5422" s="29"/>
      <c r="C5422" s="29" t="str">
        <f t="shared" si="1"/>
        <v/>
      </c>
      <c r="D5422" s="6" t="str">
        <f>IF(A5422="","",MATCH(A5422,Calculation!B$2:B9627,1))</f>
        <v/>
      </c>
      <c r="E5422" s="29" t="str">
        <f t="array" ref="E5422">IF(D5422="","",IF(D5422=1,0,INDEX(Calculation!Q$2:Q9627,D5422-1)))</f>
        <v/>
      </c>
      <c r="F5422" s="29" t="str">
        <f t="array" ref="F5422">IF($A5422="","",
  LET(
    r, $D5422,
    startD, INDEX(Calculation!B$2:B9627, r),
    endD,   INDEX(Calculation!C$2:C9627, r),
    asOf,   MIN($A5422,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423">
      <c r="A5423" s="28"/>
      <c r="B5423" s="29"/>
      <c r="C5423" s="29" t="str">
        <f t="shared" si="1"/>
        <v/>
      </c>
      <c r="D5423" s="6" t="str">
        <f>IF(A5423="","",MATCH(A5423,Calculation!B$2:B9627,1))</f>
        <v/>
      </c>
      <c r="E5423" s="29" t="str">
        <f t="array" ref="E5423">IF(D5423="","",IF(D5423=1,0,INDEX(Calculation!Q$2:Q9627,D5423-1)))</f>
        <v/>
      </c>
      <c r="F5423" s="29" t="str">
        <f t="array" ref="F5423">IF($A5423="","",
  LET(
    r, $D5423,
    startD, INDEX(Calculation!B$2:B9627, r),
    endD,   INDEX(Calculation!C$2:C9627, r),
    asOf,   MIN($A5423,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424">
      <c r="A5424" s="28"/>
      <c r="B5424" s="29"/>
      <c r="C5424" s="29" t="str">
        <f t="shared" si="1"/>
        <v/>
      </c>
      <c r="D5424" s="6" t="str">
        <f>IF(A5424="","",MATCH(A5424,Calculation!B$2:B9627,1))</f>
        <v/>
      </c>
      <c r="E5424" s="29" t="str">
        <f t="array" ref="E5424">IF(D5424="","",IF(D5424=1,0,INDEX(Calculation!Q$2:Q9627,D5424-1)))</f>
        <v/>
      </c>
      <c r="F5424" s="29" t="str">
        <f t="array" ref="F5424">IF($A5424="","",
  LET(
    r, $D5424,
    startD, INDEX(Calculation!B$2:B9627, r),
    endD,   INDEX(Calculation!C$2:C9627, r),
    asOf,   MIN($A5424, endD),
    elapsedDays, MAX(0, asOf - startD + 1),
    typ, INDEX(Calculation!E$2:E9627, r),
    basis, INDEX(Calculation!K$2:K9627, r),
    annual, INDEX(Calculation!L$2:L9627, r),
    m, SWITCH(INDEX(Calculation!H$2:H9627, r),
        "Monthly",12,
        "Quarterly",4,
        "Semi-annual",2,
        "Annual",1,
        1
    ),
    base, IF(basis="Initial principal", Input!$C$2, INDEX(Calculation!N$2:N9627, r)),
    fullInterest, INDEX(Calculation!O$2:O9627, r),
    IF(
      typ="Simple",
      fullInterest * MAX(0, MIN(1, elapsedDays / INDEX(Calculation!D$2:D9627, r))),
      base * ( (1 + annual/m)^( m*(elapsedDays/365) ) - 1 )
    )
  )
)</f>
        <v/>
      </c>
    </row>
    <row r="5425">
      <c r="A5425" s="28"/>
      <c r="B5425" s="29"/>
      <c r="C5425" s="29"/>
      <c r="E5425" s="29"/>
      <c r="F5425" s="29"/>
    </row>
    <row r="5426">
      <c r="A5426" s="28"/>
      <c r="B5426" s="29"/>
      <c r="C5426" s="29"/>
      <c r="E5426" s="29"/>
      <c r="F5426" s="29"/>
    </row>
    <row r="5427">
      <c r="A5427" s="28"/>
      <c r="B5427" s="29"/>
      <c r="C5427" s="29"/>
      <c r="E5427" s="29"/>
      <c r="F5427" s="29"/>
    </row>
    <row r="5428">
      <c r="A5428" s="28"/>
      <c r="B5428" s="29"/>
      <c r="C5428" s="29"/>
      <c r="E5428" s="29"/>
      <c r="F5428" s="29"/>
    </row>
    <row r="5429">
      <c r="A5429" s="28"/>
      <c r="B5429" s="29"/>
      <c r="C5429" s="29"/>
      <c r="E5429" s="29"/>
      <c r="F5429" s="29"/>
    </row>
    <row r="5430">
      <c r="A5430" s="28"/>
      <c r="B5430" s="29"/>
      <c r="C5430" s="29"/>
      <c r="E5430" s="29"/>
      <c r="F5430" s="29"/>
    </row>
    <row r="5431">
      <c r="A5431" s="28"/>
      <c r="B5431" s="29"/>
      <c r="C5431" s="29"/>
      <c r="E5431" s="29"/>
      <c r="F5431" s="29"/>
    </row>
    <row r="5432">
      <c r="A5432" s="28"/>
      <c r="B5432" s="29"/>
      <c r="C5432" s="29"/>
      <c r="E5432" s="29"/>
      <c r="F5432" s="29"/>
    </row>
    <row r="5433">
      <c r="A5433" s="28"/>
      <c r="B5433" s="29"/>
      <c r="C5433" s="29"/>
      <c r="E5433" s="29"/>
      <c r="F5433" s="29"/>
    </row>
    <row r="5434">
      <c r="A5434" s="28"/>
      <c r="B5434" s="29"/>
      <c r="C5434" s="29"/>
      <c r="E5434" s="29"/>
      <c r="F5434" s="29"/>
    </row>
    <row r="5435">
      <c r="A5435" s="28"/>
      <c r="B5435" s="29"/>
      <c r="C5435" s="29"/>
      <c r="E5435" s="29"/>
      <c r="F5435" s="29"/>
    </row>
    <row r="5436">
      <c r="A5436" s="28"/>
      <c r="B5436" s="29"/>
      <c r="C5436" s="29"/>
      <c r="E5436" s="29"/>
      <c r="F5436" s="29"/>
    </row>
    <row r="5437">
      <c r="A5437" s="28"/>
      <c r="B5437" s="29"/>
      <c r="C5437" s="29"/>
      <c r="E5437" s="29"/>
      <c r="F5437" s="29"/>
    </row>
    <row r="5438">
      <c r="A5438" s="28"/>
      <c r="B5438" s="29"/>
      <c r="C5438" s="29"/>
      <c r="E5438" s="29"/>
      <c r="F5438" s="29"/>
    </row>
    <row r="5439">
      <c r="A5439" s="28"/>
      <c r="B5439" s="29"/>
      <c r="C5439" s="29"/>
      <c r="E5439" s="29"/>
      <c r="F5439" s="29"/>
    </row>
    <row r="5440">
      <c r="A5440" s="28"/>
      <c r="B5440" s="29"/>
      <c r="C5440" s="29"/>
      <c r="E5440" s="29"/>
      <c r="F5440" s="29"/>
    </row>
    <row r="5441">
      <c r="A5441" s="28"/>
      <c r="B5441" s="29"/>
      <c r="C5441" s="29"/>
      <c r="E5441" s="29"/>
      <c r="F5441" s="29"/>
    </row>
    <row r="5442">
      <c r="A5442" s="28"/>
      <c r="B5442" s="29"/>
      <c r="C5442" s="29"/>
      <c r="E5442" s="29"/>
      <c r="F5442" s="29"/>
    </row>
    <row r="5443">
      <c r="A5443" s="28"/>
      <c r="B5443" s="29"/>
      <c r="C5443" s="29"/>
      <c r="E5443" s="29"/>
      <c r="F5443" s="29"/>
    </row>
    <row r="5444">
      <c r="A5444" s="28"/>
      <c r="B5444" s="29"/>
      <c r="C5444" s="29"/>
      <c r="E5444" s="29"/>
      <c r="F5444" s="29"/>
    </row>
    <row r="5445">
      <c r="A5445" s="28"/>
      <c r="B5445" s="29"/>
      <c r="C5445" s="29"/>
      <c r="E5445" s="29"/>
      <c r="F5445" s="29"/>
    </row>
    <row r="5446">
      <c r="A5446" s="28"/>
      <c r="B5446" s="29"/>
      <c r="C5446" s="29"/>
      <c r="E5446" s="29"/>
      <c r="F5446" s="29"/>
    </row>
    <row r="5447">
      <c r="A5447" s="28"/>
      <c r="B5447" s="29"/>
      <c r="C5447" s="29"/>
      <c r="E5447" s="29"/>
      <c r="F5447" s="29"/>
    </row>
    <row r="5448">
      <c r="A5448" s="28"/>
      <c r="B5448" s="29"/>
      <c r="C5448" s="29"/>
      <c r="E5448" s="29"/>
      <c r="F5448" s="29"/>
    </row>
    <row r="5449">
      <c r="A5449" s="28"/>
      <c r="B5449" s="29"/>
      <c r="C5449" s="29"/>
      <c r="E5449" s="29"/>
      <c r="F5449" s="29"/>
    </row>
    <row r="5450">
      <c r="A5450" s="28"/>
      <c r="B5450" s="29"/>
      <c r="C5450" s="29"/>
      <c r="E5450" s="29"/>
      <c r="F5450" s="29"/>
    </row>
    <row r="5451">
      <c r="A5451" s="28"/>
      <c r="B5451" s="29"/>
      <c r="C5451" s="29"/>
      <c r="E5451" s="29"/>
      <c r="F5451" s="29"/>
    </row>
    <row r="5452">
      <c r="A5452" s="28"/>
      <c r="B5452" s="29"/>
      <c r="C5452" s="29"/>
      <c r="E5452" s="29"/>
      <c r="F5452" s="29"/>
    </row>
    <row r="5453">
      <c r="A5453" s="28"/>
      <c r="B5453" s="29"/>
      <c r="C5453" s="29"/>
      <c r="E5453" s="29"/>
      <c r="F5453" s="29"/>
    </row>
    <row r="5454">
      <c r="A5454" s="28"/>
      <c r="B5454" s="29"/>
      <c r="C5454" s="29"/>
      <c r="E5454" s="29"/>
      <c r="F5454" s="29"/>
    </row>
    <row r="5455">
      <c r="A5455" s="28"/>
      <c r="B5455" s="29"/>
      <c r="C5455" s="29"/>
      <c r="E5455" s="29"/>
      <c r="F5455" s="29"/>
    </row>
    <row r="5456">
      <c r="A5456" s="28"/>
      <c r="B5456" s="29"/>
      <c r="C5456" s="29"/>
      <c r="E5456" s="29"/>
      <c r="F5456" s="29"/>
    </row>
    <row r="5457">
      <c r="A5457" s="28"/>
      <c r="B5457" s="29"/>
      <c r="C5457" s="29"/>
      <c r="E5457" s="29"/>
      <c r="F5457" s="29"/>
    </row>
    <row r="5458">
      <c r="A5458" s="28"/>
      <c r="B5458" s="29"/>
      <c r="C5458" s="29"/>
      <c r="E5458" s="29"/>
      <c r="F5458" s="29"/>
    </row>
    <row r="5459">
      <c r="A5459" s="28"/>
      <c r="B5459" s="29"/>
      <c r="C5459" s="29"/>
      <c r="E5459" s="29"/>
      <c r="F5459" s="29"/>
    </row>
    <row r="5460">
      <c r="A5460" s="28"/>
      <c r="B5460" s="29"/>
      <c r="C5460" s="29"/>
      <c r="E5460" s="29"/>
      <c r="F5460" s="29"/>
    </row>
    <row r="5461">
      <c r="A5461" s="28"/>
      <c r="B5461" s="29"/>
      <c r="C5461" s="29"/>
      <c r="E5461" s="29"/>
      <c r="F5461" s="29"/>
    </row>
    <row r="5462">
      <c r="A5462" s="28"/>
      <c r="B5462" s="29"/>
      <c r="C5462" s="29"/>
      <c r="E5462" s="29"/>
      <c r="F5462" s="29"/>
    </row>
    <row r="5463">
      <c r="A5463" s="28"/>
      <c r="B5463" s="29"/>
      <c r="C5463" s="29"/>
      <c r="E5463" s="29"/>
      <c r="F5463" s="29"/>
    </row>
    <row r="5464">
      <c r="A5464" s="28"/>
      <c r="B5464" s="29"/>
      <c r="C5464" s="29"/>
      <c r="E5464" s="29"/>
      <c r="F5464" s="29"/>
    </row>
    <row r="5465">
      <c r="A5465" s="28"/>
      <c r="B5465" s="29"/>
      <c r="C5465" s="29"/>
      <c r="E5465" s="29"/>
      <c r="F5465" s="29"/>
    </row>
    <row r="5466">
      <c r="A5466" s="28"/>
      <c r="B5466" s="29"/>
      <c r="C5466" s="29"/>
      <c r="E5466" s="29"/>
      <c r="F5466" s="29"/>
    </row>
    <row r="5467">
      <c r="A5467" s="28"/>
      <c r="B5467" s="29"/>
      <c r="C5467" s="29"/>
      <c r="E5467" s="29"/>
      <c r="F5467" s="29"/>
    </row>
    <row r="5468">
      <c r="A5468" s="28"/>
      <c r="B5468" s="29"/>
      <c r="C5468" s="29"/>
      <c r="E5468" s="29"/>
      <c r="F5468" s="29"/>
    </row>
    <row r="5469">
      <c r="A5469" s="28"/>
      <c r="B5469" s="29"/>
      <c r="C5469" s="29"/>
      <c r="E5469" s="29"/>
      <c r="F5469" s="29"/>
    </row>
    <row r="5470">
      <c r="A5470" s="28"/>
      <c r="B5470" s="29"/>
      <c r="C5470" s="29"/>
      <c r="E5470" s="29"/>
      <c r="F5470" s="29"/>
    </row>
    <row r="5471">
      <c r="A5471" s="28"/>
      <c r="B5471" s="29"/>
      <c r="C5471" s="29"/>
      <c r="E5471" s="29"/>
      <c r="F5471" s="29"/>
    </row>
    <row r="5472">
      <c r="A5472" s="28"/>
      <c r="B5472" s="29"/>
      <c r="C5472" s="29"/>
      <c r="E5472" s="29"/>
      <c r="F5472" s="29"/>
    </row>
    <row r="5473">
      <c r="A5473" s="28"/>
      <c r="B5473" s="29"/>
      <c r="C5473" s="29"/>
      <c r="E5473" s="29"/>
      <c r="F5473" s="29"/>
    </row>
    <row r="5474">
      <c r="A5474" s="28"/>
      <c r="B5474" s="29"/>
      <c r="C5474" s="29"/>
      <c r="E5474" s="29"/>
      <c r="F5474" s="29"/>
    </row>
    <row r="5475">
      <c r="A5475" s="28"/>
      <c r="B5475" s="29"/>
      <c r="C5475" s="29"/>
      <c r="E5475" s="29"/>
      <c r="F5475" s="29"/>
    </row>
    <row r="5476">
      <c r="A5476" s="28"/>
      <c r="B5476" s="29"/>
      <c r="C5476" s="29"/>
      <c r="E5476" s="29"/>
      <c r="F5476" s="29"/>
    </row>
    <row r="5477">
      <c r="A5477" s="28"/>
      <c r="B5477" s="29"/>
      <c r="C5477" s="29"/>
      <c r="E5477" s="29"/>
      <c r="F5477" s="29"/>
    </row>
    <row r="5478">
      <c r="A5478" s="28"/>
      <c r="B5478" s="29"/>
      <c r="C5478" s="29"/>
      <c r="E5478" s="29"/>
      <c r="F5478" s="29"/>
    </row>
    <row r="5479">
      <c r="A5479" s="28"/>
      <c r="B5479" s="29"/>
      <c r="C5479" s="29"/>
      <c r="E5479" s="29"/>
      <c r="F5479" s="29"/>
    </row>
    <row r="5480">
      <c r="A5480" s="28"/>
      <c r="B5480" s="29"/>
      <c r="C5480" s="29"/>
      <c r="E5480" s="29"/>
      <c r="F5480" s="29"/>
    </row>
    <row r="5481">
      <c r="A5481" s="28"/>
      <c r="B5481" s="29"/>
      <c r="C5481" s="29"/>
      <c r="E5481" s="29"/>
      <c r="F5481" s="29"/>
    </row>
    <row r="5482">
      <c r="A5482" s="28"/>
      <c r="B5482" s="29"/>
      <c r="C5482" s="29"/>
      <c r="E5482" s="29"/>
      <c r="F5482" s="29"/>
    </row>
    <row r="5483">
      <c r="A5483" s="28"/>
      <c r="B5483" s="29"/>
      <c r="C5483" s="29"/>
      <c r="E5483" s="29"/>
      <c r="F5483" s="29"/>
    </row>
    <row r="5484">
      <c r="A5484" s="28"/>
      <c r="B5484" s="29"/>
      <c r="C5484" s="29"/>
      <c r="E5484" s="29"/>
      <c r="F5484" s="29"/>
    </row>
    <row r="5485">
      <c r="A5485" s="28"/>
      <c r="B5485" s="29"/>
      <c r="C5485" s="29"/>
      <c r="E5485" s="29"/>
      <c r="F5485" s="29"/>
    </row>
    <row r="5486">
      <c r="A5486" s="28"/>
      <c r="B5486" s="29"/>
      <c r="C5486" s="29"/>
      <c r="E5486" s="29"/>
      <c r="F5486" s="29"/>
    </row>
    <row r="5487">
      <c r="A5487" s="28"/>
      <c r="B5487" s="29"/>
      <c r="C5487" s="29"/>
      <c r="E5487" s="29"/>
      <c r="F5487" s="29"/>
    </row>
    <row r="5488">
      <c r="A5488" s="28"/>
      <c r="B5488" s="29"/>
      <c r="C5488" s="29"/>
      <c r="E5488" s="29"/>
      <c r="F5488" s="29"/>
    </row>
    <row r="5489">
      <c r="A5489" s="28"/>
      <c r="B5489" s="29"/>
      <c r="C5489" s="29"/>
      <c r="E5489" s="29"/>
      <c r="F5489" s="29"/>
    </row>
    <row r="5490">
      <c r="A5490" s="28"/>
      <c r="B5490" s="29"/>
      <c r="C5490" s="29"/>
      <c r="E5490" s="29"/>
      <c r="F5490" s="29"/>
    </row>
    <row r="5491">
      <c r="A5491" s="28"/>
      <c r="B5491" s="29"/>
      <c r="C5491" s="29"/>
      <c r="E5491" s="29"/>
      <c r="F5491" s="29"/>
    </row>
    <row r="5492">
      <c r="A5492" s="28"/>
      <c r="B5492" s="29"/>
      <c r="C5492" s="29"/>
      <c r="E5492" s="29"/>
      <c r="F5492" s="29"/>
    </row>
    <row r="5493">
      <c r="A5493" s="28"/>
      <c r="B5493" s="29"/>
      <c r="C5493" s="29"/>
      <c r="E5493" s="29"/>
      <c r="F5493" s="29"/>
    </row>
    <row r="5494">
      <c r="A5494" s="28"/>
      <c r="B5494" s="29"/>
      <c r="C5494" s="29"/>
      <c r="E5494" s="29"/>
      <c r="F5494" s="29"/>
    </row>
    <row r="5495">
      <c r="A5495" s="28"/>
      <c r="B5495" s="29"/>
      <c r="C5495" s="29"/>
      <c r="E5495" s="29"/>
      <c r="F5495" s="29"/>
    </row>
    <row r="5496">
      <c r="A5496" s="28"/>
      <c r="B5496" s="29"/>
      <c r="C5496" s="29"/>
      <c r="E5496" s="29"/>
      <c r="F5496" s="29"/>
    </row>
    <row r="5497">
      <c r="A5497" s="28"/>
      <c r="B5497" s="29"/>
      <c r="C5497" s="29"/>
      <c r="E5497" s="29"/>
      <c r="F5497" s="29"/>
    </row>
    <row r="5498">
      <c r="A5498" s="28"/>
      <c r="B5498" s="29"/>
      <c r="C5498" s="29"/>
      <c r="E5498" s="29"/>
      <c r="F5498" s="29"/>
    </row>
    <row r="5499">
      <c r="A5499" s="28"/>
      <c r="B5499" s="29"/>
      <c r="C5499" s="29"/>
      <c r="E5499" s="29"/>
      <c r="F5499" s="29"/>
    </row>
    <row r="5500">
      <c r="A5500" s="28"/>
      <c r="B5500" s="29"/>
      <c r="C5500" s="29"/>
      <c r="E5500" s="29"/>
      <c r="F5500" s="29"/>
    </row>
    <row r="5501">
      <c r="A5501" s="28"/>
      <c r="B5501" s="29"/>
      <c r="C5501" s="29"/>
      <c r="E5501" s="29"/>
      <c r="F5501" s="29"/>
    </row>
    <row r="5502">
      <c r="A5502" s="28"/>
      <c r="B5502" s="29"/>
      <c r="C5502" s="29"/>
      <c r="E5502" s="29"/>
      <c r="F5502" s="29"/>
    </row>
    <row r="5503">
      <c r="A5503" s="28"/>
      <c r="B5503" s="29"/>
      <c r="C5503" s="29"/>
      <c r="E5503" s="29"/>
      <c r="F5503" s="29"/>
    </row>
    <row r="5504">
      <c r="A5504" s="28"/>
      <c r="B5504" s="29"/>
      <c r="C5504" s="29"/>
      <c r="E5504" s="29"/>
      <c r="F5504" s="29"/>
    </row>
    <row r="5505">
      <c r="A5505" s="28"/>
      <c r="B5505" s="29"/>
      <c r="C5505" s="29"/>
      <c r="E5505" s="29"/>
      <c r="F5505" s="29"/>
    </row>
    <row r="5506">
      <c r="A5506" s="28"/>
      <c r="B5506" s="29"/>
      <c r="C5506" s="29"/>
      <c r="E5506" s="29"/>
      <c r="F5506" s="29"/>
    </row>
    <row r="5507">
      <c r="A5507" s="28"/>
      <c r="B5507" s="29"/>
      <c r="C5507" s="29"/>
      <c r="E5507" s="29"/>
      <c r="F5507" s="29"/>
    </row>
    <row r="5508">
      <c r="A5508" s="28"/>
      <c r="B5508" s="29"/>
      <c r="C5508" s="29"/>
      <c r="E5508" s="29"/>
      <c r="F5508" s="29"/>
    </row>
    <row r="5509">
      <c r="A5509" s="28"/>
      <c r="B5509" s="29"/>
      <c r="C5509" s="29"/>
      <c r="E5509" s="29"/>
      <c r="F5509" s="29"/>
    </row>
    <row r="5510">
      <c r="A5510" s="28"/>
      <c r="B5510" s="29"/>
      <c r="C5510" s="29"/>
      <c r="E5510" s="29"/>
      <c r="F5510" s="29"/>
    </row>
    <row r="5511">
      <c r="A5511" s="28"/>
      <c r="B5511" s="29"/>
      <c r="C5511" s="29"/>
      <c r="E5511" s="29"/>
      <c r="F5511" s="29"/>
    </row>
    <row r="5512">
      <c r="A5512" s="28"/>
      <c r="B5512" s="29"/>
      <c r="C5512" s="29"/>
      <c r="E5512" s="29"/>
      <c r="F5512" s="29"/>
    </row>
    <row r="5513">
      <c r="A5513" s="28"/>
      <c r="B5513" s="29"/>
      <c r="C5513" s="29"/>
      <c r="E5513" s="29"/>
      <c r="F5513" s="29"/>
    </row>
    <row r="5514">
      <c r="A5514" s="28"/>
      <c r="B5514" s="29"/>
      <c r="C5514" s="29"/>
      <c r="E5514" s="29"/>
      <c r="F5514" s="29"/>
    </row>
    <row r="5515">
      <c r="A5515" s="28"/>
      <c r="B5515" s="29"/>
      <c r="C5515" s="29"/>
      <c r="E5515" s="29"/>
      <c r="F5515" s="29"/>
    </row>
    <row r="5516">
      <c r="A5516" s="28"/>
      <c r="B5516" s="29"/>
      <c r="C5516" s="29"/>
      <c r="E5516" s="29"/>
      <c r="F5516" s="29"/>
    </row>
    <row r="5517">
      <c r="A5517" s="28"/>
      <c r="B5517" s="29"/>
      <c r="C5517" s="29"/>
      <c r="E5517" s="29"/>
      <c r="F5517" s="29"/>
    </row>
    <row r="5518">
      <c r="A5518" s="28"/>
      <c r="B5518" s="29"/>
      <c r="C5518" s="29"/>
      <c r="E5518" s="29"/>
      <c r="F5518" s="29"/>
    </row>
    <row r="5519">
      <c r="A5519" s="28"/>
      <c r="B5519" s="29"/>
      <c r="C5519" s="29"/>
      <c r="E5519" s="29"/>
      <c r="F5519" s="29"/>
    </row>
    <row r="5520">
      <c r="A5520" s="28"/>
      <c r="B5520" s="29"/>
      <c r="C5520" s="29"/>
      <c r="E5520" s="29"/>
      <c r="F5520" s="29"/>
    </row>
    <row r="5521">
      <c r="A5521" s="28"/>
      <c r="B5521" s="29"/>
      <c r="C5521" s="29"/>
      <c r="E5521" s="29"/>
      <c r="F5521" s="29"/>
    </row>
    <row r="5522">
      <c r="A5522" s="28"/>
      <c r="B5522" s="29"/>
      <c r="C5522" s="29"/>
      <c r="E5522" s="29"/>
      <c r="F5522" s="29"/>
    </row>
    <row r="5523">
      <c r="A5523" s="28"/>
      <c r="B5523" s="29"/>
      <c r="C5523" s="29"/>
      <c r="E5523" s="29"/>
      <c r="F5523" s="29"/>
    </row>
    <row r="5524">
      <c r="A5524" s="28"/>
      <c r="B5524" s="29"/>
      <c r="C5524" s="29"/>
      <c r="E5524" s="29"/>
      <c r="F5524" s="29"/>
    </row>
    <row r="5525">
      <c r="A5525" s="28"/>
      <c r="B5525" s="29"/>
      <c r="C5525" s="29"/>
      <c r="E5525" s="29"/>
      <c r="F5525" s="29"/>
    </row>
    <row r="5526">
      <c r="A5526" s="28"/>
      <c r="B5526" s="29"/>
      <c r="C5526" s="29"/>
      <c r="E5526" s="29"/>
      <c r="F5526" s="29"/>
    </row>
    <row r="5527">
      <c r="A5527" s="28"/>
      <c r="B5527" s="29"/>
      <c r="C5527" s="29"/>
      <c r="E5527" s="29"/>
      <c r="F5527" s="29"/>
    </row>
    <row r="5528">
      <c r="A5528" s="28"/>
      <c r="B5528" s="29"/>
      <c r="C5528" s="29"/>
      <c r="E5528" s="29"/>
      <c r="F5528" s="29"/>
    </row>
    <row r="5529">
      <c r="A5529" s="28"/>
      <c r="B5529" s="29"/>
      <c r="C5529" s="29"/>
      <c r="E5529" s="29"/>
      <c r="F5529" s="29"/>
    </row>
    <row r="5530">
      <c r="A5530" s="28"/>
      <c r="B5530" s="29"/>
      <c r="C5530" s="29"/>
      <c r="E5530" s="29"/>
      <c r="F5530" s="29"/>
    </row>
    <row r="5531">
      <c r="A5531" s="28"/>
      <c r="B5531" s="29"/>
      <c r="C5531" s="29"/>
      <c r="E5531" s="29"/>
      <c r="F5531" s="29"/>
    </row>
    <row r="5532">
      <c r="A5532" s="28"/>
      <c r="B5532" s="29"/>
      <c r="C5532" s="29"/>
      <c r="E5532" s="29"/>
      <c r="F5532" s="29"/>
    </row>
    <row r="5533">
      <c r="A5533" s="28"/>
      <c r="B5533" s="29"/>
      <c r="C5533" s="29"/>
      <c r="E5533" s="29"/>
      <c r="F5533" s="29"/>
    </row>
    <row r="5534">
      <c r="A5534" s="28"/>
      <c r="B5534" s="29"/>
      <c r="C5534" s="29"/>
      <c r="E5534" s="29"/>
      <c r="F5534" s="29"/>
    </row>
    <row r="5535">
      <c r="A5535" s="28"/>
      <c r="B5535" s="29"/>
      <c r="C5535" s="29"/>
      <c r="E5535" s="29"/>
      <c r="F5535" s="29"/>
    </row>
    <row r="5536">
      <c r="A5536" s="28"/>
      <c r="B5536" s="29"/>
      <c r="C5536" s="29"/>
      <c r="E5536" s="29"/>
      <c r="F5536" s="29"/>
    </row>
    <row r="5537">
      <c r="A5537" s="28"/>
      <c r="B5537" s="29"/>
      <c r="C5537" s="29"/>
      <c r="E5537" s="29"/>
      <c r="F5537" s="29"/>
    </row>
    <row r="5538">
      <c r="A5538" s="28"/>
      <c r="B5538" s="29"/>
      <c r="C5538" s="29"/>
      <c r="E5538" s="29"/>
      <c r="F5538" s="29"/>
    </row>
    <row r="5539">
      <c r="A5539" s="28"/>
      <c r="B5539" s="29"/>
      <c r="C5539" s="29"/>
      <c r="E5539" s="29"/>
      <c r="F5539" s="29"/>
    </row>
    <row r="5540">
      <c r="A5540" s="28"/>
      <c r="B5540" s="29"/>
      <c r="C5540" s="29"/>
      <c r="E5540" s="29"/>
      <c r="F5540" s="29"/>
    </row>
    <row r="5541">
      <c r="A5541" s="28"/>
      <c r="B5541" s="29"/>
      <c r="C5541" s="29"/>
      <c r="E5541" s="29"/>
      <c r="F5541" s="29"/>
    </row>
    <row r="5542">
      <c r="A5542" s="28"/>
      <c r="B5542" s="29"/>
      <c r="C5542" s="29"/>
      <c r="E5542" s="29"/>
      <c r="F5542" s="29"/>
    </row>
    <row r="5543">
      <c r="A5543" s="28"/>
      <c r="B5543" s="29"/>
      <c r="C5543" s="29"/>
      <c r="E5543" s="29"/>
      <c r="F5543" s="29"/>
    </row>
    <row r="5544">
      <c r="A5544" s="28"/>
      <c r="B5544" s="29"/>
      <c r="C5544" s="29"/>
      <c r="E5544" s="29"/>
      <c r="F5544" s="29"/>
    </row>
    <row r="5545">
      <c r="A5545" s="28"/>
      <c r="B5545" s="29"/>
      <c r="C5545" s="29"/>
      <c r="E5545" s="29"/>
      <c r="F5545" s="29"/>
    </row>
    <row r="5546">
      <c r="A5546" s="28"/>
      <c r="B5546" s="29"/>
      <c r="C5546" s="29"/>
      <c r="E5546" s="29"/>
      <c r="F5546" s="29"/>
    </row>
    <row r="5547">
      <c r="A5547" s="28"/>
      <c r="B5547" s="29"/>
      <c r="C5547" s="29"/>
      <c r="E5547" s="29"/>
      <c r="F5547" s="29"/>
    </row>
    <row r="5548">
      <c r="A5548" s="28"/>
      <c r="B5548" s="29"/>
      <c r="C5548" s="29"/>
      <c r="E5548" s="29"/>
      <c r="F5548" s="29"/>
    </row>
    <row r="5549">
      <c r="A5549" s="28"/>
      <c r="B5549" s="29"/>
      <c r="C5549" s="29"/>
      <c r="E5549" s="29"/>
      <c r="F5549" s="29"/>
    </row>
    <row r="5550">
      <c r="A5550" s="28"/>
      <c r="B5550" s="29"/>
      <c r="C5550" s="29"/>
      <c r="E5550" s="29"/>
      <c r="F5550" s="29"/>
    </row>
    <row r="5551">
      <c r="A5551" s="28"/>
      <c r="B5551" s="29"/>
      <c r="C5551" s="29"/>
      <c r="E5551" s="29"/>
      <c r="F5551" s="29"/>
    </row>
    <row r="5552">
      <c r="A5552" s="28"/>
      <c r="B5552" s="29"/>
      <c r="C5552" s="29"/>
      <c r="E5552" s="29"/>
      <c r="F5552" s="29"/>
    </row>
    <row r="5553">
      <c r="A5553" s="28"/>
      <c r="B5553" s="29"/>
      <c r="C5553" s="29"/>
      <c r="E5553" s="29"/>
      <c r="F5553" s="29"/>
    </row>
    <row r="5554">
      <c r="A5554" s="28"/>
      <c r="B5554" s="29"/>
      <c r="C5554" s="29"/>
      <c r="E5554" s="29"/>
      <c r="F5554" s="29"/>
    </row>
    <row r="5555">
      <c r="A5555" s="28"/>
      <c r="B5555" s="29"/>
      <c r="C5555" s="29"/>
      <c r="E5555" s="29"/>
      <c r="F5555" s="29"/>
    </row>
    <row r="5556">
      <c r="A5556" s="28"/>
      <c r="B5556" s="29"/>
      <c r="C5556" s="29"/>
      <c r="E5556" s="29"/>
      <c r="F5556" s="29"/>
    </row>
    <row r="5557">
      <c r="A5557" s="28"/>
      <c r="B5557" s="29"/>
      <c r="C5557" s="29"/>
      <c r="E5557" s="29"/>
      <c r="F5557" s="29"/>
    </row>
    <row r="5558">
      <c r="A5558" s="28"/>
      <c r="B5558" s="29"/>
      <c r="C5558" s="29"/>
      <c r="E5558" s="29"/>
      <c r="F5558" s="29"/>
    </row>
    <row r="5559">
      <c r="A5559" s="28"/>
      <c r="B5559" s="29"/>
      <c r="C5559" s="29"/>
      <c r="E5559" s="29"/>
      <c r="F5559" s="29"/>
    </row>
    <row r="5560">
      <c r="A5560" s="28"/>
      <c r="B5560" s="29"/>
      <c r="C5560" s="29"/>
      <c r="E5560" s="29"/>
      <c r="F5560" s="29"/>
    </row>
    <row r="5561">
      <c r="A5561" s="28"/>
      <c r="B5561" s="29"/>
      <c r="C5561" s="29"/>
      <c r="E5561" s="29"/>
      <c r="F5561" s="29"/>
    </row>
    <row r="5562">
      <c r="A5562" s="28"/>
      <c r="B5562" s="29"/>
      <c r="C5562" s="29"/>
      <c r="E5562" s="29"/>
      <c r="F5562" s="29"/>
    </row>
    <row r="5563">
      <c r="A5563" s="28"/>
      <c r="B5563" s="29"/>
      <c r="C5563" s="29"/>
      <c r="E5563" s="29"/>
      <c r="F5563" s="29"/>
    </row>
    <row r="5564">
      <c r="A5564" s="28"/>
      <c r="B5564" s="29"/>
      <c r="C5564" s="29"/>
      <c r="E5564" s="29"/>
      <c r="F5564" s="29"/>
    </row>
    <row r="5565">
      <c r="A5565" s="28"/>
      <c r="B5565" s="29"/>
      <c r="C5565" s="29"/>
      <c r="E5565" s="29"/>
      <c r="F5565" s="29"/>
    </row>
    <row r="5566">
      <c r="A5566" s="28"/>
      <c r="B5566" s="29"/>
      <c r="C5566" s="29"/>
      <c r="E5566" s="29"/>
      <c r="F5566" s="29"/>
    </row>
    <row r="5567">
      <c r="A5567" s="28"/>
      <c r="B5567" s="29"/>
      <c r="C5567" s="29"/>
      <c r="E5567" s="29"/>
      <c r="F5567" s="29"/>
    </row>
    <row r="5568">
      <c r="A5568" s="28"/>
      <c r="B5568" s="29"/>
      <c r="C5568" s="29"/>
      <c r="E5568" s="29"/>
      <c r="F5568" s="29"/>
    </row>
    <row r="5569">
      <c r="A5569" s="28"/>
      <c r="B5569" s="29"/>
      <c r="C5569" s="29"/>
      <c r="E5569" s="29"/>
      <c r="F5569" s="29"/>
    </row>
    <row r="5570">
      <c r="A5570" s="28"/>
      <c r="B5570" s="29"/>
      <c r="C5570" s="29"/>
      <c r="E5570" s="29"/>
      <c r="F5570" s="29"/>
    </row>
    <row r="5571">
      <c r="A5571" s="28"/>
      <c r="B5571" s="29"/>
      <c r="C5571" s="29"/>
      <c r="E5571" s="29"/>
      <c r="F5571" s="29"/>
    </row>
    <row r="5572">
      <c r="A5572" s="28"/>
      <c r="B5572" s="29"/>
      <c r="C5572" s="29"/>
      <c r="E5572" s="29"/>
      <c r="F5572" s="29"/>
    </row>
    <row r="5573">
      <c r="A5573" s="28"/>
      <c r="B5573" s="29"/>
      <c r="C5573" s="29"/>
      <c r="E5573" s="29"/>
      <c r="F5573" s="29"/>
    </row>
    <row r="5574">
      <c r="A5574" s="28"/>
      <c r="B5574" s="29"/>
      <c r="C5574" s="29"/>
      <c r="E5574" s="29"/>
      <c r="F5574" s="29"/>
    </row>
    <row r="5575">
      <c r="A5575" s="28"/>
      <c r="B5575" s="29"/>
      <c r="C5575" s="29"/>
      <c r="E5575" s="29"/>
      <c r="F5575" s="29"/>
    </row>
    <row r="5576">
      <c r="A5576" s="28"/>
      <c r="B5576" s="29"/>
      <c r="C5576" s="29"/>
      <c r="E5576" s="29"/>
      <c r="F5576" s="29"/>
    </row>
    <row r="5577">
      <c r="A5577" s="28"/>
      <c r="B5577" s="29"/>
      <c r="C5577" s="29"/>
      <c r="E5577" s="29"/>
      <c r="F5577" s="29"/>
    </row>
    <row r="5578">
      <c r="A5578" s="28"/>
      <c r="B5578" s="29"/>
      <c r="C5578" s="29"/>
      <c r="E5578" s="29"/>
      <c r="F5578" s="29"/>
    </row>
    <row r="5579">
      <c r="A5579" s="28"/>
      <c r="B5579" s="29"/>
      <c r="C5579" s="29"/>
      <c r="E5579" s="29"/>
      <c r="F5579" s="29"/>
    </row>
    <row r="5580">
      <c r="A5580" s="28"/>
      <c r="B5580" s="29"/>
      <c r="C5580" s="29"/>
      <c r="E5580" s="29"/>
      <c r="F5580" s="29"/>
    </row>
    <row r="5581">
      <c r="A5581" s="28"/>
      <c r="B5581" s="29"/>
      <c r="C5581" s="29"/>
      <c r="E5581" s="29"/>
      <c r="F5581" s="29"/>
    </row>
    <row r="5582">
      <c r="A5582" s="28"/>
      <c r="B5582" s="29"/>
      <c r="C5582" s="29"/>
      <c r="E5582" s="29"/>
      <c r="F5582" s="29"/>
    </row>
    <row r="5583">
      <c r="A5583" s="28"/>
      <c r="B5583" s="29"/>
      <c r="C5583" s="29"/>
      <c r="E5583" s="29"/>
      <c r="F5583" s="29"/>
    </row>
    <row r="5584">
      <c r="A5584" s="28"/>
      <c r="B5584" s="29"/>
      <c r="C5584" s="29"/>
      <c r="E5584" s="29"/>
      <c r="F5584" s="29"/>
    </row>
    <row r="5585">
      <c r="A5585" s="28"/>
      <c r="B5585" s="29"/>
      <c r="C5585" s="29"/>
      <c r="E5585" s="29"/>
      <c r="F5585" s="29"/>
    </row>
    <row r="5586">
      <c r="A5586" s="28"/>
      <c r="B5586" s="29"/>
      <c r="C5586" s="29"/>
      <c r="E5586" s="29"/>
      <c r="F5586" s="29"/>
    </row>
    <row r="5587">
      <c r="A5587" s="28"/>
      <c r="B5587" s="29"/>
      <c r="C5587" s="29"/>
      <c r="E5587" s="29"/>
      <c r="F5587" s="29"/>
    </row>
    <row r="5588">
      <c r="A5588" s="28"/>
      <c r="B5588" s="29"/>
      <c r="C5588" s="29"/>
      <c r="E5588" s="29"/>
      <c r="F5588" s="29"/>
    </row>
    <row r="5589">
      <c r="A5589" s="28"/>
      <c r="B5589" s="29"/>
      <c r="C5589" s="29"/>
      <c r="E5589" s="29"/>
      <c r="F5589" s="29"/>
    </row>
    <row r="5590">
      <c r="A5590" s="28"/>
      <c r="B5590" s="29"/>
      <c r="C5590" s="29"/>
      <c r="E5590" s="29"/>
      <c r="F5590" s="29"/>
    </row>
    <row r="5591">
      <c r="A5591" s="28"/>
      <c r="B5591" s="29"/>
      <c r="C5591" s="29"/>
      <c r="E5591" s="29"/>
      <c r="F5591" s="29"/>
    </row>
    <row r="5592">
      <c r="A5592" s="28"/>
      <c r="B5592" s="29"/>
      <c r="C5592" s="29"/>
      <c r="E5592" s="29"/>
      <c r="F5592" s="29"/>
    </row>
    <row r="5593">
      <c r="A5593" s="28"/>
      <c r="B5593" s="29"/>
      <c r="C5593" s="29"/>
      <c r="E5593" s="29"/>
      <c r="F5593" s="29"/>
    </row>
    <row r="5594">
      <c r="A5594" s="28"/>
      <c r="B5594" s="29"/>
      <c r="C5594" s="29"/>
      <c r="E5594" s="29"/>
      <c r="F5594" s="29"/>
    </row>
    <row r="5595">
      <c r="A5595" s="28"/>
      <c r="B5595" s="29"/>
      <c r="C5595" s="29"/>
      <c r="E5595" s="29"/>
      <c r="F5595" s="29"/>
    </row>
    <row r="5596">
      <c r="A5596" s="28"/>
      <c r="B5596" s="29"/>
      <c r="C5596" s="29"/>
      <c r="E5596" s="29"/>
      <c r="F5596" s="29"/>
    </row>
    <row r="5597">
      <c r="A5597" s="28"/>
      <c r="B5597" s="29"/>
      <c r="C5597" s="29"/>
      <c r="E5597" s="29"/>
      <c r="F5597" s="29"/>
    </row>
    <row r="5598">
      <c r="A5598" s="28"/>
      <c r="B5598" s="29"/>
      <c r="C5598" s="29"/>
      <c r="E5598" s="29"/>
      <c r="F5598" s="29"/>
    </row>
    <row r="5599">
      <c r="A5599" s="28"/>
      <c r="B5599" s="29"/>
      <c r="C5599" s="29"/>
      <c r="E5599" s="29"/>
      <c r="F5599" s="29"/>
    </row>
    <row r="5600">
      <c r="A5600" s="28"/>
      <c r="B5600" s="29"/>
      <c r="C5600" s="29"/>
      <c r="E5600" s="29"/>
      <c r="F5600" s="29"/>
    </row>
    <row r="5601">
      <c r="A5601" s="28"/>
      <c r="B5601" s="29"/>
      <c r="C5601" s="29"/>
      <c r="E5601" s="29"/>
      <c r="F5601" s="29"/>
    </row>
    <row r="5602">
      <c r="A5602" s="28"/>
      <c r="B5602" s="29"/>
      <c r="C5602" s="29"/>
      <c r="E5602" s="29"/>
      <c r="F5602" s="29"/>
    </row>
    <row r="5603">
      <c r="A5603" s="28"/>
      <c r="B5603" s="29"/>
      <c r="C5603" s="29"/>
      <c r="E5603" s="29"/>
      <c r="F5603" s="29"/>
    </row>
    <row r="5604">
      <c r="A5604" s="28"/>
      <c r="B5604" s="29"/>
      <c r="C5604" s="29"/>
      <c r="E5604" s="29"/>
      <c r="F5604" s="29"/>
    </row>
    <row r="5605">
      <c r="A5605" s="28"/>
      <c r="B5605" s="29"/>
      <c r="C5605" s="29"/>
      <c r="E5605" s="29"/>
      <c r="F5605" s="29"/>
    </row>
    <row r="5606">
      <c r="A5606" s="28"/>
      <c r="B5606" s="29"/>
      <c r="C5606" s="29"/>
      <c r="E5606" s="29"/>
      <c r="F5606" s="29"/>
    </row>
    <row r="5607">
      <c r="A5607" s="28"/>
      <c r="B5607" s="29"/>
      <c r="C5607" s="29"/>
      <c r="E5607" s="29"/>
      <c r="F5607" s="29"/>
    </row>
    <row r="5608">
      <c r="A5608" s="28"/>
      <c r="B5608" s="29"/>
      <c r="C5608" s="29"/>
      <c r="E5608" s="29"/>
      <c r="F5608" s="29"/>
    </row>
    <row r="5609">
      <c r="A5609" s="28"/>
      <c r="B5609" s="29"/>
      <c r="C5609" s="29"/>
      <c r="E5609" s="29"/>
      <c r="F5609" s="29"/>
    </row>
    <row r="5610">
      <c r="A5610" s="28"/>
      <c r="B5610" s="29"/>
      <c r="C5610" s="29"/>
      <c r="E5610" s="29"/>
      <c r="F5610" s="29"/>
    </row>
    <row r="5611">
      <c r="A5611" s="28"/>
      <c r="B5611" s="29"/>
      <c r="C5611" s="29"/>
      <c r="E5611" s="29"/>
      <c r="F5611" s="29"/>
    </row>
    <row r="5612">
      <c r="A5612" s="28"/>
      <c r="B5612" s="29"/>
      <c r="C5612" s="29"/>
      <c r="E5612" s="29"/>
      <c r="F5612" s="29"/>
    </row>
    <row r="5613">
      <c r="A5613" s="28"/>
      <c r="B5613" s="29"/>
      <c r="C5613" s="29"/>
      <c r="E5613" s="29"/>
      <c r="F5613" s="29"/>
    </row>
    <row r="5614">
      <c r="A5614" s="28"/>
      <c r="B5614" s="29"/>
      <c r="C5614" s="29"/>
      <c r="E5614" s="29"/>
      <c r="F5614" s="29"/>
    </row>
    <row r="5615">
      <c r="A5615" s="28"/>
      <c r="B5615" s="29"/>
      <c r="C5615" s="29"/>
      <c r="E5615" s="29"/>
      <c r="F5615" s="29"/>
    </row>
    <row r="5616">
      <c r="A5616" s="28"/>
      <c r="B5616" s="29"/>
      <c r="C5616" s="29"/>
      <c r="E5616" s="29"/>
      <c r="F5616" s="29"/>
    </row>
    <row r="5617">
      <c r="A5617" s="28"/>
      <c r="B5617" s="29"/>
      <c r="C5617" s="29"/>
      <c r="E5617" s="29"/>
      <c r="F5617" s="29"/>
    </row>
    <row r="5618">
      <c r="A5618" s="28"/>
      <c r="B5618" s="29"/>
      <c r="C5618" s="29"/>
      <c r="E5618" s="29"/>
      <c r="F5618" s="29"/>
    </row>
    <row r="5619">
      <c r="A5619" s="28"/>
      <c r="B5619" s="29"/>
      <c r="C5619" s="29"/>
      <c r="E5619" s="29"/>
      <c r="F5619" s="29"/>
    </row>
    <row r="5620">
      <c r="A5620" s="28"/>
      <c r="B5620" s="29"/>
      <c r="C5620" s="29"/>
      <c r="E5620" s="29"/>
      <c r="F5620" s="29"/>
    </row>
    <row r="5621">
      <c r="A5621" s="28"/>
      <c r="B5621" s="29"/>
      <c r="C5621" s="29"/>
      <c r="E5621" s="29"/>
      <c r="F5621" s="29"/>
    </row>
    <row r="5622">
      <c r="A5622" s="28"/>
      <c r="B5622" s="29"/>
      <c r="C5622" s="29"/>
      <c r="E5622" s="29"/>
      <c r="F5622" s="29"/>
    </row>
    <row r="5623">
      <c r="A5623" s="28"/>
      <c r="B5623" s="29"/>
      <c r="C5623" s="29"/>
      <c r="E5623" s="29"/>
      <c r="F5623" s="29"/>
    </row>
    <row r="5624">
      <c r="A5624" s="28"/>
      <c r="B5624" s="29"/>
      <c r="C5624" s="29"/>
      <c r="E5624" s="29"/>
      <c r="F5624" s="29"/>
    </row>
    <row r="5625">
      <c r="A5625" s="28"/>
      <c r="B5625" s="29"/>
      <c r="C5625" s="29"/>
      <c r="E5625" s="29"/>
      <c r="F5625" s="29"/>
    </row>
    <row r="5626">
      <c r="A5626" s="28"/>
      <c r="B5626" s="29"/>
      <c r="C5626" s="29"/>
      <c r="E5626" s="29"/>
      <c r="F5626" s="29"/>
    </row>
    <row r="5627">
      <c r="A5627" s="28"/>
      <c r="B5627" s="29"/>
      <c r="C5627" s="29"/>
      <c r="E5627" s="29"/>
      <c r="F5627" s="29"/>
    </row>
    <row r="5628">
      <c r="A5628" s="28"/>
      <c r="B5628" s="29"/>
      <c r="C5628" s="29"/>
      <c r="E5628" s="29"/>
      <c r="F5628" s="29"/>
    </row>
    <row r="5629">
      <c r="A5629" s="28"/>
      <c r="B5629" s="29"/>
      <c r="C5629" s="29"/>
      <c r="E5629" s="29"/>
      <c r="F5629" s="29"/>
    </row>
    <row r="5630">
      <c r="A5630" s="28"/>
      <c r="B5630" s="29"/>
      <c r="C5630" s="29"/>
      <c r="E5630" s="29"/>
      <c r="F5630" s="29"/>
    </row>
    <row r="5631">
      <c r="A5631" s="28"/>
      <c r="B5631" s="29"/>
      <c r="C5631" s="29"/>
      <c r="E5631" s="29"/>
      <c r="F5631" s="29"/>
    </row>
    <row r="5632">
      <c r="A5632" s="28"/>
      <c r="B5632" s="29"/>
      <c r="C5632" s="29"/>
      <c r="E5632" s="29"/>
      <c r="F5632" s="29"/>
    </row>
    <row r="5633">
      <c r="A5633" s="28"/>
      <c r="B5633" s="29"/>
      <c r="C5633" s="29"/>
      <c r="E5633" s="29"/>
      <c r="F5633" s="29"/>
    </row>
    <row r="5634">
      <c r="A5634" s="28"/>
      <c r="B5634" s="29"/>
      <c r="C5634" s="29"/>
      <c r="E5634" s="29"/>
      <c r="F5634" s="29"/>
    </row>
    <row r="5635">
      <c r="A5635" s="28"/>
      <c r="B5635" s="29"/>
      <c r="C5635" s="29"/>
      <c r="E5635" s="29"/>
      <c r="F5635" s="29"/>
    </row>
    <row r="5636">
      <c r="A5636" s="28"/>
      <c r="B5636" s="29"/>
      <c r="C5636" s="29"/>
      <c r="E5636" s="29"/>
      <c r="F5636" s="29"/>
    </row>
    <row r="5637">
      <c r="A5637" s="28"/>
      <c r="B5637" s="29"/>
      <c r="C5637" s="29"/>
      <c r="E5637" s="29"/>
      <c r="F5637" s="29"/>
    </row>
    <row r="5638">
      <c r="A5638" s="28"/>
      <c r="B5638" s="29"/>
      <c r="C5638" s="29"/>
      <c r="E5638" s="29"/>
      <c r="F5638" s="29"/>
    </row>
    <row r="5639">
      <c r="A5639" s="28"/>
      <c r="B5639" s="29"/>
      <c r="C5639" s="29"/>
      <c r="E5639" s="29"/>
      <c r="F5639" s="29"/>
    </row>
    <row r="5640">
      <c r="A5640" s="28"/>
      <c r="B5640" s="29"/>
      <c r="C5640" s="29"/>
      <c r="E5640" s="29"/>
      <c r="F5640" s="29"/>
    </row>
    <row r="5641">
      <c r="A5641" s="28"/>
      <c r="B5641" s="29"/>
      <c r="C5641" s="29"/>
      <c r="E5641" s="29"/>
      <c r="F5641" s="29"/>
    </row>
    <row r="5642">
      <c r="A5642" s="28"/>
      <c r="B5642" s="29"/>
      <c r="C5642" s="29"/>
      <c r="E5642" s="29"/>
      <c r="F5642" s="29"/>
    </row>
    <row r="5643">
      <c r="A5643" s="28"/>
      <c r="B5643" s="29"/>
      <c r="C5643" s="29"/>
      <c r="E5643" s="29"/>
      <c r="F5643" s="29"/>
    </row>
    <row r="5644">
      <c r="A5644" s="28"/>
      <c r="B5644" s="29"/>
      <c r="C5644" s="29"/>
      <c r="E5644" s="29"/>
      <c r="F5644" s="29"/>
    </row>
    <row r="5645">
      <c r="A5645" s="28"/>
      <c r="B5645" s="29"/>
      <c r="C5645" s="29"/>
      <c r="E5645" s="29"/>
      <c r="F5645" s="29"/>
    </row>
    <row r="5646">
      <c r="A5646" s="28"/>
      <c r="B5646" s="29"/>
      <c r="C5646" s="29"/>
      <c r="E5646" s="29"/>
      <c r="F5646" s="29"/>
    </row>
    <row r="5647">
      <c r="A5647" s="28"/>
      <c r="B5647" s="29"/>
      <c r="C5647" s="29"/>
      <c r="E5647" s="29"/>
      <c r="F5647" s="29"/>
    </row>
    <row r="5648">
      <c r="A5648" s="28"/>
      <c r="B5648" s="29"/>
      <c r="C5648" s="29"/>
      <c r="E5648" s="29"/>
      <c r="F5648" s="29"/>
    </row>
    <row r="5649">
      <c r="A5649" s="28"/>
      <c r="B5649" s="29"/>
      <c r="C5649" s="29"/>
      <c r="E5649" s="29"/>
      <c r="F5649" s="29"/>
    </row>
    <row r="5650">
      <c r="A5650" s="28"/>
      <c r="B5650" s="29"/>
      <c r="C5650" s="29"/>
      <c r="E5650" s="29"/>
      <c r="F5650" s="29"/>
    </row>
    <row r="5651">
      <c r="A5651" s="28"/>
      <c r="B5651" s="29"/>
      <c r="C5651" s="29"/>
      <c r="E5651" s="29"/>
      <c r="F5651" s="29"/>
    </row>
    <row r="5652">
      <c r="A5652" s="28"/>
      <c r="B5652" s="29"/>
      <c r="C5652" s="29"/>
      <c r="E5652" s="29"/>
      <c r="F5652" s="29"/>
    </row>
    <row r="5653">
      <c r="A5653" s="28"/>
      <c r="B5653" s="29"/>
      <c r="C5653" s="29"/>
      <c r="E5653" s="29"/>
      <c r="F5653" s="29"/>
    </row>
    <row r="5654">
      <c r="A5654" s="28"/>
      <c r="B5654" s="29"/>
      <c r="C5654" s="29"/>
      <c r="E5654" s="29"/>
      <c r="F5654" s="29"/>
    </row>
    <row r="5655">
      <c r="A5655" s="28"/>
      <c r="B5655" s="29"/>
      <c r="C5655" s="29"/>
      <c r="E5655" s="29"/>
      <c r="F5655" s="29"/>
    </row>
    <row r="5656">
      <c r="A5656" s="28"/>
      <c r="B5656" s="29"/>
      <c r="C5656" s="29"/>
      <c r="E5656" s="29"/>
      <c r="F5656" s="29"/>
    </row>
    <row r="5657">
      <c r="A5657" s="28"/>
      <c r="B5657" s="29"/>
      <c r="C5657" s="29"/>
      <c r="E5657" s="29"/>
      <c r="F5657" s="29"/>
    </row>
    <row r="5658">
      <c r="A5658" s="28"/>
      <c r="B5658" s="29"/>
      <c r="C5658" s="29"/>
      <c r="E5658" s="29"/>
      <c r="F5658" s="29"/>
    </row>
    <row r="5659">
      <c r="A5659" s="28"/>
      <c r="B5659" s="29"/>
      <c r="C5659" s="29"/>
      <c r="E5659" s="29"/>
      <c r="F5659" s="29"/>
    </row>
    <row r="5660">
      <c r="A5660" s="28"/>
      <c r="B5660" s="29"/>
      <c r="C5660" s="29"/>
      <c r="E5660" s="29"/>
      <c r="F5660" s="29"/>
    </row>
    <row r="5661">
      <c r="A5661" s="28"/>
      <c r="B5661" s="29"/>
      <c r="C5661" s="29"/>
      <c r="E5661" s="29"/>
      <c r="F5661" s="29"/>
    </row>
    <row r="5662">
      <c r="A5662" s="28"/>
      <c r="B5662" s="29"/>
      <c r="C5662" s="29"/>
      <c r="E5662" s="29"/>
      <c r="F5662" s="29"/>
    </row>
    <row r="5663">
      <c r="A5663" s="28"/>
      <c r="B5663" s="29"/>
      <c r="C5663" s="29"/>
      <c r="E5663" s="29"/>
      <c r="F5663" s="29"/>
    </row>
    <row r="5664">
      <c r="A5664" s="28"/>
      <c r="B5664" s="29"/>
      <c r="C5664" s="29"/>
      <c r="E5664" s="29"/>
      <c r="F5664" s="29"/>
    </row>
    <row r="5665">
      <c r="A5665" s="28"/>
      <c r="B5665" s="29"/>
      <c r="C5665" s="29"/>
      <c r="E5665" s="29"/>
      <c r="F5665" s="29"/>
    </row>
    <row r="5666">
      <c r="A5666" s="28"/>
      <c r="B5666" s="29"/>
      <c r="C5666" s="29"/>
      <c r="E5666" s="29"/>
      <c r="F5666" s="29"/>
    </row>
    <row r="5667">
      <c r="A5667" s="28"/>
      <c r="B5667" s="29"/>
      <c r="C5667" s="29"/>
      <c r="E5667" s="29"/>
      <c r="F5667" s="29"/>
    </row>
    <row r="5668">
      <c r="A5668" s="28"/>
      <c r="B5668" s="29"/>
      <c r="C5668" s="29"/>
      <c r="E5668" s="29"/>
      <c r="F5668" s="29"/>
    </row>
    <row r="5669">
      <c r="A5669" s="28"/>
      <c r="B5669" s="29"/>
      <c r="C5669" s="29"/>
      <c r="E5669" s="29"/>
      <c r="F5669" s="29"/>
    </row>
    <row r="5670">
      <c r="A5670" s="28"/>
      <c r="B5670" s="29"/>
      <c r="C5670" s="29"/>
      <c r="E5670" s="29"/>
      <c r="F5670" s="29"/>
    </row>
    <row r="5671">
      <c r="A5671" s="28"/>
      <c r="B5671" s="29"/>
      <c r="C5671" s="29"/>
      <c r="E5671" s="29"/>
      <c r="F5671" s="29"/>
    </row>
    <row r="5672">
      <c r="A5672" s="28"/>
      <c r="B5672" s="29"/>
      <c r="C5672" s="29"/>
      <c r="E5672" s="29"/>
      <c r="F5672" s="29"/>
    </row>
    <row r="5673">
      <c r="A5673" s="28"/>
      <c r="B5673" s="29"/>
      <c r="C5673" s="29"/>
      <c r="E5673" s="29"/>
      <c r="F5673" s="29"/>
    </row>
    <row r="5674">
      <c r="A5674" s="28"/>
      <c r="B5674" s="29"/>
      <c r="C5674" s="29"/>
      <c r="E5674" s="29"/>
      <c r="F5674" s="29"/>
    </row>
    <row r="5675">
      <c r="A5675" s="28"/>
      <c r="B5675" s="29"/>
      <c r="C5675" s="29"/>
      <c r="E5675" s="29"/>
      <c r="F5675" s="29"/>
    </row>
    <row r="5676">
      <c r="A5676" s="28"/>
      <c r="B5676" s="29"/>
      <c r="C5676" s="29"/>
      <c r="E5676" s="29"/>
      <c r="F5676" s="29"/>
    </row>
    <row r="5677">
      <c r="A5677" s="28"/>
      <c r="B5677" s="29"/>
      <c r="C5677" s="29"/>
      <c r="E5677" s="29"/>
      <c r="F5677" s="29"/>
    </row>
    <row r="5678">
      <c r="A5678" s="28"/>
      <c r="B5678" s="29"/>
      <c r="C5678" s="29"/>
      <c r="E5678" s="29"/>
      <c r="F5678" s="29"/>
    </row>
    <row r="5679">
      <c r="A5679" s="28"/>
      <c r="B5679" s="29"/>
      <c r="C5679" s="29"/>
      <c r="E5679" s="29"/>
      <c r="F5679" s="29"/>
    </row>
    <row r="5680">
      <c r="A5680" s="28"/>
      <c r="B5680" s="29"/>
      <c r="C5680" s="29"/>
      <c r="E5680" s="29"/>
      <c r="F5680" s="29"/>
    </row>
    <row r="5681">
      <c r="A5681" s="28"/>
      <c r="B5681" s="29"/>
      <c r="C5681" s="29"/>
      <c r="E5681" s="29"/>
      <c r="F5681" s="29"/>
    </row>
    <row r="5682">
      <c r="A5682" s="28"/>
      <c r="B5682" s="29"/>
      <c r="C5682" s="29"/>
      <c r="E5682" s="29"/>
      <c r="F5682" s="29"/>
    </row>
    <row r="5683">
      <c r="A5683" s="28"/>
      <c r="B5683" s="29"/>
      <c r="C5683" s="29"/>
      <c r="E5683" s="29"/>
      <c r="F5683" s="29"/>
    </row>
    <row r="5684">
      <c r="A5684" s="28"/>
      <c r="B5684" s="29"/>
      <c r="C5684" s="29"/>
      <c r="E5684" s="29"/>
      <c r="F5684" s="29"/>
    </row>
    <row r="5685">
      <c r="A5685" s="28"/>
      <c r="B5685" s="29"/>
      <c r="C5685" s="29"/>
      <c r="E5685" s="29"/>
      <c r="F5685" s="29"/>
    </row>
    <row r="5686">
      <c r="A5686" s="28"/>
      <c r="B5686" s="29"/>
      <c r="C5686" s="29"/>
      <c r="E5686" s="29"/>
      <c r="F5686" s="29"/>
    </row>
    <row r="5687">
      <c r="A5687" s="28"/>
      <c r="B5687" s="29"/>
      <c r="C5687" s="29"/>
      <c r="E5687" s="29"/>
      <c r="F5687" s="29"/>
    </row>
    <row r="5688">
      <c r="A5688" s="28"/>
      <c r="B5688" s="29"/>
      <c r="C5688" s="29"/>
      <c r="E5688" s="29"/>
      <c r="F5688" s="29"/>
    </row>
    <row r="5689">
      <c r="A5689" s="28"/>
      <c r="B5689" s="29"/>
      <c r="C5689" s="29"/>
      <c r="E5689" s="29"/>
      <c r="F5689" s="29"/>
    </row>
    <row r="5690">
      <c r="A5690" s="28"/>
      <c r="B5690" s="29"/>
      <c r="C5690" s="29"/>
      <c r="E5690" s="29"/>
      <c r="F5690" s="29"/>
    </row>
    <row r="5691">
      <c r="A5691" s="28"/>
      <c r="B5691" s="29"/>
      <c r="C5691" s="29"/>
      <c r="E5691" s="29"/>
      <c r="F5691" s="29"/>
    </row>
    <row r="5692">
      <c r="A5692" s="28"/>
      <c r="B5692" s="29"/>
      <c r="C5692" s="29"/>
      <c r="E5692" s="29"/>
      <c r="F5692" s="29"/>
    </row>
    <row r="5693">
      <c r="A5693" s="28"/>
      <c r="B5693" s="29"/>
      <c r="C5693" s="29"/>
      <c r="E5693" s="29"/>
      <c r="F5693" s="29"/>
    </row>
    <row r="5694">
      <c r="A5694" s="28"/>
      <c r="B5694" s="29"/>
      <c r="C5694" s="29"/>
      <c r="E5694" s="29"/>
      <c r="F5694" s="29"/>
    </row>
    <row r="5695">
      <c r="A5695" s="28"/>
      <c r="B5695" s="29"/>
      <c r="C5695" s="29"/>
      <c r="E5695" s="29"/>
      <c r="F5695" s="29"/>
    </row>
    <row r="5696">
      <c r="A5696" s="28"/>
      <c r="B5696" s="29"/>
      <c r="C5696" s="29"/>
      <c r="E5696" s="29"/>
      <c r="F5696" s="29"/>
    </row>
    <row r="5697">
      <c r="A5697" s="28"/>
      <c r="B5697" s="29"/>
      <c r="C5697" s="29"/>
      <c r="E5697" s="29"/>
      <c r="F5697" s="29"/>
    </row>
    <row r="5698">
      <c r="A5698" s="28"/>
      <c r="B5698" s="29"/>
      <c r="C5698" s="29"/>
      <c r="E5698" s="29"/>
      <c r="F5698" s="29"/>
    </row>
    <row r="5699">
      <c r="A5699" s="28"/>
      <c r="B5699" s="29"/>
      <c r="C5699" s="29"/>
      <c r="E5699" s="29"/>
      <c r="F5699" s="29"/>
    </row>
    <row r="5700">
      <c r="A5700" s="28"/>
      <c r="B5700" s="29"/>
      <c r="C5700" s="29"/>
      <c r="E5700" s="29"/>
      <c r="F5700" s="29"/>
    </row>
    <row r="5701">
      <c r="A5701" s="28"/>
      <c r="B5701" s="29"/>
      <c r="C5701" s="29"/>
      <c r="E5701" s="29"/>
      <c r="F5701" s="29"/>
    </row>
    <row r="5702">
      <c r="A5702" s="28"/>
      <c r="B5702" s="29"/>
      <c r="C5702" s="29"/>
      <c r="E5702" s="29"/>
      <c r="F5702" s="29"/>
    </row>
    <row r="5703">
      <c r="A5703" s="28"/>
      <c r="B5703" s="29"/>
      <c r="C5703" s="29"/>
      <c r="E5703" s="29"/>
      <c r="F5703" s="29"/>
    </row>
    <row r="5704">
      <c r="A5704" s="28"/>
      <c r="B5704" s="29"/>
      <c r="C5704" s="29"/>
      <c r="E5704" s="29"/>
      <c r="F5704" s="29"/>
    </row>
    <row r="5705">
      <c r="A5705" s="28"/>
      <c r="B5705" s="29"/>
      <c r="C5705" s="29"/>
      <c r="E5705" s="29"/>
      <c r="F5705" s="29"/>
    </row>
    <row r="5706">
      <c r="A5706" s="28"/>
      <c r="B5706" s="29"/>
      <c r="C5706" s="29"/>
      <c r="E5706" s="29"/>
      <c r="F5706" s="29"/>
    </row>
    <row r="5707">
      <c r="A5707" s="28"/>
      <c r="B5707" s="29"/>
      <c r="C5707" s="29"/>
      <c r="E5707" s="29"/>
      <c r="F5707" s="29"/>
    </row>
    <row r="5708">
      <c r="A5708" s="28"/>
      <c r="B5708" s="29"/>
      <c r="C5708" s="29"/>
      <c r="E5708" s="29"/>
      <c r="F5708" s="29"/>
    </row>
    <row r="5709">
      <c r="A5709" s="28"/>
      <c r="B5709" s="29"/>
      <c r="C5709" s="29"/>
      <c r="E5709" s="29"/>
      <c r="F5709" s="29"/>
    </row>
    <row r="5710">
      <c r="A5710" s="28"/>
      <c r="B5710" s="29"/>
      <c r="C5710" s="29"/>
      <c r="E5710" s="29"/>
      <c r="F5710" s="29"/>
    </row>
    <row r="5711">
      <c r="A5711" s="28"/>
      <c r="B5711" s="29"/>
      <c r="C5711" s="29"/>
      <c r="E5711" s="29"/>
      <c r="F5711" s="29"/>
    </row>
    <row r="5712">
      <c r="A5712" s="28"/>
      <c r="B5712" s="29"/>
      <c r="C5712" s="29"/>
      <c r="E5712" s="29"/>
      <c r="F5712" s="29"/>
    </row>
    <row r="5713">
      <c r="A5713" s="28"/>
      <c r="B5713" s="29"/>
      <c r="C5713" s="29"/>
      <c r="E5713" s="29"/>
      <c r="F5713" s="29"/>
    </row>
    <row r="5714">
      <c r="A5714" s="28"/>
      <c r="B5714" s="29"/>
      <c r="C5714" s="29"/>
      <c r="E5714" s="29"/>
      <c r="F5714" s="29"/>
    </row>
    <row r="5715">
      <c r="A5715" s="28"/>
      <c r="B5715" s="29"/>
      <c r="C5715" s="29"/>
      <c r="E5715" s="29"/>
      <c r="F5715" s="29"/>
    </row>
    <row r="5716">
      <c r="A5716" s="28"/>
      <c r="B5716" s="29"/>
      <c r="C5716" s="29"/>
      <c r="E5716" s="29"/>
      <c r="F5716" s="29"/>
    </row>
    <row r="5717">
      <c r="A5717" s="28"/>
      <c r="B5717" s="29"/>
      <c r="C5717" s="29"/>
      <c r="E5717" s="29"/>
      <c r="F5717" s="29"/>
    </row>
    <row r="5718">
      <c r="A5718" s="28"/>
      <c r="B5718" s="29"/>
      <c r="C5718" s="29"/>
      <c r="E5718" s="29"/>
      <c r="F5718" s="29"/>
    </row>
    <row r="5719">
      <c r="A5719" s="28"/>
      <c r="B5719" s="29"/>
      <c r="C5719" s="29"/>
      <c r="E5719" s="29"/>
      <c r="F5719" s="29"/>
    </row>
    <row r="5720">
      <c r="A5720" s="28"/>
      <c r="B5720" s="29"/>
      <c r="C5720" s="29"/>
      <c r="E5720" s="29"/>
      <c r="F5720" s="29"/>
    </row>
    <row r="5721">
      <c r="A5721" s="28"/>
      <c r="B5721" s="29"/>
      <c r="C5721" s="29"/>
      <c r="E5721" s="29"/>
      <c r="F5721" s="29"/>
    </row>
    <row r="5722">
      <c r="A5722" s="28"/>
      <c r="B5722" s="29"/>
      <c r="C5722" s="29"/>
      <c r="E5722" s="29"/>
      <c r="F5722" s="29"/>
    </row>
    <row r="5723">
      <c r="A5723" s="28"/>
      <c r="B5723" s="29"/>
      <c r="C5723" s="29"/>
      <c r="E5723" s="29"/>
      <c r="F5723" s="29"/>
    </row>
    <row r="5724">
      <c r="A5724" s="28"/>
      <c r="B5724" s="29"/>
      <c r="C5724" s="29"/>
      <c r="E5724" s="29"/>
      <c r="F5724" s="29"/>
    </row>
    <row r="5725">
      <c r="A5725" s="28"/>
      <c r="B5725" s="29"/>
      <c r="C5725" s="29"/>
      <c r="E5725" s="29"/>
      <c r="F5725" s="29"/>
    </row>
    <row r="5726">
      <c r="A5726" s="28"/>
      <c r="B5726" s="29"/>
      <c r="C5726" s="29"/>
      <c r="E5726" s="29"/>
      <c r="F5726" s="29"/>
    </row>
    <row r="5727">
      <c r="A5727" s="28"/>
      <c r="B5727" s="29"/>
      <c r="C5727" s="29"/>
      <c r="E5727" s="29"/>
      <c r="F5727" s="29"/>
    </row>
    <row r="5728">
      <c r="A5728" s="28"/>
      <c r="B5728" s="29"/>
      <c r="C5728" s="29"/>
      <c r="E5728" s="29"/>
      <c r="F5728" s="29"/>
    </row>
    <row r="5729">
      <c r="A5729" s="28"/>
      <c r="B5729" s="29"/>
      <c r="C5729" s="29"/>
      <c r="E5729" s="29"/>
      <c r="F5729" s="29"/>
    </row>
    <row r="5730">
      <c r="A5730" s="28"/>
      <c r="B5730" s="29"/>
      <c r="C5730" s="29"/>
      <c r="E5730" s="29"/>
      <c r="F5730" s="29"/>
    </row>
    <row r="5731">
      <c r="A5731" s="28"/>
      <c r="B5731" s="29"/>
      <c r="C5731" s="29"/>
      <c r="E5731" s="29"/>
      <c r="F5731" s="29"/>
    </row>
    <row r="5732">
      <c r="A5732" s="28"/>
      <c r="B5732" s="29"/>
      <c r="C5732" s="29"/>
      <c r="E5732" s="29"/>
      <c r="F5732" s="29"/>
    </row>
    <row r="5733">
      <c r="A5733" s="28"/>
      <c r="B5733" s="29"/>
      <c r="C5733" s="29"/>
      <c r="E5733" s="29"/>
      <c r="F5733" s="29"/>
    </row>
    <row r="5734">
      <c r="A5734" s="28"/>
      <c r="B5734" s="29"/>
      <c r="C5734" s="29"/>
      <c r="E5734" s="29"/>
      <c r="F5734" s="29"/>
    </row>
    <row r="5735">
      <c r="A5735" s="28"/>
      <c r="B5735" s="29"/>
      <c r="C5735" s="29"/>
      <c r="E5735" s="29"/>
      <c r="F5735" s="29"/>
    </row>
    <row r="5736">
      <c r="A5736" s="28"/>
      <c r="B5736" s="29"/>
      <c r="C5736" s="29"/>
      <c r="E5736" s="29"/>
      <c r="F5736" s="29"/>
    </row>
    <row r="5737">
      <c r="A5737" s="28"/>
      <c r="B5737" s="29"/>
      <c r="C5737" s="29"/>
      <c r="E5737" s="29"/>
      <c r="F5737" s="29"/>
    </row>
    <row r="5738">
      <c r="A5738" s="28"/>
      <c r="B5738" s="29"/>
      <c r="C5738" s="29"/>
      <c r="E5738" s="29"/>
      <c r="F5738" s="29"/>
    </row>
    <row r="5739">
      <c r="A5739" s="28"/>
      <c r="B5739" s="29"/>
      <c r="C5739" s="29"/>
      <c r="E5739" s="29"/>
      <c r="F5739" s="29"/>
    </row>
    <row r="5740">
      <c r="A5740" s="28"/>
      <c r="B5740" s="29"/>
      <c r="C5740" s="29"/>
      <c r="E5740" s="29"/>
      <c r="F5740" s="29"/>
    </row>
    <row r="5741">
      <c r="A5741" s="28"/>
      <c r="B5741" s="29"/>
      <c r="C5741" s="29"/>
      <c r="E5741" s="29"/>
      <c r="F5741" s="29"/>
    </row>
    <row r="5742">
      <c r="A5742" s="28"/>
      <c r="B5742" s="29"/>
      <c r="C5742" s="29"/>
      <c r="E5742" s="29"/>
      <c r="F5742" s="29"/>
    </row>
    <row r="5743">
      <c r="A5743" s="28"/>
      <c r="B5743" s="29"/>
      <c r="C5743" s="29"/>
      <c r="E5743" s="29"/>
      <c r="F5743" s="29"/>
    </row>
    <row r="5744">
      <c r="A5744" s="28"/>
      <c r="B5744" s="29"/>
      <c r="C5744" s="29"/>
      <c r="E5744" s="29"/>
      <c r="F5744" s="29"/>
    </row>
    <row r="5745">
      <c r="A5745" s="28"/>
      <c r="B5745" s="29"/>
      <c r="C5745" s="29"/>
      <c r="E5745" s="29"/>
      <c r="F5745" s="29"/>
    </row>
    <row r="5746">
      <c r="A5746" s="28"/>
      <c r="B5746" s="29"/>
      <c r="C5746" s="29"/>
      <c r="E5746" s="29"/>
      <c r="F5746" s="29"/>
    </row>
    <row r="5747">
      <c r="A5747" s="28"/>
      <c r="B5747" s="29"/>
      <c r="C5747" s="29"/>
      <c r="E5747" s="29"/>
      <c r="F5747" s="29"/>
    </row>
    <row r="5748">
      <c r="A5748" s="28"/>
      <c r="B5748" s="29"/>
      <c r="C5748" s="29"/>
      <c r="E5748" s="29"/>
      <c r="F5748" s="29"/>
    </row>
    <row r="5749">
      <c r="A5749" s="28"/>
      <c r="B5749" s="29"/>
      <c r="C5749" s="29"/>
      <c r="E5749" s="29"/>
      <c r="F5749" s="29"/>
    </row>
    <row r="5750">
      <c r="A5750" s="28"/>
      <c r="B5750" s="29"/>
      <c r="C5750" s="29"/>
      <c r="E5750" s="29"/>
      <c r="F5750" s="29"/>
    </row>
    <row r="5751">
      <c r="A5751" s="28"/>
      <c r="B5751" s="29"/>
      <c r="C5751" s="29"/>
      <c r="E5751" s="29"/>
      <c r="F5751" s="29"/>
    </row>
    <row r="5752">
      <c r="A5752" s="28"/>
      <c r="B5752" s="29"/>
      <c r="C5752" s="29"/>
      <c r="E5752" s="29"/>
      <c r="F5752" s="29"/>
    </row>
    <row r="5753">
      <c r="A5753" s="28"/>
      <c r="B5753" s="29"/>
      <c r="C5753" s="29"/>
      <c r="E5753" s="29"/>
      <c r="F5753" s="29"/>
    </row>
    <row r="5754">
      <c r="A5754" s="28"/>
      <c r="B5754" s="29"/>
      <c r="C5754" s="29"/>
      <c r="E5754" s="29"/>
      <c r="F5754" s="29"/>
    </row>
    <row r="5755">
      <c r="A5755" s="28"/>
      <c r="B5755" s="29"/>
      <c r="C5755" s="29"/>
      <c r="E5755" s="29"/>
      <c r="F5755" s="29"/>
    </row>
    <row r="5756">
      <c r="A5756" s="28"/>
      <c r="B5756" s="29"/>
      <c r="C5756" s="29"/>
      <c r="E5756" s="29"/>
      <c r="F5756" s="29"/>
    </row>
    <row r="5757">
      <c r="A5757" s="28"/>
      <c r="B5757" s="29"/>
      <c r="C5757" s="29"/>
      <c r="E5757" s="29"/>
      <c r="F5757" s="29"/>
    </row>
    <row r="5758">
      <c r="A5758" s="28"/>
      <c r="B5758" s="29"/>
      <c r="C5758" s="29"/>
      <c r="E5758" s="29"/>
      <c r="F5758" s="29"/>
    </row>
    <row r="5759">
      <c r="A5759" s="28"/>
      <c r="B5759" s="29"/>
      <c r="C5759" s="29"/>
      <c r="E5759" s="29"/>
      <c r="F5759" s="29"/>
    </row>
    <row r="5760">
      <c r="A5760" s="28"/>
      <c r="B5760" s="29"/>
      <c r="C5760" s="29"/>
      <c r="E5760" s="29"/>
      <c r="F5760" s="29"/>
    </row>
    <row r="5761">
      <c r="A5761" s="28"/>
      <c r="B5761" s="29"/>
      <c r="C5761" s="29"/>
      <c r="E5761" s="29"/>
      <c r="F5761" s="29"/>
    </row>
    <row r="5762">
      <c r="A5762" s="28"/>
      <c r="B5762" s="29"/>
      <c r="C5762" s="29"/>
      <c r="E5762" s="29"/>
      <c r="F5762" s="29"/>
    </row>
    <row r="5763">
      <c r="A5763" s="28"/>
      <c r="B5763" s="29"/>
      <c r="C5763" s="29"/>
      <c r="E5763" s="29"/>
      <c r="F5763" s="29"/>
    </row>
    <row r="5764">
      <c r="A5764" s="28"/>
      <c r="B5764" s="29"/>
      <c r="C5764" s="29"/>
      <c r="E5764" s="29"/>
      <c r="F5764" s="29"/>
    </row>
    <row r="5765">
      <c r="A5765" s="28"/>
      <c r="B5765" s="29"/>
      <c r="C5765" s="29"/>
      <c r="E5765" s="29"/>
      <c r="F5765" s="29"/>
    </row>
    <row r="5766">
      <c r="A5766" s="28"/>
      <c r="B5766" s="29"/>
      <c r="C5766" s="29"/>
      <c r="E5766" s="29"/>
      <c r="F5766" s="29"/>
    </row>
    <row r="5767">
      <c r="A5767" s="28"/>
      <c r="B5767" s="29"/>
      <c r="C5767" s="29"/>
      <c r="E5767" s="29"/>
      <c r="F5767" s="29"/>
    </row>
    <row r="5768">
      <c r="A5768" s="28"/>
      <c r="B5768" s="29"/>
      <c r="C5768" s="29"/>
      <c r="E5768" s="29"/>
      <c r="F5768" s="29"/>
    </row>
    <row r="5769">
      <c r="A5769" s="28"/>
      <c r="B5769" s="29"/>
      <c r="C5769" s="29"/>
      <c r="E5769" s="29"/>
      <c r="F5769" s="29"/>
    </row>
    <row r="5770">
      <c r="A5770" s="28"/>
      <c r="B5770" s="29"/>
      <c r="C5770" s="29"/>
      <c r="E5770" s="29"/>
      <c r="F5770" s="29"/>
    </row>
    <row r="5771">
      <c r="A5771" s="28"/>
      <c r="B5771" s="29"/>
      <c r="C5771" s="29"/>
      <c r="E5771" s="29"/>
      <c r="F5771" s="29"/>
    </row>
    <row r="5772">
      <c r="A5772" s="28"/>
      <c r="B5772" s="29"/>
      <c r="C5772" s="29"/>
      <c r="E5772" s="29"/>
      <c r="F5772" s="29"/>
    </row>
    <row r="5773">
      <c r="A5773" s="28"/>
      <c r="B5773" s="29"/>
      <c r="C5773" s="29"/>
      <c r="E5773" s="29"/>
      <c r="F5773" s="29"/>
    </row>
    <row r="5774">
      <c r="A5774" s="28"/>
      <c r="B5774" s="29"/>
      <c r="C5774" s="29"/>
      <c r="E5774" s="29"/>
      <c r="F5774" s="29"/>
    </row>
    <row r="5775">
      <c r="A5775" s="28"/>
      <c r="B5775" s="29"/>
      <c r="C5775" s="29"/>
      <c r="E5775" s="29"/>
      <c r="F5775" s="29"/>
    </row>
    <row r="5776">
      <c r="A5776" s="28"/>
      <c r="B5776" s="29"/>
      <c r="C5776" s="29"/>
      <c r="E5776" s="29"/>
      <c r="F5776" s="29"/>
    </row>
    <row r="5777">
      <c r="A5777" s="28"/>
      <c r="B5777" s="29"/>
      <c r="C5777" s="29"/>
      <c r="E5777" s="29"/>
      <c r="F5777" s="29"/>
    </row>
    <row r="5778">
      <c r="A5778" s="28"/>
      <c r="B5778" s="29"/>
      <c r="C5778" s="29"/>
      <c r="E5778" s="29"/>
      <c r="F5778" s="29"/>
    </row>
    <row r="5779">
      <c r="A5779" s="28"/>
      <c r="B5779" s="29"/>
      <c r="C5779" s="29"/>
      <c r="E5779" s="29"/>
      <c r="F5779" s="29"/>
    </row>
    <row r="5780">
      <c r="A5780" s="28"/>
      <c r="B5780" s="29"/>
      <c r="C5780" s="29"/>
      <c r="E5780" s="29"/>
      <c r="F5780" s="29"/>
    </row>
    <row r="5781">
      <c r="A5781" s="28"/>
      <c r="B5781" s="29"/>
      <c r="C5781" s="29"/>
      <c r="E5781" s="29"/>
      <c r="F5781" s="29"/>
    </row>
    <row r="5782">
      <c r="A5782" s="28"/>
      <c r="B5782" s="29"/>
      <c r="C5782" s="29"/>
      <c r="E5782" s="29"/>
      <c r="F5782" s="29"/>
    </row>
    <row r="5783">
      <c r="A5783" s="28"/>
      <c r="B5783" s="29"/>
      <c r="C5783" s="29"/>
      <c r="E5783" s="29"/>
      <c r="F5783" s="29"/>
    </row>
    <row r="5784">
      <c r="A5784" s="28"/>
      <c r="B5784" s="29"/>
      <c r="C5784" s="29"/>
      <c r="E5784" s="29"/>
      <c r="F5784" s="29"/>
    </row>
    <row r="5785">
      <c r="A5785" s="28"/>
      <c r="B5785" s="29"/>
      <c r="C5785" s="29"/>
      <c r="E5785" s="29"/>
      <c r="F5785" s="29"/>
    </row>
    <row r="5786">
      <c r="A5786" s="28"/>
      <c r="B5786" s="29"/>
      <c r="C5786" s="29"/>
      <c r="E5786" s="29"/>
      <c r="F5786" s="29"/>
    </row>
    <row r="5787">
      <c r="A5787" s="28"/>
      <c r="B5787" s="29"/>
      <c r="C5787" s="29"/>
      <c r="E5787" s="29"/>
      <c r="F5787" s="29"/>
    </row>
    <row r="5788">
      <c r="A5788" s="28"/>
      <c r="B5788" s="29"/>
      <c r="C5788" s="29"/>
      <c r="E5788" s="29"/>
      <c r="F5788" s="29"/>
    </row>
    <row r="5789">
      <c r="A5789" s="28"/>
      <c r="B5789" s="29"/>
      <c r="C5789" s="29"/>
      <c r="E5789" s="29"/>
      <c r="F5789" s="29"/>
    </row>
    <row r="5790">
      <c r="A5790" s="28"/>
      <c r="B5790" s="29"/>
      <c r="C5790" s="29"/>
      <c r="E5790" s="29"/>
      <c r="F5790" s="29"/>
    </row>
    <row r="5791">
      <c r="A5791" s="28"/>
      <c r="B5791" s="29"/>
      <c r="C5791" s="29"/>
      <c r="E5791" s="29"/>
      <c r="F5791" s="29"/>
    </row>
    <row r="5792">
      <c r="A5792" s="28"/>
      <c r="B5792" s="29"/>
      <c r="C5792" s="29"/>
      <c r="E5792" s="29"/>
      <c r="F5792" s="29"/>
    </row>
    <row r="5793">
      <c r="A5793" s="28"/>
      <c r="B5793" s="29"/>
      <c r="C5793" s="29"/>
      <c r="E5793" s="29"/>
      <c r="F5793" s="29"/>
    </row>
    <row r="5794">
      <c r="A5794" s="28"/>
      <c r="B5794" s="29"/>
      <c r="C5794" s="29"/>
      <c r="E5794" s="29"/>
      <c r="F5794" s="29"/>
    </row>
    <row r="5795">
      <c r="A5795" s="28"/>
      <c r="B5795" s="29"/>
      <c r="C5795" s="29"/>
      <c r="E5795" s="29"/>
      <c r="F5795" s="29"/>
    </row>
    <row r="5796">
      <c r="A5796" s="28"/>
      <c r="B5796" s="29"/>
      <c r="C5796" s="29"/>
      <c r="E5796" s="29"/>
      <c r="F5796" s="29"/>
    </row>
    <row r="5797">
      <c r="A5797" s="28"/>
      <c r="B5797" s="29"/>
      <c r="C5797" s="29"/>
      <c r="E5797" s="29"/>
      <c r="F5797" s="29"/>
    </row>
    <row r="5798">
      <c r="A5798" s="28"/>
      <c r="B5798" s="29"/>
      <c r="C5798" s="29"/>
      <c r="E5798" s="29"/>
      <c r="F5798" s="29"/>
    </row>
    <row r="5799">
      <c r="A5799" s="28"/>
      <c r="B5799" s="29"/>
      <c r="C5799" s="29"/>
      <c r="E5799" s="29"/>
      <c r="F5799" s="29"/>
    </row>
    <row r="5800">
      <c r="A5800" s="28"/>
      <c r="B5800" s="29"/>
      <c r="C5800" s="29"/>
      <c r="E5800" s="29"/>
      <c r="F5800" s="29"/>
    </row>
    <row r="5801">
      <c r="A5801" s="28"/>
      <c r="B5801" s="29"/>
      <c r="C5801" s="29"/>
      <c r="E5801" s="29"/>
      <c r="F5801" s="29"/>
    </row>
    <row r="5802">
      <c r="A5802" s="28"/>
      <c r="B5802" s="29"/>
      <c r="C5802" s="29"/>
      <c r="E5802" s="29"/>
      <c r="F5802" s="29"/>
    </row>
    <row r="5803">
      <c r="A5803" s="28"/>
      <c r="B5803" s="29"/>
      <c r="C5803" s="29"/>
      <c r="E5803" s="29"/>
      <c r="F5803" s="29"/>
    </row>
    <row r="5804">
      <c r="A5804" s="28"/>
      <c r="B5804" s="29"/>
      <c r="C5804" s="29"/>
      <c r="E5804" s="29"/>
      <c r="F5804" s="29"/>
    </row>
    <row r="5805">
      <c r="A5805" s="28"/>
      <c r="B5805" s="29"/>
      <c r="C5805" s="29"/>
      <c r="E5805" s="29"/>
      <c r="F5805" s="29"/>
    </row>
    <row r="5806">
      <c r="A5806" s="28"/>
      <c r="B5806" s="29"/>
      <c r="C5806" s="29"/>
      <c r="E5806" s="29"/>
      <c r="F5806" s="29"/>
    </row>
    <row r="5807">
      <c r="A5807" s="28"/>
      <c r="B5807" s="29"/>
      <c r="C5807" s="29"/>
      <c r="E5807" s="29"/>
      <c r="F5807" s="29"/>
    </row>
    <row r="5808">
      <c r="A5808" s="28"/>
      <c r="B5808" s="29"/>
      <c r="C5808" s="29"/>
      <c r="E5808" s="29"/>
      <c r="F5808" s="29"/>
    </row>
    <row r="5809">
      <c r="A5809" s="28"/>
      <c r="B5809" s="29"/>
      <c r="C5809" s="29"/>
      <c r="E5809" s="29"/>
      <c r="F5809" s="29"/>
    </row>
    <row r="5810">
      <c r="A5810" s="28"/>
      <c r="B5810" s="29"/>
      <c r="C5810" s="29"/>
      <c r="E5810" s="29"/>
      <c r="F5810" s="29"/>
    </row>
    <row r="5811">
      <c r="A5811" s="28"/>
      <c r="B5811" s="29"/>
      <c r="C5811" s="29"/>
      <c r="E5811" s="29"/>
      <c r="F5811" s="29"/>
    </row>
    <row r="5812">
      <c r="A5812" s="28"/>
      <c r="B5812" s="29"/>
      <c r="C5812" s="29"/>
      <c r="E5812" s="29"/>
      <c r="F5812" s="29"/>
    </row>
    <row r="5813">
      <c r="A5813" s="28"/>
      <c r="B5813" s="29"/>
      <c r="C5813" s="29"/>
      <c r="E5813" s="29"/>
      <c r="F5813" s="29"/>
    </row>
    <row r="5814">
      <c r="A5814" s="28"/>
      <c r="B5814" s="29"/>
      <c r="C5814" s="29"/>
      <c r="E5814" s="29"/>
      <c r="F5814" s="29"/>
    </row>
    <row r="5815">
      <c r="A5815" s="28"/>
      <c r="B5815" s="29"/>
      <c r="C5815" s="29"/>
      <c r="E5815" s="29"/>
      <c r="F5815" s="29"/>
    </row>
    <row r="5816">
      <c r="A5816" s="28"/>
      <c r="B5816" s="29"/>
      <c r="C5816" s="29"/>
      <c r="E5816" s="29"/>
      <c r="F5816" s="29"/>
    </row>
    <row r="5817">
      <c r="A5817" s="28"/>
      <c r="B5817" s="29"/>
      <c r="C5817" s="29"/>
      <c r="E5817" s="29"/>
      <c r="F5817" s="29"/>
    </row>
    <row r="5818">
      <c r="A5818" s="28"/>
      <c r="B5818" s="29"/>
      <c r="C5818" s="29"/>
      <c r="E5818" s="29"/>
      <c r="F5818" s="29"/>
    </row>
    <row r="5819">
      <c r="A5819" s="28"/>
      <c r="B5819" s="29"/>
      <c r="C5819" s="29"/>
      <c r="E5819" s="29"/>
      <c r="F5819" s="29"/>
    </row>
    <row r="5820">
      <c r="A5820" s="28"/>
      <c r="B5820" s="29"/>
      <c r="C5820" s="29"/>
      <c r="E5820" s="29"/>
      <c r="F5820" s="29"/>
    </row>
    <row r="5821">
      <c r="A5821" s="28"/>
      <c r="B5821" s="29"/>
      <c r="C5821" s="29"/>
      <c r="E5821" s="29"/>
      <c r="F5821" s="29"/>
    </row>
    <row r="5822">
      <c r="A5822" s="28"/>
      <c r="B5822" s="29"/>
      <c r="C5822" s="29"/>
      <c r="E5822" s="29"/>
      <c r="F5822" s="29"/>
    </row>
    <row r="5823">
      <c r="A5823" s="28"/>
      <c r="B5823" s="29"/>
      <c r="C5823" s="29"/>
      <c r="E5823" s="29"/>
      <c r="F5823" s="29"/>
    </row>
    <row r="5824">
      <c r="A5824" s="28"/>
      <c r="B5824" s="29"/>
      <c r="C5824" s="29"/>
      <c r="E5824" s="29"/>
      <c r="F5824" s="29"/>
    </row>
    <row r="5825">
      <c r="A5825" s="28"/>
      <c r="B5825" s="29"/>
      <c r="C5825" s="29"/>
      <c r="E5825" s="29"/>
      <c r="F5825" s="29"/>
    </row>
    <row r="5826">
      <c r="A5826" s="28"/>
      <c r="B5826" s="29"/>
      <c r="C5826" s="29"/>
      <c r="E5826" s="29"/>
      <c r="F5826" s="29"/>
    </row>
    <row r="5827">
      <c r="A5827" s="28"/>
      <c r="B5827" s="29"/>
      <c r="C5827" s="29"/>
      <c r="E5827" s="29"/>
      <c r="F5827" s="29"/>
    </row>
    <row r="5828">
      <c r="A5828" s="28"/>
      <c r="B5828" s="29"/>
      <c r="C5828" s="29"/>
      <c r="E5828" s="29"/>
      <c r="F5828" s="29"/>
    </row>
    <row r="5829">
      <c r="A5829" s="28"/>
      <c r="B5829" s="29"/>
      <c r="C5829" s="29"/>
      <c r="E5829" s="29"/>
      <c r="F5829" s="29"/>
    </row>
    <row r="5830">
      <c r="A5830" s="28"/>
      <c r="B5830" s="29"/>
      <c r="C5830" s="29"/>
      <c r="E5830" s="29"/>
      <c r="F5830" s="29"/>
    </row>
    <row r="5831">
      <c r="A5831" s="28"/>
      <c r="B5831" s="29"/>
      <c r="C5831" s="29"/>
      <c r="E5831" s="29"/>
      <c r="F5831" s="29"/>
    </row>
    <row r="5832">
      <c r="A5832" s="28"/>
      <c r="B5832" s="29"/>
      <c r="C5832" s="29"/>
      <c r="E5832" s="29"/>
      <c r="F5832" s="29"/>
    </row>
    <row r="5833">
      <c r="A5833" s="28"/>
      <c r="B5833" s="29"/>
      <c r="C5833" s="29"/>
      <c r="E5833" s="29"/>
      <c r="F5833" s="29"/>
    </row>
    <row r="5834">
      <c r="A5834" s="28"/>
      <c r="B5834" s="29"/>
      <c r="C5834" s="29"/>
      <c r="E5834" s="29"/>
      <c r="F5834" s="29"/>
    </row>
    <row r="5835">
      <c r="A5835" s="28"/>
      <c r="B5835" s="29"/>
      <c r="C5835" s="29"/>
      <c r="E5835" s="29"/>
      <c r="F5835" s="29"/>
    </row>
    <row r="5836">
      <c r="A5836" s="28"/>
      <c r="B5836" s="29"/>
      <c r="C5836" s="29"/>
      <c r="E5836" s="29"/>
      <c r="F5836" s="29"/>
    </row>
    <row r="5837">
      <c r="A5837" s="28"/>
      <c r="B5837" s="29"/>
      <c r="C5837" s="29"/>
      <c r="E5837" s="29"/>
      <c r="F5837" s="29"/>
    </row>
    <row r="5838">
      <c r="A5838" s="28"/>
      <c r="B5838" s="29"/>
      <c r="C5838" s="29"/>
      <c r="E5838" s="29"/>
      <c r="F5838" s="29"/>
    </row>
    <row r="5839">
      <c r="A5839" s="28"/>
      <c r="B5839" s="29"/>
      <c r="C5839" s="29"/>
      <c r="E5839" s="29"/>
      <c r="F5839" s="29"/>
    </row>
    <row r="5840">
      <c r="A5840" s="28"/>
      <c r="B5840" s="29"/>
      <c r="C5840" s="29"/>
      <c r="E5840" s="29"/>
      <c r="F5840" s="29"/>
    </row>
    <row r="5841">
      <c r="A5841" s="28"/>
      <c r="B5841" s="29"/>
      <c r="C5841" s="29"/>
      <c r="E5841" s="29"/>
      <c r="F5841" s="29"/>
    </row>
    <row r="5842">
      <c r="A5842" s="28"/>
      <c r="B5842" s="29"/>
      <c r="C5842" s="29"/>
      <c r="E5842" s="29"/>
      <c r="F5842" s="29"/>
    </row>
    <row r="5843">
      <c r="A5843" s="28"/>
      <c r="B5843" s="29"/>
      <c r="C5843" s="29"/>
      <c r="E5843" s="29"/>
      <c r="F5843" s="29"/>
    </row>
    <row r="5844">
      <c r="A5844" s="28"/>
      <c r="B5844" s="29"/>
      <c r="C5844" s="29"/>
      <c r="E5844" s="29"/>
      <c r="F5844" s="29"/>
    </row>
    <row r="5845">
      <c r="A5845" s="28"/>
      <c r="B5845" s="29"/>
      <c r="C5845" s="29"/>
      <c r="E5845" s="29"/>
      <c r="F5845" s="29"/>
    </row>
    <row r="5846">
      <c r="A5846" s="28"/>
      <c r="B5846" s="29"/>
      <c r="C5846" s="29"/>
      <c r="E5846" s="29"/>
      <c r="F5846" s="29"/>
    </row>
    <row r="5847">
      <c r="A5847" s="28"/>
      <c r="B5847" s="29"/>
      <c r="C5847" s="29"/>
      <c r="E5847" s="29"/>
      <c r="F5847" s="29"/>
    </row>
    <row r="5848">
      <c r="A5848" s="28"/>
      <c r="B5848" s="29"/>
      <c r="C5848" s="29"/>
      <c r="E5848" s="29"/>
      <c r="F5848" s="29"/>
    </row>
    <row r="5849">
      <c r="A5849" s="28"/>
      <c r="B5849" s="29"/>
      <c r="C5849" s="29"/>
      <c r="E5849" s="29"/>
      <c r="F5849" s="29"/>
    </row>
    <row r="5850">
      <c r="A5850" s="28"/>
      <c r="B5850" s="29"/>
      <c r="C5850" s="29"/>
      <c r="E5850" s="29"/>
      <c r="F5850" s="29"/>
    </row>
    <row r="5851">
      <c r="A5851" s="28"/>
      <c r="B5851" s="29"/>
      <c r="C5851" s="29"/>
      <c r="E5851" s="29"/>
      <c r="F5851" s="29"/>
    </row>
    <row r="5852">
      <c r="A5852" s="28"/>
      <c r="B5852" s="29"/>
      <c r="C5852" s="29"/>
      <c r="E5852" s="29"/>
      <c r="F5852" s="29"/>
    </row>
    <row r="5853">
      <c r="A5853" s="28"/>
      <c r="B5853" s="29"/>
      <c r="C5853" s="29"/>
      <c r="E5853" s="29"/>
      <c r="F5853" s="29"/>
    </row>
    <row r="5854">
      <c r="A5854" s="28"/>
      <c r="B5854" s="29"/>
      <c r="C5854" s="29"/>
      <c r="E5854" s="29"/>
      <c r="F5854" s="29"/>
    </row>
    <row r="5855">
      <c r="A5855" s="28"/>
      <c r="B5855" s="29"/>
      <c r="C5855" s="29"/>
      <c r="E5855" s="29"/>
      <c r="F5855" s="29"/>
    </row>
    <row r="5856">
      <c r="A5856" s="28"/>
      <c r="B5856" s="29"/>
      <c r="C5856" s="29"/>
      <c r="E5856" s="29"/>
      <c r="F5856" s="29"/>
    </row>
    <row r="5857">
      <c r="A5857" s="28"/>
      <c r="B5857" s="29"/>
      <c r="C5857" s="29"/>
      <c r="E5857" s="29"/>
      <c r="F5857" s="29"/>
    </row>
    <row r="5858">
      <c r="A5858" s="28"/>
      <c r="B5858" s="29"/>
      <c r="C5858" s="29"/>
      <c r="E5858" s="29"/>
      <c r="F5858" s="29"/>
    </row>
    <row r="5859">
      <c r="A5859" s="28"/>
      <c r="B5859" s="29"/>
      <c r="C5859" s="29"/>
      <c r="E5859" s="29"/>
      <c r="F5859" s="29"/>
    </row>
    <row r="5860">
      <c r="A5860" s="28"/>
      <c r="B5860" s="29"/>
      <c r="C5860" s="29"/>
      <c r="E5860" s="29"/>
      <c r="F5860" s="29"/>
    </row>
    <row r="5861">
      <c r="A5861" s="28"/>
      <c r="B5861" s="29"/>
      <c r="C5861" s="29"/>
      <c r="E5861" s="29"/>
      <c r="F5861" s="29"/>
    </row>
    <row r="5862">
      <c r="A5862" s="28"/>
      <c r="B5862" s="29"/>
      <c r="C5862" s="29"/>
      <c r="E5862" s="29"/>
      <c r="F5862" s="29"/>
    </row>
    <row r="5863">
      <c r="A5863" s="28"/>
      <c r="B5863" s="29"/>
      <c r="C5863" s="29"/>
      <c r="E5863" s="29"/>
      <c r="F5863" s="29"/>
    </row>
    <row r="5864">
      <c r="A5864" s="28"/>
      <c r="B5864" s="29"/>
      <c r="C5864" s="29"/>
      <c r="E5864" s="29"/>
      <c r="F5864" s="29"/>
    </row>
    <row r="5865">
      <c r="A5865" s="28"/>
      <c r="B5865" s="29"/>
      <c r="C5865" s="29"/>
      <c r="E5865" s="29"/>
      <c r="F5865" s="29"/>
    </row>
    <row r="5866">
      <c r="A5866" s="28"/>
      <c r="B5866" s="29"/>
      <c r="C5866" s="29"/>
      <c r="E5866" s="29"/>
      <c r="F5866" s="29"/>
    </row>
    <row r="5867">
      <c r="A5867" s="28"/>
      <c r="B5867" s="29"/>
      <c r="C5867" s="29"/>
      <c r="E5867" s="29"/>
      <c r="F5867" s="29"/>
    </row>
    <row r="5868">
      <c r="A5868" s="28"/>
      <c r="B5868" s="29"/>
      <c r="C5868" s="29"/>
      <c r="E5868" s="29"/>
      <c r="F5868" s="29"/>
    </row>
    <row r="5869">
      <c r="A5869" s="28"/>
      <c r="B5869" s="29"/>
      <c r="C5869" s="29"/>
      <c r="E5869" s="29"/>
      <c r="F5869" s="29"/>
    </row>
    <row r="5870">
      <c r="A5870" s="28"/>
      <c r="B5870" s="29"/>
      <c r="C5870" s="29"/>
      <c r="E5870" s="29"/>
      <c r="F5870" s="29"/>
    </row>
    <row r="5871">
      <c r="A5871" s="28"/>
      <c r="B5871" s="29"/>
      <c r="C5871" s="29"/>
      <c r="E5871" s="29"/>
      <c r="F5871" s="29"/>
    </row>
    <row r="5872">
      <c r="A5872" s="28"/>
      <c r="B5872" s="29"/>
      <c r="C5872" s="29"/>
      <c r="E5872" s="29"/>
      <c r="F5872" s="29"/>
    </row>
    <row r="5873">
      <c r="A5873" s="28"/>
      <c r="B5873" s="29"/>
      <c r="C5873" s="29"/>
      <c r="E5873" s="29"/>
      <c r="F5873" s="29"/>
    </row>
    <row r="5874">
      <c r="A5874" s="28"/>
      <c r="B5874" s="29"/>
      <c r="C5874" s="29"/>
      <c r="E5874" s="29"/>
      <c r="F5874" s="29"/>
    </row>
    <row r="5875">
      <c r="A5875" s="28"/>
      <c r="B5875" s="29"/>
      <c r="C5875" s="29"/>
      <c r="E5875" s="29"/>
      <c r="F5875" s="29"/>
    </row>
    <row r="5876">
      <c r="A5876" s="28"/>
      <c r="B5876" s="29"/>
      <c r="C5876" s="29"/>
      <c r="E5876" s="29"/>
      <c r="F5876" s="29"/>
    </row>
    <row r="5877">
      <c r="A5877" s="28"/>
      <c r="B5877" s="29"/>
      <c r="C5877" s="29"/>
      <c r="E5877" s="29"/>
      <c r="F5877" s="29"/>
    </row>
    <row r="5878">
      <c r="A5878" s="28"/>
      <c r="B5878" s="29"/>
      <c r="C5878" s="29"/>
      <c r="E5878" s="29"/>
      <c r="F5878" s="29"/>
    </row>
    <row r="5879">
      <c r="A5879" s="28"/>
      <c r="B5879" s="29"/>
      <c r="C5879" s="29"/>
      <c r="E5879" s="29"/>
      <c r="F5879" s="29"/>
    </row>
    <row r="5880">
      <c r="A5880" s="28"/>
      <c r="B5880" s="29"/>
      <c r="C5880" s="29"/>
      <c r="E5880" s="29"/>
      <c r="F5880" s="29"/>
    </row>
    <row r="5881">
      <c r="A5881" s="28"/>
      <c r="B5881" s="29"/>
      <c r="C5881" s="29"/>
      <c r="E5881" s="29"/>
      <c r="F5881" s="29"/>
    </row>
    <row r="5882">
      <c r="A5882" s="28"/>
      <c r="B5882" s="29"/>
      <c r="C5882" s="29"/>
      <c r="E5882" s="29"/>
      <c r="F5882" s="29"/>
    </row>
    <row r="5883">
      <c r="A5883" s="28"/>
      <c r="B5883" s="29"/>
      <c r="C5883" s="29"/>
      <c r="E5883" s="29"/>
      <c r="F5883" s="29"/>
    </row>
    <row r="5884">
      <c r="A5884" s="28"/>
      <c r="B5884" s="29"/>
      <c r="C5884" s="29"/>
      <c r="E5884" s="29"/>
      <c r="F5884" s="29"/>
    </row>
    <row r="5885">
      <c r="A5885" s="28"/>
      <c r="B5885" s="29"/>
      <c r="C5885" s="29"/>
      <c r="E5885" s="29"/>
      <c r="F5885" s="29"/>
    </row>
    <row r="5886">
      <c r="A5886" s="28"/>
      <c r="B5886" s="29"/>
      <c r="C5886" s="29"/>
      <c r="E5886" s="29"/>
      <c r="F5886" s="29"/>
    </row>
    <row r="5887">
      <c r="A5887" s="28"/>
      <c r="B5887" s="29"/>
      <c r="C5887" s="29"/>
      <c r="E5887" s="29"/>
      <c r="F5887" s="29"/>
    </row>
    <row r="5888">
      <c r="A5888" s="28"/>
      <c r="B5888" s="29"/>
      <c r="C5888" s="29"/>
      <c r="E5888" s="29"/>
      <c r="F5888" s="29"/>
    </row>
    <row r="5889">
      <c r="A5889" s="28"/>
      <c r="B5889" s="29"/>
      <c r="C5889" s="29"/>
      <c r="E5889" s="29"/>
      <c r="F5889" s="29"/>
    </row>
    <row r="5890">
      <c r="A5890" s="28"/>
      <c r="B5890" s="29"/>
      <c r="C5890" s="29"/>
      <c r="E5890" s="29"/>
      <c r="F5890" s="29"/>
    </row>
    <row r="5891">
      <c r="A5891" s="28"/>
      <c r="B5891" s="29"/>
      <c r="C5891" s="29"/>
      <c r="E5891" s="29"/>
      <c r="F5891" s="29"/>
    </row>
    <row r="5892">
      <c r="A5892" s="28"/>
      <c r="B5892" s="29"/>
      <c r="C5892" s="29"/>
      <c r="E5892" s="29"/>
      <c r="F5892" s="29"/>
    </row>
    <row r="5893">
      <c r="A5893" s="28"/>
      <c r="B5893" s="29"/>
      <c r="C5893" s="29"/>
      <c r="E5893" s="29"/>
      <c r="F5893" s="29"/>
    </row>
    <row r="5894">
      <c r="A5894" s="28"/>
      <c r="B5894" s="29"/>
      <c r="C5894" s="29"/>
      <c r="E5894" s="29"/>
      <c r="F5894" s="29"/>
    </row>
    <row r="5895">
      <c r="A5895" s="28"/>
      <c r="B5895" s="29"/>
      <c r="C5895" s="29"/>
      <c r="E5895" s="29"/>
      <c r="F5895" s="29"/>
    </row>
    <row r="5896">
      <c r="A5896" s="28"/>
      <c r="B5896" s="29"/>
      <c r="C5896" s="29"/>
      <c r="E5896" s="29"/>
      <c r="F5896" s="29"/>
    </row>
    <row r="5897">
      <c r="A5897" s="28"/>
      <c r="B5897" s="29"/>
      <c r="C5897" s="29"/>
      <c r="E5897" s="29"/>
      <c r="F5897" s="29"/>
    </row>
    <row r="5898">
      <c r="A5898" s="28"/>
      <c r="B5898" s="29"/>
      <c r="C5898" s="29"/>
      <c r="E5898" s="29"/>
      <c r="F5898" s="29"/>
    </row>
    <row r="5899">
      <c r="A5899" s="28"/>
      <c r="B5899" s="29"/>
      <c r="C5899" s="29"/>
      <c r="E5899" s="29"/>
      <c r="F5899" s="29"/>
    </row>
    <row r="5900">
      <c r="A5900" s="28"/>
      <c r="B5900" s="29"/>
      <c r="C5900" s="29"/>
      <c r="E5900" s="29"/>
      <c r="F5900" s="29"/>
    </row>
    <row r="5901">
      <c r="A5901" s="28"/>
      <c r="B5901" s="29"/>
      <c r="C5901" s="29"/>
      <c r="E5901" s="29"/>
      <c r="F5901" s="29"/>
    </row>
    <row r="5902">
      <c r="A5902" s="28"/>
      <c r="B5902" s="29"/>
      <c r="C5902" s="29"/>
      <c r="E5902" s="29"/>
      <c r="F5902" s="29"/>
    </row>
    <row r="5903">
      <c r="A5903" s="28"/>
      <c r="B5903" s="29"/>
      <c r="C5903" s="29"/>
      <c r="E5903" s="29"/>
      <c r="F5903" s="29"/>
    </row>
    <row r="5904">
      <c r="A5904" s="28"/>
      <c r="B5904" s="29"/>
      <c r="C5904" s="29"/>
      <c r="E5904" s="29"/>
      <c r="F5904" s="29"/>
    </row>
    <row r="5905">
      <c r="A5905" s="28"/>
      <c r="B5905" s="29"/>
      <c r="C5905" s="29"/>
      <c r="E5905" s="29"/>
      <c r="F5905" s="29"/>
    </row>
    <row r="5906">
      <c r="A5906" s="28"/>
      <c r="B5906" s="29"/>
      <c r="C5906" s="29"/>
      <c r="E5906" s="29"/>
      <c r="F5906" s="29"/>
    </row>
    <row r="5907">
      <c r="A5907" s="28"/>
      <c r="B5907" s="29"/>
      <c r="C5907" s="29"/>
      <c r="E5907" s="29"/>
      <c r="F5907" s="29"/>
    </row>
    <row r="5908">
      <c r="A5908" s="28"/>
      <c r="B5908" s="29"/>
      <c r="C5908" s="29"/>
      <c r="E5908" s="29"/>
      <c r="F5908" s="29"/>
    </row>
    <row r="5909">
      <c r="A5909" s="28"/>
      <c r="B5909" s="29"/>
      <c r="C5909" s="29"/>
      <c r="E5909" s="29"/>
      <c r="F5909" s="29"/>
    </row>
    <row r="5910">
      <c r="A5910" s="28"/>
      <c r="B5910" s="29"/>
      <c r="C5910" s="29"/>
      <c r="E5910" s="29"/>
      <c r="F5910" s="29"/>
    </row>
    <row r="5911">
      <c r="A5911" s="28"/>
      <c r="B5911" s="29"/>
      <c r="C5911" s="29"/>
      <c r="E5911" s="29"/>
      <c r="F5911" s="29"/>
    </row>
    <row r="5912">
      <c r="A5912" s="28"/>
      <c r="B5912" s="29"/>
      <c r="C5912" s="29"/>
      <c r="E5912" s="29"/>
      <c r="F5912" s="29"/>
    </row>
    <row r="5913">
      <c r="A5913" s="28"/>
      <c r="B5913" s="29"/>
      <c r="C5913" s="29"/>
      <c r="E5913" s="29"/>
      <c r="F5913" s="29"/>
    </row>
    <row r="5914">
      <c r="A5914" s="28"/>
      <c r="B5914" s="29"/>
      <c r="C5914" s="29"/>
      <c r="E5914" s="29"/>
      <c r="F5914" s="29"/>
    </row>
    <row r="5915">
      <c r="A5915" s="28"/>
      <c r="B5915" s="29"/>
      <c r="C5915" s="29"/>
      <c r="E5915" s="29"/>
      <c r="F5915" s="29"/>
    </row>
    <row r="5916">
      <c r="A5916" s="28"/>
      <c r="B5916" s="29"/>
      <c r="C5916" s="29"/>
      <c r="E5916" s="29"/>
      <c r="F5916" s="29"/>
    </row>
    <row r="5917">
      <c r="A5917" s="28"/>
      <c r="B5917" s="29"/>
      <c r="C5917" s="29"/>
      <c r="E5917" s="29"/>
      <c r="F5917" s="29"/>
    </row>
    <row r="5918">
      <c r="A5918" s="28"/>
      <c r="B5918" s="29"/>
      <c r="C5918" s="29"/>
      <c r="E5918" s="29"/>
      <c r="F5918" s="29"/>
    </row>
    <row r="5919">
      <c r="A5919" s="28"/>
      <c r="B5919" s="29"/>
      <c r="C5919" s="29"/>
      <c r="E5919" s="29"/>
      <c r="F5919" s="29"/>
    </row>
    <row r="5920">
      <c r="A5920" s="28"/>
      <c r="B5920" s="29"/>
      <c r="C5920" s="29"/>
      <c r="E5920" s="29"/>
      <c r="F5920" s="29"/>
    </row>
    <row r="5921">
      <c r="A5921" s="28"/>
      <c r="B5921" s="29"/>
      <c r="C5921" s="29"/>
      <c r="E5921" s="29"/>
      <c r="F5921" s="29"/>
    </row>
    <row r="5922">
      <c r="A5922" s="28"/>
      <c r="B5922" s="29"/>
      <c r="C5922" s="29"/>
      <c r="E5922" s="29"/>
      <c r="F5922" s="29"/>
    </row>
    <row r="5923">
      <c r="A5923" s="28"/>
      <c r="B5923" s="29"/>
      <c r="C5923" s="29"/>
      <c r="E5923" s="29"/>
      <c r="F5923" s="29"/>
    </row>
    <row r="5924">
      <c r="A5924" s="28"/>
      <c r="B5924" s="29"/>
      <c r="C5924" s="29"/>
      <c r="E5924" s="29"/>
      <c r="F5924" s="29"/>
    </row>
    <row r="5925">
      <c r="A5925" s="28"/>
      <c r="B5925" s="29"/>
      <c r="C5925" s="29"/>
      <c r="E5925" s="29"/>
      <c r="F5925" s="29"/>
    </row>
    <row r="5926">
      <c r="A5926" s="28"/>
      <c r="B5926" s="29"/>
      <c r="C5926" s="29"/>
      <c r="E5926" s="29"/>
      <c r="F5926" s="29"/>
    </row>
    <row r="5927">
      <c r="A5927" s="28"/>
      <c r="B5927" s="29"/>
      <c r="C5927" s="29"/>
      <c r="E5927" s="29"/>
      <c r="F5927" s="29"/>
    </row>
    <row r="5928">
      <c r="A5928" s="28"/>
      <c r="B5928" s="29"/>
      <c r="C5928" s="29"/>
      <c r="E5928" s="29"/>
      <c r="F5928" s="29"/>
    </row>
    <row r="5929">
      <c r="A5929" s="28"/>
      <c r="B5929" s="29"/>
      <c r="C5929" s="29"/>
      <c r="E5929" s="29"/>
      <c r="F5929" s="29"/>
    </row>
    <row r="5930">
      <c r="A5930" s="28"/>
      <c r="B5930" s="29"/>
      <c r="C5930" s="29"/>
      <c r="E5930" s="29"/>
      <c r="F5930" s="29"/>
    </row>
    <row r="5931">
      <c r="A5931" s="28"/>
      <c r="B5931" s="29"/>
      <c r="C5931" s="29"/>
      <c r="E5931" s="29"/>
      <c r="F5931" s="29"/>
    </row>
    <row r="5932">
      <c r="A5932" s="28"/>
      <c r="B5932" s="29"/>
      <c r="C5932" s="29"/>
      <c r="E5932" s="29"/>
      <c r="F5932" s="29"/>
    </row>
    <row r="5933">
      <c r="A5933" s="28"/>
      <c r="B5933" s="29"/>
      <c r="C5933" s="29"/>
      <c r="E5933" s="29"/>
      <c r="F5933" s="29"/>
    </row>
    <row r="5934">
      <c r="A5934" s="28"/>
      <c r="B5934" s="29"/>
      <c r="C5934" s="29"/>
      <c r="E5934" s="29"/>
      <c r="F5934" s="29"/>
    </row>
    <row r="5935">
      <c r="A5935" s="28"/>
      <c r="B5935" s="29"/>
      <c r="C5935" s="29"/>
      <c r="E5935" s="29"/>
      <c r="F5935" s="29"/>
    </row>
    <row r="5936">
      <c r="A5936" s="28"/>
      <c r="B5936" s="29"/>
      <c r="C5936" s="29"/>
      <c r="E5936" s="29"/>
      <c r="F5936" s="29"/>
    </row>
    <row r="5937">
      <c r="A5937" s="28"/>
      <c r="B5937" s="29"/>
      <c r="C5937" s="29"/>
      <c r="E5937" s="29"/>
      <c r="F5937" s="29"/>
    </row>
    <row r="5938">
      <c r="A5938" s="28"/>
      <c r="B5938" s="29"/>
      <c r="C5938" s="29"/>
      <c r="E5938" s="29"/>
      <c r="F5938" s="29"/>
    </row>
    <row r="5939">
      <c r="A5939" s="28"/>
      <c r="B5939" s="29"/>
      <c r="C5939" s="29"/>
      <c r="E5939" s="29"/>
      <c r="F5939" s="29"/>
    </row>
    <row r="5940">
      <c r="A5940" s="28"/>
      <c r="B5940" s="29"/>
      <c r="C5940" s="29"/>
      <c r="E5940" s="29"/>
      <c r="F5940" s="29"/>
    </row>
    <row r="5941">
      <c r="A5941" s="28"/>
      <c r="B5941" s="29"/>
      <c r="C5941" s="29"/>
      <c r="E5941" s="29"/>
      <c r="F5941" s="29"/>
    </row>
    <row r="5942">
      <c r="A5942" s="28"/>
      <c r="B5942" s="29"/>
      <c r="C5942" s="29"/>
      <c r="E5942" s="29"/>
      <c r="F5942" s="29"/>
    </row>
    <row r="5943">
      <c r="A5943" s="28"/>
      <c r="B5943" s="29"/>
      <c r="C5943" s="29"/>
      <c r="E5943" s="29"/>
      <c r="F5943" s="29"/>
    </row>
    <row r="5944">
      <c r="A5944" s="28"/>
      <c r="B5944" s="29"/>
      <c r="C5944" s="29"/>
      <c r="E5944" s="29"/>
      <c r="F5944" s="29"/>
    </row>
    <row r="5945">
      <c r="A5945" s="28"/>
      <c r="B5945" s="29"/>
      <c r="C5945" s="29"/>
      <c r="E5945" s="29"/>
      <c r="F5945" s="29"/>
    </row>
    <row r="5946">
      <c r="A5946" s="28"/>
      <c r="B5946" s="29"/>
      <c r="C5946" s="29"/>
      <c r="E5946" s="29"/>
      <c r="F5946" s="29"/>
    </row>
    <row r="5947">
      <c r="A5947" s="28"/>
      <c r="B5947" s="29"/>
      <c r="C5947" s="29"/>
      <c r="E5947" s="29"/>
      <c r="F5947" s="29"/>
    </row>
    <row r="5948">
      <c r="A5948" s="28"/>
      <c r="B5948" s="29"/>
      <c r="C5948" s="29"/>
      <c r="E5948" s="29"/>
      <c r="F5948" s="29"/>
    </row>
    <row r="5949">
      <c r="A5949" s="28"/>
      <c r="B5949" s="29"/>
      <c r="C5949" s="29"/>
      <c r="E5949" s="29"/>
      <c r="F5949" s="29"/>
    </row>
    <row r="5950">
      <c r="A5950" s="28"/>
      <c r="B5950" s="29"/>
      <c r="C5950" s="29"/>
      <c r="E5950" s="29"/>
      <c r="F5950" s="29"/>
    </row>
    <row r="5951">
      <c r="A5951" s="28"/>
      <c r="B5951" s="29"/>
      <c r="C5951" s="29"/>
      <c r="E5951" s="29"/>
      <c r="F5951" s="29"/>
    </row>
    <row r="5952">
      <c r="A5952" s="28"/>
      <c r="B5952" s="29"/>
      <c r="C5952" s="29"/>
      <c r="E5952" s="29"/>
      <c r="F5952" s="29"/>
    </row>
    <row r="5953">
      <c r="A5953" s="28"/>
      <c r="B5953" s="29"/>
      <c r="C5953" s="29"/>
      <c r="E5953" s="29"/>
      <c r="F5953" s="29"/>
    </row>
    <row r="5954">
      <c r="A5954" s="28"/>
      <c r="B5954" s="29"/>
      <c r="C5954" s="29"/>
      <c r="E5954" s="29"/>
      <c r="F5954" s="29"/>
    </row>
    <row r="5955">
      <c r="A5955" s="28"/>
      <c r="B5955" s="29"/>
      <c r="C5955" s="29"/>
      <c r="E5955" s="29"/>
      <c r="F5955" s="29"/>
    </row>
    <row r="5956">
      <c r="A5956" s="28"/>
      <c r="B5956" s="29"/>
      <c r="C5956" s="29"/>
      <c r="E5956" s="29"/>
      <c r="F5956" s="29"/>
    </row>
    <row r="5957">
      <c r="A5957" s="28"/>
      <c r="B5957" s="29"/>
      <c r="C5957" s="29"/>
      <c r="E5957" s="29"/>
      <c r="F5957" s="29"/>
    </row>
    <row r="5958">
      <c r="A5958" s="28"/>
      <c r="B5958" s="29"/>
      <c r="C5958" s="29"/>
      <c r="E5958" s="29"/>
      <c r="F5958" s="29"/>
    </row>
    <row r="5959">
      <c r="A5959" s="28"/>
      <c r="B5959" s="29"/>
      <c r="C5959" s="29"/>
      <c r="E5959" s="29"/>
      <c r="F5959" s="29"/>
    </row>
    <row r="5960">
      <c r="A5960" s="28"/>
      <c r="B5960" s="29"/>
      <c r="C5960" s="29"/>
      <c r="E5960" s="29"/>
      <c r="F5960" s="29"/>
    </row>
    <row r="5961">
      <c r="A5961" s="28"/>
      <c r="B5961" s="29"/>
      <c r="C5961" s="29"/>
      <c r="E5961" s="29"/>
      <c r="F5961" s="29"/>
    </row>
    <row r="5962">
      <c r="A5962" s="28"/>
      <c r="B5962" s="29"/>
      <c r="C5962" s="29"/>
      <c r="E5962" s="29"/>
      <c r="F5962" s="29"/>
    </row>
    <row r="5963">
      <c r="A5963" s="28"/>
      <c r="B5963" s="29"/>
      <c r="C5963" s="29"/>
      <c r="E5963" s="29"/>
      <c r="F5963" s="29"/>
    </row>
    <row r="5964">
      <c r="A5964" s="28"/>
      <c r="B5964" s="29"/>
      <c r="C5964" s="29"/>
      <c r="E5964" s="29"/>
      <c r="F5964" s="29"/>
    </row>
    <row r="5965">
      <c r="A5965" s="28"/>
      <c r="B5965" s="29"/>
      <c r="C5965" s="29"/>
      <c r="E5965" s="29"/>
      <c r="F5965" s="29"/>
    </row>
    <row r="5966">
      <c r="A5966" s="28"/>
      <c r="B5966" s="29"/>
      <c r="C5966" s="29"/>
      <c r="E5966" s="29"/>
      <c r="F5966" s="29"/>
    </row>
    <row r="5967">
      <c r="A5967" s="28"/>
      <c r="B5967" s="29"/>
      <c r="C5967" s="29"/>
      <c r="E5967" s="29"/>
      <c r="F5967" s="29"/>
    </row>
    <row r="5968">
      <c r="A5968" s="28"/>
      <c r="B5968" s="29"/>
      <c r="C5968" s="29"/>
      <c r="E5968" s="29"/>
      <c r="F5968" s="29"/>
    </row>
    <row r="5969">
      <c r="A5969" s="28"/>
      <c r="B5969" s="29"/>
      <c r="C5969" s="29"/>
      <c r="E5969" s="29"/>
      <c r="F5969" s="29"/>
    </row>
    <row r="5970">
      <c r="A5970" s="28"/>
      <c r="B5970" s="29"/>
      <c r="C5970" s="29"/>
      <c r="E5970" s="29"/>
      <c r="F5970" s="29"/>
    </row>
    <row r="5971">
      <c r="A5971" s="28"/>
      <c r="B5971" s="29"/>
      <c r="C5971" s="29"/>
      <c r="E5971" s="29"/>
      <c r="F5971" s="29"/>
    </row>
    <row r="5972">
      <c r="A5972" s="28"/>
      <c r="B5972" s="29"/>
      <c r="C5972" s="29"/>
      <c r="E5972" s="29"/>
      <c r="F5972" s="29"/>
    </row>
    <row r="5973">
      <c r="A5973" s="28"/>
      <c r="B5973" s="29"/>
      <c r="C5973" s="29"/>
      <c r="E5973" s="29"/>
      <c r="F5973" s="29"/>
    </row>
    <row r="5974">
      <c r="A5974" s="28"/>
      <c r="B5974" s="29"/>
      <c r="C5974" s="29"/>
      <c r="E5974" s="29"/>
      <c r="F5974" s="29"/>
    </row>
    <row r="5975">
      <c r="A5975" s="28"/>
      <c r="B5975" s="29"/>
      <c r="C5975" s="29"/>
      <c r="E5975" s="29"/>
      <c r="F5975" s="29"/>
    </row>
    <row r="5976">
      <c r="A5976" s="28"/>
      <c r="B5976" s="29"/>
      <c r="C5976" s="29"/>
      <c r="E5976" s="29"/>
      <c r="F5976" s="29"/>
    </row>
    <row r="5977">
      <c r="A5977" s="28"/>
      <c r="B5977" s="29"/>
      <c r="C5977" s="29"/>
      <c r="E5977" s="29"/>
      <c r="F5977" s="29"/>
    </row>
    <row r="5978">
      <c r="A5978" s="28"/>
      <c r="B5978" s="29"/>
      <c r="C5978" s="29"/>
      <c r="E5978" s="29"/>
      <c r="F5978" s="29"/>
    </row>
    <row r="5979">
      <c r="A5979" s="28"/>
      <c r="B5979" s="29"/>
      <c r="C5979" s="29"/>
      <c r="E5979" s="29"/>
      <c r="F5979" s="29"/>
    </row>
    <row r="5980">
      <c r="A5980" s="28"/>
      <c r="B5980" s="29"/>
      <c r="C5980" s="29"/>
      <c r="E5980" s="29"/>
      <c r="F5980" s="29"/>
    </row>
    <row r="5981">
      <c r="A5981" s="28"/>
      <c r="B5981" s="29"/>
      <c r="C5981" s="29"/>
      <c r="E5981" s="29"/>
      <c r="F5981" s="29"/>
    </row>
    <row r="5982">
      <c r="A5982" s="28"/>
      <c r="B5982" s="29"/>
      <c r="C5982" s="29"/>
      <c r="E5982" s="29"/>
      <c r="F5982" s="29"/>
    </row>
    <row r="5983">
      <c r="A5983" s="28"/>
      <c r="B5983" s="29"/>
      <c r="C5983" s="29"/>
      <c r="E5983" s="29"/>
      <c r="F5983" s="29"/>
    </row>
    <row r="5984">
      <c r="A5984" s="28"/>
      <c r="B5984" s="29"/>
      <c r="C5984" s="29"/>
      <c r="E5984" s="29"/>
      <c r="F5984" s="29"/>
    </row>
    <row r="5985">
      <c r="A5985" s="28"/>
      <c r="B5985" s="29"/>
      <c r="C5985" s="29"/>
      <c r="E5985" s="29"/>
      <c r="F5985" s="29"/>
    </row>
    <row r="5986">
      <c r="A5986" s="28"/>
      <c r="B5986" s="29"/>
      <c r="C5986" s="29"/>
      <c r="E5986" s="29"/>
      <c r="F5986" s="29"/>
    </row>
    <row r="5987">
      <c r="A5987" s="28"/>
      <c r="B5987" s="29"/>
      <c r="C5987" s="29"/>
      <c r="E5987" s="29"/>
      <c r="F5987" s="29"/>
    </row>
    <row r="5988">
      <c r="A5988" s="28"/>
      <c r="B5988" s="29"/>
      <c r="C5988" s="29"/>
      <c r="E5988" s="29"/>
      <c r="F5988" s="29"/>
    </row>
    <row r="5989">
      <c r="A5989" s="28"/>
      <c r="B5989" s="29"/>
      <c r="C5989" s="29"/>
      <c r="E5989" s="29"/>
      <c r="F5989" s="29"/>
    </row>
    <row r="5990">
      <c r="A5990" s="28"/>
      <c r="B5990" s="29"/>
      <c r="C5990" s="29"/>
      <c r="E5990" s="29"/>
      <c r="F5990" s="29"/>
    </row>
    <row r="5991">
      <c r="A5991" s="28"/>
      <c r="B5991" s="29"/>
      <c r="C5991" s="29"/>
      <c r="E5991" s="29"/>
      <c r="F5991" s="29"/>
    </row>
    <row r="5992">
      <c r="A5992" s="28"/>
      <c r="B5992" s="29"/>
      <c r="C5992" s="29"/>
      <c r="E5992" s="29"/>
      <c r="F5992" s="29"/>
    </row>
    <row r="5993">
      <c r="A5993" s="28"/>
      <c r="B5993" s="29"/>
      <c r="C5993" s="29"/>
      <c r="E5993" s="29"/>
      <c r="F5993" s="29"/>
    </row>
    <row r="5994">
      <c r="A5994" s="28"/>
      <c r="B5994" s="29"/>
      <c r="C5994" s="29"/>
      <c r="E5994" s="29"/>
      <c r="F5994" s="29"/>
    </row>
    <row r="5995">
      <c r="A5995" s="28"/>
      <c r="B5995" s="29"/>
      <c r="C5995" s="29"/>
      <c r="E5995" s="29"/>
      <c r="F5995" s="29"/>
    </row>
    <row r="5996">
      <c r="A5996" s="28"/>
      <c r="B5996" s="29"/>
      <c r="C5996" s="29"/>
      <c r="E5996" s="29"/>
      <c r="F5996" s="29"/>
    </row>
    <row r="5997">
      <c r="A5997" s="28"/>
      <c r="B5997" s="29"/>
      <c r="C5997" s="29"/>
      <c r="E5997" s="29"/>
      <c r="F5997" s="29"/>
    </row>
    <row r="5998">
      <c r="A5998" s="28"/>
      <c r="B5998" s="29"/>
      <c r="C5998" s="29"/>
      <c r="E5998" s="29"/>
      <c r="F5998" s="29"/>
    </row>
    <row r="5999">
      <c r="A5999" s="28"/>
      <c r="B5999" s="29"/>
      <c r="C5999" s="29"/>
      <c r="E5999" s="29"/>
      <c r="F5999" s="29"/>
    </row>
    <row r="6000">
      <c r="A6000" s="28"/>
      <c r="B6000" s="29"/>
      <c r="C6000" s="29"/>
      <c r="E6000" s="29"/>
      <c r="F6000" s="29"/>
    </row>
    <row r="6001">
      <c r="A6001" s="28"/>
      <c r="B6001" s="29"/>
      <c r="C6001" s="29"/>
      <c r="E6001" s="29"/>
      <c r="F6001" s="29"/>
    </row>
    <row r="6002">
      <c r="A6002" s="28"/>
      <c r="B6002" s="29"/>
      <c r="C6002" s="29"/>
      <c r="E6002" s="29"/>
      <c r="F6002" s="29"/>
    </row>
    <row r="6003">
      <c r="A6003" s="28"/>
      <c r="B6003" s="29"/>
      <c r="C6003" s="29"/>
      <c r="E6003" s="29"/>
      <c r="F6003" s="29"/>
    </row>
    <row r="6004">
      <c r="A6004" s="28"/>
      <c r="B6004" s="29"/>
      <c r="C6004" s="29"/>
      <c r="E6004" s="29"/>
      <c r="F6004" s="29"/>
    </row>
    <row r="6005">
      <c r="A6005" s="28"/>
      <c r="B6005" s="29"/>
      <c r="C6005" s="29"/>
      <c r="E6005" s="29"/>
      <c r="F6005" s="29"/>
    </row>
    <row r="6006">
      <c r="A6006" s="28"/>
      <c r="B6006" s="29"/>
      <c r="C6006" s="29"/>
      <c r="E6006" s="29"/>
      <c r="F6006" s="29"/>
    </row>
    <row r="6007">
      <c r="A6007" s="28"/>
      <c r="B6007" s="29"/>
      <c r="C6007" s="29"/>
      <c r="E6007" s="29"/>
      <c r="F6007" s="29"/>
    </row>
    <row r="6008">
      <c r="A6008" s="28"/>
      <c r="B6008" s="29"/>
      <c r="C6008" s="29"/>
      <c r="E6008" s="29"/>
      <c r="F6008" s="29"/>
    </row>
    <row r="6009">
      <c r="A6009" s="28"/>
      <c r="B6009" s="29"/>
      <c r="C6009" s="29"/>
      <c r="E6009" s="29"/>
      <c r="F6009" s="29"/>
    </row>
    <row r="6010">
      <c r="A6010" s="28"/>
      <c r="B6010" s="29"/>
      <c r="C6010" s="29"/>
      <c r="E6010" s="29"/>
      <c r="F6010" s="29"/>
    </row>
    <row r="6011">
      <c r="A6011" s="28"/>
      <c r="B6011" s="29"/>
      <c r="C6011" s="29"/>
      <c r="E6011" s="29"/>
      <c r="F6011" s="29"/>
    </row>
    <row r="6012">
      <c r="A6012" s="28"/>
      <c r="B6012" s="29"/>
      <c r="C6012" s="29"/>
      <c r="E6012" s="29"/>
      <c r="F6012" s="29"/>
    </row>
    <row r="6013">
      <c r="A6013" s="28"/>
      <c r="B6013" s="29"/>
      <c r="C6013" s="29"/>
      <c r="E6013" s="29"/>
      <c r="F6013" s="29"/>
    </row>
    <row r="6014">
      <c r="A6014" s="28"/>
      <c r="B6014" s="29"/>
      <c r="C6014" s="29"/>
      <c r="E6014" s="29"/>
      <c r="F6014" s="29"/>
    </row>
    <row r="6015">
      <c r="A6015" s="28"/>
      <c r="B6015" s="29"/>
      <c r="C6015" s="29"/>
      <c r="E6015" s="29"/>
      <c r="F6015" s="29"/>
    </row>
    <row r="6016">
      <c r="A6016" s="28"/>
      <c r="B6016" s="29"/>
      <c r="C6016" s="29"/>
      <c r="E6016" s="29"/>
      <c r="F6016" s="29"/>
    </row>
    <row r="6017">
      <c r="A6017" s="28"/>
      <c r="B6017" s="29"/>
      <c r="C6017" s="29"/>
      <c r="E6017" s="29"/>
      <c r="F6017" s="29"/>
    </row>
    <row r="6018">
      <c r="A6018" s="28"/>
      <c r="B6018" s="29"/>
      <c r="C6018" s="29"/>
      <c r="E6018" s="29"/>
      <c r="F6018" s="29"/>
    </row>
    <row r="6019">
      <c r="A6019" s="28"/>
      <c r="B6019" s="29"/>
      <c r="C6019" s="29"/>
      <c r="E6019" s="29"/>
      <c r="F6019" s="29"/>
    </row>
    <row r="6020">
      <c r="A6020" s="28"/>
      <c r="B6020" s="29"/>
      <c r="C6020" s="29"/>
      <c r="E6020" s="29"/>
      <c r="F6020" s="29"/>
    </row>
    <row r="6021">
      <c r="A6021" s="28"/>
      <c r="B6021" s="29"/>
      <c r="C6021" s="29"/>
      <c r="E6021" s="29"/>
      <c r="F6021" s="29"/>
    </row>
    <row r="6022">
      <c r="A6022" s="28"/>
      <c r="B6022" s="29"/>
      <c r="C6022" s="29"/>
      <c r="E6022" s="29"/>
      <c r="F6022" s="29"/>
    </row>
    <row r="6023">
      <c r="A6023" s="28"/>
      <c r="B6023" s="29"/>
      <c r="C6023" s="29"/>
      <c r="E6023" s="29"/>
      <c r="F6023" s="29"/>
    </row>
    <row r="6024">
      <c r="A6024" s="28"/>
      <c r="B6024" s="29"/>
      <c r="C6024" s="29"/>
      <c r="E6024" s="29"/>
      <c r="F6024" s="29"/>
    </row>
    <row r="6025">
      <c r="A6025" s="28"/>
      <c r="B6025" s="29"/>
      <c r="C6025" s="29"/>
      <c r="E6025" s="29"/>
      <c r="F6025" s="29"/>
    </row>
    <row r="6026">
      <c r="A6026" s="28"/>
      <c r="B6026" s="29"/>
      <c r="C6026" s="29"/>
      <c r="E6026" s="29"/>
      <c r="F6026" s="29"/>
    </row>
    <row r="6027">
      <c r="A6027" s="28"/>
      <c r="B6027" s="29"/>
      <c r="C6027" s="29"/>
      <c r="E6027" s="29"/>
      <c r="F6027" s="29"/>
    </row>
    <row r="6028">
      <c r="A6028" s="28"/>
      <c r="B6028" s="29"/>
      <c r="C6028" s="29"/>
      <c r="E6028" s="29"/>
      <c r="F6028" s="29"/>
    </row>
    <row r="6029">
      <c r="A6029" s="28"/>
      <c r="B6029" s="29"/>
      <c r="C6029" s="29"/>
      <c r="E6029" s="29"/>
      <c r="F6029" s="29"/>
    </row>
    <row r="6030">
      <c r="A6030" s="28"/>
      <c r="B6030" s="29"/>
      <c r="C6030" s="29"/>
      <c r="E6030" s="29"/>
      <c r="F6030" s="29"/>
    </row>
    <row r="6031">
      <c r="A6031" s="28"/>
      <c r="B6031" s="29"/>
      <c r="C6031" s="29"/>
      <c r="E6031" s="29"/>
      <c r="F6031" s="29"/>
    </row>
    <row r="6032">
      <c r="A6032" s="28"/>
      <c r="B6032" s="29"/>
      <c r="C6032" s="29"/>
      <c r="E6032" s="29"/>
      <c r="F6032" s="29"/>
    </row>
    <row r="6033">
      <c r="A6033" s="28"/>
      <c r="B6033" s="29"/>
      <c r="C6033" s="29"/>
      <c r="E6033" s="29"/>
      <c r="F6033" s="29"/>
    </row>
    <row r="6034">
      <c r="A6034" s="28"/>
      <c r="B6034" s="29"/>
      <c r="C6034" s="29"/>
      <c r="E6034" s="29"/>
      <c r="F6034" s="29"/>
    </row>
    <row r="6035">
      <c r="A6035" s="28"/>
      <c r="B6035" s="29"/>
      <c r="C6035" s="29"/>
      <c r="E6035" s="29"/>
      <c r="F6035" s="29"/>
    </row>
    <row r="6036">
      <c r="A6036" s="28"/>
      <c r="B6036" s="29"/>
      <c r="C6036" s="29"/>
      <c r="E6036" s="29"/>
      <c r="F6036" s="29"/>
    </row>
    <row r="6037">
      <c r="A6037" s="28"/>
      <c r="B6037" s="29"/>
      <c r="C6037" s="29"/>
      <c r="E6037" s="29"/>
      <c r="F6037" s="29"/>
    </row>
    <row r="6038">
      <c r="A6038" s="28"/>
      <c r="B6038" s="29"/>
      <c r="C6038" s="29"/>
      <c r="E6038" s="29"/>
      <c r="F6038" s="29"/>
    </row>
    <row r="6039">
      <c r="A6039" s="28"/>
      <c r="B6039" s="29"/>
      <c r="C6039" s="29"/>
      <c r="E6039" s="29"/>
      <c r="F6039" s="29"/>
    </row>
    <row r="6040">
      <c r="A6040" s="28"/>
      <c r="B6040" s="29"/>
      <c r="C6040" s="29"/>
      <c r="E6040" s="29"/>
      <c r="F6040" s="29"/>
    </row>
    <row r="6041">
      <c r="A6041" s="28"/>
      <c r="B6041" s="29"/>
      <c r="C6041" s="29"/>
      <c r="E6041" s="29"/>
      <c r="F6041" s="29"/>
    </row>
    <row r="6042">
      <c r="A6042" s="28"/>
      <c r="B6042" s="29"/>
      <c r="C6042" s="29"/>
      <c r="E6042" s="29"/>
      <c r="F6042" s="29"/>
    </row>
    <row r="6043">
      <c r="A6043" s="28"/>
      <c r="B6043" s="29"/>
      <c r="C6043" s="29"/>
      <c r="E6043" s="29"/>
      <c r="F6043" s="29"/>
    </row>
    <row r="6044">
      <c r="A6044" s="28"/>
      <c r="B6044" s="29"/>
      <c r="C6044" s="29"/>
      <c r="E6044" s="29"/>
      <c r="F6044" s="29"/>
    </row>
    <row r="6045">
      <c r="A6045" s="28"/>
      <c r="B6045" s="29"/>
      <c r="C6045" s="29"/>
      <c r="E6045" s="29"/>
      <c r="F6045" s="29"/>
    </row>
    <row r="6046">
      <c r="A6046" s="28"/>
      <c r="B6046" s="29"/>
      <c r="C6046" s="29"/>
      <c r="E6046" s="29"/>
      <c r="F6046" s="29"/>
    </row>
    <row r="6047">
      <c r="A6047" s="28"/>
      <c r="B6047" s="29"/>
      <c r="C6047" s="29"/>
      <c r="E6047" s="29"/>
      <c r="F6047" s="29"/>
    </row>
    <row r="6048">
      <c r="A6048" s="28"/>
      <c r="B6048" s="29"/>
      <c r="C6048" s="29"/>
      <c r="E6048" s="29"/>
      <c r="F6048" s="29"/>
    </row>
    <row r="6049">
      <c r="A6049" s="28"/>
      <c r="B6049" s="29"/>
      <c r="C6049" s="29"/>
      <c r="E6049" s="29"/>
      <c r="F6049" s="29"/>
    </row>
    <row r="6050">
      <c r="A6050" s="28"/>
      <c r="B6050" s="29"/>
      <c r="C6050" s="29"/>
      <c r="E6050" s="29"/>
      <c r="F6050" s="29"/>
    </row>
    <row r="6051">
      <c r="A6051" s="28"/>
      <c r="B6051" s="29"/>
      <c r="C6051" s="29"/>
      <c r="E6051" s="29"/>
      <c r="F6051" s="29"/>
    </row>
    <row r="6052">
      <c r="A6052" s="28"/>
      <c r="B6052" s="29"/>
      <c r="C6052" s="29"/>
      <c r="E6052" s="29"/>
      <c r="F6052" s="29"/>
    </row>
    <row r="6053">
      <c r="A6053" s="28"/>
      <c r="B6053" s="29"/>
      <c r="C6053" s="29"/>
      <c r="E6053" s="29"/>
      <c r="F6053" s="29"/>
    </row>
    <row r="6054">
      <c r="A6054" s="28"/>
      <c r="B6054" s="29"/>
      <c r="C6054" s="29"/>
      <c r="E6054" s="29"/>
      <c r="F6054" s="29"/>
    </row>
    <row r="6055">
      <c r="A6055" s="28"/>
      <c r="B6055" s="29"/>
      <c r="C6055" s="29"/>
      <c r="E6055" s="29"/>
      <c r="F6055" s="29"/>
    </row>
    <row r="6056">
      <c r="A6056" s="28"/>
      <c r="B6056" s="29"/>
      <c r="C6056" s="29"/>
      <c r="E6056" s="29"/>
      <c r="F6056" s="29"/>
    </row>
    <row r="6057">
      <c r="A6057" s="28"/>
      <c r="B6057" s="29"/>
      <c r="C6057" s="29"/>
      <c r="E6057" s="29"/>
      <c r="F6057" s="29"/>
    </row>
    <row r="6058">
      <c r="A6058" s="28"/>
      <c r="B6058" s="29"/>
      <c r="C6058" s="29"/>
      <c r="E6058" s="29"/>
      <c r="F6058" s="29"/>
    </row>
    <row r="6059">
      <c r="A6059" s="28"/>
      <c r="B6059" s="29"/>
      <c r="C6059" s="29"/>
      <c r="E6059" s="29"/>
      <c r="F6059" s="29"/>
    </row>
    <row r="6060">
      <c r="A6060" s="28"/>
      <c r="B6060" s="29"/>
      <c r="C6060" s="29"/>
      <c r="E6060" s="29"/>
      <c r="F6060" s="29"/>
    </row>
    <row r="6061">
      <c r="A6061" s="28"/>
      <c r="B6061" s="29"/>
      <c r="C6061" s="29"/>
      <c r="E6061" s="29"/>
      <c r="F6061" s="29"/>
    </row>
    <row r="6062">
      <c r="A6062" s="28"/>
      <c r="B6062" s="29"/>
      <c r="C6062" s="29"/>
      <c r="E6062" s="29"/>
      <c r="F6062" s="29"/>
    </row>
    <row r="6063">
      <c r="A6063" s="28"/>
      <c r="B6063" s="29"/>
      <c r="C6063" s="29"/>
      <c r="E6063" s="29"/>
      <c r="F6063" s="29"/>
    </row>
    <row r="6064">
      <c r="A6064" s="28"/>
      <c r="B6064" s="29"/>
      <c r="C6064" s="29"/>
      <c r="E6064" s="29"/>
      <c r="F6064" s="29"/>
    </row>
    <row r="6065">
      <c r="A6065" s="28"/>
      <c r="B6065" s="29"/>
      <c r="C6065" s="29"/>
      <c r="E6065" s="29"/>
      <c r="F6065" s="29"/>
    </row>
    <row r="6066">
      <c r="A6066" s="28"/>
      <c r="B6066" s="29"/>
      <c r="C6066" s="29"/>
      <c r="E6066" s="29"/>
      <c r="F6066" s="29"/>
    </row>
    <row r="6067">
      <c r="A6067" s="28"/>
      <c r="B6067" s="29"/>
      <c r="C6067" s="29"/>
      <c r="E6067" s="29"/>
      <c r="F6067" s="29"/>
    </row>
    <row r="6068">
      <c r="A6068" s="28"/>
      <c r="B6068" s="29"/>
      <c r="C6068" s="29"/>
      <c r="E6068" s="29"/>
      <c r="F6068" s="29"/>
    </row>
    <row r="6069">
      <c r="A6069" s="28"/>
      <c r="B6069" s="29"/>
      <c r="C6069" s="29"/>
      <c r="E6069" s="29"/>
      <c r="F6069" s="29"/>
    </row>
    <row r="6070">
      <c r="A6070" s="28"/>
      <c r="B6070" s="29"/>
      <c r="C6070" s="29"/>
      <c r="E6070" s="29"/>
      <c r="F6070" s="29"/>
    </row>
    <row r="6071">
      <c r="A6071" s="28"/>
      <c r="B6071" s="29"/>
      <c r="C6071" s="29"/>
      <c r="E6071" s="29"/>
      <c r="F6071" s="29"/>
    </row>
    <row r="6072">
      <c r="A6072" s="28"/>
      <c r="B6072" s="29"/>
      <c r="C6072" s="29"/>
      <c r="E6072" s="29"/>
      <c r="F6072" s="29"/>
    </row>
    <row r="6073">
      <c r="A6073" s="28"/>
      <c r="B6073" s="29"/>
      <c r="C6073" s="29"/>
      <c r="E6073" s="29"/>
      <c r="F6073" s="29"/>
    </row>
    <row r="6074">
      <c r="A6074" s="28"/>
      <c r="B6074" s="29"/>
      <c r="C6074" s="29"/>
      <c r="E6074" s="29"/>
      <c r="F6074" s="29"/>
    </row>
    <row r="6075">
      <c r="A6075" s="28"/>
      <c r="B6075" s="29"/>
      <c r="C6075" s="29"/>
      <c r="E6075" s="29"/>
      <c r="F6075" s="29"/>
    </row>
    <row r="6076">
      <c r="A6076" s="28"/>
      <c r="B6076" s="29"/>
      <c r="C6076" s="29"/>
      <c r="E6076" s="29"/>
      <c r="F6076" s="29"/>
    </row>
    <row r="6077">
      <c r="A6077" s="28"/>
      <c r="B6077" s="29"/>
      <c r="C6077" s="29"/>
      <c r="E6077" s="29"/>
      <c r="F6077" s="29"/>
    </row>
    <row r="6078">
      <c r="A6078" s="28"/>
      <c r="B6078" s="29"/>
      <c r="C6078" s="29"/>
      <c r="E6078" s="29"/>
      <c r="F6078" s="29"/>
    </row>
    <row r="6079">
      <c r="A6079" s="28"/>
      <c r="B6079" s="29"/>
      <c r="C6079" s="29"/>
      <c r="E6079" s="29"/>
      <c r="F6079" s="29"/>
    </row>
    <row r="6080">
      <c r="A6080" s="28"/>
      <c r="B6080" s="29"/>
      <c r="C6080" s="29"/>
      <c r="E6080" s="29"/>
      <c r="F6080" s="29"/>
    </row>
    <row r="6081">
      <c r="A6081" s="28"/>
      <c r="B6081" s="29"/>
      <c r="C6081" s="29"/>
      <c r="E6081" s="29"/>
      <c r="F6081" s="29"/>
    </row>
    <row r="6082">
      <c r="A6082" s="28"/>
      <c r="B6082" s="29"/>
      <c r="C6082" s="29"/>
      <c r="E6082" s="29"/>
      <c r="F6082" s="29"/>
    </row>
    <row r="6083">
      <c r="A6083" s="28"/>
      <c r="B6083" s="29"/>
      <c r="C6083" s="29"/>
      <c r="E6083" s="29"/>
      <c r="F6083" s="29"/>
    </row>
    <row r="6084">
      <c r="A6084" s="28"/>
      <c r="B6084" s="29"/>
      <c r="C6084" s="29"/>
      <c r="E6084" s="29"/>
      <c r="F6084" s="29"/>
    </row>
    <row r="6085">
      <c r="A6085" s="28"/>
      <c r="B6085" s="29"/>
      <c r="C6085" s="29"/>
      <c r="E6085" s="29"/>
      <c r="F6085" s="29"/>
    </row>
    <row r="6086">
      <c r="A6086" s="28"/>
      <c r="B6086" s="29"/>
      <c r="C6086" s="29"/>
      <c r="E6086" s="29"/>
      <c r="F6086" s="29"/>
    </row>
    <row r="6087">
      <c r="A6087" s="28"/>
      <c r="B6087" s="29"/>
      <c r="C6087" s="29"/>
      <c r="E6087" s="29"/>
      <c r="F6087" s="29"/>
    </row>
    <row r="6088">
      <c r="A6088" s="28"/>
      <c r="B6088" s="29"/>
      <c r="C6088" s="29"/>
      <c r="E6088" s="29"/>
      <c r="F6088" s="29"/>
    </row>
    <row r="6089">
      <c r="A6089" s="28"/>
      <c r="B6089" s="29"/>
      <c r="C6089" s="29"/>
      <c r="E6089" s="29"/>
      <c r="F6089" s="29"/>
    </row>
    <row r="6090">
      <c r="A6090" s="28"/>
      <c r="B6090" s="29"/>
      <c r="C6090" s="29"/>
      <c r="E6090" s="29"/>
      <c r="F6090" s="29"/>
    </row>
    <row r="6091">
      <c r="A6091" s="28"/>
      <c r="B6091" s="29"/>
      <c r="C6091" s="29"/>
      <c r="E6091" s="29"/>
      <c r="F6091" s="29"/>
    </row>
    <row r="6092">
      <c r="A6092" s="28"/>
      <c r="B6092" s="29"/>
      <c r="C6092" s="29"/>
      <c r="E6092" s="29"/>
      <c r="F6092" s="29"/>
    </row>
    <row r="6093">
      <c r="A6093" s="28"/>
      <c r="B6093" s="29"/>
      <c r="C6093" s="29"/>
      <c r="E6093" s="29"/>
      <c r="F6093" s="29"/>
    </row>
    <row r="6094">
      <c r="A6094" s="28"/>
      <c r="B6094" s="29"/>
      <c r="C6094" s="29"/>
      <c r="E6094" s="29"/>
      <c r="F6094" s="29"/>
    </row>
    <row r="6095">
      <c r="A6095" s="28"/>
      <c r="B6095" s="29"/>
      <c r="C6095" s="29"/>
      <c r="E6095" s="29"/>
      <c r="F6095" s="29"/>
    </row>
    <row r="6096">
      <c r="A6096" s="28"/>
      <c r="B6096" s="29"/>
      <c r="C6096" s="29"/>
      <c r="E6096" s="29"/>
      <c r="F6096" s="29"/>
    </row>
    <row r="6097">
      <c r="A6097" s="28"/>
      <c r="B6097" s="29"/>
      <c r="C6097" s="29"/>
      <c r="E6097" s="29"/>
      <c r="F6097" s="29"/>
    </row>
    <row r="6098">
      <c r="A6098" s="28"/>
      <c r="B6098" s="29"/>
      <c r="C6098" s="29"/>
      <c r="E6098" s="29"/>
      <c r="F6098" s="29"/>
    </row>
    <row r="6099">
      <c r="A6099" s="28"/>
      <c r="B6099" s="29"/>
      <c r="C6099" s="29"/>
      <c r="E6099" s="29"/>
      <c r="F6099" s="29"/>
    </row>
    <row r="6100">
      <c r="A6100" s="28"/>
      <c r="B6100" s="29"/>
      <c r="C6100" s="29"/>
      <c r="E6100" s="29"/>
      <c r="F6100" s="29"/>
    </row>
    <row r="6101">
      <c r="A6101" s="28"/>
      <c r="B6101" s="29"/>
      <c r="C6101" s="29"/>
      <c r="E6101" s="29"/>
      <c r="F6101" s="29"/>
    </row>
    <row r="6102">
      <c r="A6102" s="28"/>
      <c r="B6102" s="29"/>
      <c r="C6102" s="29"/>
      <c r="E6102" s="29"/>
      <c r="F6102" s="29"/>
    </row>
    <row r="6103">
      <c r="A6103" s="28"/>
      <c r="B6103" s="29"/>
      <c r="C6103" s="29"/>
      <c r="E6103" s="29"/>
      <c r="F6103" s="29"/>
    </row>
    <row r="6104">
      <c r="A6104" s="28"/>
      <c r="B6104" s="29"/>
      <c r="C6104" s="29"/>
      <c r="E6104" s="29"/>
      <c r="F6104" s="29"/>
    </row>
    <row r="6105">
      <c r="A6105" s="28"/>
      <c r="B6105" s="29"/>
      <c r="C6105" s="29"/>
      <c r="E6105" s="29"/>
      <c r="F6105" s="29"/>
    </row>
    <row r="6106">
      <c r="A6106" s="28"/>
      <c r="B6106" s="29"/>
      <c r="C6106" s="29"/>
      <c r="E6106" s="29"/>
      <c r="F6106" s="29"/>
    </row>
    <row r="6107">
      <c r="A6107" s="28"/>
      <c r="B6107" s="29"/>
      <c r="C6107" s="29"/>
      <c r="E6107" s="29"/>
      <c r="F6107" s="29"/>
    </row>
    <row r="6108">
      <c r="A6108" s="28"/>
      <c r="B6108" s="29"/>
      <c r="C6108" s="29"/>
      <c r="E6108" s="29"/>
      <c r="F6108" s="29"/>
    </row>
    <row r="6109">
      <c r="A6109" s="28"/>
      <c r="B6109" s="29"/>
      <c r="C6109" s="29"/>
      <c r="E6109" s="29"/>
      <c r="F6109" s="29"/>
    </row>
    <row r="6110">
      <c r="A6110" s="28"/>
      <c r="B6110" s="29"/>
      <c r="C6110" s="29"/>
      <c r="E6110" s="29"/>
      <c r="F6110" s="29"/>
    </row>
    <row r="6111">
      <c r="A6111" s="28"/>
      <c r="B6111" s="29"/>
      <c r="C6111" s="29"/>
      <c r="E6111" s="29"/>
      <c r="F6111" s="29"/>
    </row>
    <row r="6112">
      <c r="A6112" s="28"/>
      <c r="B6112" s="29"/>
      <c r="C6112" s="29"/>
      <c r="E6112" s="29"/>
      <c r="F6112" s="29"/>
    </row>
    <row r="6113">
      <c r="A6113" s="28"/>
      <c r="B6113" s="29"/>
      <c r="C6113" s="29"/>
      <c r="E6113" s="29"/>
      <c r="F6113" s="29"/>
    </row>
    <row r="6114">
      <c r="A6114" s="28"/>
      <c r="B6114" s="29"/>
      <c r="C6114" s="29"/>
      <c r="E6114" s="29"/>
      <c r="F6114" s="29"/>
    </row>
    <row r="6115">
      <c r="A6115" s="28"/>
      <c r="B6115" s="29"/>
      <c r="C6115" s="29"/>
      <c r="E6115" s="29"/>
      <c r="F6115" s="29"/>
    </row>
    <row r="6116">
      <c r="A6116" s="28"/>
      <c r="B6116" s="29"/>
      <c r="C6116" s="29"/>
      <c r="E6116" s="29"/>
      <c r="F6116" s="29"/>
    </row>
    <row r="6117">
      <c r="A6117" s="28"/>
      <c r="B6117" s="29"/>
      <c r="C6117" s="29"/>
      <c r="E6117" s="29"/>
      <c r="F6117" s="29"/>
    </row>
    <row r="6118">
      <c r="A6118" s="28"/>
      <c r="B6118" s="29"/>
      <c r="C6118" s="29"/>
      <c r="E6118" s="29"/>
      <c r="F6118" s="29"/>
    </row>
    <row r="6119">
      <c r="A6119" s="28"/>
      <c r="B6119" s="29"/>
      <c r="C6119" s="29"/>
      <c r="E6119" s="29"/>
      <c r="F6119" s="29"/>
    </row>
    <row r="6120">
      <c r="A6120" s="28"/>
      <c r="B6120" s="29"/>
      <c r="C6120" s="29"/>
      <c r="E6120" s="29"/>
      <c r="F6120" s="29"/>
    </row>
    <row r="6121">
      <c r="A6121" s="28"/>
      <c r="B6121" s="29"/>
      <c r="C6121" s="29"/>
      <c r="E6121" s="29"/>
      <c r="F6121" s="29"/>
    </row>
    <row r="6122">
      <c r="A6122" s="28"/>
      <c r="B6122" s="29"/>
      <c r="C6122" s="29"/>
      <c r="E6122" s="29"/>
      <c r="F6122" s="29"/>
    </row>
    <row r="6123">
      <c r="A6123" s="28"/>
      <c r="B6123" s="29"/>
      <c r="C6123" s="29"/>
      <c r="E6123" s="29"/>
      <c r="F6123" s="29"/>
    </row>
    <row r="6124">
      <c r="A6124" s="28"/>
      <c r="B6124" s="29"/>
      <c r="C6124" s="29"/>
      <c r="E6124" s="29"/>
      <c r="F6124" s="29"/>
    </row>
    <row r="6125">
      <c r="A6125" s="28"/>
      <c r="B6125" s="29"/>
      <c r="C6125" s="29"/>
      <c r="E6125" s="29"/>
      <c r="F6125" s="29"/>
    </row>
    <row r="6126">
      <c r="A6126" s="28"/>
      <c r="B6126" s="29"/>
      <c r="C6126" s="29"/>
      <c r="E6126" s="29"/>
      <c r="F6126" s="29"/>
    </row>
    <row r="6127">
      <c r="A6127" s="28"/>
      <c r="B6127" s="29"/>
      <c r="C6127" s="29"/>
      <c r="E6127" s="29"/>
      <c r="F6127" s="29"/>
    </row>
    <row r="6128">
      <c r="A6128" s="28"/>
      <c r="B6128" s="29"/>
      <c r="C6128" s="29"/>
      <c r="E6128" s="29"/>
      <c r="F6128" s="29"/>
    </row>
    <row r="6129">
      <c r="A6129" s="28"/>
      <c r="B6129" s="29"/>
      <c r="C6129" s="29"/>
      <c r="E6129" s="29"/>
      <c r="F6129" s="29"/>
    </row>
    <row r="6130">
      <c r="A6130" s="28"/>
      <c r="B6130" s="29"/>
      <c r="C6130" s="29"/>
      <c r="E6130" s="29"/>
      <c r="F6130" s="29"/>
    </row>
    <row r="6131">
      <c r="A6131" s="28"/>
      <c r="B6131" s="29"/>
      <c r="C6131" s="29"/>
      <c r="E6131" s="29"/>
      <c r="F6131" s="29"/>
    </row>
    <row r="6132">
      <c r="A6132" s="28"/>
      <c r="B6132" s="29"/>
      <c r="C6132" s="29"/>
      <c r="E6132" s="29"/>
      <c r="F6132" s="29"/>
    </row>
    <row r="6133">
      <c r="A6133" s="28"/>
      <c r="B6133" s="29"/>
      <c r="C6133" s="29"/>
      <c r="E6133" s="29"/>
      <c r="F6133" s="29"/>
    </row>
    <row r="6134">
      <c r="A6134" s="28"/>
      <c r="B6134" s="29"/>
      <c r="C6134" s="29"/>
      <c r="E6134" s="29"/>
      <c r="F6134" s="29"/>
    </row>
    <row r="6135">
      <c r="A6135" s="28"/>
      <c r="B6135" s="29"/>
      <c r="C6135" s="29"/>
      <c r="E6135" s="29"/>
      <c r="F6135" s="29"/>
    </row>
    <row r="6136">
      <c r="A6136" s="28"/>
      <c r="B6136" s="29"/>
      <c r="C6136" s="29"/>
      <c r="E6136" s="29"/>
      <c r="F6136" s="29"/>
    </row>
    <row r="6137">
      <c r="A6137" s="28"/>
      <c r="B6137" s="29"/>
      <c r="C6137" s="29"/>
      <c r="E6137" s="29"/>
      <c r="F6137" s="29"/>
    </row>
    <row r="6138">
      <c r="A6138" s="28"/>
      <c r="B6138" s="29"/>
      <c r="C6138" s="29"/>
      <c r="E6138" s="29"/>
      <c r="F6138" s="29"/>
    </row>
    <row r="6139">
      <c r="A6139" s="28"/>
      <c r="B6139" s="29"/>
      <c r="C6139" s="29"/>
      <c r="E6139" s="29"/>
      <c r="F6139" s="29"/>
    </row>
    <row r="6140">
      <c r="A6140" s="28"/>
      <c r="B6140" s="29"/>
      <c r="C6140" s="29"/>
      <c r="E6140" s="29"/>
      <c r="F6140" s="29"/>
    </row>
    <row r="6141">
      <c r="A6141" s="28"/>
      <c r="B6141" s="29"/>
      <c r="C6141" s="29"/>
      <c r="E6141" s="29"/>
      <c r="F6141" s="29"/>
    </row>
    <row r="6142">
      <c r="A6142" s="28"/>
      <c r="B6142" s="29"/>
      <c r="C6142" s="29"/>
      <c r="E6142" s="29"/>
      <c r="F6142" s="29"/>
    </row>
    <row r="6143">
      <c r="A6143" s="28"/>
      <c r="B6143" s="29"/>
      <c r="C6143" s="29"/>
      <c r="E6143" s="29"/>
      <c r="F6143" s="29"/>
    </row>
    <row r="6144">
      <c r="A6144" s="28"/>
      <c r="B6144" s="29"/>
      <c r="C6144" s="29"/>
      <c r="E6144" s="29"/>
      <c r="F6144" s="29"/>
    </row>
    <row r="6145">
      <c r="A6145" s="28"/>
      <c r="B6145" s="29"/>
      <c r="C6145" s="29"/>
      <c r="E6145" s="29"/>
      <c r="F6145" s="29"/>
    </row>
    <row r="6146">
      <c r="A6146" s="28"/>
      <c r="B6146" s="29"/>
      <c r="C6146" s="29"/>
      <c r="E6146" s="29"/>
      <c r="F6146" s="29"/>
    </row>
    <row r="6147">
      <c r="A6147" s="28"/>
      <c r="B6147" s="29"/>
      <c r="C6147" s="29"/>
      <c r="E6147" s="29"/>
      <c r="F6147" s="29"/>
    </row>
    <row r="6148">
      <c r="A6148" s="28"/>
      <c r="B6148" s="29"/>
      <c r="C6148" s="29"/>
      <c r="E6148" s="29"/>
      <c r="F6148" s="29"/>
    </row>
    <row r="6149">
      <c r="A6149" s="28"/>
      <c r="B6149" s="29"/>
      <c r="C6149" s="29"/>
      <c r="E6149" s="29"/>
      <c r="F6149" s="29"/>
    </row>
    <row r="6150">
      <c r="A6150" s="28"/>
      <c r="B6150" s="29"/>
      <c r="C6150" s="29"/>
      <c r="E6150" s="29"/>
      <c r="F6150" s="29"/>
    </row>
    <row r="6151">
      <c r="A6151" s="28"/>
      <c r="B6151" s="29"/>
      <c r="C6151" s="29"/>
      <c r="E6151" s="29"/>
      <c r="F6151" s="29"/>
    </row>
    <row r="6152">
      <c r="A6152" s="28"/>
      <c r="B6152" s="29"/>
      <c r="C6152" s="29"/>
      <c r="E6152" s="29"/>
      <c r="F6152" s="29"/>
    </row>
    <row r="6153">
      <c r="A6153" s="28"/>
      <c r="B6153" s="29"/>
      <c r="C6153" s="29"/>
      <c r="E6153" s="29"/>
      <c r="F6153" s="29"/>
    </row>
    <row r="6154">
      <c r="A6154" s="28"/>
      <c r="B6154" s="29"/>
      <c r="C6154" s="29"/>
      <c r="E6154" s="29"/>
      <c r="F6154" s="29"/>
    </row>
    <row r="6155">
      <c r="A6155" s="28"/>
      <c r="B6155" s="29"/>
      <c r="C6155" s="29"/>
      <c r="E6155" s="29"/>
      <c r="F6155" s="29"/>
    </row>
    <row r="6156">
      <c r="A6156" s="28"/>
      <c r="B6156" s="29"/>
      <c r="C6156" s="29"/>
      <c r="E6156" s="29"/>
      <c r="F6156" s="29"/>
    </row>
    <row r="6157">
      <c r="A6157" s="28"/>
      <c r="B6157" s="29"/>
      <c r="C6157" s="29"/>
      <c r="E6157" s="29"/>
      <c r="F6157" s="29"/>
    </row>
    <row r="6158">
      <c r="A6158" s="28"/>
      <c r="B6158" s="29"/>
      <c r="C6158" s="29"/>
      <c r="E6158" s="29"/>
      <c r="F6158" s="29"/>
    </row>
    <row r="6159">
      <c r="A6159" s="28"/>
      <c r="B6159" s="29"/>
      <c r="C6159" s="29"/>
      <c r="E6159" s="29"/>
      <c r="F6159" s="29"/>
    </row>
    <row r="6160">
      <c r="A6160" s="28"/>
      <c r="B6160" s="29"/>
      <c r="C6160" s="29"/>
      <c r="E6160" s="29"/>
      <c r="F6160" s="29"/>
    </row>
    <row r="6161">
      <c r="A6161" s="28"/>
      <c r="B6161" s="29"/>
      <c r="C6161" s="29"/>
      <c r="E6161" s="29"/>
      <c r="F6161" s="29"/>
    </row>
    <row r="6162">
      <c r="A6162" s="28"/>
      <c r="B6162" s="29"/>
      <c r="C6162" s="29"/>
      <c r="E6162" s="29"/>
      <c r="F6162" s="29"/>
    </row>
    <row r="6163">
      <c r="A6163" s="28"/>
      <c r="B6163" s="29"/>
      <c r="C6163" s="29"/>
      <c r="E6163" s="29"/>
      <c r="F6163" s="29"/>
    </row>
    <row r="6164">
      <c r="A6164" s="28"/>
      <c r="B6164" s="29"/>
      <c r="C6164" s="29"/>
      <c r="E6164" s="29"/>
      <c r="F6164" s="29"/>
    </row>
    <row r="6165">
      <c r="A6165" s="28"/>
      <c r="B6165" s="29"/>
      <c r="C6165" s="29"/>
      <c r="E6165" s="29"/>
      <c r="F6165" s="29"/>
    </row>
    <row r="6166">
      <c r="A6166" s="28"/>
      <c r="B6166" s="29"/>
      <c r="C6166" s="29"/>
      <c r="E6166" s="29"/>
      <c r="F6166" s="29"/>
    </row>
    <row r="6167">
      <c r="A6167" s="28"/>
      <c r="B6167" s="29"/>
      <c r="C6167" s="29"/>
      <c r="E6167" s="29"/>
      <c r="F6167" s="29"/>
    </row>
    <row r="6168">
      <c r="A6168" s="28"/>
      <c r="B6168" s="29"/>
      <c r="C6168" s="29"/>
      <c r="E6168" s="29"/>
      <c r="F6168" s="29"/>
    </row>
    <row r="6169">
      <c r="A6169" s="28"/>
      <c r="B6169" s="29"/>
      <c r="C6169" s="29"/>
      <c r="E6169" s="29"/>
      <c r="F6169" s="29"/>
    </row>
    <row r="6170">
      <c r="A6170" s="28"/>
      <c r="B6170" s="29"/>
      <c r="C6170" s="29"/>
      <c r="E6170" s="29"/>
      <c r="F6170" s="29"/>
    </row>
    <row r="6171">
      <c r="A6171" s="28"/>
      <c r="B6171" s="29"/>
      <c r="C6171" s="29"/>
      <c r="E6171" s="29"/>
      <c r="F6171" s="29"/>
    </row>
    <row r="6172">
      <c r="A6172" s="28"/>
      <c r="B6172" s="29"/>
      <c r="C6172" s="29"/>
      <c r="E6172" s="29"/>
      <c r="F6172" s="29"/>
    </row>
    <row r="6173">
      <c r="A6173" s="28"/>
      <c r="B6173" s="29"/>
      <c r="C6173" s="29"/>
      <c r="E6173" s="29"/>
      <c r="F6173" s="29"/>
    </row>
    <row r="6174">
      <c r="A6174" s="28"/>
      <c r="B6174" s="29"/>
      <c r="C6174" s="29"/>
      <c r="E6174" s="29"/>
      <c r="F6174" s="29"/>
    </row>
    <row r="6175">
      <c r="A6175" s="28"/>
      <c r="B6175" s="29"/>
      <c r="C6175" s="29"/>
      <c r="E6175" s="29"/>
      <c r="F6175" s="29"/>
    </row>
    <row r="6176">
      <c r="A6176" s="28"/>
      <c r="B6176" s="29"/>
      <c r="C6176" s="29"/>
      <c r="E6176" s="29"/>
      <c r="F6176" s="29"/>
    </row>
    <row r="6177">
      <c r="A6177" s="28"/>
      <c r="B6177" s="29"/>
      <c r="C6177" s="29"/>
      <c r="E6177" s="29"/>
      <c r="F6177" s="29"/>
    </row>
    <row r="6178">
      <c r="A6178" s="28"/>
      <c r="B6178" s="29"/>
      <c r="C6178" s="29"/>
      <c r="E6178" s="29"/>
      <c r="F6178" s="29"/>
    </row>
    <row r="6179">
      <c r="A6179" s="28"/>
      <c r="B6179" s="29"/>
      <c r="C6179" s="29"/>
      <c r="E6179" s="29"/>
      <c r="F6179" s="29"/>
    </row>
    <row r="6180">
      <c r="A6180" s="28"/>
      <c r="B6180" s="29"/>
      <c r="C6180" s="29"/>
      <c r="E6180" s="29"/>
      <c r="F6180" s="29"/>
    </row>
    <row r="6181">
      <c r="A6181" s="28"/>
      <c r="B6181" s="29"/>
      <c r="C6181" s="29"/>
      <c r="E6181" s="29"/>
      <c r="F6181" s="29"/>
    </row>
    <row r="6182">
      <c r="A6182" s="28"/>
      <c r="B6182" s="29"/>
      <c r="C6182" s="29"/>
      <c r="E6182" s="29"/>
      <c r="F6182" s="29"/>
    </row>
    <row r="6183">
      <c r="A6183" s="28"/>
      <c r="B6183" s="29"/>
      <c r="C6183" s="29"/>
      <c r="E6183" s="29"/>
      <c r="F6183" s="29"/>
    </row>
    <row r="6184">
      <c r="A6184" s="28"/>
      <c r="B6184" s="29"/>
      <c r="C6184" s="29"/>
      <c r="E6184" s="29"/>
      <c r="F6184" s="29"/>
    </row>
    <row r="6185">
      <c r="A6185" s="28"/>
      <c r="B6185" s="29"/>
      <c r="C6185" s="29"/>
      <c r="E6185" s="29"/>
      <c r="F6185" s="29"/>
    </row>
    <row r="6186">
      <c r="A6186" s="28"/>
      <c r="B6186" s="29"/>
      <c r="C6186" s="29"/>
      <c r="E6186" s="29"/>
      <c r="F6186" s="29"/>
    </row>
    <row r="6187">
      <c r="A6187" s="28"/>
      <c r="B6187" s="29"/>
      <c r="C6187" s="29"/>
      <c r="E6187" s="29"/>
      <c r="F6187" s="29"/>
    </row>
    <row r="6188">
      <c r="A6188" s="28"/>
      <c r="B6188" s="29"/>
      <c r="C6188" s="29"/>
      <c r="E6188" s="29"/>
      <c r="F6188" s="29"/>
    </row>
    <row r="6189">
      <c r="A6189" s="28"/>
      <c r="B6189" s="29"/>
      <c r="C6189" s="29"/>
      <c r="E6189" s="29"/>
      <c r="F6189" s="29"/>
    </row>
    <row r="6190">
      <c r="A6190" s="28"/>
      <c r="B6190" s="29"/>
      <c r="C6190" s="29"/>
      <c r="E6190" s="29"/>
      <c r="F6190" s="29"/>
    </row>
    <row r="6191">
      <c r="A6191" s="28"/>
      <c r="B6191" s="29"/>
      <c r="C6191" s="29"/>
      <c r="E6191" s="29"/>
      <c r="F6191" s="29"/>
    </row>
    <row r="6192">
      <c r="A6192" s="28"/>
      <c r="B6192" s="29"/>
      <c r="C6192" s="29"/>
      <c r="E6192" s="29"/>
      <c r="F6192" s="29"/>
    </row>
    <row r="6193">
      <c r="A6193" s="28"/>
      <c r="B6193" s="29"/>
      <c r="C6193" s="29"/>
      <c r="E6193" s="29"/>
      <c r="F6193" s="29"/>
    </row>
    <row r="6194">
      <c r="A6194" s="28"/>
      <c r="B6194" s="29"/>
      <c r="C6194" s="29"/>
      <c r="E6194" s="29"/>
      <c r="F6194" s="29"/>
    </row>
    <row r="6195">
      <c r="A6195" s="28"/>
      <c r="B6195" s="29"/>
      <c r="C6195" s="29"/>
      <c r="E6195" s="29"/>
      <c r="F6195" s="29"/>
    </row>
    <row r="6196">
      <c r="A6196" s="28"/>
      <c r="B6196" s="29"/>
      <c r="C6196" s="29"/>
      <c r="E6196" s="29"/>
      <c r="F6196" s="29"/>
    </row>
    <row r="6197">
      <c r="A6197" s="28"/>
      <c r="B6197" s="29"/>
      <c r="C6197" s="29"/>
      <c r="E6197" s="29"/>
      <c r="F6197" s="29"/>
    </row>
    <row r="6198">
      <c r="A6198" s="28"/>
      <c r="B6198" s="29"/>
      <c r="C6198" s="29"/>
      <c r="E6198" s="29"/>
      <c r="F6198" s="29"/>
    </row>
    <row r="6199">
      <c r="A6199" s="28"/>
      <c r="B6199" s="29"/>
      <c r="C6199" s="29"/>
      <c r="E6199" s="29"/>
      <c r="F6199" s="29"/>
    </row>
    <row r="6200">
      <c r="A6200" s="28"/>
      <c r="B6200" s="29"/>
      <c r="C6200" s="29"/>
      <c r="E6200" s="29"/>
      <c r="F6200" s="29"/>
    </row>
    <row r="6201">
      <c r="A6201" s="28"/>
      <c r="B6201" s="29"/>
      <c r="C6201" s="29"/>
      <c r="E6201" s="29"/>
      <c r="F6201" s="29"/>
    </row>
    <row r="6202">
      <c r="A6202" s="28"/>
      <c r="B6202" s="29"/>
      <c r="C6202" s="29"/>
      <c r="E6202" s="29"/>
      <c r="F6202" s="29"/>
    </row>
    <row r="6203">
      <c r="A6203" s="28"/>
      <c r="B6203" s="29"/>
      <c r="C6203" s="29"/>
      <c r="E6203" s="29"/>
      <c r="F6203" s="29"/>
    </row>
    <row r="6204">
      <c r="A6204" s="28"/>
      <c r="B6204" s="29"/>
      <c r="C6204" s="29"/>
      <c r="E6204" s="29"/>
      <c r="F6204" s="29"/>
    </row>
    <row r="6205">
      <c r="A6205" s="28"/>
      <c r="B6205" s="29"/>
      <c r="C6205" s="29"/>
      <c r="E6205" s="29"/>
      <c r="F6205" s="29"/>
    </row>
    <row r="6206">
      <c r="A6206" s="28"/>
      <c r="B6206" s="29"/>
      <c r="C6206" s="29"/>
      <c r="E6206" s="29"/>
      <c r="F6206" s="29"/>
    </row>
    <row r="6207">
      <c r="A6207" s="28"/>
      <c r="B6207" s="29"/>
      <c r="C6207" s="29"/>
      <c r="E6207" s="29"/>
      <c r="F6207" s="29"/>
    </row>
    <row r="6208">
      <c r="A6208" s="28"/>
      <c r="B6208" s="29"/>
      <c r="C6208" s="29"/>
      <c r="E6208" s="29"/>
      <c r="F6208" s="29"/>
    </row>
    <row r="6209">
      <c r="A6209" s="28"/>
      <c r="B6209" s="29"/>
      <c r="C6209" s="29"/>
      <c r="E6209" s="29"/>
      <c r="F6209" s="29"/>
    </row>
    <row r="6210">
      <c r="A6210" s="28"/>
      <c r="B6210" s="29"/>
      <c r="C6210" s="29"/>
      <c r="E6210" s="29"/>
      <c r="F6210" s="29"/>
    </row>
    <row r="6211">
      <c r="A6211" s="28"/>
      <c r="B6211" s="29"/>
      <c r="C6211" s="29"/>
      <c r="E6211" s="29"/>
      <c r="F6211" s="29"/>
    </row>
    <row r="6212">
      <c r="A6212" s="28"/>
      <c r="B6212" s="29"/>
      <c r="C6212" s="29"/>
      <c r="E6212" s="29"/>
      <c r="F6212" s="29"/>
    </row>
    <row r="6213">
      <c r="A6213" s="28"/>
      <c r="B6213" s="29"/>
      <c r="C6213" s="29"/>
      <c r="E6213" s="29"/>
      <c r="F6213" s="29"/>
    </row>
    <row r="6214">
      <c r="A6214" s="28"/>
      <c r="B6214" s="29"/>
      <c r="C6214" s="29"/>
      <c r="E6214" s="29"/>
      <c r="F6214" s="29"/>
    </row>
    <row r="6215">
      <c r="A6215" s="28"/>
      <c r="B6215" s="29"/>
      <c r="C6215" s="29"/>
      <c r="E6215" s="29"/>
      <c r="F6215" s="29"/>
    </row>
    <row r="6216">
      <c r="A6216" s="28"/>
      <c r="B6216" s="29"/>
      <c r="C6216" s="29"/>
      <c r="E6216" s="29"/>
      <c r="F6216" s="29"/>
    </row>
    <row r="6217">
      <c r="A6217" s="28"/>
      <c r="B6217" s="29"/>
      <c r="C6217" s="29"/>
      <c r="E6217" s="29"/>
      <c r="F6217" s="29"/>
    </row>
    <row r="6218">
      <c r="A6218" s="28"/>
      <c r="B6218" s="29"/>
      <c r="C6218" s="29"/>
      <c r="E6218" s="29"/>
      <c r="F6218" s="29"/>
    </row>
    <row r="6219">
      <c r="A6219" s="28"/>
      <c r="B6219" s="29"/>
      <c r="C6219" s="29"/>
      <c r="E6219" s="29"/>
      <c r="F6219" s="29"/>
    </row>
    <row r="6220">
      <c r="A6220" s="28"/>
      <c r="B6220" s="29"/>
      <c r="C6220" s="29"/>
      <c r="E6220" s="29"/>
      <c r="F6220" s="29"/>
    </row>
    <row r="6221">
      <c r="A6221" s="28"/>
      <c r="B6221" s="29"/>
      <c r="C6221" s="29"/>
      <c r="E6221" s="29"/>
      <c r="F6221" s="29"/>
    </row>
    <row r="6222">
      <c r="A6222" s="28"/>
      <c r="B6222" s="29"/>
      <c r="C6222" s="29"/>
      <c r="E6222" s="29"/>
      <c r="F6222" s="29"/>
    </row>
    <row r="6223">
      <c r="A6223" s="28"/>
      <c r="B6223" s="29"/>
      <c r="C6223" s="29"/>
      <c r="E6223" s="29"/>
      <c r="F6223" s="29"/>
    </row>
    <row r="6224">
      <c r="A6224" s="28"/>
      <c r="B6224" s="29"/>
      <c r="C6224" s="29"/>
      <c r="E6224" s="29"/>
      <c r="F6224" s="29"/>
    </row>
    <row r="6225">
      <c r="A6225" s="28"/>
      <c r="B6225" s="29"/>
      <c r="C6225" s="29"/>
      <c r="E6225" s="29"/>
      <c r="F6225" s="29"/>
    </row>
    <row r="6226">
      <c r="A6226" s="28"/>
      <c r="B6226" s="29"/>
      <c r="C6226" s="29"/>
      <c r="E6226" s="29"/>
      <c r="F6226" s="29"/>
    </row>
    <row r="6227">
      <c r="A6227" s="28"/>
      <c r="B6227" s="29"/>
      <c r="C6227" s="29"/>
      <c r="E6227" s="29"/>
      <c r="F6227" s="29"/>
    </row>
    <row r="6228">
      <c r="A6228" s="28"/>
      <c r="B6228" s="29"/>
      <c r="C6228" s="29"/>
      <c r="E6228" s="29"/>
      <c r="F6228" s="29"/>
    </row>
    <row r="6229">
      <c r="A6229" s="28"/>
      <c r="B6229" s="29"/>
      <c r="C6229" s="29"/>
      <c r="E6229" s="29"/>
      <c r="F6229" s="29"/>
    </row>
    <row r="6230">
      <c r="A6230" s="28"/>
      <c r="B6230" s="29"/>
      <c r="C6230" s="29"/>
      <c r="E6230" s="29"/>
      <c r="F6230" s="29"/>
    </row>
    <row r="6231">
      <c r="A6231" s="28"/>
      <c r="B6231" s="29"/>
      <c r="C6231" s="29"/>
      <c r="E6231" s="29"/>
      <c r="F6231" s="29"/>
    </row>
    <row r="6232">
      <c r="A6232" s="28"/>
      <c r="B6232" s="29"/>
      <c r="C6232" s="29"/>
      <c r="E6232" s="29"/>
      <c r="F6232" s="29"/>
    </row>
    <row r="6233">
      <c r="A6233" s="28"/>
      <c r="B6233" s="29"/>
      <c r="C6233" s="29"/>
      <c r="E6233" s="29"/>
      <c r="F6233" s="29"/>
    </row>
    <row r="6234">
      <c r="A6234" s="28"/>
      <c r="B6234" s="29"/>
      <c r="C6234" s="29"/>
      <c r="E6234" s="29"/>
      <c r="F6234" s="29"/>
    </row>
    <row r="6235">
      <c r="A6235" s="28"/>
      <c r="B6235" s="29"/>
      <c r="C6235" s="29"/>
      <c r="E6235" s="29"/>
      <c r="F6235" s="29"/>
    </row>
    <row r="6236">
      <c r="A6236" s="28"/>
      <c r="B6236" s="29"/>
      <c r="C6236" s="29"/>
      <c r="E6236" s="29"/>
      <c r="F6236" s="29"/>
    </row>
    <row r="6237">
      <c r="A6237" s="28"/>
      <c r="B6237" s="29"/>
      <c r="C6237" s="29"/>
      <c r="E6237" s="29"/>
      <c r="F6237" s="29"/>
    </row>
    <row r="6238">
      <c r="A6238" s="28"/>
      <c r="B6238" s="29"/>
      <c r="C6238" s="29"/>
      <c r="E6238" s="29"/>
      <c r="F6238" s="29"/>
    </row>
    <row r="6239">
      <c r="A6239" s="28"/>
      <c r="B6239" s="29"/>
      <c r="C6239" s="29"/>
      <c r="E6239" s="29"/>
      <c r="F6239" s="29"/>
    </row>
    <row r="6240">
      <c r="A6240" s="28"/>
      <c r="B6240" s="29"/>
      <c r="C6240" s="29"/>
      <c r="E6240" s="29"/>
      <c r="F6240" s="29"/>
    </row>
    <row r="6241">
      <c r="A6241" s="28"/>
      <c r="B6241" s="29"/>
      <c r="C6241" s="29"/>
      <c r="E6241" s="29"/>
      <c r="F6241" s="29"/>
    </row>
    <row r="6242">
      <c r="A6242" s="28"/>
      <c r="B6242" s="29"/>
      <c r="C6242" s="29"/>
      <c r="E6242" s="29"/>
      <c r="F6242" s="29"/>
    </row>
    <row r="6243">
      <c r="A6243" s="28"/>
      <c r="B6243" s="29"/>
      <c r="C6243" s="29"/>
      <c r="E6243" s="29"/>
      <c r="F6243" s="29"/>
    </row>
    <row r="6244">
      <c r="A6244" s="28"/>
      <c r="B6244" s="29"/>
      <c r="C6244" s="29"/>
      <c r="E6244" s="29"/>
      <c r="F6244" s="29"/>
    </row>
    <row r="6245">
      <c r="A6245" s="28"/>
      <c r="B6245" s="29"/>
      <c r="C6245" s="29"/>
      <c r="E6245" s="29"/>
      <c r="F6245" s="29"/>
    </row>
    <row r="6246">
      <c r="A6246" s="28"/>
      <c r="B6246" s="29"/>
      <c r="C6246" s="29"/>
      <c r="E6246" s="29"/>
      <c r="F6246" s="29"/>
    </row>
    <row r="6247">
      <c r="A6247" s="28"/>
      <c r="B6247" s="29"/>
      <c r="C6247" s="29"/>
      <c r="E6247" s="29"/>
      <c r="F6247" s="29"/>
    </row>
    <row r="6248">
      <c r="A6248" s="28"/>
      <c r="B6248" s="29"/>
      <c r="C6248" s="29"/>
      <c r="E6248" s="29"/>
      <c r="F6248" s="29"/>
    </row>
    <row r="6249">
      <c r="A6249" s="28"/>
      <c r="B6249" s="29"/>
      <c r="C6249" s="29"/>
      <c r="E6249" s="29"/>
      <c r="F6249" s="29"/>
    </row>
    <row r="6250">
      <c r="A6250" s="28"/>
      <c r="B6250" s="29"/>
      <c r="C6250" s="29"/>
      <c r="E6250" s="29"/>
      <c r="F6250" s="29"/>
    </row>
    <row r="6251">
      <c r="A6251" s="28"/>
      <c r="B6251" s="29"/>
      <c r="C6251" s="29"/>
      <c r="E6251" s="29"/>
      <c r="F6251" s="29"/>
    </row>
    <row r="6252">
      <c r="A6252" s="28"/>
      <c r="B6252" s="29"/>
      <c r="C6252" s="29"/>
      <c r="E6252" s="29"/>
      <c r="F6252" s="29"/>
    </row>
    <row r="6253">
      <c r="A6253" s="28"/>
      <c r="B6253" s="29"/>
      <c r="C6253" s="29"/>
      <c r="E6253" s="29"/>
      <c r="F6253" s="29"/>
    </row>
    <row r="6254">
      <c r="A6254" s="28"/>
      <c r="B6254" s="29"/>
      <c r="C6254" s="29"/>
      <c r="E6254" s="29"/>
      <c r="F6254" s="29"/>
    </row>
    <row r="6255">
      <c r="A6255" s="28"/>
      <c r="B6255" s="29"/>
      <c r="C6255" s="29"/>
      <c r="E6255" s="29"/>
      <c r="F6255" s="29"/>
    </row>
    <row r="6256">
      <c r="A6256" s="28"/>
      <c r="B6256" s="29"/>
      <c r="C6256" s="29"/>
      <c r="E6256" s="29"/>
      <c r="F6256" s="29"/>
    </row>
    <row r="6257">
      <c r="A6257" s="28"/>
      <c r="B6257" s="29"/>
      <c r="C6257" s="29"/>
      <c r="E6257" s="29"/>
      <c r="F6257" s="29"/>
    </row>
    <row r="6258">
      <c r="A6258" s="28"/>
      <c r="B6258" s="29"/>
      <c r="C6258" s="29"/>
      <c r="E6258" s="29"/>
      <c r="F6258" s="29"/>
    </row>
    <row r="6259">
      <c r="A6259" s="28"/>
      <c r="B6259" s="29"/>
      <c r="C6259" s="29"/>
      <c r="E6259" s="29"/>
      <c r="F6259" s="29"/>
    </row>
    <row r="6260">
      <c r="A6260" s="28"/>
      <c r="B6260" s="29"/>
      <c r="C6260" s="29"/>
      <c r="E6260" s="29"/>
      <c r="F6260" s="29"/>
    </row>
    <row r="6261">
      <c r="A6261" s="28"/>
      <c r="B6261" s="29"/>
      <c r="C6261" s="29"/>
      <c r="E6261" s="29"/>
      <c r="F6261" s="29"/>
    </row>
    <row r="6262">
      <c r="A6262" s="28"/>
      <c r="B6262" s="29"/>
      <c r="C6262" s="29"/>
      <c r="E6262" s="29"/>
      <c r="F6262" s="29"/>
    </row>
    <row r="6263">
      <c r="A6263" s="28"/>
      <c r="B6263" s="29"/>
      <c r="C6263" s="29"/>
      <c r="E6263" s="29"/>
      <c r="F6263" s="29"/>
    </row>
    <row r="6264">
      <c r="A6264" s="28"/>
      <c r="B6264" s="29"/>
      <c r="C6264" s="29"/>
      <c r="E6264" s="29"/>
      <c r="F6264" s="29"/>
    </row>
    <row r="6265">
      <c r="A6265" s="28"/>
      <c r="B6265" s="29"/>
      <c r="C6265" s="29"/>
      <c r="E6265" s="29"/>
      <c r="F6265" s="29"/>
    </row>
    <row r="6266">
      <c r="A6266" s="28"/>
      <c r="B6266" s="29"/>
      <c r="C6266" s="29"/>
      <c r="E6266" s="29"/>
      <c r="F6266" s="29"/>
    </row>
    <row r="6267">
      <c r="A6267" s="28"/>
      <c r="B6267" s="29"/>
      <c r="C6267" s="29"/>
      <c r="E6267" s="29"/>
      <c r="F6267" s="29"/>
    </row>
    <row r="6268">
      <c r="A6268" s="28"/>
      <c r="B6268" s="29"/>
      <c r="C6268" s="29"/>
      <c r="E6268" s="29"/>
      <c r="F6268" s="29"/>
    </row>
    <row r="6269">
      <c r="A6269" s="28"/>
      <c r="B6269" s="29"/>
      <c r="C6269" s="29"/>
      <c r="E6269" s="29"/>
      <c r="F6269" s="29"/>
    </row>
    <row r="6270">
      <c r="A6270" s="28"/>
      <c r="B6270" s="29"/>
      <c r="C6270" s="29"/>
      <c r="E6270" s="29"/>
      <c r="F6270" s="29"/>
    </row>
    <row r="6271">
      <c r="A6271" s="28"/>
      <c r="B6271" s="29"/>
      <c r="C6271" s="29"/>
      <c r="E6271" s="29"/>
      <c r="F6271" s="29"/>
    </row>
    <row r="6272">
      <c r="A6272" s="28"/>
      <c r="B6272" s="29"/>
      <c r="C6272" s="29"/>
      <c r="E6272" s="29"/>
      <c r="F6272" s="29"/>
    </row>
    <row r="6273">
      <c r="A6273" s="28"/>
      <c r="B6273" s="29"/>
      <c r="C6273" s="29"/>
      <c r="E6273" s="29"/>
      <c r="F6273" s="29"/>
    </row>
    <row r="6274">
      <c r="A6274" s="28"/>
      <c r="B6274" s="29"/>
      <c r="C6274" s="29"/>
      <c r="E6274" s="29"/>
      <c r="F6274" s="29"/>
    </row>
    <row r="6275">
      <c r="A6275" s="28"/>
      <c r="B6275" s="29"/>
      <c r="C6275" s="29"/>
      <c r="E6275" s="29"/>
      <c r="F6275" s="29"/>
    </row>
    <row r="6276">
      <c r="A6276" s="28"/>
      <c r="B6276" s="29"/>
      <c r="C6276" s="29"/>
      <c r="E6276" s="29"/>
      <c r="F6276" s="29"/>
    </row>
    <row r="6277">
      <c r="A6277" s="28"/>
      <c r="B6277" s="29"/>
      <c r="C6277" s="29"/>
      <c r="E6277" s="29"/>
      <c r="F6277" s="29"/>
    </row>
    <row r="6278">
      <c r="A6278" s="28"/>
      <c r="B6278" s="29"/>
      <c r="C6278" s="29"/>
      <c r="E6278" s="29"/>
      <c r="F6278" s="29"/>
    </row>
    <row r="6279">
      <c r="A6279" s="28"/>
      <c r="B6279" s="29"/>
      <c r="C6279" s="29"/>
      <c r="E6279" s="29"/>
      <c r="F6279" s="29"/>
    </row>
    <row r="6280">
      <c r="A6280" s="28"/>
      <c r="B6280" s="29"/>
      <c r="C6280" s="29"/>
      <c r="E6280" s="29"/>
      <c r="F6280" s="29"/>
    </row>
    <row r="6281">
      <c r="A6281" s="28"/>
      <c r="B6281" s="29"/>
      <c r="C6281" s="29"/>
      <c r="E6281" s="29"/>
      <c r="F6281" s="29"/>
    </row>
    <row r="6282">
      <c r="A6282" s="28"/>
      <c r="B6282" s="29"/>
      <c r="C6282" s="29"/>
      <c r="E6282" s="29"/>
      <c r="F6282" s="29"/>
    </row>
    <row r="6283">
      <c r="A6283" s="28"/>
      <c r="B6283" s="29"/>
      <c r="C6283" s="29"/>
      <c r="E6283" s="29"/>
      <c r="F6283" s="29"/>
    </row>
    <row r="6284">
      <c r="A6284" s="28"/>
      <c r="B6284" s="29"/>
      <c r="C6284" s="29"/>
      <c r="E6284" s="29"/>
      <c r="F6284" s="29"/>
    </row>
    <row r="6285">
      <c r="A6285" s="28"/>
      <c r="B6285" s="29"/>
      <c r="C6285" s="29"/>
      <c r="E6285" s="29"/>
      <c r="F6285" s="29"/>
    </row>
    <row r="6286">
      <c r="A6286" s="28"/>
      <c r="B6286" s="29"/>
      <c r="C6286" s="29"/>
      <c r="E6286" s="29"/>
      <c r="F6286" s="29"/>
    </row>
    <row r="6287">
      <c r="A6287" s="28"/>
      <c r="B6287" s="29"/>
      <c r="C6287" s="29"/>
      <c r="E6287" s="29"/>
      <c r="F6287" s="29"/>
    </row>
    <row r="6288">
      <c r="A6288" s="28"/>
      <c r="B6288" s="29"/>
      <c r="C6288" s="29"/>
      <c r="E6288" s="29"/>
      <c r="F6288" s="29"/>
    </row>
    <row r="6289">
      <c r="A6289" s="28"/>
      <c r="B6289" s="29"/>
      <c r="C6289" s="29"/>
      <c r="E6289" s="29"/>
      <c r="F6289" s="29"/>
    </row>
    <row r="6290">
      <c r="A6290" s="28"/>
      <c r="B6290" s="29"/>
      <c r="C6290" s="29"/>
      <c r="E6290" s="29"/>
      <c r="F6290" s="29"/>
    </row>
    <row r="6291">
      <c r="A6291" s="28"/>
      <c r="B6291" s="29"/>
      <c r="C6291" s="29"/>
      <c r="E6291" s="29"/>
      <c r="F6291" s="29"/>
    </row>
    <row r="6292">
      <c r="A6292" s="28"/>
      <c r="B6292" s="29"/>
      <c r="C6292" s="29"/>
      <c r="E6292" s="29"/>
      <c r="F6292" s="29"/>
    </row>
    <row r="6293">
      <c r="A6293" s="28"/>
      <c r="B6293" s="29"/>
      <c r="C6293" s="29"/>
      <c r="E6293" s="29"/>
      <c r="F6293" s="29"/>
    </row>
    <row r="6294">
      <c r="A6294" s="28"/>
      <c r="B6294" s="29"/>
      <c r="C6294" s="29"/>
      <c r="E6294" s="29"/>
      <c r="F6294" s="29"/>
    </row>
    <row r="6295">
      <c r="A6295" s="28"/>
      <c r="B6295" s="29"/>
      <c r="C6295" s="29"/>
      <c r="E6295" s="29"/>
      <c r="F6295" s="29"/>
    </row>
    <row r="6296">
      <c r="A6296" s="28"/>
      <c r="B6296" s="29"/>
      <c r="C6296" s="29"/>
      <c r="E6296" s="29"/>
      <c r="F6296" s="29"/>
    </row>
    <row r="6297">
      <c r="A6297" s="28"/>
      <c r="B6297" s="29"/>
      <c r="C6297" s="29"/>
      <c r="E6297" s="29"/>
      <c r="F6297" s="29"/>
    </row>
    <row r="6298">
      <c r="A6298" s="28"/>
      <c r="B6298" s="29"/>
      <c r="C6298" s="29"/>
      <c r="E6298" s="29"/>
      <c r="F6298" s="29"/>
    </row>
    <row r="6299">
      <c r="A6299" s="28"/>
      <c r="B6299" s="29"/>
      <c r="C6299" s="29"/>
      <c r="E6299" s="29"/>
      <c r="F6299" s="29"/>
    </row>
    <row r="6300">
      <c r="A6300" s="28"/>
      <c r="B6300" s="29"/>
      <c r="C6300" s="29"/>
      <c r="E6300" s="29"/>
      <c r="F6300" s="29"/>
    </row>
    <row r="6301">
      <c r="A6301" s="28"/>
      <c r="B6301" s="29"/>
      <c r="C6301" s="29"/>
      <c r="E6301" s="29"/>
      <c r="F6301" s="29"/>
    </row>
    <row r="6302">
      <c r="A6302" s="28"/>
      <c r="B6302" s="29"/>
      <c r="C6302" s="29"/>
      <c r="E6302" s="29"/>
      <c r="F6302" s="29"/>
    </row>
    <row r="6303">
      <c r="A6303" s="28"/>
      <c r="B6303" s="29"/>
      <c r="C6303" s="29"/>
      <c r="E6303" s="29"/>
      <c r="F6303" s="29"/>
    </row>
    <row r="6304">
      <c r="A6304" s="28"/>
      <c r="B6304" s="29"/>
      <c r="C6304" s="29"/>
      <c r="E6304" s="29"/>
      <c r="F6304" s="29"/>
    </row>
    <row r="6305">
      <c r="A6305" s="28"/>
      <c r="B6305" s="29"/>
      <c r="C6305" s="29"/>
      <c r="E6305" s="29"/>
      <c r="F6305" s="29"/>
    </row>
    <row r="6306">
      <c r="A6306" s="28"/>
      <c r="B6306" s="29"/>
      <c r="C6306" s="29"/>
      <c r="E6306" s="29"/>
      <c r="F6306" s="29"/>
    </row>
    <row r="6307">
      <c r="A6307" s="28"/>
      <c r="B6307" s="29"/>
      <c r="C6307" s="29"/>
      <c r="E6307" s="29"/>
      <c r="F6307" s="29"/>
    </row>
    <row r="6308">
      <c r="A6308" s="28"/>
      <c r="B6308" s="29"/>
      <c r="C6308" s="29"/>
      <c r="E6308" s="29"/>
      <c r="F6308" s="29"/>
    </row>
    <row r="6309">
      <c r="A6309" s="28"/>
      <c r="B6309" s="29"/>
      <c r="C6309" s="29"/>
      <c r="E6309" s="29"/>
      <c r="F6309" s="29"/>
    </row>
    <row r="6310">
      <c r="A6310" s="28"/>
      <c r="B6310" s="29"/>
      <c r="C6310" s="29"/>
      <c r="E6310" s="29"/>
      <c r="F6310" s="29"/>
    </row>
    <row r="6311">
      <c r="A6311" s="28"/>
      <c r="B6311" s="29"/>
      <c r="C6311" s="29"/>
      <c r="E6311" s="29"/>
      <c r="F6311" s="29"/>
    </row>
    <row r="6312">
      <c r="A6312" s="28"/>
      <c r="B6312" s="29"/>
      <c r="C6312" s="29"/>
      <c r="E6312" s="29"/>
      <c r="F6312" s="29"/>
    </row>
    <row r="6313">
      <c r="A6313" s="28"/>
      <c r="B6313" s="29"/>
      <c r="C6313" s="29"/>
      <c r="E6313" s="29"/>
      <c r="F6313" s="29"/>
    </row>
    <row r="6314">
      <c r="A6314" s="28"/>
      <c r="B6314" s="29"/>
      <c r="C6314" s="29"/>
      <c r="E6314" s="29"/>
      <c r="F6314" s="29"/>
    </row>
    <row r="6315">
      <c r="A6315" s="28"/>
      <c r="B6315" s="29"/>
      <c r="C6315" s="29"/>
      <c r="E6315" s="29"/>
      <c r="F6315" s="29"/>
    </row>
    <row r="6316">
      <c r="A6316" s="28"/>
      <c r="B6316" s="29"/>
      <c r="C6316" s="29"/>
      <c r="E6316" s="29"/>
      <c r="F6316" s="29"/>
    </row>
    <row r="6317">
      <c r="A6317" s="28"/>
      <c r="B6317" s="29"/>
      <c r="C6317" s="29"/>
      <c r="E6317" s="29"/>
      <c r="F6317" s="29"/>
    </row>
    <row r="6318">
      <c r="A6318" s="28"/>
      <c r="B6318" s="29"/>
      <c r="C6318" s="29"/>
      <c r="E6318" s="29"/>
      <c r="F6318" s="29"/>
    </row>
    <row r="6319">
      <c r="A6319" s="28"/>
      <c r="B6319" s="29"/>
      <c r="C6319" s="29"/>
      <c r="E6319" s="29"/>
      <c r="F6319" s="29"/>
    </row>
    <row r="6320">
      <c r="A6320" s="28"/>
      <c r="B6320" s="29"/>
      <c r="C6320" s="29"/>
      <c r="E6320" s="29"/>
      <c r="F6320" s="29"/>
    </row>
    <row r="6321">
      <c r="A6321" s="28"/>
      <c r="B6321" s="29"/>
      <c r="C6321" s="29"/>
      <c r="E6321" s="29"/>
      <c r="F6321" s="29"/>
    </row>
    <row r="6322">
      <c r="A6322" s="28"/>
      <c r="B6322" s="29"/>
      <c r="C6322" s="29"/>
      <c r="E6322" s="29"/>
      <c r="F6322" s="29"/>
    </row>
    <row r="6323">
      <c r="A6323" s="28"/>
      <c r="B6323" s="29"/>
      <c r="C6323" s="29"/>
      <c r="E6323" s="29"/>
      <c r="F6323" s="29"/>
    </row>
    <row r="6324">
      <c r="A6324" s="28"/>
      <c r="B6324" s="29"/>
      <c r="C6324" s="29"/>
      <c r="E6324" s="29"/>
      <c r="F6324" s="29"/>
    </row>
    <row r="6325">
      <c r="A6325" s="28"/>
      <c r="B6325" s="29"/>
      <c r="C6325" s="29"/>
      <c r="E6325" s="29"/>
      <c r="F6325" s="29"/>
    </row>
    <row r="6326">
      <c r="A6326" s="28"/>
      <c r="B6326" s="29"/>
      <c r="C6326" s="29"/>
      <c r="E6326" s="29"/>
      <c r="F6326" s="29"/>
    </row>
    <row r="6327">
      <c r="A6327" s="28"/>
      <c r="B6327" s="29"/>
      <c r="C6327" s="29"/>
      <c r="E6327" s="29"/>
      <c r="F6327" s="29"/>
    </row>
    <row r="6328">
      <c r="A6328" s="28"/>
      <c r="B6328" s="29"/>
      <c r="C6328" s="29"/>
      <c r="E6328" s="29"/>
      <c r="F6328" s="29"/>
    </row>
    <row r="6329">
      <c r="A6329" s="28"/>
      <c r="B6329" s="29"/>
      <c r="C6329" s="29"/>
      <c r="E6329" s="29"/>
      <c r="F6329" s="29"/>
    </row>
    <row r="6330">
      <c r="A6330" s="28"/>
      <c r="B6330" s="29"/>
      <c r="C6330" s="29"/>
      <c r="E6330" s="29"/>
      <c r="F6330" s="29"/>
    </row>
    <row r="6331">
      <c r="A6331" s="28"/>
      <c r="B6331" s="29"/>
      <c r="C6331" s="29"/>
      <c r="E6331" s="29"/>
      <c r="F6331" s="29"/>
    </row>
    <row r="6332">
      <c r="A6332" s="28"/>
      <c r="B6332" s="29"/>
      <c r="C6332" s="29"/>
      <c r="E6332" s="29"/>
      <c r="F6332" s="29"/>
    </row>
    <row r="6333">
      <c r="A6333" s="28"/>
      <c r="B6333" s="29"/>
      <c r="C6333" s="29"/>
      <c r="E6333" s="29"/>
      <c r="F6333" s="29"/>
    </row>
    <row r="6334">
      <c r="A6334" s="28"/>
      <c r="B6334" s="29"/>
      <c r="C6334" s="29"/>
      <c r="E6334" s="29"/>
      <c r="F6334" s="29"/>
    </row>
    <row r="6335">
      <c r="A6335" s="28"/>
      <c r="B6335" s="29"/>
      <c r="C6335" s="29"/>
      <c r="E6335" s="29"/>
      <c r="F6335" s="29"/>
    </row>
    <row r="6336">
      <c r="A6336" s="28"/>
      <c r="B6336" s="29"/>
      <c r="C6336" s="29"/>
      <c r="E6336" s="29"/>
      <c r="F6336" s="29"/>
    </row>
    <row r="6337">
      <c r="A6337" s="28"/>
      <c r="B6337" s="29"/>
      <c r="C6337" s="29"/>
      <c r="E6337" s="29"/>
      <c r="F6337" s="29"/>
    </row>
    <row r="6338">
      <c r="A6338" s="28"/>
      <c r="B6338" s="29"/>
      <c r="C6338" s="29"/>
      <c r="E6338" s="29"/>
      <c r="F6338" s="29"/>
    </row>
    <row r="6339">
      <c r="A6339" s="28"/>
      <c r="B6339" s="29"/>
      <c r="C6339" s="29"/>
      <c r="E6339" s="29"/>
      <c r="F6339" s="29"/>
    </row>
    <row r="6340">
      <c r="A6340" s="28"/>
      <c r="B6340" s="29"/>
      <c r="C6340" s="29"/>
      <c r="E6340" s="29"/>
      <c r="F6340" s="29"/>
    </row>
    <row r="6341">
      <c r="A6341" s="28"/>
      <c r="B6341" s="29"/>
      <c r="C6341" s="29"/>
      <c r="E6341" s="29"/>
      <c r="F6341" s="29"/>
    </row>
    <row r="6342">
      <c r="A6342" s="28"/>
      <c r="B6342" s="29"/>
      <c r="C6342" s="29"/>
      <c r="E6342" s="29"/>
      <c r="F6342" s="29"/>
    </row>
    <row r="6343">
      <c r="A6343" s="28"/>
      <c r="B6343" s="29"/>
      <c r="C6343" s="29"/>
      <c r="E6343" s="29"/>
      <c r="F6343" s="29"/>
    </row>
    <row r="6344">
      <c r="A6344" s="28"/>
      <c r="B6344" s="29"/>
      <c r="C6344" s="29"/>
      <c r="E6344" s="29"/>
      <c r="F6344" s="29"/>
    </row>
    <row r="6345">
      <c r="A6345" s="28"/>
      <c r="B6345" s="29"/>
      <c r="C6345" s="29"/>
      <c r="E6345" s="29"/>
      <c r="F6345" s="29"/>
    </row>
    <row r="6346">
      <c r="A6346" s="28"/>
      <c r="B6346" s="29"/>
      <c r="C6346" s="29"/>
      <c r="E6346" s="29"/>
      <c r="F6346" s="29"/>
    </row>
    <row r="6347">
      <c r="A6347" s="28"/>
      <c r="B6347" s="29"/>
      <c r="C6347" s="29"/>
      <c r="E6347" s="29"/>
      <c r="F6347" s="29"/>
    </row>
    <row r="6348">
      <c r="A6348" s="28"/>
      <c r="B6348" s="29"/>
      <c r="C6348" s="29"/>
      <c r="E6348" s="29"/>
      <c r="F6348" s="29"/>
    </row>
    <row r="6349">
      <c r="A6349" s="28"/>
      <c r="B6349" s="29"/>
      <c r="C6349" s="29"/>
      <c r="E6349" s="29"/>
      <c r="F6349" s="29"/>
    </row>
    <row r="6350">
      <c r="A6350" s="28"/>
      <c r="B6350" s="29"/>
      <c r="C6350" s="29"/>
      <c r="E6350" s="29"/>
      <c r="F6350" s="29"/>
    </row>
    <row r="6351">
      <c r="A6351" s="28"/>
      <c r="B6351" s="29"/>
      <c r="C6351" s="29"/>
      <c r="E6351" s="29"/>
      <c r="F6351" s="29"/>
    </row>
    <row r="6352">
      <c r="A6352" s="28"/>
      <c r="B6352" s="29"/>
      <c r="C6352" s="29"/>
      <c r="E6352" s="29"/>
      <c r="F6352" s="29"/>
    </row>
    <row r="6353">
      <c r="A6353" s="28"/>
      <c r="B6353" s="29"/>
      <c r="C6353" s="29"/>
      <c r="E6353" s="29"/>
      <c r="F6353" s="29"/>
    </row>
    <row r="6354">
      <c r="A6354" s="28"/>
      <c r="B6354" s="29"/>
      <c r="C6354" s="29"/>
      <c r="E6354" s="29"/>
      <c r="F6354" s="29"/>
    </row>
    <row r="6355">
      <c r="A6355" s="28"/>
      <c r="B6355" s="29"/>
      <c r="C6355" s="29"/>
      <c r="E6355" s="29"/>
      <c r="F6355" s="29"/>
    </row>
    <row r="6356">
      <c r="A6356" s="28"/>
      <c r="B6356" s="29"/>
      <c r="C6356" s="29"/>
      <c r="E6356" s="29"/>
      <c r="F6356" s="29"/>
    </row>
    <row r="6357">
      <c r="A6357" s="28"/>
      <c r="B6357" s="29"/>
      <c r="C6357" s="29"/>
      <c r="E6357" s="29"/>
      <c r="F6357" s="29"/>
    </row>
    <row r="6358">
      <c r="A6358" s="28"/>
      <c r="B6358" s="29"/>
      <c r="C6358" s="29"/>
      <c r="E6358" s="29"/>
      <c r="F6358" s="29"/>
    </row>
    <row r="6359">
      <c r="A6359" s="28"/>
      <c r="B6359" s="29"/>
      <c r="C6359" s="29"/>
      <c r="E6359" s="29"/>
      <c r="F6359" s="29"/>
    </row>
    <row r="6360">
      <c r="A6360" s="28"/>
      <c r="B6360" s="29"/>
      <c r="C6360" s="29"/>
      <c r="E6360" s="29"/>
      <c r="F6360" s="29"/>
    </row>
    <row r="6361">
      <c r="A6361" s="28"/>
      <c r="B6361" s="29"/>
      <c r="C6361" s="29"/>
      <c r="E6361" s="29"/>
      <c r="F6361" s="29"/>
    </row>
    <row r="6362">
      <c r="A6362" s="28"/>
      <c r="B6362" s="29"/>
      <c r="C6362" s="29"/>
      <c r="E6362" s="29"/>
      <c r="F6362" s="29"/>
    </row>
    <row r="6363">
      <c r="A6363" s="28"/>
      <c r="B6363" s="29"/>
      <c r="C6363" s="29"/>
      <c r="E6363" s="29"/>
      <c r="F6363" s="29"/>
    </row>
    <row r="6364">
      <c r="A6364" s="28"/>
      <c r="B6364" s="29"/>
      <c r="C6364" s="29"/>
      <c r="E6364" s="29"/>
      <c r="F6364" s="29"/>
    </row>
    <row r="6365">
      <c r="A6365" s="28"/>
      <c r="B6365" s="29"/>
      <c r="C6365" s="29"/>
      <c r="E6365" s="29"/>
      <c r="F6365" s="29"/>
    </row>
    <row r="6366">
      <c r="A6366" s="28"/>
      <c r="B6366" s="29"/>
      <c r="C6366" s="29"/>
      <c r="E6366" s="29"/>
      <c r="F6366" s="29"/>
    </row>
    <row r="6367">
      <c r="A6367" s="28"/>
      <c r="B6367" s="29"/>
      <c r="C6367" s="29"/>
      <c r="E6367" s="29"/>
      <c r="F6367" s="29"/>
    </row>
    <row r="6368">
      <c r="A6368" s="28"/>
      <c r="B6368" s="29"/>
      <c r="C6368" s="29"/>
      <c r="E6368" s="29"/>
      <c r="F6368" s="29"/>
    </row>
    <row r="6369">
      <c r="A6369" s="28"/>
      <c r="B6369" s="29"/>
      <c r="C6369" s="29"/>
      <c r="E6369" s="29"/>
      <c r="F6369" s="29"/>
    </row>
    <row r="6370">
      <c r="A6370" s="28"/>
      <c r="B6370" s="29"/>
      <c r="C6370" s="29"/>
      <c r="E6370" s="29"/>
      <c r="F6370" s="29"/>
    </row>
    <row r="6371">
      <c r="A6371" s="28"/>
      <c r="B6371" s="29"/>
      <c r="C6371" s="29"/>
      <c r="E6371" s="29"/>
      <c r="F6371" s="29"/>
    </row>
    <row r="6372">
      <c r="A6372" s="28"/>
      <c r="B6372" s="29"/>
      <c r="C6372" s="29"/>
      <c r="E6372" s="29"/>
      <c r="F6372" s="29"/>
    </row>
    <row r="6373">
      <c r="A6373" s="28"/>
      <c r="B6373" s="29"/>
      <c r="C6373" s="29"/>
      <c r="E6373" s="29"/>
      <c r="F6373" s="29"/>
    </row>
    <row r="6374">
      <c r="A6374" s="28"/>
      <c r="B6374" s="29"/>
      <c r="C6374" s="29"/>
      <c r="E6374" s="29"/>
      <c r="F6374" s="29"/>
    </row>
    <row r="6375">
      <c r="A6375" s="28"/>
      <c r="B6375" s="29"/>
      <c r="C6375" s="29"/>
      <c r="E6375" s="29"/>
      <c r="F6375" s="29"/>
    </row>
    <row r="6376">
      <c r="A6376" s="28"/>
      <c r="B6376" s="29"/>
      <c r="C6376" s="29"/>
      <c r="E6376" s="29"/>
      <c r="F6376" s="29"/>
    </row>
    <row r="6377">
      <c r="A6377" s="28"/>
      <c r="B6377" s="29"/>
      <c r="C6377" s="29"/>
      <c r="E6377" s="29"/>
      <c r="F6377" s="29"/>
    </row>
    <row r="6378">
      <c r="A6378" s="28"/>
      <c r="B6378" s="29"/>
      <c r="C6378" s="29"/>
      <c r="E6378" s="29"/>
      <c r="F6378" s="29"/>
    </row>
    <row r="6379">
      <c r="A6379" s="28"/>
      <c r="B6379" s="29"/>
      <c r="C6379" s="29"/>
      <c r="E6379" s="29"/>
      <c r="F6379" s="29"/>
    </row>
    <row r="6380">
      <c r="A6380" s="28"/>
      <c r="B6380" s="29"/>
      <c r="C6380" s="29"/>
      <c r="E6380" s="29"/>
      <c r="F6380" s="29"/>
    </row>
    <row r="6381">
      <c r="A6381" s="28"/>
      <c r="B6381" s="29"/>
      <c r="C6381" s="29"/>
      <c r="E6381" s="29"/>
      <c r="F6381" s="29"/>
    </row>
    <row r="6382">
      <c r="A6382" s="28"/>
      <c r="B6382" s="29"/>
      <c r="C6382" s="29"/>
      <c r="E6382" s="29"/>
      <c r="F6382" s="29"/>
    </row>
    <row r="6383">
      <c r="A6383" s="28"/>
      <c r="B6383" s="29"/>
      <c r="C6383" s="29"/>
      <c r="E6383" s="29"/>
      <c r="F6383" s="29"/>
    </row>
    <row r="6384">
      <c r="A6384" s="28"/>
      <c r="B6384" s="29"/>
      <c r="C6384" s="29"/>
      <c r="E6384" s="29"/>
      <c r="F6384" s="29"/>
    </row>
    <row r="6385">
      <c r="A6385" s="28"/>
      <c r="B6385" s="29"/>
      <c r="C6385" s="29"/>
      <c r="E6385" s="29"/>
      <c r="F6385" s="29"/>
    </row>
    <row r="6386">
      <c r="A6386" s="28"/>
      <c r="B6386" s="29"/>
      <c r="C6386" s="29"/>
      <c r="E6386" s="29"/>
      <c r="F6386" s="29"/>
    </row>
    <row r="6387">
      <c r="A6387" s="28"/>
      <c r="B6387" s="29"/>
      <c r="C6387" s="29"/>
      <c r="E6387" s="29"/>
      <c r="F6387" s="29"/>
    </row>
    <row r="6388">
      <c r="A6388" s="28"/>
      <c r="B6388" s="29"/>
      <c r="C6388" s="29"/>
      <c r="E6388" s="29"/>
      <c r="F6388" s="29"/>
    </row>
    <row r="6389">
      <c r="A6389" s="28"/>
      <c r="B6389" s="29"/>
      <c r="C6389" s="29"/>
      <c r="E6389" s="29"/>
      <c r="F6389" s="29"/>
    </row>
    <row r="6390">
      <c r="A6390" s="28"/>
      <c r="B6390" s="29"/>
      <c r="C6390" s="29"/>
      <c r="E6390" s="29"/>
      <c r="F6390" s="29"/>
    </row>
    <row r="6391">
      <c r="A6391" s="28"/>
      <c r="B6391" s="29"/>
      <c r="C6391" s="29"/>
      <c r="E6391" s="29"/>
      <c r="F6391" s="29"/>
    </row>
    <row r="6392">
      <c r="A6392" s="28"/>
      <c r="B6392" s="29"/>
      <c r="C6392" s="29"/>
      <c r="E6392" s="29"/>
      <c r="F6392" s="29"/>
    </row>
    <row r="6393">
      <c r="A6393" s="28"/>
      <c r="B6393" s="29"/>
      <c r="C6393" s="29"/>
      <c r="E6393" s="29"/>
      <c r="F6393" s="29"/>
    </row>
    <row r="6394">
      <c r="A6394" s="28"/>
      <c r="B6394" s="29"/>
      <c r="C6394" s="29"/>
      <c r="E6394" s="29"/>
      <c r="F6394" s="29"/>
    </row>
    <row r="6395">
      <c r="A6395" s="28"/>
      <c r="B6395" s="29"/>
      <c r="C6395" s="29"/>
      <c r="E6395" s="29"/>
      <c r="F6395" s="29"/>
    </row>
    <row r="6396">
      <c r="A6396" s="28"/>
      <c r="B6396" s="29"/>
      <c r="C6396" s="29"/>
      <c r="E6396" s="29"/>
      <c r="F6396" s="29"/>
    </row>
    <row r="6397">
      <c r="A6397" s="28"/>
      <c r="B6397" s="29"/>
      <c r="C6397" s="29"/>
      <c r="E6397" s="29"/>
      <c r="F6397" s="29"/>
    </row>
    <row r="6398">
      <c r="A6398" s="28"/>
      <c r="B6398" s="29"/>
      <c r="C6398" s="29"/>
      <c r="E6398" s="29"/>
      <c r="F6398" s="29"/>
    </row>
    <row r="6399">
      <c r="A6399" s="28"/>
      <c r="B6399" s="29"/>
      <c r="C6399" s="29"/>
      <c r="E6399" s="29"/>
      <c r="F6399" s="29"/>
    </row>
    <row r="6400">
      <c r="A6400" s="28"/>
      <c r="B6400" s="29"/>
      <c r="C6400" s="29"/>
      <c r="E6400" s="29"/>
      <c r="F6400" s="29"/>
    </row>
    <row r="6401">
      <c r="A6401" s="28"/>
      <c r="B6401" s="29"/>
      <c r="C6401" s="29"/>
      <c r="E6401" s="29"/>
      <c r="F6401" s="29"/>
    </row>
    <row r="6402">
      <c r="A6402" s="28"/>
      <c r="B6402" s="29"/>
      <c r="C6402" s="29"/>
      <c r="E6402" s="29"/>
      <c r="F6402" s="29"/>
    </row>
    <row r="6403">
      <c r="A6403" s="28"/>
      <c r="B6403" s="29"/>
      <c r="C6403" s="29"/>
      <c r="E6403" s="29"/>
      <c r="F6403" s="29"/>
    </row>
    <row r="6404">
      <c r="A6404" s="28"/>
      <c r="B6404" s="29"/>
      <c r="C6404" s="29"/>
      <c r="E6404" s="29"/>
      <c r="F6404" s="29"/>
    </row>
    <row r="6405">
      <c r="A6405" s="28"/>
      <c r="B6405" s="29"/>
      <c r="C6405" s="29"/>
      <c r="E6405" s="29"/>
      <c r="F6405" s="29"/>
    </row>
    <row r="6406">
      <c r="A6406" s="28"/>
      <c r="B6406" s="29"/>
      <c r="C6406" s="29"/>
      <c r="E6406" s="29"/>
      <c r="F6406" s="29"/>
    </row>
    <row r="6407">
      <c r="A6407" s="28"/>
      <c r="B6407" s="29"/>
      <c r="C6407" s="29"/>
      <c r="E6407" s="29"/>
      <c r="F6407" s="29"/>
    </row>
    <row r="6408">
      <c r="A6408" s="28"/>
      <c r="B6408" s="29"/>
      <c r="C6408" s="29"/>
      <c r="E6408" s="29"/>
      <c r="F6408" s="29"/>
    </row>
    <row r="6409">
      <c r="A6409" s="28"/>
      <c r="B6409" s="29"/>
      <c r="C6409" s="29"/>
      <c r="E6409" s="29"/>
      <c r="F6409" s="29"/>
    </row>
    <row r="6410">
      <c r="A6410" s="28"/>
      <c r="B6410" s="29"/>
      <c r="C6410" s="29"/>
      <c r="E6410" s="29"/>
      <c r="F6410" s="29"/>
    </row>
    <row r="6411">
      <c r="A6411" s="28"/>
      <c r="B6411" s="29"/>
      <c r="C6411" s="29"/>
      <c r="E6411" s="29"/>
      <c r="F6411" s="29"/>
    </row>
    <row r="6412">
      <c r="A6412" s="28"/>
      <c r="B6412" s="29"/>
      <c r="C6412" s="29"/>
      <c r="E6412" s="29"/>
      <c r="F6412" s="29"/>
    </row>
    <row r="6413">
      <c r="A6413" s="28"/>
      <c r="B6413" s="29"/>
      <c r="C6413" s="29"/>
      <c r="E6413" s="29"/>
      <c r="F6413" s="29"/>
    </row>
    <row r="6414">
      <c r="A6414" s="28"/>
      <c r="B6414" s="29"/>
      <c r="C6414" s="29"/>
      <c r="E6414" s="29"/>
      <c r="F6414" s="29"/>
    </row>
    <row r="6415">
      <c r="A6415" s="28"/>
      <c r="B6415" s="29"/>
      <c r="C6415" s="29"/>
      <c r="E6415" s="29"/>
      <c r="F6415" s="29"/>
    </row>
    <row r="6416">
      <c r="A6416" s="28"/>
      <c r="B6416" s="29"/>
      <c r="C6416" s="29"/>
      <c r="E6416" s="29"/>
      <c r="F6416" s="29"/>
    </row>
    <row r="6417">
      <c r="A6417" s="28"/>
      <c r="B6417" s="29"/>
      <c r="C6417" s="29"/>
      <c r="E6417" s="29"/>
      <c r="F6417" s="29"/>
    </row>
    <row r="6418">
      <c r="A6418" s="28"/>
      <c r="B6418" s="29"/>
      <c r="C6418" s="29"/>
      <c r="E6418" s="29"/>
      <c r="F6418" s="29"/>
    </row>
    <row r="6419">
      <c r="A6419" s="28"/>
      <c r="B6419" s="29"/>
      <c r="C6419" s="29"/>
      <c r="E6419" s="29"/>
      <c r="F6419" s="29"/>
    </row>
    <row r="6420">
      <c r="A6420" s="28"/>
      <c r="B6420" s="29"/>
      <c r="C6420" s="29"/>
      <c r="E6420" s="29"/>
      <c r="F6420" s="29"/>
    </row>
    <row r="6421">
      <c r="A6421" s="28"/>
      <c r="B6421" s="29"/>
      <c r="C6421" s="29"/>
      <c r="E6421" s="29"/>
      <c r="F6421" s="29"/>
    </row>
    <row r="6422">
      <c r="A6422" s="28"/>
      <c r="B6422" s="29"/>
      <c r="C6422" s="29"/>
      <c r="E6422" s="29"/>
      <c r="F6422" s="29"/>
    </row>
    <row r="6423">
      <c r="A6423" s="28"/>
      <c r="B6423" s="29"/>
      <c r="C6423" s="29"/>
      <c r="E6423" s="29"/>
      <c r="F6423" s="29"/>
    </row>
    <row r="6424">
      <c r="A6424" s="28"/>
      <c r="B6424" s="29"/>
      <c r="C6424" s="29"/>
      <c r="E6424" s="29"/>
      <c r="F6424" s="29"/>
    </row>
    <row r="6425">
      <c r="A6425" s="28"/>
      <c r="B6425" s="29"/>
      <c r="C6425" s="29"/>
      <c r="E6425" s="29"/>
      <c r="F6425" s="29"/>
    </row>
    <row r="6426">
      <c r="A6426" s="28"/>
      <c r="B6426" s="29"/>
      <c r="C6426" s="29"/>
      <c r="E6426" s="29"/>
      <c r="F6426" s="29"/>
    </row>
    <row r="6427">
      <c r="A6427" s="28"/>
      <c r="B6427" s="29"/>
      <c r="C6427" s="29"/>
      <c r="E6427" s="29"/>
      <c r="F6427" s="29"/>
    </row>
    <row r="6428">
      <c r="A6428" s="28"/>
      <c r="B6428" s="29"/>
      <c r="C6428" s="29"/>
      <c r="E6428" s="29"/>
      <c r="F6428" s="29"/>
    </row>
    <row r="6429">
      <c r="A6429" s="28"/>
      <c r="B6429" s="29"/>
      <c r="C6429" s="29"/>
      <c r="E6429" s="29"/>
      <c r="F6429" s="29"/>
    </row>
    <row r="6430">
      <c r="A6430" s="28"/>
      <c r="B6430" s="29"/>
      <c r="C6430" s="29"/>
      <c r="E6430" s="29"/>
      <c r="F6430" s="29"/>
    </row>
    <row r="6431">
      <c r="A6431" s="28"/>
      <c r="B6431" s="29"/>
      <c r="C6431" s="29"/>
      <c r="E6431" s="29"/>
      <c r="F6431" s="29"/>
    </row>
    <row r="6432">
      <c r="A6432" s="28"/>
      <c r="B6432" s="29"/>
      <c r="C6432" s="29"/>
      <c r="E6432" s="29"/>
      <c r="F6432" s="29"/>
    </row>
    <row r="6433">
      <c r="A6433" s="28"/>
      <c r="B6433" s="29"/>
      <c r="C6433" s="29"/>
      <c r="E6433" s="29"/>
      <c r="F6433" s="29"/>
    </row>
    <row r="6434">
      <c r="A6434" s="28"/>
      <c r="B6434" s="29"/>
      <c r="C6434" s="29"/>
      <c r="E6434" s="29"/>
      <c r="F6434" s="29"/>
    </row>
    <row r="6435">
      <c r="A6435" s="28"/>
      <c r="B6435" s="29"/>
      <c r="C6435" s="29"/>
      <c r="E6435" s="29"/>
      <c r="F6435" s="29"/>
    </row>
    <row r="6436">
      <c r="A6436" s="28"/>
      <c r="B6436" s="29"/>
      <c r="C6436" s="29"/>
      <c r="E6436" s="29"/>
      <c r="F6436" s="29"/>
    </row>
    <row r="6437">
      <c r="A6437" s="28"/>
      <c r="B6437" s="29"/>
      <c r="C6437" s="29"/>
      <c r="E6437" s="29"/>
      <c r="F6437" s="29"/>
    </row>
    <row r="6438">
      <c r="A6438" s="28"/>
      <c r="B6438" s="29"/>
      <c r="C6438" s="29"/>
      <c r="E6438" s="29"/>
      <c r="F6438" s="29"/>
    </row>
    <row r="6439">
      <c r="A6439" s="28"/>
      <c r="B6439" s="29"/>
      <c r="C6439" s="29"/>
      <c r="E6439" s="29"/>
      <c r="F6439" s="29"/>
    </row>
    <row r="6440">
      <c r="A6440" s="28"/>
      <c r="B6440" s="29"/>
      <c r="C6440" s="29"/>
      <c r="E6440" s="29"/>
      <c r="F6440" s="29"/>
    </row>
    <row r="6441">
      <c r="A6441" s="28"/>
      <c r="B6441" s="29"/>
      <c r="C6441" s="29"/>
      <c r="E6441" s="29"/>
      <c r="F6441" s="29"/>
    </row>
    <row r="6442">
      <c r="A6442" s="28"/>
      <c r="B6442" s="29"/>
      <c r="C6442" s="29"/>
      <c r="E6442" s="29"/>
      <c r="F6442" s="29"/>
    </row>
    <row r="6443">
      <c r="A6443" s="28"/>
      <c r="B6443" s="29"/>
      <c r="C6443" s="29"/>
      <c r="E6443" s="29"/>
      <c r="F6443" s="29"/>
    </row>
    <row r="6444">
      <c r="A6444" s="28"/>
      <c r="B6444" s="29"/>
      <c r="C6444" s="29"/>
      <c r="E6444" s="29"/>
      <c r="F6444" s="29"/>
    </row>
    <row r="6445">
      <c r="A6445" s="28"/>
      <c r="B6445" s="29"/>
      <c r="C6445" s="29"/>
      <c r="E6445" s="29"/>
      <c r="F6445" s="29"/>
    </row>
    <row r="6446">
      <c r="A6446" s="28"/>
      <c r="B6446" s="29"/>
      <c r="C6446" s="29"/>
      <c r="E6446" s="29"/>
      <c r="F6446" s="29"/>
    </row>
    <row r="6447">
      <c r="A6447" s="28"/>
      <c r="B6447" s="29"/>
      <c r="C6447" s="29"/>
      <c r="E6447" s="29"/>
      <c r="F6447" s="29"/>
    </row>
    <row r="6448">
      <c r="A6448" s="28"/>
      <c r="B6448" s="29"/>
      <c r="C6448" s="29"/>
      <c r="E6448" s="29"/>
      <c r="F6448" s="29"/>
    </row>
    <row r="6449">
      <c r="A6449" s="28"/>
      <c r="B6449" s="29"/>
      <c r="C6449" s="29"/>
      <c r="E6449" s="29"/>
      <c r="F6449" s="29"/>
    </row>
    <row r="6450">
      <c r="A6450" s="28"/>
      <c r="B6450" s="29"/>
      <c r="C6450" s="29"/>
      <c r="E6450" s="29"/>
      <c r="F6450" s="29"/>
    </row>
    <row r="6451">
      <c r="A6451" s="28"/>
      <c r="B6451" s="29"/>
      <c r="C6451" s="29"/>
      <c r="E6451" s="29"/>
      <c r="F6451" s="29"/>
    </row>
    <row r="6452">
      <c r="A6452" s="28"/>
      <c r="B6452" s="29"/>
      <c r="C6452" s="29"/>
      <c r="E6452" s="29"/>
      <c r="F6452" s="29"/>
    </row>
    <row r="6453">
      <c r="A6453" s="28"/>
      <c r="B6453" s="29"/>
      <c r="C6453" s="29"/>
      <c r="E6453" s="29"/>
      <c r="F6453" s="29"/>
    </row>
    <row r="6454">
      <c r="A6454" s="28"/>
      <c r="B6454" s="29"/>
      <c r="C6454" s="29"/>
      <c r="E6454" s="29"/>
      <c r="F6454" s="29"/>
    </row>
    <row r="6455">
      <c r="A6455" s="28"/>
      <c r="B6455" s="29"/>
      <c r="C6455" s="29"/>
      <c r="E6455" s="29"/>
      <c r="F6455" s="29"/>
    </row>
    <row r="6456">
      <c r="A6456" s="28"/>
      <c r="B6456" s="29"/>
      <c r="C6456" s="29"/>
      <c r="E6456" s="29"/>
      <c r="F6456" s="29"/>
    </row>
    <row r="6457">
      <c r="A6457" s="28"/>
      <c r="B6457" s="29"/>
      <c r="C6457" s="29"/>
      <c r="E6457" s="29"/>
      <c r="F6457" s="29"/>
    </row>
    <row r="6458">
      <c r="A6458" s="28"/>
      <c r="B6458" s="29"/>
      <c r="C6458" s="29"/>
      <c r="E6458" s="29"/>
      <c r="F6458" s="29"/>
    </row>
    <row r="6459">
      <c r="A6459" s="28"/>
      <c r="B6459" s="29"/>
      <c r="C6459" s="29"/>
      <c r="E6459" s="29"/>
      <c r="F6459" s="29"/>
    </row>
    <row r="6460">
      <c r="A6460" s="28"/>
      <c r="B6460" s="29"/>
      <c r="C6460" s="29"/>
      <c r="E6460" s="29"/>
      <c r="F6460" s="29"/>
    </row>
    <row r="6461">
      <c r="A6461" s="28"/>
      <c r="B6461" s="29"/>
      <c r="C6461" s="29"/>
      <c r="E6461" s="29"/>
      <c r="F6461" s="29"/>
    </row>
    <row r="6462">
      <c r="A6462" s="28"/>
      <c r="B6462" s="29"/>
      <c r="C6462" s="29"/>
      <c r="E6462" s="29"/>
      <c r="F6462" s="29"/>
    </row>
    <row r="6463">
      <c r="A6463" s="28"/>
      <c r="B6463" s="29"/>
      <c r="C6463" s="29"/>
      <c r="E6463" s="29"/>
      <c r="F6463" s="29"/>
    </row>
    <row r="6464">
      <c r="A6464" s="28"/>
      <c r="B6464" s="29"/>
      <c r="C6464" s="29"/>
      <c r="E6464" s="29"/>
      <c r="F6464" s="29"/>
    </row>
    <row r="6465">
      <c r="A6465" s="28"/>
      <c r="B6465" s="29"/>
      <c r="C6465" s="29"/>
      <c r="E6465" s="29"/>
      <c r="F6465" s="29"/>
    </row>
    <row r="6466">
      <c r="A6466" s="28"/>
      <c r="B6466" s="29"/>
      <c r="C6466" s="29"/>
      <c r="E6466" s="29"/>
      <c r="F6466" s="29"/>
    </row>
    <row r="6467">
      <c r="A6467" s="28"/>
      <c r="B6467" s="29"/>
      <c r="C6467" s="29"/>
      <c r="E6467" s="29"/>
      <c r="F6467" s="29"/>
    </row>
    <row r="6468">
      <c r="A6468" s="28"/>
      <c r="B6468" s="29"/>
      <c r="C6468" s="29"/>
      <c r="E6468" s="29"/>
      <c r="F6468" s="29"/>
    </row>
    <row r="6469">
      <c r="A6469" s="28"/>
      <c r="B6469" s="29"/>
      <c r="C6469" s="29"/>
      <c r="E6469" s="29"/>
      <c r="F6469" s="29"/>
    </row>
    <row r="6470">
      <c r="A6470" s="28"/>
      <c r="B6470" s="29"/>
      <c r="C6470" s="29"/>
      <c r="E6470" s="29"/>
      <c r="F6470" s="29"/>
    </row>
    <row r="6471">
      <c r="A6471" s="28"/>
      <c r="B6471" s="29"/>
      <c r="C6471" s="29"/>
      <c r="E6471" s="29"/>
      <c r="F6471" s="29"/>
    </row>
    <row r="6472">
      <c r="A6472" s="28"/>
      <c r="B6472" s="29"/>
      <c r="C6472" s="29"/>
      <c r="E6472" s="29"/>
      <c r="F6472" s="29"/>
    </row>
    <row r="6473">
      <c r="A6473" s="28"/>
      <c r="B6473" s="29"/>
      <c r="C6473" s="29"/>
      <c r="E6473" s="29"/>
      <c r="F6473" s="29"/>
    </row>
    <row r="6474">
      <c r="A6474" s="28"/>
      <c r="B6474" s="29"/>
      <c r="C6474" s="29"/>
      <c r="E6474" s="29"/>
      <c r="F6474" s="29"/>
    </row>
    <row r="6475">
      <c r="A6475" s="28"/>
      <c r="B6475" s="29"/>
      <c r="C6475" s="29"/>
      <c r="E6475" s="29"/>
      <c r="F6475" s="29"/>
    </row>
    <row r="6476">
      <c r="A6476" s="28"/>
      <c r="B6476" s="29"/>
      <c r="C6476" s="29"/>
      <c r="E6476" s="29"/>
      <c r="F6476" s="29"/>
    </row>
    <row r="6477">
      <c r="A6477" s="28"/>
      <c r="B6477" s="29"/>
      <c r="C6477" s="29"/>
      <c r="E6477" s="29"/>
      <c r="F6477" s="29"/>
    </row>
    <row r="6478">
      <c r="A6478" s="28"/>
      <c r="B6478" s="29"/>
      <c r="C6478" s="29"/>
      <c r="E6478" s="29"/>
      <c r="F6478" s="29"/>
    </row>
    <row r="6479">
      <c r="A6479" s="28"/>
      <c r="B6479" s="29"/>
      <c r="C6479" s="29"/>
      <c r="E6479" s="29"/>
      <c r="F6479" s="29"/>
    </row>
    <row r="6480">
      <c r="A6480" s="28"/>
      <c r="B6480" s="29"/>
      <c r="C6480" s="29"/>
      <c r="E6480" s="29"/>
      <c r="F6480" s="29"/>
    </row>
    <row r="6481">
      <c r="A6481" s="28"/>
      <c r="B6481" s="29"/>
      <c r="C6481" s="29"/>
      <c r="E6481" s="29"/>
      <c r="F6481" s="29"/>
    </row>
    <row r="6482">
      <c r="A6482" s="28"/>
      <c r="B6482" s="29"/>
      <c r="C6482" s="29"/>
      <c r="E6482" s="29"/>
      <c r="F6482" s="29"/>
    </row>
    <row r="6483">
      <c r="A6483" s="28"/>
      <c r="B6483" s="29"/>
      <c r="C6483" s="29"/>
      <c r="E6483" s="29"/>
      <c r="F6483" s="29"/>
    </row>
    <row r="6484">
      <c r="A6484" s="28"/>
      <c r="B6484" s="29"/>
      <c r="C6484" s="29"/>
      <c r="E6484" s="29"/>
      <c r="F6484" s="29"/>
    </row>
    <row r="6485">
      <c r="A6485" s="28"/>
      <c r="B6485" s="29"/>
      <c r="C6485" s="29"/>
      <c r="E6485" s="29"/>
      <c r="F6485" s="29"/>
    </row>
    <row r="6486">
      <c r="A6486" s="28"/>
      <c r="B6486" s="29"/>
      <c r="C6486" s="29"/>
      <c r="E6486" s="29"/>
      <c r="F6486" s="29"/>
    </row>
    <row r="6487">
      <c r="A6487" s="28"/>
      <c r="B6487" s="29"/>
      <c r="C6487" s="29"/>
      <c r="E6487" s="29"/>
      <c r="F6487" s="29"/>
    </row>
    <row r="6488">
      <c r="A6488" s="28"/>
      <c r="B6488" s="29"/>
      <c r="C6488" s="29"/>
      <c r="E6488" s="29"/>
      <c r="F6488" s="29"/>
    </row>
    <row r="6489">
      <c r="A6489" s="28"/>
      <c r="B6489" s="29"/>
      <c r="C6489" s="29"/>
      <c r="E6489" s="29"/>
      <c r="F6489" s="29"/>
    </row>
    <row r="6490">
      <c r="A6490" s="28"/>
      <c r="B6490" s="29"/>
      <c r="C6490" s="29"/>
      <c r="E6490" s="29"/>
      <c r="F6490" s="29"/>
    </row>
    <row r="6491">
      <c r="A6491" s="28"/>
      <c r="B6491" s="29"/>
      <c r="C6491" s="29"/>
      <c r="E6491" s="29"/>
      <c r="F6491" s="29"/>
    </row>
    <row r="6492">
      <c r="A6492" s="28"/>
      <c r="B6492" s="29"/>
      <c r="C6492" s="29"/>
      <c r="E6492" s="29"/>
      <c r="F6492" s="29"/>
    </row>
    <row r="6493">
      <c r="A6493" s="28"/>
      <c r="B6493" s="29"/>
      <c r="C6493" s="29"/>
      <c r="E6493" s="29"/>
      <c r="F6493" s="29"/>
    </row>
    <row r="6494">
      <c r="A6494" s="28"/>
      <c r="B6494" s="29"/>
      <c r="C6494" s="29"/>
      <c r="E6494" s="29"/>
      <c r="F6494" s="29"/>
    </row>
    <row r="6495">
      <c r="A6495" s="28"/>
      <c r="B6495" s="29"/>
      <c r="C6495" s="29"/>
      <c r="E6495" s="29"/>
      <c r="F6495" s="29"/>
    </row>
    <row r="6496">
      <c r="A6496" s="28"/>
      <c r="B6496" s="29"/>
      <c r="C6496" s="29"/>
      <c r="E6496" s="29"/>
      <c r="F6496" s="29"/>
    </row>
    <row r="6497">
      <c r="A6497" s="28"/>
      <c r="B6497" s="29"/>
      <c r="C6497" s="29"/>
      <c r="E6497" s="29"/>
      <c r="F6497" s="29"/>
    </row>
    <row r="6498">
      <c r="A6498" s="28"/>
      <c r="B6498" s="29"/>
      <c r="C6498" s="29"/>
      <c r="E6498" s="29"/>
      <c r="F6498" s="29"/>
    </row>
    <row r="6499">
      <c r="A6499" s="28"/>
      <c r="B6499" s="29"/>
      <c r="C6499" s="29"/>
      <c r="E6499" s="29"/>
      <c r="F6499" s="29"/>
    </row>
    <row r="6500">
      <c r="A6500" s="28"/>
      <c r="B6500" s="29"/>
      <c r="C6500" s="29"/>
      <c r="E6500" s="29"/>
      <c r="F6500" s="29"/>
    </row>
    <row r="6501">
      <c r="A6501" s="28"/>
      <c r="B6501" s="29"/>
      <c r="C6501" s="29"/>
      <c r="E6501" s="29"/>
      <c r="F6501" s="29"/>
    </row>
    <row r="6502">
      <c r="A6502" s="28"/>
      <c r="B6502" s="29"/>
      <c r="C6502" s="29"/>
      <c r="E6502" s="29"/>
      <c r="F6502" s="29"/>
    </row>
    <row r="6503">
      <c r="A6503" s="28"/>
      <c r="B6503" s="29"/>
      <c r="C6503" s="29"/>
      <c r="E6503" s="29"/>
      <c r="F6503" s="29"/>
    </row>
    <row r="6504">
      <c r="A6504" s="28"/>
      <c r="B6504" s="29"/>
      <c r="C6504" s="29"/>
      <c r="E6504" s="29"/>
      <c r="F6504" s="29"/>
    </row>
    <row r="6505">
      <c r="A6505" s="28"/>
      <c r="B6505" s="29"/>
      <c r="C6505" s="29"/>
      <c r="E6505" s="29"/>
      <c r="F6505" s="29"/>
    </row>
    <row r="6506">
      <c r="A6506" s="28"/>
      <c r="B6506" s="29"/>
      <c r="C6506" s="29"/>
      <c r="E6506" s="29"/>
      <c r="F6506" s="29"/>
    </row>
    <row r="6507">
      <c r="A6507" s="28"/>
      <c r="B6507" s="29"/>
      <c r="C6507" s="29"/>
      <c r="E6507" s="29"/>
      <c r="F6507" s="29"/>
    </row>
    <row r="6508">
      <c r="A6508" s="28"/>
      <c r="B6508" s="29"/>
      <c r="C6508" s="29"/>
      <c r="E6508" s="29"/>
      <c r="F6508" s="29"/>
    </row>
    <row r="6509">
      <c r="A6509" s="28"/>
      <c r="B6509" s="29"/>
      <c r="C6509" s="29"/>
      <c r="E6509" s="29"/>
      <c r="F6509" s="29"/>
    </row>
    <row r="6510">
      <c r="A6510" s="28"/>
      <c r="B6510" s="29"/>
      <c r="C6510" s="29"/>
      <c r="E6510" s="29"/>
      <c r="F6510" s="29"/>
    </row>
    <row r="6511">
      <c r="A6511" s="28"/>
      <c r="B6511" s="29"/>
      <c r="C6511" s="29"/>
      <c r="E6511" s="29"/>
      <c r="F6511" s="29"/>
    </row>
    <row r="6512">
      <c r="A6512" s="28"/>
      <c r="B6512" s="29"/>
      <c r="C6512" s="29"/>
      <c r="E6512" s="29"/>
      <c r="F6512" s="29"/>
    </row>
    <row r="6513">
      <c r="A6513" s="28"/>
      <c r="B6513" s="29"/>
      <c r="C6513" s="29"/>
      <c r="E6513" s="29"/>
      <c r="F6513" s="29"/>
    </row>
    <row r="6514">
      <c r="A6514" s="28"/>
      <c r="B6514" s="29"/>
      <c r="C6514" s="29"/>
      <c r="E6514" s="29"/>
      <c r="F6514" s="29"/>
    </row>
    <row r="6515">
      <c r="A6515" s="28"/>
      <c r="B6515" s="29"/>
      <c r="C6515" s="29"/>
      <c r="E6515" s="29"/>
      <c r="F6515" s="29"/>
    </row>
    <row r="6516">
      <c r="A6516" s="28"/>
      <c r="B6516" s="29"/>
      <c r="C6516" s="29"/>
      <c r="E6516" s="29"/>
      <c r="F6516" s="29"/>
    </row>
    <row r="6517">
      <c r="A6517" s="28"/>
      <c r="B6517" s="29"/>
      <c r="C6517" s="29"/>
      <c r="E6517" s="29"/>
      <c r="F6517" s="29"/>
    </row>
    <row r="6518">
      <c r="A6518" s="28"/>
      <c r="B6518" s="29"/>
      <c r="C6518" s="29"/>
      <c r="E6518" s="29"/>
      <c r="F6518" s="29"/>
    </row>
    <row r="6519">
      <c r="A6519" s="28"/>
      <c r="B6519" s="29"/>
      <c r="C6519" s="29"/>
      <c r="E6519" s="29"/>
      <c r="F6519" s="29"/>
    </row>
    <row r="6520">
      <c r="A6520" s="28"/>
      <c r="B6520" s="29"/>
      <c r="C6520" s="29"/>
      <c r="E6520" s="29"/>
      <c r="F6520" s="29"/>
    </row>
    <row r="6521">
      <c r="A6521" s="28"/>
      <c r="B6521" s="29"/>
      <c r="C6521" s="29"/>
      <c r="E6521" s="29"/>
      <c r="F6521" s="29"/>
    </row>
    <row r="6522">
      <c r="A6522" s="28"/>
      <c r="B6522" s="29"/>
      <c r="C6522" s="29"/>
      <c r="E6522" s="29"/>
      <c r="F6522" s="29"/>
    </row>
    <row r="6523">
      <c r="A6523" s="28"/>
      <c r="B6523" s="29"/>
      <c r="C6523" s="29"/>
      <c r="E6523" s="29"/>
      <c r="F6523" s="29"/>
    </row>
    <row r="6524">
      <c r="A6524" s="28"/>
      <c r="B6524" s="29"/>
      <c r="C6524" s="29"/>
      <c r="E6524" s="29"/>
      <c r="F6524" s="29"/>
    </row>
    <row r="6525">
      <c r="A6525" s="28"/>
      <c r="B6525" s="29"/>
      <c r="C6525" s="29"/>
      <c r="E6525" s="29"/>
      <c r="F6525" s="29"/>
    </row>
    <row r="6526">
      <c r="A6526" s="28"/>
      <c r="B6526" s="29"/>
      <c r="C6526" s="29"/>
      <c r="E6526" s="29"/>
      <c r="F6526" s="29"/>
    </row>
    <row r="6527">
      <c r="A6527" s="28"/>
      <c r="B6527" s="29"/>
      <c r="C6527" s="29"/>
      <c r="E6527" s="29"/>
      <c r="F6527" s="29"/>
    </row>
    <row r="6528">
      <c r="A6528" s="28"/>
      <c r="B6528" s="29"/>
      <c r="C6528" s="29"/>
      <c r="E6528" s="29"/>
      <c r="F6528" s="29"/>
    </row>
    <row r="6529">
      <c r="A6529" s="28"/>
      <c r="B6529" s="29"/>
      <c r="C6529" s="29"/>
      <c r="E6529" s="29"/>
      <c r="F6529" s="29"/>
    </row>
    <row r="6530">
      <c r="A6530" s="28"/>
      <c r="B6530" s="29"/>
      <c r="C6530" s="29"/>
      <c r="E6530" s="29"/>
      <c r="F6530" s="29"/>
    </row>
    <row r="6531">
      <c r="A6531" s="28"/>
      <c r="B6531" s="29"/>
      <c r="C6531" s="29"/>
      <c r="E6531" s="29"/>
      <c r="F6531" s="29"/>
    </row>
    <row r="6532">
      <c r="A6532" s="28"/>
      <c r="B6532" s="29"/>
      <c r="C6532" s="29"/>
      <c r="E6532" s="29"/>
      <c r="F6532" s="29"/>
    </row>
    <row r="6533">
      <c r="A6533" s="28"/>
      <c r="B6533" s="29"/>
      <c r="C6533" s="29"/>
      <c r="E6533" s="29"/>
      <c r="F6533" s="29"/>
    </row>
    <row r="6534">
      <c r="A6534" s="28"/>
      <c r="B6534" s="29"/>
      <c r="C6534" s="29"/>
      <c r="E6534" s="29"/>
      <c r="F6534" s="29"/>
    </row>
    <row r="6535">
      <c r="A6535" s="28"/>
      <c r="B6535" s="29"/>
      <c r="C6535" s="29"/>
      <c r="E6535" s="29"/>
      <c r="F6535" s="29"/>
    </row>
    <row r="6536">
      <c r="A6536" s="28"/>
      <c r="B6536" s="29"/>
      <c r="C6536" s="29"/>
      <c r="E6536" s="29"/>
      <c r="F6536" s="29"/>
    </row>
    <row r="6537">
      <c r="A6537" s="28"/>
      <c r="B6537" s="29"/>
      <c r="C6537" s="29"/>
      <c r="E6537" s="29"/>
      <c r="F6537" s="29"/>
    </row>
    <row r="6538">
      <c r="A6538" s="28"/>
      <c r="B6538" s="29"/>
      <c r="C6538" s="29"/>
      <c r="E6538" s="29"/>
      <c r="F6538" s="29"/>
    </row>
    <row r="6539">
      <c r="A6539" s="28"/>
      <c r="B6539" s="29"/>
      <c r="C6539" s="29"/>
      <c r="E6539" s="29"/>
      <c r="F6539" s="29"/>
    </row>
    <row r="6540">
      <c r="A6540" s="28"/>
      <c r="B6540" s="29"/>
      <c r="C6540" s="29"/>
      <c r="E6540" s="29"/>
      <c r="F6540" s="29"/>
    </row>
    <row r="6541">
      <c r="A6541" s="28"/>
      <c r="B6541" s="29"/>
      <c r="C6541" s="29"/>
      <c r="E6541" s="29"/>
      <c r="F6541" s="29"/>
    </row>
    <row r="6542">
      <c r="A6542" s="28"/>
      <c r="B6542" s="29"/>
      <c r="C6542" s="29"/>
      <c r="E6542" s="29"/>
      <c r="F6542" s="29"/>
    </row>
    <row r="6543">
      <c r="A6543" s="28"/>
      <c r="B6543" s="29"/>
      <c r="C6543" s="29"/>
      <c r="E6543" s="29"/>
      <c r="F6543" s="29"/>
    </row>
    <row r="6544">
      <c r="A6544" s="28"/>
      <c r="B6544" s="29"/>
      <c r="C6544" s="29"/>
      <c r="E6544" s="29"/>
      <c r="F6544" s="29"/>
    </row>
    <row r="6545">
      <c r="A6545" s="28"/>
      <c r="B6545" s="29"/>
      <c r="C6545" s="29"/>
      <c r="E6545" s="29"/>
      <c r="F6545" s="29"/>
    </row>
    <row r="6546">
      <c r="A6546" s="28"/>
      <c r="B6546" s="29"/>
      <c r="C6546" s="29"/>
      <c r="E6546" s="29"/>
      <c r="F6546" s="29"/>
    </row>
    <row r="6547">
      <c r="A6547" s="28"/>
      <c r="B6547" s="29"/>
      <c r="C6547" s="29"/>
      <c r="E6547" s="29"/>
      <c r="F6547" s="29"/>
    </row>
    <row r="6548">
      <c r="A6548" s="28"/>
      <c r="B6548" s="29"/>
      <c r="C6548" s="29"/>
      <c r="E6548" s="29"/>
      <c r="F6548" s="29"/>
    </row>
    <row r="6549">
      <c r="A6549" s="28"/>
      <c r="B6549" s="29"/>
      <c r="C6549" s="29"/>
      <c r="E6549" s="29"/>
      <c r="F6549" s="29"/>
    </row>
    <row r="6550">
      <c r="A6550" s="28"/>
      <c r="B6550" s="29"/>
      <c r="C6550" s="29"/>
      <c r="E6550" s="29"/>
      <c r="F6550" s="29"/>
    </row>
    <row r="6551">
      <c r="A6551" s="28"/>
      <c r="B6551" s="29"/>
      <c r="C6551" s="29"/>
      <c r="E6551" s="29"/>
      <c r="F6551" s="29"/>
    </row>
    <row r="6552">
      <c r="A6552" s="28"/>
      <c r="B6552" s="29"/>
      <c r="C6552" s="29"/>
      <c r="E6552" s="29"/>
      <c r="F6552" s="29"/>
    </row>
    <row r="6553">
      <c r="A6553" s="28"/>
      <c r="B6553" s="29"/>
      <c r="C6553" s="29"/>
      <c r="E6553" s="29"/>
      <c r="F6553" s="29"/>
    </row>
    <row r="6554">
      <c r="A6554" s="28"/>
      <c r="B6554" s="29"/>
      <c r="C6554" s="29"/>
      <c r="E6554" s="29"/>
      <c r="F6554" s="29"/>
    </row>
    <row r="6555">
      <c r="A6555" s="28"/>
      <c r="B6555" s="29"/>
      <c r="C6555" s="29"/>
      <c r="E6555" s="29"/>
      <c r="F6555" s="29"/>
    </row>
    <row r="6556">
      <c r="A6556" s="28"/>
      <c r="B6556" s="29"/>
      <c r="C6556" s="29"/>
      <c r="E6556" s="29"/>
      <c r="F6556" s="29"/>
    </row>
    <row r="6557">
      <c r="A6557" s="28"/>
      <c r="B6557" s="29"/>
      <c r="C6557" s="29"/>
      <c r="E6557" s="29"/>
      <c r="F6557" s="29"/>
    </row>
    <row r="6558">
      <c r="A6558" s="28"/>
      <c r="B6558" s="29"/>
      <c r="C6558" s="29"/>
      <c r="E6558" s="29"/>
      <c r="F6558" s="29"/>
    </row>
    <row r="6559">
      <c r="A6559" s="28"/>
      <c r="B6559" s="29"/>
      <c r="C6559" s="29"/>
      <c r="E6559" s="29"/>
      <c r="F6559" s="29"/>
    </row>
    <row r="6560">
      <c r="A6560" s="28"/>
      <c r="B6560" s="29"/>
      <c r="C6560" s="29"/>
      <c r="E6560" s="29"/>
      <c r="F6560" s="29"/>
    </row>
    <row r="6561">
      <c r="A6561" s="28"/>
      <c r="B6561" s="29"/>
      <c r="C6561" s="29"/>
      <c r="E6561" s="29"/>
      <c r="F6561" s="29"/>
    </row>
    <row r="6562">
      <c r="A6562" s="28"/>
      <c r="B6562" s="29"/>
      <c r="C6562" s="29"/>
      <c r="E6562" s="29"/>
      <c r="F6562" s="29"/>
    </row>
    <row r="6563">
      <c r="A6563" s="28"/>
      <c r="B6563" s="29"/>
      <c r="C6563" s="29"/>
      <c r="E6563" s="29"/>
      <c r="F6563" s="29"/>
    </row>
    <row r="6564">
      <c r="A6564" s="28"/>
      <c r="B6564" s="29"/>
      <c r="C6564" s="29"/>
      <c r="E6564" s="29"/>
      <c r="F6564" s="29"/>
    </row>
    <row r="6565">
      <c r="A6565" s="28"/>
      <c r="B6565" s="29"/>
      <c r="C6565" s="29"/>
      <c r="E6565" s="29"/>
      <c r="F6565" s="29"/>
    </row>
    <row r="6566">
      <c r="A6566" s="28"/>
      <c r="B6566" s="29"/>
      <c r="C6566" s="29"/>
      <c r="E6566" s="29"/>
      <c r="F6566" s="29"/>
    </row>
    <row r="6567">
      <c r="A6567" s="28"/>
      <c r="B6567" s="29"/>
      <c r="C6567" s="29"/>
      <c r="E6567" s="29"/>
      <c r="F6567" s="29"/>
    </row>
    <row r="6568">
      <c r="A6568" s="28"/>
      <c r="B6568" s="29"/>
      <c r="C6568" s="29"/>
      <c r="E6568" s="29"/>
      <c r="F6568" s="29"/>
    </row>
    <row r="6569">
      <c r="A6569" s="28"/>
      <c r="B6569" s="29"/>
      <c r="C6569" s="29"/>
      <c r="E6569" s="29"/>
      <c r="F6569" s="29"/>
    </row>
    <row r="6570">
      <c r="A6570" s="28"/>
      <c r="B6570" s="29"/>
      <c r="C6570" s="29"/>
      <c r="E6570" s="29"/>
      <c r="F6570" s="29"/>
    </row>
    <row r="6571">
      <c r="A6571" s="28"/>
      <c r="B6571" s="29"/>
      <c r="C6571" s="29"/>
      <c r="E6571" s="29"/>
      <c r="F6571" s="29"/>
    </row>
    <row r="6572">
      <c r="A6572" s="28"/>
      <c r="B6572" s="29"/>
      <c r="C6572" s="29"/>
      <c r="E6572" s="29"/>
      <c r="F6572" s="29"/>
    </row>
    <row r="6573">
      <c r="A6573" s="28"/>
      <c r="B6573" s="29"/>
      <c r="C6573" s="29"/>
      <c r="E6573" s="29"/>
      <c r="F6573" s="29"/>
    </row>
    <row r="6574">
      <c r="A6574" s="28"/>
      <c r="B6574" s="29"/>
      <c r="C6574" s="29"/>
      <c r="E6574" s="29"/>
      <c r="F6574" s="29"/>
    </row>
    <row r="6575">
      <c r="A6575" s="28"/>
      <c r="B6575" s="29"/>
      <c r="C6575" s="29"/>
      <c r="E6575" s="29"/>
      <c r="F6575" s="29"/>
    </row>
    <row r="6576">
      <c r="A6576" s="28"/>
      <c r="B6576" s="29"/>
      <c r="C6576" s="29"/>
      <c r="E6576" s="29"/>
      <c r="F6576" s="29"/>
    </row>
    <row r="6577">
      <c r="A6577" s="28"/>
      <c r="B6577" s="29"/>
      <c r="C6577" s="29"/>
      <c r="E6577" s="29"/>
      <c r="F6577" s="29"/>
    </row>
    <row r="6578">
      <c r="A6578" s="28"/>
      <c r="B6578" s="29"/>
      <c r="C6578" s="29"/>
      <c r="E6578" s="29"/>
      <c r="F6578" s="29"/>
    </row>
    <row r="6579">
      <c r="A6579" s="28"/>
      <c r="B6579" s="29"/>
      <c r="C6579" s="29"/>
      <c r="E6579" s="29"/>
      <c r="F6579" s="29"/>
    </row>
    <row r="6580">
      <c r="A6580" s="28"/>
      <c r="B6580" s="29"/>
      <c r="C6580" s="29"/>
      <c r="E6580" s="29"/>
      <c r="F6580" s="29"/>
    </row>
    <row r="6581">
      <c r="A6581" s="28"/>
      <c r="B6581" s="29"/>
      <c r="C6581" s="29"/>
      <c r="E6581" s="29"/>
      <c r="F6581" s="29"/>
    </row>
    <row r="6582">
      <c r="A6582" s="28"/>
      <c r="B6582" s="29"/>
      <c r="C6582" s="29"/>
      <c r="E6582" s="29"/>
      <c r="F6582" s="29"/>
    </row>
    <row r="6583">
      <c r="A6583" s="28"/>
      <c r="B6583" s="29"/>
      <c r="C6583" s="29"/>
      <c r="E6583" s="29"/>
      <c r="F6583" s="29"/>
    </row>
    <row r="6584">
      <c r="A6584" s="28"/>
      <c r="B6584" s="29"/>
      <c r="C6584" s="29"/>
      <c r="E6584" s="29"/>
      <c r="F6584" s="29"/>
    </row>
    <row r="6585">
      <c r="A6585" s="28"/>
      <c r="B6585" s="29"/>
      <c r="C6585" s="29"/>
      <c r="E6585" s="29"/>
      <c r="F6585" s="29"/>
    </row>
    <row r="6586">
      <c r="A6586" s="28"/>
      <c r="B6586" s="29"/>
      <c r="C6586" s="29"/>
      <c r="E6586" s="29"/>
      <c r="F6586" s="29"/>
    </row>
    <row r="6587">
      <c r="A6587" s="28"/>
      <c r="B6587" s="29"/>
      <c r="C6587" s="29"/>
      <c r="E6587" s="29"/>
      <c r="F6587" s="29"/>
    </row>
    <row r="6588">
      <c r="A6588" s="28"/>
      <c r="B6588" s="29"/>
      <c r="C6588" s="29"/>
      <c r="E6588" s="29"/>
      <c r="F6588" s="29"/>
    </row>
    <row r="6589">
      <c r="A6589" s="28"/>
      <c r="B6589" s="29"/>
      <c r="C6589" s="29"/>
      <c r="E6589" s="29"/>
      <c r="F6589" s="29"/>
    </row>
    <row r="6590">
      <c r="A6590" s="28"/>
      <c r="B6590" s="29"/>
      <c r="C6590" s="29"/>
      <c r="E6590" s="29"/>
      <c r="F6590" s="29"/>
    </row>
    <row r="6591">
      <c r="A6591" s="28"/>
      <c r="B6591" s="29"/>
      <c r="C6591" s="29"/>
      <c r="E6591" s="29"/>
      <c r="F6591" s="29"/>
    </row>
    <row r="6592">
      <c r="A6592" s="28"/>
      <c r="B6592" s="29"/>
      <c r="C6592" s="29"/>
      <c r="E6592" s="29"/>
      <c r="F6592" s="29"/>
    </row>
    <row r="6593">
      <c r="A6593" s="28"/>
      <c r="B6593" s="29"/>
      <c r="C6593" s="29"/>
      <c r="E6593" s="29"/>
      <c r="F6593" s="29"/>
    </row>
    <row r="6594">
      <c r="A6594" s="28"/>
      <c r="B6594" s="29"/>
      <c r="C6594" s="29"/>
      <c r="E6594" s="29"/>
      <c r="F6594" s="29"/>
    </row>
    <row r="6595">
      <c r="A6595" s="28"/>
      <c r="B6595" s="29"/>
      <c r="C6595" s="29"/>
      <c r="E6595" s="29"/>
      <c r="F6595" s="29"/>
    </row>
    <row r="6596">
      <c r="A6596" s="28"/>
      <c r="B6596" s="29"/>
      <c r="C6596" s="29"/>
      <c r="E6596" s="29"/>
      <c r="F6596" s="29"/>
    </row>
    <row r="6597">
      <c r="A6597" s="28"/>
      <c r="B6597" s="29"/>
      <c r="C6597" s="29"/>
      <c r="E6597" s="29"/>
      <c r="F6597" s="29"/>
    </row>
    <row r="6598">
      <c r="A6598" s="28"/>
      <c r="B6598" s="29"/>
      <c r="C6598" s="29"/>
      <c r="E6598" s="29"/>
      <c r="F6598" s="29"/>
    </row>
    <row r="6599">
      <c r="A6599" s="28"/>
      <c r="B6599" s="29"/>
      <c r="C6599" s="29"/>
      <c r="E6599" s="29"/>
      <c r="F6599" s="29"/>
    </row>
    <row r="6600">
      <c r="A6600" s="28"/>
      <c r="B6600" s="29"/>
      <c r="C6600" s="29"/>
      <c r="E6600" s="29"/>
      <c r="F6600" s="29"/>
    </row>
    <row r="6601">
      <c r="A6601" s="28"/>
      <c r="B6601" s="29"/>
      <c r="C6601" s="29"/>
      <c r="E6601" s="29"/>
      <c r="F6601" s="29"/>
    </row>
    <row r="6602">
      <c r="A6602" s="28"/>
      <c r="B6602" s="29"/>
      <c r="C6602" s="29"/>
      <c r="E6602" s="29"/>
      <c r="F6602" s="29"/>
    </row>
    <row r="6603">
      <c r="A6603" s="28"/>
      <c r="B6603" s="29"/>
      <c r="C6603" s="29"/>
      <c r="E6603" s="29"/>
      <c r="F6603" s="29"/>
    </row>
    <row r="6604">
      <c r="A6604" s="28"/>
      <c r="B6604" s="29"/>
      <c r="C6604" s="29"/>
      <c r="E6604" s="29"/>
      <c r="F6604" s="29"/>
    </row>
    <row r="6605">
      <c r="A6605" s="28"/>
      <c r="B6605" s="29"/>
      <c r="C6605" s="29"/>
      <c r="E6605" s="29"/>
      <c r="F6605" s="29"/>
    </row>
    <row r="6606">
      <c r="A6606" s="28"/>
      <c r="B6606" s="29"/>
      <c r="C6606" s="29"/>
      <c r="E6606" s="29"/>
      <c r="F6606" s="29"/>
    </row>
    <row r="6607">
      <c r="A6607" s="28"/>
      <c r="B6607" s="29"/>
      <c r="C6607" s="29"/>
      <c r="E6607" s="29"/>
      <c r="F6607" s="29"/>
    </row>
    <row r="6608">
      <c r="A6608" s="28"/>
      <c r="B6608" s="29"/>
      <c r="C6608" s="29"/>
      <c r="E6608" s="29"/>
      <c r="F6608" s="29"/>
    </row>
    <row r="6609">
      <c r="A6609" s="28"/>
      <c r="B6609" s="29"/>
      <c r="C6609" s="29"/>
      <c r="E6609" s="29"/>
      <c r="F6609" s="29"/>
    </row>
    <row r="6610">
      <c r="A6610" s="28"/>
      <c r="B6610" s="29"/>
      <c r="C6610" s="29"/>
      <c r="E6610" s="29"/>
      <c r="F6610" s="29"/>
    </row>
    <row r="6611">
      <c r="A6611" s="28"/>
      <c r="B6611" s="29"/>
      <c r="C6611" s="29"/>
      <c r="E6611" s="29"/>
      <c r="F6611" s="29"/>
    </row>
    <row r="6612">
      <c r="A6612" s="28"/>
      <c r="B6612" s="29"/>
      <c r="C6612" s="29"/>
      <c r="E6612" s="29"/>
      <c r="F6612" s="29"/>
    </row>
    <row r="6613">
      <c r="A6613" s="28"/>
      <c r="B6613" s="29"/>
      <c r="C6613" s="29"/>
      <c r="E6613" s="29"/>
      <c r="F6613" s="29"/>
    </row>
    <row r="6614">
      <c r="A6614" s="28"/>
      <c r="B6614" s="29"/>
      <c r="C6614" s="29"/>
      <c r="E6614" s="29"/>
      <c r="F6614" s="29"/>
    </row>
    <row r="6615">
      <c r="A6615" s="28"/>
      <c r="B6615" s="29"/>
      <c r="C6615" s="29"/>
      <c r="E6615" s="29"/>
      <c r="F6615" s="29"/>
    </row>
    <row r="6616">
      <c r="A6616" s="28"/>
      <c r="B6616" s="29"/>
      <c r="C6616" s="29"/>
      <c r="E6616" s="29"/>
      <c r="F6616" s="29"/>
    </row>
    <row r="6617">
      <c r="A6617" s="28"/>
      <c r="B6617" s="29"/>
      <c r="C6617" s="29"/>
      <c r="E6617" s="29"/>
      <c r="F6617" s="29"/>
    </row>
    <row r="6618">
      <c r="A6618" s="28"/>
      <c r="B6618" s="29"/>
      <c r="C6618" s="29"/>
      <c r="E6618" s="29"/>
      <c r="F6618" s="29"/>
    </row>
    <row r="6619">
      <c r="A6619" s="28"/>
      <c r="B6619" s="29"/>
      <c r="C6619" s="29"/>
      <c r="E6619" s="29"/>
      <c r="F6619" s="29"/>
    </row>
    <row r="6620">
      <c r="A6620" s="28"/>
      <c r="B6620" s="29"/>
      <c r="C6620" s="29"/>
      <c r="E6620" s="29"/>
      <c r="F6620" s="29"/>
    </row>
    <row r="6621">
      <c r="A6621" s="28"/>
      <c r="B6621" s="29"/>
      <c r="C6621" s="29"/>
      <c r="E6621" s="29"/>
      <c r="F6621" s="29"/>
    </row>
    <row r="6622">
      <c r="A6622" s="28"/>
      <c r="B6622" s="29"/>
      <c r="C6622" s="29"/>
      <c r="E6622" s="29"/>
      <c r="F6622" s="29"/>
    </row>
    <row r="6623">
      <c r="A6623" s="28"/>
      <c r="B6623" s="29"/>
      <c r="C6623" s="29"/>
      <c r="E6623" s="29"/>
      <c r="F6623" s="29"/>
    </row>
    <row r="6624">
      <c r="A6624" s="28"/>
      <c r="B6624" s="29"/>
      <c r="C6624" s="29"/>
      <c r="E6624" s="29"/>
      <c r="F6624" s="29"/>
    </row>
    <row r="6625">
      <c r="A6625" s="28"/>
      <c r="B6625" s="29"/>
      <c r="C6625" s="29"/>
      <c r="E6625" s="29"/>
      <c r="F6625" s="29"/>
    </row>
    <row r="6626">
      <c r="A6626" s="28"/>
      <c r="B6626" s="29"/>
      <c r="C6626" s="29"/>
      <c r="E6626" s="29"/>
      <c r="F6626" s="29"/>
    </row>
    <row r="6627">
      <c r="A6627" s="28"/>
      <c r="B6627" s="29"/>
      <c r="C6627" s="29"/>
      <c r="E6627" s="29"/>
      <c r="F6627" s="29"/>
    </row>
    <row r="6628">
      <c r="A6628" s="28"/>
      <c r="B6628" s="29"/>
      <c r="C6628" s="29"/>
      <c r="E6628" s="29"/>
      <c r="F6628" s="29"/>
    </row>
    <row r="6629">
      <c r="A6629" s="28"/>
      <c r="B6629" s="29"/>
      <c r="C6629" s="29"/>
      <c r="E6629" s="29"/>
      <c r="F6629" s="29"/>
    </row>
    <row r="6630">
      <c r="A6630" s="28"/>
      <c r="B6630" s="29"/>
      <c r="C6630" s="29"/>
      <c r="E6630" s="29"/>
      <c r="F6630" s="29"/>
    </row>
    <row r="6631">
      <c r="A6631" s="28"/>
      <c r="B6631" s="29"/>
      <c r="C6631" s="29"/>
      <c r="E6631" s="29"/>
      <c r="F6631" s="29"/>
    </row>
    <row r="6632">
      <c r="A6632" s="28"/>
      <c r="B6632" s="29"/>
      <c r="C6632" s="29"/>
      <c r="E6632" s="29"/>
      <c r="F6632" s="29"/>
    </row>
    <row r="6633">
      <c r="A6633" s="28"/>
      <c r="B6633" s="29"/>
      <c r="C6633" s="29"/>
      <c r="E6633" s="29"/>
      <c r="F6633" s="29"/>
    </row>
    <row r="6634">
      <c r="A6634" s="28"/>
      <c r="B6634" s="29"/>
      <c r="C6634" s="29"/>
      <c r="E6634" s="29"/>
      <c r="F6634" s="29"/>
    </row>
    <row r="6635">
      <c r="A6635" s="28"/>
      <c r="B6635" s="29"/>
      <c r="C6635" s="29"/>
      <c r="E6635" s="29"/>
      <c r="F6635" s="29"/>
    </row>
    <row r="6636">
      <c r="A6636" s="28"/>
      <c r="B6636" s="29"/>
      <c r="C6636" s="29"/>
      <c r="E6636" s="29"/>
      <c r="F6636" s="29"/>
    </row>
    <row r="6637">
      <c r="A6637" s="28"/>
      <c r="B6637" s="29"/>
      <c r="C6637" s="29"/>
      <c r="E6637" s="29"/>
      <c r="F6637" s="29"/>
    </row>
    <row r="6638">
      <c r="A6638" s="28"/>
      <c r="B6638" s="29"/>
      <c r="C6638" s="29"/>
      <c r="E6638" s="29"/>
      <c r="F6638" s="29"/>
    </row>
    <row r="6639">
      <c r="A6639" s="28"/>
      <c r="B6639" s="29"/>
      <c r="C6639" s="29"/>
      <c r="E6639" s="29"/>
      <c r="F6639" s="29"/>
    </row>
    <row r="6640">
      <c r="A6640" s="28"/>
      <c r="B6640" s="29"/>
      <c r="C6640" s="29"/>
      <c r="E6640" s="29"/>
      <c r="F6640" s="29"/>
    </row>
    <row r="6641">
      <c r="A6641" s="28"/>
      <c r="B6641" s="29"/>
      <c r="C6641" s="29"/>
      <c r="E6641" s="29"/>
      <c r="F6641" s="29"/>
    </row>
    <row r="6642">
      <c r="A6642" s="28"/>
      <c r="B6642" s="29"/>
      <c r="C6642" s="29"/>
      <c r="E6642" s="29"/>
      <c r="F6642" s="29"/>
    </row>
    <row r="6643">
      <c r="A6643" s="28"/>
      <c r="B6643" s="29"/>
      <c r="C6643" s="29"/>
      <c r="E6643" s="29"/>
      <c r="F6643" s="29"/>
    </row>
    <row r="6644">
      <c r="A6644" s="28"/>
      <c r="B6644" s="29"/>
      <c r="C6644" s="29"/>
      <c r="E6644" s="29"/>
      <c r="F6644" s="29"/>
    </row>
    <row r="6645">
      <c r="A6645" s="28"/>
      <c r="B6645" s="29"/>
      <c r="C6645" s="29"/>
      <c r="E6645" s="29"/>
      <c r="F6645" s="29"/>
    </row>
    <row r="6646">
      <c r="A6646" s="28"/>
      <c r="B6646" s="29"/>
      <c r="C6646" s="29"/>
      <c r="E6646" s="29"/>
      <c r="F6646" s="29"/>
    </row>
    <row r="6647">
      <c r="A6647" s="28"/>
      <c r="B6647" s="29"/>
      <c r="C6647" s="29"/>
      <c r="E6647" s="29"/>
      <c r="F6647" s="29"/>
    </row>
    <row r="6648">
      <c r="A6648" s="28"/>
      <c r="B6648" s="29"/>
      <c r="C6648" s="29"/>
      <c r="E6648" s="29"/>
      <c r="F6648" s="29"/>
    </row>
    <row r="6649">
      <c r="A6649" s="28"/>
      <c r="B6649" s="29"/>
      <c r="C6649" s="29"/>
      <c r="E6649" s="29"/>
      <c r="F6649" s="29"/>
    </row>
    <row r="6650">
      <c r="A6650" s="28"/>
      <c r="B6650" s="29"/>
      <c r="C6650" s="29"/>
      <c r="E6650" s="29"/>
      <c r="F6650" s="29"/>
    </row>
    <row r="6651">
      <c r="A6651" s="28"/>
      <c r="B6651" s="29"/>
      <c r="C6651" s="29"/>
      <c r="E6651" s="29"/>
      <c r="F6651" s="29"/>
    </row>
    <row r="6652">
      <c r="A6652" s="28"/>
      <c r="B6652" s="29"/>
      <c r="C6652" s="29"/>
      <c r="E6652" s="29"/>
      <c r="F6652" s="29"/>
    </row>
    <row r="6653">
      <c r="A6653" s="28"/>
      <c r="B6653" s="29"/>
      <c r="C6653" s="29"/>
      <c r="E6653" s="29"/>
      <c r="F6653" s="29"/>
    </row>
    <row r="6654">
      <c r="A6654" s="28"/>
      <c r="B6654" s="29"/>
      <c r="C6654" s="29"/>
      <c r="E6654" s="29"/>
      <c r="F6654" s="29"/>
    </row>
    <row r="6655">
      <c r="A6655" s="28"/>
      <c r="B6655" s="29"/>
      <c r="C6655" s="29"/>
      <c r="E6655" s="29"/>
      <c r="F6655" s="29"/>
    </row>
    <row r="6656">
      <c r="A6656" s="28"/>
      <c r="B6656" s="29"/>
      <c r="C6656" s="29"/>
      <c r="E6656" s="29"/>
      <c r="F6656" s="29"/>
    </row>
    <row r="6657">
      <c r="A6657" s="28"/>
      <c r="B6657" s="29"/>
      <c r="C6657" s="29"/>
      <c r="E6657" s="29"/>
      <c r="F6657" s="29"/>
    </row>
    <row r="6658">
      <c r="A6658" s="28"/>
      <c r="B6658" s="29"/>
      <c r="C6658" s="29"/>
      <c r="E6658" s="29"/>
      <c r="F6658" s="29"/>
    </row>
    <row r="6659">
      <c r="A6659" s="28"/>
      <c r="B6659" s="29"/>
      <c r="C6659" s="29"/>
      <c r="E6659" s="29"/>
      <c r="F6659" s="29"/>
    </row>
    <row r="6660">
      <c r="A6660" s="28"/>
      <c r="B6660" s="29"/>
      <c r="C6660" s="29"/>
      <c r="E6660" s="29"/>
      <c r="F6660" s="29"/>
    </row>
    <row r="6661">
      <c r="A6661" s="28"/>
      <c r="B6661" s="29"/>
      <c r="C6661" s="29"/>
      <c r="E6661" s="29"/>
      <c r="F6661" s="29"/>
    </row>
    <row r="6662">
      <c r="A6662" s="28"/>
      <c r="B6662" s="29"/>
      <c r="C6662" s="29"/>
      <c r="E6662" s="29"/>
      <c r="F6662" s="29"/>
    </row>
    <row r="6663">
      <c r="A6663" s="28"/>
      <c r="B6663" s="29"/>
      <c r="C6663" s="29"/>
      <c r="E6663" s="29"/>
      <c r="F6663" s="29"/>
    </row>
    <row r="6664">
      <c r="A6664" s="28"/>
      <c r="B6664" s="29"/>
      <c r="C6664" s="29"/>
      <c r="E6664" s="29"/>
      <c r="F6664" s="29"/>
    </row>
    <row r="6665">
      <c r="A6665" s="28"/>
      <c r="B6665" s="29"/>
      <c r="C6665" s="29"/>
      <c r="E6665" s="29"/>
      <c r="F6665" s="29"/>
    </row>
    <row r="6666">
      <c r="A6666" s="28"/>
      <c r="B6666" s="29"/>
      <c r="C6666" s="29"/>
      <c r="E6666" s="29"/>
      <c r="F6666" s="29"/>
    </row>
    <row r="6667">
      <c r="A6667" s="28"/>
      <c r="B6667" s="29"/>
      <c r="C6667" s="29"/>
      <c r="E6667" s="29"/>
      <c r="F6667" s="29"/>
    </row>
    <row r="6668">
      <c r="A6668" s="28"/>
      <c r="B6668" s="29"/>
      <c r="C6668" s="29"/>
      <c r="E6668" s="29"/>
      <c r="F6668" s="29"/>
    </row>
    <row r="6669">
      <c r="A6669" s="28"/>
      <c r="B6669" s="29"/>
      <c r="C6669" s="29"/>
      <c r="E6669" s="29"/>
      <c r="F6669" s="29"/>
    </row>
    <row r="6670">
      <c r="A6670" s="28"/>
      <c r="B6670" s="29"/>
      <c r="C6670" s="29"/>
      <c r="E6670" s="29"/>
      <c r="F6670" s="29"/>
    </row>
    <row r="6671">
      <c r="A6671" s="28"/>
      <c r="B6671" s="29"/>
      <c r="C6671" s="29"/>
      <c r="E6671" s="29"/>
      <c r="F6671" s="29"/>
    </row>
    <row r="6672">
      <c r="A6672" s="28"/>
      <c r="B6672" s="29"/>
      <c r="C6672" s="29"/>
      <c r="E6672" s="29"/>
      <c r="F6672" s="29"/>
    </row>
    <row r="6673">
      <c r="A6673" s="28"/>
      <c r="B6673" s="29"/>
      <c r="C6673" s="29"/>
      <c r="E6673" s="29"/>
      <c r="F6673" s="29"/>
    </row>
    <row r="6674">
      <c r="A6674" s="28"/>
      <c r="B6674" s="29"/>
      <c r="C6674" s="29"/>
      <c r="E6674" s="29"/>
      <c r="F6674" s="29"/>
    </row>
    <row r="6675">
      <c r="A6675" s="28"/>
      <c r="B6675" s="29"/>
      <c r="C6675" s="29"/>
      <c r="E6675" s="29"/>
      <c r="F6675" s="29"/>
    </row>
    <row r="6676">
      <c r="A6676" s="28"/>
      <c r="B6676" s="29"/>
      <c r="C6676" s="29"/>
      <c r="E6676" s="29"/>
      <c r="F6676" s="29"/>
    </row>
    <row r="6677">
      <c r="A6677" s="28"/>
      <c r="B6677" s="29"/>
      <c r="C6677" s="29"/>
      <c r="E6677" s="29"/>
      <c r="F6677" s="29"/>
    </row>
    <row r="6678">
      <c r="A6678" s="28"/>
      <c r="B6678" s="29"/>
      <c r="C6678" s="29"/>
      <c r="E6678" s="29"/>
      <c r="F6678" s="29"/>
    </row>
    <row r="6679">
      <c r="A6679" s="28"/>
      <c r="B6679" s="29"/>
      <c r="C6679" s="29"/>
      <c r="E6679" s="29"/>
      <c r="F6679" s="29"/>
    </row>
    <row r="6680">
      <c r="A6680" s="28"/>
      <c r="B6680" s="29"/>
      <c r="C6680" s="29"/>
      <c r="E6680" s="29"/>
      <c r="F6680" s="29"/>
    </row>
    <row r="6681">
      <c r="A6681" s="28"/>
      <c r="B6681" s="29"/>
      <c r="C6681" s="29"/>
      <c r="E6681" s="29"/>
      <c r="F6681" s="29"/>
    </row>
    <row r="6682">
      <c r="A6682" s="28"/>
      <c r="B6682" s="29"/>
      <c r="C6682" s="29"/>
      <c r="E6682" s="29"/>
      <c r="F6682" s="29"/>
    </row>
    <row r="6683">
      <c r="A6683" s="28"/>
      <c r="B6683" s="29"/>
      <c r="C6683" s="29"/>
      <c r="E6683" s="29"/>
      <c r="F6683" s="29"/>
    </row>
    <row r="6684">
      <c r="A6684" s="28"/>
      <c r="B6684" s="29"/>
      <c r="C6684" s="29"/>
      <c r="E6684" s="29"/>
      <c r="F6684" s="29"/>
    </row>
    <row r="6685">
      <c r="A6685" s="28"/>
      <c r="B6685" s="29"/>
      <c r="C6685" s="29"/>
      <c r="E6685" s="29"/>
      <c r="F6685" s="29"/>
    </row>
    <row r="6686">
      <c r="A6686" s="28"/>
      <c r="B6686" s="29"/>
      <c r="C6686" s="29"/>
      <c r="E6686" s="29"/>
      <c r="F6686" s="29"/>
    </row>
    <row r="6687">
      <c r="A6687" s="28"/>
      <c r="B6687" s="29"/>
      <c r="C6687" s="29"/>
      <c r="E6687" s="29"/>
      <c r="F6687" s="29"/>
    </row>
    <row r="6688">
      <c r="A6688" s="28"/>
      <c r="B6688" s="29"/>
      <c r="C6688" s="29"/>
      <c r="E6688" s="29"/>
      <c r="F6688" s="29"/>
    </row>
    <row r="6689">
      <c r="A6689" s="28"/>
      <c r="B6689" s="29"/>
      <c r="C6689" s="29"/>
      <c r="E6689" s="29"/>
      <c r="F6689" s="29"/>
    </row>
    <row r="6690">
      <c r="A6690" s="28"/>
      <c r="B6690" s="29"/>
      <c r="C6690" s="29"/>
      <c r="E6690" s="29"/>
      <c r="F6690" s="29"/>
    </row>
    <row r="6691">
      <c r="A6691" s="28"/>
      <c r="B6691" s="29"/>
      <c r="C6691" s="29"/>
      <c r="E6691" s="29"/>
      <c r="F6691" s="29"/>
    </row>
    <row r="6692">
      <c r="A6692" s="28"/>
      <c r="B6692" s="29"/>
      <c r="C6692" s="29"/>
      <c r="E6692" s="29"/>
      <c r="F6692" s="29"/>
    </row>
    <row r="6693">
      <c r="A6693" s="28"/>
      <c r="B6693" s="29"/>
      <c r="C6693" s="29"/>
      <c r="E6693" s="29"/>
      <c r="F6693" s="29"/>
    </row>
    <row r="6694">
      <c r="A6694" s="28"/>
      <c r="B6694" s="29"/>
      <c r="C6694" s="29"/>
      <c r="E6694" s="29"/>
      <c r="F6694" s="29"/>
    </row>
    <row r="6695">
      <c r="A6695" s="28"/>
      <c r="B6695" s="29"/>
      <c r="C6695" s="29"/>
      <c r="E6695" s="29"/>
      <c r="F6695" s="29"/>
    </row>
    <row r="6696">
      <c r="A6696" s="28"/>
      <c r="B6696" s="29"/>
      <c r="C6696" s="29"/>
      <c r="E6696" s="29"/>
      <c r="F6696" s="29"/>
    </row>
    <row r="6697">
      <c r="A6697" s="28"/>
      <c r="B6697" s="29"/>
      <c r="C6697" s="29"/>
      <c r="E6697" s="29"/>
      <c r="F6697" s="29"/>
    </row>
    <row r="6698">
      <c r="A6698" s="28"/>
      <c r="B6698" s="29"/>
      <c r="C6698" s="29"/>
      <c r="E6698" s="29"/>
      <c r="F6698" s="29"/>
    </row>
    <row r="6699">
      <c r="A6699" s="28"/>
      <c r="B6699" s="29"/>
      <c r="C6699" s="29"/>
      <c r="E6699" s="29"/>
      <c r="F6699" s="29"/>
    </row>
    <row r="6700">
      <c r="A6700" s="28"/>
      <c r="B6700" s="29"/>
      <c r="C6700" s="29"/>
      <c r="E6700" s="29"/>
      <c r="F6700" s="29"/>
    </row>
    <row r="6701">
      <c r="A6701" s="28"/>
      <c r="B6701" s="29"/>
      <c r="C6701" s="29"/>
      <c r="E6701" s="29"/>
      <c r="F6701" s="29"/>
    </row>
    <row r="6702">
      <c r="A6702" s="28"/>
      <c r="B6702" s="29"/>
      <c r="C6702" s="29"/>
      <c r="E6702" s="29"/>
      <c r="F6702" s="29"/>
    </row>
    <row r="6703">
      <c r="A6703" s="28"/>
      <c r="B6703" s="29"/>
      <c r="C6703" s="29"/>
      <c r="E6703" s="29"/>
      <c r="F6703" s="29"/>
    </row>
    <row r="6704">
      <c r="A6704" s="28"/>
      <c r="B6704" s="29"/>
      <c r="C6704" s="29"/>
      <c r="E6704" s="29"/>
      <c r="F6704" s="29"/>
    </row>
    <row r="6705">
      <c r="A6705" s="28"/>
      <c r="B6705" s="29"/>
      <c r="C6705" s="29"/>
      <c r="E6705" s="29"/>
      <c r="F6705" s="29"/>
    </row>
    <row r="6706">
      <c r="A6706" s="28"/>
      <c r="B6706" s="29"/>
      <c r="C6706" s="29"/>
      <c r="E6706" s="29"/>
      <c r="F6706" s="29"/>
    </row>
    <row r="6707">
      <c r="A6707" s="28"/>
      <c r="B6707" s="29"/>
      <c r="C6707" s="29"/>
      <c r="E6707" s="29"/>
      <c r="F6707" s="29"/>
    </row>
    <row r="6708">
      <c r="A6708" s="28"/>
      <c r="B6708" s="29"/>
      <c r="C6708" s="29"/>
      <c r="E6708" s="29"/>
      <c r="F6708" s="29"/>
    </row>
    <row r="6709">
      <c r="A6709" s="28"/>
      <c r="B6709" s="29"/>
      <c r="C6709" s="29"/>
      <c r="E6709" s="29"/>
      <c r="F6709" s="29"/>
    </row>
    <row r="6710">
      <c r="A6710" s="28"/>
      <c r="B6710" s="29"/>
      <c r="C6710" s="29"/>
      <c r="E6710" s="29"/>
      <c r="F6710" s="29"/>
    </row>
    <row r="6711">
      <c r="A6711" s="28"/>
      <c r="B6711" s="29"/>
      <c r="C6711" s="29"/>
      <c r="E6711" s="29"/>
      <c r="F6711" s="29"/>
    </row>
    <row r="6712">
      <c r="A6712" s="28"/>
      <c r="B6712" s="29"/>
      <c r="C6712" s="29"/>
      <c r="E6712" s="29"/>
      <c r="F6712" s="29"/>
    </row>
    <row r="6713">
      <c r="A6713" s="28"/>
      <c r="B6713" s="29"/>
      <c r="C6713" s="29"/>
      <c r="E6713" s="29"/>
      <c r="F6713" s="29"/>
    </row>
    <row r="6714">
      <c r="A6714" s="28"/>
      <c r="B6714" s="29"/>
      <c r="C6714" s="29"/>
      <c r="E6714" s="29"/>
      <c r="F6714" s="29"/>
    </row>
    <row r="6715">
      <c r="A6715" s="28"/>
      <c r="B6715" s="29"/>
      <c r="C6715" s="29"/>
      <c r="E6715" s="29"/>
      <c r="F6715" s="29"/>
    </row>
    <row r="6716">
      <c r="A6716" s="28"/>
      <c r="B6716" s="29"/>
      <c r="C6716" s="29"/>
      <c r="E6716" s="29"/>
      <c r="F6716" s="29"/>
    </row>
    <row r="6717">
      <c r="A6717" s="28"/>
      <c r="B6717" s="29"/>
      <c r="C6717" s="29"/>
      <c r="E6717" s="29"/>
      <c r="F6717" s="29"/>
    </row>
    <row r="6718">
      <c r="A6718" s="28"/>
      <c r="B6718" s="29"/>
      <c r="C6718" s="29"/>
      <c r="E6718" s="29"/>
      <c r="F6718" s="29"/>
    </row>
    <row r="6719">
      <c r="A6719" s="28"/>
      <c r="B6719" s="29"/>
      <c r="C6719" s="29"/>
      <c r="E6719" s="29"/>
      <c r="F6719" s="29"/>
    </row>
    <row r="6720">
      <c r="A6720" s="28"/>
      <c r="B6720" s="29"/>
      <c r="C6720" s="29"/>
      <c r="E6720" s="29"/>
      <c r="F6720" s="29"/>
    </row>
    <row r="6721">
      <c r="A6721" s="28"/>
      <c r="B6721" s="29"/>
      <c r="C6721" s="29"/>
      <c r="E6721" s="29"/>
      <c r="F6721" s="29"/>
    </row>
    <row r="6722">
      <c r="A6722" s="28"/>
      <c r="B6722" s="29"/>
      <c r="C6722" s="29"/>
      <c r="E6722" s="29"/>
      <c r="F6722" s="29"/>
    </row>
    <row r="6723">
      <c r="A6723" s="28"/>
      <c r="B6723" s="29"/>
      <c r="C6723" s="29"/>
      <c r="E6723" s="29"/>
      <c r="F6723" s="29"/>
    </row>
    <row r="6724">
      <c r="A6724" s="28"/>
      <c r="B6724" s="29"/>
      <c r="C6724" s="29"/>
      <c r="E6724" s="29"/>
      <c r="F6724" s="29"/>
    </row>
    <row r="6725">
      <c r="A6725" s="28"/>
      <c r="B6725" s="29"/>
      <c r="C6725" s="29"/>
      <c r="E6725" s="29"/>
      <c r="F6725" s="29"/>
    </row>
    <row r="6726">
      <c r="A6726" s="28"/>
      <c r="B6726" s="29"/>
      <c r="C6726" s="29"/>
      <c r="E6726" s="29"/>
      <c r="F6726" s="29"/>
    </row>
    <row r="6727">
      <c r="A6727" s="28"/>
      <c r="B6727" s="29"/>
      <c r="C6727" s="29"/>
      <c r="E6727" s="29"/>
      <c r="F6727" s="29"/>
    </row>
    <row r="6728">
      <c r="A6728" s="28"/>
      <c r="B6728" s="29"/>
      <c r="C6728" s="29"/>
      <c r="E6728" s="29"/>
      <c r="F6728" s="29"/>
    </row>
    <row r="6729">
      <c r="A6729" s="28"/>
      <c r="B6729" s="29"/>
      <c r="C6729" s="29"/>
      <c r="E6729" s="29"/>
      <c r="F6729" s="29"/>
    </row>
    <row r="6730">
      <c r="A6730" s="28"/>
      <c r="B6730" s="29"/>
      <c r="C6730" s="29"/>
      <c r="E6730" s="29"/>
      <c r="F6730" s="29"/>
    </row>
    <row r="6731">
      <c r="A6731" s="28"/>
      <c r="B6731" s="29"/>
      <c r="C6731" s="29"/>
      <c r="E6731" s="29"/>
      <c r="F6731" s="29"/>
    </row>
    <row r="6732">
      <c r="A6732" s="28"/>
      <c r="B6732" s="29"/>
      <c r="C6732" s="29"/>
      <c r="E6732" s="29"/>
      <c r="F6732" s="29"/>
    </row>
    <row r="6733">
      <c r="A6733" s="28"/>
      <c r="B6733" s="29"/>
      <c r="C6733" s="29"/>
      <c r="E6733" s="29"/>
      <c r="F6733" s="29"/>
    </row>
    <row r="6734">
      <c r="A6734" s="28"/>
      <c r="B6734" s="29"/>
      <c r="C6734" s="29"/>
      <c r="E6734" s="29"/>
      <c r="F6734" s="29"/>
    </row>
    <row r="6735">
      <c r="A6735" s="28"/>
      <c r="B6735" s="29"/>
      <c r="C6735" s="29"/>
      <c r="E6735" s="29"/>
      <c r="F6735" s="29"/>
    </row>
    <row r="6736">
      <c r="A6736" s="28"/>
      <c r="B6736" s="29"/>
      <c r="C6736" s="29"/>
      <c r="E6736" s="29"/>
      <c r="F6736" s="29"/>
    </row>
    <row r="6737">
      <c r="A6737" s="28"/>
      <c r="B6737" s="29"/>
      <c r="C6737" s="29"/>
      <c r="E6737" s="29"/>
      <c r="F6737" s="29"/>
    </row>
    <row r="6738">
      <c r="A6738" s="28"/>
      <c r="B6738" s="29"/>
      <c r="C6738" s="29"/>
      <c r="E6738" s="29"/>
      <c r="F6738" s="29"/>
    </row>
    <row r="6739">
      <c r="A6739" s="28"/>
      <c r="B6739" s="29"/>
      <c r="C6739" s="29"/>
      <c r="E6739" s="29"/>
      <c r="F6739" s="29"/>
    </row>
    <row r="6740">
      <c r="A6740" s="28"/>
      <c r="B6740" s="29"/>
      <c r="C6740" s="29"/>
      <c r="E6740" s="29"/>
      <c r="F6740" s="29"/>
    </row>
    <row r="6741">
      <c r="A6741" s="28"/>
      <c r="B6741" s="29"/>
      <c r="C6741" s="29"/>
      <c r="E6741" s="29"/>
      <c r="F6741" s="29"/>
    </row>
    <row r="6742">
      <c r="A6742" s="28"/>
      <c r="B6742" s="29"/>
      <c r="C6742" s="29"/>
      <c r="E6742" s="29"/>
      <c r="F6742" s="29"/>
    </row>
    <row r="6743">
      <c r="A6743" s="28"/>
      <c r="B6743" s="29"/>
      <c r="C6743" s="29"/>
      <c r="E6743" s="29"/>
      <c r="F6743" s="29"/>
    </row>
    <row r="6744">
      <c r="A6744" s="28"/>
      <c r="B6744" s="29"/>
      <c r="C6744" s="29"/>
      <c r="E6744" s="29"/>
      <c r="F6744" s="29"/>
    </row>
    <row r="6745">
      <c r="A6745" s="28"/>
      <c r="B6745" s="29"/>
      <c r="C6745" s="29"/>
      <c r="E6745" s="29"/>
      <c r="F6745" s="29"/>
    </row>
    <row r="6746">
      <c r="A6746" s="28"/>
      <c r="B6746" s="29"/>
      <c r="C6746" s="29"/>
      <c r="E6746" s="29"/>
      <c r="F6746" s="29"/>
    </row>
    <row r="6747">
      <c r="A6747" s="28"/>
      <c r="B6747" s="29"/>
      <c r="C6747" s="29"/>
      <c r="E6747" s="29"/>
      <c r="F6747" s="29"/>
    </row>
    <row r="6748">
      <c r="A6748" s="28"/>
      <c r="B6748" s="29"/>
      <c r="C6748" s="29"/>
      <c r="E6748" s="29"/>
      <c r="F6748" s="29"/>
    </row>
    <row r="6749">
      <c r="A6749" s="28"/>
      <c r="B6749" s="29"/>
      <c r="C6749" s="29"/>
      <c r="E6749" s="29"/>
      <c r="F6749" s="29"/>
    </row>
    <row r="6750">
      <c r="A6750" s="28"/>
      <c r="B6750" s="29"/>
      <c r="C6750" s="29"/>
      <c r="E6750" s="29"/>
      <c r="F6750" s="29"/>
    </row>
    <row r="6751">
      <c r="A6751" s="28"/>
      <c r="B6751" s="29"/>
      <c r="C6751" s="29"/>
      <c r="E6751" s="29"/>
      <c r="F6751" s="29"/>
    </row>
    <row r="6752">
      <c r="A6752" s="28"/>
      <c r="B6752" s="29"/>
      <c r="C6752" s="29"/>
      <c r="E6752" s="29"/>
      <c r="F6752" s="29"/>
    </row>
    <row r="6753">
      <c r="A6753" s="28"/>
      <c r="B6753" s="29"/>
      <c r="C6753" s="29"/>
      <c r="E6753" s="29"/>
      <c r="F6753" s="29"/>
    </row>
    <row r="6754">
      <c r="A6754" s="28"/>
      <c r="B6754" s="29"/>
      <c r="C6754" s="29"/>
      <c r="E6754" s="29"/>
      <c r="F6754" s="29"/>
    </row>
    <row r="6755">
      <c r="A6755" s="28"/>
      <c r="B6755" s="29"/>
      <c r="C6755" s="29"/>
      <c r="E6755" s="29"/>
      <c r="F6755" s="29"/>
    </row>
    <row r="6756">
      <c r="A6756" s="28"/>
      <c r="B6756" s="29"/>
      <c r="C6756" s="29"/>
      <c r="E6756" s="29"/>
      <c r="F6756" s="29"/>
    </row>
    <row r="6757">
      <c r="A6757" s="28"/>
      <c r="B6757" s="29"/>
      <c r="C6757" s="29"/>
      <c r="E6757" s="29"/>
      <c r="F6757" s="29"/>
    </row>
    <row r="6758">
      <c r="A6758" s="28"/>
      <c r="B6758" s="29"/>
      <c r="C6758" s="29"/>
      <c r="E6758" s="29"/>
      <c r="F6758" s="29"/>
    </row>
    <row r="6759">
      <c r="A6759" s="28"/>
      <c r="B6759" s="29"/>
      <c r="C6759" s="29"/>
      <c r="E6759" s="29"/>
      <c r="F6759" s="29"/>
    </row>
    <row r="6760">
      <c r="A6760" s="28"/>
      <c r="B6760" s="29"/>
      <c r="C6760" s="29"/>
      <c r="E6760" s="29"/>
      <c r="F6760" s="29"/>
    </row>
    <row r="6761">
      <c r="A6761" s="28"/>
      <c r="B6761" s="29"/>
      <c r="C6761" s="29"/>
      <c r="E6761" s="29"/>
      <c r="F6761" s="29"/>
    </row>
    <row r="6762">
      <c r="A6762" s="28"/>
      <c r="B6762" s="29"/>
      <c r="C6762" s="29"/>
      <c r="E6762" s="29"/>
      <c r="F6762" s="29"/>
    </row>
    <row r="6763">
      <c r="A6763" s="28"/>
      <c r="B6763" s="29"/>
      <c r="C6763" s="29"/>
      <c r="E6763" s="29"/>
      <c r="F6763" s="29"/>
    </row>
    <row r="6764">
      <c r="A6764" s="28"/>
      <c r="B6764" s="29"/>
      <c r="C6764" s="29"/>
      <c r="E6764" s="29"/>
      <c r="F6764" s="29"/>
    </row>
    <row r="6765">
      <c r="A6765" s="28"/>
      <c r="B6765" s="29"/>
      <c r="C6765" s="29"/>
      <c r="E6765" s="29"/>
      <c r="F6765" s="29"/>
    </row>
    <row r="6766">
      <c r="A6766" s="28"/>
      <c r="B6766" s="29"/>
      <c r="C6766" s="29"/>
      <c r="E6766" s="29"/>
      <c r="F6766" s="29"/>
    </row>
    <row r="6767">
      <c r="A6767" s="28"/>
      <c r="B6767" s="29"/>
      <c r="C6767" s="29"/>
      <c r="E6767" s="29"/>
      <c r="F6767" s="29"/>
    </row>
    <row r="6768">
      <c r="A6768" s="28"/>
      <c r="B6768" s="29"/>
      <c r="C6768" s="29"/>
      <c r="E6768" s="29"/>
      <c r="F6768" s="29"/>
    </row>
    <row r="6769">
      <c r="A6769" s="28"/>
      <c r="B6769" s="29"/>
      <c r="C6769" s="29"/>
      <c r="E6769" s="29"/>
      <c r="F6769" s="29"/>
    </row>
    <row r="6770">
      <c r="A6770" s="28"/>
      <c r="B6770" s="29"/>
      <c r="C6770" s="29"/>
      <c r="E6770" s="29"/>
      <c r="F6770" s="29"/>
    </row>
    <row r="6771">
      <c r="A6771" s="28"/>
      <c r="B6771" s="29"/>
      <c r="C6771" s="29"/>
      <c r="E6771" s="29"/>
      <c r="F6771" s="29"/>
    </row>
    <row r="6772">
      <c r="A6772" s="28"/>
      <c r="B6772" s="29"/>
      <c r="C6772" s="29"/>
      <c r="E6772" s="29"/>
      <c r="F6772" s="29"/>
    </row>
    <row r="6773">
      <c r="A6773" s="28"/>
      <c r="B6773" s="29"/>
      <c r="C6773" s="29"/>
      <c r="E6773" s="29"/>
      <c r="F6773" s="29"/>
    </row>
    <row r="6774">
      <c r="A6774" s="28"/>
      <c r="B6774" s="29"/>
      <c r="C6774" s="29"/>
      <c r="E6774" s="29"/>
      <c r="F6774" s="29"/>
    </row>
    <row r="6775">
      <c r="A6775" s="28"/>
      <c r="B6775" s="29"/>
      <c r="C6775" s="29"/>
      <c r="E6775" s="29"/>
      <c r="F6775" s="29"/>
    </row>
    <row r="6776">
      <c r="A6776" s="28"/>
      <c r="B6776" s="29"/>
      <c r="C6776" s="29"/>
      <c r="E6776" s="29"/>
      <c r="F6776" s="29"/>
    </row>
    <row r="6777">
      <c r="A6777" s="28"/>
      <c r="B6777" s="29"/>
      <c r="C6777" s="29"/>
      <c r="E6777" s="29"/>
      <c r="F6777" s="29"/>
    </row>
    <row r="6778">
      <c r="A6778" s="28"/>
      <c r="B6778" s="29"/>
      <c r="C6778" s="29"/>
      <c r="E6778" s="29"/>
      <c r="F6778" s="29"/>
    </row>
    <row r="6779">
      <c r="A6779" s="28"/>
      <c r="B6779" s="29"/>
      <c r="C6779" s="29"/>
      <c r="E6779" s="29"/>
      <c r="F6779" s="29"/>
    </row>
    <row r="6780">
      <c r="A6780" s="28"/>
      <c r="B6780" s="29"/>
      <c r="C6780" s="29"/>
      <c r="E6780" s="29"/>
      <c r="F6780" s="29"/>
    </row>
    <row r="6781">
      <c r="A6781" s="28"/>
      <c r="B6781" s="29"/>
      <c r="C6781" s="29"/>
      <c r="E6781" s="29"/>
      <c r="F6781" s="29"/>
    </row>
    <row r="6782">
      <c r="A6782" s="28"/>
      <c r="B6782" s="29"/>
      <c r="C6782" s="29"/>
      <c r="E6782" s="29"/>
      <c r="F6782" s="29"/>
    </row>
    <row r="6783">
      <c r="A6783" s="28"/>
      <c r="B6783" s="29"/>
      <c r="C6783" s="29"/>
      <c r="E6783" s="29"/>
      <c r="F6783" s="29"/>
    </row>
    <row r="6784">
      <c r="A6784" s="28"/>
      <c r="B6784" s="29"/>
      <c r="C6784" s="29"/>
      <c r="E6784" s="29"/>
      <c r="F6784" s="29"/>
    </row>
    <row r="6785">
      <c r="A6785" s="28"/>
      <c r="B6785" s="29"/>
      <c r="C6785" s="29"/>
      <c r="E6785" s="29"/>
      <c r="F6785" s="29"/>
    </row>
    <row r="6786">
      <c r="A6786" s="28"/>
      <c r="B6786" s="29"/>
      <c r="C6786" s="29"/>
      <c r="E6786" s="29"/>
      <c r="F6786" s="29"/>
    </row>
    <row r="6787">
      <c r="A6787" s="28"/>
      <c r="B6787" s="29"/>
      <c r="C6787" s="29"/>
      <c r="E6787" s="29"/>
      <c r="F6787" s="29"/>
    </row>
    <row r="6788">
      <c r="A6788" s="28"/>
      <c r="B6788" s="29"/>
      <c r="C6788" s="29"/>
      <c r="E6788" s="29"/>
      <c r="F6788" s="29"/>
    </row>
    <row r="6789">
      <c r="A6789" s="28"/>
      <c r="B6789" s="29"/>
      <c r="C6789" s="29"/>
      <c r="E6789" s="29"/>
      <c r="F6789" s="29"/>
    </row>
    <row r="6790">
      <c r="A6790" s="28"/>
      <c r="B6790" s="29"/>
      <c r="C6790" s="29"/>
      <c r="E6790" s="29"/>
      <c r="F6790" s="29"/>
    </row>
    <row r="6791">
      <c r="A6791" s="28"/>
      <c r="B6791" s="29"/>
      <c r="C6791" s="29"/>
      <c r="E6791" s="29"/>
      <c r="F6791" s="29"/>
    </row>
    <row r="6792">
      <c r="A6792" s="28"/>
      <c r="B6792" s="29"/>
      <c r="C6792" s="29"/>
      <c r="E6792" s="29"/>
      <c r="F6792" s="29"/>
    </row>
    <row r="6793">
      <c r="A6793" s="28"/>
      <c r="B6793" s="29"/>
      <c r="C6793" s="29"/>
      <c r="E6793" s="29"/>
      <c r="F6793" s="29"/>
    </row>
    <row r="6794">
      <c r="A6794" s="28"/>
      <c r="B6794" s="29"/>
      <c r="C6794" s="29"/>
      <c r="E6794" s="29"/>
      <c r="F6794" s="29"/>
    </row>
    <row r="6795">
      <c r="A6795" s="28"/>
      <c r="B6795" s="29"/>
      <c r="C6795" s="29"/>
      <c r="E6795" s="29"/>
      <c r="F6795" s="29"/>
    </row>
    <row r="6796">
      <c r="A6796" s="28"/>
      <c r="B6796" s="29"/>
      <c r="C6796" s="29"/>
      <c r="E6796" s="29"/>
      <c r="F6796" s="29"/>
    </row>
    <row r="6797">
      <c r="A6797" s="28"/>
      <c r="B6797" s="29"/>
      <c r="C6797" s="29"/>
      <c r="E6797" s="29"/>
      <c r="F6797" s="29"/>
    </row>
    <row r="6798">
      <c r="A6798" s="28"/>
      <c r="B6798" s="29"/>
      <c r="C6798" s="29"/>
      <c r="E6798" s="29"/>
      <c r="F6798" s="29"/>
    </row>
    <row r="6799">
      <c r="A6799" s="28"/>
      <c r="B6799" s="29"/>
      <c r="C6799" s="29"/>
      <c r="E6799" s="29"/>
      <c r="F6799" s="29"/>
    </row>
    <row r="6800">
      <c r="A6800" s="28"/>
      <c r="B6800" s="29"/>
      <c r="C6800" s="29"/>
      <c r="E6800" s="29"/>
      <c r="F6800" s="29"/>
    </row>
    <row r="6801">
      <c r="A6801" s="28"/>
      <c r="B6801" s="29"/>
      <c r="C6801" s="29"/>
      <c r="E6801" s="29"/>
      <c r="F6801" s="29"/>
    </row>
    <row r="6802">
      <c r="A6802" s="28"/>
      <c r="B6802" s="29"/>
      <c r="C6802" s="29"/>
      <c r="E6802" s="29"/>
      <c r="F6802" s="29"/>
    </row>
    <row r="6803">
      <c r="A6803" s="28"/>
      <c r="B6803" s="29"/>
      <c r="C6803" s="29"/>
      <c r="E6803" s="29"/>
      <c r="F6803" s="29"/>
    </row>
    <row r="6804">
      <c r="A6804" s="28"/>
      <c r="B6804" s="29"/>
      <c r="C6804" s="29"/>
      <c r="E6804" s="29"/>
      <c r="F6804" s="29"/>
    </row>
    <row r="6805">
      <c r="A6805" s="28"/>
      <c r="B6805" s="29"/>
      <c r="C6805" s="29"/>
      <c r="E6805" s="29"/>
      <c r="F6805" s="29"/>
    </row>
    <row r="6806">
      <c r="A6806" s="28"/>
      <c r="B6806" s="29"/>
      <c r="C6806" s="29"/>
      <c r="E6806" s="29"/>
      <c r="F6806" s="29"/>
    </row>
    <row r="6807">
      <c r="A6807" s="28"/>
      <c r="B6807" s="29"/>
      <c r="C6807" s="29"/>
      <c r="E6807" s="29"/>
      <c r="F6807" s="29"/>
    </row>
    <row r="6808">
      <c r="A6808" s="28"/>
      <c r="B6808" s="29"/>
      <c r="C6808" s="29"/>
      <c r="E6808" s="29"/>
      <c r="F6808" s="29"/>
    </row>
    <row r="6809">
      <c r="A6809" s="28"/>
      <c r="B6809" s="29"/>
      <c r="C6809" s="29"/>
      <c r="E6809" s="29"/>
      <c r="F6809" s="29"/>
    </row>
    <row r="6810">
      <c r="A6810" s="28"/>
      <c r="B6810" s="29"/>
      <c r="C6810" s="29"/>
      <c r="E6810" s="29"/>
      <c r="F6810" s="29"/>
    </row>
    <row r="6811">
      <c r="A6811" s="28"/>
      <c r="B6811" s="29"/>
      <c r="C6811" s="29"/>
      <c r="E6811" s="29"/>
      <c r="F6811" s="29"/>
    </row>
    <row r="6812">
      <c r="A6812" s="28"/>
      <c r="B6812" s="29"/>
      <c r="C6812" s="29"/>
      <c r="E6812" s="29"/>
      <c r="F6812" s="29"/>
    </row>
    <row r="6813">
      <c r="A6813" s="28"/>
      <c r="B6813" s="29"/>
      <c r="C6813" s="29"/>
      <c r="E6813" s="29"/>
      <c r="F6813" s="29"/>
    </row>
    <row r="6814">
      <c r="A6814" s="28"/>
      <c r="B6814" s="29"/>
      <c r="C6814" s="29"/>
      <c r="E6814" s="29"/>
      <c r="F6814" s="29"/>
    </row>
    <row r="6815">
      <c r="A6815" s="28"/>
      <c r="B6815" s="29"/>
      <c r="C6815" s="29"/>
      <c r="E6815" s="29"/>
      <c r="F6815" s="29"/>
    </row>
    <row r="6816">
      <c r="A6816" s="28"/>
      <c r="B6816" s="29"/>
      <c r="C6816" s="29"/>
      <c r="E6816" s="29"/>
      <c r="F6816" s="29"/>
    </row>
    <row r="6817">
      <c r="A6817" s="28"/>
      <c r="B6817" s="29"/>
      <c r="C6817" s="29"/>
      <c r="E6817" s="29"/>
      <c r="F6817" s="29"/>
    </row>
    <row r="6818">
      <c r="A6818" s="28"/>
      <c r="B6818" s="29"/>
      <c r="C6818" s="29"/>
      <c r="E6818" s="29"/>
      <c r="F6818" s="29"/>
    </row>
    <row r="6819">
      <c r="A6819" s="28"/>
      <c r="B6819" s="29"/>
      <c r="C6819" s="29"/>
      <c r="E6819" s="29"/>
      <c r="F6819" s="29"/>
    </row>
    <row r="6820">
      <c r="A6820" s="28"/>
      <c r="B6820" s="29"/>
      <c r="C6820" s="29"/>
      <c r="E6820" s="29"/>
      <c r="F6820" s="29"/>
    </row>
    <row r="6821">
      <c r="A6821" s="28"/>
      <c r="B6821" s="29"/>
      <c r="C6821" s="29"/>
      <c r="E6821" s="29"/>
      <c r="F6821" s="29"/>
    </row>
    <row r="6822">
      <c r="A6822" s="28"/>
      <c r="B6822" s="29"/>
      <c r="C6822" s="29"/>
      <c r="E6822" s="29"/>
      <c r="F6822" s="29"/>
    </row>
    <row r="6823">
      <c r="A6823" s="28"/>
      <c r="B6823" s="29"/>
      <c r="C6823" s="29"/>
      <c r="E6823" s="29"/>
      <c r="F6823" s="29"/>
    </row>
    <row r="6824">
      <c r="A6824" s="28"/>
      <c r="B6824" s="29"/>
      <c r="C6824" s="29"/>
      <c r="E6824" s="29"/>
      <c r="F6824" s="29"/>
    </row>
    <row r="6825">
      <c r="A6825" s="28"/>
      <c r="B6825" s="29"/>
      <c r="C6825" s="29"/>
      <c r="E6825" s="29"/>
      <c r="F6825" s="29"/>
    </row>
    <row r="6826">
      <c r="A6826" s="28"/>
      <c r="B6826" s="29"/>
      <c r="C6826" s="29"/>
      <c r="E6826" s="29"/>
      <c r="F6826" s="29"/>
    </row>
    <row r="6827">
      <c r="A6827" s="28"/>
      <c r="B6827" s="29"/>
      <c r="C6827" s="29"/>
      <c r="E6827" s="29"/>
      <c r="F6827" s="29"/>
    </row>
    <row r="6828">
      <c r="A6828" s="28"/>
      <c r="B6828" s="29"/>
      <c r="C6828" s="29"/>
      <c r="E6828" s="29"/>
      <c r="F6828" s="29"/>
    </row>
    <row r="6829">
      <c r="A6829" s="28"/>
      <c r="B6829" s="29"/>
      <c r="C6829" s="29"/>
      <c r="E6829" s="29"/>
      <c r="F6829" s="29"/>
    </row>
    <row r="6830">
      <c r="A6830" s="28"/>
      <c r="B6830" s="29"/>
      <c r="C6830" s="29"/>
      <c r="E6830" s="29"/>
      <c r="F6830" s="29"/>
    </row>
    <row r="6831">
      <c r="A6831" s="28"/>
      <c r="B6831" s="29"/>
      <c r="C6831" s="29"/>
      <c r="E6831" s="29"/>
      <c r="F6831" s="29"/>
    </row>
    <row r="6832">
      <c r="A6832" s="28"/>
      <c r="B6832" s="29"/>
      <c r="C6832" s="29"/>
      <c r="E6832" s="29"/>
      <c r="F6832" s="29"/>
    </row>
    <row r="6833">
      <c r="A6833" s="28"/>
      <c r="B6833" s="29"/>
      <c r="C6833" s="29"/>
      <c r="E6833" s="29"/>
      <c r="F6833" s="29"/>
    </row>
    <row r="6834">
      <c r="A6834" s="28"/>
      <c r="B6834" s="29"/>
      <c r="C6834" s="29"/>
      <c r="E6834" s="29"/>
      <c r="F6834" s="29"/>
    </row>
    <row r="6835">
      <c r="A6835" s="28"/>
      <c r="B6835" s="29"/>
      <c r="C6835" s="29"/>
      <c r="E6835" s="29"/>
      <c r="F6835" s="29"/>
    </row>
    <row r="6836">
      <c r="A6836" s="28"/>
      <c r="B6836" s="29"/>
      <c r="C6836" s="29"/>
      <c r="E6836" s="29"/>
      <c r="F6836" s="29"/>
    </row>
    <row r="6837">
      <c r="A6837" s="28"/>
      <c r="B6837" s="29"/>
      <c r="C6837" s="29"/>
      <c r="E6837" s="29"/>
      <c r="F6837" s="29"/>
    </row>
    <row r="6838">
      <c r="A6838" s="28"/>
      <c r="B6838" s="29"/>
      <c r="C6838" s="29"/>
      <c r="E6838" s="29"/>
      <c r="F6838" s="29"/>
    </row>
    <row r="6839">
      <c r="A6839" s="28"/>
      <c r="B6839" s="29"/>
      <c r="C6839" s="29"/>
      <c r="E6839" s="29"/>
      <c r="F6839" s="29"/>
    </row>
    <row r="6840">
      <c r="A6840" s="28"/>
      <c r="B6840" s="29"/>
      <c r="C6840" s="29"/>
      <c r="E6840" s="29"/>
      <c r="F6840" s="29"/>
    </row>
    <row r="6841">
      <c r="A6841" s="28"/>
      <c r="B6841" s="29"/>
      <c r="C6841" s="29"/>
      <c r="E6841" s="29"/>
      <c r="F6841" s="29"/>
    </row>
    <row r="6842">
      <c r="A6842" s="28"/>
      <c r="B6842" s="29"/>
      <c r="C6842" s="29"/>
      <c r="E6842" s="29"/>
      <c r="F6842" s="29"/>
    </row>
    <row r="6843">
      <c r="A6843" s="28"/>
      <c r="B6843" s="29"/>
      <c r="C6843" s="29"/>
      <c r="E6843" s="29"/>
      <c r="F6843" s="29"/>
    </row>
    <row r="6844">
      <c r="A6844" s="28"/>
      <c r="B6844" s="29"/>
      <c r="C6844" s="29"/>
      <c r="E6844" s="29"/>
      <c r="F6844" s="29"/>
    </row>
    <row r="6845">
      <c r="A6845" s="28"/>
      <c r="B6845" s="29"/>
      <c r="C6845" s="29"/>
      <c r="E6845" s="29"/>
      <c r="F6845" s="29"/>
    </row>
    <row r="6846">
      <c r="A6846" s="28"/>
      <c r="B6846" s="29"/>
      <c r="C6846" s="29"/>
      <c r="E6846" s="29"/>
      <c r="F6846" s="29"/>
    </row>
    <row r="6847">
      <c r="A6847" s="28"/>
      <c r="B6847" s="29"/>
      <c r="C6847" s="29"/>
      <c r="E6847" s="29"/>
      <c r="F6847" s="29"/>
    </row>
    <row r="6848">
      <c r="A6848" s="28"/>
      <c r="B6848" s="29"/>
      <c r="C6848" s="29"/>
      <c r="E6848" s="29"/>
      <c r="F6848" s="29"/>
    </row>
    <row r="6849">
      <c r="A6849" s="28"/>
      <c r="B6849" s="29"/>
      <c r="C6849" s="29"/>
      <c r="E6849" s="29"/>
      <c r="F6849" s="29"/>
    </row>
    <row r="6850">
      <c r="A6850" s="28"/>
      <c r="B6850" s="29"/>
      <c r="C6850" s="29"/>
      <c r="E6850" s="29"/>
      <c r="F6850" s="29"/>
    </row>
    <row r="6851">
      <c r="A6851" s="28"/>
      <c r="B6851" s="29"/>
      <c r="C6851" s="29"/>
      <c r="E6851" s="29"/>
      <c r="F6851" s="29"/>
    </row>
    <row r="6852">
      <c r="A6852" s="28"/>
      <c r="B6852" s="29"/>
      <c r="C6852" s="29"/>
      <c r="E6852" s="29"/>
      <c r="F6852" s="29"/>
    </row>
    <row r="6853">
      <c r="A6853" s="28"/>
      <c r="B6853" s="29"/>
      <c r="C6853" s="29"/>
      <c r="E6853" s="29"/>
      <c r="F6853" s="29"/>
    </row>
    <row r="6854">
      <c r="A6854" s="28"/>
      <c r="B6854" s="29"/>
      <c r="C6854" s="29"/>
      <c r="E6854" s="29"/>
      <c r="F6854" s="29"/>
    </row>
    <row r="6855">
      <c r="A6855" s="28"/>
      <c r="B6855" s="29"/>
      <c r="C6855" s="29"/>
      <c r="E6855" s="29"/>
      <c r="F6855" s="29"/>
    </row>
    <row r="6856">
      <c r="A6856" s="28"/>
      <c r="B6856" s="29"/>
      <c r="C6856" s="29"/>
      <c r="E6856" s="29"/>
      <c r="F6856" s="29"/>
    </row>
    <row r="6857">
      <c r="A6857" s="28"/>
      <c r="B6857" s="29"/>
      <c r="C6857" s="29"/>
      <c r="E6857" s="29"/>
      <c r="F6857" s="29"/>
    </row>
    <row r="6858">
      <c r="A6858" s="28"/>
      <c r="B6858" s="29"/>
      <c r="C6858" s="29"/>
      <c r="E6858" s="29"/>
      <c r="F6858" s="29"/>
    </row>
    <row r="6859">
      <c r="A6859" s="28"/>
      <c r="B6859" s="29"/>
      <c r="C6859" s="29"/>
      <c r="E6859" s="29"/>
      <c r="F6859" s="29"/>
    </row>
    <row r="6860">
      <c r="A6860" s="28"/>
      <c r="B6860" s="29"/>
      <c r="C6860" s="29"/>
      <c r="E6860" s="29"/>
      <c r="F6860" s="29"/>
    </row>
    <row r="6861">
      <c r="A6861" s="28"/>
      <c r="B6861" s="29"/>
      <c r="C6861" s="29"/>
      <c r="E6861" s="29"/>
      <c r="F6861" s="29"/>
    </row>
    <row r="6862">
      <c r="A6862" s="28"/>
      <c r="B6862" s="29"/>
      <c r="C6862" s="29"/>
      <c r="E6862" s="29"/>
      <c r="F6862" s="29"/>
    </row>
    <row r="6863">
      <c r="A6863" s="28"/>
      <c r="B6863" s="29"/>
      <c r="C6863" s="29"/>
      <c r="E6863" s="29"/>
      <c r="F6863" s="29"/>
    </row>
    <row r="6864">
      <c r="A6864" s="28"/>
      <c r="B6864" s="29"/>
      <c r="C6864" s="29"/>
      <c r="E6864" s="29"/>
      <c r="F6864" s="29"/>
    </row>
    <row r="6865">
      <c r="A6865" s="28"/>
      <c r="B6865" s="29"/>
      <c r="C6865" s="29"/>
      <c r="E6865" s="29"/>
      <c r="F6865" s="29"/>
    </row>
    <row r="6866">
      <c r="A6866" s="28"/>
      <c r="B6866" s="29"/>
      <c r="C6866" s="29"/>
      <c r="E6866" s="29"/>
      <c r="F6866" s="29"/>
    </row>
    <row r="6867">
      <c r="A6867" s="28"/>
      <c r="B6867" s="29"/>
      <c r="C6867" s="29"/>
      <c r="E6867" s="29"/>
      <c r="F6867" s="29"/>
    </row>
    <row r="6868">
      <c r="A6868" s="28"/>
      <c r="B6868" s="29"/>
      <c r="C6868" s="29"/>
      <c r="E6868" s="29"/>
      <c r="F6868" s="29"/>
    </row>
    <row r="6869">
      <c r="A6869" s="28"/>
      <c r="B6869" s="29"/>
      <c r="C6869" s="29"/>
      <c r="E6869" s="29"/>
      <c r="F6869" s="29"/>
    </row>
    <row r="6870">
      <c r="A6870" s="28"/>
      <c r="B6870" s="29"/>
      <c r="C6870" s="29"/>
      <c r="E6870" s="29"/>
      <c r="F6870" s="29"/>
    </row>
    <row r="6871">
      <c r="A6871" s="28"/>
      <c r="B6871" s="29"/>
      <c r="C6871" s="29"/>
      <c r="E6871" s="29"/>
      <c r="F6871" s="29"/>
    </row>
    <row r="6872">
      <c r="A6872" s="28"/>
      <c r="B6872" s="29"/>
      <c r="C6872" s="29"/>
      <c r="E6872" s="29"/>
      <c r="F6872" s="29"/>
    </row>
    <row r="6873">
      <c r="A6873" s="28"/>
      <c r="B6873" s="29"/>
      <c r="C6873" s="29"/>
      <c r="E6873" s="29"/>
      <c r="F6873" s="29"/>
    </row>
    <row r="6874">
      <c r="A6874" s="28"/>
      <c r="B6874" s="29"/>
      <c r="C6874" s="29"/>
      <c r="E6874" s="29"/>
      <c r="F6874" s="29"/>
    </row>
    <row r="6875">
      <c r="A6875" s="28"/>
      <c r="B6875" s="29"/>
      <c r="C6875" s="29"/>
      <c r="E6875" s="29"/>
      <c r="F6875" s="29"/>
    </row>
    <row r="6876">
      <c r="A6876" s="28"/>
      <c r="B6876" s="29"/>
      <c r="C6876" s="29"/>
      <c r="E6876" s="29"/>
      <c r="F6876" s="29"/>
    </row>
    <row r="6877">
      <c r="A6877" s="28"/>
      <c r="B6877" s="29"/>
      <c r="C6877" s="29"/>
      <c r="E6877" s="29"/>
      <c r="F6877" s="29"/>
    </row>
    <row r="6878">
      <c r="A6878" s="28"/>
      <c r="B6878" s="29"/>
      <c r="C6878" s="29"/>
      <c r="E6878" s="29"/>
      <c r="F6878" s="29"/>
    </row>
    <row r="6879">
      <c r="A6879" s="28"/>
      <c r="B6879" s="29"/>
      <c r="C6879" s="29"/>
      <c r="E6879" s="29"/>
      <c r="F6879" s="29"/>
    </row>
    <row r="6880">
      <c r="A6880" s="28"/>
      <c r="B6880" s="29"/>
      <c r="C6880" s="29"/>
      <c r="E6880" s="29"/>
      <c r="F6880" s="29"/>
    </row>
    <row r="6881">
      <c r="A6881" s="28"/>
      <c r="B6881" s="29"/>
      <c r="C6881" s="29"/>
      <c r="E6881" s="29"/>
      <c r="F6881" s="29"/>
    </row>
    <row r="6882">
      <c r="A6882" s="28"/>
      <c r="B6882" s="29"/>
      <c r="C6882" s="29"/>
      <c r="E6882" s="29"/>
      <c r="F6882" s="29"/>
    </row>
    <row r="6883">
      <c r="A6883" s="28"/>
      <c r="B6883" s="29"/>
      <c r="C6883" s="29"/>
      <c r="E6883" s="29"/>
      <c r="F6883" s="29"/>
    </row>
    <row r="6884">
      <c r="A6884" s="28"/>
      <c r="B6884" s="29"/>
      <c r="C6884" s="29"/>
      <c r="E6884" s="29"/>
      <c r="F6884" s="29"/>
    </row>
    <row r="6885">
      <c r="A6885" s="28"/>
      <c r="B6885" s="29"/>
      <c r="C6885" s="29"/>
      <c r="E6885" s="29"/>
      <c r="F6885" s="29"/>
    </row>
    <row r="6886">
      <c r="A6886" s="28"/>
      <c r="B6886" s="29"/>
      <c r="C6886" s="29"/>
      <c r="E6886" s="29"/>
      <c r="F6886" s="29"/>
    </row>
    <row r="6887">
      <c r="A6887" s="28"/>
      <c r="B6887" s="29"/>
      <c r="C6887" s="29"/>
      <c r="E6887" s="29"/>
      <c r="F6887" s="29"/>
    </row>
    <row r="6888">
      <c r="A6888" s="28"/>
      <c r="B6888" s="29"/>
      <c r="C6888" s="29"/>
      <c r="E6888" s="29"/>
      <c r="F6888" s="29"/>
    </row>
    <row r="6889">
      <c r="A6889" s="28"/>
      <c r="B6889" s="29"/>
      <c r="C6889" s="29"/>
      <c r="E6889" s="29"/>
      <c r="F6889" s="29"/>
    </row>
    <row r="6890">
      <c r="A6890" s="28"/>
      <c r="B6890" s="29"/>
      <c r="C6890" s="29"/>
      <c r="E6890" s="29"/>
      <c r="F6890" s="29"/>
    </row>
    <row r="6891">
      <c r="A6891" s="28"/>
      <c r="B6891" s="29"/>
      <c r="C6891" s="29"/>
      <c r="E6891" s="29"/>
      <c r="F6891" s="29"/>
    </row>
    <row r="6892">
      <c r="A6892" s="28"/>
      <c r="B6892" s="29"/>
      <c r="C6892" s="29"/>
      <c r="E6892" s="29"/>
      <c r="F6892" s="29"/>
    </row>
    <row r="6893">
      <c r="A6893" s="28"/>
      <c r="B6893" s="29"/>
      <c r="C6893" s="29"/>
      <c r="E6893" s="29"/>
      <c r="F6893" s="29"/>
    </row>
    <row r="6894">
      <c r="A6894" s="28"/>
      <c r="B6894" s="29"/>
      <c r="C6894" s="29"/>
      <c r="E6894" s="29"/>
      <c r="F6894" s="29"/>
    </row>
    <row r="6895">
      <c r="A6895" s="28"/>
      <c r="B6895" s="29"/>
      <c r="C6895" s="29"/>
      <c r="E6895" s="29"/>
      <c r="F6895" s="29"/>
    </row>
    <row r="6896">
      <c r="A6896" s="28"/>
      <c r="B6896" s="29"/>
      <c r="C6896" s="29"/>
      <c r="E6896" s="29"/>
      <c r="F6896" s="29"/>
    </row>
    <row r="6897">
      <c r="A6897" s="28"/>
      <c r="B6897" s="29"/>
      <c r="C6897" s="29"/>
      <c r="E6897" s="29"/>
      <c r="F6897" s="29"/>
    </row>
    <row r="6898">
      <c r="A6898" s="28"/>
      <c r="B6898" s="29"/>
      <c r="C6898" s="29"/>
      <c r="E6898" s="29"/>
      <c r="F6898" s="29"/>
    </row>
    <row r="6899">
      <c r="A6899" s="28"/>
      <c r="B6899" s="29"/>
      <c r="C6899" s="29"/>
      <c r="E6899" s="29"/>
      <c r="F6899" s="29"/>
    </row>
    <row r="6900">
      <c r="A6900" s="28"/>
      <c r="B6900" s="29"/>
      <c r="C6900" s="29"/>
      <c r="E6900" s="29"/>
      <c r="F6900" s="29"/>
    </row>
    <row r="6901">
      <c r="A6901" s="28"/>
      <c r="B6901" s="29"/>
      <c r="C6901" s="29"/>
      <c r="E6901" s="29"/>
      <c r="F6901" s="29"/>
    </row>
    <row r="6902">
      <c r="A6902" s="28"/>
      <c r="B6902" s="29"/>
      <c r="C6902" s="29"/>
      <c r="E6902" s="29"/>
      <c r="F6902" s="29"/>
    </row>
    <row r="6903">
      <c r="A6903" s="28"/>
      <c r="B6903" s="29"/>
      <c r="C6903" s="29"/>
      <c r="E6903" s="29"/>
      <c r="F6903" s="29"/>
    </row>
    <row r="6904">
      <c r="A6904" s="28"/>
      <c r="B6904" s="29"/>
      <c r="C6904" s="29"/>
      <c r="E6904" s="29"/>
      <c r="F6904" s="29"/>
    </row>
    <row r="6905">
      <c r="A6905" s="28"/>
      <c r="B6905" s="29"/>
      <c r="C6905" s="29"/>
      <c r="E6905" s="29"/>
      <c r="F6905" s="29"/>
    </row>
    <row r="6906">
      <c r="A6906" s="28"/>
      <c r="B6906" s="29"/>
      <c r="C6906" s="29"/>
      <c r="E6906" s="29"/>
      <c r="F6906" s="29"/>
    </row>
    <row r="6907">
      <c r="A6907" s="28"/>
      <c r="B6907" s="29"/>
      <c r="C6907" s="29"/>
      <c r="E6907" s="29"/>
      <c r="F6907" s="29"/>
    </row>
    <row r="6908">
      <c r="A6908" s="28"/>
      <c r="B6908" s="29"/>
      <c r="C6908" s="29"/>
      <c r="E6908" s="29"/>
      <c r="F6908" s="29"/>
    </row>
    <row r="6909">
      <c r="A6909" s="28"/>
      <c r="B6909" s="29"/>
      <c r="C6909" s="29"/>
      <c r="E6909" s="29"/>
      <c r="F6909" s="29"/>
    </row>
    <row r="6910">
      <c r="A6910" s="28"/>
      <c r="B6910" s="29"/>
      <c r="C6910" s="29"/>
      <c r="E6910" s="29"/>
      <c r="F6910" s="29"/>
    </row>
    <row r="6911">
      <c r="A6911" s="28"/>
      <c r="B6911" s="29"/>
      <c r="C6911" s="29"/>
      <c r="E6911" s="29"/>
      <c r="F6911" s="29"/>
    </row>
    <row r="6912">
      <c r="A6912" s="28"/>
      <c r="B6912" s="29"/>
      <c r="C6912" s="29"/>
      <c r="E6912" s="29"/>
      <c r="F6912" s="29"/>
    </row>
    <row r="6913">
      <c r="A6913" s="28"/>
      <c r="B6913" s="29"/>
      <c r="C6913" s="29"/>
      <c r="E6913" s="29"/>
      <c r="F6913" s="29"/>
    </row>
    <row r="6914">
      <c r="A6914" s="28"/>
      <c r="B6914" s="29"/>
      <c r="C6914" s="29"/>
      <c r="E6914" s="29"/>
      <c r="F6914" s="29"/>
    </row>
    <row r="6915">
      <c r="A6915" s="28"/>
      <c r="B6915" s="29"/>
      <c r="C6915" s="29"/>
      <c r="E6915" s="29"/>
      <c r="F6915" s="29"/>
    </row>
    <row r="6916">
      <c r="A6916" s="28"/>
      <c r="B6916" s="29"/>
      <c r="C6916" s="29"/>
      <c r="E6916" s="29"/>
      <c r="F6916" s="29"/>
    </row>
    <row r="6917">
      <c r="A6917" s="28"/>
      <c r="B6917" s="29"/>
      <c r="C6917" s="29"/>
      <c r="E6917" s="29"/>
      <c r="F6917" s="29"/>
    </row>
    <row r="6918">
      <c r="A6918" s="28"/>
      <c r="B6918" s="29"/>
      <c r="C6918" s="29"/>
      <c r="E6918" s="29"/>
      <c r="F6918" s="29"/>
    </row>
    <row r="6919">
      <c r="A6919" s="28"/>
      <c r="B6919" s="29"/>
      <c r="C6919" s="29"/>
      <c r="E6919" s="29"/>
      <c r="F6919" s="29"/>
    </row>
    <row r="6920">
      <c r="A6920" s="28"/>
      <c r="B6920" s="29"/>
      <c r="C6920" s="29"/>
      <c r="E6920" s="29"/>
      <c r="F6920" s="29"/>
    </row>
    <row r="6921">
      <c r="A6921" s="28"/>
      <c r="B6921" s="29"/>
      <c r="C6921" s="29"/>
      <c r="E6921" s="29"/>
      <c r="F6921" s="29"/>
    </row>
    <row r="6922">
      <c r="A6922" s="28"/>
      <c r="B6922" s="29"/>
      <c r="C6922" s="29"/>
      <c r="E6922" s="29"/>
      <c r="F6922" s="29"/>
    </row>
    <row r="6923">
      <c r="A6923" s="28"/>
      <c r="B6923" s="29"/>
      <c r="C6923" s="29"/>
      <c r="E6923" s="29"/>
      <c r="F6923" s="29"/>
    </row>
    <row r="6924">
      <c r="A6924" s="28"/>
      <c r="B6924" s="29"/>
      <c r="C6924" s="29"/>
      <c r="E6924" s="29"/>
      <c r="F6924" s="29"/>
    </row>
    <row r="6925">
      <c r="A6925" s="28"/>
      <c r="B6925" s="29"/>
      <c r="C6925" s="29"/>
      <c r="E6925" s="29"/>
      <c r="F6925" s="29"/>
    </row>
    <row r="6926">
      <c r="A6926" s="28"/>
      <c r="B6926" s="29"/>
      <c r="C6926" s="29"/>
      <c r="E6926" s="29"/>
      <c r="F6926" s="29"/>
    </row>
    <row r="6927">
      <c r="A6927" s="28"/>
      <c r="B6927" s="29"/>
      <c r="C6927" s="29"/>
      <c r="E6927" s="29"/>
      <c r="F6927" s="29"/>
    </row>
    <row r="6928">
      <c r="A6928" s="28"/>
      <c r="B6928" s="29"/>
      <c r="C6928" s="29"/>
      <c r="E6928" s="29"/>
      <c r="F6928" s="29"/>
    </row>
    <row r="6929">
      <c r="A6929" s="28"/>
      <c r="B6929" s="29"/>
      <c r="C6929" s="29"/>
      <c r="E6929" s="29"/>
      <c r="F6929" s="29"/>
    </row>
    <row r="6930">
      <c r="A6930" s="28"/>
      <c r="B6930" s="29"/>
      <c r="C6930" s="29"/>
      <c r="E6930" s="29"/>
      <c r="F6930" s="29"/>
    </row>
    <row r="6931">
      <c r="A6931" s="28"/>
      <c r="B6931" s="29"/>
      <c r="C6931" s="29"/>
      <c r="E6931" s="29"/>
      <c r="F6931" s="29"/>
    </row>
    <row r="6932">
      <c r="A6932" s="28"/>
      <c r="B6932" s="29"/>
      <c r="C6932" s="29"/>
      <c r="E6932" s="29"/>
      <c r="F6932" s="29"/>
    </row>
    <row r="6933">
      <c r="A6933" s="28"/>
      <c r="B6933" s="29"/>
      <c r="C6933" s="29"/>
      <c r="E6933" s="29"/>
      <c r="F6933" s="29"/>
    </row>
    <row r="6934">
      <c r="A6934" s="28"/>
      <c r="B6934" s="29"/>
      <c r="C6934" s="29"/>
      <c r="E6934" s="29"/>
      <c r="F6934" s="29"/>
    </row>
    <row r="6935">
      <c r="A6935" s="28"/>
      <c r="B6935" s="29"/>
      <c r="C6935" s="29"/>
      <c r="E6935" s="29"/>
      <c r="F6935" s="29"/>
    </row>
    <row r="6936">
      <c r="A6936" s="28"/>
      <c r="B6936" s="29"/>
      <c r="C6936" s="29"/>
      <c r="E6936" s="29"/>
      <c r="F6936" s="29"/>
    </row>
    <row r="6937">
      <c r="A6937" s="28"/>
      <c r="B6937" s="29"/>
      <c r="C6937" s="29"/>
      <c r="E6937" s="29"/>
      <c r="F6937" s="29"/>
    </row>
    <row r="6938">
      <c r="A6938" s="28"/>
      <c r="B6938" s="29"/>
      <c r="C6938" s="29"/>
      <c r="E6938" s="29"/>
      <c r="F6938" s="29"/>
    </row>
    <row r="6939">
      <c r="A6939" s="28"/>
      <c r="B6939" s="29"/>
      <c r="C6939" s="29"/>
      <c r="E6939" s="29"/>
      <c r="F6939" s="29"/>
    </row>
    <row r="6940">
      <c r="A6940" s="28"/>
      <c r="B6940" s="29"/>
      <c r="C6940" s="29"/>
      <c r="E6940" s="29"/>
      <c r="F6940" s="29"/>
    </row>
    <row r="6941">
      <c r="A6941" s="28"/>
      <c r="B6941" s="29"/>
      <c r="C6941" s="29"/>
      <c r="E6941" s="29"/>
      <c r="F6941" s="29"/>
    </row>
    <row r="6942">
      <c r="A6942" s="28"/>
      <c r="B6942" s="29"/>
      <c r="C6942" s="29"/>
      <c r="E6942" s="29"/>
      <c r="F6942" s="29"/>
    </row>
    <row r="6943">
      <c r="A6943" s="28"/>
      <c r="B6943" s="29"/>
      <c r="C6943" s="29"/>
      <c r="E6943" s="29"/>
      <c r="F6943" s="29"/>
    </row>
    <row r="6944">
      <c r="A6944" s="28"/>
      <c r="B6944" s="29"/>
      <c r="C6944" s="29"/>
      <c r="E6944" s="29"/>
      <c r="F6944" s="29"/>
    </row>
    <row r="6945">
      <c r="A6945" s="28"/>
      <c r="B6945" s="29"/>
      <c r="C6945" s="29"/>
      <c r="E6945" s="29"/>
      <c r="F6945" s="29"/>
    </row>
    <row r="6946">
      <c r="A6946" s="28"/>
      <c r="B6946" s="29"/>
      <c r="C6946" s="29"/>
      <c r="E6946" s="29"/>
      <c r="F6946" s="29"/>
    </row>
    <row r="6947">
      <c r="A6947" s="28"/>
      <c r="B6947" s="29"/>
      <c r="C6947" s="29"/>
      <c r="E6947" s="29"/>
      <c r="F6947" s="29"/>
    </row>
    <row r="6948">
      <c r="A6948" s="28"/>
      <c r="B6948" s="29"/>
      <c r="C6948" s="29"/>
      <c r="E6948" s="29"/>
      <c r="F6948" s="29"/>
    </row>
    <row r="6949">
      <c r="A6949" s="28"/>
      <c r="B6949" s="29"/>
      <c r="C6949" s="29"/>
      <c r="E6949" s="29"/>
      <c r="F6949" s="29"/>
    </row>
    <row r="6950">
      <c r="A6950" s="28"/>
      <c r="B6950" s="29"/>
      <c r="C6950" s="29"/>
      <c r="E6950" s="29"/>
      <c r="F6950" s="29"/>
    </row>
    <row r="6951">
      <c r="A6951" s="28"/>
      <c r="B6951" s="29"/>
      <c r="C6951" s="29"/>
      <c r="E6951" s="29"/>
      <c r="F6951" s="29"/>
    </row>
    <row r="6952">
      <c r="A6952" s="28"/>
      <c r="B6952" s="29"/>
      <c r="C6952" s="29"/>
      <c r="E6952" s="29"/>
      <c r="F6952" s="29"/>
    </row>
    <row r="6953">
      <c r="A6953" s="28"/>
      <c r="B6953" s="29"/>
      <c r="C6953" s="29"/>
      <c r="E6953" s="29"/>
      <c r="F6953" s="29"/>
    </row>
    <row r="6954">
      <c r="A6954" s="28"/>
      <c r="B6954" s="29"/>
      <c r="C6954" s="29"/>
      <c r="E6954" s="29"/>
      <c r="F6954" s="29"/>
    </row>
    <row r="6955">
      <c r="A6955" s="28"/>
      <c r="B6955" s="29"/>
      <c r="C6955" s="29"/>
      <c r="E6955" s="29"/>
      <c r="F6955" s="29"/>
    </row>
    <row r="6956">
      <c r="A6956" s="28"/>
      <c r="B6956" s="29"/>
      <c r="C6956" s="29"/>
      <c r="E6956" s="29"/>
      <c r="F6956" s="29"/>
    </row>
    <row r="6957">
      <c r="A6957" s="28"/>
      <c r="B6957" s="29"/>
      <c r="C6957" s="29"/>
      <c r="E6957" s="29"/>
      <c r="F6957" s="29"/>
    </row>
    <row r="6958">
      <c r="A6958" s="28"/>
      <c r="B6958" s="29"/>
      <c r="C6958" s="29"/>
      <c r="E6958" s="29"/>
      <c r="F6958" s="29"/>
    </row>
    <row r="6959">
      <c r="A6959" s="28"/>
      <c r="B6959" s="29"/>
      <c r="C6959" s="29"/>
      <c r="E6959" s="29"/>
      <c r="F6959" s="29"/>
    </row>
    <row r="6960">
      <c r="A6960" s="28"/>
      <c r="B6960" s="29"/>
      <c r="C6960" s="29"/>
      <c r="E6960" s="29"/>
      <c r="F6960" s="29"/>
    </row>
    <row r="6961">
      <c r="A6961" s="28"/>
      <c r="B6961" s="29"/>
      <c r="C6961" s="29"/>
      <c r="E6961" s="29"/>
      <c r="F6961" s="29"/>
    </row>
    <row r="6962">
      <c r="A6962" s="28"/>
      <c r="B6962" s="29"/>
      <c r="C6962" s="29"/>
      <c r="E6962" s="29"/>
      <c r="F6962" s="29"/>
    </row>
    <row r="6963">
      <c r="A6963" s="28"/>
      <c r="B6963" s="29"/>
      <c r="C6963" s="29"/>
      <c r="E6963" s="29"/>
      <c r="F6963" s="29"/>
    </row>
    <row r="6964">
      <c r="A6964" s="28"/>
      <c r="B6964" s="29"/>
      <c r="C6964" s="29"/>
      <c r="E6964" s="29"/>
      <c r="F6964" s="29"/>
    </row>
    <row r="6965">
      <c r="A6965" s="28"/>
      <c r="B6965" s="29"/>
      <c r="C6965" s="29"/>
      <c r="E6965" s="29"/>
      <c r="F6965" s="29"/>
    </row>
    <row r="6966">
      <c r="A6966" s="28"/>
      <c r="B6966" s="29"/>
      <c r="C6966" s="29"/>
      <c r="E6966" s="29"/>
      <c r="F6966" s="29"/>
    </row>
    <row r="6967">
      <c r="A6967" s="28"/>
      <c r="B6967" s="29"/>
      <c r="C6967" s="29"/>
      <c r="E6967" s="29"/>
      <c r="F6967" s="29"/>
    </row>
    <row r="6968">
      <c r="A6968" s="28"/>
      <c r="B6968" s="29"/>
      <c r="C6968" s="29"/>
      <c r="E6968" s="29"/>
      <c r="F6968" s="29"/>
    </row>
    <row r="6969">
      <c r="A6969" s="28"/>
      <c r="B6969" s="29"/>
      <c r="C6969" s="29"/>
      <c r="E6969" s="29"/>
      <c r="F6969" s="29"/>
    </row>
    <row r="6970">
      <c r="A6970" s="28"/>
      <c r="B6970" s="29"/>
      <c r="C6970" s="29"/>
      <c r="E6970" s="29"/>
      <c r="F6970" s="29"/>
    </row>
    <row r="6971">
      <c r="A6971" s="28"/>
      <c r="B6971" s="29"/>
      <c r="C6971" s="29"/>
      <c r="E6971" s="29"/>
      <c r="F6971" s="29"/>
    </row>
    <row r="6972">
      <c r="A6972" s="28"/>
      <c r="B6972" s="29"/>
      <c r="C6972" s="29"/>
      <c r="E6972" s="29"/>
      <c r="F6972" s="29"/>
    </row>
    <row r="6973">
      <c r="A6973" s="28"/>
      <c r="B6973" s="29"/>
      <c r="C6973" s="29"/>
      <c r="E6973" s="29"/>
      <c r="F6973" s="29"/>
    </row>
    <row r="6974">
      <c r="A6974" s="28"/>
      <c r="B6974" s="29"/>
      <c r="C6974" s="29"/>
      <c r="E6974" s="29"/>
      <c r="F6974" s="29"/>
    </row>
    <row r="6975">
      <c r="A6975" s="28"/>
      <c r="B6975" s="29"/>
      <c r="C6975" s="29"/>
      <c r="E6975" s="29"/>
      <c r="F6975" s="29"/>
    </row>
    <row r="6976">
      <c r="A6976" s="28"/>
      <c r="B6976" s="29"/>
      <c r="C6976" s="29"/>
      <c r="E6976" s="29"/>
      <c r="F6976" s="29"/>
    </row>
    <row r="6977">
      <c r="A6977" s="28"/>
      <c r="B6977" s="29"/>
      <c r="C6977" s="29"/>
      <c r="E6977" s="29"/>
      <c r="F6977" s="29"/>
    </row>
    <row r="6978">
      <c r="A6978" s="28"/>
      <c r="B6978" s="29"/>
      <c r="C6978" s="29"/>
      <c r="E6978" s="29"/>
      <c r="F6978" s="29"/>
    </row>
    <row r="6979">
      <c r="A6979" s="28"/>
      <c r="B6979" s="29"/>
      <c r="C6979" s="29"/>
      <c r="E6979" s="29"/>
      <c r="F6979" s="29"/>
    </row>
    <row r="6980">
      <c r="A6980" s="28"/>
      <c r="B6980" s="29"/>
      <c r="C6980" s="29"/>
      <c r="E6980" s="29"/>
      <c r="F6980" s="29"/>
    </row>
    <row r="6981">
      <c r="A6981" s="28"/>
      <c r="B6981" s="29"/>
      <c r="C6981" s="29"/>
      <c r="E6981" s="29"/>
      <c r="F6981" s="29"/>
    </row>
    <row r="6982">
      <c r="A6982" s="28"/>
      <c r="B6982" s="29"/>
      <c r="C6982" s="29"/>
      <c r="E6982" s="29"/>
      <c r="F6982" s="29"/>
    </row>
    <row r="6983">
      <c r="A6983" s="28"/>
      <c r="B6983" s="29"/>
      <c r="C6983" s="29"/>
      <c r="E6983" s="29"/>
      <c r="F6983" s="29"/>
    </row>
    <row r="6984">
      <c r="A6984" s="28"/>
      <c r="B6984" s="29"/>
      <c r="C6984" s="29"/>
      <c r="E6984" s="29"/>
      <c r="F6984" s="29"/>
    </row>
    <row r="6985">
      <c r="A6985" s="28"/>
      <c r="B6985" s="29"/>
      <c r="C6985" s="29"/>
      <c r="E6985" s="29"/>
      <c r="F6985" s="29"/>
    </row>
    <row r="6986">
      <c r="A6986" s="28"/>
      <c r="B6986" s="29"/>
      <c r="C6986" s="29"/>
      <c r="E6986" s="29"/>
      <c r="F6986" s="29"/>
    </row>
    <row r="6987">
      <c r="A6987" s="28"/>
      <c r="B6987" s="29"/>
      <c r="C6987" s="29"/>
      <c r="E6987" s="29"/>
      <c r="F6987" s="29"/>
    </row>
    <row r="6988">
      <c r="A6988" s="28"/>
      <c r="B6988" s="29"/>
      <c r="C6988" s="29"/>
      <c r="E6988" s="29"/>
      <c r="F6988" s="29"/>
    </row>
    <row r="6989">
      <c r="A6989" s="28"/>
      <c r="B6989" s="29"/>
      <c r="C6989" s="29"/>
      <c r="E6989" s="29"/>
      <c r="F6989" s="29"/>
    </row>
    <row r="6990">
      <c r="A6990" s="28"/>
      <c r="B6990" s="29"/>
      <c r="C6990" s="29"/>
      <c r="E6990" s="29"/>
      <c r="F6990" s="29"/>
    </row>
    <row r="6991">
      <c r="A6991" s="28"/>
      <c r="B6991" s="29"/>
      <c r="C6991" s="29"/>
      <c r="E6991" s="29"/>
      <c r="F6991" s="29"/>
    </row>
    <row r="6992">
      <c r="A6992" s="28"/>
      <c r="B6992" s="29"/>
      <c r="C6992" s="29"/>
      <c r="E6992" s="29"/>
      <c r="F6992" s="29"/>
    </row>
    <row r="6993">
      <c r="A6993" s="28"/>
      <c r="B6993" s="29"/>
      <c r="C6993" s="29"/>
      <c r="E6993" s="29"/>
      <c r="F6993" s="29"/>
    </row>
    <row r="6994">
      <c r="A6994" s="28"/>
      <c r="B6994" s="29"/>
      <c r="C6994" s="29"/>
      <c r="E6994" s="29"/>
      <c r="F6994" s="29"/>
    </row>
    <row r="6995">
      <c r="A6995" s="28"/>
      <c r="B6995" s="29"/>
      <c r="C6995" s="29"/>
      <c r="E6995" s="29"/>
      <c r="F6995" s="29"/>
    </row>
    <row r="6996">
      <c r="A6996" s="28"/>
      <c r="B6996" s="29"/>
      <c r="C6996" s="29"/>
      <c r="E6996" s="29"/>
      <c r="F6996" s="29"/>
    </row>
    <row r="6997">
      <c r="A6997" s="28"/>
      <c r="B6997" s="29"/>
      <c r="C6997" s="29"/>
      <c r="E6997" s="29"/>
      <c r="F6997" s="29"/>
    </row>
    <row r="6998">
      <c r="A6998" s="28"/>
      <c r="B6998" s="29"/>
      <c r="C6998" s="29"/>
      <c r="E6998" s="29"/>
      <c r="F6998" s="29"/>
    </row>
    <row r="6999">
      <c r="A6999" s="28"/>
      <c r="B6999" s="29"/>
      <c r="C6999" s="29"/>
      <c r="E6999" s="29"/>
      <c r="F6999" s="29"/>
    </row>
    <row r="7000">
      <c r="A7000" s="28"/>
      <c r="B7000" s="29"/>
      <c r="C7000" s="29"/>
      <c r="E7000" s="29"/>
      <c r="F7000" s="29"/>
    </row>
    <row r="7001">
      <c r="A7001" s="28"/>
      <c r="B7001" s="29"/>
      <c r="C7001" s="29"/>
      <c r="E7001" s="29"/>
      <c r="F7001" s="29"/>
    </row>
    <row r="7002">
      <c r="A7002" s="28"/>
      <c r="B7002" s="29"/>
      <c r="C7002" s="29"/>
      <c r="E7002" s="29"/>
      <c r="F7002" s="29"/>
    </row>
    <row r="7003">
      <c r="A7003" s="28"/>
      <c r="B7003" s="29"/>
      <c r="C7003" s="29"/>
      <c r="E7003" s="29"/>
      <c r="F7003" s="29"/>
    </row>
    <row r="7004">
      <c r="A7004" s="28"/>
      <c r="B7004" s="29"/>
      <c r="C7004" s="29"/>
      <c r="E7004" s="29"/>
      <c r="F7004" s="29"/>
    </row>
    <row r="7005">
      <c r="A7005" s="28"/>
      <c r="B7005" s="29"/>
      <c r="C7005" s="29"/>
      <c r="E7005" s="29"/>
      <c r="F7005" s="29"/>
    </row>
    <row r="7006">
      <c r="A7006" s="28"/>
      <c r="B7006" s="29"/>
      <c r="C7006" s="29"/>
      <c r="E7006" s="29"/>
      <c r="F7006" s="29"/>
    </row>
    <row r="7007">
      <c r="A7007" s="28"/>
      <c r="B7007" s="29"/>
      <c r="C7007" s="29"/>
      <c r="E7007" s="29"/>
      <c r="F7007" s="29"/>
    </row>
    <row r="7008">
      <c r="A7008" s="28"/>
      <c r="B7008" s="29"/>
      <c r="C7008" s="29"/>
      <c r="E7008" s="29"/>
      <c r="F7008" s="29"/>
    </row>
    <row r="7009">
      <c r="A7009" s="28"/>
      <c r="B7009" s="29"/>
      <c r="C7009" s="29"/>
      <c r="E7009" s="29"/>
      <c r="F7009" s="29"/>
    </row>
    <row r="7010">
      <c r="A7010" s="28"/>
      <c r="B7010" s="29"/>
      <c r="C7010" s="29"/>
      <c r="E7010" s="29"/>
      <c r="F7010" s="29"/>
    </row>
    <row r="7011">
      <c r="A7011" s="28"/>
      <c r="B7011" s="29"/>
      <c r="C7011" s="29"/>
      <c r="E7011" s="29"/>
      <c r="F7011" s="29"/>
    </row>
    <row r="7012">
      <c r="A7012" s="28"/>
      <c r="B7012" s="29"/>
      <c r="C7012" s="29"/>
      <c r="E7012" s="29"/>
      <c r="F7012" s="29"/>
    </row>
    <row r="7013">
      <c r="A7013" s="28"/>
      <c r="B7013" s="29"/>
      <c r="C7013" s="29"/>
      <c r="E7013" s="29"/>
      <c r="F7013" s="29"/>
    </row>
    <row r="7014">
      <c r="A7014" s="28"/>
      <c r="B7014" s="29"/>
      <c r="C7014" s="29"/>
      <c r="E7014" s="29"/>
      <c r="F7014" s="29"/>
    </row>
    <row r="7015">
      <c r="A7015" s="28"/>
      <c r="B7015" s="29"/>
      <c r="C7015" s="29"/>
      <c r="E7015" s="29"/>
      <c r="F7015" s="29"/>
    </row>
    <row r="7016">
      <c r="A7016" s="28"/>
      <c r="B7016" s="29"/>
      <c r="C7016" s="29"/>
      <c r="E7016" s="29"/>
      <c r="F7016" s="29"/>
    </row>
    <row r="7017">
      <c r="A7017" s="28"/>
      <c r="B7017" s="29"/>
      <c r="C7017" s="29"/>
      <c r="E7017" s="29"/>
      <c r="F7017" s="29"/>
    </row>
    <row r="7018">
      <c r="A7018" s="28"/>
      <c r="B7018" s="29"/>
      <c r="C7018" s="29"/>
      <c r="E7018" s="29"/>
      <c r="F7018" s="29"/>
    </row>
    <row r="7019">
      <c r="A7019" s="28"/>
      <c r="B7019" s="29"/>
      <c r="C7019" s="29"/>
      <c r="E7019" s="29"/>
      <c r="F7019" s="29"/>
    </row>
    <row r="7020">
      <c r="A7020" s="28"/>
      <c r="B7020" s="29"/>
      <c r="C7020" s="29"/>
      <c r="E7020" s="29"/>
      <c r="F7020" s="29"/>
    </row>
    <row r="7021">
      <c r="A7021" s="28"/>
      <c r="B7021" s="29"/>
      <c r="C7021" s="29"/>
      <c r="E7021" s="29"/>
      <c r="F7021" s="29"/>
    </row>
    <row r="7022">
      <c r="A7022" s="28"/>
      <c r="B7022" s="29"/>
      <c r="C7022" s="29"/>
      <c r="E7022" s="29"/>
      <c r="F7022" s="29"/>
    </row>
    <row r="7023">
      <c r="A7023" s="28"/>
      <c r="B7023" s="29"/>
      <c r="C7023" s="29"/>
      <c r="E7023" s="29"/>
      <c r="F7023" s="29"/>
    </row>
    <row r="7024">
      <c r="A7024" s="28"/>
      <c r="B7024" s="29"/>
      <c r="C7024" s="29"/>
      <c r="E7024" s="29"/>
      <c r="F7024" s="29"/>
    </row>
    <row r="7025">
      <c r="A7025" s="28"/>
      <c r="B7025" s="29"/>
      <c r="C7025" s="29"/>
      <c r="E7025" s="29"/>
      <c r="F7025" s="29"/>
    </row>
    <row r="7026">
      <c r="A7026" s="28"/>
      <c r="B7026" s="29"/>
      <c r="C7026" s="29"/>
      <c r="E7026" s="29"/>
      <c r="F7026" s="29"/>
    </row>
    <row r="7027">
      <c r="A7027" s="28"/>
      <c r="B7027" s="29"/>
      <c r="C7027" s="29"/>
      <c r="E7027" s="29"/>
      <c r="F7027" s="29"/>
    </row>
    <row r="7028">
      <c r="A7028" s="28"/>
      <c r="B7028" s="29"/>
      <c r="C7028" s="29"/>
      <c r="E7028" s="29"/>
      <c r="F7028" s="29"/>
    </row>
    <row r="7029">
      <c r="A7029" s="28"/>
      <c r="B7029" s="29"/>
      <c r="C7029" s="29"/>
      <c r="E7029" s="29"/>
      <c r="F7029" s="29"/>
    </row>
    <row r="7030">
      <c r="A7030" s="28"/>
      <c r="B7030" s="29"/>
      <c r="C7030" s="29"/>
      <c r="E7030" s="29"/>
      <c r="F7030" s="29"/>
    </row>
    <row r="7031">
      <c r="A7031" s="28"/>
      <c r="B7031" s="29"/>
      <c r="C7031" s="29"/>
      <c r="E7031" s="29"/>
      <c r="F7031" s="29"/>
    </row>
    <row r="7032">
      <c r="A7032" s="28"/>
      <c r="B7032" s="29"/>
      <c r="C7032" s="29"/>
      <c r="E7032" s="29"/>
      <c r="F7032" s="29"/>
    </row>
    <row r="7033">
      <c r="A7033" s="28"/>
      <c r="B7033" s="29"/>
      <c r="C7033" s="29"/>
      <c r="E7033" s="29"/>
      <c r="F7033" s="29"/>
    </row>
    <row r="7034">
      <c r="A7034" s="28"/>
      <c r="B7034" s="29"/>
      <c r="C7034" s="29"/>
      <c r="E7034" s="29"/>
      <c r="F7034" s="29"/>
    </row>
    <row r="7035">
      <c r="A7035" s="28"/>
      <c r="B7035" s="29"/>
      <c r="C7035" s="29"/>
      <c r="E7035" s="29"/>
      <c r="F7035" s="29"/>
    </row>
    <row r="7036">
      <c r="A7036" s="28"/>
      <c r="B7036" s="29"/>
      <c r="C7036" s="29"/>
      <c r="E7036" s="29"/>
      <c r="F7036" s="29"/>
    </row>
    <row r="7037">
      <c r="A7037" s="28"/>
      <c r="B7037" s="29"/>
      <c r="C7037" s="29"/>
      <c r="E7037" s="29"/>
      <c r="F7037" s="29"/>
    </row>
    <row r="7038">
      <c r="A7038" s="28"/>
      <c r="B7038" s="29"/>
      <c r="C7038" s="29"/>
      <c r="E7038" s="29"/>
      <c r="F7038" s="29"/>
    </row>
    <row r="7039">
      <c r="A7039" s="28"/>
      <c r="B7039" s="29"/>
      <c r="C7039" s="29"/>
      <c r="E7039" s="29"/>
      <c r="F7039" s="29"/>
    </row>
    <row r="7040">
      <c r="A7040" s="28"/>
      <c r="B7040" s="29"/>
      <c r="C7040" s="29"/>
      <c r="E7040" s="29"/>
      <c r="F7040" s="29"/>
    </row>
    <row r="7041">
      <c r="A7041" s="28"/>
      <c r="B7041" s="29"/>
      <c r="C7041" s="29"/>
      <c r="E7041" s="29"/>
      <c r="F7041" s="29"/>
    </row>
    <row r="7042">
      <c r="A7042" s="28"/>
      <c r="B7042" s="29"/>
      <c r="C7042" s="29"/>
      <c r="E7042" s="29"/>
      <c r="F7042" s="29"/>
    </row>
    <row r="7043">
      <c r="A7043" s="28"/>
      <c r="B7043" s="29"/>
      <c r="C7043" s="29"/>
      <c r="E7043" s="29"/>
      <c r="F7043" s="29"/>
    </row>
    <row r="7044">
      <c r="A7044" s="28"/>
      <c r="B7044" s="29"/>
      <c r="C7044" s="29"/>
      <c r="E7044" s="29"/>
      <c r="F7044" s="29"/>
    </row>
    <row r="7045">
      <c r="A7045" s="28"/>
      <c r="B7045" s="29"/>
      <c r="C7045" s="29"/>
      <c r="E7045" s="29"/>
      <c r="F7045" s="29"/>
    </row>
    <row r="7046">
      <c r="A7046" s="28"/>
      <c r="B7046" s="29"/>
      <c r="C7046" s="29"/>
      <c r="E7046" s="29"/>
      <c r="F7046" s="29"/>
    </row>
    <row r="7047">
      <c r="A7047" s="28"/>
      <c r="B7047" s="29"/>
      <c r="C7047" s="29"/>
      <c r="E7047" s="29"/>
      <c r="F7047" s="29"/>
    </row>
    <row r="7048">
      <c r="A7048" s="28"/>
      <c r="B7048" s="29"/>
      <c r="C7048" s="29"/>
      <c r="E7048" s="29"/>
      <c r="F7048" s="29"/>
    </row>
    <row r="7049">
      <c r="A7049" s="28"/>
      <c r="B7049" s="29"/>
      <c r="C7049" s="29"/>
      <c r="E7049" s="29"/>
      <c r="F7049" s="29"/>
    </row>
    <row r="7050">
      <c r="A7050" s="28"/>
      <c r="B7050" s="29"/>
      <c r="C7050" s="29"/>
      <c r="E7050" s="29"/>
      <c r="F7050" s="29"/>
    </row>
    <row r="7051">
      <c r="A7051" s="28"/>
      <c r="B7051" s="29"/>
      <c r="C7051" s="29"/>
      <c r="E7051" s="29"/>
      <c r="F7051" s="29"/>
    </row>
    <row r="7052">
      <c r="A7052" s="28"/>
      <c r="B7052" s="29"/>
      <c r="C7052" s="29"/>
      <c r="E7052" s="29"/>
      <c r="F7052" s="29"/>
    </row>
    <row r="7053">
      <c r="A7053" s="28"/>
      <c r="B7053" s="29"/>
      <c r="C7053" s="29"/>
      <c r="E7053" s="29"/>
      <c r="F7053" s="29"/>
    </row>
    <row r="7054">
      <c r="A7054" s="28"/>
      <c r="B7054" s="29"/>
      <c r="C7054" s="29"/>
      <c r="E7054" s="29"/>
      <c r="F7054" s="29"/>
    </row>
    <row r="7055">
      <c r="A7055" s="28"/>
      <c r="B7055" s="29"/>
      <c r="C7055" s="29"/>
      <c r="E7055" s="29"/>
      <c r="F7055" s="29"/>
    </row>
    <row r="7056">
      <c r="A7056" s="28"/>
      <c r="B7056" s="29"/>
      <c r="C7056" s="29"/>
      <c r="E7056" s="29"/>
      <c r="F7056" s="29"/>
    </row>
    <row r="7057">
      <c r="A7057" s="28"/>
      <c r="B7057" s="29"/>
      <c r="C7057" s="29"/>
      <c r="E7057" s="29"/>
      <c r="F7057" s="29"/>
    </row>
    <row r="7058">
      <c r="A7058" s="28"/>
      <c r="B7058" s="29"/>
      <c r="C7058" s="29"/>
      <c r="E7058" s="29"/>
      <c r="F7058" s="29"/>
    </row>
    <row r="7059">
      <c r="A7059" s="28"/>
      <c r="B7059" s="29"/>
      <c r="C7059" s="29"/>
      <c r="E7059" s="29"/>
      <c r="F7059" s="29"/>
    </row>
    <row r="7060">
      <c r="A7060" s="28"/>
      <c r="B7060" s="29"/>
      <c r="C7060" s="29"/>
      <c r="E7060" s="29"/>
      <c r="F7060" s="29"/>
    </row>
    <row r="7061">
      <c r="A7061" s="28"/>
      <c r="B7061" s="29"/>
      <c r="C7061" s="29"/>
      <c r="E7061" s="29"/>
      <c r="F7061" s="29"/>
    </row>
    <row r="7062">
      <c r="A7062" s="28"/>
      <c r="B7062" s="29"/>
      <c r="C7062" s="29"/>
      <c r="E7062" s="29"/>
      <c r="F7062" s="29"/>
    </row>
    <row r="7063">
      <c r="A7063" s="28"/>
      <c r="B7063" s="29"/>
      <c r="C7063" s="29"/>
      <c r="E7063" s="29"/>
      <c r="F7063" s="29"/>
    </row>
    <row r="7064">
      <c r="A7064" s="28"/>
      <c r="B7064" s="29"/>
      <c r="C7064" s="29"/>
      <c r="E7064" s="29"/>
      <c r="F7064" s="29"/>
    </row>
    <row r="7065">
      <c r="A7065" s="28"/>
      <c r="B7065" s="29"/>
      <c r="C7065" s="29"/>
      <c r="E7065" s="29"/>
      <c r="F7065" s="29"/>
    </row>
    <row r="7066">
      <c r="A7066" s="28"/>
      <c r="B7066" s="29"/>
      <c r="C7066" s="29"/>
      <c r="E7066" s="29"/>
      <c r="F7066" s="29"/>
    </row>
    <row r="7067">
      <c r="A7067" s="28"/>
      <c r="B7067" s="29"/>
      <c r="C7067" s="29"/>
      <c r="E7067" s="29"/>
      <c r="F7067" s="29"/>
    </row>
    <row r="7068">
      <c r="A7068" s="28"/>
      <c r="B7068" s="29"/>
      <c r="C7068" s="29"/>
      <c r="E7068" s="29"/>
      <c r="F7068" s="29"/>
    </row>
    <row r="7069">
      <c r="A7069" s="28"/>
      <c r="B7069" s="29"/>
      <c r="C7069" s="29"/>
      <c r="E7069" s="29"/>
      <c r="F7069" s="29"/>
    </row>
    <row r="7070">
      <c r="A7070" s="28"/>
      <c r="B7070" s="29"/>
      <c r="C7070" s="29"/>
      <c r="E7070" s="29"/>
      <c r="F7070" s="29"/>
    </row>
    <row r="7071">
      <c r="A7071" s="28"/>
      <c r="B7071" s="29"/>
      <c r="C7071" s="29"/>
      <c r="E7071" s="29"/>
      <c r="F7071" s="29"/>
    </row>
    <row r="7072">
      <c r="A7072" s="28"/>
      <c r="B7072" s="29"/>
      <c r="C7072" s="29"/>
      <c r="E7072" s="29"/>
      <c r="F7072" s="29"/>
    </row>
    <row r="7073">
      <c r="A7073" s="28"/>
      <c r="B7073" s="29"/>
      <c r="C7073" s="29"/>
      <c r="E7073" s="29"/>
      <c r="F7073" s="29"/>
    </row>
    <row r="7074">
      <c r="A7074" s="28"/>
      <c r="B7074" s="29"/>
      <c r="C7074" s="29"/>
      <c r="E7074" s="29"/>
      <c r="F7074" s="29"/>
    </row>
    <row r="7075">
      <c r="A7075" s="28"/>
      <c r="B7075" s="29"/>
      <c r="C7075" s="29"/>
      <c r="E7075" s="29"/>
      <c r="F7075" s="29"/>
    </row>
    <row r="7076">
      <c r="A7076" s="28"/>
      <c r="B7076" s="29"/>
      <c r="C7076" s="29"/>
      <c r="E7076" s="29"/>
      <c r="F7076" s="29"/>
    </row>
    <row r="7077">
      <c r="A7077" s="28"/>
      <c r="B7077" s="29"/>
      <c r="C7077" s="29"/>
      <c r="E7077" s="29"/>
      <c r="F7077" s="29"/>
    </row>
    <row r="7078">
      <c r="A7078" s="28"/>
      <c r="B7078" s="29"/>
      <c r="C7078" s="29"/>
      <c r="E7078" s="29"/>
      <c r="F7078" s="29"/>
    </row>
    <row r="7079">
      <c r="A7079" s="28"/>
      <c r="B7079" s="29"/>
      <c r="C7079" s="29"/>
      <c r="E7079" s="29"/>
      <c r="F7079" s="29"/>
    </row>
    <row r="7080">
      <c r="A7080" s="28"/>
      <c r="B7080" s="29"/>
      <c r="C7080" s="29"/>
      <c r="E7080" s="29"/>
      <c r="F7080" s="29"/>
    </row>
    <row r="7081">
      <c r="A7081" s="28"/>
      <c r="B7081" s="29"/>
      <c r="C7081" s="29"/>
      <c r="E7081" s="29"/>
      <c r="F7081" s="29"/>
    </row>
    <row r="7082">
      <c r="A7082" s="28"/>
      <c r="B7082" s="29"/>
      <c r="C7082" s="29"/>
      <c r="E7082" s="29"/>
      <c r="F7082" s="29"/>
    </row>
    <row r="7083">
      <c r="A7083" s="28"/>
      <c r="B7083" s="29"/>
      <c r="C7083" s="29"/>
      <c r="E7083" s="29"/>
      <c r="F7083" s="29"/>
    </row>
    <row r="7084">
      <c r="A7084" s="28"/>
      <c r="B7084" s="29"/>
      <c r="C7084" s="29"/>
      <c r="E7084" s="29"/>
      <c r="F7084" s="29"/>
    </row>
    <row r="7085">
      <c r="A7085" s="28"/>
      <c r="B7085" s="29"/>
      <c r="C7085" s="29"/>
      <c r="E7085" s="29"/>
      <c r="F7085" s="29"/>
    </row>
    <row r="7086">
      <c r="A7086" s="28"/>
      <c r="B7086" s="29"/>
      <c r="C7086" s="29"/>
      <c r="E7086" s="29"/>
      <c r="F7086" s="29"/>
    </row>
    <row r="7087">
      <c r="A7087" s="28"/>
      <c r="B7087" s="29"/>
      <c r="C7087" s="29"/>
      <c r="E7087" s="29"/>
      <c r="F7087" s="29"/>
    </row>
    <row r="7088">
      <c r="A7088" s="28"/>
      <c r="B7088" s="29"/>
      <c r="C7088" s="29"/>
      <c r="E7088" s="29"/>
      <c r="F7088" s="29"/>
    </row>
    <row r="7089">
      <c r="A7089" s="28"/>
      <c r="B7089" s="29"/>
      <c r="C7089" s="29"/>
      <c r="E7089" s="29"/>
      <c r="F7089" s="29"/>
    </row>
    <row r="7090">
      <c r="A7090" s="28"/>
      <c r="B7090" s="29"/>
      <c r="C7090" s="29"/>
      <c r="E7090" s="29"/>
      <c r="F7090" s="29"/>
    </row>
    <row r="7091">
      <c r="A7091" s="28"/>
      <c r="B7091" s="29"/>
      <c r="C7091" s="29"/>
      <c r="E7091" s="29"/>
      <c r="F7091" s="29"/>
    </row>
    <row r="7092">
      <c r="A7092" s="28"/>
      <c r="B7092" s="29"/>
      <c r="C7092" s="29"/>
      <c r="E7092" s="29"/>
      <c r="F7092" s="29"/>
    </row>
    <row r="7093">
      <c r="A7093" s="28"/>
      <c r="B7093" s="29"/>
      <c r="C7093" s="29"/>
      <c r="E7093" s="29"/>
      <c r="F7093" s="29"/>
    </row>
    <row r="7094">
      <c r="A7094" s="28"/>
      <c r="B7094" s="29"/>
      <c r="C7094" s="29"/>
      <c r="E7094" s="29"/>
      <c r="F7094" s="29"/>
    </row>
    <row r="7095">
      <c r="A7095" s="28"/>
      <c r="B7095" s="29"/>
      <c r="C7095" s="29"/>
      <c r="E7095" s="29"/>
      <c r="F7095" s="29"/>
    </row>
    <row r="7096">
      <c r="A7096" s="28"/>
      <c r="B7096" s="29"/>
      <c r="C7096" s="29"/>
      <c r="E7096" s="29"/>
      <c r="F7096" s="29"/>
    </row>
    <row r="7097">
      <c r="A7097" s="28"/>
      <c r="B7097" s="29"/>
      <c r="C7097" s="29"/>
      <c r="E7097" s="29"/>
      <c r="F7097" s="29"/>
    </row>
    <row r="7098">
      <c r="A7098" s="28"/>
      <c r="B7098" s="29"/>
      <c r="C7098" s="29"/>
      <c r="E7098" s="29"/>
      <c r="F7098" s="29"/>
    </row>
    <row r="7099">
      <c r="A7099" s="28"/>
      <c r="B7099" s="29"/>
      <c r="C7099" s="29"/>
      <c r="E7099" s="29"/>
      <c r="F7099" s="29"/>
    </row>
    <row r="7100">
      <c r="A7100" s="28"/>
      <c r="B7100" s="29"/>
      <c r="C7100" s="29"/>
      <c r="E7100" s="29"/>
      <c r="F7100" s="29"/>
    </row>
    <row r="7101">
      <c r="A7101" s="28"/>
      <c r="B7101" s="29"/>
      <c r="C7101" s="29"/>
      <c r="E7101" s="29"/>
      <c r="F7101" s="29"/>
    </row>
    <row r="7102">
      <c r="A7102" s="28"/>
      <c r="B7102" s="29"/>
      <c r="C7102" s="29"/>
      <c r="E7102" s="29"/>
      <c r="F7102" s="29"/>
    </row>
    <row r="7103">
      <c r="A7103" s="28"/>
      <c r="B7103" s="29"/>
      <c r="C7103" s="29"/>
      <c r="E7103" s="29"/>
      <c r="F7103" s="29"/>
    </row>
    <row r="7104">
      <c r="A7104" s="28"/>
      <c r="B7104" s="29"/>
      <c r="C7104" s="29"/>
      <c r="E7104" s="29"/>
      <c r="F7104" s="29"/>
    </row>
    <row r="7105">
      <c r="A7105" s="28"/>
      <c r="B7105" s="29"/>
      <c r="C7105" s="29"/>
      <c r="E7105" s="29"/>
      <c r="F7105" s="29"/>
    </row>
    <row r="7106">
      <c r="A7106" s="28"/>
      <c r="B7106" s="29"/>
      <c r="C7106" s="29"/>
      <c r="E7106" s="29"/>
      <c r="F7106" s="29"/>
    </row>
    <row r="7107">
      <c r="A7107" s="28"/>
      <c r="B7107" s="29"/>
      <c r="C7107" s="29"/>
      <c r="E7107" s="29"/>
      <c r="F7107" s="29"/>
    </row>
    <row r="7108">
      <c r="A7108" s="28"/>
      <c r="B7108" s="29"/>
      <c r="C7108" s="29"/>
      <c r="E7108" s="29"/>
      <c r="F7108" s="29"/>
    </row>
    <row r="7109">
      <c r="A7109" s="28"/>
      <c r="B7109" s="29"/>
      <c r="C7109" s="29"/>
      <c r="E7109" s="29"/>
      <c r="F7109" s="29"/>
    </row>
    <row r="7110">
      <c r="A7110" s="28"/>
      <c r="B7110" s="29"/>
      <c r="C7110" s="29"/>
      <c r="E7110" s="29"/>
      <c r="F7110" s="29"/>
    </row>
    <row r="7111">
      <c r="A7111" s="28"/>
      <c r="B7111" s="29"/>
      <c r="C7111" s="29"/>
      <c r="E7111" s="29"/>
      <c r="F7111" s="29"/>
    </row>
    <row r="7112">
      <c r="A7112" s="28"/>
      <c r="B7112" s="29"/>
      <c r="C7112" s="29"/>
      <c r="E7112" s="29"/>
      <c r="F7112" s="29"/>
    </row>
    <row r="7113">
      <c r="A7113" s="28"/>
      <c r="B7113" s="29"/>
      <c r="C7113" s="29"/>
      <c r="E7113" s="29"/>
      <c r="F7113" s="29"/>
    </row>
    <row r="7114">
      <c r="A7114" s="28"/>
      <c r="B7114" s="29"/>
      <c r="C7114" s="29"/>
      <c r="E7114" s="29"/>
      <c r="F7114" s="29"/>
    </row>
    <row r="7115">
      <c r="A7115" s="28"/>
      <c r="B7115" s="29"/>
      <c r="C7115" s="29"/>
      <c r="E7115" s="29"/>
      <c r="F7115" s="29"/>
    </row>
    <row r="7116">
      <c r="A7116" s="28"/>
      <c r="B7116" s="29"/>
      <c r="C7116" s="29"/>
      <c r="E7116" s="29"/>
      <c r="F7116" s="29"/>
    </row>
    <row r="7117">
      <c r="A7117" s="28"/>
      <c r="B7117" s="29"/>
      <c r="C7117" s="29"/>
      <c r="E7117" s="29"/>
      <c r="F7117" s="29"/>
    </row>
    <row r="7118">
      <c r="A7118" s="28"/>
      <c r="B7118" s="29"/>
      <c r="C7118" s="29"/>
      <c r="E7118" s="29"/>
      <c r="F7118" s="29"/>
    </row>
    <row r="7119">
      <c r="A7119" s="28"/>
      <c r="B7119" s="29"/>
      <c r="C7119" s="29"/>
      <c r="E7119" s="29"/>
      <c r="F7119" s="29"/>
    </row>
    <row r="7120">
      <c r="A7120" s="28"/>
      <c r="B7120" s="29"/>
      <c r="C7120" s="29"/>
      <c r="E7120" s="29"/>
      <c r="F7120" s="29"/>
    </row>
    <row r="7121">
      <c r="A7121" s="28"/>
      <c r="B7121" s="29"/>
      <c r="C7121" s="29"/>
      <c r="E7121" s="29"/>
      <c r="F7121" s="29"/>
    </row>
    <row r="7122">
      <c r="A7122" s="28"/>
      <c r="B7122" s="29"/>
      <c r="C7122" s="29"/>
      <c r="E7122" s="29"/>
      <c r="F7122" s="29"/>
    </row>
    <row r="7123">
      <c r="A7123" s="28"/>
      <c r="B7123" s="29"/>
      <c r="C7123" s="29"/>
      <c r="E7123" s="29"/>
      <c r="F7123" s="29"/>
    </row>
    <row r="7124">
      <c r="A7124" s="28"/>
      <c r="B7124" s="29"/>
      <c r="C7124" s="29"/>
      <c r="E7124" s="29"/>
      <c r="F7124" s="29"/>
    </row>
    <row r="7125">
      <c r="A7125" s="28"/>
      <c r="B7125" s="29"/>
      <c r="C7125" s="29"/>
      <c r="E7125" s="29"/>
      <c r="F7125" s="29"/>
    </row>
    <row r="7126">
      <c r="A7126" s="28"/>
      <c r="B7126" s="29"/>
      <c r="C7126" s="29"/>
      <c r="E7126" s="29"/>
      <c r="F7126" s="29"/>
    </row>
    <row r="7127">
      <c r="A7127" s="28"/>
      <c r="B7127" s="29"/>
      <c r="C7127" s="29"/>
      <c r="E7127" s="29"/>
      <c r="F7127" s="29"/>
    </row>
    <row r="7128">
      <c r="A7128" s="28"/>
      <c r="B7128" s="29"/>
      <c r="C7128" s="29"/>
      <c r="E7128" s="29"/>
      <c r="F7128" s="29"/>
    </row>
    <row r="7129">
      <c r="A7129" s="28"/>
      <c r="B7129" s="29"/>
      <c r="C7129" s="29"/>
      <c r="E7129" s="29"/>
      <c r="F7129" s="29"/>
    </row>
    <row r="7130">
      <c r="A7130" s="28"/>
      <c r="B7130" s="29"/>
      <c r="C7130" s="29"/>
      <c r="E7130" s="29"/>
      <c r="F7130" s="29"/>
    </row>
    <row r="7131">
      <c r="A7131" s="28"/>
      <c r="B7131" s="29"/>
      <c r="C7131" s="29"/>
      <c r="E7131" s="29"/>
      <c r="F7131" s="29"/>
    </row>
    <row r="7132">
      <c r="A7132" s="28"/>
      <c r="B7132" s="29"/>
      <c r="C7132" s="29"/>
      <c r="E7132" s="29"/>
      <c r="F7132" s="29"/>
    </row>
    <row r="7133">
      <c r="A7133" s="28"/>
      <c r="B7133" s="29"/>
      <c r="C7133" s="29"/>
      <c r="E7133" s="29"/>
      <c r="F7133" s="29"/>
    </row>
    <row r="7134">
      <c r="A7134" s="28"/>
      <c r="B7134" s="29"/>
      <c r="C7134" s="29"/>
      <c r="E7134" s="29"/>
      <c r="F7134" s="29"/>
    </row>
    <row r="7135">
      <c r="A7135" s="28"/>
      <c r="B7135" s="29"/>
      <c r="C7135" s="29"/>
      <c r="E7135" s="29"/>
      <c r="F7135" s="29"/>
    </row>
    <row r="7136">
      <c r="A7136" s="28"/>
      <c r="B7136" s="29"/>
      <c r="C7136" s="29"/>
      <c r="E7136" s="29"/>
      <c r="F7136" s="29"/>
    </row>
    <row r="7137">
      <c r="A7137" s="28"/>
      <c r="B7137" s="29"/>
      <c r="C7137" s="29"/>
      <c r="E7137" s="29"/>
      <c r="F7137" s="29"/>
    </row>
    <row r="7138">
      <c r="A7138" s="28"/>
      <c r="B7138" s="29"/>
      <c r="C7138" s="29"/>
      <c r="E7138" s="29"/>
      <c r="F7138" s="29"/>
    </row>
    <row r="7139">
      <c r="A7139" s="28"/>
      <c r="B7139" s="29"/>
      <c r="C7139" s="29"/>
      <c r="E7139" s="29"/>
      <c r="F7139" s="29"/>
    </row>
    <row r="7140">
      <c r="A7140" s="28"/>
      <c r="B7140" s="29"/>
      <c r="C7140" s="29"/>
      <c r="E7140" s="29"/>
      <c r="F7140" s="29"/>
    </row>
    <row r="7141">
      <c r="A7141" s="28"/>
      <c r="B7141" s="29"/>
      <c r="C7141" s="29"/>
      <c r="E7141" s="29"/>
      <c r="F7141" s="29"/>
    </row>
    <row r="7142">
      <c r="A7142" s="28"/>
      <c r="B7142" s="29"/>
      <c r="C7142" s="29"/>
      <c r="E7142" s="29"/>
      <c r="F7142" s="29"/>
    </row>
    <row r="7143">
      <c r="A7143" s="28"/>
      <c r="B7143" s="29"/>
      <c r="C7143" s="29"/>
      <c r="E7143" s="29"/>
      <c r="F7143" s="29"/>
    </row>
    <row r="7144">
      <c r="A7144" s="28"/>
      <c r="B7144" s="29"/>
      <c r="C7144" s="29"/>
      <c r="E7144" s="29"/>
      <c r="F7144" s="29"/>
    </row>
    <row r="7145">
      <c r="A7145" s="28"/>
      <c r="B7145" s="29"/>
      <c r="C7145" s="29"/>
      <c r="E7145" s="29"/>
      <c r="F7145" s="29"/>
    </row>
    <row r="7146">
      <c r="A7146" s="28"/>
      <c r="B7146" s="29"/>
      <c r="C7146" s="29"/>
      <c r="E7146" s="29"/>
      <c r="F7146" s="29"/>
    </row>
    <row r="7147">
      <c r="A7147" s="28"/>
      <c r="B7147" s="29"/>
      <c r="C7147" s="29"/>
      <c r="E7147" s="29"/>
      <c r="F7147" s="29"/>
    </row>
    <row r="7148">
      <c r="A7148" s="28"/>
      <c r="B7148" s="29"/>
      <c r="C7148" s="29"/>
      <c r="E7148" s="29"/>
      <c r="F7148" s="29"/>
    </row>
    <row r="7149">
      <c r="A7149" s="28"/>
      <c r="B7149" s="29"/>
      <c r="C7149" s="29"/>
      <c r="E7149" s="29"/>
      <c r="F7149" s="29"/>
    </row>
    <row r="7150">
      <c r="A7150" s="28"/>
      <c r="B7150" s="29"/>
      <c r="C7150" s="29"/>
      <c r="E7150" s="29"/>
      <c r="F7150" s="29"/>
    </row>
    <row r="7151">
      <c r="A7151" s="28"/>
      <c r="B7151" s="29"/>
      <c r="C7151" s="29"/>
      <c r="E7151" s="29"/>
      <c r="F7151" s="29"/>
    </row>
    <row r="7152">
      <c r="A7152" s="28"/>
      <c r="B7152" s="29"/>
      <c r="C7152" s="29"/>
      <c r="E7152" s="29"/>
      <c r="F7152" s="29"/>
    </row>
    <row r="7153">
      <c r="A7153" s="28"/>
      <c r="B7153" s="29"/>
      <c r="C7153" s="29"/>
      <c r="E7153" s="29"/>
      <c r="F7153" s="29"/>
    </row>
    <row r="7154">
      <c r="A7154" s="28"/>
      <c r="B7154" s="29"/>
      <c r="C7154" s="29"/>
      <c r="E7154" s="29"/>
      <c r="F7154" s="29"/>
    </row>
    <row r="7155">
      <c r="A7155" s="28"/>
      <c r="B7155" s="29"/>
      <c r="C7155" s="29"/>
      <c r="E7155" s="29"/>
      <c r="F7155" s="29"/>
    </row>
    <row r="7156">
      <c r="A7156" s="28"/>
      <c r="B7156" s="29"/>
      <c r="C7156" s="29"/>
      <c r="E7156" s="29"/>
      <c r="F7156" s="29"/>
    </row>
    <row r="7157">
      <c r="A7157" s="28"/>
      <c r="B7157" s="29"/>
      <c r="C7157" s="29"/>
      <c r="E7157" s="29"/>
      <c r="F7157" s="29"/>
    </row>
    <row r="7158">
      <c r="A7158" s="28"/>
      <c r="B7158" s="29"/>
      <c r="C7158" s="29"/>
      <c r="E7158" s="29"/>
      <c r="F7158" s="29"/>
    </row>
    <row r="7159">
      <c r="A7159" s="28"/>
      <c r="B7159" s="29"/>
      <c r="C7159" s="29"/>
      <c r="E7159" s="29"/>
      <c r="F7159" s="29"/>
    </row>
    <row r="7160">
      <c r="A7160" s="28"/>
      <c r="B7160" s="29"/>
      <c r="C7160" s="29"/>
      <c r="E7160" s="29"/>
      <c r="F7160" s="29"/>
    </row>
    <row r="7161">
      <c r="A7161" s="28"/>
      <c r="B7161" s="29"/>
      <c r="C7161" s="29"/>
      <c r="E7161" s="29"/>
      <c r="F7161" s="29"/>
    </row>
    <row r="7162">
      <c r="A7162" s="28"/>
      <c r="B7162" s="29"/>
      <c r="C7162" s="29"/>
      <c r="E7162" s="29"/>
      <c r="F7162" s="29"/>
    </row>
    <row r="7163">
      <c r="A7163" s="28"/>
      <c r="B7163" s="29"/>
      <c r="C7163" s="29"/>
      <c r="E7163" s="29"/>
      <c r="F7163" s="29"/>
    </row>
    <row r="7164">
      <c r="A7164" s="28"/>
      <c r="B7164" s="29"/>
      <c r="C7164" s="29"/>
      <c r="E7164" s="29"/>
      <c r="F7164" s="29"/>
    </row>
    <row r="7165">
      <c r="A7165" s="28"/>
      <c r="B7165" s="29"/>
      <c r="C7165" s="29"/>
      <c r="E7165" s="29"/>
      <c r="F7165" s="29"/>
    </row>
    <row r="7166">
      <c r="A7166" s="28"/>
      <c r="B7166" s="29"/>
      <c r="C7166" s="29"/>
      <c r="E7166" s="29"/>
      <c r="F7166" s="29"/>
    </row>
    <row r="7167">
      <c r="A7167" s="28"/>
      <c r="B7167" s="29"/>
      <c r="C7167" s="29"/>
      <c r="E7167" s="29"/>
      <c r="F7167" s="29"/>
    </row>
    <row r="7168">
      <c r="A7168" s="28"/>
      <c r="B7168" s="29"/>
      <c r="C7168" s="29"/>
      <c r="E7168" s="29"/>
      <c r="F7168" s="29"/>
    </row>
    <row r="7169">
      <c r="A7169" s="28"/>
      <c r="B7169" s="29"/>
      <c r="C7169" s="29"/>
      <c r="E7169" s="29"/>
      <c r="F7169" s="29"/>
    </row>
    <row r="7170">
      <c r="A7170" s="28"/>
      <c r="B7170" s="29"/>
      <c r="C7170" s="29"/>
      <c r="E7170" s="29"/>
      <c r="F7170" s="29"/>
    </row>
    <row r="7171">
      <c r="A7171" s="28"/>
      <c r="B7171" s="29"/>
      <c r="C7171" s="29"/>
      <c r="E7171" s="29"/>
      <c r="F7171" s="29"/>
    </row>
    <row r="7172">
      <c r="A7172" s="28"/>
      <c r="B7172" s="29"/>
      <c r="C7172" s="29"/>
      <c r="E7172" s="29"/>
      <c r="F7172" s="29"/>
    </row>
    <row r="7173">
      <c r="A7173" s="28"/>
      <c r="B7173" s="29"/>
      <c r="C7173" s="29"/>
      <c r="E7173" s="29"/>
      <c r="F7173" s="29"/>
    </row>
    <row r="7174">
      <c r="A7174" s="28"/>
      <c r="B7174" s="29"/>
      <c r="C7174" s="29"/>
      <c r="E7174" s="29"/>
      <c r="F7174" s="29"/>
    </row>
    <row r="7175">
      <c r="A7175" s="28"/>
      <c r="B7175" s="29"/>
      <c r="C7175" s="29"/>
      <c r="E7175" s="29"/>
      <c r="F7175" s="29"/>
    </row>
    <row r="7176">
      <c r="A7176" s="28"/>
      <c r="B7176" s="29"/>
      <c r="C7176" s="29"/>
      <c r="E7176" s="29"/>
      <c r="F7176" s="29"/>
    </row>
    <row r="7177">
      <c r="A7177" s="28"/>
      <c r="B7177" s="29"/>
      <c r="C7177" s="29"/>
      <c r="E7177" s="29"/>
      <c r="F7177" s="29"/>
    </row>
    <row r="7178">
      <c r="A7178" s="28"/>
      <c r="B7178" s="29"/>
      <c r="C7178" s="29"/>
      <c r="E7178" s="29"/>
      <c r="F7178" s="29"/>
    </row>
    <row r="7179">
      <c r="A7179" s="28"/>
      <c r="B7179" s="29"/>
      <c r="C7179" s="29"/>
      <c r="E7179" s="29"/>
      <c r="F7179" s="29"/>
    </row>
    <row r="7180">
      <c r="A7180" s="28"/>
      <c r="B7180" s="29"/>
      <c r="C7180" s="29"/>
      <c r="E7180" s="29"/>
      <c r="F7180" s="29"/>
    </row>
    <row r="7181">
      <c r="A7181" s="28"/>
      <c r="B7181" s="29"/>
      <c r="C7181" s="29"/>
      <c r="E7181" s="29"/>
      <c r="F7181" s="29"/>
    </row>
    <row r="7182">
      <c r="A7182" s="28"/>
      <c r="B7182" s="29"/>
      <c r="C7182" s="29"/>
      <c r="E7182" s="29"/>
      <c r="F7182" s="29"/>
    </row>
    <row r="7183">
      <c r="A7183" s="28"/>
      <c r="B7183" s="29"/>
      <c r="C7183" s="29"/>
      <c r="E7183" s="29"/>
      <c r="F7183" s="29"/>
    </row>
    <row r="7184">
      <c r="A7184" s="28"/>
      <c r="B7184" s="29"/>
      <c r="C7184" s="29"/>
      <c r="E7184" s="29"/>
      <c r="F7184" s="29"/>
    </row>
    <row r="7185">
      <c r="A7185" s="28"/>
      <c r="B7185" s="29"/>
      <c r="C7185" s="29"/>
      <c r="E7185" s="29"/>
      <c r="F7185" s="29"/>
    </row>
    <row r="7186">
      <c r="A7186" s="28"/>
      <c r="B7186" s="29"/>
      <c r="C7186" s="29"/>
      <c r="E7186" s="29"/>
      <c r="F7186" s="29"/>
    </row>
    <row r="7187">
      <c r="A7187" s="28"/>
      <c r="B7187" s="29"/>
      <c r="C7187" s="29"/>
      <c r="E7187" s="29"/>
      <c r="F7187" s="29"/>
    </row>
    <row r="7188">
      <c r="A7188" s="28"/>
      <c r="B7188" s="29"/>
      <c r="C7188" s="29"/>
      <c r="E7188" s="29"/>
      <c r="F7188" s="29"/>
    </row>
    <row r="7189">
      <c r="A7189" s="28"/>
      <c r="B7189" s="29"/>
      <c r="C7189" s="29"/>
      <c r="E7189" s="29"/>
      <c r="F7189" s="29"/>
    </row>
    <row r="7190">
      <c r="A7190" s="28"/>
      <c r="B7190" s="29"/>
      <c r="C7190" s="29"/>
      <c r="E7190" s="29"/>
      <c r="F7190" s="29"/>
    </row>
    <row r="7191">
      <c r="A7191" s="28"/>
      <c r="B7191" s="29"/>
      <c r="C7191" s="29"/>
      <c r="E7191" s="29"/>
      <c r="F7191" s="29"/>
    </row>
    <row r="7192">
      <c r="A7192" s="28"/>
      <c r="B7192" s="29"/>
      <c r="C7192" s="29"/>
      <c r="E7192" s="29"/>
      <c r="F7192" s="29"/>
    </row>
    <row r="7193">
      <c r="A7193" s="28"/>
      <c r="B7193" s="29"/>
      <c r="C7193" s="29"/>
      <c r="E7193" s="29"/>
      <c r="F7193" s="29"/>
    </row>
    <row r="7194">
      <c r="A7194" s="28"/>
      <c r="B7194" s="29"/>
      <c r="C7194" s="29"/>
      <c r="E7194" s="29"/>
      <c r="F7194" s="29"/>
    </row>
    <row r="7195">
      <c r="A7195" s="28"/>
      <c r="B7195" s="29"/>
      <c r="C7195" s="29"/>
      <c r="E7195" s="29"/>
      <c r="F7195" s="29"/>
    </row>
    <row r="7196">
      <c r="A7196" s="28"/>
      <c r="B7196" s="29"/>
      <c r="C7196" s="29"/>
      <c r="E7196" s="29"/>
      <c r="F7196" s="29"/>
    </row>
    <row r="7197">
      <c r="A7197" s="28"/>
      <c r="B7197" s="29"/>
      <c r="C7197" s="29"/>
      <c r="E7197" s="29"/>
      <c r="F7197" s="29"/>
    </row>
    <row r="7198">
      <c r="A7198" s="28"/>
      <c r="B7198" s="29"/>
      <c r="C7198" s="29"/>
      <c r="E7198" s="29"/>
      <c r="F7198" s="29"/>
    </row>
    <row r="7199">
      <c r="A7199" s="28"/>
      <c r="B7199" s="29"/>
      <c r="C7199" s="29"/>
      <c r="E7199" s="29"/>
      <c r="F7199" s="29"/>
    </row>
    <row r="7200">
      <c r="A7200" s="28"/>
      <c r="B7200" s="29"/>
      <c r="C7200" s="29"/>
      <c r="E7200" s="29"/>
      <c r="F7200" s="29"/>
    </row>
    <row r="7201">
      <c r="A7201" s="28"/>
      <c r="B7201" s="29"/>
      <c r="C7201" s="29"/>
      <c r="E7201" s="29"/>
      <c r="F7201" s="29"/>
    </row>
    <row r="7202">
      <c r="A7202" s="28"/>
      <c r="B7202" s="29"/>
      <c r="C7202" s="29"/>
      <c r="E7202" s="29"/>
      <c r="F7202" s="29"/>
    </row>
    <row r="7203">
      <c r="A7203" s="28"/>
      <c r="B7203" s="29"/>
      <c r="C7203" s="29"/>
      <c r="E7203" s="29"/>
      <c r="F7203" s="29"/>
    </row>
    <row r="7204">
      <c r="A7204" s="28"/>
      <c r="B7204" s="29"/>
      <c r="C7204" s="29"/>
      <c r="E7204" s="29"/>
      <c r="F7204" s="29"/>
    </row>
    <row r="7205">
      <c r="A7205" s="28"/>
      <c r="B7205" s="29"/>
      <c r="C7205" s="29"/>
      <c r="E7205" s="29"/>
      <c r="F7205" s="29"/>
    </row>
    <row r="7206">
      <c r="A7206" s="28"/>
      <c r="B7206" s="29"/>
      <c r="C7206" s="29"/>
      <c r="E7206" s="29"/>
      <c r="F7206" s="29"/>
    </row>
    <row r="7207">
      <c r="A7207" s="28"/>
      <c r="B7207" s="29"/>
      <c r="C7207" s="29"/>
      <c r="E7207" s="29"/>
      <c r="F7207" s="29"/>
    </row>
    <row r="7208">
      <c r="A7208" s="28"/>
      <c r="B7208" s="29"/>
      <c r="C7208" s="29"/>
      <c r="E7208" s="29"/>
      <c r="F7208" s="29"/>
    </row>
    <row r="7209">
      <c r="A7209" s="28"/>
      <c r="B7209" s="29"/>
      <c r="C7209" s="29"/>
      <c r="E7209" s="29"/>
      <c r="F7209" s="29"/>
    </row>
    <row r="7210">
      <c r="A7210" s="28"/>
      <c r="B7210" s="29"/>
      <c r="C7210" s="29"/>
      <c r="E7210" s="29"/>
      <c r="F7210" s="29"/>
    </row>
    <row r="7211">
      <c r="A7211" s="28"/>
      <c r="B7211" s="29"/>
      <c r="C7211" s="29"/>
      <c r="E7211" s="29"/>
      <c r="F7211" s="29"/>
    </row>
    <row r="7212">
      <c r="A7212" s="28"/>
      <c r="B7212" s="29"/>
      <c r="C7212" s="29"/>
      <c r="E7212" s="29"/>
      <c r="F7212" s="29"/>
    </row>
    <row r="7213">
      <c r="A7213" s="28"/>
      <c r="B7213" s="29"/>
      <c r="C7213" s="29"/>
      <c r="E7213" s="29"/>
      <c r="F7213" s="29"/>
    </row>
    <row r="7214">
      <c r="A7214" s="28"/>
      <c r="B7214" s="29"/>
      <c r="C7214" s="29"/>
      <c r="E7214" s="29"/>
      <c r="F7214" s="29"/>
    </row>
    <row r="7215">
      <c r="A7215" s="28"/>
      <c r="B7215" s="29"/>
      <c r="C7215" s="29"/>
      <c r="E7215" s="29"/>
      <c r="F7215" s="29"/>
    </row>
    <row r="7216">
      <c r="A7216" s="28"/>
      <c r="B7216" s="29"/>
      <c r="C7216" s="29"/>
      <c r="E7216" s="29"/>
      <c r="F7216" s="29"/>
    </row>
    <row r="7217">
      <c r="A7217" s="28"/>
      <c r="B7217" s="29"/>
      <c r="C7217" s="29"/>
      <c r="E7217" s="29"/>
      <c r="F7217" s="29"/>
    </row>
    <row r="7218">
      <c r="A7218" s="28"/>
      <c r="B7218" s="29"/>
      <c r="C7218" s="29"/>
      <c r="E7218" s="29"/>
      <c r="F7218" s="29"/>
    </row>
    <row r="7219">
      <c r="A7219" s="28"/>
      <c r="B7219" s="29"/>
      <c r="C7219" s="29"/>
      <c r="E7219" s="29"/>
      <c r="F7219" s="29"/>
    </row>
    <row r="7220">
      <c r="A7220" s="28"/>
      <c r="B7220" s="29"/>
      <c r="C7220" s="29"/>
      <c r="E7220" s="29"/>
      <c r="F7220" s="29"/>
    </row>
    <row r="7221">
      <c r="A7221" s="28"/>
      <c r="B7221" s="29"/>
      <c r="C7221" s="29"/>
      <c r="E7221" s="29"/>
      <c r="F7221" s="29"/>
    </row>
    <row r="7222">
      <c r="A7222" s="28"/>
      <c r="B7222" s="29"/>
      <c r="C7222" s="29"/>
      <c r="E7222" s="29"/>
      <c r="F7222" s="29"/>
    </row>
    <row r="7223">
      <c r="A7223" s="28"/>
      <c r="B7223" s="29"/>
      <c r="C7223" s="29"/>
      <c r="E7223" s="29"/>
      <c r="F7223" s="29"/>
    </row>
    <row r="7224">
      <c r="A7224" s="28"/>
      <c r="B7224" s="29"/>
      <c r="C7224" s="29"/>
      <c r="E7224" s="29"/>
      <c r="F7224" s="29"/>
    </row>
    <row r="7225">
      <c r="A7225" s="28"/>
      <c r="B7225" s="29"/>
      <c r="C7225" s="29"/>
      <c r="E7225" s="29"/>
      <c r="F7225" s="29"/>
    </row>
    <row r="7226">
      <c r="A7226" s="28"/>
      <c r="B7226" s="29"/>
      <c r="C7226" s="29"/>
      <c r="E7226" s="29"/>
      <c r="F7226" s="29"/>
    </row>
    <row r="7227">
      <c r="A7227" s="28"/>
      <c r="B7227" s="29"/>
      <c r="C7227" s="29"/>
      <c r="E7227" s="29"/>
      <c r="F7227" s="29"/>
    </row>
    <row r="7228">
      <c r="A7228" s="28"/>
      <c r="B7228" s="29"/>
      <c r="C7228" s="29"/>
      <c r="E7228" s="29"/>
      <c r="F7228" s="29"/>
    </row>
    <row r="7229">
      <c r="A7229" s="28"/>
      <c r="B7229" s="29"/>
      <c r="C7229" s="29"/>
      <c r="E7229" s="29"/>
      <c r="F7229" s="29"/>
    </row>
    <row r="7230">
      <c r="A7230" s="28"/>
      <c r="B7230" s="29"/>
      <c r="C7230" s="29"/>
      <c r="E7230" s="29"/>
      <c r="F7230" s="29"/>
    </row>
    <row r="7231">
      <c r="A7231" s="28"/>
      <c r="B7231" s="29"/>
      <c r="C7231" s="29"/>
      <c r="E7231" s="29"/>
      <c r="F7231" s="29"/>
    </row>
    <row r="7232">
      <c r="A7232" s="28"/>
      <c r="B7232" s="29"/>
      <c r="C7232" s="29"/>
      <c r="E7232" s="29"/>
      <c r="F7232" s="29"/>
    </row>
    <row r="7233">
      <c r="A7233" s="28"/>
      <c r="B7233" s="29"/>
      <c r="C7233" s="29"/>
      <c r="E7233" s="29"/>
      <c r="F7233" s="29"/>
    </row>
    <row r="7234">
      <c r="A7234" s="28"/>
      <c r="B7234" s="29"/>
      <c r="C7234" s="29"/>
      <c r="E7234" s="29"/>
      <c r="F7234" s="29"/>
    </row>
    <row r="7235">
      <c r="A7235" s="28"/>
      <c r="B7235" s="29"/>
      <c r="C7235" s="29"/>
      <c r="E7235" s="29"/>
      <c r="F7235" s="29"/>
    </row>
    <row r="7236">
      <c r="A7236" s="28"/>
      <c r="B7236" s="29"/>
      <c r="C7236" s="29"/>
      <c r="E7236" s="29"/>
      <c r="F7236" s="29"/>
    </row>
    <row r="7237">
      <c r="A7237" s="28"/>
      <c r="B7237" s="29"/>
      <c r="C7237" s="29"/>
      <c r="E7237" s="29"/>
      <c r="F7237" s="29"/>
    </row>
    <row r="7238">
      <c r="A7238" s="28"/>
      <c r="B7238" s="29"/>
      <c r="C7238" s="29"/>
      <c r="E7238" s="29"/>
      <c r="F7238" s="29"/>
    </row>
    <row r="7239">
      <c r="A7239" s="28"/>
      <c r="B7239" s="29"/>
      <c r="C7239" s="29"/>
      <c r="E7239" s="29"/>
      <c r="F7239" s="29"/>
    </row>
    <row r="7240">
      <c r="A7240" s="28"/>
      <c r="B7240" s="29"/>
      <c r="C7240" s="29"/>
      <c r="E7240" s="29"/>
      <c r="F7240" s="29"/>
    </row>
    <row r="7241">
      <c r="A7241" s="28"/>
      <c r="B7241" s="29"/>
      <c r="C7241" s="29"/>
      <c r="E7241" s="29"/>
      <c r="F7241" s="29"/>
    </row>
    <row r="7242">
      <c r="A7242" s="28"/>
      <c r="B7242" s="29"/>
      <c r="C7242" s="29"/>
      <c r="E7242" s="29"/>
      <c r="F7242" s="29"/>
    </row>
    <row r="7243">
      <c r="A7243" s="28"/>
      <c r="B7243" s="29"/>
      <c r="C7243" s="29"/>
      <c r="E7243" s="29"/>
      <c r="F7243" s="29"/>
    </row>
    <row r="7244">
      <c r="A7244" s="28"/>
      <c r="B7244" s="29"/>
      <c r="C7244" s="29"/>
      <c r="E7244" s="29"/>
      <c r="F7244" s="29"/>
    </row>
    <row r="7245">
      <c r="A7245" s="28"/>
      <c r="B7245" s="29"/>
      <c r="C7245" s="29"/>
      <c r="E7245" s="29"/>
      <c r="F7245" s="29"/>
    </row>
    <row r="7246">
      <c r="A7246" s="28"/>
      <c r="B7246" s="29"/>
      <c r="C7246" s="29"/>
      <c r="E7246" s="29"/>
      <c r="F7246" s="29"/>
    </row>
    <row r="7247">
      <c r="A7247" s="28"/>
      <c r="B7247" s="29"/>
      <c r="C7247" s="29"/>
      <c r="E7247" s="29"/>
      <c r="F7247" s="29"/>
    </row>
    <row r="7248">
      <c r="A7248" s="28"/>
      <c r="B7248" s="29"/>
      <c r="C7248" s="29"/>
      <c r="E7248" s="29"/>
      <c r="F7248" s="29"/>
    </row>
    <row r="7249">
      <c r="A7249" s="28"/>
      <c r="B7249" s="29"/>
      <c r="C7249" s="29"/>
      <c r="E7249" s="29"/>
      <c r="F7249" s="29"/>
    </row>
    <row r="7250">
      <c r="A7250" s="28"/>
      <c r="B7250" s="29"/>
      <c r="C7250" s="29"/>
      <c r="E7250" s="29"/>
      <c r="F7250" s="29"/>
    </row>
    <row r="7251">
      <c r="A7251" s="28"/>
      <c r="B7251" s="29"/>
      <c r="C7251" s="29"/>
      <c r="E7251" s="29"/>
      <c r="F7251" s="29"/>
    </row>
    <row r="7252">
      <c r="A7252" s="28"/>
      <c r="B7252" s="29"/>
      <c r="C7252" s="29"/>
      <c r="E7252" s="29"/>
      <c r="F7252" s="29"/>
    </row>
    <row r="7253">
      <c r="A7253" s="28"/>
      <c r="B7253" s="29"/>
      <c r="C7253" s="29"/>
      <c r="E7253" s="29"/>
      <c r="F7253" s="29"/>
    </row>
    <row r="7254">
      <c r="A7254" s="28"/>
      <c r="B7254" s="29"/>
      <c r="C7254" s="29"/>
      <c r="E7254" s="29"/>
      <c r="F7254" s="29"/>
    </row>
    <row r="7255">
      <c r="A7255" s="28"/>
      <c r="B7255" s="29"/>
      <c r="C7255" s="29"/>
      <c r="E7255" s="29"/>
      <c r="F7255" s="29"/>
    </row>
    <row r="7256">
      <c r="A7256" s="28"/>
      <c r="B7256" s="29"/>
      <c r="C7256" s="29"/>
      <c r="E7256" s="29"/>
      <c r="F7256" s="29"/>
    </row>
    <row r="7257">
      <c r="A7257" s="28"/>
      <c r="B7257" s="29"/>
      <c r="C7257" s="29"/>
      <c r="E7257" s="29"/>
      <c r="F7257" s="29"/>
    </row>
    <row r="7258">
      <c r="A7258" s="28"/>
      <c r="B7258" s="29"/>
      <c r="C7258" s="29"/>
      <c r="E7258" s="29"/>
      <c r="F7258" s="29"/>
    </row>
    <row r="7259">
      <c r="A7259" s="28"/>
      <c r="B7259" s="29"/>
      <c r="C7259" s="29"/>
      <c r="E7259" s="29"/>
      <c r="F7259" s="29"/>
    </row>
    <row r="7260">
      <c r="A7260" s="28"/>
      <c r="B7260" s="29"/>
      <c r="C7260" s="29"/>
      <c r="E7260" s="29"/>
      <c r="F7260" s="29"/>
    </row>
    <row r="7261">
      <c r="A7261" s="28"/>
      <c r="B7261" s="29"/>
      <c r="C7261" s="29"/>
      <c r="E7261" s="29"/>
      <c r="F7261" s="29"/>
    </row>
    <row r="7262">
      <c r="A7262" s="28"/>
      <c r="B7262" s="29"/>
      <c r="C7262" s="29"/>
      <c r="E7262" s="29"/>
      <c r="F7262" s="29"/>
    </row>
    <row r="7263">
      <c r="A7263" s="28"/>
      <c r="B7263" s="29"/>
      <c r="C7263" s="29"/>
      <c r="E7263" s="29"/>
      <c r="F7263" s="29"/>
    </row>
    <row r="7264">
      <c r="A7264" s="28"/>
      <c r="B7264" s="29"/>
      <c r="C7264" s="29"/>
      <c r="E7264" s="29"/>
      <c r="F7264" s="29"/>
    </row>
    <row r="7265">
      <c r="A7265" s="28"/>
      <c r="B7265" s="29"/>
      <c r="C7265" s="29"/>
      <c r="E7265" s="29"/>
      <c r="F7265" s="29"/>
    </row>
    <row r="7266">
      <c r="A7266" s="28"/>
      <c r="B7266" s="29"/>
      <c r="C7266" s="29"/>
      <c r="E7266" s="29"/>
      <c r="F7266" s="29"/>
    </row>
    <row r="7267">
      <c r="A7267" s="28"/>
      <c r="B7267" s="29"/>
      <c r="C7267" s="29"/>
      <c r="E7267" s="29"/>
      <c r="F7267" s="29"/>
    </row>
    <row r="7268">
      <c r="A7268" s="28"/>
      <c r="B7268" s="29"/>
      <c r="C7268" s="29"/>
      <c r="E7268" s="29"/>
      <c r="F7268" s="29"/>
    </row>
    <row r="7269">
      <c r="A7269" s="28"/>
      <c r="B7269" s="29"/>
      <c r="C7269" s="29"/>
      <c r="E7269" s="29"/>
      <c r="F7269" s="29"/>
    </row>
    <row r="7270">
      <c r="A7270" s="28"/>
      <c r="B7270" s="29"/>
      <c r="C7270" s="29"/>
      <c r="E7270" s="29"/>
      <c r="F7270" s="29"/>
    </row>
    <row r="7271">
      <c r="A7271" s="28"/>
      <c r="B7271" s="29"/>
      <c r="C7271" s="29"/>
      <c r="E7271" s="29"/>
      <c r="F7271" s="29"/>
    </row>
    <row r="7272">
      <c r="A7272" s="28"/>
      <c r="B7272" s="29"/>
      <c r="C7272" s="29"/>
      <c r="E7272" s="29"/>
      <c r="F7272" s="29"/>
    </row>
    <row r="7273">
      <c r="A7273" s="28"/>
      <c r="B7273" s="29"/>
      <c r="C7273" s="29"/>
      <c r="E7273" s="29"/>
      <c r="F7273" s="29"/>
    </row>
    <row r="7274">
      <c r="A7274" s="28"/>
      <c r="B7274" s="29"/>
      <c r="C7274" s="29"/>
      <c r="E7274" s="29"/>
      <c r="F7274" s="29"/>
    </row>
    <row r="7275">
      <c r="A7275" s="28"/>
      <c r="B7275" s="29"/>
      <c r="C7275" s="29"/>
      <c r="E7275" s="29"/>
      <c r="F7275" s="29"/>
    </row>
    <row r="7276">
      <c r="A7276" s="28"/>
      <c r="B7276" s="29"/>
      <c r="C7276" s="29"/>
      <c r="E7276" s="29"/>
      <c r="F7276" s="29"/>
    </row>
    <row r="7277">
      <c r="A7277" s="28"/>
      <c r="B7277" s="29"/>
      <c r="C7277" s="29"/>
      <c r="E7277" s="29"/>
      <c r="F7277" s="29"/>
    </row>
    <row r="7278">
      <c r="A7278" s="28"/>
      <c r="B7278" s="29"/>
      <c r="C7278" s="29"/>
      <c r="E7278" s="29"/>
      <c r="F7278" s="29"/>
    </row>
    <row r="7279">
      <c r="A7279" s="28"/>
      <c r="B7279" s="29"/>
      <c r="C7279" s="29"/>
      <c r="E7279" s="29"/>
      <c r="F7279" s="29"/>
    </row>
    <row r="7280">
      <c r="A7280" s="28"/>
      <c r="B7280" s="29"/>
      <c r="C7280" s="29"/>
      <c r="E7280" s="29"/>
      <c r="F7280" s="29"/>
    </row>
    <row r="7281">
      <c r="A7281" s="28"/>
      <c r="B7281" s="29"/>
      <c r="C7281" s="29"/>
      <c r="E7281" s="29"/>
      <c r="F7281" s="29"/>
    </row>
    <row r="7282">
      <c r="A7282" s="28"/>
      <c r="B7282" s="29"/>
      <c r="C7282" s="29"/>
      <c r="E7282" s="29"/>
      <c r="F7282" s="29"/>
    </row>
    <row r="7283">
      <c r="A7283" s="28"/>
      <c r="B7283" s="29"/>
      <c r="C7283" s="29"/>
      <c r="E7283" s="29"/>
      <c r="F7283" s="29"/>
    </row>
    <row r="7284">
      <c r="A7284" s="28"/>
      <c r="B7284" s="29"/>
      <c r="C7284" s="29"/>
      <c r="E7284" s="29"/>
      <c r="F7284" s="29"/>
    </row>
    <row r="7285">
      <c r="A7285" s="28"/>
      <c r="B7285" s="29"/>
      <c r="C7285" s="29"/>
      <c r="E7285" s="29"/>
      <c r="F7285" s="29"/>
    </row>
    <row r="7286">
      <c r="A7286" s="28"/>
      <c r="B7286" s="29"/>
      <c r="C7286" s="29"/>
      <c r="E7286" s="29"/>
      <c r="F7286" s="29"/>
    </row>
    <row r="7287">
      <c r="A7287" s="28"/>
      <c r="B7287" s="29"/>
      <c r="C7287" s="29"/>
      <c r="E7287" s="29"/>
      <c r="F7287" s="29"/>
    </row>
    <row r="7288">
      <c r="A7288" s="28"/>
      <c r="B7288" s="29"/>
      <c r="C7288" s="29"/>
      <c r="E7288" s="29"/>
      <c r="F7288" s="29"/>
    </row>
    <row r="7289">
      <c r="A7289" s="28"/>
      <c r="B7289" s="29"/>
      <c r="C7289" s="29"/>
      <c r="E7289" s="29"/>
      <c r="F7289" s="29"/>
    </row>
    <row r="7290">
      <c r="A7290" s="28"/>
      <c r="B7290" s="29"/>
      <c r="C7290" s="29"/>
      <c r="E7290" s="29"/>
      <c r="F7290" s="29"/>
    </row>
    <row r="7291">
      <c r="A7291" s="28"/>
      <c r="B7291" s="29"/>
      <c r="C7291" s="29"/>
      <c r="E7291" s="29"/>
      <c r="F7291" s="29"/>
    </row>
    <row r="7292">
      <c r="A7292" s="28"/>
      <c r="B7292" s="29"/>
      <c r="C7292" s="29"/>
      <c r="E7292" s="29"/>
      <c r="F7292" s="29"/>
    </row>
    <row r="7293">
      <c r="A7293" s="28"/>
      <c r="B7293" s="29"/>
      <c r="C7293" s="29"/>
      <c r="E7293" s="29"/>
      <c r="F7293" s="29"/>
    </row>
    <row r="7294">
      <c r="A7294" s="28"/>
      <c r="B7294" s="29"/>
      <c r="C7294" s="29"/>
      <c r="E7294" s="29"/>
      <c r="F7294" s="29"/>
    </row>
    <row r="7295">
      <c r="A7295" s="28"/>
      <c r="B7295" s="29"/>
      <c r="C7295" s="29"/>
      <c r="E7295" s="29"/>
      <c r="F7295" s="29"/>
    </row>
    <row r="7296">
      <c r="A7296" s="28"/>
      <c r="B7296" s="29"/>
      <c r="C7296" s="29"/>
      <c r="E7296" s="29"/>
      <c r="F7296" s="29"/>
    </row>
    <row r="7297">
      <c r="A7297" s="28"/>
      <c r="B7297" s="29"/>
      <c r="C7297" s="29"/>
      <c r="E7297" s="29"/>
      <c r="F7297" s="29"/>
    </row>
    <row r="7298">
      <c r="A7298" s="28"/>
      <c r="B7298" s="29"/>
      <c r="C7298" s="29"/>
      <c r="E7298" s="29"/>
      <c r="F7298" s="29"/>
    </row>
    <row r="7299">
      <c r="A7299" s="28"/>
      <c r="B7299" s="29"/>
      <c r="C7299" s="29"/>
      <c r="E7299" s="29"/>
      <c r="F7299" s="29"/>
    </row>
    <row r="7300">
      <c r="A7300" s="28"/>
      <c r="B7300" s="29"/>
      <c r="C7300" s="29"/>
      <c r="E7300" s="29"/>
      <c r="F7300" s="29"/>
    </row>
    <row r="7301">
      <c r="A7301" s="28"/>
      <c r="B7301" s="29"/>
      <c r="C7301" s="29"/>
      <c r="E7301" s="29"/>
      <c r="F7301" s="29"/>
    </row>
    <row r="7302">
      <c r="A7302" s="28"/>
      <c r="B7302" s="29"/>
      <c r="C7302" s="29"/>
      <c r="E7302" s="29"/>
      <c r="F7302" s="29"/>
    </row>
    <row r="7303">
      <c r="A7303" s="28"/>
      <c r="B7303" s="29"/>
      <c r="C7303" s="29"/>
      <c r="E7303" s="29"/>
      <c r="F7303" s="29"/>
    </row>
    <row r="7304">
      <c r="A7304" s="28"/>
      <c r="B7304" s="29"/>
      <c r="C7304" s="29"/>
      <c r="E7304" s="29"/>
      <c r="F7304" s="29"/>
    </row>
    <row r="7305">
      <c r="A7305" s="28"/>
      <c r="B7305" s="29"/>
      <c r="C7305" s="29"/>
      <c r="E7305" s="29"/>
      <c r="F7305" s="29"/>
    </row>
    <row r="7306">
      <c r="A7306" s="28"/>
      <c r="B7306" s="29"/>
      <c r="C7306" s="29"/>
      <c r="E7306" s="29"/>
      <c r="F7306" s="29"/>
    </row>
    <row r="7307">
      <c r="A7307" s="28"/>
      <c r="B7307" s="29"/>
      <c r="C7307" s="29"/>
      <c r="E7307" s="29"/>
      <c r="F7307" s="29"/>
    </row>
    <row r="7308">
      <c r="A7308" s="28"/>
      <c r="B7308" s="29"/>
      <c r="C7308" s="29"/>
      <c r="E7308" s="29"/>
      <c r="F7308" s="29"/>
    </row>
    <row r="7309">
      <c r="A7309" s="28"/>
      <c r="B7309" s="29"/>
      <c r="C7309" s="29"/>
      <c r="E7309" s="29"/>
      <c r="F7309" s="29"/>
    </row>
    <row r="7310">
      <c r="A7310" s="28"/>
      <c r="B7310" s="29"/>
      <c r="C7310" s="29"/>
      <c r="E7310" s="29"/>
      <c r="F7310" s="29"/>
    </row>
    <row r="7311">
      <c r="A7311" s="28"/>
      <c r="B7311" s="29"/>
      <c r="C7311" s="29"/>
      <c r="E7311" s="29"/>
      <c r="F7311" s="29"/>
    </row>
    <row r="7312">
      <c r="A7312" s="28"/>
      <c r="B7312" s="29"/>
      <c r="C7312" s="29"/>
      <c r="E7312" s="29"/>
      <c r="F7312" s="29"/>
    </row>
    <row r="7313">
      <c r="A7313" s="28"/>
      <c r="B7313" s="29"/>
      <c r="C7313" s="29"/>
      <c r="E7313" s="29"/>
      <c r="F7313" s="29"/>
    </row>
    <row r="7314">
      <c r="A7314" s="28"/>
      <c r="B7314" s="29"/>
      <c r="C7314" s="29"/>
      <c r="E7314" s="29"/>
      <c r="F7314" s="29"/>
    </row>
    <row r="7315">
      <c r="A7315" s="28"/>
      <c r="B7315" s="29"/>
      <c r="C7315" s="29"/>
      <c r="E7315" s="29"/>
      <c r="F7315" s="29"/>
    </row>
    <row r="7316">
      <c r="A7316" s="28"/>
      <c r="B7316" s="29"/>
      <c r="C7316" s="29"/>
      <c r="E7316" s="29"/>
      <c r="F7316" s="29"/>
    </row>
    <row r="7317">
      <c r="A7317" s="28"/>
      <c r="B7317" s="29"/>
      <c r="C7317" s="29"/>
      <c r="E7317" s="29"/>
      <c r="F7317" s="29"/>
    </row>
    <row r="7318">
      <c r="A7318" s="28"/>
      <c r="B7318" s="29"/>
      <c r="C7318" s="29"/>
      <c r="E7318" s="29"/>
      <c r="F7318" s="29"/>
    </row>
    <row r="7319">
      <c r="A7319" s="28"/>
      <c r="B7319" s="29"/>
      <c r="C7319" s="29"/>
      <c r="E7319" s="29"/>
      <c r="F7319" s="29"/>
    </row>
    <row r="7320">
      <c r="A7320" s="28"/>
      <c r="B7320" s="29"/>
      <c r="C7320" s="29"/>
      <c r="E7320" s="29"/>
      <c r="F7320" s="29"/>
    </row>
    <row r="7321">
      <c r="A7321" s="28"/>
      <c r="B7321" s="29"/>
      <c r="C7321" s="29"/>
      <c r="E7321" s="29"/>
      <c r="F7321" s="29"/>
    </row>
    <row r="7322">
      <c r="A7322" s="28"/>
      <c r="B7322" s="29"/>
      <c r="C7322" s="29"/>
      <c r="E7322" s="29"/>
      <c r="F7322" s="29"/>
    </row>
    <row r="7323">
      <c r="A7323" s="28"/>
      <c r="B7323" s="29"/>
      <c r="C7323" s="29"/>
      <c r="E7323" s="29"/>
      <c r="F7323" s="29"/>
    </row>
    <row r="7324">
      <c r="A7324" s="28"/>
      <c r="B7324" s="29"/>
      <c r="C7324" s="29"/>
      <c r="E7324" s="29"/>
      <c r="F7324" s="29"/>
    </row>
    <row r="7325">
      <c r="A7325" s="28"/>
      <c r="B7325" s="29"/>
      <c r="C7325" s="29"/>
      <c r="E7325" s="29"/>
      <c r="F7325" s="29"/>
    </row>
    <row r="7326">
      <c r="A7326" s="28"/>
      <c r="B7326" s="29"/>
      <c r="C7326" s="29"/>
      <c r="E7326" s="29"/>
      <c r="F7326" s="29"/>
    </row>
    <row r="7327">
      <c r="A7327" s="28"/>
      <c r="B7327" s="29"/>
      <c r="C7327" s="29"/>
      <c r="E7327" s="29"/>
      <c r="F7327" s="29"/>
    </row>
    <row r="7328">
      <c r="A7328" s="28"/>
      <c r="B7328" s="29"/>
      <c r="C7328" s="29"/>
      <c r="E7328" s="29"/>
      <c r="F7328" s="29"/>
    </row>
    <row r="7329">
      <c r="A7329" s="28"/>
      <c r="B7329" s="29"/>
      <c r="C7329" s="29"/>
      <c r="E7329" s="29"/>
      <c r="F7329" s="29"/>
    </row>
    <row r="7330">
      <c r="A7330" s="28"/>
      <c r="B7330" s="29"/>
      <c r="C7330" s="29"/>
      <c r="E7330" s="29"/>
      <c r="F7330" s="29"/>
    </row>
    <row r="7331">
      <c r="A7331" s="28"/>
      <c r="B7331" s="29"/>
      <c r="C7331" s="29"/>
      <c r="E7331" s="29"/>
      <c r="F7331" s="29"/>
    </row>
    <row r="7332">
      <c r="A7332" s="28"/>
      <c r="B7332" s="29"/>
      <c r="C7332" s="29"/>
      <c r="E7332" s="29"/>
      <c r="F7332" s="29"/>
    </row>
    <row r="7333">
      <c r="A7333" s="28"/>
      <c r="B7333" s="29"/>
      <c r="C7333" s="29"/>
      <c r="E7333" s="29"/>
      <c r="F7333" s="29"/>
    </row>
    <row r="7334">
      <c r="A7334" s="28"/>
      <c r="B7334" s="29"/>
      <c r="C7334" s="29"/>
      <c r="E7334" s="29"/>
      <c r="F7334" s="29"/>
    </row>
    <row r="7335">
      <c r="A7335" s="28"/>
      <c r="B7335" s="29"/>
      <c r="C7335" s="29"/>
      <c r="E7335" s="29"/>
      <c r="F7335" s="29"/>
    </row>
    <row r="7336">
      <c r="A7336" s="28"/>
      <c r="B7336" s="29"/>
      <c r="C7336" s="29"/>
      <c r="E7336" s="29"/>
      <c r="F7336" s="29"/>
    </row>
    <row r="7337">
      <c r="A7337" s="28"/>
      <c r="B7337" s="29"/>
      <c r="C7337" s="29"/>
      <c r="E7337" s="29"/>
      <c r="F7337" s="29"/>
    </row>
    <row r="7338">
      <c r="A7338" s="28"/>
      <c r="B7338" s="29"/>
      <c r="C7338" s="29"/>
      <c r="E7338" s="29"/>
      <c r="F7338" s="29"/>
    </row>
    <row r="7339">
      <c r="A7339" s="28"/>
      <c r="B7339" s="29"/>
      <c r="C7339" s="29"/>
      <c r="E7339" s="29"/>
      <c r="F7339" s="29"/>
    </row>
    <row r="7340">
      <c r="A7340" s="28"/>
      <c r="B7340" s="29"/>
      <c r="C7340" s="29"/>
      <c r="E7340" s="29"/>
      <c r="F7340" s="29"/>
    </row>
    <row r="7341">
      <c r="A7341" s="28"/>
      <c r="B7341" s="29"/>
      <c r="C7341" s="29"/>
      <c r="E7341" s="29"/>
      <c r="F7341" s="29"/>
    </row>
    <row r="7342">
      <c r="A7342" s="28"/>
      <c r="B7342" s="29"/>
      <c r="C7342" s="29"/>
      <c r="E7342" s="29"/>
      <c r="F7342" s="29"/>
    </row>
    <row r="7343">
      <c r="A7343" s="28"/>
      <c r="B7343" s="29"/>
      <c r="C7343" s="29"/>
      <c r="E7343" s="29"/>
      <c r="F7343" s="29"/>
    </row>
    <row r="7344">
      <c r="A7344" s="28"/>
      <c r="B7344" s="29"/>
      <c r="C7344" s="29"/>
      <c r="E7344" s="29"/>
      <c r="F7344" s="29"/>
    </row>
    <row r="7345">
      <c r="A7345" s="28"/>
      <c r="B7345" s="29"/>
      <c r="C7345" s="29"/>
      <c r="E7345" s="29"/>
      <c r="F7345" s="29"/>
    </row>
    <row r="7346">
      <c r="A7346" s="28"/>
      <c r="B7346" s="29"/>
      <c r="C7346" s="29"/>
      <c r="E7346" s="29"/>
      <c r="F7346" s="29"/>
    </row>
    <row r="7347">
      <c r="A7347" s="28"/>
      <c r="B7347" s="29"/>
      <c r="C7347" s="29"/>
      <c r="E7347" s="29"/>
      <c r="F7347" s="29"/>
    </row>
    <row r="7348">
      <c r="A7348" s="28"/>
      <c r="B7348" s="29"/>
      <c r="C7348" s="29"/>
      <c r="E7348" s="29"/>
      <c r="F7348" s="29"/>
    </row>
    <row r="7349">
      <c r="A7349" s="28"/>
      <c r="B7349" s="29"/>
      <c r="C7349" s="29"/>
      <c r="E7349" s="29"/>
      <c r="F7349" s="29"/>
    </row>
    <row r="7350">
      <c r="A7350" s="28"/>
      <c r="B7350" s="29"/>
      <c r="C7350" s="29"/>
      <c r="E7350" s="29"/>
      <c r="F7350" s="29"/>
    </row>
    <row r="7351">
      <c r="A7351" s="28"/>
      <c r="B7351" s="29"/>
      <c r="C7351" s="29"/>
      <c r="E7351" s="29"/>
      <c r="F7351" s="29"/>
    </row>
    <row r="7352">
      <c r="A7352" s="28"/>
      <c r="B7352" s="29"/>
      <c r="C7352" s="29"/>
      <c r="E7352" s="29"/>
      <c r="F7352" s="29"/>
    </row>
    <row r="7353">
      <c r="A7353" s="28"/>
      <c r="B7353" s="29"/>
      <c r="C7353" s="29"/>
      <c r="E7353" s="29"/>
      <c r="F7353" s="29"/>
    </row>
    <row r="7354">
      <c r="A7354" s="28"/>
      <c r="B7354" s="29"/>
      <c r="C7354" s="29"/>
      <c r="E7354" s="29"/>
      <c r="F7354" s="29"/>
    </row>
    <row r="7355">
      <c r="A7355" s="28"/>
      <c r="B7355" s="29"/>
      <c r="C7355" s="29"/>
      <c r="E7355" s="29"/>
      <c r="F7355" s="29"/>
    </row>
    <row r="7356">
      <c r="A7356" s="28"/>
      <c r="B7356" s="29"/>
      <c r="C7356" s="29"/>
      <c r="E7356" s="29"/>
      <c r="F7356" s="29"/>
    </row>
    <row r="7357">
      <c r="A7357" s="28"/>
      <c r="B7357" s="29"/>
      <c r="C7357" s="29"/>
      <c r="E7357" s="29"/>
      <c r="F7357" s="29"/>
    </row>
    <row r="7358">
      <c r="A7358" s="28"/>
      <c r="B7358" s="29"/>
      <c r="C7358" s="29"/>
      <c r="E7358" s="29"/>
      <c r="F7358" s="29"/>
    </row>
    <row r="7359">
      <c r="A7359" s="28"/>
      <c r="B7359" s="29"/>
      <c r="C7359" s="29"/>
      <c r="E7359" s="29"/>
      <c r="F7359" s="29"/>
    </row>
    <row r="7360">
      <c r="A7360" s="28"/>
      <c r="B7360" s="29"/>
      <c r="C7360" s="29"/>
      <c r="E7360" s="29"/>
      <c r="F7360" s="29"/>
    </row>
    <row r="7361">
      <c r="A7361" s="28"/>
      <c r="B7361" s="29"/>
      <c r="C7361" s="29"/>
      <c r="E7361" s="29"/>
      <c r="F7361" s="29"/>
    </row>
    <row r="7362">
      <c r="A7362" s="28"/>
      <c r="B7362" s="29"/>
      <c r="C7362" s="29"/>
      <c r="E7362" s="29"/>
      <c r="F7362" s="29"/>
    </row>
    <row r="7363">
      <c r="A7363" s="28"/>
      <c r="B7363" s="29"/>
      <c r="C7363" s="29"/>
      <c r="E7363" s="29"/>
      <c r="F7363" s="29"/>
    </row>
    <row r="7364">
      <c r="A7364" s="28"/>
      <c r="B7364" s="29"/>
      <c r="C7364" s="29"/>
      <c r="E7364" s="29"/>
      <c r="F7364" s="29"/>
    </row>
    <row r="7365">
      <c r="A7365" s="28"/>
      <c r="B7365" s="29"/>
      <c r="C7365" s="29"/>
      <c r="E7365" s="29"/>
      <c r="F7365" s="29"/>
    </row>
    <row r="7366">
      <c r="A7366" s="28"/>
      <c r="B7366" s="29"/>
      <c r="C7366" s="29"/>
      <c r="E7366" s="29"/>
      <c r="F7366" s="29"/>
    </row>
    <row r="7367">
      <c r="A7367" s="28"/>
      <c r="B7367" s="29"/>
      <c r="C7367" s="29"/>
      <c r="E7367" s="29"/>
      <c r="F7367" s="29"/>
    </row>
    <row r="7368">
      <c r="A7368" s="28"/>
      <c r="B7368" s="29"/>
      <c r="C7368" s="29"/>
      <c r="E7368" s="29"/>
      <c r="F7368" s="29"/>
    </row>
    <row r="7369">
      <c r="A7369" s="28"/>
      <c r="B7369" s="29"/>
      <c r="C7369" s="29"/>
      <c r="E7369" s="29"/>
      <c r="F7369" s="29"/>
    </row>
    <row r="7370">
      <c r="A7370" s="28"/>
      <c r="B7370" s="29"/>
      <c r="C7370" s="29"/>
      <c r="E7370" s="29"/>
      <c r="F7370" s="29"/>
    </row>
    <row r="7371">
      <c r="A7371" s="28"/>
      <c r="B7371" s="29"/>
      <c r="C7371" s="29"/>
      <c r="E7371" s="29"/>
      <c r="F7371" s="29"/>
    </row>
    <row r="7372">
      <c r="A7372" s="28"/>
      <c r="B7372" s="29"/>
      <c r="C7372" s="29"/>
      <c r="E7372" s="29"/>
      <c r="F7372" s="29"/>
    </row>
    <row r="7373">
      <c r="A7373" s="28"/>
      <c r="B7373" s="29"/>
      <c r="C7373" s="29"/>
      <c r="E7373" s="29"/>
      <c r="F7373" s="29"/>
    </row>
    <row r="7374">
      <c r="A7374" s="28"/>
      <c r="B7374" s="29"/>
      <c r="C7374" s="29"/>
      <c r="E7374" s="29"/>
      <c r="F7374" s="29"/>
    </row>
    <row r="7375">
      <c r="A7375" s="28"/>
      <c r="B7375" s="29"/>
      <c r="C7375" s="29"/>
      <c r="E7375" s="29"/>
      <c r="F7375" s="29"/>
    </row>
    <row r="7376">
      <c r="A7376" s="28"/>
      <c r="B7376" s="29"/>
      <c r="C7376" s="29"/>
      <c r="E7376" s="29"/>
      <c r="F7376" s="29"/>
    </row>
    <row r="7377">
      <c r="A7377" s="28"/>
      <c r="B7377" s="29"/>
      <c r="C7377" s="29"/>
      <c r="E7377" s="29"/>
      <c r="F7377" s="29"/>
    </row>
    <row r="7378">
      <c r="A7378" s="28"/>
      <c r="B7378" s="29"/>
      <c r="C7378" s="29"/>
      <c r="E7378" s="29"/>
      <c r="F7378" s="29"/>
    </row>
    <row r="7379">
      <c r="A7379" s="28"/>
      <c r="B7379" s="29"/>
      <c r="C7379" s="29"/>
      <c r="E7379" s="29"/>
      <c r="F7379" s="29"/>
    </row>
    <row r="7380">
      <c r="A7380" s="28"/>
      <c r="B7380" s="29"/>
      <c r="C7380" s="29"/>
      <c r="E7380" s="29"/>
      <c r="F7380" s="29"/>
    </row>
    <row r="7381">
      <c r="A7381" s="28"/>
      <c r="B7381" s="29"/>
      <c r="C7381" s="29"/>
      <c r="E7381" s="29"/>
      <c r="F7381" s="29"/>
    </row>
    <row r="7382">
      <c r="A7382" s="28"/>
      <c r="B7382" s="29"/>
      <c r="C7382" s="29"/>
      <c r="E7382" s="29"/>
      <c r="F7382" s="29"/>
    </row>
    <row r="7383">
      <c r="A7383" s="28"/>
      <c r="B7383" s="29"/>
      <c r="C7383" s="29"/>
      <c r="E7383" s="29"/>
      <c r="F7383" s="29"/>
    </row>
    <row r="7384">
      <c r="A7384" s="28"/>
      <c r="B7384" s="29"/>
      <c r="C7384" s="29"/>
      <c r="E7384" s="29"/>
      <c r="F7384" s="29"/>
    </row>
    <row r="7385">
      <c r="A7385" s="28"/>
      <c r="B7385" s="29"/>
      <c r="C7385" s="29"/>
      <c r="E7385" s="29"/>
      <c r="F7385" s="29"/>
    </row>
    <row r="7386">
      <c r="A7386" s="28"/>
      <c r="B7386" s="29"/>
      <c r="C7386" s="29"/>
      <c r="E7386" s="29"/>
      <c r="F7386" s="29"/>
    </row>
    <row r="7387">
      <c r="A7387" s="28"/>
      <c r="B7387" s="29"/>
      <c r="C7387" s="29"/>
      <c r="E7387" s="29"/>
      <c r="F7387" s="29"/>
    </row>
    <row r="7388">
      <c r="A7388" s="28"/>
      <c r="B7388" s="29"/>
      <c r="C7388" s="29"/>
      <c r="E7388" s="29"/>
      <c r="F7388" s="29"/>
    </row>
    <row r="7389">
      <c r="A7389" s="28"/>
      <c r="B7389" s="29"/>
      <c r="C7389" s="29"/>
      <c r="E7389" s="29"/>
      <c r="F7389" s="29"/>
    </row>
    <row r="7390">
      <c r="A7390" s="28"/>
      <c r="B7390" s="29"/>
      <c r="C7390" s="29"/>
      <c r="E7390" s="29"/>
      <c r="F7390" s="29"/>
    </row>
    <row r="7391">
      <c r="A7391" s="28"/>
      <c r="B7391" s="29"/>
      <c r="C7391" s="29"/>
      <c r="E7391" s="29"/>
      <c r="F7391" s="29"/>
    </row>
    <row r="7392">
      <c r="A7392" s="28"/>
      <c r="B7392" s="29"/>
      <c r="C7392" s="29"/>
      <c r="E7392" s="29"/>
      <c r="F7392" s="29"/>
    </row>
    <row r="7393">
      <c r="A7393" s="28"/>
      <c r="B7393" s="29"/>
      <c r="C7393" s="29"/>
      <c r="E7393" s="29"/>
      <c r="F7393" s="29"/>
    </row>
    <row r="7394">
      <c r="A7394" s="28"/>
      <c r="B7394" s="29"/>
      <c r="C7394" s="29"/>
      <c r="E7394" s="29"/>
      <c r="F7394" s="29"/>
    </row>
    <row r="7395">
      <c r="A7395" s="28"/>
      <c r="B7395" s="29"/>
      <c r="C7395" s="29"/>
      <c r="E7395" s="29"/>
      <c r="F7395" s="29"/>
    </row>
    <row r="7396">
      <c r="A7396" s="28"/>
      <c r="B7396" s="29"/>
      <c r="C7396" s="29"/>
      <c r="E7396" s="29"/>
      <c r="F7396" s="29"/>
    </row>
    <row r="7397">
      <c r="A7397" s="28"/>
      <c r="B7397" s="29"/>
      <c r="C7397" s="29"/>
      <c r="E7397" s="29"/>
      <c r="F7397" s="29"/>
    </row>
    <row r="7398">
      <c r="A7398" s="28"/>
      <c r="B7398" s="29"/>
      <c r="C7398" s="29"/>
      <c r="E7398" s="29"/>
      <c r="F7398" s="29"/>
    </row>
    <row r="7399">
      <c r="A7399" s="28"/>
      <c r="B7399" s="29"/>
      <c r="C7399" s="29"/>
      <c r="E7399" s="29"/>
      <c r="F7399" s="29"/>
    </row>
    <row r="7400">
      <c r="A7400" s="28"/>
      <c r="B7400" s="29"/>
      <c r="C7400" s="29"/>
      <c r="E7400" s="29"/>
      <c r="F7400" s="29"/>
    </row>
    <row r="7401">
      <c r="A7401" s="28"/>
      <c r="B7401" s="29"/>
      <c r="C7401" s="29"/>
      <c r="E7401" s="29"/>
      <c r="F7401" s="29"/>
    </row>
    <row r="7402">
      <c r="A7402" s="28"/>
      <c r="B7402" s="29"/>
      <c r="C7402" s="29"/>
      <c r="E7402" s="29"/>
      <c r="F7402" s="29"/>
    </row>
    <row r="7403">
      <c r="A7403" s="28"/>
      <c r="B7403" s="29"/>
      <c r="C7403" s="29"/>
      <c r="E7403" s="29"/>
      <c r="F7403" s="29"/>
    </row>
    <row r="7404">
      <c r="A7404" s="28"/>
      <c r="B7404" s="29"/>
      <c r="C7404" s="29"/>
      <c r="E7404" s="29"/>
      <c r="F7404" s="29"/>
    </row>
    <row r="7405">
      <c r="A7405" s="28"/>
      <c r="B7405" s="29"/>
      <c r="C7405" s="29"/>
      <c r="E7405" s="29"/>
      <c r="F7405" s="29"/>
    </row>
    <row r="7406">
      <c r="A7406" s="28"/>
      <c r="B7406" s="29"/>
      <c r="C7406" s="29"/>
      <c r="E7406" s="29"/>
      <c r="F7406" s="29"/>
    </row>
    <row r="7407">
      <c r="A7407" s="28"/>
      <c r="B7407" s="29"/>
      <c r="C7407" s="29"/>
      <c r="E7407" s="29"/>
      <c r="F7407" s="29"/>
    </row>
    <row r="7408">
      <c r="A7408" s="28"/>
      <c r="B7408" s="29"/>
      <c r="C7408" s="29"/>
      <c r="E7408" s="29"/>
      <c r="F7408" s="29"/>
    </row>
    <row r="7409">
      <c r="A7409" s="28"/>
      <c r="B7409" s="29"/>
      <c r="C7409" s="29"/>
      <c r="E7409" s="29"/>
      <c r="F7409" s="29"/>
    </row>
    <row r="7410">
      <c r="A7410" s="28"/>
      <c r="B7410" s="29"/>
      <c r="C7410" s="29"/>
      <c r="E7410" s="29"/>
      <c r="F7410" s="29"/>
    </row>
    <row r="7411">
      <c r="A7411" s="28"/>
      <c r="B7411" s="29"/>
      <c r="C7411" s="29"/>
      <c r="E7411" s="29"/>
      <c r="F7411" s="29"/>
    </row>
    <row r="7412">
      <c r="A7412" s="28"/>
      <c r="B7412" s="29"/>
      <c r="C7412" s="29"/>
      <c r="E7412" s="29"/>
      <c r="F7412" s="29"/>
    </row>
    <row r="7413">
      <c r="A7413" s="28"/>
      <c r="B7413" s="29"/>
      <c r="C7413" s="29"/>
      <c r="E7413" s="29"/>
      <c r="F7413" s="29"/>
    </row>
    <row r="7414">
      <c r="A7414" s="28"/>
      <c r="B7414" s="29"/>
      <c r="C7414" s="29"/>
      <c r="E7414" s="29"/>
      <c r="F7414" s="29"/>
    </row>
    <row r="7415">
      <c r="A7415" s="28"/>
      <c r="B7415" s="29"/>
      <c r="C7415" s="29"/>
      <c r="E7415" s="29"/>
      <c r="F7415" s="29"/>
    </row>
    <row r="7416">
      <c r="A7416" s="28"/>
      <c r="B7416" s="29"/>
      <c r="C7416" s="29"/>
      <c r="E7416" s="29"/>
      <c r="F7416" s="29"/>
    </row>
    <row r="7417">
      <c r="A7417" s="28"/>
      <c r="B7417" s="29"/>
      <c r="C7417" s="29"/>
      <c r="E7417" s="29"/>
      <c r="F7417" s="29"/>
    </row>
    <row r="7418">
      <c r="A7418" s="28"/>
      <c r="B7418" s="29"/>
      <c r="C7418" s="29"/>
      <c r="E7418" s="29"/>
      <c r="F7418" s="29"/>
    </row>
    <row r="7419">
      <c r="A7419" s="28"/>
      <c r="B7419" s="29"/>
      <c r="C7419" s="29"/>
      <c r="E7419" s="29"/>
      <c r="F7419" s="29"/>
    </row>
    <row r="7420">
      <c r="A7420" s="28"/>
      <c r="B7420" s="29"/>
      <c r="C7420" s="29"/>
      <c r="E7420" s="29"/>
      <c r="F7420" s="29"/>
    </row>
    <row r="7421">
      <c r="A7421" s="28"/>
      <c r="B7421" s="29"/>
      <c r="C7421" s="29"/>
      <c r="E7421" s="29"/>
      <c r="F7421" s="29"/>
    </row>
    <row r="7422">
      <c r="A7422" s="28"/>
      <c r="B7422" s="29"/>
      <c r="C7422" s="29"/>
      <c r="E7422" s="29"/>
      <c r="F7422" s="29"/>
    </row>
    <row r="7423">
      <c r="A7423" s="28"/>
      <c r="B7423" s="29"/>
      <c r="C7423" s="29"/>
      <c r="E7423" s="29"/>
      <c r="F7423" s="29"/>
    </row>
    <row r="7424">
      <c r="A7424" s="28"/>
      <c r="B7424" s="29"/>
      <c r="C7424" s="29"/>
      <c r="E7424" s="29"/>
      <c r="F7424" s="29"/>
    </row>
    <row r="7425">
      <c r="A7425" s="28"/>
      <c r="B7425" s="29"/>
      <c r="C7425" s="29"/>
      <c r="E7425" s="29"/>
      <c r="F7425" s="29"/>
    </row>
    <row r="7426">
      <c r="A7426" s="28"/>
      <c r="B7426" s="29"/>
      <c r="C7426" s="29"/>
      <c r="E7426" s="29"/>
      <c r="F7426" s="29"/>
    </row>
    <row r="7427">
      <c r="A7427" s="28"/>
      <c r="B7427" s="29"/>
      <c r="C7427" s="29"/>
      <c r="E7427" s="29"/>
      <c r="F7427" s="29"/>
    </row>
    <row r="7428">
      <c r="A7428" s="28"/>
      <c r="B7428" s="29"/>
      <c r="C7428" s="29"/>
      <c r="E7428" s="29"/>
      <c r="F7428" s="29"/>
    </row>
    <row r="7429">
      <c r="A7429" s="28"/>
      <c r="B7429" s="29"/>
      <c r="C7429" s="29"/>
      <c r="E7429" s="29"/>
      <c r="F7429" s="29"/>
    </row>
    <row r="7430">
      <c r="A7430" s="28"/>
      <c r="B7430" s="29"/>
      <c r="C7430" s="29"/>
      <c r="E7430" s="29"/>
      <c r="F7430" s="29"/>
    </row>
    <row r="7431">
      <c r="A7431" s="28"/>
      <c r="B7431" s="29"/>
      <c r="C7431" s="29"/>
      <c r="E7431" s="29"/>
      <c r="F7431" s="29"/>
    </row>
    <row r="7432">
      <c r="A7432" s="28"/>
      <c r="B7432" s="29"/>
      <c r="C7432" s="29"/>
      <c r="E7432" s="29"/>
      <c r="F7432" s="29"/>
    </row>
    <row r="7433">
      <c r="A7433" s="28"/>
      <c r="B7433" s="29"/>
      <c r="C7433" s="29"/>
      <c r="E7433" s="29"/>
      <c r="F7433" s="29"/>
    </row>
    <row r="7434">
      <c r="A7434" s="28"/>
      <c r="B7434" s="29"/>
      <c r="C7434" s="29"/>
      <c r="E7434" s="29"/>
      <c r="F7434" s="29"/>
    </row>
    <row r="7435">
      <c r="A7435" s="28"/>
      <c r="B7435" s="29"/>
      <c r="C7435" s="29"/>
      <c r="E7435" s="29"/>
      <c r="F7435" s="29"/>
    </row>
    <row r="7436">
      <c r="A7436" s="28"/>
      <c r="B7436" s="29"/>
      <c r="C7436" s="29"/>
      <c r="E7436" s="29"/>
      <c r="F7436" s="29"/>
    </row>
    <row r="7437">
      <c r="A7437" s="28"/>
      <c r="B7437" s="29"/>
      <c r="C7437" s="29"/>
      <c r="E7437" s="29"/>
      <c r="F7437" s="29"/>
    </row>
    <row r="7438">
      <c r="A7438" s="28"/>
      <c r="B7438" s="29"/>
      <c r="C7438" s="29"/>
      <c r="E7438" s="29"/>
      <c r="F7438" s="29"/>
    </row>
    <row r="7439">
      <c r="A7439" s="28"/>
      <c r="B7439" s="29"/>
      <c r="C7439" s="29"/>
      <c r="E7439" s="29"/>
      <c r="F7439" s="29"/>
    </row>
    <row r="7440">
      <c r="A7440" s="28"/>
      <c r="B7440" s="29"/>
      <c r="C7440" s="29"/>
      <c r="E7440" s="29"/>
      <c r="F7440" s="29"/>
    </row>
    <row r="7441">
      <c r="A7441" s="28"/>
      <c r="B7441" s="29"/>
      <c r="C7441" s="29"/>
      <c r="E7441" s="29"/>
      <c r="F7441" s="29"/>
    </row>
    <row r="7442">
      <c r="A7442" s="28"/>
      <c r="B7442" s="29"/>
      <c r="C7442" s="29"/>
      <c r="E7442" s="29"/>
      <c r="F7442" s="29"/>
    </row>
    <row r="7443">
      <c r="A7443" s="28"/>
      <c r="B7443" s="29"/>
      <c r="C7443" s="29"/>
      <c r="E7443" s="29"/>
      <c r="F7443" s="29"/>
    </row>
    <row r="7444">
      <c r="A7444" s="28"/>
      <c r="B7444" s="29"/>
      <c r="C7444" s="29"/>
      <c r="E7444" s="29"/>
      <c r="F7444" s="29"/>
    </row>
    <row r="7445">
      <c r="A7445" s="28"/>
      <c r="B7445" s="29"/>
      <c r="C7445" s="29"/>
      <c r="E7445" s="29"/>
      <c r="F7445" s="29"/>
    </row>
    <row r="7446">
      <c r="A7446" s="28"/>
      <c r="B7446" s="29"/>
      <c r="C7446" s="29"/>
      <c r="E7446" s="29"/>
      <c r="F7446" s="29"/>
    </row>
    <row r="7447">
      <c r="A7447" s="28"/>
      <c r="B7447" s="29"/>
      <c r="C7447" s="29"/>
      <c r="E7447" s="29"/>
      <c r="F7447" s="29"/>
    </row>
    <row r="7448">
      <c r="A7448" s="28"/>
      <c r="B7448" s="29"/>
      <c r="C7448" s="29"/>
      <c r="E7448" s="29"/>
      <c r="F7448" s="29"/>
    </row>
    <row r="7449">
      <c r="A7449" s="28"/>
      <c r="B7449" s="29"/>
      <c r="C7449" s="29"/>
      <c r="E7449" s="29"/>
      <c r="F7449" s="29"/>
    </row>
    <row r="7450">
      <c r="A7450" s="28"/>
      <c r="B7450" s="29"/>
      <c r="C7450" s="29"/>
      <c r="E7450" s="29"/>
      <c r="F7450" s="29"/>
    </row>
    <row r="7451">
      <c r="A7451" s="28"/>
      <c r="B7451" s="29"/>
      <c r="C7451" s="29"/>
      <c r="E7451" s="29"/>
      <c r="F7451" s="29"/>
    </row>
    <row r="7452">
      <c r="A7452" s="28"/>
      <c r="B7452" s="29"/>
      <c r="C7452" s="29"/>
      <c r="E7452" s="29"/>
      <c r="F7452" s="29"/>
    </row>
    <row r="7453">
      <c r="A7453" s="28"/>
      <c r="B7453" s="29"/>
      <c r="C7453" s="29"/>
      <c r="E7453" s="29"/>
      <c r="F7453" s="29"/>
    </row>
    <row r="7454">
      <c r="A7454" s="28"/>
      <c r="B7454" s="29"/>
      <c r="C7454" s="29"/>
      <c r="E7454" s="29"/>
      <c r="F7454" s="29"/>
    </row>
    <row r="7455">
      <c r="A7455" s="28"/>
      <c r="B7455" s="29"/>
      <c r="C7455" s="29"/>
      <c r="E7455" s="29"/>
      <c r="F7455" s="29"/>
    </row>
    <row r="7456">
      <c r="A7456" s="28"/>
      <c r="B7456" s="29"/>
      <c r="C7456" s="29"/>
      <c r="E7456" s="29"/>
      <c r="F7456" s="29"/>
    </row>
    <row r="7457">
      <c r="A7457" s="28"/>
      <c r="B7457" s="29"/>
      <c r="C7457" s="29"/>
      <c r="E7457" s="29"/>
      <c r="F7457" s="29"/>
    </row>
    <row r="7458">
      <c r="A7458" s="28"/>
      <c r="B7458" s="29"/>
      <c r="C7458" s="29"/>
      <c r="E7458" s="29"/>
      <c r="F7458" s="29"/>
    </row>
    <row r="7459">
      <c r="A7459" s="28"/>
      <c r="B7459" s="29"/>
      <c r="C7459" s="29"/>
      <c r="E7459" s="29"/>
      <c r="F7459" s="29"/>
    </row>
    <row r="7460">
      <c r="A7460" s="28"/>
      <c r="B7460" s="29"/>
      <c r="C7460" s="29"/>
      <c r="E7460" s="29"/>
      <c r="F7460" s="29"/>
    </row>
    <row r="7461">
      <c r="A7461" s="28"/>
      <c r="B7461" s="29"/>
      <c r="C7461" s="29"/>
      <c r="E7461" s="29"/>
      <c r="F7461" s="29"/>
    </row>
    <row r="7462">
      <c r="A7462" s="28"/>
      <c r="B7462" s="29"/>
      <c r="C7462" s="29"/>
      <c r="E7462" s="29"/>
      <c r="F7462" s="29"/>
    </row>
    <row r="7463">
      <c r="A7463" s="28"/>
      <c r="B7463" s="29"/>
      <c r="C7463" s="29"/>
      <c r="E7463" s="29"/>
      <c r="F7463" s="29"/>
    </row>
    <row r="7464">
      <c r="A7464" s="28"/>
      <c r="B7464" s="29"/>
      <c r="C7464" s="29"/>
      <c r="E7464" s="29"/>
      <c r="F7464" s="29"/>
    </row>
    <row r="7465">
      <c r="A7465" s="28"/>
      <c r="B7465" s="29"/>
      <c r="C7465" s="29"/>
      <c r="E7465" s="29"/>
      <c r="F7465" s="29"/>
    </row>
    <row r="7466">
      <c r="A7466" s="28"/>
      <c r="B7466" s="29"/>
      <c r="C7466" s="29"/>
      <c r="E7466" s="29"/>
      <c r="F7466" s="29"/>
    </row>
    <row r="7467">
      <c r="A7467" s="28"/>
      <c r="B7467" s="29"/>
      <c r="C7467" s="29"/>
      <c r="E7467" s="29"/>
      <c r="F7467" s="29"/>
    </row>
    <row r="7468">
      <c r="A7468" s="28"/>
      <c r="B7468" s="29"/>
      <c r="C7468" s="29"/>
      <c r="E7468" s="29"/>
      <c r="F7468" s="29"/>
    </row>
    <row r="7469">
      <c r="A7469" s="28"/>
      <c r="B7469" s="29"/>
      <c r="C7469" s="29"/>
      <c r="E7469" s="29"/>
      <c r="F7469" s="29"/>
    </row>
    <row r="7470">
      <c r="A7470" s="28"/>
      <c r="B7470" s="29"/>
      <c r="C7470" s="29"/>
      <c r="E7470" s="29"/>
      <c r="F7470" s="29"/>
    </row>
    <row r="7471">
      <c r="A7471" s="28"/>
      <c r="B7471" s="29"/>
      <c r="C7471" s="29"/>
      <c r="E7471" s="29"/>
      <c r="F7471" s="29"/>
    </row>
    <row r="7472">
      <c r="A7472" s="28"/>
      <c r="B7472" s="29"/>
      <c r="C7472" s="29"/>
      <c r="E7472" s="29"/>
      <c r="F7472" s="29"/>
    </row>
    <row r="7473">
      <c r="A7473" s="28"/>
      <c r="B7473" s="29"/>
      <c r="C7473" s="29"/>
      <c r="E7473" s="29"/>
      <c r="F7473" s="29"/>
    </row>
    <row r="7474">
      <c r="A7474" s="28"/>
      <c r="B7474" s="29"/>
      <c r="C7474" s="29"/>
      <c r="E7474" s="29"/>
      <c r="F7474" s="29"/>
    </row>
    <row r="7475">
      <c r="A7475" s="28"/>
      <c r="B7475" s="29"/>
      <c r="C7475" s="29"/>
      <c r="E7475" s="29"/>
      <c r="F7475" s="29"/>
    </row>
    <row r="7476">
      <c r="A7476" s="28"/>
      <c r="B7476" s="29"/>
      <c r="C7476" s="29"/>
      <c r="E7476" s="29"/>
      <c r="F7476" s="29"/>
    </row>
    <row r="7477">
      <c r="A7477" s="28"/>
      <c r="B7477" s="29"/>
      <c r="C7477" s="29"/>
      <c r="E7477" s="29"/>
      <c r="F7477" s="29"/>
    </row>
    <row r="7478">
      <c r="A7478" s="28"/>
      <c r="B7478" s="29"/>
      <c r="C7478" s="29"/>
      <c r="E7478" s="29"/>
      <c r="F7478" s="29"/>
    </row>
    <row r="7479">
      <c r="A7479" s="28"/>
      <c r="B7479" s="29"/>
      <c r="C7479" s="29"/>
      <c r="E7479" s="29"/>
      <c r="F7479" s="29"/>
    </row>
    <row r="7480">
      <c r="A7480" s="28"/>
      <c r="B7480" s="29"/>
      <c r="C7480" s="29"/>
      <c r="E7480" s="29"/>
      <c r="F7480" s="29"/>
    </row>
    <row r="7481">
      <c r="A7481" s="28"/>
      <c r="B7481" s="29"/>
      <c r="C7481" s="29"/>
      <c r="E7481" s="29"/>
      <c r="F7481" s="29"/>
    </row>
    <row r="7482">
      <c r="A7482" s="28"/>
      <c r="B7482" s="29"/>
      <c r="C7482" s="29"/>
      <c r="E7482" s="29"/>
      <c r="F7482" s="29"/>
    </row>
    <row r="7483">
      <c r="A7483" s="28"/>
      <c r="B7483" s="29"/>
      <c r="C7483" s="29"/>
      <c r="E7483" s="29"/>
      <c r="F7483" s="29"/>
    </row>
    <row r="7484">
      <c r="A7484" s="28"/>
      <c r="B7484" s="29"/>
      <c r="C7484" s="29"/>
      <c r="E7484" s="29"/>
      <c r="F7484" s="29"/>
    </row>
    <row r="7485">
      <c r="A7485" s="28"/>
      <c r="B7485" s="29"/>
      <c r="C7485" s="29"/>
      <c r="E7485" s="29"/>
      <c r="F7485" s="29"/>
    </row>
    <row r="7486">
      <c r="A7486" s="28"/>
      <c r="B7486" s="29"/>
      <c r="C7486" s="29"/>
      <c r="E7486" s="29"/>
      <c r="F7486" s="29"/>
    </row>
    <row r="7487">
      <c r="A7487" s="28"/>
      <c r="B7487" s="29"/>
      <c r="C7487" s="29"/>
      <c r="E7487" s="29"/>
      <c r="F7487" s="29"/>
    </row>
    <row r="7488">
      <c r="A7488" s="28"/>
      <c r="B7488" s="29"/>
      <c r="C7488" s="29"/>
      <c r="E7488" s="29"/>
      <c r="F7488" s="29"/>
    </row>
    <row r="7489">
      <c r="A7489" s="28"/>
      <c r="B7489" s="29"/>
      <c r="C7489" s="29"/>
      <c r="E7489" s="29"/>
      <c r="F7489" s="29"/>
    </row>
    <row r="7490">
      <c r="A7490" s="28"/>
      <c r="B7490" s="29"/>
      <c r="C7490" s="29"/>
      <c r="E7490" s="29"/>
      <c r="F7490" s="29"/>
    </row>
    <row r="7491">
      <c r="A7491" s="28"/>
      <c r="B7491" s="29"/>
      <c r="C7491" s="29"/>
      <c r="E7491" s="29"/>
      <c r="F7491" s="29"/>
    </row>
    <row r="7492">
      <c r="A7492" s="28"/>
      <c r="B7492" s="29"/>
      <c r="C7492" s="29"/>
      <c r="E7492" s="29"/>
      <c r="F7492" s="29"/>
    </row>
    <row r="7493">
      <c r="A7493" s="28"/>
      <c r="B7493" s="29"/>
      <c r="C7493" s="29"/>
      <c r="E7493" s="29"/>
      <c r="F7493" s="29"/>
    </row>
    <row r="7494">
      <c r="A7494" s="28"/>
      <c r="B7494" s="29"/>
      <c r="C7494" s="29"/>
      <c r="E7494" s="29"/>
      <c r="F7494" s="29"/>
    </row>
    <row r="7495">
      <c r="A7495" s="28"/>
      <c r="B7495" s="29"/>
      <c r="C7495" s="29"/>
      <c r="E7495" s="29"/>
      <c r="F7495" s="29"/>
    </row>
    <row r="7496">
      <c r="A7496" s="28"/>
      <c r="B7496" s="29"/>
      <c r="C7496" s="29"/>
      <c r="E7496" s="29"/>
      <c r="F7496" s="29"/>
    </row>
    <row r="7497">
      <c r="A7497" s="28"/>
      <c r="B7497" s="29"/>
      <c r="C7497" s="29"/>
      <c r="E7497" s="29"/>
      <c r="F7497" s="29"/>
    </row>
    <row r="7498">
      <c r="A7498" s="28"/>
      <c r="B7498" s="29"/>
      <c r="C7498" s="29"/>
      <c r="E7498" s="29"/>
      <c r="F7498" s="29"/>
    </row>
    <row r="7499">
      <c r="A7499" s="28"/>
      <c r="B7499" s="29"/>
      <c r="C7499" s="29"/>
      <c r="E7499" s="29"/>
      <c r="F7499" s="29"/>
    </row>
    <row r="7500">
      <c r="A7500" s="28"/>
      <c r="B7500" s="29"/>
      <c r="C7500" s="29"/>
      <c r="E7500" s="29"/>
      <c r="F7500" s="29"/>
    </row>
    <row r="7501">
      <c r="A7501" s="28"/>
      <c r="B7501" s="29"/>
      <c r="C7501" s="29"/>
      <c r="E7501" s="29"/>
      <c r="F7501" s="29"/>
    </row>
    <row r="7502">
      <c r="A7502" s="28"/>
      <c r="B7502" s="29"/>
      <c r="C7502" s="29"/>
      <c r="E7502" s="29"/>
      <c r="F7502" s="29"/>
    </row>
    <row r="7503">
      <c r="A7503" s="28"/>
      <c r="B7503" s="29"/>
      <c r="C7503" s="29"/>
      <c r="E7503" s="29"/>
      <c r="F7503" s="29"/>
    </row>
    <row r="7504">
      <c r="A7504" s="28"/>
      <c r="B7504" s="29"/>
      <c r="C7504" s="29"/>
      <c r="E7504" s="29"/>
      <c r="F7504" s="29"/>
    </row>
    <row r="7505">
      <c r="A7505" s="28"/>
      <c r="B7505" s="29"/>
      <c r="C7505" s="29"/>
      <c r="E7505" s="29"/>
      <c r="F7505" s="29"/>
    </row>
    <row r="7506">
      <c r="A7506" s="28"/>
      <c r="B7506" s="29"/>
      <c r="C7506" s="29"/>
      <c r="E7506" s="29"/>
      <c r="F7506" s="29"/>
    </row>
    <row r="7507">
      <c r="A7507" s="28"/>
      <c r="B7507" s="29"/>
      <c r="C7507" s="29"/>
      <c r="E7507" s="29"/>
      <c r="F7507" s="29"/>
    </row>
    <row r="7508">
      <c r="A7508" s="28"/>
      <c r="B7508" s="29"/>
      <c r="C7508" s="29"/>
      <c r="E7508" s="29"/>
      <c r="F7508" s="29"/>
    </row>
    <row r="7509">
      <c r="A7509" s="28"/>
      <c r="B7509" s="29"/>
      <c r="C7509" s="29"/>
      <c r="E7509" s="29"/>
      <c r="F7509" s="29"/>
    </row>
    <row r="7510">
      <c r="A7510" s="28"/>
      <c r="B7510" s="29"/>
      <c r="C7510" s="29"/>
      <c r="E7510" s="29"/>
      <c r="F7510" s="29"/>
    </row>
    <row r="7511">
      <c r="A7511" s="28"/>
      <c r="B7511" s="29"/>
      <c r="C7511" s="29"/>
      <c r="E7511" s="29"/>
      <c r="F7511" s="29"/>
    </row>
    <row r="7512">
      <c r="A7512" s="28"/>
      <c r="B7512" s="29"/>
      <c r="C7512" s="29"/>
      <c r="E7512" s="29"/>
      <c r="F7512" s="29"/>
    </row>
    <row r="7513">
      <c r="A7513" s="28"/>
      <c r="B7513" s="29"/>
      <c r="C7513" s="29"/>
      <c r="E7513" s="29"/>
      <c r="F7513" s="29"/>
    </row>
    <row r="7514">
      <c r="A7514" s="28"/>
      <c r="B7514" s="29"/>
      <c r="C7514" s="29"/>
      <c r="E7514" s="29"/>
      <c r="F7514" s="29"/>
    </row>
    <row r="7515">
      <c r="A7515" s="28"/>
      <c r="B7515" s="29"/>
      <c r="C7515" s="29"/>
      <c r="E7515" s="29"/>
      <c r="F7515" s="29"/>
    </row>
    <row r="7516">
      <c r="A7516" s="28"/>
      <c r="B7516" s="29"/>
      <c r="C7516" s="29"/>
      <c r="E7516" s="29"/>
      <c r="F7516" s="29"/>
    </row>
    <row r="7517">
      <c r="A7517" s="28"/>
      <c r="B7517" s="29"/>
      <c r="C7517" s="29"/>
      <c r="E7517" s="29"/>
      <c r="F7517" s="29"/>
    </row>
    <row r="7518">
      <c r="A7518" s="28"/>
      <c r="B7518" s="29"/>
      <c r="C7518" s="29"/>
      <c r="E7518" s="29"/>
      <c r="F7518" s="29"/>
    </row>
    <row r="7519">
      <c r="A7519" s="28"/>
      <c r="B7519" s="29"/>
      <c r="C7519" s="29"/>
      <c r="E7519" s="29"/>
      <c r="F7519" s="29"/>
    </row>
    <row r="7520">
      <c r="A7520" s="28"/>
      <c r="B7520" s="29"/>
      <c r="C7520" s="29"/>
      <c r="E7520" s="29"/>
      <c r="F7520" s="29"/>
    </row>
    <row r="7521">
      <c r="A7521" s="28"/>
      <c r="B7521" s="29"/>
      <c r="C7521" s="29"/>
      <c r="E7521" s="29"/>
      <c r="F7521" s="29"/>
    </row>
    <row r="7522">
      <c r="A7522" s="28"/>
      <c r="B7522" s="29"/>
      <c r="C7522" s="29"/>
      <c r="E7522" s="29"/>
      <c r="F7522" s="29"/>
    </row>
    <row r="7523">
      <c r="A7523" s="28"/>
      <c r="B7523" s="29"/>
      <c r="C7523" s="29"/>
      <c r="E7523" s="29"/>
      <c r="F7523" s="29"/>
    </row>
    <row r="7524">
      <c r="A7524" s="28"/>
      <c r="B7524" s="29"/>
      <c r="C7524" s="29"/>
      <c r="E7524" s="29"/>
      <c r="F7524" s="29"/>
    </row>
    <row r="7525">
      <c r="A7525" s="28"/>
      <c r="B7525" s="29"/>
      <c r="C7525" s="29"/>
      <c r="E7525" s="29"/>
      <c r="F7525" s="29"/>
    </row>
    <row r="7526">
      <c r="A7526" s="28"/>
      <c r="B7526" s="29"/>
      <c r="C7526" s="29"/>
      <c r="E7526" s="29"/>
      <c r="F7526" s="29"/>
    </row>
    <row r="7527">
      <c r="A7527" s="28"/>
      <c r="B7527" s="29"/>
      <c r="C7527" s="29"/>
      <c r="E7527" s="29"/>
      <c r="F7527" s="29"/>
    </row>
    <row r="7528">
      <c r="A7528" s="28"/>
      <c r="B7528" s="29"/>
      <c r="C7528" s="29"/>
      <c r="E7528" s="29"/>
      <c r="F7528" s="29"/>
    </row>
    <row r="7529">
      <c r="A7529" s="28"/>
      <c r="B7529" s="29"/>
      <c r="C7529" s="29"/>
      <c r="E7529" s="29"/>
      <c r="F7529" s="29"/>
    </row>
    <row r="7530">
      <c r="A7530" s="28"/>
      <c r="B7530" s="29"/>
      <c r="C7530" s="29"/>
      <c r="E7530" s="29"/>
      <c r="F7530" s="29"/>
    </row>
    <row r="7531">
      <c r="A7531" s="28"/>
      <c r="B7531" s="29"/>
      <c r="C7531" s="29"/>
      <c r="E7531" s="29"/>
      <c r="F7531" s="29"/>
    </row>
    <row r="7532">
      <c r="A7532" s="28"/>
      <c r="B7532" s="29"/>
      <c r="C7532" s="29"/>
      <c r="E7532" s="29"/>
      <c r="F7532" s="29"/>
    </row>
    <row r="7533">
      <c r="A7533" s="28"/>
      <c r="B7533" s="29"/>
      <c r="C7533" s="29"/>
      <c r="E7533" s="29"/>
      <c r="F7533" s="29"/>
    </row>
    <row r="7534">
      <c r="A7534" s="28"/>
      <c r="B7534" s="29"/>
      <c r="C7534" s="29"/>
      <c r="E7534" s="29"/>
      <c r="F7534" s="29"/>
    </row>
    <row r="7535">
      <c r="A7535" s="28"/>
      <c r="B7535" s="29"/>
      <c r="C7535" s="29"/>
      <c r="E7535" s="29"/>
      <c r="F7535" s="29"/>
    </row>
    <row r="7536">
      <c r="A7536" s="28"/>
      <c r="B7536" s="29"/>
      <c r="C7536" s="29"/>
      <c r="E7536" s="29"/>
      <c r="F7536" s="29"/>
    </row>
    <row r="7537">
      <c r="A7537" s="28"/>
      <c r="B7537" s="29"/>
      <c r="C7537" s="29"/>
      <c r="E7537" s="29"/>
      <c r="F7537" s="29"/>
    </row>
    <row r="7538">
      <c r="A7538" s="28"/>
      <c r="B7538" s="29"/>
      <c r="C7538" s="29"/>
      <c r="E7538" s="29"/>
      <c r="F7538" s="29"/>
    </row>
    <row r="7539">
      <c r="A7539" s="28"/>
      <c r="B7539" s="29"/>
      <c r="C7539" s="29"/>
      <c r="E7539" s="29"/>
      <c r="F7539" s="29"/>
    </row>
    <row r="7540">
      <c r="A7540" s="28"/>
      <c r="B7540" s="29"/>
      <c r="C7540" s="29"/>
      <c r="E7540" s="29"/>
      <c r="F7540" s="29"/>
    </row>
    <row r="7541">
      <c r="A7541" s="28"/>
      <c r="B7541" s="29"/>
      <c r="C7541" s="29"/>
      <c r="E7541" s="29"/>
      <c r="F7541" s="29"/>
    </row>
    <row r="7542">
      <c r="A7542" s="28"/>
      <c r="B7542" s="29"/>
      <c r="C7542" s="29"/>
      <c r="E7542" s="29"/>
      <c r="F7542" s="29"/>
    </row>
    <row r="7543">
      <c r="A7543" s="28"/>
      <c r="B7543" s="29"/>
      <c r="C7543" s="29"/>
      <c r="E7543" s="29"/>
      <c r="F7543" s="29"/>
    </row>
    <row r="7544">
      <c r="A7544" s="28"/>
      <c r="B7544" s="29"/>
      <c r="C7544" s="29"/>
      <c r="E7544" s="29"/>
      <c r="F7544" s="29"/>
    </row>
    <row r="7545">
      <c r="A7545" s="28"/>
      <c r="B7545" s="29"/>
      <c r="C7545" s="29"/>
      <c r="E7545" s="29"/>
      <c r="F7545" s="29"/>
    </row>
    <row r="7546">
      <c r="A7546" s="28"/>
      <c r="B7546" s="29"/>
      <c r="C7546" s="29"/>
      <c r="E7546" s="29"/>
      <c r="F7546" s="29"/>
    </row>
    <row r="7547">
      <c r="A7547" s="28"/>
      <c r="B7547" s="29"/>
      <c r="C7547" s="29"/>
      <c r="E7547" s="29"/>
      <c r="F7547" s="29"/>
    </row>
    <row r="7548">
      <c r="A7548" s="28"/>
      <c r="B7548" s="29"/>
      <c r="C7548" s="29"/>
      <c r="E7548" s="29"/>
      <c r="F7548" s="29"/>
    </row>
    <row r="7549">
      <c r="A7549" s="28"/>
      <c r="B7549" s="29"/>
      <c r="C7549" s="29"/>
      <c r="E7549" s="29"/>
      <c r="F7549" s="29"/>
    </row>
    <row r="7550">
      <c r="A7550" s="28"/>
      <c r="B7550" s="29"/>
      <c r="C7550" s="29"/>
      <c r="E7550" s="29"/>
      <c r="F7550" s="29"/>
    </row>
    <row r="7551">
      <c r="A7551" s="28"/>
      <c r="B7551" s="29"/>
      <c r="C7551" s="29"/>
      <c r="E7551" s="29"/>
      <c r="F7551" s="29"/>
    </row>
    <row r="7552">
      <c r="A7552" s="28"/>
      <c r="B7552" s="29"/>
      <c r="C7552" s="29"/>
      <c r="E7552" s="29"/>
      <c r="F7552" s="29"/>
    </row>
    <row r="7553">
      <c r="A7553" s="28"/>
      <c r="B7553" s="29"/>
      <c r="C7553" s="29"/>
      <c r="E7553" s="29"/>
      <c r="F7553" s="29"/>
    </row>
    <row r="7554">
      <c r="A7554" s="28"/>
      <c r="B7554" s="29"/>
      <c r="C7554" s="29"/>
      <c r="E7554" s="29"/>
      <c r="F7554" s="29"/>
    </row>
    <row r="7555">
      <c r="A7555" s="28"/>
      <c r="B7555" s="29"/>
      <c r="C7555" s="29"/>
      <c r="E7555" s="29"/>
      <c r="F7555" s="29"/>
    </row>
    <row r="7556">
      <c r="A7556" s="28"/>
      <c r="B7556" s="29"/>
      <c r="C7556" s="29"/>
      <c r="E7556" s="29"/>
      <c r="F7556" s="29"/>
    </row>
    <row r="7557">
      <c r="A7557" s="28"/>
      <c r="B7557" s="29"/>
      <c r="C7557" s="29"/>
      <c r="E7557" s="29"/>
      <c r="F7557" s="29"/>
    </row>
    <row r="7558">
      <c r="A7558" s="28"/>
      <c r="B7558" s="29"/>
      <c r="C7558" s="29"/>
      <c r="E7558" s="29"/>
      <c r="F7558" s="29"/>
    </row>
    <row r="7559">
      <c r="A7559" s="28"/>
      <c r="B7559" s="29"/>
      <c r="C7559" s="29"/>
      <c r="E7559" s="29"/>
      <c r="F7559" s="29"/>
    </row>
    <row r="7560">
      <c r="A7560" s="28"/>
      <c r="B7560" s="29"/>
      <c r="C7560" s="29"/>
      <c r="E7560" s="29"/>
      <c r="F7560" s="29"/>
    </row>
    <row r="7561">
      <c r="A7561" s="28"/>
      <c r="B7561" s="29"/>
      <c r="C7561" s="29"/>
      <c r="E7561" s="29"/>
      <c r="F7561" s="29"/>
    </row>
    <row r="7562">
      <c r="A7562" s="28"/>
      <c r="B7562" s="29"/>
      <c r="C7562" s="29"/>
      <c r="E7562" s="29"/>
      <c r="F7562" s="29"/>
    </row>
    <row r="7563">
      <c r="A7563" s="28"/>
      <c r="B7563" s="29"/>
      <c r="C7563" s="29"/>
      <c r="E7563" s="29"/>
      <c r="F7563" s="29"/>
    </row>
    <row r="7564">
      <c r="A7564" s="28"/>
      <c r="B7564" s="29"/>
      <c r="C7564" s="29"/>
      <c r="E7564" s="29"/>
      <c r="F7564" s="29"/>
    </row>
    <row r="7565">
      <c r="A7565" s="28"/>
      <c r="B7565" s="29"/>
      <c r="C7565" s="29"/>
      <c r="E7565" s="29"/>
      <c r="F7565" s="29"/>
    </row>
    <row r="7566">
      <c r="A7566" s="28"/>
      <c r="B7566" s="29"/>
      <c r="C7566" s="29"/>
      <c r="E7566" s="29"/>
      <c r="F7566" s="29"/>
    </row>
    <row r="7567">
      <c r="A7567" s="28"/>
      <c r="B7567" s="29"/>
      <c r="C7567" s="29"/>
      <c r="E7567" s="29"/>
      <c r="F7567" s="29"/>
    </row>
    <row r="7568">
      <c r="A7568" s="28"/>
      <c r="B7568" s="29"/>
      <c r="C7568" s="29"/>
      <c r="E7568" s="29"/>
      <c r="F7568" s="29"/>
    </row>
    <row r="7569">
      <c r="A7569" s="28"/>
      <c r="B7569" s="29"/>
      <c r="C7569" s="29"/>
      <c r="E7569" s="29"/>
      <c r="F7569" s="29"/>
    </row>
    <row r="7570">
      <c r="A7570" s="28"/>
      <c r="B7570" s="29"/>
      <c r="C7570" s="29"/>
      <c r="E7570" s="29"/>
      <c r="F7570" s="29"/>
    </row>
    <row r="7571">
      <c r="A7571" s="28"/>
      <c r="B7571" s="29"/>
      <c r="C7571" s="29"/>
      <c r="E7571" s="29"/>
      <c r="F7571" s="29"/>
    </row>
    <row r="7572">
      <c r="A7572" s="28"/>
      <c r="B7572" s="29"/>
      <c r="C7572" s="29"/>
      <c r="E7572" s="29"/>
      <c r="F7572" s="29"/>
    </row>
    <row r="7573">
      <c r="A7573" s="28"/>
      <c r="B7573" s="29"/>
      <c r="C7573" s="29"/>
      <c r="E7573" s="29"/>
      <c r="F7573" s="29"/>
    </row>
    <row r="7574">
      <c r="A7574" s="28"/>
      <c r="B7574" s="29"/>
      <c r="C7574" s="29"/>
      <c r="E7574" s="29"/>
      <c r="F7574" s="29"/>
    </row>
    <row r="7575">
      <c r="A7575" s="28"/>
      <c r="B7575" s="29"/>
      <c r="C7575" s="29"/>
      <c r="E7575" s="29"/>
      <c r="F7575" s="29"/>
    </row>
    <row r="7576">
      <c r="A7576" s="28"/>
      <c r="B7576" s="29"/>
      <c r="C7576" s="29"/>
      <c r="E7576" s="29"/>
      <c r="F7576" s="29"/>
    </row>
    <row r="7577">
      <c r="A7577" s="28"/>
      <c r="B7577" s="29"/>
      <c r="C7577" s="29"/>
      <c r="E7577" s="29"/>
      <c r="F7577" s="29"/>
    </row>
    <row r="7578">
      <c r="A7578" s="28"/>
      <c r="B7578" s="29"/>
      <c r="C7578" s="29"/>
      <c r="E7578" s="29"/>
      <c r="F7578" s="29"/>
    </row>
    <row r="7579">
      <c r="A7579" s="28"/>
      <c r="B7579" s="29"/>
      <c r="C7579" s="29"/>
      <c r="E7579" s="29"/>
      <c r="F7579" s="29"/>
    </row>
    <row r="7580">
      <c r="A7580" s="28"/>
      <c r="B7580" s="29"/>
      <c r="C7580" s="29"/>
      <c r="E7580" s="29"/>
      <c r="F7580" s="29"/>
    </row>
    <row r="7581">
      <c r="A7581" s="28"/>
      <c r="B7581" s="29"/>
      <c r="C7581" s="29"/>
      <c r="E7581" s="29"/>
      <c r="F7581" s="29"/>
    </row>
    <row r="7582">
      <c r="A7582" s="28"/>
      <c r="B7582" s="29"/>
      <c r="C7582" s="29"/>
      <c r="E7582" s="29"/>
      <c r="F7582" s="29"/>
    </row>
    <row r="7583">
      <c r="A7583" s="28"/>
      <c r="B7583" s="29"/>
      <c r="C7583" s="29"/>
      <c r="E7583" s="29"/>
      <c r="F7583" s="29"/>
    </row>
    <row r="7584">
      <c r="A7584" s="28"/>
      <c r="B7584" s="29"/>
      <c r="C7584" s="29"/>
      <c r="E7584" s="29"/>
      <c r="F7584" s="29"/>
    </row>
    <row r="7585">
      <c r="A7585" s="28"/>
      <c r="B7585" s="29"/>
      <c r="C7585" s="29"/>
      <c r="E7585" s="29"/>
      <c r="F7585" s="29"/>
    </row>
    <row r="7586">
      <c r="A7586" s="28"/>
      <c r="B7586" s="29"/>
      <c r="C7586" s="29"/>
      <c r="E7586" s="29"/>
      <c r="F7586" s="29"/>
    </row>
    <row r="7587">
      <c r="A7587" s="28"/>
      <c r="B7587" s="29"/>
      <c r="C7587" s="29"/>
      <c r="E7587" s="29"/>
      <c r="F7587" s="29"/>
    </row>
    <row r="7588">
      <c r="A7588" s="28"/>
      <c r="B7588" s="29"/>
      <c r="C7588" s="29"/>
      <c r="E7588" s="29"/>
      <c r="F7588" s="29"/>
    </row>
    <row r="7589">
      <c r="A7589" s="28"/>
      <c r="B7589" s="29"/>
      <c r="C7589" s="29"/>
      <c r="E7589" s="29"/>
      <c r="F7589" s="29"/>
    </row>
    <row r="7590">
      <c r="A7590" s="28"/>
      <c r="B7590" s="29"/>
      <c r="C7590" s="29"/>
      <c r="E7590" s="29"/>
      <c r="F7590" s="29"/>
    </row>
    <row r="7591">
      <c r="A7591" s="28"/>
      <c r="B7591" s="29"/>
      <c r="C7591" s="29"/>
      <c r="E7591" s="29"/>
      <c r="F7591" s="29"/>
    </row>
    <row r="7592">
      <c r="A7592" s="28"/>
      <c r="B7592" s="29"/>
      <c r="C7592" s="29"/>
      <c r="E7592" s="29"/>
      <c r="F7592" s="29"/>
    </row>
    <row r="7593">
      <c r="A7593" s="28"/>
      <c r="B7593" s="29"/>
      <c r="C7593" s="29"/>
      <c r="E7593" s="29"/>
      <c r="F7593" s="29"/>
    </row>
    <row r="7594">
      <c r="A7594" s="28"/>
      <c r="B7594" s="29"/>
      <c r="C7594" s="29"/>
      <c r="E7594" s="29"/>
      <c r="F7594" s="29"/>
    </row>
    <row r="7595">
      <c r="A7595" s="28"/>
      <c r="B7595" s="29"/>
      <c r="C7595" s="29"/>
      <c r="E7595" s="29"/>
      <c r="F7595" s="29"/>
    </row>
    <row r="7596">
      <c r="A7596" s="28"/>
      <c r="B7596" s="29"/>
      <c r="C7596" s="29"/>
      <c r="E7596" s="29"/>
      <c r="F7596" s="29"/>
    </row>
    <row r="7597">
      <c r="A7597" s="28"/>
      <c r="B7597" s="29"/>
      <c r="C7597" s="29"/>
      <c r="E7597" s="29"/>
      <c r="F7597" s="29"/>
    </row>
    <row r="7598">
      <c r="A7598" s="28"/>
      <c r="B7598" s="29"/>
      <c r="C7598" s="29"/>
      <c r="E7598" s="29"/>
      <c r="F7598" s="29"/>
    </row>
    <row r="7599">
      <c r="A7599" s="28"/>
      <c r="B7599" s="29"/>
      <c r="C7599" s="29"/>
      <c r="E7599" s="29"/>
      <c r="F7599" s="29"/>
    </row>
    <row r="7600">
      <c r="A7600" s="28"/>
      <c r="B7600" s="29"/>
      <c r="C7600" s="29"/>
      <c r="E7600" s="29"/>
      <c r="F7600" s="29"/>
    </row>
    <row r="7601">
      <c r="A7601" s="28"/>
      <c r="B7601" s="29"/>
      <c r="C7601" s="29"/>
      <c r="E7601" s="29"/>
      <c r="F7601" s="29"/>
    </row>
    <row r="7602">
      <c r="A7602" s="28"/>
      <c r="B7602" s="29"/>
      <c r="C7602" s="29"/>
      <c r="E7602" s="29"/>
      <c r="F7602" s="29"/>
    </row>
    <row r="7603">
      <c r="A7603" s="28"/>
      <c r="B7603" s="29"/>
      <c r="C7603" s="29"/>
      <c r="E7603" s="29"/>
      <c r="F7603" s="29"/>
    </row>
    <row r="7604">
      <c r="A7604" s="28"/>
      <c r="B7604" s="29"/>
      <c r="C7604" s="29"/>
      <c r="E7604" s="29"/>
      <c r="F7604" s="29"/>
    </row>
    <row r="7605">
      <c r="A7605" s="28"/>
      <c r="B7605" s="29"/>
      <c r="C7605" s="29"/>
      <c r="E7605" s="29"/>
      <c r="F7605" s="29"/>
    </row>
    <row r="7606">
      <c r="A7606" s="28"/>
      <c r="B7606" s="29"/>
      <c r="C7606" s="29"/>
      <c r="E7606" s="29"/>
      <c r="F7606" s="29"/>
    </row>
    <row r="7607">
      <c r="A7607" s="28"/>
      <c r="B7607" s="29"/>
      <c r="C7607" s="29"/>
      <c r="E7607" s="29"/>
      <c r="F7607" s="29"/>
    </row>
    <row r="7608">
      <c r="A7608" s="28"/>
      <c r="B7608" s="29"/>
      <c r="C7608" s="29"/>
      <c r="E7608" s="29"/>
      <c r="F7608" s="29"/>
    </row>
    <row r="7609">
      <c r="A7609" s="28"/>
      <c r="B7609" s="29"/>
      <c r="C7609" s="29"/>
      <c r="E7609" s="29"/>
      <c r="F7609" s="29"/>
    </row>
    <row r="7610">
      <c r="A7610" s="28"/>
      <c r="B7610" s="29"/>
      <c r="C7610" s="29"/>
      <c r="E7610" s="29"/>
      <c r="F7610" s="29"/>
    </row>
    <row r="7611">
      <c r="A7611" s="28"/>
      <c r="B7611" s="29"/>
      <c r="C7611" s="29"/>
      <c r="E7611" s="29"/>
      <c r="F7611" s="29"/>
    </row>
    <row r="7612">
      <c r="A7612" s="28"/>
      <c r="B7612" s="29"/>
      <c r="C7612" s="29"/>
      <c r="E7612" s="29"/>
      <c r="F7612" s="29"/>
    </row>
    <row r="7613">
      <c r="A7613" s="28"/>
      <c r="B7613" s="29"/>
      <c r="C7613" s="29"/>
      <c r="E7613" s="29"/>
      <c r="F7613" s="29"/>
    </row>
    <row r="7614">
      <c r="A7614" s="28"/>
      <c r="B7614" s="29"/>
      <c r="C7614" s="29"/>
      <c r="E7614" s="29"/>
      <c r="F7614" s="29"/>
    </row>
    <row r="7615">
      <c r="A7615" s="28"/>
      <c r="B7615" s="29"/>
      <c r="C7615" s="29"/>
      <c r="E7615" s="29"/>
      <c r="F7615" s="29"/>
    </row>
    <row r="7616">
      <c r="A7616" s="28"/>
      <c r="B7616" s="29"/>
      <c r="C7616" s="29"/>
      <c r="E7616" s="29"/>
      <c r="F7616" s="29"/>
    </row>
    <row r="7617">
      <c r="A7617" s="28"/>
      <c r="B7617" s="29"/>
      <c r="C7617" s="29"/>
      <c r="E7617" s="29"/>
      <c r="F7617" s="29"/>
    </row>
    <row r="7618">
      <c r="A7618" s="28"/>
      <c r="B7618" s="29"/>
      <c r="C7618" s="29"/>
      <c r="E7618" s="29"/>
      <c r="F7618" s="29"/>
    </row>
    <row r="7619">
      <c r="A7619" s="28"/>
      <c r="B7619" s="29"/>
      <c r="C7619" s="29"/>
      <c r="E7619" s="29"/>
      <c r="F7619" s="29"/>
    </row>
    <row r="7620">
      <c r="A7620" s="28"/>
      <c r="B7620" s="29"/>
      <c r="C7620" s="29"/>
      <c r="E7620" s="29"/>
      <c r="F7620" s="29"/>
    </row>
    <row r="7621">
      <c r="A7621" s="28"/>
      <c r="B7621" s="29"/>
      <c r="C7621" s="29"/>
      <c r="E7621" s="29"/>
      <c r="F7621" s="29"/>
    </row>
    <row r="7622">
      <c r="A7622" s="28"/>
      <c r="B7622" s="29"/>
      <c r="C7622" s="29"/>
      <c r="E7622" s="29"/>
      <c r="F7622" s="29"/>
    </row>
    <row r="7623">
      <c r="A7623" s="28"/>
      <c r="B7623" s="29"/>
      <c r="C7623" s="29"/>
      <c r="E7623" s="29"/>
      <c r="F7623" s="29"/>
    </row>
    <row r="7624">
      <c r="A7624" s="28"/>
      <c r="B7624" s="29"/>
      <c r="C7624" s="29"/>
      <c r="E7624" s="29"/>
      <c r="F7624" s="29"/>
    </row>
    <row r="7625">
      <c r="A7625" s="28"/>
      <c r="B7625" s="29"/>
      <c r="C7625" s="29"/>
      <c r="E7625" s="29"/>
      <c r="F7625" s="29"/>
    </row>
    <row r="7626">
      <c r="A7626" s="28"/>
      <c r="B7626" s="29"/>
      <c r="C7626" s="29"/>
      <c r="E7626" s="29"/>
      <c r="F7626" s="29"/>
    </row>
    <row r="7627">
      <c r="A7627" s="28"/>
      <c r="B7627" s="29"/>
      <c r="C7627" s="29"/>
      <c r="E7627" s="29"/>
      <c r="F7627" s="29"/>
    </row>
    <row r="7628">
      <c r="A7628" s="28"/>
      <c r="B7628" s="29"/>
      <c r="C7628" s="29"/>
      <c r="E7628" s="29"/>
      <c r="F7628" s="29"/>
    </row>
    <row r="7629">
      <c r="A7629" s="28"/>
      <c r="B7629" s="29"/>
      <c r="C7629" s="29"/>
      <c r="E7629" s="29"/>
      <c r="F7629" s="29"/>
    </row>
    <row r="7630">
      <c r="A7630" s="28"/>
      <c r="B7630" s="29"/>
      <c r="C7630" s="29"/>
      <c r="E7630" s="29"/>
      <c r="F7630" s="29"/>
    </row>
    <row r="7631">
      <c r="A7631" s="28"/>
      <c r="B7631" s="29"/>
      <c r="C7631" s="29"/>
      <c r="E7631" s="29"/>
      <c r="F7631" s="29"/>
    </row>
    <row r="7632">
      <c r="A7632" s="28"/>
      <c r="B7632" s="29"/>
      <c r="C7632" s="29"/>
      <c r="E7632" s="29"/>
      <c r="F7632" s="29"/>
    </row>
    <row r="7633">
      <c r="A7633" s="28"/>
      <c r="B7633" s="29"/>
      <c r="C7633" s="29"/>
      <c r="E7633" s="29"/>
      <c r="F7633" s="29"/>
    </row>
    <row r="7634">
      <c r="A7634" s="28"/>
      <c r="B7634" s="29"/>
      <c r="C7634" s="29"/>
      <c r="E7634" s="29"/>
      <c r="F7634" s="29"/>
    </row>
    <row r="7635">
      <c r="A7635" s="28"/>
      <c r="B7635" s="29"/>
      <c r="C7635" s="29"/>
      <c r="E7635" s="29"/>
      <c r="F7635" s="29"/>
    </row>
    <row r="7636">
      <c r="A7636" s="28"/>
      <c r="B7636" s="29"/>
      <c r="C7636" s="29"/>
      <c r="E7636" s="29"/>
      <c r="F7636" s="29"/>
    </row>
    <row r="7637">
      <c r="A7637" s="28"/>
      <c r="B7637" s="29"/>
      <c r="C7637" s="29"/>
      <c r="E7637" s="29"/>
      <c r="F7637" s="29"/>
    </row>
    <row r="7638">
      <c r="A7638" s="28"/>
      <c r="B7638" s="29"/>
      <c r="C7638" s="29"/>
      <c r="E7638" s="29"/>
      <c r="F7638" s="29"/>
    </row>
    <row r="7639">
      <c r="A7639" s="28"/>
      <c r="B7639" s="29"/>
      <c r="C7639" s="29"/>
      <c r="E7639" s="29"/>
      <c r="F7639" s="29"/>
    </row>
    <row r="7640">
      <c r="A7640" s="28"/>
      <c r="B7640" s="29"/>
      <c r="C7640" s="29"/>
      <c r="E7640" s="29"/>
      <c r="F7640" s="29"/>
    </row>
    <row r="7641">
      <c r="A7641" s="28"/>
      <c r="B7641" s="29"/>
      <c r="C7641" s="29"/>
      <c r="E7641" s="29"/>
      <c r="F7641" s="29"/>
    </row>
    <row r="7642">
      <c r="A7642" s="28"/>
      <c r="B7642" s="29"/>
      <c r="C7642" s="29"/>
      <c r="E7642" s="29"/>
      <c r="F7642" s="29"/>
    </row>
    <row r="7643">
      <c r="A7643" s="28"/>
      <c r="B7643" s="29"/>
      <c r="C7643" s="29"/>
      <c r="E7643" s="29"/>
      <c r="F7643" s="29"/>
    </row>
    <row r="7644">
      <c r="A7644" s="28"/>
      <c r="B7644" s="29"/>
      <c r="C7644" s="29"/>
      <c r="E7644" s="29"/>
      <c r="F7644" s="29"/>
    </row>
    <row r="7645">
      <c r="A7645" s="28"/>
      <c r="B7645" s="29"/>
      <c r="C7645" s="29"/>
      <c r="E7645" s="29"/>
      <c r="F7645" s="29"/>
    </row>
    <row r="7646">
      <c r="A7646" s="28"/>
      <c r="B7646" s="29"/>
      <c r="C7646" s="29"/>
      <c r="E7646" s="29"/>
      <c r="F7646" s="29"/>
    </row>
    <row r="7647">
      <c r="A7647" s="28"/>
      <c r="B7647" s="29"/>
      <c r="C7647" s="29"/>
      <c r="E7647" s="29"/>
      <c r="F7647" s="29"/>
    </row>
    <row r="7648">
      <c r="A7648" s="28"/>
      <c r="B7648" s="29"/>
      <c r="C7648" s="29"/>
      <c r="E7648" s="29"/>
      <c r="F7648" s="29"/>
    </row>
    <row r="7649">
      <c r="A7649" s="28"/>
      <c r="B7649" s="29"/>
      <c r="C7649" s="29"/>
      <c r="E7649" s="29"/>
      <c r="F7649" s="29"/>
    </row>
    <row r="7650">
      <c r="A7650" s="28"/>
      <c r="B7650" s="29"/>
      <c r="C7650" s="29"/>
      <c r="E7650" s="29"/>
      <c r="F7650" s="29"/>
    </row>
    <row r="7651">
      <c r="A7651" s="28"/>
      <c r="B7651" s="29"/>
      <c r="C7651" s="29"/>
      <c r="E7651" s="29"/>
      <c r="F7651" s="29"/>
    </row>
    <row r="7652">
      <c r="A7652" s="28"/>
      <c r="B7652" s="29"/>
      <c r="C7652" s="29"/>
      <c r="E7652" s="29"/>
      <c r="F7652" s="29"/>
    </row>
    <row r="7653">
      <c r="A7653" s="28"/>
      <c r="B7653" s="29"/>
      <c r="C7653" s="29"/>
      <c r="E7653" s="29"/>
      <c r="F7653" s="29"/>
    </row>
    <row r="7654">
      <c r="A7654" s="28"/>
      <c r="B7654" s="29"/>
      <c r="C7654" s="29"/>
      <c r="E7654" s="29"/>
      <c r="F7654" s="29"/>
    </row>
    <row r="7655">
      <c r="A7655" s="28"/>
      <c r="B7655" s="29"/>
      <c r="C7655" s="29"/>
      <c r="E7655" s="29"/>
      <c r="F7655" s="29"/>
    </row>
    <row r="7656">
      <c r="A7656" s="28"/>
      <c r="B7656" s="29"/>
      <c r="C7656" s="29"/>
      <c r="E7656" s="29"/>
      <c r="F7656" s="29"/>
    </row>
    <row r="7657">
      <c r="A7657" s="28"/>
      <c r="B7657" s="29"/>
      <c r="C7657" s="29"/>
      <c r="E7657" s="29"/>
      <c r="F7657" s="29"/>
    </row>
    <row r="7658">
      <c r="A7658" s="28"/>
      <c r="B7658" s="29"/>
      <c r="C7658" s="29"/>
      <c r="E7658" s="29"/>
      <c r="F7658" s="29"/>
    </row>
    <row r="7659">
      <c r="A7659" s="28"/>
      <c r="B7659" s="29"/>
      <c r="C7659" s="29"/>
      <c r="E7659" s="29"/>
      <c r="F7659" s="29"/>
    </row>
    <row r="7660">
      <c r="A7660" s="28"/>
      <c r="B7660" s="29"/>
      <c r="C7660" s="29"/>
      <c r="E7660" s="29"/>
      <c r="F7660" s="29"/>
    </row>
    <row r="7661">
      <c r="A7661" s="28"/>
      <c r="B7661" s="29"/>
      <c r="C7661" s="29"/>
      <c r="E7661" s="29"/>
      <c r="F7661" s="29"/>
    </row>
    <row r="7662">
      <c r="A7662" s="28"/>
      <c r="B7662" s="29"/>
      <c r="C7662" s="29"/>
      <c r="E7662" s="29"/>
      <c r="F7662" s="29"/>
    </row>
    <row r="7663">
      <c r="A7663" s="28"/>
      <c r="B7663" s="29"/>
      <c r="C7663" s="29"/>
      <c r="E7663" s="29"/>
      <c r="F7663" s="29"/>
    </row>
    <row r="7664">
      <c r="A7664" s="28"/>
      <c r="B7664" s="29"/>
      <c r="C7664" s="29"/>
      <c r="E7664" s="29"/>
      <c r="F7664" s="29"/>
    </row>
    <row r="7665">
      <c r="A7665" s="28"/>
      <c r="B7665" s="29"/>
      <c r="C7665" s="29"/>
      <c r="E7665" s="29"/>
      <c r="F7665" s="29"/>
    </row>
    <row r="7666">
      <c r="A7666" s="28"/>
      <c r="B7666" s="29"/>
      <c r="C7666" s="29"/>
      <c r="E7666" s="29"/>
      <c r="F7666" s="29"/>
    </row>
    <row r="7667">
      <c r="A7667" s="28"/>
      <c r="B7667" s="29"/>
      <c r="C7667" s="29"/>
      <c r="E7667" s="29"/>
      <c r="F7667" s="29"/>
    </row>
    <row r="7668">
      <c r="A7668" s="28"/>
      <c r="B7668" s="29"/>
      <c r="C7668" s="29"/>
      <c r="E7668" s="29"/>
      <c r="F7668" s="29"/>
    </row>
    <row r="7669">
      <c r="A7669" s="28"/>
      <c r="B7669" s="29"/>
      <c r="C7669" s="29"/>
      <c r="E7669" s="29"/>
      <c r="F7669" s="29"/>
    </row>
    <row r="7670">
      <c r="A7670" s="28"/>
      <c r="B7670" s="29"/>
      <c r="C7670" s="29"/>
      <c r="E7670" s="29"/>
      <c r="F7670" s="29"/>
    </row>
    <row r="7671">
      <c r="A7671" s="28"/>
      <c r="B7671" s="29"/>
      <c r="C7671" s="29"/>
      <c r="E7671" s="29"/>
      <c r="F7671" s="29"/>
    </row>
    <row r="7672">
      <c r="A7672" s="28"/>
      <c r="B7672" s="29"/>
      <c r="C7672" s="29"/>
      <c r="E7672" s="29"/>
      <c r="F7672" s="29"/>
    </row>
    <row r="7673">
      <c r="A7673" s="28"/>
      <c r="B7673" s="29"/>
      <c r="C7673" s="29"/>
      <c r="E7673" s="29"/>
      <c r="F7673" s="29"/>
    </row>
    <row r="7674">
      <c r="A7674" s="28"/>
      <c r="B7674" s="29"/>
      <c r="C7674" s="29"/>
      <c r="E7674" s="29"/>
      <c r="F7674" s="29"/>
    </row>
    <row r="7675">
      <c r="A7675" s="28"/>
      <c r="B7675" s="29"/>
      <c r="C7675" s="29"/>
      <c r="E7675" s="29"/>
      <c r="F7675" s="29"/>
    </row>
    <row r="7676">
      <c r="A7676" s="28"/>
      <c r="B7676" s="29"/>
      <c r="C7676" s="29"/>
      <c r="E7676" s="29"/>
      <c r="F7676" s="29"/>
    </row>
    <row r="7677">
      <c r="A7677" s="28"/>
      <c r="B7677" s="29"/>
      <c r="C7677" s="29"/>
      <c r="E7677" s="29"/>
      <c r="F7677" s="29"/>
    </row>
    <row r="7678">
      <c r="A7678" s="28"/>
      <c r="B7678" s="29"/>
      <c r="C7678" s="29"/>
      <c r="E7678" s="29"/>
      <c r="F7678" s="29"/>
    </row>
    <row r="7679">
      <c r="A7679" s="28"/>
      <c r="B7679" s="29"/>
      <c r="C7679" s="29"/>
      <c r="E7679" s="29"/>
      <c r="F7679" s="29"/>
    </row>
    <row r="7680">
      <c r="A7680" s="28"/>
      <c r="B7680" s="29"/>
      <c r="C7680" s="29"/>
      <c r="E7680" s="29"/>
      <c r="F7680" s="29"/>
    </row>
    <row r="7681">
      <c r="A7681" s="28"/>
      <c r="B7681" s="29"/>
      <c r="C7681" s="29"/>
      <c r="E7681" s="29"/>
      <c r="F7681" s="29"/>
    </row>
    <row r="7682">
      <c r="A7682" s="28"/>
      <c r="B7682" s="29"/>
      <c r="C7682" s="29"/>
      <c r="E7682" s="29"/>
      <c r="F7682" s="29"/>
    </row>
    <row r="7683">
      <c r="A7683" s="28"/>
      <c r="B7683" s="29"/>
      <c r="C7683" s="29"/>
      <c r="E7683" s="29"/>
      <c r="F7683" s="29"/>
    </row>
    <row r="7684">
      <c r="A7684" s="28"/>
      <c r="B7684" s="29"/>
      <c r="C7684" s="29"/>
      <c r="E7684" s="29"/>
      <c r="F7684" s="29"/>
    </row>
    <row r="7685">
      <c r="A7685" s="28"/>
      <c r="B7685" s="29"/>
      <c r="C7685" s="29"/>
      <c r="E7685" s="29"/>
      <c r="F7685" s="29"/>
    </row>
    <row r="7686">
      <c r="A7686" s="28"/>
      <c r="B7686" s="29"/>
      <c r="C7686" s="29"/>
      <c r="E7686" s="29"/>
      <c r="F7686" s="29"/>
    </row>
    <row r="7687">
      <c r="A7687" s="28"/>
      <c r="B7687" s="29"/>
      <c r="C7687" s="29"/>
      <c r="E7687" s="29"/>
      <c r="F7687" s="29"/>
    </row>
    <row r="7688">
      <c r="A7688" s="28"/>
      <c r="B7688" s="29"/>
      <c r="C7688" s="29"/>
      <c r="E7688" s="29"/>
      <c r="F7688" s="29"/>
    </row>
    <row r="7689">
      <c r="A7689" s="28"/>
      <c r="B7689" s="29"/>
      <c r="C7689" s="29"/>
      <c r="E7689" s="29"/>
      <c r="F7689" s="29"/>
    </row>
    <row r="7690">
      <c r="A7690" s="28"/>
      <c r="B7690" s="29"/>
      <c r="C7690" s="29"/>
      <c r="E7690" s="29"/>
      <c r="F7690" s="29"/>
    </row>
    <row r="7691">
      <c r="A7691" s="28"/>
      <c r="B7691" s="29"/>
      <c r="C7691" s="29"/>
      <c r="E7691" s="29"/>
      <c r="F7691" s="29"/>
    </row>
    <row r="7692">
      <c r="A7692" s="28"/>
      <c r="B7692" s="29"/>
      <c r="C7692" s="29"/>
      <c r="E7692" s="29"/>
      <c r="F7692" s="29"/>
    </row>
    <row r="7693">
      <c r="A7693" s="28"/>
      <c r="B7693" s="29"/>
      <c r="C7693" s="29"/>
      <c r="E7693" s="29"/>
      <c r="F7693" s="29"/>
    </row>
    <row r="7694">
      <c r="A7694" s="28"/>
      <c r="B7694" s="29"/>
      <c r="C7694" s="29"/>
      <c r="E7694" s="29"/>
      <c r="F7694" s="29"/>
    </row>
    <row r="7695">
      <c r="A7695" s="28"/>
      <c r="B7695" s="29"/>
      <c r="C7695" s="29"/>
      <c r="E7695" s="29"/>
      <c r="F7695" s="29"/>
    </row>
    <row r="7696">
      <c r="A7696" s="28"/>
      <c r="B7696" s="29"/>
      <c r="C7696" s="29"/>
      <c r="E7696" s="29"/>
      <c r="F7696" s="29"/>
    </row>
    <row r="7697">
      <c r="A7697" s="28"/>
      <c r="B7697" s="29"/>
      <c r="C7697" s="29"/>
      <c r="E7697" s="29"/>
      <c r="F7697" s="29"/>
    </row>
    <row r="7698">
      <c r="A7698" s="28"/>
      <c r="B7698" s="29"/>
      <c r="C7698" s="29"/>
      <c r="E7698" s="29"/>
      <c r="F7698" s="29"/>
    </row>
    <row r="7699">
      <c r="A7699" s="28"/>
      <c r="B7699" s="29"/>
      <c r="C7699" s="29"/>
      <c r="E7699" s="29"/>
      <c r="F7699" s="29"/>
    </row>
    <row r="7700">
      <c r="A7700" s="28"/>
      <c r="B7700" s="29"/>
      <c r="C7700" s="29"/>
      <c r="E7700" s="29"/>
      <c r="F7700" s="29"/>
    </row>
    <row r="7701">
      <c r="A7701" s="28"/>
      <c r="B7701" s="29"/>
      <c r="C7701" s="29"/>
      <c r="E7701" s="29"/>
      <c r="F7701" s="29"/>
    </row>
    <row r="7702">
      <c r="A7702" s="28"/>
      <c r="B7702" s="29"/>
      <c r="C7702" s="29"/>
      <c r="E7702" s="29"/>
      <c r="F7702" s="29"/>
    </row>
    <row r="7703">
      <c r="A7703" s="28"/>
      <c r="B7703" s="29"/>
      <c r="C7703" s="29"/>
      <c r="E7703" s="29"/>
      <c r="F7703" s="29"/>
    </row>
    <row r="7704">
      <c r="A7704" s="28"/>
      <c r="B7704" s="29"/>
      <c r="C7704" s="29"/>
      <c r="E7704" s="29"/>
      <c r="F7704" s="29"/>
    </row>
    <row r="7705">
      <c r="A7705" s="28"/>
      <c r="B7705" s="29"/>
      <c r="C7705" s="29"/>
      <c r="E7705" s="29"/>
      <c r="F7705" s="29"/>
    </row>
    <row r="7706">
      <c r="A7706" s="28"/>
      <c r="B7706" s="29"/>
      <c r="C7706" s="29"/>
      <c r="E7706" s="29"/>
      <c r="F7706" s="29"/>
    </row>
    <row r="7707">
      <c r="A7707" s="28"/>
      <c r="B7707" s="29"/>
      <c r="C7707" s="29"/>
      <c r="E7707" s="29"/>
      <c r="F7707" s="29"/>
    </row>
    <row r="7708">
      <c r="A7708" s="28"/>
      <c r="B7708" s="29"/>
      <c r="C7708" s="29"/>
      <c r="E7708" s="29"/>
      <c r="F7708" s="29"/>
    </row>
    <row r="7709">
      <c r="A7709" s="28"/>
      <c r="B7709" s="29"/>
      <c r="C7709" s="29"/>
      <c r="E7709" s="29"/>
      <c r="F7709" s="29"/>
    </row>
    <row r="7710">
      <c r="A7710" s="28"/>
      <c r="B7710" s="29"/>
      <c r="C7710" s="29"/>
      <c r="E7710" s="29"/>
      <c r="F7710" s="29"/>
    </row>
    <row r="7711">
      <c r="A7711" s="28"/>
      <c r="B7711" s="29"/>
      <c r="C7711" s="29"/>
      <c r="E7711" s="29"/>
      <c r="F7711" s="29"/>
    </row>
    <row r="7712">
      <c r="A7712" s="28"/>
      <c r="B7712" s="29"/>
      <c r="C7712" s="29"/>
      <c r="E7712" s="29"/>
      <c r="F7712" s="29"/>
    </row>
    <row r="7713">
      <c r="A7713" s="28"/>
      <c r="B7713" s="29"/>
      <c r="C7713" s="29"/>
      <c r="E7713" s="29"/>
      <c r="F7713" s="29"/>
    </row>
    <row r="7714">
      <c r="A7714" s="28"/>
      <c r="B7714" s="29"/>
      <c r="C7714" s="29"/>
      <c r="E7714" s="29"/>
      <c r="F7714" s="29"/>
    </row>
    <row r="7715">
      <c r="A7715" s="28"/>
      <c r="B7715" s="29"/>
      <c r="C7715" s="29"/>
      <c r="E7715" s="29"/>
      <c r="F7715" s="29"/>
    </row>
    <row r="7716">
      <c r="A7716" s="28"/>
      <c r="B7716" s="29"/>
      <c r="C7716" s="29"/>
      <c r="E7716" s="29"/>
      <c r="F7716" s="29"/>
    </row>
    <row r="7717">
      <c r="A7717" s="28"/>
      <c r="B7717" s="29"/>
      <c r="C7717" s="29"/>
      <c r="E7717" s="29"/>
      <c r="F7717" s="29"/>
    </row>
    <row r="7718">
      <c r="A7718" s="28"/>
      <c r="B7718" s="29"/>
      <c r="C7718" s="29"/>
      <c r="E7718" s="29"/>
      <c r="F7718" s="29"/>
    </row>
    <row r="7719">
      <c r="A7719" s="28"/>
      <c r="B7719" s="29"/>
      <c r="C7719" s="29"/>
      <c r="E7719" s="29"/>
      <c r="F7719" s="29"/>
    </row>
    <row r="7720">
      <c r="A7720" s="28"/>
      <c r="B7720" s="29"/>
      <c r="C7720" s="29"/>
      <c r="E7720" s="29"/>
      <c r="F7720" s="29"/>
    </row>
    <row r="7721">
      <c r="A7721" s="28"/>
      <c r="B7721" s="29"/>
      <c r="C7721" s="29"/>
      <c r="E7721" s="29"/>
      <c r="F7721" s="29"/>
    </row>
    <row r="7722">
      <c r="A7722" s="28"/>
      <c r="B7722" s="29"/>
      <c r="C7722" s="29"/>
      <c r="E7722" s="29"/>
      <c r="F7722" s="29"/>
    </row>
    <row r="7723">
      <c r="A7723" s="28"/>
      <c r="B7723" s="29"/>
      <c r="C7723" s="29"/>
      <c r="E7723" s="29"/>
      <c r="F7723" s="29"/>
    </row>
    <row r="7724">
      <c r="A7724" s="28"/>
      <c r="B7724" s="29"/>
      <c r="C7724" s="29"/>
      <c r="E7724" s="29"/>
      <c r="F7724" s="29"/>
    </row>
    <row r="7725">
      <c r="A7725" s="28"/>
      <c r="B7725" s="29"/>
      <c r="C7725" s="29"/>
      <c r="E7725" s="29"/>
      <c r="F7725" s="29"/>
    </row>
    <row r="7726">
      <c r="A7726" s="28"/>
      <c r="B7726" s="29"/>
      <c r="C7726" s="29"/>
      <c r="E7726" s="29"/>
      <c r="F7726" s="29"/>
    </row>
    <row r="7727">
      <c r="A7727" s="28"/>
      <c r="B7727" s="29"/>
      <c r="C7727" s="29"/>
      <c r="E7727" s="29"/>
      <c r="F7727" s="29"/>
    </row>
    <row r="7728">
      <c r="A7728" s="28"/>
      <c r="B7728" s="29"/>
      <c r="C7728" s="29"/>
      <c r="E7728" s="29"/>
      <c r="F7728" s="29"/>
    </row>
    <row r="7729">
      <c r="A7729" s="28"/>
      <c r="B7729" s="29"/>
      <c r="C7729" s="29"/>
      <c r="E7729" s="29"/>
      <c r="F7729" s="29"/>
    </row>
    <row r="7730">
      <c r="A7730" s="28"/>
      <c r="B7730" s="29"/>
      <c r="C7730" s="29"/>
      <c r="E7730" s="29"/>
      <c r="F7730" s="29"/>
    </row>
    <row r="7731">
      <c r="A7731" s="28"/>
      <c r="B7731" s="29"/>
      <c r="C7731" s="29"/>
      <c r="E7731" s="29"/>
      <c r="F7731" s="29"/>
    </row>
    <row r="7732">
      <c r="A7732" s="28"/>
      <c r="B7732" s="29"/>
      <c r="C7732" s="29"/>
      <c r="E7732" s="29"/>
      <c r="F7732" s="29"/>
    </row>
    <row r="7733">
      <c r="A7733" s="28"/>
      <c r="B7733" s="29"/>
      <c r="C7733" s="29"/>
      <c r="E7733" s="29"/>
      <c r="F7733" s="29"/>
    </row>
    <row r="7734">
      <c r="A7734" s="28"/>
      <c r="B7734" s="29"/>
      <c r="C7734" s="29"/>
      <c r="E7734" s="29"/>
      <c r="F7734" s="29"/>
    </row>
    <row r="7735">
      <c r="A7735" s="28"/>
      <c r="B7735" s="29"/>
      <c r="C7735" s="29"/>
      <c r="E7735" s="29"/>
      <c r="F7735" s="29"/>
    </row>
    <row r="7736">
      <c r="A7736" s="28"/>
      <c r="B7736" s="29"/>
      <c r="C7736" s="29"/>
      <c r="E7736" s="29"/>
      <c r="F7736" s="29"/>
    </row>
    <row r="7737">
      <c r="A7737" s="28"/>
      <c r="B7737" s="29"/>
      <c r="C7737" s="29"/>
      <c r="E7737" s="29"/>
      <c r="F7737" s="29"/>
    </row>
    <row r="7738">
      <c r="A7738" s="28"/>
      <c r="B7738" s="29"/>
      <c r="C7738" s="29"/>
      <c r="E7738" s="29"/>
      <c r="F7738" s="29"/>
    </row>
    <row r="7739">
      <c r="A7739" s="28"/>
      <c r="B7739" s="29"/>
      <c r="C7739" s="29"/>
      <c r="E7739" s="29"/>
      <c r="F7739" s="29"/>
    </row>
    <row r="7740">
      <c r="A7740" s="28"/>
      <c r="B7740" s="29"/>
      <c r="C7740" s="29"/>
      <c r="E7740" s="29"/>
      <c r="F7740" s="29"/>
    </row>
    <row r="7741">
      <c r="A7741" s="28"/>
      <c r="B7741" s="29"/>
      <c r="C7741" s="29"/>
      <c r="E7741" s="29"/>
      <c r="F7741" s="29"/>
    </row>
    <row r="7742">
      <c r="A7742" s="28"/>
      <c r="B7742" s="29"/>
      <c r="C7742" s="29"/>
      <c r="E7742" s="29"/>
      <c r="F7742" s="29"/>
    </row>
    <row r="7743">
      <c r="A7743" s="28"/>
      <c r="B7743" s="29"/>
      <c r="C7743" s="29"/>
      <c r="E7743" s="29"/>
      <c r="F7743" s="29"/>
    </row>
    <row r="7744">
      <c r="A7744" s="28"/>
      <c r="B7744" s="29"/>
      <c r="C7744" s="29"/>
      <c r="E7744" s="29"/>
      <c r="F7744" s="29"/>
    </row>
    <row r="7745">
      <c r="A7745" s="28"/>
      <c r="B7745" s="29"/>
      <c r="C7745" s="29"/>
      <c r="E7745" s="29"/>
      <c r="F7745" s="29"/>
    </row>
    <row r="7746">
      <c r="A7746" s="28"/>
      <c r="B7746" s="29"/>
      <c r="C7746" s="29"/>
      <c r="E7746" s="29"/>
      <c r="F7746" s="29"/>
    </row>
    <row r="7747">
      <c r="A7747" s="28"/>
      <c r="B7747" s="29"/>
      <c r="C7747" s="29"/>
      <c r="E7747" s="29"/>
      <c r="F7747" s="29"/>
    </row>
    <row r="7748">
      <c r="A7748" s="28"/>
      <c r="B7748" s="29"/>
      <c r="C7748" s="29"/>
      <c r="E7748" s="29"/>
      <c r="F7748" s="29"/>
    </row>
    <row r="7749">
      <c r="A7749" s="28"/>
      <c r="B7749" s="29"/>
      <c r="C7749" s="29"/>
      <c r="E7749" s="29"/>
      <c r="F7749" s="29"/>
    </row>
    <row r="7750">
      <c r="A7750" s="28"/>
      <c r="B7750" s="29"/>
      <c r="C7750" s="29"/>
      <c r="E7750" s="29"/>
      <c r="F7750" s="29"/>
    </row>
    <row r="7751">
      <c r="A7751" s="28"/>
      <c r="B7751" s="29"/>
      <c r="C7751" s="29"/>
      <c r="E7751" s="29"/>
      <c r="F7751" s="29"/>
    </row>
    <row r="7752">
      <c r="A7752" s="28"/>
      <c r="B7752" s="29"/>
      <c r="C7752" s="29"/>
      <c r="E7752" s="29"/>
      <c r="F7752" s="29"/>
    </row>
    <row r="7753">
      <c r="A7753" s="28"/>
      <c r="B7753" s="29"/>
      <c r="C7753" s="29"/>
      <c r="E7753" s="29"/>
      <c r="F7753" s="29"/>
    </row>
    <row r="7754">
      <c r="A7754" s="28"/>
      <c r="B7754" s="29"/>
      <c r="C7754" s="29"/>
      <c r="E7754" s="29"/>
      <c r="F7754" s="29"/>
    </row>
    <row r="7755">
      <c r="A7755" s="28"/>
      <c r="B7755" s="29"/>
      <c r="C7755" s="29"/>
      <c r="E7755" s="29"/>
      <c r="F7755" s="29"/>
    </row>
    <row r="7756">
      <c r="A7756" s="28"/>
      <c r="B7756" s="29"/>
      <c r="C7756" s="29"/>
      <c r="E7756" s="29"/>
      <c r="F7756" s="29"/>
    </row>
    <row r="7757">
      <c r="A7757" s="28"/>
      <c r="B7757" s="29"/>
      <c r="C7757" s="29"/>
      <c r="E7757" s="29"/>
      <c r="F7757" s="29"/>
    </row>
    <row r="7758">
      <c r="A7758" s="28"/>
      <c r="B7758" s="29"/>
      <c r="C7758" s="29"/>
      <c r="E7758" s="29"/>
      <c r="F7758" s="29"/>
    </row>
    <row r="7759">
      <c r="A7759" s="28"/>
      <c r="B7759" s="29"/>
      <c r="C7759" s="29"/>
      <c r="E7759" s="29"/>
      <c r="F7759" s="29"/>
    </row>
    <row r="7760">
      <c r="A7760" s="28"/>
      <c r="B7760" s="29"/>
      <c r="C7760" s="29"/>
      <c r="E7760" s="29"/>
      <c r="F7760" s="29"/>
    </row>
    <row r="7761">
      <c r="A7761" s="28"/>
      <c r="B7761" s="29"/>
      <c r="C7761" s="29"/>
      <c r="E7761" s="29"/>
      <c r="F7761" s="29"/>
    </row>
    <row r="7762">
      <c r="A7762" s="28"/>
      <c r="B7762" s="29"/>
      <c r="C7762" s="29"/>
      <c r="E7762" s="29"/>
      <c r="F7762" s="29"/>
    </row>
    <row r="7763">
      <c r="A7763" s="28"/>
      <c r="B7763" s="29"/>
      <c r="C7763" s="29"/>
      <c r="E7763" s="29"/>
      <c r="F7763" s="29"/>
    </row>
    <row r="7764">
      <c r="A7764" s="28"/>
      <c r="B7764" s="29"/>
      <c r="C7764" s="29"/>
      <c r="E7764" s="29"/>
      <c r="F7764" s="29"/>
    </row>
    <row r="7765">
      <c r="A7765" s="28"/>
      <c r="B7765" s="29"/>
      <c r="C7765" s="29"/>
      <c r="E7765" s="29"/>
      <c r="F7765" s="29"/>
    </row>
    <row r="7766">
      <c r="A7766" s="28"/>
      <c r="B7766" s="29"/>
      <c r="C7766" s="29"/>
      <c r="E7766" s="29"/>
      <c r="F7766" s="29"/>
    </row>
    <row r="7767">
      <c r="A7767" s="28"/>
      <c r="B7767" s="29"/>
      <c r="C7767" s="29"/>
      <c r="E7767" s="29"/>
      <c r="F7767" s="29"/>
    </row>
    <row r="7768">
      <c r="A7768" s="28"/>
      <c r="B7768" s="29"/>
      <c r="C7768" s="29"/>
      <c r="E7768" s="29"/>
      <c r="F7768" s="29"/>
    </row>
    <row r="7769">
      <c r="A7769" s="28"/>
      <c r="B7769" s="29"/>
      <c r="C7769" s="29"/>
      <c r="E7769" s="29"/>
      <c r="F7769" s="29"/>
    </row>
    <row r="7770">
      <c r="A7770" s="28"/>
      <c r="B7770" s="29"/>
      <c r="C7770" s="29"/>
      <c r="E7770" s="29"/>
      <c r="F7770" s="29"/>
    </row>
    <row r="7771">
      <c r="A7771" s="28"/>
      <c r="B7771" s="29"/>
      <c r="C7771" s="29"/>
      <c r="E7771" s="29"/>
      <c r="F7771" s="29"/>
    </row>
    <row r="7772">
      <c r="A7772" s="28"/>
      <c r="B7772" s="29"/>
      <c r="C7772" s="29"/>
      <c r="E7772" s="29"/>
      <c r="F7772" s="29"/>
    </row>
    <row r="7773">
      <c r="A7773" s="28"/>
      <c r="B7773" s="29"/>
      <c r="C7773" s="29"/>
      <c r="E7773" s="29"/>
      <c r="F7773" s="29"/>
    </row>
    <row r="7774">
      <c r="A7774" s="28"/>
      <c r="B7774" s="29"/>
      <c r="C7774" s="29"/>
      <c r="E7774" s="29"/>
      <c r="F7774" s="29"/>
    </row>
    <row r="7775">
      <c r="A7775" s="28"/>
      <c r="B7775" s="29"/>
      <c r="C7775" s="29"/>
      <c r="E7775" s="29"/>
      <c r="F7775" s="29"/>
    </row>
    <row r="7776">
      <c r="A7776" s="28"/>
      <c r="B7776" s="29"/>
      <c r="C7776" s="29"/>
      <c r="E7776" s="29"/>
      <c r="F7776" s="29"/>
    </row>
    <row r="7777">
      <c r="A7777" s="28"/>
      <c r="B7777" s="29"/>
      <c r="C7777" s="29"/>
      <c r="E7777" s="29"/>
      <c r="F7777" s="29"/>
    </row>
    <row r="7778">
      <c r="A7778" s="28"/>
      <c r="B7778" s="29"/>
      <c r="C7778" s="29"/>
      <c r="E7778" s="29"/>
      <c r="F7778" s="29"/>
    </row>
    <row r="7779">
      <c r="A7779" s="28"/>
      <c r="B7779" s="29"/>
      <c r="C7779" s="29"/>
      <c r="E7779" s="29"/>
      <c r="F7779" s="29"/>
    </row>
    <row r="7780">
      <c r="A7780" s="28"/>
      <c r="B7780" s="29"/>
      <c r="C7780" s="29"/>
      <c r="E7780" s="29"/>
      <c r="F7780" s="29"/>
    </row>
    <row r="7781">
      <c r="A7781" s="28"/>
      <c r="B7781" s="29"/>
      <c r="C7781" s="29"/>
      <c r="E7781" s="29"/>
      <c r="F7781" s="29"/>
    </row>
    <row r="7782">
      <c r="A7782" s="28"/>
      <c r="B7782" s="29"/>
      <c r="C7782" s="29"/>
      <c r="E7782" s="29"/>
      <c r="F7782" s="29"/>
    </row>
    <row r="7783">
      <c r="A7783" s="28"/>
      <c r="B7783" s="29"/>
      <c r="C7783" s="29"/>
      <c r="E7783" s="29"/>
      <c r="F7783" s="29"/>
    </row>
    <row r="7784">
      <c r="A7784" s="28"/>
      <c r="B7784" s="29"/>
      <c r="C7784" s="29"/>
      <c r="E7784" s="29"/>
      <c r="F7784" s="29"/>
    </row>
    <row r="7785">
      <c r="A7785" s="28"/>
      <c r="B7785" s="29"/>
      <c r="C7785" s="29"/>
      <c r="E7785" s="29"/>
      <c r="F7785" s="29"/>
    </row>
    <row r="7786">
      <c r="A7786" s="28"/>
      <c r="B7786" s="29"/>
      <c r="C7786" s="29"/>
      <c r="E7786" s="29"/>
      <c r="F7786" s="29"/>
    </row>
    <row r="7787">
      <c r="A7787" s="28"/>
      <c r="B7787" s="29"/>
      <c r="C7787" s="29"/>
      <c r="E7787" s="29"/>
      <c r="F7787" s="29"/>
    </row>
    <row r="7788">
      <c r="A7788" s="28"/>
      <c r="B7788" s="29"/>
      <c r="C7788" s="29"/>
      <c r="E7788" s="29"/>
      <c r="F7788" s="29"/>
    </row>
    <row r="7789">
      <c r="A7789" s="28"/>
      <c r="B7789" s="29"/>
      <c r="C7789" s="29"/>
      <c r="E7789" s="29"/>
      <c r="F7789" s="29"/>
    </row>
    <row r="7790">
      <c r="A7790" s="28"/>
      <c r="B7790" s="29"/>
      <c r="C7790" s="29"/>
      <c r="E7790" s="29"/>
      <c r="F7790" s="29"/>
    </row>
    <row r="7791">
      <c r="A7791" s="28"/>
      <c r="B7791" s="29"/>
      <c r="C7791" s="29"/>
      <c r="E7791" s="29"/>
      <c r="F7791" s="29"/>
    </row>
    <row r="7792">
      <c r="A7792" s="28"/>
      <c r="B7792" s="29"/>
      <c r="C7792" s="29"/>
      <c r="E7792" s="29"/>
      <c r="F7792" s="29"/>
    </row>
    <row r="7793">
      <c r="A7793" s="28"/>
      <c r="B7793" s="29"/>
      <c r="C7793" s="29"/>
      <c r="E7793" s="29"/>
      <c r="F7793" s="29"/>
    </row>
    <row r="7794">
      <c r="A7794" s="28"/>
      <c r="B7794" s="29"/>
      <c r="C7794" s="29"/>
      <c r="E7794" s="29"/>
      <c r="F7794" s="29"/>
    </row>
    <row r="7795">
      <c r="A7795" s="28"/>
      <c r="B7795" s="29"/>
      <c r="C7795" s="29"/>
      <c r="E7795" s="29"/>
      <c r="F7795" s="29"/>
    </row>
    <row r="7796">
      <c r="A7796" s="28"/>
      <c r="B7796" s="29"/>
      <c r="C7796" s="29"/>
      <c r="E7796" s="29"/>
      <c r="F7796" s="29"/>
    </row>
    <row r="7797">
      <c r="A7797" s="28"/>
      <c r="B7797" s="29"/>
      <c r="C7797" s="29"/>
      <c r="E7797" s="29"/>
      <c r="F7797" s="29"/>
    </row>
    <row r="7798">
      <c r="A7798" s="28"/>
      <c r="B7798" s="29"/>
      <c r="C7798" s="29"/>
      <c r="E7798" s="29"/>
      <c r="F7798" s="29"/>
    </row>
    <row r="7799">
      <c r="A7799" s="28"/>
      <c r="B7799" s="29"/>
      <c r="C7799" s="29"/>
      <c r="E7799" s="29"/>
      <c r="F7799" s="29"/>
    </row>
    <row r="7800">
      <c r="A7800" s="28"/>
      <c r="B7800" s="29"/>
      <c r="C7800" s="29"/>
      <c r="E7800" s="29"/>
      <c r="F7800" s="29"/>
    </row>
    <row r="7801">
      <c r="A7801" s="28"/>
      <c r="B7801" s="29"/>
      <c r="C7801" s="29"/>
      <c r="E7801" s="29"/>
      <c r="F7801" s="29"/>
    </row>
    <row r="7802">
      <c r="A7802" s="28"/>
      <c r="B7802" s="29"/>
      <c r="C7802" s="29"/>
      <c r="E7802" s="29"/>
      <c r="F7802" s="29"/>
    </row>
    <row r="7803">
      <c r="A7803" s="28"/>
      <c r="B7803" s="29"/>
      <c r="C7803" s="29"/>
      <c r="E7803" s="29"/>
      <c r="F7803" s="29"/>
    </row>
    <row r="7804">
      <c r="A7804" s="28"/>
      <c r="B7804" s="29"/>
      <c r="C7804" s="29"/>
      <c r="E7804" s="29"/>
      <c r="F7804" s="29"/>
    </row>
    <row r="7805">
      <c r="A7805" s="28"/>
      <c r="B7805" s="29"/>
      <c r="C7805" s="29"/>
      <c r="E7805" s="29"/>
      <c r="F7805" s="29"/>
    </row>
    <row r="7806">
      <c r="A7806" s="28"/>
      <c r="B7806" s="29"/>
      <c r="C7806" s="29"/>
      <c r="E7806" s="29"/>
      <c r="F7806" s="29"/>
    </row>
    <row r="7807">
      <c r="A7807" s="28"/>
      <c r="B7807" s="29"/>
      <c r="C7807" s="29"/>
      <c r="E7807" s="29"/>
      <c r="F7807" s="29"/>
    </row>
    <row r="7808">
      <c r="A7808" s="28"/>
      <c r="B7808" s="29"/>
      <c r="C7808" s="29"/>
      <c r="E7808" s="29"/>
      <c r="F7808" s="29"/>
    </row>
    <row r="7809">
      <c r="A7809" s="28"/>
      <c r="B7809" s="29"/>
      <c r="C7809" s="29"/>
      <c r="E7809" s="29"/>
      <c r="F7809" s="29"/>
    </row>
    <row r="7810">
      <c r="A7810" s="28"/>
      <c r="B7810" s="29"/>
      <c r="C7810" s="29"/>
      <c r="E7810" s="29"/>
      <c r="F7810" s="29"/>
    </row>
    <row r="7811">
      <c r="A7811" s="28"/>
      <c r="B7811" s="29"/>
      <c r="C7811" s="29"/>
      <c r="E7811" s="29"/>
      <c r="F7811" s="29"/>
    </row>
    <row r="7812">
      <c r="A7812" s="28"/>
      <c r="B7812" s="29"/>
      <c r="C7812" s="29"/>
      <c r="E7812" s="29"/>
      <c r="F7812" s="29"/>
    </row>
    <row r="7813">
      <c r="A7813" s="28"/>
      <c r="B7813" s="29"/>
      <c r="C7813" s="29"/>
      <c r="E7813" s="29"/>
      <c r="F7813" s="29"/>
    </row>
    <row r="7814">
      <c r="A7814" s="28"/>
      <c r="B7814" s="29"/>
      <c r="C7814" s="29"/>
      <c r="E7814" s="29"/>
      <c r="F7814" s="29"/>
    </row>
    <row r="7815">
      <c r="A7815" s="28"/>
      <c r="B7815" s="29"/>
      <c r="C7815" s="29"/>
      <c r="E7815" s="29"/>
      <c r="F7815" s="29"/>
    </row>
    <row r="7816">
      <c r="A7816" s="28"/>
      <c r="B7816" s="29"/>
      <c r="C7816" s="29"/>
      <c r="E7816" s="29"/>
      <c r="F7816" s="29"/>
    </row>
    <row r="7817">
      <c r="A7817" s="28"/>
      <c r="B7817" s="29"/>
      <c r="C7817" s="29"/>
      <c r="E7817" s="29"/>
      <c r="F7817" s="29"/>
    </row>
    <row r="7818">
      <c r="A7818" s="28"/>
      <c r="B7818" s="29"/>
      <c r="C7818" s="29"/>
      <c r="E7818" s="29"/>
      <c r="F7818" s="29"/>
    </row>
    <row r="7819">
      <c r="A7819" s="28"/>
      <c r="B7819" s="29"/>
      <c r="C7819" s="29"/>
      <c r="E7819" s="29"/>
      <c r="F7819" s="29"/>
    </row>
    <row r="7820">
      <c r="A7820" s="28"/>
      <c r="B7820" s="29"/>
      <c r="C7820" s="29"/>
      <c r="E7820" s="29"/>
      <c r="F7820" s="29"/>
    </row>
    <row r="7821">
      <c r="A7821" s="28"/>
      <c r="B7821" s="29"/>
      <c r="C7821" s="29"/>
      <c r="E7821" s="29"/>
      <c r="F7821" s="29"/>
    </row>
    <row r="7822">
      <c r="A7822" s="28"/>
      <c r="B7822" s="29"/>
      <c r="C7822" s="29"/>
      <c r="E7822" s="29"/>
      <c r="F7822" s="29"/>
    </row>
    <row r="7823">
      <c r="A7823" s="28"/>
      <c r="B7823" s="29"/>
      <c r="C7823" s="29"/>
      <c r="E7823" s="29"/>
      <c r="F7823" s="29"/>
    </row>
    <row r="7824">
      <c r="A7824" s="28"/>
      <c r="B7824" s="29"/>
      <c r="C7824" s="29"/>
      <c r="E7824" s="29"/>
      <c r="F7824" s="29"/>
    </row>
    <row r="7825">
      <c r="A7825" s="28"/>
      <c r="B7825" s="29"/>
      <c r="C7825" s="29"/>
      <c r="E7825" s="29"/>
      <c r="F7825" s="29"/>
    </row>
    <row r="7826">
      <c r="A7826" s="28"/>
      <c r="B7826" s="29"/>
      <c r="C7826" s="29"/>
      <c r="E7826" s="29"/>
      <c r="F7826" s="29"/>
    </row>
    <row r="7827">
      <c r="A7827" s="28"/>
      <c r="B7827" s="29"/>
      <c r="C7827" s="29"/>
      <c r="E7827" s="29"/>
      <c r="F7827" s="29"/>
    </row>
    <row r="7828">
      <c r="A7828" s="28"/>
      <c r="B7828" s="29"/>
      <c r="C7828" s="29"/>
      <c r="E7828" s="29"/>
      <c r="F7828" s="29"/>
    </row>
    <row r="7829">
      <c r="A7829" s="28"/>
      <c r="B7829" s="29"/>
      <c r="C7829" s="29"/>
      <c r="E7829" s="29"/>
      <c r="F7829" s="29"/>
    </row>
    <row r="7830">
      <c r="A7830" s="28"/>
      <c r="B7830" s="29"/>
      <c r="C7830" s="29"/>
      <c r="E7830" s="29"/>
      <c r="F7830" s="29"/>
    </row>
    <row r="7831">
      <c r="A7831" s="28"/>
      <c r="B7831" s="29"/>
      <c r="C7831" s="29"/>
      <c r="E7831" s="29"/>
      <c r="F7831" s="29"/>
    </row>
    <row r="7832">
      <c r="A7832" s="28"/>
      <c r="B7832" s="29"/>
      <c r="C7832" s="29"/>
      <c r="E7832" s="29"/>
      <c r="F7832" s="29"/>
    </row>
    <row r="7833">
      <c r="A7833" s="28"/>
      <c r="B7833" s="29"/>
      <c r="C7833" s="29"/>
      <c r="E7833" s="29"/>
      <c r="F7833" s="29"/>
    </row>
    <row r="7834">
      <c r="A7834" s="28"/>
      <c r="B7834" s="29"/>
      <c r="C7834" s="29"/>
      <c r="E7834" s="29"/>
      <c r="F7834" s="29"/>
    </row>
    <row r="7835">
      <c r="A7835" s="28"/>
      <c r="B7835" s="29"/>
      <c r="C7835" s="29"/>
      <c r="E7835" s="29"/>
      <c r="F7835" s="29"/>
    </row>
    <row r="7836">
      <c r="A7836" s="28"/>
      <c r="B7836" s="29"/>
      <c r="C7836" s="29"/>
      <c r="E7836" s="29"/>
      <c r="F7836" s="29"/>
    </row>
    <row r="7837">
      <c r="A7837" s="28"/>
      <c r="B7837" s="29"/>
      <c r="C7837" s="29"/>
      <c r="E7837" s="29"/>
      <c r="F7837" s="29"/>
    </row>
    <row r="7838">
      <c r="A7838" s="28"/>
      <c r="B7838" s="29"/>
      <c r="C7838" s="29"/>
      <c r="E7838" s="29"/>
      <c r="F7838" s="29"/>
    </row>
    <row r="7839">
      <c r="A7839" s="28"/>
      <c r="B7839" s="29"/>
      <c r="C7839" s="29"/>
      <c r="E7839" s="29"/>
      <c r="F7839" s="29"/>
    </row>
    <row r="7840">
      <c r="A7840" s="28"/>
      <c r="B7840" s="29"/>
      <c r="C7840" s="29"/>
      <c r="E7840" s="29"/>
      <c r="F7840" s="29"/>
    </row>
    <row r="7841">
      <c r="A7841" s="28"/>
      <c r="B7841" s="29"/>
      <c r="C7841" s="29"/>
      <c r="E7841" s="29"/>
      <c r="F7841" s="29"/>
    </row>
    <row r="7842">
      <c r="A7842" s="28"/>
      <c r="B7842" s="29"/>
      <c r="C7842" s="29"/>
      <c r="E7842" s="29"/>
      <c r="F7842" s="29"/>
    </row>
    <row r="7843">
      <c r="A7843" s="28"/>
      <c r="B7843" s="29"/>
      <c r="C7843" s="29"/>
      <c r="E7843" s="29"/>
      <c r="F7843" s="29"/>
    </row>
    <row r="7844">
      <c r="A7844" s="28"/>
      <c r="B7844" s="29"/>
      <c r="C7844" s="29"/>
      <c r="E7844" s="29"/>
      <c r="F7844" s="29"/>
    </row>
    <row r="7845">
      <c r="A7845" s="28"/>
      <c r="B7845" s="29"/>
      <c r="C7845" s="29"/>
      <c r="E7845" s="29"/>
      <c r="F7845" s="29"/>
    </row>
    <row r="7846">
      <c r="A7846" s="28"/>
      <c r="B7846" s="29"/>
      <c r="C7846" s="29"/>
      <c r="E7846" s="29"/>
      <c r="F7846" s="29"/>
    </row>
    <row r="7847">
      <c r="A7847" s="28"/>
      <c r="B7847" s="29"/>
      <c r="C7847" s="29"/>
      <c r="E7847" s="29"/>
      <c r="F7847" s="29"/>
    </row>
    <row r="7848">
      <c r="A7848" s="28"/>
      <c r="B7848" s="29"/>
      <c r="C7848" s="29"/>
      <c r="E7848" s="29"/>
      <c r="F7848" s="29"/>
    </row>
    <row r="7849">
      <c r="A7849" s="28"/>
      <c r="B7849" s="29"/>
      <c r="C7849" s="29"/>
      <c r="E7849" s="29"/>
      <c r="F7849" s="29"/>
    </row>
    <row r="7850">
      <c r="A7850" s="28"/>
      <c r="B7850" s="29"/>
      <c r="C7850" s="29"/>
      <c r="E7850" s="29"/>
      <c r="F7850" s="29"/>
    </row>
    <row r="7851">
      <c r="A7851" s="28"/>
      <c r="B7851" s="29"/>
      <c r="C7851" s="29"/>
      <c r="E7851" s="29"/>
      <c r="F7851" s="29"/>
    </row>
    <row r="7852">
      <c r="A7852" s="28"/>
      <c r="B7852" s="29"/>
      <c r="C7852" s="29"/>
      <c r="E7852" s="29"/>
      <c r="F7852" s="29"/>
    </row>
    <row r="7853">
      <c r="A7853" s="28"/>
      <c r="B7853" s="29"/>
      <c r="C7853" s="29"/>
      <c r="E7853" s="29"/>
      <c r="F7853" s="29"/>
    </row>
    <row r="7854">
      <c r="A7854" s="28"/>
      <c r="B7854" s="29"/>
      <c r="C7854" s="29"/>
      <c r="E7854" s="29"/>
      <c r="F7854" s="29"/>
    </row>
    <row r="7855">
      <c r="A7855" s="28"/>
      <c r="B7855" s="29"/>
      <c r="C7855" s="29"/>
      <c r="E7855" s="29"/>
      <c r="F7855" s="29"/>
    </row>
    <row r="7856">
      <c r="A7856" s="28"/>
      <c r="B7856" s="29"/>
      <c r="C7856" s="29"/>
      <c r="E7856" s="29"/>
      <c r="F7856" s="29"/>
    </row>
    <row r="7857">
      <c r="A7857" s="28"/>
      <c r="B7857" s="29"/>
      <c r="C7857" s="29"/>
      <c r="E7857" s="29"/>
      <c r="F7857" s="29"/>
    </row>
    <row r="7858">
      <c r="A7858" s="28"/>
      <c r="B7858" s="29"/>
      <c r="C7858" s="29"/>
      <c r="E7858" s="29"/>
      <c r="F7858" s="29"/>
    </row>
    <row r="7859">
      <c r="A7859" s="28"/>
      <c r="B7859" s="29"/>
      <c r="C7859" s="29"/>
      <c r="E7859" s="29"/>
      <c r="F7859" s="29"/>
    </row>
    <row r="7860">
      <c r="A7860" s="28"/>
      <c r="B7860" s="29"/>
      <c r="C7860" s="29"/>
      <c r="E7860" s="29"/>
      <c r="F7860" s="29"/>
    </row>
    <row r="7861">
      <c r="A7861" s="28"/>
      <c r="B7861" s="29"/>
      <c r="C7861" s="29"/>
      <c r="E7861" s="29"/>
      <c r="F7861" s="29"/>
    </row>
    <row r="7862">
      <c r="A7862" s="28"/>
      <c r="B7862" s="29"/>
      <c r="C7862" s="29"/>
      <c r="E7862" s="29"/>
      <c r="F7862" s="29"/>
    </row>
    <row r="7863">
      <c r="A7863" s="28"/>
      <c r="B7863" s="29"/>
      <c r="C7863" s="29"/>
      <c r="E7863" s="29"/>
      <c r="F7863" s="29"/>
    </row>
    <row r="7864">
      <c r="A7864" s="28"/>
      <c r="B7864" s="29"/>
      <c r="C7864" s="29"/>
      <c r="E7864" s="29"/>
      <c r="F7864" s="29"/>
    </row>
    <row r="7865">
      <c r="A7865" s="28"/>
      <c r="B7865" s="29"/>
      <c r="C7865" s="29"/>
      <c r="E7865" s="29"/>
      <c r="F7865" s="29"/>
    </row>
    <row r="7866">
      <c r="A7866" s="28"/>
      <c r="B7866" s="29"/>
      <c r="C7866" s="29"/>
      <c r="E7866" s="29"/>
      <c r="F7866" s="29"/>
    </row>
    <row r="7867">
      <c r="A7867" s="28"/>
      <c r="B7867" s="29"/>
      <c r="C7867" s="29"/>
      <c r="E7867" s="29"/>
      <c r="F7867" s="29"/>
    </row>
    <row r="7868">
      <c r="A7868" s="28"/>
      <c r="B7868" s="29"/>
      <c r="C7868" s="29"/>
      <c r="E7868" s="29"/>
      <c r="F7868" s="29"/>
    </row>
    <row r="7869">
      <c r="A7869" s="28"/>
      <c r="B7869" s="29"/>
      <c r="C7869" s="29"/>
      <c r="E7869" s="29"/>
      <c r="F7869" s="29"/>
    </row>
    <row r="7870">
      <c r="A7870" s="28"/>
      <c r="B7870" s="29"/>
      <c r="C7870" s="29"/>
      <c r="E7870" s="29"/>
      <c r="F7870" s="29"/>
    </row>
    <row r="7871">
      <c r="A7871" s="28"/>
      <c r="B7871" s="29"/>
      <c r="C7871" s="29"/>
      <c r="E7871" s="29"/>
      <c r="F7871" s="29"/>
    </row>
    <row r="7872">
      <c r="A7872" s="28"/>
      <c r="B7872" s="29"/>
      <c r="C7872" s="29"/>
      <c r="E7872" s="29"/>
      <c r="F7872" s="29"/>
    </row>
    <row r="7873">
      <c r="A7873" s="28"/>
      <c r="B7873" s="29"/>
      <c r="C7873" s="29"/>
      <c r="E7873" s="29"/>
      <c r="F7873" s="29"/>
    </row>
    <row r="7874">
      <c r="A7874" s="28"/>
      <c r="B7874" s="29"/>
      <c r="C7874" s="29"/>
      <c r="E7874" s="29"/>
      <c r="F7874" s="29"/>
    </row>
    <row r="7875">
      <c r="A7875" s="28"/>
      <c r="B7875" s="29"/>
      <c r="C7875" s="29"/>
      <c r="E7875" s="29"/>
      <c r="F7875" s="29"/>
    </row>
    <row r="7876">
      <c r="A7876" s="28"/>
      <c r="B7876" s="29"/>
      <c r="C7876" s="29"/>
      <c r="E7876" s="29"/>
      <c r="F7876" s="29"/>
    </row>
    <row r="7877">
      <c r="A7877" s="28"/>
      <c r="B7877" s="29"/>
      <c r="C7877" s="29"/>
      <c r="E7877" s="29"/>
      <c r="F7877" s="29"/>
    </row>
    <row r="7878">
      <c r="A7878" s="28"/>
      <c r="B7878" s="29"/>
      <c r="C7878" s="29"/>
      <c r="E7878" s="29"/>
      <c r="F7878" s="29"/>
    </row>
    <row r="7879">
      <c r="A7879" s="28"/>
      <c r="B7879" s="29"/>
      <c r="C7879" s="29"/>
      <c r="E7879" s="29"/>
      <c r="F7879" s="29"/>
    </row>
    <row r="7880">
      <c r="A7880" s="28"/>
      <c r="B7880" s="29"/>
      <c r="C7880" s="29"/>
      <c r="E7880" s="29"/>
      <c r="F7880" s="29"/>
    </row>
    <row r="7881">
      <c r="A7881" s="28"/>
      <c r="B7881" s="29"/>
      <c r="C7881" s="29"/>
      <c r="E7881" s="29"/>
      <c r="F7881" s="29"/>
    </row>
    <row r="7882">
      <c r="A7882" s="28"/>
      <c r="B7882" s="29"/>
      <c r="C7882" s="29"/>
      <c r="E7882" s="29"/>
      <c r="F7882" s="29"/>
    </row>
    <row r="7883">
      <c r="A7883" s="28"/>
      <c r="B7883" s="29"/>
      <c r="C7883" s="29"/>
      <c r="E7883" s="29"/>
      <c r="F7883" s="29"/>
    </row>
    <row r="7884">
      <c r="A7884" s="28"/>
      <c r="B7884" s="29"/>
      <c r="C7884" s="29"/>
      <c r="E7884" s="29"/>
      <c r="F7884" s="29"/>
    </row>
    <row r="7885">
      <c r="A7885" s="28"/>
      <c r="B7885" s="29"/>
      <c r="C7885" s="29"/>
      <c r="E7885" s="29"/>
      <c r="F7885" s="29"/>
    </row>
    <row r="7886">
      <c r="A7886" s="28"/>
      <c r="B7886" s="29"/>
      <c r="C7886" s="29"/>
      <c r="E7886" s="29"/>
      <c r="F7886" s="29"/>
    </row>
    <row r="7887">
      <c r="A7887" s="28"/>
      <c r="B7887" s="29"/>
      <c r="C7887" s="29"/>
      <c r="E7887" s="29"/>
      <c r="F7887" s="29"/>
    </row>
    <row r="7888">
      <c r="A7888" s="28"/>
      <c r="B7888" s="29"/>
      <c r="C7888" s="29"/>
      <c r="E7888" s="29"/>
      <c r="F7888" s="29"/>
    </row>
    <row r="7889">
      <c r="A7889" s="28"/>
      <c r="B7889" s="29"/>
      <c r="C7889" s="29"/>
      <c r="E7889" s="29"/>
      <c r="F7889" s="29"/>
    </row>
    <row r="7890">
      <c r="A7890" s="28"/>
      <c r="B7890" s="29"/>
      <c r="C7890" s="29"/>
      <c r="E7890" s="29"/>
      <c r="F7890" s="29"/>
    </row>
    <row r="7891">
      <c r="A7891" s="28"/>
      <c r="B7891" s="29"/>
      <c r="C7891" s="29"/>
      <c r="E7891" s="29"/>
      <c r="F7891" s="29"/>
    </row>
    <row r="7892">
      <c r="A7892" s="28"/>
      <c r="B7892" s="29"/>
      <c r="C7892" s="29"/>
      <c r="E7892" s="29"/>
      <c r="F7892" s="29"/>
    </row>
    <row r="7893">
      <c r="A7893" s="28"/>
      <c r="B7893" s="29"/>
      <c r="C7893" s="29"/>
      <c r="E7893" s="29"/>
      <c r="F7893" s="29"/>
    </row>
    <row r="7894">
      <c r="A7894" s="28"/>
      <c r="B7894" s="29"/>
      <c r="C7894" s="29"/>
      <c r="E7894" s="29"/>
      <c r="F7894" s="29"/>
    </row>
    <row r="7895">
      <c r="A7895" s="28"/>
      <c r="B7895" s="29"/>
      <c r="C7895" s="29"/>
      <c r="E7895" s="29"/>
      <c r="F7895" s="29"/>
    </row>
    <row r="7896">
      <c r="A7896" s="28"/>
      <c r="B7896" s="29"/>
      <c r="C7896" s="29"/>
      <c r="E7896" s="29"/>
      <c r="F7896" s="29"/>
    </row>
    <row r="7897">
      <c r="A7897" s="28"/>
      <c r="B7897" s="29"/>
      <c r="C7897" s="29"/>
      <c r="E7897" s="29"/>
      <c r="F7897" s="29"/>
    </row>
    <row r="7898">
      <c r="A7898" s="28"/>
      <c r="B7898" s="29"/>
      <c r="C7898" s="29"/>
      <c r="E7898" s="29"/>
      <c r="F7898" s="29"/>
    </row>
    <row r="7899">
      <c r="A7899" s="28"/>
      <c r="B7899" s="29"/>
      <c r="C7899" s="29"/>
      <c r="E7899" s="29"/>
      <c r="F7899" s="29"/>
    </row>
    <row r="7900">
      <c r="A7900" s="28"/>
      <c r="B7900" s="29"/>
      <c r="C7900" s="29"/>
      <c r="E7900" s="29"/>
      <c r="F7900" s="29"/>
    </row>
    <row r="7901">
      <c r="A7901" s="28"/>
      <c r="B7901" s="29"/>
      <c r="C7901" s="29"/>
      <c r="E7901" s="29"/>
      <c r="F7901" s="29"/>
    </row>
    <row r="7902">
      <c r="A7902" s="28"/>
      <c r="B7902" s="29"/>
      <c r="C7902" s="29"/>
      <c r="E7902" s="29"/>
      <c r="F7902" s="29"/>
    </row>
    <row r="7903">
      <c r="A7903" s="28"/>
      <c r="B7903" s="29"/>
      <c r="C7903" s="29"/>
      <c r="E7903" s="29"/>
      <c r="F7903" s="29"/>
    </row>
    <row r="7904">
      <c r="A7904" s="28"/>
      <c r="B7904" s="29"/>
      <c r="C7904" s="29"/>
      <c r="E7904" s="29"/>
      <c r="F7904" s="29"/>
    </row>
    <row r="7905">
      <c r="A7905" s="28"/>
      <c r="B7905" s="29"/>
      <c r="C7905" s="29"/>
      <c r="E7905" s="29"/>
      <c r="F7905" s="29"/>
    </row>
    <row r="7906">
      <c r="A7906" s="28"/>
      <c r="B7906" s="29"/>
      <c r="C7906" s="29"/>
      <c r="E7906" s="29"/>
      <c r="F7906" s="29"/>
    </row>
    <row r="7907">
      <c r="A7907" s="28"/>
      <c r="B7907" s="29"/>
      <c r="C7907" s="29"/>
      <c r="E7907" s="29"/>
      <c r="F7907" s="29"/>
    </row>
    <row r="7908">
      <c r="A7908" s="28"/>
      <c r="B7908" s="29"/>
      <c r="C7908" s="29"/>
      <c r="E7908" s="29"/>
      <c r="F7908" s="29"/>
    </row>
    <row r="7909">
      <c r="A7909" s="28"/>
      <c r="B7909" s="29"/>
      <c r="C7909" s="29"/>
      <c r="E7909" s="29"/>
      <c r="F7909" s="29"/>
    </row>
    <row r="7910">
      <c r="A7910" s="28"/>
      <c r="B7910" s="29"/>
      <c r="C7910" s="29"/>
      <c r="E7910" s="29"/>
      <c r="F7910" s="29"/>
    </row>
    <row r="7911">
      <c r="A7911" s="28"/>
      <c r="B7911" s="29"/>
      <c r="C7911" s="29"/>
      <c r="E7911" s="29"/>
      <c r="F7911" s="29"/>
    </row>
    <row r="7912">
      <c r="A7912" s="28"/>
      <c r="B7912" s="29"/>
      <c r="C7912" s="29"/>
      <c r="E7912" s="29"/>
      <c r="F7912" s="29"/>
    </row>
    <row r="7913">
      <c r="A7913" s="28"/>
      <c r="B7913" s="29"/>
      <c r="C7913" s="29"/>
      <c r="E7913" s="29"/>
      <c r="F7913" s="29"/>
    </row>
    <row r="7914">
      <c r="A7914" s="28"/>
      <c r="B7914" s="29"/>
      <c r="C7914" s="29"/>
      <c r="E7914" s="29"/>
      <c r="F7914" s="29"/>
    </row>
    <row r="7915">
      <c r="A7915" s="28"/>
      <c r="B7915" s="29"/>
      <c r="C7915" s="29"/>
      <c r="E7915" s="29"/>
      <c r="F7915" s="29"/>
    </row>
    <row r="7916">
      <c r="A7916" s="28"/>
      <c r="B7916" s="29"/>
      <c r="C7916" s="29"/>
      <c r="E7916" s="29"/>
      <c r="F7916" s="29"/>
    </row>
    <row r="7917">
      <c r="A7917" s="28"/>
      <c r="B7917" s="29"/>
      <c r="C7917" s="29"/>
      <c r="E7917" s="29"/>
      <c r="F7917" s="29"/>
    </row>
    <row r="7918">
      <c r="A7918" s="28"/>
      <c r="B7918" s="29"/>
      <c r="C7918" s="29"/>
      <c r="E7918" s="29"/>
      <c r="F7918" s="29"/>
    </row>
    <row r="7919">
      <c r="A7919" s="28"/>
      <c r="B7919" s="29"/>
      <c r="C7919" s="29"/>
      <c r="E7919" s="29"/>
      <c r="F7919" s="29"/>
    </row>
    <row r="7920">
      <c r="A7920" s="28"/>
      <c r="B7920" s="29"/>
      <c r="C7920" s="29"/>
      <c r="E7920" s="29"/>
      <c r="F7920" s="29"/>
    </row>
    <row r="7921">
      <c r="A7921" s="28"/>
      <c r="B7921" s="29"/>
      <c r="C7921" s="29"/>
      <c r="E7921" s="29"/>
      <c r="F7921" s="29"/>
    </row>
    <row r="7922">
      <c r="A7922" s="28"/>
      <c r="B7922" s="29"/>
      <c r="C7922" s="29"/>
      <c r="E7922" s="29"/>
      <c r="F7922" s="29"/>
    </row>
    <row r="7923">
      <c r="A7923" s="28"/>
      <c r="B7923" s="29"/>
      <c r="C7923" s="29"/>
      <c r="E7923" s="29"/>
      <c r="F7923" s="29"/>
    </row>
    <row r="7924">
      <c r="A7924" s="28"/>
      <c r="B7924" s="29"/>
      <c r="C7924" s="29"/>
      <c r="E7924" s="29"/>
      <c r="F7924" s="29"/>
    </row>
    <row r="7925">
      <c r="A7925" s="28"/>
      <c r="B7925" s="29"/>
      <c r="C7925" s="29"/>
      <c r="E7925" s="29"/>
      <c r="F7925" s="29"/>
    </row>
    <row r="7926">
      <c r="A7926" s="28"/>
      <c r="B7926" s="29"/>
      <c r="C7926" s="29"/>
      <c r="E7926" s="29"/>
      <c r="F7926" s="29"/>
    </row>
    <row r="7927">
      <c r="A7927" s="28"/>
      <c r="B7927" s="29"/>
      <c r="C7927" s="29"/>
      <c r="E7927" s="29"/>
      <c r="F7927" s="29"/>
    </row>
    <row r="7928">
      <c r="A7928" s="28"/>
      <c r="B7928" s="29"/>
      <c r="C7928" s="29"/>
      <c r="E7928" s="29"/>
      <c r="F7928" s="29"/>
    </row>
    <row r="7929">
      <c r="A7929" s="28"/>
      <c r="B7929" s="29"/>
      <c r="C7929" s="29"/>
      <c r="E7929" s="29"/>
      <c r="F7929" s="29"/>
    </row>
    <row r="7930">
      <c r="A7930" s="28"/>
      <c r="B7930" s="29"/>
      <c r="C7930" s="29"/>
      <c r="E7930" s="29"/>
      <c r="F7930" s="29"/>
    </row>
    <row r="7931">
      <c r="A7931" s="28"/>
      <c r="B7931" s="29"/>
      <c r="C7931" s="29"/>
      <c r="E7931" s="29"/>
      <c r="F7931" s="29"/>
    </row>
    <row r="7932">
      <c r="A7932" s="28"/>
      <c r="B7932" s="29"/>
      <c r="C7932" s="29"/>
      <c r="E7932" s="29"/>
      <c r="F7932" s="29"/>
    </row>
    <row r="7933">
      <c r="A7933" s="28"/>
      <c r="B7933" s="29"/>
      <c r="C7933" s="29"/>
      <c r="E7933" s="29"/>
      <c r="F7933" s="29"/>
    </row>
    <row r="7934">
      <c r="A7934" s="28"/>
      <c r="B7934" s="29"/>
      <c r="C7934" s="29"/>
      <c r="E7934" s="29"/>
      <c r="F7934" s="29"/>
    </row>
    <row r="7935">
      <c r="A7935" s="28"/>
      <c r="B7935" s="29"/>
      <c r="C7935" s="29"/>
      <c r="E7935" s="29"/>
      <c r="F7935" s="29"/>
    </row>
    <row r="7936">
      <c r="A7936" s="28"/>
      <c r="B7936" s="29"/>
      <c r="C7936" s="29"/>
      <c r="E7936" s="29"/>
      <c r="F7936" s="29"/>
    </row>
    <row r="7937">
      <c r="A7937" s="28"/>
      <c r="B7937" s="29"/>
      <c r="C7937" s="29"/>
      <c r="E7937" s="29"/>
      <c r="F7937" s="29"/>
    </row>
    <row r="7938">
      <c r="A7938" s="28"/>
      <c r="B7938" s="29"/>
      <c r="C7938" s="29"/>
      <c r="E7938" s="29"/>
      <c r="F7938" s="29"/>
    </row>
    <row r="7939">
      <c r="A7939" s="28"/>
      <c r="B7939" s="29"/>
      <c r="C7939" s="29"/>
      <c r="E7939" s="29"/>
      <c r="F7939" s="29"/>
    </row>
    <row r="7940">
      <c r="A7940" s="28"/>
      <c r="B7940" s="29"/>
      <c r="C7940" s="29"/>
      <c r="E7940" s="29"/>
      <c r="F7940" s="29"/>
    </row>
    <row r="7941">
      <c r="A7941" s="28"/>
      <c r="B7941" s="29"/>
      <c r="C7941" s="29"/>
      <c r="E7941" s="29"/>
      <c r="F7941" s="29"/>
    </row>
    <row r="7942">
      <c r="A7942" s="28"/>
      <c r="B7942" s="29"/>
      <c r="C7942" s="29"/>
      <c r="E7942" s="29"/>
      <c r="F7942" s="29"/>
    </row>
    <row r="7943">
      <c r="A7943" s="28"/>
      <c r="B7943" s="29"/>
      <c r="C7943" s="29"/>
      <c r="E7943" s="29"/>
      <c r="F7943" s="29"/>
    </row>
    <row r="7944">
      <c r="A7944" s="28"/>
      <c r="B7944" s="29"/>
      <c r="C7944" s="29"/>
      <c r="E7944" s="29"/>
      <c r="F7944" s="29"/>
    </row>
    <row r="7945">
      <c r="A7945" s="28"/>
      <c r="B7945" s="29"/>
      <c r="C7945" s="29"/>
      <c r="E7945" s="29"/>
      <c r="F7945" s="29"/>
    </row>
    <row r="7946">
      <c r="A7946" s="28"/>
      <c r="B7946" s="29"/>
      <c r="C7946" s="29"/>
      <c r="E7946" s="29"/>
      <c r="F7946" s="29"/>
    </row>
    <row r="7947">
      <c r="A7947" s="28"/>
      <c r="B7947" s="29"/>
      <c r="C7947" s="29"/>
      <c r="E7947" s="29"/>
      <c r="F7947" s="29"/>
    </row>
    <row r="7948">
      <c r="A7948" s="28"/>
      <c r="B7948" s="29"/>
      <c r="C7948" s="29"/>
      <c r="E7948" s="29"/>
      <c r="F7948" s="29"/>
    </row>
    <row r="7949">
      <c r="A7949" s="28"/>
      <c r="B7949" s="29"/>
      <c r="C7949" s="29"/>
      <c r="E7949" s="29"/>
      <c r="F7949" s="29"/>
    </row>
    <row r="7950">
      <c r="A7950" s="28"/>
      <c r="B7950" s="29"/>
      <c r="C7950" s="29"/>
      <c r="E7950" s="29"/>
      <c r="F7950" s="29"/>
    </row>
    <row r="7951">
      <c r="A7951" s="28"/>
      <c r="B7951" s="29"/>
      <c r="C7951" s="29"/>
      <c r="E7951" s="29"/>
      <c r="F7951" s="29"/>
    </row>
    <row r="7952">
      <c r="A7952" s="28"/>
      <c r="B7952" s="29"/>
      <c r="C7952" s="29"/>
      <c r="E7952" s="29"/>
      <c r="F7952" s="29"/>
    </row>
    <row r="7953">
      <c r="A7953" s="28"/>
      <c r="B7953" s="29"/>
      <c r="C7953" s="29"/>
      <c r="E7953" s="29"/>
      <c r="F7953" s="29"/>
    </row>
    <row r="7954">
      <c r="A7954" s="28"/>
      <c r="B7954" s="29"/>
      <c r="C7954" s="29"/>
      <c r="E7954" s="29"/>
      <c r="F7954" s="29"/>
    </row>
    <row r="7955">
      <c r="A7955" s="28"/>
      <c r="B7955" s="29"/>
      <c r="C7955" s="29"/>
      <c r="E7955" s="29"/>
      <c r="F7955" s="29"/>
    </row>
    <row r="7956">
      <c r="A7956" s="28"/>
      <c r="B7956" s="29"/>
      <c r="C7956" s="29"/>
      <c r="E7956" s="29"/>
      <c r="F7956" s="29"/>
    </row>
    <row r="7957">
      <c r="A7957" s="28"/>
      <c r="B7957" s="29"/>
      <c r="C7957" s="29"/>
      <c r="E7957" s="29"/>
      <c r="F7957" s="29"/>
    </row>
    <row r="7958">
      <c r="A7958" s="28"/>
      <c r="B7958" s="29"/>
      <c r="C7958" s="29"/>
      <c r="E7958" s="29"/>
      <c r="F7958" s="29"/>
    </row>
    <row r="7959">
      <c r="A7959" s="28"/>
      <c r="B7959" s="29"/>
      <c r="C7959" s="29"/>
      <c r="E7959" s="29"/>
      <c r="F7959" s="29"/>
    </row>
    <row r="7960">
      <c r="A7960" s="28"/>
      <c r="B7960" s="29"/>
      <c r="C7960" s="29"/>
      <c r="E7960" s="29"/>
      <c r="F7960" s="29"/>
    </row>
    <row r="7961">
      <c r="A7961" s="28"/>
      <c r="B7961" s="29"/>
      <c r="C7961" s="29"/>
      <c r="E7961" s="29"/>
      <c r="F7961" s="29"/>
    </row>
    <row r="7962">
      <c r="A7962" s="28"/>
      <c r="B7962" s="29"/>
      <c r="C7962" s="29"/>
      <c r="E7962" s="29"/>
      <c r="F7962" s="29"/>
    </row>
    <row r="7963">
      <c r="A7963" s="28"/>
      <c r="B7963" s="29"/>
      <c r="C7963" s="29"/>
      <c r="E7963" s="29"/>
      <c r="F7963" s="29"/>
    </row>
    <row r="7964">
      <c r="A7964" s="28"/>
      <c r="B7964" s="29"/>
      <c r="C7964" s="29"/>
      <c r="E7964" s="29"/>
      <c r="F7964" s="29"/>
    </row>
    <row r="7965">
      <c r="A7965" s="28"/>
      <c r="B7965" s="29"/>
      <c r="C7965" s="29"/>
      <c r="E7965" s="29"/>
      <c r="F7965" s="29"/>
    </row>
    <row r="7966">
      <c r="A7966" s="28"/>
      <c r="B7966" s="29"/>
      <c r="C7966" s="29"/>
      <c r="E7966" s="29"/>
      <c r="F7966" s="29"/>
    </row>
    <row r="7967">
      <c r="A7967" s="28"/>
      <c r="B7967" s="29"/>
      <c r="C7967" s="29"/>
      <c r="E7967" s="29"/>
      <c r="F7967" s="29"/>
    </row>
    <row r="7968">
      <c r="A7968" s="28"/>
      <c r="B7968" s="29"/>
      <c r="C7968" s="29"/>
      <c r="E7968" s="29"/>
      <c r="F7968" s="29"/>
    </row>
    <row r="7969">
      <c r="A7969" s="28"/>
      <c r="B7969" s="29"/>
      <c r="C7969" s="29"/>
      <c r="E7969" s="29"/>
      <c r="F7969" s="29"/>
    </row>
    <row r="7970">
      <c r="A7970" s="28"/>
      <c r="B7970" s="29"/>
      <c r="C7970" s="29"/>
      <c r="E7970" s="29"/>
      <c r="F7970" s="29"/>
    </row>
    <row r="7971">
      <c r="A7971" s="28"/>
      <c r="B7971" s="29"/>
      <c r="C7971" s="29"/>
      <c r="E7971" s="29"/>
      <c r="F7971" s="29"/>
    </row>
    <row r="7972">
      <c r="A7972" s="28"/>
      <c r="B7972" s="29"/>
      <c r="C7972" s="29"/>
      <c r="E7972" s="29"/>
      <c r="F7972" s="29"/>
    </row>
    <row r="7973">
      <c r="A7973" s="28"/>
      <c r="B7973" s="29"/>
      <c r="C7973" s="29"/>
      <c r="E7973" s="29"/>
      <c r="F7973" s="29"/>
    </row>
    <row r="7974">
      <c r="A7974" s="28"/>
      <c r="B7974" s="29"/>
      <c r="C7974" s="29"/>
      <c r="E7974" s="29"/>
      <c r="F7974" s="29"/>
    </row>
    <row r="7975">
      <c r="A7975" s="28"/>
      <c r="B7975" s="29"/>
      <c r="C7975" s="29"/>
      <c r="E7975" s="29"/>
      <c r="F7975" s="29"/>
    </row>
    <row r="7976">
      <c r="A7976" s="28"/>
      <c r="B7976" s="29"/>
      <c r="C7976" s="29"/>
      <c r="E7976" s="29"/>
      <c r="F7976" s="29"/>
    </row>
    <row r="7977">
      <c r="A7977" s="28"/>
      <c r="B7977" s="29"/>
      <c r="C7977" s="29"/>
      <c r="E7977" s="29"/>
      <c r="F7977" s="29"/>
    </row>
    <row r="7978">
      <c r="A7978" s="28"/>
      <c r="B7978" s="29"/>
      <c r="C7978" s="29"/>
      <c r="E7978" s="29"/>
      <c r="F7978" s="29"/>
    </row>
    <row r="7979">
      <c r="A7979" s="28"/>
      <c r="B7979" s="29"/>
      <c r="C7979" s="29"/>
      <c r="E7979" s="29"/>
      <c r="F7979" s="29"/>
    </row>
    <row r="7980">
      <c r="A7980" s="28"/>
      <c r="B7980" s="29"/>
      <c r="C7980" s="29"/>
      <c r="E7980" s="29"/>
      <c r="F7980" s="29"/>
    </row>
    <row r="7981">
      <c r="A7981" s="28"/>
      <c r="B7981" s="29"/>
      <c r="C7981" s="29"/>
      <c r="E7981" s="29"/>
      <c r="F7981" s="29"/>
    </row>
    <row r="7982">
      <c r="A7982" s="28"/>
      <c r="B7982" s="29"/>
      <c r="C7982" s="29"/>
      <c r="E7982" s="29"/>
      <c r="F7982" s="29"/>
    </row>
    <row r="7983">
      <c r="A7983" s="28"/>
      <c r="B7983" s="29"/>
      <c r="C7983" s="29"/>
      <c r="E7983" s="29"/>
      <c r="F7983" s="29"/>
    </row>
    <row r="7984">
      <c r="A7984" s="28"/>
      <c r="B7984" s="29"/>
      <c r="C7984" s="29"/>
      <c r="E7984" s="29"/>
      <c r="F7984" s="29"/>
    </row>
    <row r="7985">
      <c r="A7985" s="28"/>
      <c r="B7985" s="29"/>
      <c r="C7985" s="29"/>
      <c r="E7985" s="29"/>
      <c r="F7985" s="29"/>
    </row>
    <row r="7986">
      <c r="A7986" s="28"/>
      <c r="B7986" s="29"/>
      <c r="C7986" s="29"/>
      <c r="E7986" s="29"/>
      <c r="F7986" s="29"/>
    </row>
    <row r="7987">
      <c r="A7987" s="28"/>
      <c r="B7987" s="29"/>
      <c r="C7987" s="29"/>
      <c r="E7987" s="29"/>
      <c r="F7987" s="29"/>
    </row>
    <row r="7988">
      <c r="A7988" s="28"/>
      <c r="B7988" s="29"/>
      <c r="C7988" s="29"/>
      <c r="E7988" s="29"/>
      <c r="F7988" s="29"/>
    </row>
    <row r="7989">
      <c r="A7989" s="28"/>
      <c r="B7989" s="29"/>
      <c r="C7989" s="29"/>
      <c r="E7989" s="29"/>
      <c r="F7989" s="29"/>
    </row>
    <row r="7990">
      <c r="A7990" s="28"/>
      <c r="B7990" s="29"/>
      <c r="C7990" s="29"/>
      <c r="E7990" s="29"/>
      <c r="F7990" s="29"/>
    </row>
    <row r="7991">
      <c r="A7991" s="28"/>
      <c r="B7991" s="29"/>
      <c r="C7991" s="29"/>
      <c r="E7991" s="29"/>
      <c r="F7991" s="29"/>
    </row>
    <row r="7992">
      <c r="A7992" s="28"/>
      <c r="B7992" s="29"/>
      <c r="C7992" s="29"/>
      <c r="E7992" s="29"/>
      <c r="F7992" s="29"/>
    </row>
    <row r="7993">
      <c r="A7993" s="28"/>
      <c r="B7993" s="29"/>
      <c r="C7993" s="29"/>
      <c r="E7993" s="29"/>
      <c r="F7993" s="29"/>
    </row>
    <row r="7994">
      <c r="A7994" s="28"/>
      <c r="B7994" s="29"/>
      <c r="C7994" s="29"/>
      <c r="E7994" s="29"/>
      <c r="F7994" s="29"/>
    </row>
    <row r="7995">
      <c r="A7995" s="28"/>
      <c r="B7995" s="29"/>
      <c r="C7995" s="29"/>
      <c r="E7995" s="29"/>
      <c r="F7995" s="29"/>
    </row>
    <row r="7996">
      <c r="A7996" s="28"/>
      <c r="B7996" s="29"/>
      <c r="C7996" s="29"/>
      <c r="E7996" s="29"/>
      <c r="F7996" s="29"/>
    </row>
    <row r="7997">
      <c r="A7997" s="28"/>
      <c r="B7997" s="29"/>
      <c r="C7997" s="29"/>
      <c r="E7997" s="29"/>
      <c r="F7997" s="29"/>
    </row>
    <row r="7998">
      <c r="A7998" s="28"/>
      <c r="B7998" s="29"/>
      <c r="C7998" s="29"/>
      <c r="E7998" s="29"/>
      <c r="F7998" s="29"/>
    </row>
    <row r="7999">
      <c r="A7999" s="28"/>
      <c r="B7999" s="29"/>
      <c r="C7999" s="29"/>
      <c r="E7999" s="29"/>
      <c r="F7999" s="29"/>
    </row>
    <row r="8000">
      <c r="A8000" s="28"/>
      <c r="B8000" s="29"/>
      <c r="C8000" s="29"/>
      <c r="E8000" s="29"/>
      <c r="F8000" s="29"/>
    </row>
    <row r="8001">
      <c r="A8001" s="28"/>
      <c r="B8001" s="29"/>
      <c r="C8001" s="29"/>
      <c r="E8001" s="29"/>
      <c r="F8001" s="29"/>
    </row>
    <row r="8002">
      <c r="A8002" s="28"/>
      <c r="B8002" s="29"/>
      <c r="C8002" s="29"/>
      <c r="E8002" s="29"/>
      <c r="F8002" s="29"/>
    </row>
    <row r="8003">
      <c r="A8003" s="28"/>
      <c r="B8003" s="29"/>
      <c r="C8003" s="29"/>
      <c r="E8003" s="29"/>
      <c r="F8003" s="29"/>
    </row>
    <row r="8004">
      <c r="A8004" s="28"/>
      <c r="B8004" s="29"/>
      <c r="C8004" s="29"/>
      <c r="E8004" s="29"/>
      <c r="F8004" s="29"/>
    </row>
    <row r="8005">
      <c r="A8005" s="28"/>
      <c r="B8005" s="29"/>
      <c r="C8005" s="29"/>
      <c r="E8005" s="29"/>
      <c r="F8005" s="29"/>
    </row>
    <row r="8006">
      <c r="A8006" s="28"/>
      <c r="B8006" s="29"/>
      <c r="C8006" s="29"/>
      <c r="E8006" s="29"/>
      <c r="F8006" s="29"/>
    </row>
    <row r="8007">
      <c r="A8007" s="28"/>
      <c r="B8007" s="29"/>
      <c r="C8007" s="29"/>
      <c r="E8007" s="29"/>
      <c r="F8007" s="29"/>
    </row>
    <row r="8008">
      <c r="A8008" s="28"/>
      <c r="B8008" s="29"/>
      <c r="C8008" s="29"/>
      <c r="E8008" s="29"/>
      <c r="F8008" s="29"/>
    </row>
    <row r="8009">
      <c r="A8009" s="28"/>
      <c r="B8009" s="29"/>
      <c r="C8009" s="29"/>
      <c r="E8009" s="29"/>
      <c r="F8009" s="29"/>
    </row>
    <row r="8010">
      <c r="A8010" s="28"/>
      <c r="B8010" s="29"/>
      <c r="C8010" s="29"/>
      <c r="E8010" s="29"/>
      <c r="F8010" s="29"/>
    </row>
    <row r="8011">
      <c r="A8011" s="28"/>
      <c r="B8011" s="29"/>
      <c r="C8011" s="29"/>
      <c r="E8011" s="29"/>
      <c r="F8011" s="29"/>
    </row>
    <row r="8012">
      <c r="A8012" s="28"/>
      <c r="B8012" s="29"/>
      <c r="C8012" s="29"/>
      <c r="E8012" s="29"/>
      <c r="F8012" s="29"/>
    </row>
    <row r="8013">
      <c r="A8013" s="28"/>
      <c r="B8013" s="29"/>
      <c r="C8013" s="29"/>
      <c r="E8013" s="29"/>
      <c r="F8013" s="29"/>
    </row>
    <row r="8014">
      <c r="A8014" s="28"/>
      <c r="B8014" s="29"/>
      <c r="C8014" s="29"/>
      <c r="E8014" s="29"/>
      <c r="F8014" s="29"/>
    </row>
    <row r="8015">
      <c r="A8015" s="28"/>
      <c r="B8015" s="29"/>
      <c r="C8015" s="29"/>
      <c r="E8015" s="29"/>
      <c r="F8015" s="29"/>
    </row>
    <row r="8016">
      <c r="A8016" s="28"/>
      <c r="B8016" s="29"/>
      <c r="C8016" s="29"/>
      <c r="E8016" s="29"/>
      <c r="F8016" s="29"/>
    </row>
    <row r="8017">
      <c r="A8017" s="28"/>
      <c r="B8017" s="29"/>
      <c r="C8017" s="29"/>
      <c r="E8017" s="29"/>
      <c r="F8017" s="29"/>
    </row>
    <row r="8018">
      <c r="A8018" s="28"/>
      <c r="B8018" s="29"/>
      <c r="C8018" s="29"/>
      <c r="E8018" s="29"/>
      <c r="F8018" s="29"/>
    </row>
    <row r="8019">
      <c r="A8019" s="28"/>
      <c r="B8019" s="29"/>
      <c r="C8019" s="29"/>
      <c r="E8019" s="29"/>
      <c r="F8019" s="29"/>
    </row>
    <row r="8020">
      <c r="A8020" s="28"/>
      <c r="B8020" s="29"/>
      <c r="C8020" s="29"/>
      <c r="E8020" s="29"/>
      <c r="F8020" s="29"/>
    </row>
    <row r="8021">
      <c r="A8021" s="28"/>
      <c r="B8021" s="29"/>
      <c r="C8021" s="29"/>
      <c r="E8021" s="29"/>
      <c r="F8021" s="29"/>
    </row>
    <row r="8022">
      <c r="A8022" s="28"/>
      <c r="B8022" s="29"/>
      <c r="C8022" s="29"/>
      <c r="E8022" s="29"/>
      <c r="F8022" s="29"/>
    </row>
    <row r="8023">
      <c r="A8023" s="28"/>
      <c r="B8023" s="29"/>
      <c r="C8023" s="29"/>
      <c r="E8023" s="29"/>
      <c r="F8023" s="29"/>
    </row>
    <row r="8024">
      <c r="A8024" s="28"/>
      <c r="B8024" s="29"/>
      <c r="C8024" s="29"/>
      <c r="E8024" s="29"/>
      <c r="F8024" s="29"/>
    </row>
    <row r="8025">
      <c r="A8025" s="28"/>
      <c r="B8025" s="29"/>
      <c r="C8025" s="29"/>
      <c r="E8025" s="29"/>
      <c r="F8025" s="29"/>
    </row>
    <row r="8026">
      <c r="A8026" s="28"/>
      <c r="B8026" s="29"/>
      <c r="C8026" s="29"/>
      <c r="E8026" s="29"/>
      <c r="F8026" s="29"/>
    </row>
    <row r="8027">
      <c r="A8027" s="28"/>
      <c r="B8027" s="29"/>
      <c r="C8027" s="29"/>
      <c r="E8027" s="29"/>
      <c r="F8027" s="29"/>
    </row>
    <row r="8028">
      <c r="A8028" s="28"/>
      <c r="B8028" s="29"/>
      <c r="C8028" s="29"/>
      <c r="E8028" s="29"/>
      <c r="F8028" s="29"/>
    </row>
    <row r="8029">
      <c r="A8029" s="28"/>
      <c r="B8029" s="29"/>
      <c r="C8029" s="29"/>
      <c r="E8029" s="29"/>
      <c r="F8029" s="29"/>
    </row>
    <row r="8030">
      <c r="A8030" s="28"/>
      <c r="B8030" s="29"/>
      <c r="C8030" s="29"/>
      <c r="E8030" s="29"/>
      <c r="F8030" s="29"/>
    </row>
    <row r="8031">
      <c r="A8031" s="28"/>
      <c r="B8031" s="29"/>
      <c r="C8031" s="29"/>
      <c r="E8031" s="29"/>
      <c r="F8031" s="29"/>
    </row>
    <row r="8032">
      <c r="A8032" s="28"/>
      <c r="B8032" s="29"/>
      <c r="C8032" s="29"/>
      <c r="E8032" s="29"/>
      <c r="F8032" s="29"/>
    </row>
    <row r="8033">
      <c r="A8033" s="28"/>
      <c r="B8033" s="29"/>
      <c r="C8033" s="29"/>
      <c r="E8033" s="29"/>
      <c r="F8033" s="29"/>
    </row>
    <row r="8034">
      <c r="A8034" s="28"/>
      <c r="B8034" s="29"/>
      <c r="C8034" s="29"/>
      <c r="E8034" s="29"/>
      <c r="F8034" s="29"/>
    </row>
    <row r="8035">
      <c r="A8035" s="28"/>
      <c r="B8035" s="29"/>
      <c r="C8035" s="29"/>
      <c r="E8035" s="29"/>
      <c r="F8035" s="29"/>
    </row>
    <row r="8036">
      <c r="A8036" s="28"/>
      <c r="B8036" s="29"/>
      <c r="C8036" s="29"/>
      <c r="E8036" s="29"/>
      <c r="F8036" s="29"/>
    </row>
    <row r="8037">
      <c r="A8037" s="28"/>
      <c r="B8037" s="29"/>
      <c r="C8037" s="29"/>
      <c r="E8037" s="29"/>
      <c r="F8037" s="29"/>
    </row>
    <row r="8038">
      <c r="A8038" s="28"/>
      <c r="B8038" s="29"/>
      <c r="C8038" s="29"/>
      <c r="E8038" s="29"/>
      <c r="F8038" s="29"/>
    </row>
    <row r="8039">
      <c r="A8039" s="28"/>
      <c r="B8039" s="29"/>
      <c r="C8039" s="29"/>
      <c r="E8039" s="29"/>
      <c r="F8039" s="29"/>
    </row>
    <row r="8040">
      <c r="A8040" s="28"/>
      <c r="B8040" s="29"/>
      <c r="C8040" s="29"/>
      <c r="E8040" s="29"/>
      <c r="F8040" s="29"/>
    </row>
    <row r="8041">
      <c r="A8041" s="28"/>
      <c r="B8041" s="29"/>
      <c r="C8041" s="29"/>
      <c r="E8041" s="29"/>
      <c r="F8041" s="29"/>
    </row>
    <row r="8042">
      <c r="A8042" s="28"/>
      <c r="B8042" s="29"/>
      <c r="C8042" s="29"/>
      <c r="E8042" s="29"/>
      <c r="F8042" s="29"/>
    </row>
    <row r="8043">
      <c r="A8043" s="28"/>
      <c r="B8043" s="29"/>
      <c r="C8043" s="29"/>
      <c r="E8043" s="29"/>
      <c r="F8043" s="29"/>
    </row>
    <row r="8044">
      <c r="A8044" s="28"/>
      <c r="B8044" s="29"/>
      <c r="C8044" s="29"/>
      <c r="E8044" s="29"/>
      <c r="F8044" s="29"/>
    </row>
    <row r="8045">
      <c r="A8045" s="28"/>
      <c r="B8045" s="29"/>
      <c r="C8045" s="29"/>
      <c r="E8045" s="29"/>
      <c r="F8045" s="29"/>
    </row>
    <row r="8046">
      <c r="A8046" s="28"/>
      <c r="B8046" s="29"/>
      <c r="C8046" s="29"/>
      <c r="E8046" s="29"/>
      <c r="F8046" s="29"/>
    </row>
    <row r="8047">
      <c r="A8047" s="28"/>
      <c r="B8047" s="29"/>
      <c r="C8047" s="29"/>
      <c r="E8047" s="29"/>
      <c r="F8047" s="29"/>
    </row>
    <row r="8048">
      <c r="A8048" s="28"/>
      <c r="B8048" s="29"/>
      <c r="C8048" s="29"/>
      <c r="E8048" s="29"/>
      <c r="F8048" s="29"/>
    </row>
    <row r="8049">
      <c r="A8049" s="28"/>
      <c r="B8049" s="29"/>
      <c r="C8049" s="29"/>
      <c r="E8049" s="29"/>
      <c r="F8049" s="29"/>
    </row>
    <row r="8050">
      <c r="A8050" s="28"/>
      <c r="B8050" s="29"/>
      <c r="C8050" s="29"/>
      <c r="E8050" s="29"/>
      <c r="F8050" s="29"/>
    </row>
    <row r="8051">
      <c r="A8051" s="28"/>
      <c r="B8051" s="29"/>
      <c r="C8051" s="29"/>
      <c r="E8051" s="29"/>
      <c r="F8051" s="29"/>
    </row>
    <row r="8052">
      <c r="A8052" s="28"/>
      <c r="B8052" s="29"/>
      <c r="C8052" s="29"/>
      <c r="E8052" s="29"/>
      <c r="F8052" s="29"/>
    </row>
    <row r="8053">
      <c r="A8053" s="28"/>
      <c r="B8053" s="29"/>
      <c r="C8053" s="29"/>
      <c r="E8053" s="29"/>
      <c r="F8053" s="29"/>
    </row>
    <row r="8054">
      <c r="A8054" s="28"/>
      <c r="B8054" s="29"/>
      <c r="C8054" s="29"/>
      <c r="E8054" s="29"/>
      <c r="F8054" s="29"/>
    </row>
    <row r="8055">
      <c r="A8055" s="28"/>
      <c r="B8055" s="29"/>
      <c r="C8055" s="29"/>
      <c r="E8055" s="29"/>
      <c r="F8055" s="29"/>
    </row>
    <row r="8056">
      <c r="A8056" s="28"/>
      <c r="B8056" s="29"/>
      <c r="C8056" s="29"/>
      <c r="E8056" s="29"/>
      <c r="F8056" s="29"/>
    </row>
    <row r="8057">
      <c r="A8057" s="28"/>
      <c r="B8057" s="29"/>
      <c r="C8057" s="29"/>
      <c r="E8057" s="29"/>
      <c r="F8057" s="29"/>
    </row>
    <row r="8058">
      <c r="A8058" s="28"/>
      <c r="B8058" s="29"/>
      <c r="C8058" s="29"/>
      <c r="E8058" s="29"/>
      <c r="F8058" s="29"/>
    </row>
    <row r="8059">
      <c r="A8059" s="28"/>
      <c r="B8059" s="29"/>
      <c r="C8059" s="29"/>
      <c r="E8059" s="29"/>
      <c r="F8059" s="29"/>
    </row>
    <row r="8060">
      <c r="A8060" s="28"/>
      <c r="B8060" s="29"/>
      <c r="C8060" s="29"/>
      <c r="E8060" s="29"/>
      <c r="F8060" s="29"/>
    </row>
    <row r="8061">
      <c r="A8061" s="28"/>
      <c r="B8061" s="29"/>
      <c r="C8061" s="29"/>
      <c r="E8061" s="29"/>
      <c r="F8061" s="29"/>
    </row>
    <row r="8062">
      <c r="A8062" s="28"/>
      <c r="B8062" s="29"/>
      <c r="C8062" s="29"/>
      <c r="E8062" s="29"/>
      <c r="F8062" s="29"/>
    </row>
    <row r="8063">
      <c r="A8063" s="28"/>
      <c r="B8063" s="29"/>
      <c r="C8063" s="29"/>
      <c r="E8063" s="29"/>
      <c r="F8063" s="29"/>
    </row>
    <row r="8064">
      <c r="A8064" s="28"/>
      <c r="B8064" s="29"/>
      <c r="C8064" s="29"/>
      <c r="E8064" s="29"/>
      <c r="F8064" s="29"/>
    </row>
    <row r="8065">
      <c r="A8065" s="28"/>
      <c r="B8065" s="29"/>
      <c r="C8065" s="29"/>
      <c r="E8065" s="29"/>
      <c r="F8065" s="29"/>
    </row>
    <row r="8066">
      <c r="A8066" s="28"/>
      <c r="B8066" s="29"/>
      <c r="C8066" s="29"/>
      <c r="E8066" s="29"/>
      <c r="F8066" s="29"/>
    </row>
    <row r="8067">
      <c r="A8067" s="28"/>
      <c r="B8067" s="29"/>
      <c r="C8067" s="29"/>
      <c r="E8067" s="29"/>
      <c r="F8067" s="29"/>
    </row>
    <row r="8068">
      <c r="A8068" s="28"/>
      <c r="B8068" s="29"/>
      <c r="C8068" s="29"/>
      <c r="E8068" s="29"/>
      <c r="F8068" s="29"/>
    </row>
    <row r="8069">
      <c r="A8069" s="28"/>
      <c r="B8069" s="29"/>
      <c r="C8069" s="29"/>
      <c r="E8069" s="29"/>
      <c r="F8069" s="29"/>
    </row>
    <row r="8070">
      <c r="A8070" s="28"/>
      <c r="B8070" s="29"/>
      <c r="C8070" s="29"/>
      <c r="E8070" s="29"/>
      <c r="F8070" s="29"/>
    </row>
    <row r="8071">
      <c r="A8071" s="28"/>
      <c r="B8071" s="29"/>
      <c r="C8071" s="29"/>
      <c r="E8071" s="29"/>
      <c r="F8071" s="29"/>
    </row>
    <row r="8072">
      <c r="A8072" s="28"/>
      <c r="B8072" s="29"/>
      <c r="C8072" s="29"/>
      <c r="E8072" s="29"/>
      <c r="F8072" s="29"/>
    </row>
    <row r="8073">
      <c r="A8073" s="28"/>
      <c r="B8073" s="29"/>
      <c r="C8073" s="29"/>
      <c r="E8073" s="29"/>
      <c r="F8073" s="29"/>
    </row>
    <row r="8074">
      <c r="A8074" s="28"/>
      <c r="B8074" s="29"/>
      <c r="C8074" s="29"/>
      <c r="E8074" s="29"/>
      <c r="F8074" s="29"/>
    </row>
    <row r="8075">
      <c r="A8075" s="28"/>
      <c r="B8075" s="29"/>
      <c r="C8075" s="29"/>
      <c r="E8075" s="29"/>
      <c r="F8075" s="29"/>
    </row>
    <row r="8076">
      <c r="A8076" s="28"/>
      <c r="B8076" s="29"/>
      <c r="C8076" s="29"/>
      <c r="E8076" s="29"/>
      <c r="F8076" s="29"/>
    </row>
    <row r="8077">
      <c r="A8077" s="28"/>
      <c r="B8077" s="29"/>
      <c r="C8077" s="29"/>
      <c r="E8077" s="29"/>
      <c r="F8077" s="29"/>
    </row>
    <row r="8078">
      <c r="A8078" s="28"/>
      <c r="B8078" s="29"/>
      <c r="C8078" s="29"/>
      <c r="E8078" s="29"/>
      <c r="F8078" s="29"/>
    </row>
    <row r="8079">
      <c r="A8079" s="28"/>
      <c r="B8079" s="29"/>
      <c r="C8079" s="29"/>
      <c r="E8079" s="29"/>
      <c r="F8079" s="29"/>
    </row>
    <row r="8080">
      <c r="A8080" s="28"/>
      <c r="B8080" s="29"/>
      <c r="C8080" s="29"/>
      <c r="E8080" s="29"/>
      <c r="F8080" s="29"/>
    </row>
    <row r="8081">
      <c r="A8081" s="28"/>
      <c r="B8081" s="29"/>
      <c r="C8081" s="29"/>
      <c r="E8081" s="29"/>
      <c r="F8081" s="29"/>
    </row>
    <row r="8082">
      <c r="A8082" s="28"/>
      <c r="B8082" s="29"/>
      <c r="C8082" s="29"/>
      <c r="E8082" s="29"/>
      <c r="F8082" s="29"/>
    </row>
    <row r="8083">
      <c r="A8083" s="28"/>
      <c r="B8083" s="29"/>
      <c r="C8083" s="29"/>
      <c r="E8083" s="29"/>
      <c r="F8083" s="29"/>
    </row>
    <row r="8084">
      <c r="A8084" s="28"/>
      <c r="B8084" s="29"/>
      <c r="C8084" s="29"/>
      <c r="E8084" s="29"/>
      <c r="F8084" s="29"/>
    </row>
    <row r="8085">
      <c r="A8085" s="28"/>
      <c r="B8085" s="29"/>
      <c r="C8085" s="29"/>
      <c r="E8085" s="29"/>
      <c r="F8085" s="29"/>
    </row>
    <row r="8086">
      <c r="A8086" s="28"/>
      <c r="B8086" s="29"/>
      <c r="C8086" s="29"/>
      <c r="E8086" s="29"/>
      <c r="F8086" s="29"/>
    </row>
    <row r="8087">
      <c r="A8087" s="28"/>
      <c r="B8087" s="29"/>
      <c r="C8087" s="29"/>
      <c r="E8087" s="29"/>
      <c r="F8087" s="29"/>
    </row>
    <row r="8088">
      <c r="A8088" s="28"/>
      <c r="B8088" s="29"/>
      <c r="C8088" s="29"/>
      <c r="E8088" s="29"/>
      <c r="F8088" s="29"/>
    </row>
    <row r="8089">
      <c r="A8089" s="28"/>
      <c r="B8089" s="29"/>
      <c r="C8089" s="29"/>
      <c r="E8089" s="29"/>
      <c r="F8089" s="29"/>
    </row>
    <row r="8090">
      <c r="A8090" s="28"/>
      <c r="B8090" s="29"/>
      <c r="C8090" s="29"/>
      <c r="E8090" s="29"/>
      <c r="F8090" s="29"/>
    </row>
    <row r="8091">
      <c r="A8091" s="28"/>
      <c r="B8091" s="29"/>
      <c r="C8091" s="29"/>
      <c r="E8091" s="29"/>
      <c r="F8091" s="29"/>
    </row>
    <row r="8092">
      <c r="A8092" s="28"/>
      <c r="B8092" s="29"/>
      <c r="C8092" s="29"/>
      <c r="E8092" s="29"/>
      <c r="F8092" s="29"/>
    </row>
    <row r="8093">
      <c r="A8093" s="28"/>
      <c r="B8093" s="29"/>
      <c r="C8093" s="29"/>
      <c r="E8093" s="29"/>
      <c r="F8093" s="29"/>
    </row>
    <row r="8094">
      <c r="A8094" s="28"/>
      <c r="B8094" s="29"/>
      <c r="C8094" s="29"/>
      <c r="E8094" s="29"/>
      <c r="F8094" s="29"/>
    </row>
    <row r="8095">
      <c r="A8095" s="28"/>
      <c r="B8095" s="29"/>
      <c r="C8095" s="29"/>
      <c r="E8095" s="29"/>
      <c r="F8095" s="29"/>
    </row>
    <row r="8096">
      <c r="A8096" s="28"/>
      <c r="B8096" s="29"/>
      <c r="C8096" s="29"/>
      <c r="E8096" s="29"/>
      <c r="F8096" s="29"/>
    </row>
    <row r="8097">
      <c r="A8097" s="28"/>
      <c r="B8097" s="29"/>
      <c r="C8097" s="29"/>
      <c r="E8097" s="29"/>
      <c r="F8097" s="29"/>
    </row>
    <row r="8098">
      <c r="A8098" s="28"/>
      <c r="B8098" s="29"/>
      <c r="C8098" s="29"/>
      <c r="E8098" s="29"/>
      <c r="F8098" s="29"/>
    </row>
    <row r="8099">
      <c r="A8099" s="28"/>
      <c r="B8099" s="29"/>
      <c r="C8099" s="29"/>
      <c r="E8099" s="29"/>
      <c r="F8099" s="29"/>
    </row>
    <row r="8100">
      <c r="A8100" s="28"/>
      <c r="B8100" s="29"/>
      <c r="C8100" s="29"/>
      <c r="E8100" s="29"/>
      <c r="F8100" s="29"/>
    </row>
    <row r="8101">
      <c r="A8101" s="28"/>
      <c r="B8101" s="29"/>
      <c r="C8101" s="29"/>
      <c r="E8101" s="29"/>
      <c r="F8101" s="29"/>
    </row>
    <row r="8102">
      <c r="A8102" s="28"/>
      <c r="B8102" s="29"/>
      <c r="C8102" s="29"/>
      <c r="E8102" s="29"/>
      <c r="F8102" s="29"/>
    </row>
    <row r="8103">
      <c r="A8103" s="28"/>
      <c r="B8103" s="29"/>
      <c r="C8103" s="29"/>
      <c r="E8103" s="29"/>
      <c r="F8103" s="29"/>
    </row>
    <row r="8104">
      <c r="A8104" s="28"/>
      <c r="B8104" s="29"/>
      <c r="C8104" s="29"/>
      <c r="E8104" s="29"/>
      <c r="F8104" s="29"/>
    </row>
    <row r="8105">
      <c r="A8105" s="28"/>
      <c r="B8105" s="29"/>
      <c r="C8105" s="29"/>
      <c r="E8105" s="29"/>
      <c r="F8105" s="29"/>
    </row>
    <row r="8106">
      <c r="A8106" s="28"/>
      <c r="B8106" s="29"/>
      <c r="C8106" s="29"/>
      <c r="E8106" s="29"/>
      <c r="F8106" s="29"/>
    </row>
    <row r="8107">
      <c r="A8107" s="28"/>
      <c r="B8107" s="29"/>
      <c r="C8107" s="29"/>
      <c r="E8107" s="29"/>
      <c r="F8107" s="29"/>
    </row>
    <row r="8108">
      <c r="A8108" s="28"/>
      <c r="B8108" s="29"/>
      <c r="C8108" s="29"/>
      <c r="E8108" s="29"/>
      <c r="F8108" s="29"/>
    </row>
    <row r="8109">
      <c r="A8109" s="28"/>
      <c r="B8109" s="29"/>
      <c r="C8109" s="29"/>
      <c r="E8109" s="29"/>
      <c r="F8109" s="29"/>
    </row>
    <row r="8110">
      <c r="A8110" s="28"/>
      <c r="B8110" s="29"/>
      <c r="C8110" s="29"/>
      <c r="E8110" s="29"/>
      <c r="F8110" s="29"/>
    </row>
    <row r="8111">
      <c r="A8111" s="28"/>
      <c r="B8111" s="29"/>
      <c r="C8111" s="29"/>
      <c r="E8111" s="29"/>
      <c r="F8111" s="29"/>
    </row>
    <row r="8112">
      <c r="A8112" s="28"/>
      <c r="B8112" s="29"/>
      <c r="C8112" s="29"/>
      <c r="E8112" s="29"/>
      <c r="F8112" s="29"/>
    </row>
    <row r="8113">
      <c r="A8113" s="28"/>
      <c r="B8113" s="29"/>
      <c r="C8113" s="29"/>
      <c r="E8113" s="29"/>
      <c r="F8113" s="29"/>
    </row>
    <row r="8114">
      <c r="A8114" s="28"/>
      <c r="B8114" s="29"/>
      <c r="C8114" s="29"/>
      <c r="E8114" s="29"/>
      <c r="F8114" s="29"/>
    </row>
    <row r="8115">
      <c r="A8115" s="28"/>
      <c r="B8115" s="29"/>
      <c r="C8115" s="29"/>
      <c r="E8115" s="29"/>
      <c r="F8115" s="29"/>
    </row>
    <row r="8116">
      <c r="A8116" s="28"/>
      <c r="B8116" s="29"/>
      <c r="C8116" s="29"/>
      <c r="E8116" s="29"/>
      <c r="F8116" s="29"/>
    </row>
    <row r="8117">
      <c r="A8117" s="28"/>
      <c r="B8117" s="29"/>
      <c r="C8117" s="29"/>
      <c r="E8117" s="29"/>
      <c r="F8117" s="29"/>
    </row>
    <row r="8118">
      <c r="A8118" s="28"/>
      <c r="B8118" s="29"/>
      <c r="C8118" s="29"/>
      <c r="E8118" s="29"/>
      <c r="F8118" s="29"/>
    </row>
    <row r="8119">
      <c r="A8119" s="28"/>
      <c r="B8119" s="29"/>
      <c r="C8119" s="29"/>
      <c r="E8119" s="29"/>
      <c r="F8119" s="29"/>
    </row>
    <row r="8120">
      <c r="A8120" s="28"/>
      <c r="B8120" s="29"/>
      <c r="C8120" s="29"/>
      <c r="E8120" s="29"/>
      <c r="F8120" s="29"/>
    </row>
    <row r="8121">
      <c r="A8121" s="28"/>
      <c r="B8121" s="29"/>
      <c r="C8121" s="29"/>
      <c r="E8121" s="29"/>
      <c r="F8121" s="29"/>
    </row>
    <row r="8122">
      <c r="A8122" s="28"/>
      <c r="B8122" s="29"/>
      <c r="C8122" s="29"/>
      <c r="E8122" s="29"/>
      <c r="F8122" s="29"/>
    </row>
    <row r="8123">
      <c r="A8123" s="28"/>
      <c r="B8123" s="29"/>
      <c r="C8123" s="29"/>
      <c r="E8123" s="29"/>
      <c r="F8123" s="29"/>
    </row>
    <row r="8124">
      <c r="A8124" s="28"/>
      <c r="B8124" s="29"/>
      <c r="C8124" s="29"/>
      <c r="E8124" s="29"/>
      <c r="F8124" s="29"/>
    </row>
    <row r="8125">
      <c r="A8125" s="28"/>
      <c r="B8125" s="29"/>
      <c r="C8125" s="29"/>
      <c r="E8125" s="29"/>
      <c r="F8125" s="29"/>
    </row>
    <row r="8126">
      <c r="A8126" s="28"/>
      <c r="B8126" s="29"/>
      <c r="C8126" s="29"/>
      <c r="E8126" s="29"/>
      <c r="F8126" s="29"/>
    </row>
    <row r="8127">
      <c r="A8127" s="28"/>
      <c r="B8127" s="29"/>
      <c r="C8127" s="29"/>
      <c r="E8127" s="29"/>
      <c r="F8127" s="29"/>
    </row>
    <row r="8128">
      <c r="A8128" s="28"/>
      <c r="B8128" s="29"/>
      <c r="C8128" s="29"/>
      <c r="E8128" s="29"/>
      <c r="F8128" s="29"/>
    </row>
    <row r="8129">
      <c r="A8129" s="28"/>
      <c r="B8129" s="29"/>
      <c r="C8129" s="29"/>
      <c r="E8129" s="29"/>
      <c r="F8129" s="29"/>
    </row>
    <row r="8130">
      <c r="A8130" s="28"/>
      <c r="B8130" s="29"/>
      <c r="C8130" s="29"/>
      <c r="E8130" s="29"/>
      <c r="F8130" s="29"/>
    </row>
    <row r="8131">
      <c r="A8131" s="28"/>
      <c r="B8131" s="29"/>
      <c r="C8131" s="29"/>
      <c r="E8131" s="29"/>
      <c r="F8131" s="29"/>
    </row>
    <row r="8132">
      <c r="A8132" s="28"/>
      <c r="B8132" s="29"/>
      <c r="C8132" s="29"/>
      <c r="E8132" s="29"/>
      <c r="F8132" s="29"/>
    </row>
    <row r="8133">
      <c r="A8133" s="28"/>
      <c r="B8133" s="29"/>
      <c r="C8133" s="29"/>
      <c r="E8133" s="29"/>
      <c r="F8133" s="29"/>
    </row>
    <row r="8134">
      <c r="A8134" s="28"/>
      <c r="B8134" s="29"/>
      <c r="C8134" s="29"/>
      <c r="E8134" s="29"/>
      <c r="F8134" s="29"/>
    </row>
    <row r="8135">
      <c r="A8135" s="28"/>
      <c r="B8135" s="29"/>
      <c r="C8135" s="29"/>
      <c r="E8135" s="29"/>
      <c r="F8135" s="29"/>
    </row>
    <row r="8136">
      <c r="A8136" s="28"/>
      <c r="B8136" s="29"/>
      <c r="C8136" s="29"/>
      <c r="E8136" s="29"/>
      <c r="F8136" s="29"/>
    </row>
    <row r="8137">
      <c r="A8137" s="28"/>
      <c r="B8137" s="29"/>
      <c r="C8137" s="29"/>
      <c r="E8137" s="29"/>
      <c r="F8137" s="29"/>
    </row>
    <row r="8138">
      <c r="A8138" s="28"/>
      <c r="B8138" s="29"/>
      <c r="C8138" s="29"/>
      <c r="E8138" s="29"/>
      <c r="F8138" s="29"/>
    </row>
    <row r="8139">
      <c r="A8139" s="28"/>
      <c r="B8139" s="29"/>
      <c r="C8139" s="29"/>
      <c r="E8139" s="29"/>
      <c r="F8139" s="29"/>
    </row>
    <row r="8140">
      <c r="A8140" s="28"/>
      <c r="B8140" s="29"/>
      <c r="C8140" s="29"/>
      <c r="E8140" s="29"/>
      <c r="F8140" s="29"/>
    </row>
    <row r="8141">
      <c r="A8141" s="28"/>
      <c r="B8141" s="29"/>
      <c r="C8141" s="29"/>
      <c r="E8141" s="29"/>
      <c r="F8141" s="29"/>
    </row>
    <row r="8142">
      <c r="A8142" s="28"/>
      <c r="B8142" s="29"/>
      <c r="C8142" s="29"/>
      <c r="E8142" s="29"/>
      <c r="F8142" s="29"/>
    </row>
    <row r="8143">
      <c r="A8143" s="28"/>
      <c r="B8143" s="29"/>
      <c r="C8143" s="29"/>
      <c r="E8143" s="29"/>
      <c r="F8143" s="29"/>
    </row>
    <row r="8144">
      <c r="A8144" s="28"/>
      <c r="B8144" s="29"/>
      <c r="C8144" s="29"/>
      <c r="E8144" s="29"/>
      <c r="F8144" s="29"/>
    </row>
    <row r="8145">
      <c r="A8145" s="28"/>
      <c r="B8145" s="29"/>
      <c r="C8145" s="29"/>
      <c r="E8145" s="29"/>
      <c r="F8145" s="29"/>
    </row>
    <row r="8146">
      <c r="A8146" s="28"/>
      <c r="B8146" s="29"/>
      <c r="C8146" s="29"/>
      <c r="E8146" s="29"/>
      <c r="F8146" s="29"/>
    </row>
    <row r="8147">
      <c r="A8147" s="28"/>
      <c r="B8147" s="29"/>
      <c r="C8147" s="29"/>
      <c r="E8147" s="29"/>
      <c r="F8147" s="29"/>
    </row>
    <row r="8148">
      <c r="A8148" s="28"/>
      <c r="B8148" s="29"/>
      <c r="C8148" s="29"/>
      <c r="E8148" s="29"/>
      <c r="F8148" s="29"/>
    </row>
    <row r="8149">
      <c r="A8149" s="28"/>
      <c r="B8149" s="29"/>
      <c r="C8149" s="29"/>
      <c r="E8149" s="29"/>
      <c r="F8149" s="29"/>
    </row>
    <row r="8150">
      <c r="A8150" s="28"/>
      <c r="B8150" s="29"/>
      <c r="C8150" s="29"/>
      <c r="E8150" s="29"/>
      <c r="F8150" s="29"/>
    </row>
    <row r="8151">
      <c r="A8151" s="28"/>
      <c r="B8151" s="29"/>
      <c r="C8151" s="29"/>
      <c r="E8151" s="29"/>
      <c r="F8151" s="29"/>
    </row>
    <row r="8152">
      <c r="A8152" s="28"/>
      <c r="B8152" s="29"/>
      <c r="C8152" s="29"/>
      <c r="E8152" s="29"/>
      <c r="F8152" s="29"/>
    </row>
    <row r="8153">
      <c r="A8153" s="28"/>
      <c r="B8153" s="29"/>
      <c r="C8153" s="29"/>
      <c r="E8153" s="29"/>
      <c r="F8153" s="29"/>
    </row>
    <row r="8154">
      <c r="A8154" s="28"/>
      <c r="B8154" s="29"/>
      <c r="C8154" s="29"/>
      <c r="E8154" s="29"/>
      <c r="F8154" s="29"/>
    </row>
    <row r="8155">
      <c r="A8155" s="28"/>
      <c r="B8155" s="29"/>
      <c r="C8155" s="29"/>
      <c r="E8155" s="29"/>
      <c r="F8155" s="29"/>
    </row>
    <row r="8156">
      <c r="A8156" s="28"/>
      <c r="B8156" s="29"/>
      <c r="C8156" s="29"/>
      <c r="E8156" s="29"/>
      <c r="F8156" s="29"/>
    </row>
    <row r="8157">
      <c r="A8157" s="28"/>
      <c r="B8157" s="29"/>
      <c r="C8157" s="29"/>
      <c r="E8157" s="29"/>
      <c r="F8157" s="29"/>
    </row>
    <row r="8158">
      <c r="A8158" s="28"/>
      <c r="B8158" s="29"/>
      <c r="C8158" s="29"/>
      <c r="E8158" s="29"/>
      <c r="F8158" s="29"/>
    </row>
    <row r="8159">
      <c r="A8159" s="28"/>
      <c r="B8159" s="29"/>
      <c r="C8159" s="29"/>
      <c r="E8159" s="29"/>
      <c r="F8159" s="29"/>
    </row>
    <row r="8160">
      <c r="A8160" s="28"/>
      <c r="B8160" s="29"/>
      <c r="C8160" s="29"/>
      <c r="E8160" s="29"/>
      <c r="F8160" s="29"/>
    </row>
    <row r="8161">
      <c r="A8161" s="28"/>
      <c r="B8161" s="29"/>
      <c r="C8161" s="29"/>
      <c r="E8161" s="29"/>
      <c r="F8161" s="29"/>
    </row>
    <row r="8162">
      <c r="A8162" s="28"/>
      <c r="B8162" s="29"/>
      <c r="C8162" s="29"/>
      <c r="E8162" s="29"/>
      <c r="F8162" s="29"/>
    </row>
    <row r="8163">
      <c r="A8163" s="28"/>
      <c r="B8163" s="29"/>
      <c r="C8163" s="29"/>
      <c r="E8163" s="29"/>
      <c r="F8163" s="29"/>
    </row>
    <row r="8164">
      <c r="A8164" s="28"/>
      <c r="B8164" s="29"/>
      <c r="C8164" s="29"/>
      <c r="E8164" s="29"/>
      <c r="F8164" s="29"/>
    </row>
    <row r="8165">
      <c r="A8165" s="28"/>
      <c r="B8165" s="29"/>
      <c r="C8165" s="29"/>
      <c r="E8165" s="29"/>
      <c r="F8165" s="29"/>
    </row>
    <row r="8166">
      <c r="A8166" s="28"/>
      <c r="B8166" s="29"/>
      <c r="C8166" s="29"/>
      <c r="E8166" s="29"/>
      <c r="F8166" s="29"/>
    </row>
    <row r="8167">
      <c r="A8167" s="28"/>
      <c r="B8167" s="29"/>
      <c r="C8167" s="29"/>
      <c r="E8167" s="29"/>
      <c r="F8167" s="29"/>
    </row>
    <row r="8168">
      <c r="A8168" s="28"/>
      <c r="B8168" s="29"/>
      <c r="C8168" s="29"/>
      <c r="E8168" s="29"/>
      <c r="F8168" s="29"/>
    </row>
    <row r="8169">
      <c r="A8169" s="28"/>
      <c r="B8169" s="29"/>
      <c r="C8169" s="29"/>
      <c r="E8169" s="29"/>
      <c r="F8169" s="29"/>
    </row>
    <row r="8170">
      <c r="A8170" s="28"/>
      <c r="B8170" s="29"/>
      <c r="C8170" s="29"/>
      <c r="E8170" s="29"/>
      <c r="F8170" s="29"/>
    </row>
    <row r="8171">
      <c r="A8171" s="28"/>
      <c r="B8171" s="29"/>
      <c r="C8171" s="29"/>
      <c r="E8171" s="29"/>
      <c r="F8171" s="29"/>
    </row>
    <row r="8172">
      <c r="A8172" s="28"/>
      <c r="B8172" s="29"/>
      <c r="C8172" s="29"/>
      <c r="E8172" s="29"/>
      <c r="F8172" s="29"/>
    </row>
    <row r="8173">
      <c r="A8173" s="28"/>
      <c r="B8173" s="29"/>
      <c r="C8173" s="29"/>
      <c r="E8173" s="29"/>
      <c r="F8173" s="29"/>
    </row>
    <row r="8174">
      <c r="A8174" s="28"/>
      <c r="B8174" s="29"/>
      <c r="C8174" s="29"/>
      <c r="E8174" s="29"/>
      <c r="F8174" s="29"/>
    </row>
    <row r="8175">
      <c r="A8175" s="28"/>
      <c r="B8175" s="29"/>
      <c r="C8175" s="29"/>
      <c r="E8175" s="29"/>
      <c r="F8175" s="29"/>
    </row>
    <row r="8176">
      <c r="A8176" s="28"/>
      <c r="B8176" s="29"/>
      <c r="C8176" s="29"/>
      <c r="E8176" s="29"/>
      <c r="F8176" s="29"/>
    </row>
    <row r="8177">
      <c r="A8177" s="28"/>
      <c r="B8177" s="29"/>
      <c r="C8177" s="29"/>
      <c r="E8177" s="29"/>
      <c r="F8177" s="29"/>
    </row>
    <row r="8178">
      <c r="A8178" s="28"/>
      <c r="B8178" s="29"/>
      <c r="C8178" s="29"/>
      <c r="E8178" s="29"/>
      <c r="F8178" s="29"/>
    </row>
    <row r="8179">
      <c r="A8179" s="28"/>
      <c r="B8179" s="29"/>
      <c r="C8179" s="29"/>
      <c r="E8179" s="29"/>
      <c r="F8179" s="29"/>
    </row>
    <row r="8180">
      <c r="A8180" s="28"/>
      <c r="B8180" s="29"/>
      <c r="C8180" s="29"/>
      <c r="E8180" s="29"/>
      <c r="F8180" s="29"/>
    </row>
    <row r="8181">
      <c r="A8181" s="28"/>
      <c r="B8181" s="29"/>
      <c r="C8181" s="29"/>
      <c r="E8181" s="29"/>
      <c r="F8181" s="29"/>
    </row>
    <row r="8182">
      <c r="A8182" s="28"/>
      <c r="B8182" s="29"/>
      <c r="C8182" s="29"/>
      <c r="E8182" s="29"/>
      <c r="F8182" s="29"/>
    </row>
    <row r="8183">
      <c r="A8183" s="28"/>
      <c r="B8183" s="29"/>
      <c r="C8183" s="29"/>
      <c r="E8183" s="29"/>
      <c r="F8183" s="29"/>
    </row>
    <row r="8184">
      <c r="A8184" s="28"/>
      <c r="B8184" s="29"/>
      <c r="C8184" s="29"/>
      <c r="E8184" s="29"/>
      <c r="F8184" s="29"/>
    </row>
    <row r="8185">
      <c r="A8185" s="28"/>
      <c r="B8185" s="29"/>
      <c r="C8185" s="29"/>
      <c r="E8185" s="29"/>
      <c r="F8185" s="29"/>
    </row>
    <row r="8186">
      <c r="A8186" s="28"/>
      <c r="B8186" s="29"/>
      <c r="C8186" s="29"/>
      <c r="E8186" s="29"/>
      <c r="F8186" s="29"/>
    </row>
    <row r="8187">
      <c r="A8187" s="28"/>
      <c r="B8187" s="29"/>
      <c r="C8187" s="29"/>
      <c r="E8187" s="29"/>
      <c r="F8187" s="29"/>
    </row>
    <row r="8188">
      <c r="A8188" s="28"/>
      <c r="B8188" s="29"/>
      <c r="C8188" s="29"/>
      <c r="E8188" s="29"/>
      <c r="F8188" s="29"/>
    </row>
    <row r="8189">
      <c r="A8189" s="28"/>
      <c r="B8189" s="29"/>
      <c r="C8189" s="29"/>
      <c r="E8189" s="29"/>
      <c r="F8189" s="29"/>
    </row>
    <row r="8190">
      <c r="A8190" s="28"/>
      <c r="B8190" s="29"/>
      <c r="C8190" s="29"/>
      <c r="E8190" s="29"/>
      <c r="F8190" s="29"/>
    </row>
    <row r="8191">
      <c r="A8191" s="28"/>
      <c r="B8191" s="29"/>
      <c r="C8191" s="29"/>
      <c r="E8191" s="29"/>
      <c r="F8191" s="29"/>
    </row>
    <row r="8192">
      <c r="A8192" s="28"/>
      <c r="B8192" s="29"/>
      <c r="C8192" s="29"/>
      <c r="E8192" s="29"/>
      <c r="F8192" s="29"/>
    </row>
    <row r="8193">
      <c r="A8193" s="28"/>
      <c r="B8193" s="29"/>
      <c r="C8193" s="29"/>
      <c r="E8193" s="29"/>
      <c r="F8193" s="29"/>
    </row>
    <row r="8194">
      <c r="A8194" s="28"/>
      <c r="B8194" s="29"/>
      <c r="C8194" s="29"/>
      <c r="E8194" s="29"/>
      <c r="F8194" s="29"/>
    </row>
    <row r="8195">
      <c r="A8195" s="28"/>
      <c r="B8195" s="29"/>
      <c r="C8195" s="29"/>
      <c r="E8195" s="29"/>
      <c r="F8195" s="29"/>
    </row>
    <row r="8196">
      <c r="A8196" s="28"/>
      <c r="B8196" s="29"/>
      <c r="C8196" s="29"/>
      <c r="E8196" s="29"/>
      <c r="F8196" s="29"/>
    </row>
    <row r="8197">
      <c r="A8197" s="28"/>
      <c r="B8197" s="29"/>
      <c r="C8197" s="29"/>
      <c r="E8197" s="29"/>
      <c r="F8197" s="29"/>
    </row>
    <row r="8198">
      <c r="A8198" s="28"/>
      <c r="B8198" s="29"/>
      <c r="C8198" s="29"/>
      <c r="E8198" s="29"/>
      <c r="F8198" s="29"/>
    </row>
    <row r="8199">
      <c r="A8199" s="28"/>
      <c r="B8199" s="29"/>
      <c r="C8199" s="29"/>
      <c r="E8199" s="29"/>
      <c r="F8199" s="29"/>
    </row>
    <row r="8200">
      <c r="A8200" s="28"/>
      <c r="B8200" s="29"/>
      <c r="C8200" s="29"/>
      <c r="E8200" s="29"/>
      <c r="F8200" s="29"/>
    </row>
    <row r="8201">
      <c r="A8201" s="28"/>
      <c r="B8201" s="29"/>
      <c r="C8201" s="29"/>
      <c r="E8201" s="29"/>
      <c r="F8201" s="29"/>
    </row>
    <row r="8202">
      <c r="A8202" s="28"/>
      <c r="B8202" s="29"/>
      <c r="C8202" s="29"/>
      <c r="E8202" s="29"/>
      <c r="F8202" s="29"/>
    </row>
    <row r="8203">
      <c r="A8203" s="28"/>
      <c r="B8203" s="29"/>
      <c r="C8203" s="29"/>
      <c r="E8203" s="29"/>
      <c r="F8203" s="29"/>
    </row>
    <row r="8204">
      <c r="A8204" s="28"/>
      <c r="B8204" s="29"/>
      <c r="C8204" s="29"/>
      <c r="E8204" s="29"/>
      <c r="F8204" s="29"/>
    </row>
    <row r="8205">
      <c r="A8205" s="28"/>
      <c r="B8205" s="29"/>
      <c r="C8205" s="29"/>
      <c r="E8205" s="29"/>
      <c r="F8205" s="29"/>
    </row>
    <row r="8206">
      <c r="A8206" s="28"/>
      <c r="B8206" s="29"/>
      <c r="C8206" s="29"/>
      <c r="E8206" s="29"/>
      <c r="F8206" s="29"/>
    </row>
    <row r="8207">
      <c r="A8207" s="28"/>
      <c r="B8207" s="29"/>
      <c r="C8207" s="29"/>
      <c r="E8207" s="29"/>
      <c r="F8207" s="29"/>
    </row>
    <row r="8208">
      <c r="A8208" s="28"/>
      <c r="B8208" s="29"/>
      <c r="C8208" s="29"/>
      <c r="E8208" s="29"/>
      <c r="F8208" s="29"/>
    </row>
    <row r="8209">
      <c r="A8209" s="28"/>
      <c r="B8209" s="29"/>
      <c r="C8209" s="29"/>
      <c r="E8209" s="29"/>
      <c r="F8209" s="29"/>
    </row>
    <row r="8210">
      <c r="A8210" s="28"/>
      <c r="B8210" s="29"/>
      <c r="C8210" s="29"/>
      <c r="E8210" s="29"/>
      <c r="F8210" s="29"/>
    </row>
    <row r="8211">
      <c r="A8211" s="28"/>
      <c r="B8211" s="29"/>
      <c r="C8211" s="29"/>
      <c r="E8211" s="29"/>
      <c r="F8211" s="29"/>
    </row>
    <row r="8212">
      <c r="A8212" s="28"/>
      <c r="B8212" s="29"/>
      <c r="C8212" s="29"/>
      <c r="E8212" s="29"/>
      <c r="F8212" s="29"/>
    </row>
    <row r="8213">
      <c r="A8213" s="28"/>
      <c r="B8213" s="29"/>
      <c r="C8213" s="29"/>
      <c r="E8213" s="29"/>
      <c r="F8213" s="29"/>
    </row>
    <row r="8214">
      <c r="A8214" s="28"/>
      <c r="B8214" s="29"/>
      <c r="C8214" s="29"/>
      <c r="E8214" s="29"/>
      <c r="F8214" s="29"/>
    </row>
    <row r="8215">
      <c r="A8215" s="28"/>
      <c r="B8215" s="29"/>
      <c r="C8215" s="29"/>
      <c r="E8215" s="29"/>
      <c r="F8215" s="29"/>
    </row>
    <row r="8216">
      <c r="A8216" s="28"/>
      <c r="B8216" s="29"/>
      <c r="C8216" s="29"/>
      <c r="E8216" s="29"/>
      <c r="F8216" s="29"/>
    </row>
    <row r="8217">
      <c r="A8217" s="28"/>
      <c r="B8217" s="29"/>
      <c r="C8217" s="29"/>
      <c r="E8217" s="29"/>
      <c r="F8217" s="29"/>
    </row>
    <row r="8218">
      <c r="A8218" s="28"/>
      <c r="B8218" s="29"/>
      <c r="C8218" s="29"/>
      <c r="E8218" s="29"/>
      <c r="F8218" s="29"/>
    </row>
    <row r="8219">
      <c r="A8219" s="28"/>
      <c r="B8219" s="29"/>
      <c r="C8219" s="29"/>
      <c r="E8219" s="29"/>
      <c r="F8219" s="29"/>
    </row>
    <row r="8220">
      <c r="A8220" s="28"/>
      <c r="B8220" s="29"/>
      <c r="C8220" s="29"/>
      <c r="E8220" s="29"/>
      <c r="F8220" s="29"/>
    </row>
    <row r="8221">
      <c r="A8221" s="28"/>
      <c r="B8221" s="29"/>
      <c r="C8221" s="29"/>
      <c r="E8221" s="29"/>
      <c r="F8221" s="29"/>
    </row>
    <row r="8222">
      <c r="A8222" s="28"/>
      <c r="B8222" s="29"/>
      <c r="C8222" s="29"/>
      <c r="E8222" s="29"/>
      <c r="F8222" s="29"/>
    </row>
    <row r="8223">
      <c r="A8223" s="28"/>
      <c r="B8223" s="29"/>
      <c r="C8223" s="29"/>
      <c r="E8223" s="29"/>
      <c r="F8223" s="29"/>
    </row>
    <row r="8224">
      <c r="A8224" s="28"/>
      <c r="B8224" s="29"/>
      <c r="C8224" s="29"/>
      <c r="E8224" s="29"/>
      <c r="F8224" s="29"/>
    </row>
    <row r="8225">
      <c r="A8225" s="28"/>
      <c r="B8225" s="29"/>
      <c r="C8225" s="29"/>
      <c r="E8225" s="29"/>
      <c r="F8225" s="29"/>
    </row>
    <row r="8226">
      <c r="A8226" s="28"/>
      <c r="B8226" s="29"/>
      <c r="C8226" s="29"/>
      <c r="E8226" s="29"/>
      <c r="F8226" s="29"/>
    </row>
    <row r="8227">
      <c r="A8227" s="28"/>
      <c r="B8227" s="29"/>
      <c r="C8227" s="29"/>
      <c r="E8227" s="29"/>
      <c r="F8227" s="29"/>
    </row>
    <row r="8228">
      <c r="A8228" s="28"/>
      <c r="B8228" s="29"/>
      <c r="C8228" s="29"/>
      <c r="E8228" s="29"/>
      <c r="F8228" s="29"/>
    </row>
    <row r="8229">
      <c r="A8229" s="28"/>
      <c r="B8229" s="29"/>
      <c r="C8229" s="29"/>
      <c r="E8229" s="29"/>
      <c r="F8229" s="29"/>
    </row>
    <row r="8230">
      <c r="A8230" s="28"/>
      <c r="B8230" s="29"/>
      <c r="C8230" s="29"/>
      <c r="E8230" s="29"/>
      <c r="F8230" s="29"/>
    </row>
    <row r="8231">
      <c r="A8231" s="28"/>
      <c r="B8231" s="29"/>
      <c r="C8231" s="29"/>
      <c r="E8231" s="29"/>
      <c r="F8231" s="29"/>
    </row>
    <row r="8232">
      <c r="A8232" s="28"/>
      <c r="B8232" s="29"/>
      <c r="C8232" s="29"/>
      <c r="E8232" s="29"/>
      <c r="F8232" s="29"/>
    </row>
    <row r="8233">
      <c r="A8233" s="28"/>
      <c r="B8233" s="29"/>
      <c r="C8233" s="29"/>
      <c r="E8233" s="29"/>
      <c r="F8233" s="29"/>
    </row>
    <row r="8234">
      <c r="A8234" s="28"/>
      <c r="B8234" s="29"/>
      <c r="C8234" s="29"/>
      <c r="E8234" s="29"/>
      <c r="F8234" s="29"/>
    </row>
    <row r="8235">
      <c r="A8235" s="28"/>
      <c r="B8235" s="29"/>
      <c r="C8235" s="29"/>
      <c r="E8235" s="29"/>
      <c r="F8235" s="29"/>
    </row>
    <row r="8236">
      <c r="A8236" s="28"/>
      <c r="B8236" s="29"/>
      <c r="C8236" s="29"/>
      <c r="E8236" s="29"/>
      <c r="F8236" s="29"/>
    </row>
    <row r="8237">
      <c r="A8237" s="28"/>
      <c r="B8237" s="29"/>
      <c r="C8237" s="29"/>
      <c r="E8237" s="29"/>
      <c r="F8237" s="29"/>
    </row>
    <row r="8238">
      <c r="A8238" s="28"/>
      <c r="B8238" s="29"/>
      <c r="C8238" s="29"/>
      <c r="E8238" s="29"/>
      <c r="F8238" s="29"/>
    </row>
    <row r="8239">
      <c r="A8239" s="28"/>
      <c r="B8239" s="29"/>
      <c r="C8239" s="29"/>
      <c r="E8239" s="29"/>
      <c r="F8239" s="29"/>
    </row>
    <row r="8240">
      <c r="A8240" s="28"/>
      <c r="B8240" s="29"/>
      <c r="C8240" s="29"/>
      <c r="E8240" s="29"/>
      <c r="F8240" s="29"/>
    </row>
    <row r="8241">
      <c r="A8241" s="28"/>
      <c r="B8241" s="29"/>
      <c r="C8241" s="29"/>
      <c r="E8241" s="29"/>
      <c r="F8241" s="29"/>
    </row>
    <row r="8242">
      <c r="A8242" s="28"/>
      <c r="B8242" s="29"/>
      <c r="C8242" s="29"/>
      <c r="E8242" s="29"/>
      <c r="F8242" s="29"/>
    </row>
    <row r="8243">
      <c r="A8243" s="28"/>
      <c r="B8243" s="29"/>
      <c r="C8243" s="29"/>
      <c r="E8243" s="29"/>
      <c r="F8243" s="29"/>
    </row>
    <row r="8244">
      <c r="A8244" s="28"/>
      <c r="B8244" s="29"/>
      <c r="C8244" s="29"/>
      <c r="E8244" s="29"/>
      <c r="F8244" s="29"/>
    </row>
    <row r="8245">
      <c r="A8245" s="28"/>
      <c r="B8245" s="29"/>
      <c r="C8245" s="29"/>
      <c r="E8245" s="29"/>
      <c r="F8245" s="29"/>
    </row>
    <row r="8246">
      <c r="A8246" s="28"/>
      <c r="B8246" s="29"/>
      <c r="C8246" s="29"/>
      <c r="E8246" s="29"/>
      <c r="F8246" s="29"/>
    </row>
    <row r="8247">
      <c r="A8247" s="28"/>
      <c r="B8247" s="29"/>
      <c r="C8247" s="29"/>
      <c r="E8247" s="29"/>
      <c r="F8247" s="29"/>
    </row>
    <row r="8248">
      <c r="A8248" s="28"/>
      <c r="B8248" s="29"/>
      <c r="C8248" s="29"/>
      <c r="E8248" s="29"/>
      <c r="F8248" s="29"/>
    </row>
    <row r="8249">
      <c r="A8249" s="28"/>
      <c r="B8249" s="29"/>
      <c r="C8249" s="29"/>
      <c r="E8249" s="29"/>
      <c r="F8249" s="29"/>
    </row>
    <row r="8250">
      <c r="A8250" s="28"/>
      <c r="B8250" s="29"/>
      <c r="C8250" s="29"/>
      <c r="E8250" s="29"/>
      <c r="F8250" s="29"/>
    </row>
    <row r="8251">
      <c r="A8251" s="28"/>
      <c r="B8251" s="29"/>
      <c r="C8251" s="29"/>
      <c r="E8251" s="29"/>
      <c r="F8251" s="29"/>
    </row>
    <row r="8252">
      <c r="A8252" s="28"/>
      <c r="B8252" s="29"/>
      <c r="C8252" s="29"/>
      <c r="E8252" s="29"/>
      <c r="F8252" s="29"/>
    </row>
    <row r="8253">
      <c r="A8253" s="28"/>
      <c r="B8253" s="29"/>
      <c r="C8253" s="29"/>
      <c r="E8253" s="29"/>
      <c r="F8253" s="29"/>
    </row>
    <row r="8254">
      <c r="A8254" s="28"/>
      <c r="B8254" s="29"/>
      <c r="C8254" s="29"/>
      <c r="E8254" s="29"/>
      <c r="F8254" s="29"/>
    </row>
    <row r="8255">
      <c r="A8255" s="28"/>
      <c r="B8255" s="29"/>
      <c r="C8255" s="29"/>
      <c r="E8255" s="29"/>
      <c r="F8255" s="29"/>
    </row>
    <row r="8256">
      <c r="A8256" s="28"/>
      <c r="B8256" s="29"/>
      <c r="C8256" s="29"/>
      <c r="E8256" s="29"/>
      <c r="F8256" s="29"/>
    </row>
    <row r="8257">
      <c r="A8257" s="28"/>
      <c r="B8257" s="29"/>
      <c r="C8257" s="29"/>
      <c r="E8257" s="29"/>
      <c r="F8257" s="29"/>
    </row>
    <row r="8258">
      <c r="A8258" s="28"/>
      <c r="B8258" s="29"/>
      <c r="C8258" s="29"/>
      <c r="E8258" s="29"/>
      <c r="F8258" s="29"/>
    </row>
    <row r="8259">
      <c r="A8259" s="28"/>
      <c r="B8259" s="29"/>
      <c r="C8259" s="29"/>
      <c r="E8259" s="29"/>
      <c r="F8259" s="29"/>
    </row>
    <row r="8260">
      <c r="A8260" s="28"/>
      <c r="B8260" s="29"/>
      <c r="C8260" s="29"/>
      <c r="E8260" s="29"/>
      <c r="F8260" s="29"/>
    </row>
    <row r="8261">
      <c r="A8261" s="28"/>
      <c r="B8261" s="29"/>
      <c r="C8261" s="29"/>
      <c r="E8261" s="29"/>
      <c r="F8261" s="29"/>
    </row>
    <row r="8262">
      <c r="A8262" s="28"/>
      <c r="B8262" s="29"/>
      <c r="C8262" s="29"/>
      <c r="E8262" s="29"/>
      <c r="F8262" s="29"/>
    </row>
    <row r="8263">
      <c r="A8263" s="28"/>
      <c r="B8263" s="29"/>
      <c r="C8263" s="29"/>
      <c r="E8263" s="29"/>
      <c r="F8263" s="29"/>
    </row>
    <row r="8264">
      <c r="A8264" s="28"/>
      <c r="B8264" s="29"/>
      <c r="C8264" s="29"/>
      <c r="E8264" s="29"/>
      <c r="F8264" s="29"/>
    </row>
    <row r="8265">
      <c r="A8265" s="28"/>
      <c r="B8265" s="29"/>
      <c r="C8265" s="29"/>
      <c r="E8265" s="29"/>
      <c r="F8265" s="29"/>
    </row>
    <row r="8266">
      <c r="A8266" s="28"/>
      <c r="B8266" s="29"/>
      <c r="C8266" s="29"/>
      <c r="E8266" s="29"/>
      <c r="F8266" s="29"/>
    </row>
    <row r="8267">
      <c r="A8267" s="28"/>
      <c r="B8267" s="29"/>
      <c r="C8267" s="29"/>
      <c r="E8267" s="29"/>
      <c r="F8267" s="29"/>
    </row>
    <row r="8268">
      <c r="A8268" s="28"/>
      <c r="B8268" s="29"/>
      <c r="C8268" s="29"/>
      <c r="E8268" s="29"/>
      <c r="F8268" s="29"/>
    </row>
    <row r="8269">
      <c r="A8269" s="28"/>
      <c r="B8269" s="29"/>
      <c r="C8269" s="29"/>
      <c r="E8269" s="29"/>
      <c r="F8269" s="29"/>
    </row>
    <row r="8270">
      <c r="A8270" s="28"/>
      <c r="B8270" s="29"/>
      <c r="C8270" s="29"/>
      <c r="E8270" s="29"/>
      <c r="F8270" s="29"/>
    </row>
    <row r="8271">
      <c r="A8271" s="28"/>
      <c r="B8271" s="29"/>
      <c r="C8271" s="29"/>
      <c r="E8271" s="29"/>
      <c r="F8271" s="29"/>
    </row>
    <row r="8272">
      <c r="A8272" s="28"/>
      <c r="B8272" s="29"/>
      <c r="C8272" s="29"/>
      <c r="E8272" s="29"/>
      <c r="F8272" s="29"/>
    </row>
    <row r="8273">
      <c r="A8273" s="28"/>
      <c r="B8273" s="29"/>
      <c r="C8273" s="29"/>
      <c r="E8273" s="29"/>
      <c r="F8273" s="29"/>
    </row>
    <row r="8274">
      <c r="A8274" s="28"/>
      <c r="B8274" s="29"/>
      <c r="C8274" s="29"/>
      <c r="E8274" s="29"/>
      <c r="F8274" s="29"/>
    </row>
    <row r="8275">
      <c r="A8275" s="28"/>
      <c r="B8275" s="29"/>
      <c r="C8275" s="29"/>
      <c r="E8275" s="29"/>
      <c r="F8275" s="29"/>
    </row>
    <row r="8276">
      <c r="A8276" s="28"/>
      <c r="B8276" s="29"/>
      <c r="C8276" s="29"/>
      <c r="E8276" s="29"/>
      <c r="F8276" s="29"/>
    </row>
    <row r="8277">
      <c r="A8277" s="28"/>
      <c r="B8277" s="29"/>
      <c r="C8277" s="29"/>
      <c r="E8277" s="29"/>
      <c r="F8277" s="29"/>
    </row>
    <row r="8278">
      <c r="A8278" s="28"/>
      <c r="B8278" s="29"/>
      <c r="C8278" s="29"/>
      <c r="E8278" s="29"/>
      <c r="F8278" s="29"/>
    </row>
    <row r="8279">
      <c r="A8279" s="28"/>
      <c r="B8279" s="29"/>
      <c r="C8279" s="29"/>
      <c r="E8279" s="29"/>
      <c r="F8279" s="29"/>
    </row>
    <row r="8280">
      <c r="A8280" s="28"/>
      <c r="B8280" s="29"/>
      <c r="C8280" s="29"/>
      <c r="E8280" s="29"/>
      <c r="F8280" s="29"/>
    </row>
    <row r="8281">
      <c r="A8281" s="28"/>
      <c r="B8281" s="29"/>
      <c r="C8281" s="29"/>
      <c r="E8281" s="29"/>
      <c r="F8281" s="29"/>
    </row>
    <row r="8282">
      <c r="A8282" s="28"/>
      <c r="B8282" s="29"/>
      <c r="C8282" s="29"/>
      <c r="E8282" s="29"/>
      <c r="F8282" s="29"/>
    </row>
    <row r="8283">
      <c r="A8283" s="28"/>
      <c r="B8283" s="29"/>
      <c r="C8283" s="29"/>
      <c r="E8283" s="29"/>
      <c r="F8283" s="29"/>
    </row>
    <row r="8284">
      <c r="A8284" s="28"/>
      <c r="B8284" s="29"/>
      <c r="C8284" s="29"/>
      <c r="E8284" s="29"/>
      <c r="F8284" s="29"/>
    </row>
    <row r="8285">
      <c r="A8285" s="28"/>
      <c r="B8285" s="29"/>
      <c r="C8285" s="29"/>
      <c r="E8285" s="29"/>
      <c r="F8285" s="29"/>
    </row>
    <row r="8286">
      <c r="A8286" s="28"/>
      <c r="B8286" s="29"/>
      <c r="C8286" s="29"/>
      <c r="E8286" s="29"/>
      <c r="F8286" s="29"/>
    </row>
    <row r="8287">
      <c r="A8287" s="28"/>
      <c r="B8287" s="29"/>
      <c r="C8287" s="29"/>
      <c r="E8287" s="29"/>
      <c r="F8287" s="29"/>
    </row>
    <row r="8288">
      <c r="A8288" s="28"/>
      <c r="B8288" s="29"/>
      <c r="C8288" s="29"/>
      <c r="E8288" s="29"/>
      <c r="F8288" s="29"/>
    </row>
    <row r="8289">
      <c r="A8289" s="28"/>
      <c r="B8289" s="29"/>
      <c r="C8289" s="29"/>
      <c r="E8289" s="29"/>
      <c r="F8289" s="29"/>
    </row>
    <row r="8290">
      <c r="A8290" s="28"/>
      <c r="B8290" s="29"/>
      <c r="C8290" s="29"/>
      <c r="E8290" s="29"/>
      <c r="F8290" s="29"/>
    </row>
    <row r="8291">
      <c r="A8291" s="28"/>
      <c r="B8291" s="29"/>
      <c r="C8291" s="29"/>
      <c r="E8291" s="29"/>
      <c r="F8291" s="29"/>
    </row>
    <row r="8292">
      <c r="A8292" s="28"/>
      <c r="B8292" s="29"/>
      <c r="C8292" s="29"/>
      <c r="E8292" s="29"/>
      <c r="F8292" s="29"/>
    </row>
    <row r="8293">
      <c r="A8293" s="28"/>
      <c r="B8293" s="29"/>
      <c r="C8293" s="29"/>
      <c r="E8293" s="29"/>
      <c r="F8293" s="29"/>
    </row>
    <row r="8294">
      <c r="A8294" s="28"/>
      <c r="B8294" s="29"/>
      <c r="C8294" s="29"/>
      <c r="E8294" s="29"/>
      <c r="F8294" s="29"/>
    </row>
    <row r="8295">
      <c r="A8295" s="28"/>
      <c r="B8295" s="29"/>
      <c r="C8295" s="29"/>
      <c r="E8295" s="29"/>
      <c r="F8295" s="29"/>
    </row>
    <row r="8296">
      <c r="A8296" s="28"/>
      <c r="B8296" s="29"/>
      <c r="C8296" s="29"/>
      <c r="E8296" s="29"/>
      <c r="F8296" s="29"/>
    </row>
    <row r="8297">
      <c r="A8297" s="28"/>
      <c r="B8297" s="29"/>
      <c r="C8297" s="29"/>
      <c r="E8297" s="29"/>
      <c r="F8297" s="29"/>
    </row>
    <row r="8298">
      <c r="A8298" s="28"/>
      <c r="B8298" s="29"/>
      <c r="C8298" s="29"/>
      <c r="E8298" s="29"/>
      <c r="F8298" s="29"/>
    </row>
    <row r="8299">
      <c r="A8299" s="28"/>
      <c r="B8299" s="29"/>
      <c r="C8299" s="29"/>
      <c r="E8299" s="29"/>
      <c r="F8299" s="29"/>
    </row>
    <row r="8300">
      <c r="A8300" s="28"/>
      <c r="B8300" s="29"/>
      <c r="C8300" s="29"/>
      <c r="E8300" s="29"/>
      <c r="F8300" s="29"/>
    </row>
    <row r="8301">
      <c r="A8301" s="28"/>
      <c r="B8301" s="29"/>
      <c r="C8301" s="29"/>
      <c r="E8301" s="29"/>
      <c r="F8301" s="29"/>
    </row>
    <row r="8302">
      <c r="A8302" s="28"/>
      <c r="B8302" s="29"/>
      <c r="C8302" s="29"/>
      <c r="E8302" s="29"/>
      <c r="F8302" s="29"/>
    </row>
    <row r="8303">
      <c r="A8303" s="28"/>
      <c r="B8303" s="29"/>
      <c r="C8303" s="29"/>
      <c r="E8303" s="29"/>
      <c r="F8303" s="29"/>
    </row>
    <row r="8304">
      <c r="A8304" s="28"/>
      <c r="B8304" s="29"/>
      <c r="C8304" s="29"/>
      <c r="E8304" s="29"/>
      <c r="F8304" s="29"/>
    </row>
    <row r="8305">
      <c r="A8305" s="28"/>
      <c r="B8305" s="29"/>
      <c r="C8305" s="29"/>
      <c r="E8305" s="29"/>
      <c r="F8305" s="29"/>
    </row>
    <row r="8306">
      <c r="A8306" s="28"/>
      <c r="B8306" s="29"/>
      <c r="C8306" s="29"/>
      <c r="E8306" s="29"/>
      <c r="F8306" s="29"/>
    </row>
    <row r="8307">
      <c r="A8307" s="28"/>
      <c r="B8307" s="29"/>
      <c r="C8307" s="29"/>
      <c r="E8307" s="29"/>
      <c r="F8307" s="29"/>
    </row>
    <row r="8308">
      <c r="A8308" s="28"/>
      <c r="B8308" s="29"/>
      <c r="C8308" s="29"/>
      <c r="E8308" s="29"/>
      <c r="F8308" s="29"/>
    </row>
    <row r="8309">
      <c r="A8309" s="28"/>
      <c r="B8309" s="29"/>
      <c r="C8309" s="29"/>
      <c r="E8309" s="29"/>
      <c r="F8309" s="29"/>
    </row>
    <row r="8310">
      <c r="A8310" s="28"/>
      <c r="B8310" s="29"/>
      <c r="C8310" s="29"/>
      <c r="E8310" s="29"/>
      <c r="F8310" s="29"/>
    </row>
    <row r="8311">
      <c r="A8311" s="28"/>
      <c r="B8311" s="29"/>
      <c r="C8311" s="29"/>
      <c r="E8311" s="29"/>
      <c r="F8311" s="29"/>
    </row>
    <row r="8312">
      <c r="A8312" s="28"/>
      <c r="B8312" s="29"/>
      <c r="C8312" s="29"/>
      <c r="E8312" s="29"/>
      <c r="F8312" s="29"/>
    </row>
    <row r="8313">
      <c r="A8313" s="28"/>
      <c r="B8313" s="29"/>
      <c r="C8313" s="29"/>
      <c r="E8313" s="29"/>
      <c r="F8313" s="29"/>
    </row>
    <row r="8314">
      <c r="A8314" s="28"/>
      <c r="B8314" s="29"/>
      <c r="C8314" s="29"/>
      <c r="E8314" s="29"/>
      <c r="F8314" s="29"/>
    </row>
    <row r="8315">
      <c r="A8315" s="28"/>
      <c r="B8315" s="29"/>
      <c r="C8315" s="29"/>
      <c r="E8315" s="29"/>
      <c r="F8315" s="29"/>
    </row>
    <row r="8316">
      <c r="A8316" s="28"/>
      <c r="B8316" s="29"/>
      <c r="C8316" s="29"/>
      <c r="E8316" s="29"/>
      <c r="F8316" s="29"/>
    </row>
    <row r="8317">
      <c r="A8317" s="28"/>
      <c r="B8317" s="29"/>
      <c r="C8317" s="29"/>
      <c r="E8317" s="29"/>
      <c r="F8317" s="29"/>
    </row>
    <row r="8318">
      <c r="A8318" s="28"/>
      <c r="B8318" s="29"/>
      <c r="C8318" s="29"/>
      <c r="E8318" s="29"/>
      <c r="F8318" s="29"/>
    </row>
    <row r="8319">
      <c r="A8319" s="28"/>
      <c r="B8319" s="29"/>
      <c r="C8319" s="29"/>
      <c r="E8319" s="29"/>
      <c r="F8319" s="29"/>
    </row>
    <row r="8320">
      <c r="A8320" s="28"/>
      <c r="B8320" s="29"/>
      <c r="C8320" s="29"/>
      <c r="E8320" s="29"/>
      <c r="F8320" s="29"/>
    </row>
    <row r="8321">
      <c r="A8321" s="28"/>
      <c r="B8321" s="29"/>
      <c r="C8321" s="29"/>
      <c r="E8321" s="29"/>
      <c r="F8321" s="29"/>
    </row>
    <row r="8322">
      <c r="A8322" s="28"/>
      <c r="B8322" s="29"/>
      <c r="C8322" s="29"/>
      <c r="E8322" s="29"/>
      <c r="F8322" s="29"/>
    </row>
    <row r="8323">
      <c r="A8323" s="28"/>
      <c r="B8323" s="29"/>
      <c r="C8323" s="29"/>
      <c r="E8323" s="29"/>
      <c r="F8323" s="29"/>
    </row>
    <row r="8324">
      <c r="A8324" s="28"/>
      <c r="B8324" s="29"/>
      <c r="C8324" s="29"/>
      <c r="E8324" s="29"/>
      <c r="F8324" s="29"/>
    </row>
    <row r="8325">
      <c r="A8325" s="28"/>
      <c r="B8325" s="29"/>
      <c r="C8325" s="29"/>
      <c r="E8325" s="29"/>
      <c r="F8325" s="29"/>
    </row>
    <row r="8326">
      <c r="A8326" s="28"/>
      <c r="B8326" s="29"/>
      <c r="C8326" s="29"/>
      <c r="E8326" s="29"/>
      <c r="F8326" s="29"/>
    </row>
    <row r="8327">
      <c r="A8327" s="28"/>
      <c r="B8327" s="29"/>
      <c r="C8327" s="29"/>
      <c r="E8327" s="29"/>
      <c r="F8327" s="29"/>
    </row>
    <row r="8328">
      <c r="A8328" s="28"/>
      <c r="B8328" s="29"/>
      <c r="C8328" s="29"/>
      <c r="E8328" s="29"/>
      <c r="F8328" s="29"/>
    </row>
    <row r="8329">
      <c r="A8329" s="28"/>
      <c r="B8329" s="29"/>
      <c r="C8329" s="29"/>
      <c r="E8329" s="29"/>
      <c r="F8329" s="29"/>
    </row>
    <row r="8330">
      <c r="A8330" s="28"/>
      <c r="B8330" s="29"/>
      <c r="C8330" s="29"/>
      <c r="E8330" s="29"/>
      <c r="F8330" s="29"/>
    </row>
    <row r="8331">
      <c r="A8331" s="28"/>
      <c r="B8331" s="29"/>
      <c r="C8331" s="29"/>
      <c r="E8331" s="29"/>
      <c r="F8331" s="29"/>
    </row>
    <row r="8332">
      <c r="A8332" s="28"/>
      <c r="B8332" s="29"/>
      <c r="C8332" s="29"/>
      <c r="E8332" s="29"/>
      <c r="F8332" s="29"/>
    </row>
    <row r="8333">
      <c r="A8333" s="28"/>
      <c r="B8333" s="29"/>
      <c r="C8333" s="29"/>
      <c r="E8333" s="29"/>
      <c r="F8333" s="29"/>
    </row>
    <row r="8334">
      <c r="A8334" s="28"/>
      <c r="B8334" s="29"/>
      <c r="C8334" s="29"/>
      <c r="E8334" s="29"/>
      <c r="F8334" s="29"/>
    </row>
    <row r="8335">
      <c r="A8335" s="28"/>
      <c r="B8335" s="29"/>
      <c r="C8335" s="29"/>
      <c r="E8335" s="29"/>
      <c r="F8335" s="29"/>
    </row>
    <row r="8336">
      <c r="A8336" s="28"/>
      <c r="B8336" s="29"/>
      <c r="C8336" s="29"/>
      <c r="E8336" s="29"/>
      <c r="F8336" s="29"/>
    </row>
    <row r="8337">
      <c r="A8337" s="28"/>
      <c r="B8337" s="29"/>
      <c r="C8337" s="29"/>
      <c r="E8337" s="29"/>
      <c r="F8337" s="29"/>
    </row>
    <row r="8338">
      <c r="A8338" s="28"/>
      <c r="B8338" s="29"/>
      <c r="C8338" s="29"/>
      <c r="E8338" s="29"/>
      <c r="F8338" s="29"/>
    </row>
    <row r="8339">
      <c r="A8339" s="28"/>
      <c r="B8339" s="29"/>
      <c r="C8339" s="29"/>
      <c r="E8339" s="29"/>
      <c r="F8339" s="29"/>
    </row>
    <row r="8340">
      <c r="A8340" s="28"/>
      <c r="B8340" s="29"/>
      <c r="C8340" s="29"/>
      <c r="E8340" s="29"/>
      <c r="F8340" s="29"/>
    </row>
    <row r="8341">
      <c r="A8341" s="28"/>
      <c r="B8341" s="29"/>
      <c r="C8341" s="29"/>
      <c r="E8341" s="29"/>
      <c r="F8341" s="29"/>
    </row>
    <row r="8342">
      <c r="A8342" s="28"/>
      <c r="B8342" s="29"/>
      <c r="C8342" s="29"/>
      <c r="E8342" s="29"/>
      <c r="F8342" s="29"/>
    </row>
    <row r="8343">
      <c r="A8343" s="28"/>
      <c r="B8343" s="29"/>
      <c r="C8343" s="29"/>
      <c r="E8343" s="29"/>
      <c r="F8343" s="29"/>
    </row>
    <row r="8344">
      <c r="A8344" s="28"/>
      <c r="B8344" s="29"/>
      <c r="C8344" s="29"/>
      <c r="E8344" s="29"/>
      <c r="F8344" s="29"/>
    </row>
    <row r="8345">
      <c r="A8345" s="28"/>
      <c r="B8345" s="29"/>
      <c r="C8345" s="29"/>
      <c r="E8345" s="29"/>
      <c r="F8345" s="29"/>
    </row>
    <row r="8346">
      <c r="A8346" s="28"/>
      <c r="B8346" s="29"/>
      <c r="C8346" s="29"/>
      <c r="E8346" s="29"/>
      <c r="F8346" s="29"/>
    </row>
    <row r="8347">
      <c r="A8347" s="28"/>
      <c r="B8347" s="29"/>
      <c r="C8347" s="29"/>
      <c r="E8347" s="29"/>
      <c r="F8347" s="29"/>
    </row>
    <row r="8348">
      <c r="A8348" s="28"/>
      <c r="B8348" s="29"/>
      <c r="C8348" s="29"/>
      <c r="E8348" s="29"/>
      <c r="F8348" s="29"/>
    </row>
    <row r="8349">
      <c r="A8349" s="28"/>
      <c r="B8349" s="29"/>
      <c r="C8349" s="29"/>
      <c r="E8349" s="29"/>
      <c r="F8349" s="29"/>
    </row>
    <row r="8350">
      <c r="A8350" s="28"/>
      <c r="B8350" s="29"/>
      <c r="C8350" s="29"/>
      <c r="E8350" s="29"/>
      <c r="F8350" s="29"/>
    </row>
    <row r="8351">
      <c r="A8351" s="28"/>
      <c r="B8351" s="29"/>
      <c r="C8351" s="29"/>
      <c r="E8351" s="29"/>
      <c r="F8351" s="29"/>
    </row>
    <row r="8352">
      <c r="A8352" s="28"/>
      <c r="B8352" s="29"/>
      <c r="C8352" s="29"/>
      <c r="E8352" s="29"/>
      <c r="F8352" s="29"/>
    </row>
    <row r="8353">
      <c r="A8353" s="28"/>
      <c r="B8353" s="29"/>
      <c r="C8353" s="29"/>
      <c r="E8353" s="29"/>
      <c r="F8353" s="29"/>
    </row>
    <row r="8354">
      <c r="A8354" s="28"/>
      <c r="B8354" s="29"/>
      <c r="C8354" s="29"/>
      <c r="E8354" s="29"/>
      <c r="F8354" s="29"/>
    </row>
    <row r="8355">
      <c r="A8355" s="28"/>
      <c r="B8355" s="29"/>
      <c r="C8355" s="29"/>
      <c r="E8355" s="29"/>
      <c r="F8355" s="29"/>
    </row>
    <row r="8356">
      <c r="A8356" s="28"/>
      <c r="B8356" s="29"/>
      <c r="C8356" s="29"/>
      <c r="E8356" s="29"/>
      <c r="F8356" s="29"/>
    </row>
    <row r="8357">
      <c r="A8357" s="28"/>
      <c r="B8357" s="29"/>
      <c r="C8357" s="29"/>
      <c r="E8357" s="29"/>
      <c r="F8357" s="29"/>
    </row>
    <row r="8358">
      <c r="A8358" s="28"/>
      <c r="B8358" s="29"/>
      <c r="C8358" s="29"/>
      <c r="E8358" s="29"/>
      <c r="F8358" s="29"/>
    </row>
    <row r="8359">
      <c r="A8359" s="28"/>
      <c r="B8359" s="29"/>
      <c r="C8359" s="29"/>
      <c r="E8359" s="29"/>
      <c r="F8359" s="29"/>
    </row>
    <row r="8360">
      <c r="A8360" s="28"/>
      <c r="B8360" s="29"/>
      <c r="C8360" s="29"/>
      <c r="E8360" s="29"/>
      <c r="F8360" s="29"/>
    </row>
    <row r="8361">
      <c r="A8361" s="28"/>
      <c r="B8361" s="29"/>
      <c r="C8361" s="29"/>
      <c r="E8361" s="29"/>
      <c r="F8361" s="29"/>
    </row>
    <row r="8362">
      <c r="A8362" s="28"/>
      <c r="B8362" s="29"/>
      <c r="C8362" s="29"/>
      <c r="E8362" s="29"/>
      <c r="F8362" s="29"/>
    </row>
    <row r="8363">
      <c r="A8363" s="28"/>
      <c r="B8363" s="29"/>
      <c r="C8363" s="29"/>
      <c r="E8363" s="29"/>
      <c r="F8363" s="29"/>
    </row>
    <row r="8364">
      <c r="A8364" s="28"/>
      <c r="B8364" s="29"/>
      <c r="C8364" s="29"/>
      <c r="E8364" s="29"/>
      <c r="F8364" s="29"/>
    </row>
    <row r="8365">
      <c r="A8365" s="28"/>
      <c r="B8365" s="29"/>
      <c r="C8365" s="29"/>
      <c r="E8365" s="29"/>
      <c r="F8365" s="29"/>
    </row>
    <row r="8366">
      <c r="A8366" s="28"/>
      <c r="B8366" s="29"/>
      <c r="C8366" s="29"/>
      <c r="E8366" s="29"/>
      <c r="F8366" s="29"/>
    </row>
    <row r="8367">
      <c r="A8367" s="28"/>
      <c r="B8367" s="29"/>
      <c r="C8367" s="29"/>
      <c r="E8367" s="29"/>
      <c r="F8367" s="29"/>
    </row>
    <row r="8368">
      <c r="A8368" s="28"/>
      <c r="B8368" s="29"/>
      <c r="C8368" s="29"/>
      <c r="E8368" s="29"/>
      <c r="F8368" s="29"/>
    </row>
    <row r="8369">
      <c r="A8369" s="28"/>
      <c r="B8369" s="29"/>
      <c r="C8369" s="29"/>
      <c r="E8369" s="29"/>
      <c r="F8369" s="29"/>
    </row>
    <row r="8370">
      <c r="A8370" s="28"/>
      <c r="B8370" s="29"/>
      <c r="C8370" s="29"/>
      <c r="E8370" s="29"/>
      <c r="F8370" s="29"/>
    </row>
    <row r="8371">
      <c r="A8371" s="28"/>
      <c r="B8371" s="29"/>
      <c r="C8371" s="29"/>
      <c r="E8371" s="29"/>
      <c r="F8371" s="29"/>
    </row>
    <row r="8372">
      <c r="A8372" s="28"/>
      <c r="B8372" s="29"/>
      <c r="C8372" s="29"/>
      <c r="E8372" s="29"/>
      <c r="F8372" s="29"/>
    </row>
    <row r="8373">
      <c r="A8373" s="28"/>
      <c r="B8373" s="29"/>
      <c r="C8373" s="29"/>
      <c r="E8373" s="29"/>
      <c r="F8373" s="29"/>
    </row>
    <row r="8374">
      <c r="A8374" s="28"/>
      <c r="B8374" s="29"/>
      <c r="C8374" s="29"/>
      <c r="E8374" s="29"/>
      <c r="F8374" s="29"/>
    </row>
    <row r="8375">
      <c r="A8375" s="28"/>
      <c r="B8375" s="29"/>
      <c r="C8375" s="29"/>
      <c r="E8375" s="29"/>
      <c r="F8375" s="29"/>
    </row>
    <row r="8376">
      <c r="A8376" s="28"/>
      <c r="B8376" s="29"/>
      <c r="C8376" s="29"/>
      <c r="E8376" s="29"/>
      <c r="F8376" s="29"/>
    </row>
    <row r="8377">
      <c r="A8377" s="28"/>
      <c r="B8377" s="29"/>
      <c r="C8377" s="29"/>
      <c r="E8377" s="29"/>
      <c r="F8377" s="29"/>
    </row>
    <row r="8378">
      <c r="A8378" s="28"/>
      <c r="B8378" s="29"/>
      <c r="C8378" s="29"/>
      <c r="E8378" s="29"/>
      <c r="F8378" s="29"/>
    </row>
    <row r="8379">
      <c r="A8379" s="28"/>
      <c r="B8379" s="29"/>
      <c r="C8379" s="29"/>
      <c r="E8379" s="29"/>
      <c r="F8379" s="29"/>
    </row>
    <row r="8380">
      <c r="A8380" s="28"/>
      <c r="B8380" s="29"/>
      <c r="C8380" s="29"/>
      <c r="E8380" s="29"/>
      <c r="F8380" s="29"/>
    </row>
    <row r="8381">
      <c r="A8381" s="28"/>
      <c r="B8381" s="29"/>
      <c r="C8381" s="29"/>
      <c r="E8381" s="29"/>
      <c r="F8381" s="29"/>
    </row>
    <row r="8382">
      <c r="A8382" s="28"/>
      <c r="B8382" s="29"/>
      <c r="C8382" s="29"/>
      <c r="E8382" s="29"/>
      <c r="F8382" s="29"/>
    </row>
    <row r="8383">
      <c r="A8383" s="28"/>
      <c r="B8383" s="29"/>
      <c r="C8383" s="29"/>
      <c r="E8383" s="29"/>
      <c r="F8383" s="29"/>
    </row>
    <row r="8384">
      <c r="A8384" s="28"/>
      <c r="B8384" s="29"/>
      <c r="C8384" s="29"/>
      <c r="E8384" s="29"/>
      <c r="F8384" s="29"/>
    </row>
    <row r="8385">
      <c r="A8385" s="28"/>
      <c r="B8385" s="29"/>
      <c r="C8385" s="29"/>
      <c r="E8385" s="29"/>
      <c r="F8385" s="29"/>
    </row>
    <row r="8386">
      <c r="A8386" s="28"/>
      <c r="B8386" s="29"/>
      <c r="C8386" s="29"/>
      <c r="E8386" s="29"/>
      <c r="F8386" s="29"/>
    </row>
    <row r="8387">
      <c r="A8387" s="28"/>
      <c r="B8387" s="29"/>
      <c r="C8387" s="29"/>
      <c r="E8387" s="29"/>
      <c r="F8387" s="29"/>
    </row>
    <row r="8388">
      <c r="A8388" s="28"/>
      <c r="B8388" s="29"/>
      <c r="C8388" s="29"/>
      <c r="E8388" s="29"/>
      <c r="F8388" s="29"/>
    </row>
    <row r="8389">
      <c r="A8389" s="28"/>
      <c r="B8389" s="29"/>
      <c r="C8389" s="29"/>
      <c r="E8389" s="29"/>
      <c r="F8389" s="29"/>
    </row>
    <row r="8390">
      <c r="A8390" s="28"/>
      <c r="B8390" s="29"/>
      <c r="C8390" s="29"/>
      <c r="E8390" s="29"/>
      <c r="F8390" s="29"/>
    </row>
    <row r="8391">
      <c r="A8391" s="28"/>
      <c r="B8391" s="29"/>
      <c r="C8391" s="29"/>
      <c r="E8391" s="29"/>
      <c r="F8391" s="29"/>
    </row>
    <row r="8392">
      <c r="A8392" s="28"/>
      <c r="B8392" s="29"/>
      <c r="C8392" s="29"/>
      <c r="E8392" s="29"/>
      <c r="F8392" s="29"/>
    </row>
    <row r="8393">
      <c r="A8393" s="28"/>
      <c r="B8393" s="29"/>
      <c r="C8393" s="29"/>
      <c r="E8393" s="29"/>
      <c r="F8393" s="29"/>
    </row>
    <row r="8394">
      <c r="A8394" s="28"/>
      <c r="B8394" s="29"/>
      <c r="C8394" s="29"/>
      <c r="E8394" s="29"/>
      <c r="F8394" s="29"/>
    </row>
    <row r="8395">
      <c r="A8395" s="28"/>
      <c r="B8395" s="29"/>
      <c r="C8395" s="29"/>
      <c r="E8395" s="29"/>
      <c r="F8395" s="29"/>
    </row>
    <row r="8396">
      <c r="A8396" s="28"/>
      <c r="B8396" s="29"/>
      <c r="C8396" s="29"/>
      <c r="E8396" s="29"/>
      <c r="F8396" s="29"/>
    </row>
    <row r="8397">
      <c r="A8397" s="28"/>
      <c r="B8397" s="29"/>
      <c r="C8397" s="29"/>
      <c r="E8397" s="29"/>
      <c r="F8397" s="29"/>
    </row>
    <row r="8398">
      <c r="A8398" s="28"/>
      <c r="B8398" s="29"/>
      <c r="C8398" s="29"/>
      <c r="E8398" s="29"/>
      <c r="F8398" s="29"/>
    </row>
    <row r="8399">
      <c r="A8399" s="28"/>
      <c r="B8399" s="29"/>
      <c r="C8399" s="29"/>
      <c r="E8399" s="29"/>
      <c r="F8399" s="29"/>
    </row>
    <row r="8400">
      <c r="A8400" s="28"/>
      <c r="B8400" s="29"/>
      <c r="C8400" s="29"/>
      <c r="E8400" s="29"/>
      <c r="F8400" s="29"/>
    </row>
    <row r="8401">
      <c r="A8401" s="28"/>
      <c r="B8401" s="29"/>
      <c r="C8401" s="29"/>
      <c r="E8401" s="29"/>
      <c r="F8401" s="29"/>
    </row>
    <row r="8402">
      <c r="A8402" s="28"/>
      <c r="B8402" s="29"/>
      <c r="C8402" s="29"/>
      <c r="E8402" s="29"/>
      <c r="F8402" s="29"/>
    </row>
    <row r="8403">
      <c r="A8403" s="28"/>
      <c r="B8403" s="29"/>
      <c r="C8403" s="29"/>
      <c r="E8403" s="29"/>
      <c r="F8403" s="29"/>
    </row>
    <row r="8404">
      <c r="A8404" s="28"/>
      <c r="B8404" s="29"/>
      <c r="C8404" s="29"/>
      <c r="E8404" s="29"/>
      <c r="F8404" s="29"/>
    </row>
    <row r="8405">
      <c r="A8405" s="28"/>
      <c r="B8405" s="29"/>
      <c r="C8405" s="29"/>
      <c r="E8405" s="29"/>
      <c r="F8405" s="29"/>
    </row>
    <row r="8406">
      <c r="A8406" s="28"/>
      <c r="B8406" s="29"/>
      <c r="C8406" s="29"/>
      <c r="E8406" s="29"/>
      <c r="F8406" s="29"/>
    </row>
    <row r="8407">
      <c r="A8407" s="28"/>
      <c r="B8407" s="29"/>
      <c r="C8407" s="29"/>
      <c r="E8407" s="29"/>
      <c r="F8407" s="29"/>
    </row>
    <row r="8408">
      <c r="A8408" s="28"/>
      <c r="B8408" s="29"/>
      <c r="C8408" s="29"/>
      <c r="E8408" s="29"/>
      <c r="F8408" s="29"/>
    </row>
    <row r="8409">
      <c r="A8409" s="28"/>
      <c r="B8409" s="29"/>
      <c r="C8409" s="29"/>
      <c r="E8409" s="29"/>
      <c r="F8409" s="29"/>
    </row>
    <row r="8410">
      <c r="A8410" s="28"/>
      <c r="B8410" s="29"/>
      <c r="C8410" s="29"/>
      <c r="E8410" s="29"/>
      <c r="F8410" s="29"/>
    </row>
    <row r="8411">
      <c r="A8411" s="28"/>
      <c r="B8411" s="29"/>
      <c r="C8411" s="29"/>
      <c r="E8411" s="29"/>
      <c r="F8411" s="29"/>
    </row>
    <row r="8412">
      <c r="A8412" s="28"/>
      <c r="B8412" s="29"/>
      <c r="C8412" s="29"/>
      <c r="E8412" s="29"/>
      <c r="F8412" s="29"/>
    </row>
    <row r="8413">
      <c r="A8413" s="28"/>
      <c r="B8413" s="29"/>
      <c r="C8413" s="29"/>
      <c r="E8413" s="29"/>
      <c r="F8413" s="29"/>
    </row>
    <row r="8414">
      <c r="A8414" s="28"/>
      <c r="B8414" s="29"/>
      <c r="C8414" s="29"/>
      <c r="E8414" s="29"/>
      <c r="F8414" s="29"/>
    </row>
    <row r="8415">
      <c r="A8415" s="28"/>
      <c r="B8415" s="29"/>
      <c r="C8415" s="29"/>
      <c r="E8415" s="29"/>
      <c r="F8415" s="29"/>
    </row>
    <row r="8416">
      <c r="A8416" s="28"/>
      <c r="B8416" s="29"/>
      <c r="C8416" s="29"/>
      <c r="E8416" s="29"/>
      <c r="F8416" s="29"/>
    </row>
    <row r="8417">
      <c r="A8417" s="28"/>
      <c r="B8417" s="29"/>
      <c r="C8417" s="29"/>
      <c r="E8417" s="29"/>
      <c r="F8417" s="29"/>
    </row>
    <row r="8418">
      <c r="A8418" s="28"/>
      <c r="B8418" s="29"/>
      <c r="C8418" s="29"/>
      <c r="E8418" s="29"/>
      <c r="F8418" s="29"/>
    </row>
    <row r="8419">
      <c r="A8419" s="28"/>
      <c r="B8419" s="29"/>
      <c r="C8419" s="29"/>
      <c r="E8419" s="29"/>
      <c r="F8419" s="29"/>
    </row>
    <row r="8420">
      <c r="A8420" s="28"/>
      <c r="B8420" s="29"/>
      <c r="C8420" s="29"/>
      <c r="E8420" s="29"/>
      <c r="F8420" s="29"/>
    </row>
    <row r="8421">
      <c r="A8421" s="28"/>
      <c r="B8421" s="29"/>
      <c r="C8421" s="29"/>
      <c r="E8421" s="29"/>
      <c r="F8421" s="29"/>
    </row>
    <row r="8422">
      <c r="A8422" s="28"/>
      <c r="B8422" s="29"/>
      <c r="C8422" s="29"/>
      <c r="E8422" s="29"/>
      <c r="F8422" s="29"/>
    </row>
    <row r="8423">
      <c r="A8423" s="28"/>
      <c r="B8423" s="29"/>
      <c r="C8423" s="29"/>
      <c r="E8423" s="29"/>
      <c r="F8423" s="29"/>
    </row>
    <row r="8424">
      <c r="A8424" s="28"/>
      <c r="B8424" s="29"/>
      <c r="C8424" s="29"/>
      <c r="E8424" s="29"/>
      <c r="F8424" s="29"/>
    </row>
    <row r="8425">
      <c r="A8425" s="28"/>
      <c r="B8425" s="29"/>
      <c r="C8425" s="29"/>
      <c r="E8425" s="29"/>
      <c r="F8425" s="29"/>
    </row>
    <row r="8426">
      <c r="A8426" s="28"/>
      <c r="B8426" s="29"/>
      <c r="C8426" s="29"/>
      <c r="E8426" s="29"/>
      <c r="F8426" s="29"/>
    </row>
    <row r="8427">
      <c r="A8427" s="28"/>
      <c r="B8427" s="29"/>
      <c r="C8427" s="29"/>
      <c r="E8427" s="29"/>
      <c r="F8427" s="29"/>
    </row>
    <row r="8428">
      <c r="A8428" s="28"/>
      <c r="B8428" s="29"/>
      <c r="C8428" s="29"/>
      <c r="E8428" s="29"/>
      <c r="F8428" s="29"/>
    </row>
    <row r="8429">
      <c r="A8429" s="28"/>
      <c r="B8429" s="29"/>
      <c r="C8429" s="29"/>
      <c r="E8429" s="29"/>
      <c r="F8429" s="29"/>
    </row>
    <row r="8430">
      <c r="A8430" s="28"/>
      <c r="B8430" s="29"/>
      <c r="C8430" s="29"/>
      <c r="E8430" s="29"/>
      <c r="F8430" s="29"/>
    </row>
    <row r="8431">
      <c r="A8431" s="28"/>
      <c r="B8431" s="29"/>
      <c r="C8431" s="29"/>
      <c r="E8431" s="29"/>
      <c r="F8431" s="29"/>
    </row>
    <row r="8432">
      <c r="A8432" s="28"/>
      <c r="B8432" s="29"/>
      <c r="C8432" s="29"/>
      <c r="E8432" s="29"/>
      <c r="F8432" s="29"/>
    </row>
    <row r="8433">
      <c r="A8433" s="28"/>
      <c r="B8433" s="29"/>
      <c r="C8433" s="29"/>
      <c r="E8433" s="29"/>
      <c r="F8433" s="29"/>
    </row>
    <row r="8434">
      <c r="A8434" s="28"/>
      <c r="B8434" s="29"/>
      <c r="C8434" s="29"/>
      <c r="E8434" s="29"/>
      <c r="F8434" s="29"/>
    </row>
    <row r="8435">
      <c r="A8435" s="28"/>
      <c r="B8435" s="29"/>
      <c r="C8435" s="29"/>
      <c r="E8435" s="29"/>
      <c r="F8435" s="29"/>
    </row>
    <row r="8436">
      <c r="A8436" s="28"/>
      <c r="B8436" s="29"/>
      <c r="C8436" s="29"/>
      <c r="E8436" s="29"/>
      <c r="F8436" s="29"/>
    </row>
    <row r="8437">
      <c r="A8437" s="28"/>
      <c r="B8437" s="29"/>
      <c r="C8437" s="29"/>
      <c r="E8437" s="29"/>
      <c r="F8437" s="29"/>
    </row>
    <row r="8438">
      <c r="A8438" s="28"/>
      <c r="B8438" s="29"/>
      <c r="C8438" s="29"/>
      <c r="E8438" s="29"/>
      <c r="F8438" s="29"/>
    </row>
    <row r="8439">
      <c r="A8439" s="28"/>
      <c r="B8439" s="29"/>
      <c r="C8439" s="29"/>
      <c r="E8439" s="29"/>
      <c r="F8439" s="29"/>
    </row>
    <row r="8440">
      <c r="A8440" s="28"/>
      <c r="B8440" s="29"/>
      <c r="C8440" s="29"/>
      <c r="E8440" s="29"/>
      <c r="F8440" s="29"/>
    </row>
    <row r="8441">
      <c r="A8441" s="28"/>
      <c r="B8441" s="29"/>
      <c r="C8441" s="29"/>
      <c r="E8441" s="29"/>
      <c r="F8441" s="29"/>
    </row>
    <row r="8442">
      <c r="A8442" s="28"/>
      <c r="B8442" s="29"/>
      <c r="C8442" s="29"/>
      <c r="E8442" s="29"/>
      <c r="F8442" s="29"/>
    </row>
    <row r="8443">
      <c r="A8443" s="28"/>
      <c r="B8443" s="29"/>
      <c r="C8443" s="29"/>
      <c r="E8443" s="29"/>
      <c r="F8443" s="29"/>
    </row>
    <row r="8444">
      <c r="A8444" s="28"/>
      <c r="B8444" s="29"/>
      <c r="C8444" s="29"/>
      <c r="E8444" s="29"/>
      <c r="F8444" s="29"/>
    </row>
    <row r="8445">
      <c r="A8445" s="28"/>
      <c r="B8445" s="29"/>
      <c r="C8445" s="29"/>
      <c r="E8445" s="29"/>
      <c r="F8445" s="29"/>
    </row>
    <row r="8446">
      <c r="A8446" s="28"/>
      <c r="B8446" s="29"/>
      <c r="C8446" s="29"/>
      <c r="E8446" s="29"/>
      <c r="F8446" s="29"/>
    </row>
    <row r="8447">
      <c r="A8447" s="28"/>
      <c r="B8447" s="29"/>
      <c r="C8447" s="29"/>
      <c r="E8447" s="29"/>
      <c r="F8447" s="29"/>
    </row>
    <row r="8448">
      <c r="A8448" s="28"/>
      <c r="B8448" s="29"/>
      <c r="C8448" s="29"/>
      <c r="E8448" s="29"/>
      <c r="F8448" s="29"/>
    </row>
    <row r="8449">
      <c r="A8449" s="28"/>
      <c r="B8449" s="29"/>
      <c r="C8449" s="29"/>
      <c r="E8449" s="29"/>
      <c r="F8449" s="29"/>
    </row>
    <row r="8450">
      <c r="A8450" s="28"/>
      <c r="B8450" s="29"/>
      <c r="C8450" s="29"/>
      <c r="E8450" s="29"/>
      <c r="F8450" s="29"/>
    </row>
    <row r="8451">
      <c r="A8451" s="28"/>
      <c r="B8451" s="29"/>
      <c r="C8451" s="29"/>
      <c r="E8451" s="29"/>
      <c r="F8451" s="29"/>
    </row>
    <row r="8452">
      <c r="A8452" s="28"/>
      <c r="B8452" s="29"/>
      <c r="C8452" s="29"/>
      <c r="E8452" s="29"/>
      <c r="F8452" s="29"/>
    </row>
    <row r="8453">
      <c r="A8453" s="28"/>
      <c r="B8453" s="29"/>
      <c r="C8453" s="29"/>
      <c r="E8453" s="29"/>
      <c r="F8453" s="29"/>
    </row>
    <row r="8454">
      <c r="A8454" s="28"/>
      <c r="B8454" s="29"/>
      <c r="C8454" s="29"/>
      <c r="E8454" s="29"/>
      <c r="F8454" s="29"/>
    </row>
    <row r="8455">
      <c r="A8455" s="28"/>
      <c r="B8455" s="29"/>
      <c r="C8455" s="29"/>
      <c r="E8455" s="29"/>
      <c r="F8455" s="29"/>
    </row>
    <row r="8456">
      <c r="A8456" s="28"/>
      <c r="B8456" s="29"/>
      <c r="C8456" s="29"/>
      <c r="E8456" s="29"/>
      <c r="F8456" s="29"/>
    </row>
    <row r="8457">
      <c r="A8457" s="28"/>
      <c r="B8457" s="29"/>
      <c r="C8457" s="29"/>
      <c r="E8457" s="29"/>
      <c r="F8457" s="29"/>
    </row>
    <row r="8458">
      <c r="A8458" s="28"/>
      <c r="B8458" s="29"/>
      <c r="C8458" s="29"/>
      <c r="E8458" s="29"/>
      <c r="F8458" s="29"/>
    </row>
    <row r="8459">
      <c r="A8459" s="28"/>
      <c r="B8459" s="29"/>
      <c r="C8459" s="29"/>
      <c r="E8459" s="29"/>
      <c r="F8459" s="29"/>
    </row>
    <row r="8460">
      <c r="A8460" s="28"/>
      <c r="B8460" s="29"/>
      <c r="C8460" s="29"/>
      <c r="E8460" s="29"/>
      <c r="F8460" s="29"/>
    </row>
    <row r="8461">
      <c r="A8461" s="28"/>
      <c r="B8461" s="29"/>
      <c r="C8461" s="29"/>
      <c r="E8461" s="29"/>
      <c r="F8461" s="29"/>
    </row>
    <row r="8462">
      <c r="A8462" s="28"/>
      <c r="B8462" s="29"/>
      <c r="C8462" s="29"/>
      <c r="E8462" s="29"/>
      <c r="F8462" s="29"/>
    </row>
    <row r="8463">
      <c r="A8463" s="28"/>
      <c r="B8463" s="29"/>
      <c r="C8463" s="29"/>
      <c r="E8463" s="29"/>
      <c r="F8463" s="29"/>
    </row>
    <row r="8464">
      <c r="A8464" s="28"/>
      <c r="B8464" s="29"/>
      <c r="C8464" s="29"/>
      <c r="E8464" s="29"/>
      <c r="F8464" s="29"/>
    </row>
    <row r="8465">
      <c r="A8465" s="28"/>
      <c r="B8465" s="29"/>
      <c r="C8465" s="29"/>
      <c r="E8465" s="29"/>
      <c r="F8465" s="29"/>
    </row>
    <row r="8466">
      <c r="A8466" s="28"/>
      <c r="B8466" s="29"/>
      <c r="C8466" s="29"/>
      <c r="E8466" s="29"/>
      <c r="F8466" s="29"/>
    </row>
    <row r="8467">
      <c r="A8467" s="28"/>
      <c r="B8467" s="29"/>
      <c r="C8467" s="29"/>
      <c r="E8467" s="29"/>
      <c r="F8467" s="29"/>
    </row>
    <row r="8468">
      <c r="A8468" s="28"/>
      <c r="B8468" s="29"/>
      <c r="C8468" s="29"/>
      <c r="E8468" s="29"/>
      <c r="F8468" s="29"/>
    </row>
    <row r="8469">
      <c r="A8469" s="28"/>
      <c r="B8469" s="29"/>
      <c r="C8469" s="29"/>
      <c r="E8469" s="29"/>
      <c r="F8469" s="29"/>
    </row>
    <row r="8470">
      <c r="A8470" s="28"/>
      <c r="B8470" s="29"/>
      <c r="C8470" s="29"/>
      <c r="E8470" s="29"/>
      <c r="F8470" s="29"/>
    </row>
    <row r="8471">
      <c r="A8471" s="28"/>
      <c r="B8471" s="29"/>
      <c r="C8471" s="29"/>
      <c r="E8471" s="29"/>
      <c r="F8471" s="29"/>
    </row>
    <row r="8472">
      <c r="A8472" s="28"/>
      <c r="B8472" s="29"/>
      <c r="C8472" s="29"/>
      <c r="E8472" s="29"/>
      <c r="F8472" s="29"/>
    </row>
    <row r="8473">
      <c r="A8473" s="28"/>
      <c r="B8473" s="29"/>
      <c r="C8473" s="29"/>
      <c r="E8473" s="29"/>
      <c r="F8473" s="29"/>
    </row>
    <row r="8474">
      <c r="A8474" s="28"/>
      <c r="B8474" s="29"/>
      <c r="C8474" s="29"/>
      <c r="E8474" s="29"/>
      <c r="F8474" s="29"/>
    </row>
    <row r="8475">
      <c r="A8475" s="28"/>
      <c r="B8475" s="29"/>
      <c r="C8475" s="29"/>
      <c r="E8475" s="29"/>
      <c r="F8475" s="29"/>
    </row>
    <row r="8476">
      <c r="A8476" s="28"/>
      <c r="B8476" s="29"/>
      <c r="C8476" s="29"/>
      <c r="E8476" s="29"/>
      <c r="F8476" s="29"/>
    </row>
    <row r="8477">
      <c r="A8477" s="28"/>
      <c r="B8477" s="29"/>
      <c r="C8477" s="29"/>
      <c r="E8477" s="29"/>
      <c r="F8477" s="29"/>
    </row>
    <row r="8478">
      <c r="A8478" s="28"/>
      <c r="B8478" s="29"/>
      <c r="C8478" s="29"/>
      <c r="E8478" s="29"/>
      <c r="F8478" s="29"/>
    </row>
    <row r="8479">
      <c r="A8479" s="28"/>
      <c r="B8479" s="29"/>
      <c r="C8479" s="29"/>
      <c r="E8479" s="29"/>
      <c r="F8479" s="29"/>
    </row>
    <row r="8480">
      <c r="A8480" s="28"/>
      <c r="B8480" s="29"/>
      <c r="C8480" s="29"/>
      <c r="E8480" s="29"/>
      <c r="F8480" s="29"/>
    </row>
    <row r="8481">
      <c r="A8481" s="28"/>
      <c r="B8481" s="29"/>
      <c r="C8481" s="29"/>
      <c r="E8481" s="29"/>
      <c r="F8481" s="29"/>
    </row>
    <row r="8482">
      <c r="A8482" s="28"/>
      <c r="B8482" s="29"/>
      <c r="C8482" s="29"/>
      <c r="E8482" s="29"/>
      <c r="F8482" s="29"/>
    </row>
    <row r="8483">
      <c r="A8483" s="28"/>
      <c r="B8483" s="29"/>
      <c r="C8483" s="29"/>
      <c r="E8483" s="29"/>
      <c r="F8483" s="29"/>
    </row>
    <row r="8484">
      <c r="A8484" s="28"/>
      <c r="B8484" s="29"/>
      <c r="C8484" s="29"/>
      <c r="E8484" s="29"/>
      <c r="F8484" s="29"/>
    </row>
    <row r="8485">
      <c r="A8485" s="28"/>
      <c r="B8485" s="29"/>
      <c r="C8485" s="29"/>
      <c r="E8485" s="29"/>
      <c r="F8485" s="29"/>
    </row>
    <row r="8486">
      <c r="A8486" s="28"/>
      <c r="B8486" s="29"/>
      <c r="C8486" s="29"/>
      <c r="E8486" s="29"/>
      <c r="F8486" s="29"/>
    </row>
    <row r="8487">
      <c r="A8487" s="28"/>
      <c r="B8487" s="29"/>
      <c r="C8487" s="29"/>
      <c r="E8487" s="29"/>
      <c r="F8487" s="29"/>
    </row>
    <row r="8488">
      <c r="A8488" s="28"/>
      <c r="B8488" s="29"/>
      <c r="C8488" s="29"/>
      <c r="E8488" s="29"/>
      <c r="F8488" s="29"/>
    </row>
    <row r="8489">
      <c r="A8489" s="28"/>
      <c r="B8489" s="29"/>
      <c r="C8489" s="29"/>
      <c r="E8489" s="29"/>
      <c r="F8489" s="29"/>
    </row>
    <row r="8490">
      <c r="A8490" s="28"/>
      <c r="B8490" s="29"/>
      <c r="C8490" s="29"/>
      <c r="E8490" s="29"/>
      <c r="F8490" s="29"/>
    </row>
    <row r="8491">
      <c r="A8491" s="28"/>
      <c r="B8491" s="29"/>
      <c r="C8491" s="29"/>
      <c r="E8491" s="29"/>
      <c r="F8491" s="29"/>
    </row>
    <row r="8492">
      <c r="A8492" s="28"/>
      <c r="B8492" s="29"/>
      <c r="C8492" s="29"/>
      <c r="E8492" s="29"/>
      <c r="F8492" s="29"/>
    </row>
    <row r="8493">
      <c r="A8493" s="28"/>
      <c r="B8493" s="29"/>
      <c r="C8493" s="29"/>
      <c r="E8493" s="29"/>
      <c r="F8493" s="29"/>
    </row>
    <row r="8494">
      <c r="A8494" s="28"/>
      <c r="B8494" s="29"/>
      <c r="C8494" s="29"/>
      <c r="E8494" s="29"/>
      <c r="F8494" s="29"/>
    </row>
    <row r="8495">
      <c r="A8495" s="28"/>
      <c r="B8495" s="29"/>
      <c r="C8495" s="29"/>
      <c r="E8495" s="29"/>
      <c r="F8495" s="29"/>
    </row>
    <row r="8496">
      <c r="A8496" s="28"/>
      <c r="B8496" s="29"/>
      <c r="C8496" s="29"/>
      <c r="E8496" s="29"/>
      <c r="F8496" s="29"/>
    </row>
    <row r="8497">
      <c r="A8497" s="28"/>
      <c r="B8497" s="29"/>
      <c r="C8497" s="29"/>
      <c r="E8497" s="29"/>
      <c r="F8497" s="29"/>
    </row>
    <row r="8498">
      <c r="A8498" s="28"/>
      <c r="B8498" s="29"/>
      <c r="C8498" s="29"/>
      <c r="E8498" s="29"/>
      <c r="F8498" s="29"/>
    </row>
    <row r="8499">
      <c r="A8499" s="28"/>
      <c r="B8499" s="29"/>
      <c r="C8499" s="29"/>
      <c r="E8499" s="29"/>
      <c r="F8499" s="29"/>
    </row>
    <row r="8500">
      <c r="A8500" s="28"/>
      <c r="B8500" s="29"/>
      <c r="C8500" s="29"/>
      <c r="E8500" s="29"/>
      <c r="F8500" s="29"/>
    </row>
    <row r="8501">
      <c r="A8501" s="28"/>
      <c r="B8501" s="29"/>
      <c r="C8501" s="29"/>
      <c r="E8501" s="29"/>
      <c r="F8501" s="29"/>
    </row>
    <row r="8502">
      <c r="A8502" s="28"/>
      <c r="B8502" s="29"/>
      <c r="C8502" s="29"/>
      <c r="E8502" s="29"/>
      <c r="F8502" s="29"/>
    </row>
    <row r="8503">
      <c r="A8503" s="28"/>
      <c r="B8503" s="29"/>
      <c r="C8503" s="29"/>
      <c r="E8503" s="29"/>
      <c r="F8503" s="29"/>
    </row>
    <row r="8504">
      <c r="A8504" s="28"/>
      <c r="B8504" s="29"/>
      <c r="C8504" s="29"/>
      <c r="E8504" s="29"/>
      <c r="F8504" s="29"/>
    </row>
    <row r="8505">
      <c r="A8505" s="28"/>
      <c r="B8505" s="29"/>
      <c r="C8505" s="29"/>
      <c r="E8505" s="29"/>
      <c r="F8505" s="29"/>
    </row>
    <row r="8506">
      <c r="A8506" s="28"/>
      <c r="B8506" s="29"/>
      <c r="C8506" s="29"/>
      <c r="E8506" s="29"/>
      <c r="F8506" s="29"/>
    </row>
    <row r="8507">
      <c r="A8507" s="28"/>
      <c r="B8507" s="29"/>
      <c r="C8507" s="29"/>
      <c r="E8507" s="29"/>
      <c r="F8507" s="29"/>
    </row>
    <row r="8508">
      <c r="A8508" s="28"/>
      <c r="B8508" s="29"/>
      <c r="C8508" s="29"/>
      <c r="E8508" s="29"/>
      <c r="F8508" s="29"/>
    </row>
    <row r="8509">
      <c r="A8509" s="28"/>
      <c r="B8509" s="29"/>
      <c r="C8509" s="29"/>
      <c r="E8509" s="29"/>
      <c r="F8509" s="29"/>
    </row>
    <row r="8510">
      <c r="A8510" s="28"/>
      <c r="B8510" s="29"/>
      <c r="C8510" s="29"/>
      <c r="E8510" s="29"/>
      <c r="F8510" s="29"/>
    </row>
    <row r="8511">
      <c r="A8511" s="28"/>
      <c r="B8511" s="29"/>
      <c r="C8511" s="29"/>
      <c r="E8511" s="29"/>
      <c r="F8511" s="29"/>
    </row>
    <row r="8512">
      <c r="A8512" s="28"/>
      <c r="B8512" s="29"/>
      <c r="C8512" s="29"/>
      <c r="E8512" s="29"/>
      <c r="F8512" s="29"/>
    </row>
    <row r="8513">
      <c r="A8513" s="28"/>
      <c r="B8513" s="29"/>
      <c r="C8513" s="29"/>
      <c r="E8513" s="29"/>
      <c r="F8513" s="29"/>
    </row>
    <row r="8514">
      <c r="A8514" s="28"/>
      <c r="B8514" s="29"/>
      <c r="C8514" s="29"/>
      <c r="E8514" s="29"/>
      <c r="F8514" s="29"/>
    </row>
    <row r="8515">
      <c r="A8515" s="28"/>
      <c r="B8515" s="29"/>
      <c r="C8515" s="29"/>
      <c r="E8515" s="29"/>
      <c r="F8515" s="29"/>
    </row>
    <row r="8516">
      <c r="A8516" s="28"/>
      <c r="B8516" s="29"/>
      <c r="C8516" s="29"/>
      <c r="E8516" s="29"/>
      <c r="F8516" s="29"/>
    </row>
    <row r="8517">
      <c r="A8517" s="28"/>
      <c r="B8517" s="29"/>
      <c r="C8517" s="29"/>
      <c r="E8517" s="29"/>
      <c r="F8517" s="29"/>
    </row>
    <row r="8518">
      <c r="A8518" s="28"/>
      <c r="B8518" s="29"/>
      <c r="C8518" s="29"/>
      <c r="E8518" s="29"/>
      <c r="F8518" s="29"/>
    </row>
    <row r="8519">
      <c r="A8519" s="28"/>
      <c r="B8519" s="29"/>
      <c r="C8519" s="29"/>
      <c r="E8519" s="29"/>
      <c r="F8519" s="29"/>
    </row>
    <row r="8520">
      <c r="A8520" s="28"/>
      <c r="B8520" s="29"/>
      <c r="C8520" s="29"/>
      <c r="E8520" s="29"/>
      <c r="F8520" s="29"/>
    </row>
    <row r="8521">
      <c r="A8521" s="28"/>
      <c r="B8521" s="29"/>
      <c r="C8521" s="29"/>
      <c r="E8521" s="29"/>
      <c r="F8521" s="29"/>
    </row>
    <row r="8522">
      <c r="A8522" s="28"/>
      <c r="B8522" s="29"/>
      <c r="C8522" s="29"/>
      <c r="E8522" s="29"/>
      <c r="F8522" s="29"/>
    </row>
    <row r="8523">
      <c r="A8523" s="28"/>
      <c r="B8523" s="29"/>
      <c r="C8523" s="29"/>
      <c r="E8523" s="29"/>
      <c r="F8523" s="29"/>
    </row>
    <row r="8524">
      <c r="A8524" s="28"/>
      <c r="B8524" s="29"/>
      <c r="C8524" s="29"/>
      <c r="E8524" s="29"/>
      <c r="F8524" s="29"/>
    </row>
    <row r="8525">
      <c r="A8525" s="28"/>
      <c r="B8525" s="29"/>
      <c r="C8525" s="29"/>
      <c r="E8525" s="29"/>
      <c r="F8525" s="29"/>
    </row>
    <row r="8526">
      <c r="A8526" s="28"/>
      <c r="B8526" s="29"/>
      <c r="C8526" s="29"/>
      <c r="E8526" s="29"/>
      <c r="F8526" s="29"/>
    </row>
    <row r="8527">
      <c r="A8527" s="28"/>
      <c r="B8527" s="29"/>
      <c r="C8527" s="29"/>
      <c r="E8527" s="29"/>
      <c r="F8527" s="29"/>
    </row>
    <row r="8528">
      <c r="A8528" s="28"/>
      <c r="B8528" s="29"/>
      <c r="C8528" s="29"/>
      <c r="E8528" s="29"/>
      <c r="F8528" s="29"/>
    </row>
    <row r="8529">
      <c r="A8529" s="28"/>
      <c r="B8529" s="29"/>
      <c r="C8529" s="29"/>
      <c r="E8529" s="29"/>
      <c r="F8529" s="29"/>
    </row>
    <row r="8530">
      <c r="A8530" s="28"/>
      <c r="B8530" s="29"/>
      <c r="C8530" s="29"/>
      <c r="E8530" s="29"/>
      <c r="F8530" s="29"/>
    </row>
    <row r="8531">
      <c r="A8531" s="28"/>
      <c r="B8531" s="29"/>
      <c r="C8531" s="29"/>
      <c r="E8531" s="29"/>
      <c r="F8531" s="29"/>
    </row>
    <row r="8532">
      <c r="A8532" s="28"/>
      <c r="B8532" s="29"/>
      <c r="C8532" s="29"/>
      <c r="E8532" s="29"/>
      <c r="F8532" s="29"/>
    </row>
    <row r="8533">
      <c r="A8533" s="28"/>
      <c r="B8533" s="29"/>
      <c r="C8533" s="29"/>
      <c r="E8533" s="29"/>
      <c r="F8533" s="29"/>
    </row>
    <row r="8534">
      <c r="A8534" s="28"/>
      <c r="B8534" s="29"/>
      <c r="C8534" s="29"/>
      <c r="E8534" s="29"/>
      <c r="F8534" s="29"/>
    </row>
    <row r="8535">
      <c r="A8535" s="28"/>
      <c r="B8535" s="29"/>
      <c r="C8535" s="29"/>
      <c r="E8535" s="29"/>
      <c r="F8535" s="29"/>
    </row>
    <row r="8536">
      <c r="A8536" s="28"/>
      <c r="B8536" s="29"/>
      <c r="C8536" s="29"/>
      <c r="E8536" s="29"/>
      <c r="F8536" s="29"/>
    </row>
    <row r="8537">
      <c r="A8537" s="28"/>
      <c r="B8537" s="29"/>
      <c r="C8537" s="29"/>
      <c r="E8537" s="29"/>
      <c r="F8537" s="29"/>
    </row>
    <row r="8538">
      <c r="A8538" s="28"/>
      <c r="B8538" s="29"/>
      <c r="C8538" s="29"/>
      <c r="E8538" s="29"/>
      <c r="F8538" s="29"/>
    </row>
    <row r="8539">
      <c r="A8539" s="28"/>
      <c r="B8539" s="29"/>
      <c r="C8539" s="29"/>
      <c r="E8539" s="29"/>
      <c r="F8539" s="29"/>
    </row>
    <row r="8540">
      <c r="A8540" s="28"/>
      <c r="B8540" s="29"/>
      <c r="C8540" s="29"/>
      <c r="E8540" s="29"/>
      <c r="F8540" s="29"/>
    </row>
    <row r="8541">
      <c r="A8541" s="28"/>
      <c r="B8541" s="29"/>
      <c r="C8541" s="29"/>
      <c r="E8541" s="29"/>
      <c r="F8541" s="29"/>
    </row>
    <row r="8542">
      <c r="A8542" s="28"/>
      <c r="B8542" s="29"/>
      <c r="C8542" s="29"/>
      <c r="E8542" s="29"/>
      <c r="F8542" s="29"/>
    </row>
    <row r="8543">
      <c r="A8543" s="28"/>
      <c r="B8543" s="29"/>
      <c r="C8543" s="29"/>
      <c r="E8543" s="29"/>
      <c r="F8543" s="29"/>
    </row>
    <row r="8544">
      <c r="A8544" s="28"/>
      <c r="B8544" s="29"/>
      <c r="C8544" s="29"/>
      <c r="E8544" s="29"/>
      <c r="F8544" s="29"/>
    </row>
    <row r="8545">
      <c r="A8545" s="28"/>
      <c r="B8545" s="29"/>
      <c r="C8545" s="29"/>
      <c r="E8545" s="29"/>
      <c r="F8545" s="29"/>
    </row>
    <row r="8546">
      <c r="A8546" s="28"/>
      <c r="B8546" s="29"/>
      <c r="C8546" s="29"/>
      <c r="E8546" s="29"/>
      <c r="F8546" s="29"/>
    </row>
    <row r="8547">
      <c r="A8547" s="28"/>
      <c r="B8547" s="29"/>
      <c r="C8547" s="29"/>
      <c r="E8547" s="29"/>
      <c r="F8547" s="29"/>
    </row>
    <row r="8548">
      <c r="A8548" s="28"/>
      <c r="B8548" s="29"/>
      <c r="C8548" s="29"/>
      <c r="E8548" s="29"/>
      <c r="F8548" s="29"/>
    </row>
    <row r="8549">
      <c r="A8549" s="28"/>
      <c r="B8549" s="29"/>
      <c r="C8549" s="29"/>
      <c r="E8549" s="29"/>
      <c r="F8549" s="29"/>
    </row>
    <row r="8550">
      <c r="A8550" s="28"/>
      <c r="B8550" s="29"/>
      <c r="C8550" s="29"/>
      <c r="E8550" s="29"/>
      <c r="F8550" s="29"/>
    </row>
    <row r="8551">
      <c r="A8551" s="28"/>
      <c r="B8551" s="29"/>
      <c r="C8551" s="29"/>
      <c r="E8551" s="29"/>
      <c r="F8551" s="29"/>
    </row>
    <row r="8552">
      <c r="A8552" s="28"/>
      <c r="B8552" s="29"/>
      <c r="C8552" s="29"/>
      <c r="E8552" s="29"/>
      <c r="F8552" s="29"/>
    </row>
    <row r="8553">
      <c r="A8553" s="28"/>
      <c r="B8553" s="29"/>
      <c r="C8553" s="29"/>
      <c r="E8553" s="29"/>
      <c r="F8553" s="29"/>
    </row>
    <row r="8554">
      <c r="A8554" s="28"/>
      <c r="B8554" s="29"/>
      <c r="C8554" s="29"/>
      <c r="E8554" s="29"/>
      <c r="F8554" s="29"/>
    </row>
    <row r="8555">
      <c r="A8555" s="28"/>
      <c r="B8555" s="29"/>
      <c r="C8555" s="29"/>
      <c r="E8555" s="29"/>
      <c r="F8555" s="29"/>
    </row>
    <row r="8556">
      <c r="A8556" s="28"/>
      <c r="B8556" s="29"/>
      <c r="C8556" s="29"/>
      <c r="E8556" s="29"/>
      <c r="F8556" s="29"/>
    </row>
    <row r="8557">
      <c r="A8557" s="28"/>
      <c r="B8557" s="29"/>
      <c r="C8557" s="29"/>
      <c r="E8557" s="29"/>
      <c r="F8557" s="29"/>
    </row>
    <row r="8558">
      <c r="A8558" s="28"/>
      <c r="B8558" s="29"/>
      <c r="C8558" s="29"/>
      <c r="E8558" s="29"/>
      <c r="F8558" s="29"/>
    </row>
    <row r="8559">
      <c r="A8559" s="28"/>
      <c r="B8559" s="29"/>
      <c r="C8559" s="29"/>
      <c r="E8559" s="29"/>
      <c r="F8559" s="29"/>
    </row>
    <row r="8560">
      <c r="A8560" s="28"/>
      <c r="B8560" s="29"/>
      <c r="C8560" s="29"/>
      <c r="E8560" s="29"/>
      <c r="F8560" s="29"/>
    </row>
    <row r="8561">
      <c r="A8561" s="28"/>
      <c r="B8561" s="29"/>
      <c r="C8561" s="29"/>
      <c r="E8561" s="29"/>
      <c r="F8561" s="29"/>
    </row>
    <row r="8562">
      <c r="A8562" s="28"/>
      <c r="B8562" s="29"/>
      <c r="C8562" s="29"/>
      <c r="E8562" s="29"/>
      <c r="F8562" s="29"/>
    </row>
    <row r="8563">
      <c r="A8563" s="28"/>
      <c r="B8563" s="29"/>
      <c r="C8563" s="29"/>
      <c r="E8563" s="29"/>
      <c r="F8563" s="29"/>
    </row>
    <row r="8564">
      <c r="A8564" s="28"/>
      <c r="B8564" s="29"/>
      <c r="C8564" s="29"/>
      <c r="E8564" s="29"/>
      <c r="F8564" s="29"/>
    </row>
    <row r="8565">
      <c r="A8565" s="28"/>
      <c r="B8565" s="29"/>
      <c r="C8565" s="29"/>
      <c r="E8565" s="29"/>
      <c r="F8565" s="29"/>
    </row>
    <row r="8566">
      <c r="A8566" s="28"/>
      <c r="B8566" s="29"/>
      <c r="C8566" s="29"/>
      <c r="E8566" s="29"/>
      <c r="F8566" s="29"/>
    </row>
    <row r="8567">
      <c r="A8567" s="28"/>
      <c r="B8567" s="29"/>
      <c r="C8567" s="29"/>
      <c r="E8567" s="29"/>
      <c r="F8567" s="29"/>
    </row>
    <row r="8568">
      <c r="A8568" s="28"/>
      <c r="B8568" s="29"/>
      <c r="C8568" s="29"/>
      <c r="E8568" s="29"/>
      <c r="F8568" s="29"/>
    </row>
    <row r="8569">
      <c r="A8569" s="28"/>
      <c r="B8569" s="29"/>
      <c r="C8569" s="29"/>
      <c r="E8569" s="29"/>
      <c r="F8569" s="29"/>
    </row>
    <row r="8570">
      <c r="A8570" s="28"/>
      <c r="B8570" s="29"/>
      <c r="C8570" s="29"/>
      <c r="E8570" s="29"/>
      <c r="F8570" s="29"/>
    </row>
    <row r="8571">
      <c r="A8571" s="28"/>
      <c r="B8571" s="29"/>
      <c r="C8571" s="29"/>
      <c r="E8571" s="29"/>
      <c r="F8571" s="29"/>
    </row>
    <row r="8572">
      <c r="A8572" s="28"/>
      <c r="B8572" s="29"/>
      <c r="C8572" s="29"/>
      <c r="E8572" s="29"/>
      <c r="F8572" s="29"/>
    </row>
    <row r="8573">
      <c r="A8573" s="28"/>
      <c r="B8573" s="29"/>
      <c r="C8573" s="29"/>
      <c r="E8573" s="29"/>
      <c r="F8573" s="29"/>
    </row>
    <row r="8574">
      <c r="A8574" s="28"/>
      <c r="B8574" s="29"/>
      <c r="C8574" s="29"/>
      <c r="E8574" s="29"/>
      <c r="F8574" s="29"/>
    </row>
    <row r="8575">
      <c r="A8575" s="28"/>
      <c r="B8575" s="29"/>
      <c r="C8575" s="29"/>
      <c r="E8575" s="29"/>
      <c r="F8575" s="29"/>
    </row>
    <row r="8576">
      <c r="A8576" s="28"/>
      <c r="B8576" s="29"/>
      <c r="C8576" s="29"/>
      <c r="E8576" s="29"/>
      <c r="F8576" s="29"/>
    </row>
    <row r="8577">
      <c r="A8577" s="28"/>
      <c r="B8577" s="29"/>
      <c r="C8577" s="29"/>
      <c r="E8577" s="29"/>
      <c r="F8577" s="29"/>
    </row>
    <row r="8578">
      <c r="A8578" s="28"/>
      <c r="B8578" s="29"/>
      <c r="C8578" s="29"/>
      <c r="E8578" s="29"/>
      <c r="F8578" s="29"/>
    </row>
    <row r="8579">
      <c r="A8579" s="28"/>
      <c r="B8579" s="29"/>
      <c r="C8579" s="29"/>
      <c r="E8579" s="29"/>
      <c r="F8579" s="29"/>
    </row>
    <row r="8580">
      <c r="A8580" s="28"/>
      <c r="B8580" s="29"/>
      <c r="C8580" s="29"/>
      <c r="E8580" s="29"/>
      <c r="F8580" s="29"/>
    </row>
    <row r="8581">
      <c r="A8581" s="28"/>
      <c r="B8581" s="29"/>
      <c r="C8581" s="29"/>
      <c r="E8581" s="29"/>
      <c r="F8581" s="29"/>
    </row>
    <row r="8582">
      <c r="A8582" s="28"/>
      <c r="B8582" s="29"/>
      <c r="C8582" s="29"/>
      <c r="E8582" s="29"/>
      <c r="F8582" s="29"/>
    </row>
    <row r="8583">
      <c r="A8583" s="28"/>
      <c r="B8583" s="29"/>
      <c r="C8583" s="29"/>
      <c r="E8583" s="29"/>
      <c r="F8583" s="29"/>
    </row>
    <row r="8584">
      <c r="A8584" s="28"/>
      <c r="B8584" s="29"/>
      <c r="C8584" s="29"/>
      <c r="E8584" s="29"/>
      <c r="F8584" s="29"/>
    </row>
    <row r="8585">
      <c r="A8585" s="28"/>
      <c r="B8585" s="29"/>
      <c r="C8585" s="29"/>
      <c r="E8585" s="29"/>
      <c r="F8585" s="29"/>
    </row>
    <row r="8586">
      <c r="A8586" s="28"/>
      <c r="B8586" s="29"/>
      <c r="C8586" s="29"/>
      <c r="E8586" s="29"/>
      <c r="F8586" s="29"/>
    </row>
    <row r="8587">
      <c r="A8587" s="28"/>
      <c r="B8587" s="29"/>
      <c r="C8587" s="29"/>
      <c r="E8587" s="29"/>
      <c r="F8587" s="29"/>
    </row>
    <row r="8588">
      <c r="A8588" s="28"/>
      <c r="B8588" s="29"/>
      <c r="C8588" s="29"/>
      <c r="E8588" s="29"/>
      <c r="F8588" s="29"/>
    </row>
    <row r="8589">
      <c r="A8589" s="28"/>
      <c r="B8589" s="29"/>
      <c r="C8589" s="29"/>
      <c r="E8589" s="29"/>
      <c r="F8589" s="29"/>
    </row>
    <row r="8590">
      <c r="A8590" s="28"/>
      <c r="B8590" s="29"/>
      <c r="C8590" s="29"/>
      <c r="E8590" s="29"/>
      <c r="F8590" s="29"/>
    </row>
    <row r="8591">
      <c r="A8591" s="28"/>
      <c r="B8591" s="29"/>
      <c r="C8591" s="29"/>
      <c r="E8591" s="29"/>
      <c r="F8591" s="29"/>
    </row>
    <row r="8592">
      <c r="A8592" s="28"/>
      <c r="B8592" s="29"/>
      <c r="C8592" s="29"/>
      <c r="E8592" s="29"/>
      <c r="F8592" s="29"/>
    </row>
    <row r="8593">
      <c r="A8593" s="28"/>
      <c r="B8593" s="29"/>
      <c r="C8593" s="29"/>
      <c r="E8593" s="29"/>
      <c r="F8593" s="29"/>
    </row>
    <row r="8594">
      <c r="A8594" s="28"/>
      <c r="B8594" s="29"/>
      <c r="C8594" s="29"/>
      <c r="E8594" s="29"/>
      <c r="F8594" s="29"/>
    </row>
    <row r="8595">
      <c r="A8595" s="28"/>
      <c r="B8595" s="29"/>
      <c r="C8595" s="29"/>
      <c r="E8595" s="29"/>
      <c r="F8595" s="29"/>
    </row>
    <row r="8596">
      <c r="A8596" s="28"/>
      <c r="B8596" s="29"/>
      <c r="C8596" s="29"/>
      <c r="E8596" s="29"/>
      <c r="F8596" s="29"/>
    </row>
    <row r="8597">
      <c r="A8597" s="28"/>
      <c r="B8597" s="29"/>
      <c r="C8597" s="29"/>
      <c r="E8597" s="29"/>
      <c r="F8597" s="29"/>
    </row>
    <row r="8598">
      <c r="A8598" s="28"/>
      <c r="B8598" s="29"/>
      <c r="C8598" s="29"/>
      <c r="E8598" s="29"/>
      <c r="F8598" s="29"/>
    </row>
    <row r="8599">
      <c r="A8599" s="28"/>
      <c r="B8599" s="29"/>
      <c r="C8599" s="29"/>
      <c r="E8599" s="29"/>
      <c r="F8599" s="29"/>
    </row>
    <row r="8600">
      <c r="A8600" s="28"/>
      <c r="B8600" s="29"/>
      <c r="C8600" s="29"/>
      <c r="E8600" s="29"/>
      <c r="F8600" s="29"/>
    </row>
    <row r="8601">
      <c r="A8601" s="28"/>
      <c r="B8601" s="29"/>
      <c r="C8601" s="29"/>
      <c r="E8601" s="29"/>
      <c r="F8601" s="29"/>
    </row>
    <row r="8602">
      <c r="A8602" s="28"/>
      <c r="B8602" s="29"/>
      <c r="C8602" s="29"/>
      <c r="E8602" s="29"/>
      <c r="F8602" s="29"/>
    </row>
    <row r="8603">
      <c r="A8603" s="28"/>
      <c r="B8603" s="29"/>
      <c r="C8603" s="29"/>
      <c r="E8603" s="29"/>
      <c r="F8603" s="29"/>
    </row>
    <row r="8604">
      <c r="A8604" s="28"/>
      <c r="B8604" s="29"/>
      <c r="C8604" s="29"/>
      <c r="E8604" s="29"/>
      <c r="F8604" s="29"/>
    </row>
    <row r="8605">
      <c r="A8605" s="28"/>
      <c r="B8605" s="29"/>
      <c r="C8605" s="29"/>
      <c r="E8605" s="29"/>
      <c r="F8605" s="29"/>
    </row>
    <row r="8606">
      <c r="A8606" s="28"/>
      <c r="B8606" s="29"/>
      <c r="C8606" s="29"/>
      <c r="E8606" s="29"/>
      <c r="F8606" s="29"/>
    </row>
    <row r="8607">
      <c r="A8607" s="28"/>
      <c r="B8607" s="29"/>
      <c r="C8607" s="29"/>
      <c r="E8607" s="29"/>
      <c r="F8607" s="29"/>
    </row>
    <row r="8608">
      <c r="A8608" s="28"/>
      <c r="B8608" s="29"/>
      <c r="C8608" s="29"/>
      <c r="E8608" s="29"/>
      <c r="F8608" s="29"/>
    </row>
    <row r="8609">
      <c r="A8609" s="28"/>
      <c r="B8609" s="29"/>
      <c r="C8609" s="29"/>
      <c r="E8609" s="29"/>
      <c r="F8609" s="29"/>
    </row>
    <row r="8610">
      <c r="A8610" s="28"/>
      <c r="B8610" s="29"/>
      <c r="C8610" s="29"/>
      <c r="E8610" s="29"/>
      <c r="F8610" s="29"/>
    </row>
    <row r="8611">
      <c r="A8611" s="28"/>
      <c r="B8611" s="29"/>
      <c r="C8611" s="29"/>
      <c r="E8611" s="29"/>
      <c r="F8611" s="29"/>
    </row>
    <row r="8612">
      <c r="A8612" s="28"/>
      <c r="B8612" s="29"/>
      <c r="C8612" s="29"/>
      <c r="E8612" s="29"/>
      <c r="F8612" s="29"/>
    </row>
    <row r="8613">
      <c r="A8613" s="28"/>
      <c r="B8613" s="29"/>
      <c r="C8613" s="29"/>
      <c r="E8613" s="29"/>
      <c r="F8613" s="29"/>
    </row>
    <row r="8614">
      <c r="A8614" s="28"/>
      <c r="B8614" s="29"/>
      <c r="C8614" s="29"/>
      <c r="E8614" s="29"/>
      <c r="F8614" s="29"/>
    </row>
    <row r="8615">
      <c r="A8615" s="28"/>
      <c r="B8615" s="29"/>
      <c r="C8615" s="29"/>
      <c r="E8615" s="29"/>
      <c r="F8615" s="29"/>
    </row>
    <row r="8616">
      <c r="A8616" s="28"/>
      <c r="B8616" s="29"/>
      <c r="C8616" s="29"/>
      <c r="E8616" s="29"/>
      <c r="F8616" s="29"/>
    </row>
    <row r="8617">
      <c r="A8617" s="28"/>
      <c r="B8617" s="29"/>
      <c r="C8617" s="29"/>
      <c r="E8617" s="29"/>
      <c r="F8617" s="29"/>
    </row>
    <row r="8618">
      <c r="A8618" s="28"/>
      <c r="B8618" s="29"/>
      <c r="C8618" s="29"/>
      <c r="E8618" s="29"/>
      <c r="F8618" s="29"/>
    </row>
    <row r="8619">
      <c r="A8619" s="28"/>
      <c r="B8619" s="29"/>
      <c r="C8619" s="29"/>
      <c r="E8619" s="29"/>
      <c r="F8619" s="29"/>
    </row>
    <row r="8620">
      <c r="A8620" s="28"/>
      <c r="B8620" s="29"/>
      <c r="C8620" s="29"/>
      <c r="E8620" s="29"/>
      <c r="F8620" s="29"/>
    </row>
    <row r="8621">
      <c r="A8621" s="28"/>
      <c r="B8621" s="29"/>
      <c r="C8621" s="29"/>
      <c r="E8621" s="29"/>
      <c r="F8621" s="29"/>
    </row>
    <row r="8622">
      <c r="A8622" s="28"/>
      <c r="B8622" s="29"/>
      <c r="C8622" s="29"/>
      <c r="E8622" s="29"/>
      <c r="F8622" s="29"/>
    </row>
    <row r="8623">
      <c r="A8623" s="28"/>
      <c r="B8623" s="29"/>
      <c r="C8623" s="29"/>
      <c r="E8623" s="29"/>
      <c r="F8623" s="29"/>
    </row>
    <row r="8624">
      <c r="A8624" s="28"/>
      <c r="B8624" s="29"/>
      <c r="C8624" s="29"/>
      <c r="E8624" s="29"/>
      <c r="F8624" s="29"/>
    </row>
    <row r="8625">
      <c r="A8625" s="28"/>
      <c r="B8625" s="29"/>
      <c r="C8625" s="29"/>
      <c r="E8625" s="29"/>
      <c r="F8625" s="29"/>
    </row>
    <row r="8626">
      <c r="A8626" s="28"/>
      <c r="B8626" s="29"/>
      <c r="C8626" s="29"/>
      <c r="E8626" s="29"/>
      <c r="F8626" s="29"/>
    </row>
    <row r="8627">
      <c r="A8627" s="28"/>
      <c r="B8627" s="29"/>
      <c r="C8627" s="29"/>
      <c r="E8627" s="29"/>
      <c r="F8627" s="29"/>
    </row>
    <row r="8628">
      <c r="A8628" s="28"/>
      <c r="B8628" s="29"/>
      <c r="C8628" s="29"/>
      <c r="E8628" s="29"/>
      <c r="F8628" s="29"/>
    </row>
    <row r="8629">
      <c r="A8629" s="28"/>
      <c r="B8629" s="29"/>
      <c r="C8629" s="29"/>
      <c r="E8629" s="29"/>
      <c r="F8629" s="29"/>
    </row>
    <row r="8630">
      <c r="A8630" s="28"/>
      <c r="B8630" s="29"/>
      <c r="C8630" s="29"/>
      <c r="E8630" s="29"/>
      <c r="F8630" s="29"/>
    </row>
    <row r="8631">
      <c r="A8631" s="28"/>
      <c r="B8631" s="29"/>
      <c r="C8631" s="29"/>
      <c r="E8631" s="29"/>
      <c r="F8631" s="29"/>
    </row>
    <row r="8632">
      <c r="A8632" s="28"/>
      <c r="B8632" s="29"/>
      <c r="C8632" s="29"/>
      <c r="E8632" s="29"/>
      <c r="F8632" s="29"/>
    </row>
    <row r="8633">
      <c r="A8633" s="28"/>
      <c r="B8633" s="29"/>
      <c r="C8633" s="29"/>
      <c r="E8633" s="29"/>
      <c r="F8633" s="29"/>
    </row>
    <row r="8634">
      <c r="A8634" s="28"/>
      <c r="B8634" s="29"/>
      <c r="C8634" s="29"/>
      <c r="E8634" s="29"/>
      <c r="F8634" s="29"/>
    </row>
    <row r="8635">
      <c r="A8635" s="28"/>
      <c r="B8635" s="29"/>
      <c r="C8635" s="29"/>
      <c r="E8635" s="29"/>
      <c r="F8635" s="29"/>
    </row>
    <row r="8636">
      <c r="A8636" s="28"/>
      <c r="B8636" s="29"/>
      <c r="C8636" s="29"/>
      <c r="E8636" s="29"/>
      <c r="F8636" s="29"/>
    </row>
    <row r="8637">
      <c r="A8637" s="28"/>
      <c r="B8637" s="29"/>
      <c r="C8637" s="29"/>
      <c r="E8637" s="29"/>
      <c r="F8637" s="29"/>
    </row>
    <row r="8638">
      <c r="A8638" s="28"/>
      <c r="B8638" s="29"/>
      <c r="C8638" s="29"/>
      <c r="E8638" s="29"/>
      <c r="F8638" s="29"/>
    </row>
    <row r="8639">
      <c r="A8639" s="28"/>
      <c r="B8639" s="29"/>
      <c r="C8639" s="29"/>
      <c r="E8639" s="29"/>
      <c r="F8639" s="29"/>
    </row>
    <row r="8640">
      <c r="A8640" s="28"/>
      <c r="B8640" s="29"/>
      <c r="C8640" s="29"/>
      <c r="E8640" s="29"/>
      <c r="F8640" s="29"/>
    </row>
    <row r="8641">
      <c r="A8641" s="28"/>
      <c r="B8641" s="29"/>
      <c r="C8641" s="29"/>
      <c r="E8641" s="29"/>
      <c r="F8641" s="29"/>
    </row>
    <row r="8642">
      <c r="A8642" s="28"/>
      <c r="B8642" s="29"/>
      <c r="C8642" s="29"/>
      <c r="E8642" s="29"/>
      <c r="F8642" s="29"/>
    </row>
    <row r="8643">
      <c r="A8643" s="28"/>
      <c r="B8643" s="29"/>
      <c r="C8643" s="29"/>
      <c r="E8643" s="29"/>
      <c r="F8643" s="29"/>
    </row>
    <row r="8644">
      <c r="A8644" s="28"/>
      <c r="B8644" s="29"/>
      <c r="C8644" s="29"/>
      <c r="E8644" s="29"/>
      <c r="F8644" s="29"/>
    </row>
    <row r="8645">
      <c r="A8645" s="28"/>
      <c r="B8645" s="29"/>
      <c r="C8645" s="29"/>
      <c r="E8645" s="29"/>
      <c r="F8645" s="29"/>
    </row>
    <row r="8646">
      <c r="A8646" s="28"/>
      <c r="B8646" s="29"/>
      <c r="C8646" s="29"/>
      <c r="E8646" s="29"/>
      <c r="F8646" s="29"/>
    </row>
    <row r="8647">
      <c r="A8647" s="28"/>
      <c r="B8647" s="29"/>
      <c r="C8647" s="29"/>
      <c r="E8647" s="29"/>
      <c r="F8647" s="29"/>
    </row>
    <row r="8648">
      <c r="A8648" s="28"/>
      <c r="B8648" s="29"/>
      <c r="C8648" s="29"/>
      <c r="E8648" s="29"/>
      <c r="F8648" s="29"/>
    </row>
    <row r="8649">
      <c r="A8649" s="28"/>
      <c r="B8649" s="29"/>
      <c r="C8649" s="29"/>
      <c r="E8649" s="29"/>
      <c r="F8649" s="29"/>
    </row>
    <row r="8650">
      <c r="A8650" s="28"/>
      <c r="B8650" s="29"/>
      <c r="C8650" s="29"/>
      <c r="E8650" s="29"/>
      <c r="F8650" s="29"/>
    </row>
    <row r="8651">
      <c r="A8651" s="28"/>
      <c r="B8651" s="29"/>
      <c r="C8651" s="29"/>
      <c r="E8651" s="29"/>
      <c r="F8651" s="29"/>
    </row>
    <row r="8652">
      <c r="A8652" s="28"/>
      <c r="B8652" s="29"/>
      <c r="C8652" s="29"/>
      <c r="E8652" s="29"/>
      <c r="F8652" s="29"/>
    </row>
    <row r="8653">
      <c r="A8653" s="28"/>
      <c r="B8653" s="29"/>
      <c r="C8653" s="29"/>
      <c r="E8653" s="29"/>
      <c r="F8653" s="29"/>
    </row>
    <row r="8654">
      <c r="A8654" s="28"/>
      <c r="B8654" s="29"/>
      <c r="C8654" s="29"/>
      <c r="E8654" s="29"/>
      <c r="F8654" s="29"/>
    </row>
    <row r="8655">
      <c r="A8655" s="28"/>
      <c r="B8655" s="29"/>
      <c r="C8655" s="29"/>
      <c r="E8655" s="29"/>
      <c r="F8655" s="29"/>
    </row>
    <row r="8656">
      <c r="A8656" s="28"/>
      <c r="B8656" s="29"/>
      <c r="C8656" s="29"/>
      <c r="E8656" s="29"/>
      <c r="F8656" s="29"/>
    </row>
    <row r="8657">
      <c r="A8657" s="28"/>
      <c r="B8657" s="29"/>
      <c r="C8657" s="29"/>
      <c r="E8657" s="29"/>
      <c r="F8657" s="29"/>
    </row>
    <row r="8658">
      <c r="A8658" s="28"/>
      <c r="B8658" s="29"/>
      <c r="C8658" s="29"/>
      <c r="E8658" s="29"/>
      <c r="F8658" s="29"/>
    </row>
    <row r="8659">
      <c r="A8659" s="28"/>
      <c r="B8659" s="29"/>
      <c r="C8659" s="29"/>
      <c r="E8659" s="29"/>
      <c r="F8659" s="29"/>
    </row>
    <row r="8660">
      <c r="A8660" s="28"/>
      <c r="B8660" s="29"/>
      <c r="C8660" s="29"/>
      <c r="E8660" s="29"/>
      <c r="F8660" s="29"/>
    </row>
    <row r="8661">
      <c r="A8661" s="28"/>
      <c r="B8661" s="29"/>
      <c r="C8661" s="29"/>
      <c r="E8661" s="29"/>
      <c r="F8661" s="29"/>
    </row>
    <row r="8662">
      <c r="A8662" s="28"/>
      <c r="B8662" s="29"/>
      <c r="C8662" s="29"/>
      <c r="E8662" s="29"/>
      <c r="F8662" s="29"/>
    </row>
    <row r="8663">
      <c r="A8663" s="28"/>
      <c r="B8663" s="29"/>
      <c r="C8663" s="29"/>
      <c r="E8663" s="29"/>
      <c r="F8663" s="29"/>
    </row>
    <row r="8664">
      <c r="A8664" s="28"/>
      <c r="B8664" s="29"/>
      <c r="C8664" s="29"/>
      <c r="E8664" s="29"/>
      <c r="F8664" s="29"/>
    </row>
    <row r="8665">
      <c r="A8665" s="28"/>
      <c r="B8665" s="29"/>
      <c r="C8665" s="29"/>
      <c r="E8665" s="29"/>
      <c r="F8665" s="29"/>
    </row>
    <row r="8666">
      <c r="A8666" s="28"/>
      <c r="B8666" s="29"/>
      <c r="C8666" s="29"/>
      <c r="E8666" s="29"/>
      <c r="F8666" s="29"/>
    </row>
    <row r="8667">
      <c r="A8667" s="28"/>
      <c r="B8667" s="29"/>
      <c r="C8667" s="29"/>
      <c r="E8667" s="29"/>
      <c r="F8667" s="29"/>
    </row>
    <row r="8668">
      <c r="A8668" s="28"/>
      <c r="B8668" s="29"/>
      <c r="C8668" s="29"/>
      <c r="E8668" s="29"/>
      <c r="F8668" s="29"/>
    </row>
    <row r="8669">
      <c r="A8669" s="28"/>
      <c r="B8669" s="29"/>
      <c r="C8669" s="29"/>
      <c r="E8669" s="29"/>
      <c r="F8669" s="29"/>
    </row>
    <row r="8670">
      <c r="A8670" s="28"/>
      <c r="B8670" s="29"/>
      <c r="C8670" s="29"/>
      <c r="E8670" s="29"/>
      <c r="F8670" s="29"/>
    </row>
    <row r="8671">
      <c r="A8671" s="28"/>
      <c r="B8671" s="29"/>
      <c r="C8671" s="29"/>
      <c r="E8671" s="29"/>
      <c r="F8671" s="29"/>
    </row>
    <row r="8672">
      <c r="A8672" s="28"/>
      <c r="B8672" s="29"/>
      <c r="C8672" s="29"/>
      <c r="E8672" s="29"/>
      <c r="F8672" s="29"/>
    </row>
    <row r="8673">
      <c r="A8673" s="28"/>
      <c r="B8673" s="29"/>
      <c r="C8673" s="29"/>
      <c r="E8673" s="29"/>
      <c r="F8673" s="29"/>
    </row>
    <row r="8674">
      <c r="A8674" s="28"/>
      <c r="B8674" s="29"/>
      <c r="C8674" s="29"/>
      <c r="E8674" s="29"/>
      <c r="F8674" s="29"/>
    </row>
    <row r="8675">
      <c r="A8675" s="28"/>
      <c r="B8675" s="29"/>
      <c r="C8675" s="29"/>
      <c r="E8675" s="29"/>
      <c r="F8675" s="29"/>
    </row>
    <row r="8676">
      <c r="A8676" s="28"/>
      <c r="B8676" s="29"/>
      <c r="C8676" s="29"/>
      <c r="E8676" s="29"/>
      <c r="F8676" s="29"/>
    </row>
    <row r="8677">
      <c r="A8677" s="28"/>
      <c r="B8677" s="29"/>
      <c r="C8677" s="29"/>
      <c r="E8677" s="29"/>
      <c r="F8677" s="29"/>
    </row>
    <row r="8678">
      <c r="A8678" s="28"/>
      <c r="B8678" s="29"/>
      <c r="C8678" s="29"/>
      <c r="E8678" s="29"/>
      <c r="F8678" s="29"/>
    </row>
    <row r="8679">
      <c r="A8679" s="28"/>
      <c r="B8679" s="29"/>
      <c r="C8679" s="29"/>
      <c r="E8679" s="29"/>
      <c r="F8679" s="29"/>
    </row>
    <row r="8680">
      <c r="A8680" s="28"/>
      <c r="B8680" s="29"/>
      <c r="C8680" s="29"/>
      <c r="E8680" s="29"/>
      <c r="F8680" s="29"/>
    </row>
    <row r="8681">
      <c r="A8681" s="28"/>
      <c r="B8681" s="29"/>
      <c r="C8681" s="29"/>
      <c r="E8681" s="29"/>
      <c r="F8681" s="29"/>
    </row>
    <row r="8682">
      <c r="A8682" s="28"/>
      <c r="B8682" s="29"/>
      <c r="C8682" s="29"/>
      <c r="E8682" s="29"/>
      <c r="F8682" s="29"/>
    </row>
    <row r="8683">
      <c r="A8683" s="28"/>
      <c r="B8683" s="29"/>
      <c r="C8683" s="29"/>
      <c r="E8683" s="29"/>
      <c r="F8683" s="29"/>
    </row>
    <row r="8684">
      <c r="A8684" s="28"/>
      <c r="B8684" s="29"/>
      <c r="C8684" s="29"/>
      <c r="E8684" s="29"/>
      <c r="F8684" s="29"/>
    </row>
    <row r="8685">
      <c r="A8685" s="28"/>
      <c r="B8685" s="29"/>
      <c r="C8685" s="29"/>
      <c r="E8685" s="29"/>
      <c r="F8685" s="29"/>
    </row>
    <row r="8686">
      <c r="A8686" s="28"/>
      <c r="B8686" s="29"/>
      <c r="C8686" s="29"/>
      <c r="E8686" s="29"/>
      <c r="F8686" s="29"/>
    </row>
    <row r="8687">
      <c r="A8687" s="28"/>
      <c r="B8687" s="29"/>
      <c r="C8687" s="29"/>
      <c r="E8687" s="29"/>
      <c r="F8687" s="29"/>
    </row>
    <row r="8688">
      <c r="A8688" s="28"/>
      <c r="B8688" s="29"/>
      <c r="C8688" s="29"/>
      <c r="E8688" s="29"/>
      <c r="F8688" s="29"/>
    </row>
    <row r="8689">
      <c r="A8689" s="28"/>
      <c r="B8689" s="29"/>
      <c r="C8689" s="29"/>
      <c r="E8689" s="29"/>
      <c r="F8689" s="29"/>
    </row>
    <row r="8690">
      <c r="A8690" s="28"/>
      <c r="B8690" s="29"/>
      <c r="C8690" s="29"/>
      <c r="E8690" s="29"/>
      <c r="F8690" s="29"/>
    </row>
    <row r="8691">
      <c r="A8691" s="28"/>
      <c r="B8691" s="29"/>
      <c r="C8691" s="29"/>
      <c r="E8691" s="29"/>
      <c r="F8691" s="29"/>
    </row>
    <row r="8692">
      <c r="A8692" s="28"/>
      <c r="B8692" s="29"/>
      <c r="C8692" s="29"/>
      <c r="E8692" s="29"/>
      <c r="F8692" s="29"/>
    </row>
    <row r="8693">
      <c r="A8693" s="28"/>
      <c r="B8693" s="29"/>
      <c r="C8693" s="29"/>
      <c r="E8693" s="29"/>
      <c r="F8693" s="29"/>
    </row>
    <row r="8694">
      <c r="A8694" s="28"/>
      <c r="B8694" s="29"/>
      <c r="C8694" s="29"/>
      <c r="E8694" s="29"/>
      <c r="F8694" s="29"/>
    </row>
    <row r="8695">
      <c r="A8695" s="28"/>
      <c r="B8695" s="29"/>
      <c r="C8695" s="29"/>
      <c r="E8695" s="29"/>
      <c r="F8695" s="29"/>
    </row>
    <row r="8696">
      <c r="A8696" s="28"/>
      <c r="B8696" s="29"/>
      <c r="C8696" s="29"/>
      <c r="E8696" s="29"/>
      <c r="F8696" s="29"/>
    </row>
    <row r="8697">
      <c r="A8697" s="28"/>
      <c r="B8697" s="29"/>
      <c r="C8697" s="29"/>
      <c r="E8697" s="29"/>
      <c r="F8697" s="29"/>
    </row>
    <row r="8698">
      <c r="A8698" s="28"/>
      <c r="B8698" s="29"/>
      <c r="C8698" s="29"/>
      <c r="E8698" s="29"/>
      <c r="F8698" s="29"/>
    </row>
    <row r="8699">
      <c r="A8699" s="28"/>
      <c r="B8699" s="29"/>
      <c r="C8699" s="29"/>
      <c r="E8699" s="29"/>
      <c r="F8699" s="29"/>
    </row>
    <row r="8700">
      <c r="A8700" s="28"/>
      <c r="B8700" s="29"/>
      <c r="C8700" s="29"/>
      <c r="E8700" s="29"/>
      <c r="F8700" s="29"/>
    </row>
    <row r="8701">
      <c r="A8701" s="28"/>
      <c r="B8701" s="29"/>
      <c r="C8701" s="29"/>
      <c r="E8701" s="29"/>
      <c r="F8701" s="29"/>
    </row>
    <row r="8702">
      <c r="A8702" s="28"/>
      <c r="B8702" s="29"/>
      <c r="C8702" s="29"/>
      <c r="E8702" s="29"/>
      <c r="F8702" s="29"/>
    </row>
    <row r="8703">
      <c r="A8703" s="28"/>
      <c r="B8703" s="29"/>
      <c r="C8703" s="29"/>
      <c r="E8703" s="29"/>
      <c r="F8703" s="29"/>
    </row>
    <row r="8704">
      <c r="A8704" s="28"/>
      <c r="B8704" s="29"/>
      <c r="C8704" s="29"/>
      <c r="E8704" s="29"/>
      <c r="F8704" s="29"/>
    </row>
    <row r="8705">
      <c r="A8705" s="28"/>
      <c r="B8705" s="29"/>
      <c r="C8705" s="29"/>
      <c r="E8705" s="29"/>
      <c r="F8705" s="29"/>
    </row>
    <row r="8706">
      <c r="A8706" s="28"/>
      <c r="B8706" s="29"/>
      <c r="C8706" s="29"/>
      <c r="E8706" s="29"/>
      <c r="F8706" s="29"/>
    </row>
    <row r="8707">
      <c r="A8707" s="28"/>
      <c r="B8707" s="29"/>
      <c r="C8707" s="29"/>
      <c r="E8707" s="29"/>
      <c r="F8707" s="29"/>
    </row>
    <row r="8708">
      <c r="A8708" s="28"/>
      <c r="B8708" s="29"/>
      <c r="C8708" s="29"/>
      <c r="E8708" s="29"/>
      <c r="F8708" s="29"/>
    </row>
    <row r="8709">
      <c r="A8709" s="28"/>
      <c r="B8709" s="29"/>
      <c r="C8709" s="29"/>
      <c r="E8709" s="29"/>
      <c r="F8709" s="29"/>
    </row>
    <row r="8710">
      <c r="A8710" s="28"/>
      <c r="B8710" s="29"/>
      <c r="C8710" s="29"/>
      <c r="E8710" s="29"/>
      <c r="F8710" s="29"/>
    </row>
    <row r="8711">
      <c r="A8711" s="28"/>
      <c r="B8711" s="29"/>
      <c r="C8711" s="29"/>
      <c r="E8711" s="29"/>
      <c r="F8711" s="29"/>
    </row>
    <row r="8712">
      <c r="A8712" s="28"/>
      <c r="B8712" s="29"/>
      <c r="C8712" s="29"/>
      <c r="E8712" s="29"/>
      <c r="F8712" s="29"/>
    </row>
    <row r="8713">
      <c r="A8713" s="28"/>
      <c r="B8713" s="29"/>
      <c r="C8713" s="29"/>
      <c r="E8713" s="29"/>
      <c r="F8713" s="29"/>
    </row>
    <row r="8714">
      <c r="A8714" s="28"/>
      <c r="B8714" s="29"/>
      <c r="C8714" s="29"/>
      <c r="E8714" s="29"/>
      <c r="F8714" s="29"/>
    </row>
    <row r="8715">
      <c r="A8715" s="28"/>
      <c r="B8715" s="29"/>
      <c r="C8715" s="29"/>
      <c r="E8715" s="29"/>
      <c r="F8715" s="29"/>
    </row>
    <row r="8716">
      <c r="A8716" s="28"/>
      <c r="B8716" s="29"/>
      <c r="C8716" s="29"/>
      <c r="E8716" s="29"/>
      <c r="F8716" s="29"/>
    </row>
    <row r="8717">
      <c r="A8717" s="28"/>
      <c r="B8717" s="29"/>
      <c r="C8717" s="29"/>
      <c r="E8717" s="29"/>
      <c r="F8717" s="29"/>
    </row>
    <row r="8718">
      <c r="A8718" s="28"/>
      <c r="B8718" s="29"/>
      <c r="C8718" s="29"/>
      <c r="E8718" s="29"/>
      <c r="F8718" s="29"/>
    </row>
    <row r="8719">
      <c r="A8719" s="28"/>
      <c r="B8719" s="29"/>
      <c r="C8719" s="29"/>
      <c r="E8719" s="29"/>
      <c r="F8719" s="29"/>
    </row>
    <row r="8720">
      <c r="A8720" s="28"/>
      <c r="B8720" s="29"/>
      <c r="C8720" s="29"/>
      <c r="E8720" s="29"/>
      <c r="F8720" s="29"/>
    </row>
    <row r="8721">
      <c r="A8721" s="28"/>
      <c r="B8721" s="29"/>
      <c r="C8721" s="29"/>
      <c r="E8721" s="29"/>
      <c r="F8721" s="29"/>
    </row>
    <row r="8722">
      <c r="A8722" s="28"/>
      <c r="B8722" s="29"/>
      <c r="C8722" s="29"/>
      <c r="E8722" s="29"/>
      <c r="F8722" s="29"/>
    </row>
    <row r="8723">
      <c r="A8723" s="28"/>
      <c r="B8723" s="29"/>
      <c r="C8723" s="29"/>
      <c r="E8723" s="29"/>
      <c r="F8723" s="29"/>
    </row>
    <row r="8724">
      <c r="A8724" s="28"/>
      <c r="B8724" s="29"/>
      <c r="C8724" s="29"/>
      <c r="E8724" s="29"/>
      <c r="F8724" s="29"/>
    </row>
    <row r="8725">
      <c r="A8725" s="28"/>
      <c r="B8725" s="29"/>
      <c r="C8725" s="29"/>
      <c r="E8725" s="29"/>
      <c r="F8725" s="29"/>
    </row>
    <row r="8726">
      <c r="A8726" s="28"/>
      <c r="B8726" s="29"/>
      <c r="C8726" s="29"/>
      <c r="E8726" s="29"/>
      <c r="F8726" s="29"/>
    </row>
    <row r="8727">
      <c r="A8727" s="28"/>
      <c r="B8727" s="29"/>
      <c r="C8727" s="29"/>
      <c r="E8727" s="29"/>
      <c r="F8727" s="29"/>
    </row>
    <row r="8728">
      <c r="A8728" s="28"/>
      <c r="B8728" s="29"/>
      <c r="C8728" s="29"/>
      <c r="E8728" s="29"/>
      <c r="F8728" s="29"/>
    </row>
    <row r="8729">
      <c r="A8729" s="28"/>
      <c r="B8729" s="29"/>
      <c r="C8729" s="29"/>
      <c r="E8729" s="29"/>
      <c r="F8729" s="29"/>
    </row>
    <row r="8730">
      <c r="A8730" s="28"/>
      <c r="B8730" s="29"/>
      <c r="C8730" s="29"/>
      <c r="E8730" s="29"/>
      <c r="F8730" s="29"/>
    </row>
    <row r="8731">
      <c r="A8731" s="28"/>
      <c r="B8731" s="29"/>
      <c r="C8731" s="29"/>
      <c r="E8731" s="29"/>
      <c r="F8731" s="29"/>
    </row>
    <row r="8732">
      <c r="A8732" s="28"/>
      <c r="B8732" s="29"/>
      <c r="C8732" s="29"/>
      <c r="E8732" s="29"/>
      <c r="F8732" s="29"/>
    </row>
    <row r="8733">
      <c r="A8733" s="28"/>
      <c r="B8733" s="29"/>
      <c r="C8733" s="29"/>
      <c r="E8733" s="29"/>
      <c r="F8733" s="29"/>
    </row>
    <row r="8734">
      <c r="A8734" s="28"/>
      <c r="B8734" s="29"/>
      <c r="C8734" s="29"/>
      <c r="E8734" s="29"/>
      <c r="F8734" s="29"/>
    </row>
    <row r="8735">
      <c r="A8735" s="28"/>
      <c r="B8735" s="29"/>
      <c r="C8735" s="29"/>
      <c r="E8735" s="29"/>
      <c r="F8735" s="29"/>
    </row>
    <row r="8736">
      <c r="A8736" s="28"/>
      <c r="B8736" s="29"/>
      <c r="C8736" s="29"/>
      <c r="E8736" s="29"/>
      <c r="F8736" s="29"/>
    </row>
    <row r="8737">
      <c r="A8737" s="28"/>
      <c r="B8737" s="29"/>
      <c r="C8737" s="29"/>
      <c r="E8737" s="29"/>
      <c r="F8737" s="29"/>
    </row>
    <row r="8738">
      <c r="A8738" s="28"/>
      <c r="B8738" s="29"/>
      <c r="C8738" s="29"/>
      <c r="E8738" s="29"/>
      <c r="F8738" s="29"/>
    </row>
    <row r="8739">
      <c r="A8739" s="28"/>
      <c r="B8739" s="29"/>
      <c r="C8739" s="29"/>
      <c r="E8739" s="29"/>
      <c r="F8739" s="29"/>
    </row>
    <row r="8740">
      <c r="A8740" s="28"/>
      <c r="B8740" s="29"/>
      <c r="C8740" s="29"/>
      <c r="E8740" s="29"/>
      <c r="F8740" s="29"/>
    </row>
    <row r="8741">
      <c r="A8741" s="28"/>
      <c r="B8741" s="29"/>
      <c r="C8741" s="29"/>
      <c r="E8741" s="29"/>
      <c r="F8741" s="29"/>
    </row>
    <row r="8742">
      <c r="A8742" s="28"/>
      <c r="B8742" s="29"/>
      <c r="C8742" s="29"/>
      <c r="E8742" s="29"/>
      <c r="F8742" s="29"/>
    </row>
    <row r="8743">
      <c r="A8743" s="28"/>
      <c r="B8743" s="29"/>
      <c r="C8743" s="29"/>
      <c r="E8743" s="29"/>
      <c r="F8743" s="29"/>
    </row>
    <row r="8744">
      <c r="A8744" s="28"/>
      <c r="B8744" s="29"/>
      <c r="C8744" s="29"/>
      <c r="E8744" s="29"/>
      <c r="F8744" s="29"/>
    </row>
    <row r="8745">
      <c r="A8745" s="28"/>
      <c r="B8745" s="29"/>
      <c r="C8745" s="29"/>
      <c r="E8745" s="29"/>
      <c r="F8745" s="29"/>
    </row>
    <row r="8746">
      <c r="A8746" s="28"/>
      <c r="B8746" s="29"/>
      <c r="C8746" s="29"/>
      <c r="E8746" s="29"/>
      <c r="F8746" s="29"/>
    </row>
    <row r="8747">
      <c r="A8747" s="28"/>
      <c r="B8747" s="29"/>
      <c r="C8747" s="29"/>
      <c r="E8747" s="29"/>
      <c r="F8747" s="29"/>
    </row>
    <row r="8748">
      <c r="A8748" s="28"/>
      <c r="B8748" s="29"/>
      <c r="C8748" s="29"/>
      <c r="E8748" s="29"/>
      <c r="F8748" s="29"/>
    </row>
    <row r="8749">
      <c r="A8749" s="28"/>
      <c r="B8749" s="29"/>
      <c r="C8749" s="29"/>
      <c r="E8749" s="29"/>
      <c r="F8749" s="29"/>
    </row>
    <row r="8750">
      <c r="A8750" s="28"/>
      <c r="B8750" s="29"/>
      <c r="C8750" s="29"/>
      <c r="E8750" s="29"/>
      <c r="F8750" s="29"/>
    </row>
    <row r="8751">
      <c r="A8751" s="28"/>
      <c r="B8751" s="29"/>
      <c r="C8751" s="29"/>
      <c r="E8751" s="29"/>
      <c r="F8751" s="29"/>
    </row>
    <row r="8752">
      <c r="A8752" s="28"/>
      <c r="B8752" s="29"/>
      <c r="C8752" s="29"/>
      <c r="E8752" s="29"/>
      <c r="F8752" s="29"/>
    </row>
    <row r="8753">
      <c r="A8753" s="28"/>
      <c r="B8753" s="29"/>
      <c r="C8753" s="29"/>
      <c r="E8753" s="29"/>
      <c r="F8753" s="29"/>
    </row>
    <row r="8754">
      <c r="A8754" s="28"/>
      <c r="B8754" s="29"/>
      <c r="C8754" s="29"/>
      <c r="E8754" s="29"/>
      <c r="F8754" s="29"/>
    </row>
    <row r="8755">
      <c r="A8755" s="28"/>
      <c r="B8755" s="29"/>
      <c r="C8755" s="29"/>
      <c r="E8755" s="29"/>
      <c r="F8755" s="29"/>
    </row>
    <row r="8756">
      <c r="A8756" s="28"/>
      <c r="B8756" s="29"/>
      <c r="C8756" s="29"/>
      <c r="E8756" s="29"/>
      <c r="F8756" s="29"/>
    </row>
    <row r="8757">
      <c r="A8757" s="28"/>
      <c r="B8757" s="29"/>
      <c r="C8757" s="29"/>
      <c r="E8757" s="29"/>
      <c r="F8757" s="29"/>
    </row>
    <row r="8758">
      <c r="A8758" s="28"/>
      <c r="B8758" s="29"/>
      <c r="C8758" s="29"/>
      <c r="E8758" s="29"/>
      <c r="F8758" s="29"/>
    </row>
    <row r="8759">
      <c r="A8759" s="28"/>
      <c r="B8759" s="29"/>
      <c r="C8759" s="29"/>
      <c r="E8759" s="29"/>
      <c r="F8759" s="29"/>
    </row>
    <row r="8760">
      <c r="A8760" s="28"/>
      <c r="B8760" s="29"/>
      <c r="C8760" s="29"/>
      <c r="E8760" s="29"/>
      <c r="F8760" s="29"/>
    </row>
    <row r="8761">
      <c r="A8761" s="28"/>
      <c r="B8761" s="29"/>
      <c r="C8761" s="29"/>
      <c r="E8761" s="29"/>
      <c r="F8761" s="29"/>
    </row>
    <row r="8762">
      <c r="A8762" s="28"/>
      <c r="B8762" s="29"/>
      <c r="C8762" s="29"/>
      <c r="E8762" s="29"/>
      <c r="F8762" s="29"/>
    </row>
    <row r="8763">
      <c r="A8763" s="28"/>
      <c r="B8763" s="29"/>
      <c r="C8763" s="29"/>
      <c r="E8763" s="29"/>
      <c r="F8763" s="29"/>
    </row>
    <row r="8764">
      <c r="A8764" s="28"/>
      <c r="B8764" s="29"/>
      <c r="C8764" s="29"/>
      <c r="E8764" s="29"/>
      <c r="F8764" s="29"/>
    </row>
    <row r="8765">
      <c r="A8765" s="28"/>
      <c r="B8765" s="29"/>
      <c r="C8765" s="29"/>
      <c r="E8765" s="29"/>
      <c r="F8765" s="29"/>
    </row>
    <row r="8766">
      <c r="A8766" s="28"/>
      <c r="B8766" s="29"/>
      <c r="C8766" s="29"/>
      <c r="E8766" s="29"/>
      <c r="F8766" s="29"/>
    </row>
    <row r="8767">
      <c r="A8767" s="28"/>
      <c r="B8767" s="29"/>
      <c r="C8767" s="29"/>
      <c r="E8767" s="29"/>
      <c r="F8767" s="29"/>
    </row>
    <row r="8768">
      <c r="A8768" s="28"/>
      <c r="B8768" s="29"/>
      <c r="C8768" s="29"/>
      <c r="E8768" s="29"/>
      <c r="F8768" s="29"/>
    </row>
    <row r="8769">
      <c r="A8769" s="28"/>
      <c r="B8769" s="29"/>
      <c r="C8769" s="29"/>
      <c r="E8769" s="29"/>
      <c r="F8769" s="29"/>
    </row>
    <row r="8770">
      <c r="A8770" s="28"/>
      <c r="B8770" s="29"/>
      <c r="C8770" s="29"/>
      <c r="E8770" s="29"/>
      <c r="F8770" s="29"/>
    </row>
    <row r="8771">
      <c r="A8771" s="28"/>
      <c r="B8771" s="29"/>
      <c r="C8771" s="29"/>
      <c r="E8771" s="29"/>
      <c r="F8771" s="29"/>
    </row>
    <row r="8772">
      <c r="A8772" s="28"/>
      <c r="B8772" s="29"/>
      <c r="C8772" s="29"/>
      <c r="E8772" s="29"/>
      <c r="F8772" s="29"/>
    </row>
    <row r="8773">
      <c r="A8773" s="28"/>
      <c r="B8773" s="29"/>
      <c r="C8773" s="29"/>
      <c r="E8773" s="29"/>
      <c r="F8773" s="29"/>
    </row>
    <row r="8774">
      <c r="A8774" s="28"/>
      <c r="B8774" s="29"/>
      <c r="C8774" s="29"/>
      <c r="E8774" s="29"/>
      <c r="F8774" s="29"/>
    </row>
    <row r="8775">
      <c r="A8775" s="28"/>
      <c r="B8775" s="29"/>
      <c r="C8775" s="29"/>
      <c r="E8775" s="29"/>
      <c r="F8775" s="29"/>
    </row>
    <row r="8776">
      <c r="A8776" s="28"/>
      <c r="B8776" s="29"/>
      <c r="C8776" s="29"/>
      <c r="E8776" s="29"/>
      <c r="F8776" s="29"/>
    </row>
    <row r="8777">
      <c r="A8777" s="28"/>
      <c r="B8777" s="29"/>
      <c r="C8777" s="29"/>
      <c r="E8777" s="29"/>
      <c r="F8777" s="29"/>
    </row>
    <row r="8778">
      <c r="A8778" s="28"/>
      <c r="B8778" s="29"/>
      <c r="C8778" s="29"/>
      <c r="E8778" s="29"/>
      <c r="F8778" s="29"/>
    </row>
    <row r="8779">
      <c r="A8779" s="28"/>
      <c r="B8779" s="29"/>
      <c r="C8779" s="29"/>
      <c r="E8779" s="29"/>
      <c r="F8779" s="29"/>
    </row>
    <row r="8780">
      <c r="A8780" s="28"/>
      <c r="B8780" s="29"/>
      <c r="C8780" s="29"/>
      <c r="E8780" s="29"/>
      <c r="F8780" s="29"/>
    </row>
    <row r="8781">
      <c r="A8781" s="28"/>
      <c r="B8781" s="29"/>
      <c r="C8781" s="29"/>
      <c r="E8781" s="29"/>
      <c r="F8781" s="29"/>
    </row>
    <row r="8782">
      <c r="A8782" s="28"/>
      <c r="B8782" s="29"/>
      <c r="C8782" s="29"/>
      <c r="E8782" s="29"/>
      <c r="F8782" s="29"/>
    </row>
    <row r="8783">
      <c r="A8783" s="28"/>
      <c r="B8783" s="29"/>
      <c r="C8783" s="29"/>
      <c r="E8783" s="29"/>
      <c r="F8783" s="29"/>
    </row>
    <row r="8784">
      <c r="A8784" s="28"/>
      <c r="B8784" s="29"/>
      <c r="C8784" s="29"/>
      <c r="E8784" s="29"/>
      <c r="F8784" s="29"/>
    </row>
    <row r="8785">
      <c r="A8785" s="28"/>
      <c r="B8785" s="29"/>
      <c r="C8785" s="29"/>
      <c r="E8785" s="29"/>
      <c r="F8785" s="29"/>
    </row>
    <row r="8786">
      <c r="A8786" s="28"/>
      <c r="B8786" s="29"/>
      <c r="C8786" s="29"/>
      <c r="E8786" s="29"/>
      <c r="F8786" s="29"/>
    </row>
    <row r="8787">
      <c r="A8787" s="28"/>
      <c r="B8787" s="29"/>
      <c r="C8787" s="29"/>
      <c r="E8787" s="29"/>
      <c r="F8787" s="29"/>
    </row>
    <row r="8788">
      <c r="A8788" s="28"/>
      <c r="B8788" s="29"/>
      <c r="C8788" s="29"/>
      <c r="E8788" s="29"/>
      <c r="F8788" s="29"/>
    </row>
    <row r="8789">
      <c r="A8789" s="28"/>
      <c r="B8789" s="29"/>
      <c r="C8789" s="29"/>
      <c r="E8789" s="29"/>
      <c r="F8789" s="29"/>
    </row>
    <row r="8790">
      <c r="A8790" s="28"/>
      <c r="B8790" s="29"/>
      <c r="C8790" s="29"/>
      <c r="E8790" s="29"/>
      <c r="F8790" s="29"/>
    </row>
    <row r="8791">
      <c r="A8791" s="28"/>
      <c r="B8791" s="29"/>
      <c r="C8791" s="29"/>
      <c r="E8791" s="29"/>
      <c r="F8791" s="29"/>
    </row>
    <row r="8792">
      <c r="A8792" s="28"/>
      <c r="B8792" s="29"/>
      <c r="C8792" s="29"/>
      <c r="E8792" s="29"/>
      <c r="F8792" s="29"/>
    </row>
    <row r="8793">
      <c r="A8793" s="28"/>
      <c r="B8793" s="29"/>
      <c r="C8793" s="29"/>
      <c r="E8793" s="29"/>
      <c r="F8793" s="29"/>
    </row>
    <row r="8794">
      <c r="A8794" s="28"/>
      <c r="B8794" s="29"/>
      <c r="C8794" s="29"/>
      <c r="E8794" s="29"/>
      <c r="F8794" s="29"/>
    </row>
    <row r="8795">
      <c r="A8795" s="28"/>
      <c r="B8795" s="29"/>
      <c r="C8795" s="29"/>
      <c r="E8795" s="29"/>
      <c r="F8795" s="29"/>
    </row>
    <row r="8796">
      <c r="A8796" s="28"/>
      <c r="B8796" s="29"/>
      <c r="C8796" s="29"/>
      <c r="E8796" s="29"/>
      <c r="F8796" s="29"/>
    </row>
    <row r="8797">
      <c r="A8797" s="28"/>
      <c r="B8797" s="29"/>
      <c r="C8797" s="29"/>
      <c r="E8797" s="29"/>
      <c r="F8797" s="29"/>
    </row>
    <row r="8798">
      <c r="A8798" s="28"/>
      <c r="B8798" s="29"/>
      <c r="C8798" s="29"/>
      <c r="E8798" s="29"/>
      <c r="F8798" s="29"/>
    </row>
    <row r="8799">
      <c r="A8799" s="28"/>
      <c r="B8799" s="29"/>
      <c r="C8799" s="29"/>
      <c r="E8799" s="29"/>
      <c r="F8799" s="29"/>
    </row>
    <row r="8800">
      <c r="A8800" s="28"/>
      <c r="B8800" s="29"/>
      <c r="C8800" s="29"/>
      <c r="E8800" s="29"/>
      <c r="F8800" s="29"/>
    </row>
    <row r="8801">
      <c r="A8801" s="28"/>
      <c r="B8801" s="29"/>
      <c r="C8801" s="29"/>
      <c r="E8801" s="29"/>
      <c r="F8801" s="29"/>
    </row>
    <row r="8802">
      <c r="A8802" s="28"/>
      <c r="B8802" s="29"/>
      <c r="C8802" s="29"/>
      <c r="E8802" s="29"/>
      <c r="F8802" s="29"/>
    </row>
    <row r="8803">
      <c r="A8803" s="28"/>
      <c r="B8803" s="29"/>
      <c r="C8803" s="29"/>
      <c r="E8803" s="29"/>
      <c r="F8803" s="29"/>
    </row>
    <row r="8804">
      <c r="A8804" s="28"/>
      <c r="B8804" s="29"/>
      <c r="C8804" s="29"/>
      <c r="E8804" s="29"/>
      <c r="F8804" s="29"/>
    </row>
    <row r="8805">
      <c r="A8805" s="28"/>
      <c r="B8805" s="29"/>
      <c r="C8805" s="29"/>
      <c r="E8805" s="29"/>
      <c r="F8805" s="29"/>
    </row>
    <row r="8806">
      <c r="A8806" s="28"/>
      <c r="B8806" s="29"/>
      <c r="C8806" s="29"/>
      <c r="E8806" s="29"/>
      <c r="F8806" s="29"/>
    </row>
    <row r="8807">
      <c r="A8807" s="28"/>
      <c r="B8807" s="29"/>
      <c r="C8807" s="29"/>
      <c r="E8807" s="29"/>
      <c r="F8807" s="29"/>
    </row>
    <row r="8808">
      <c r="A8808" s="28"/>
      <c r="B8808" s="29"/>
      <c r="C8808" s="29"/>
      <c r="E8808" s="29"/>
      <c r="F8808" s="29"/>
    </row>
    <row r="8809">
      <c r="A8809" s="28"/>
      <c r="B8809" s="29"/>
      <c r="C8809" s="29"/>
      <c r="E8809" s="29"/>
      <c r="F8809" s="29"/>
    </row>
    <row r="8810">
      <c r="A8810" s="28"/>
      <c r="B8810" s="29"/>
      <c r="C8810" s="29"/>
      <c r="E8810" s="29"/>
      <c r="F8810" s="29"/>
    </row>
    <row r="8811">
      <c r="A8811" s="28"/>
      <c r="B8811" s="29"/>
      <c r="C8811" s="29"/>
      <c r="E8811" s="29"/>
      <c r="F8811" s="29"/>
    </row>
    <row r="8812">
      <c r="A8812" s="28"/>
      <c r="B8812" s="29"/>
      <c r="C8812" s="29"/>
      <c r="E8812" s="29"/>
      <c r="F8812" s="29"/>
    </row>
    <row r="8813">
      <c r="A8813" s="28"/>
      <c r="B8813" s="29"/>
      <c r="C8813" s="29"/>
      <c r="E8813" s="29"/>
      <c r="F8813" s="29"/>
    </row>
    <row r="8814">
      <c r="A8814" s="28"/>
      <c r="B8814" s="29"/>
      <c r="C8814" s="29"/>
      <c r="E8814" s="29"/>
      <c r="F8814" s="29"/>
    </row>
    <row r="8815">
      <c r="A8815" s="28"/>
      <c r="B8815" s="29"/>
      <c r="C8815" s="29"/>
      <c r="E8815" s="29"/>
      <c r="F8815" s="29"/>
    </row>
    <row r="8816">
      <c r="A8816" s="28"/>
      <c r="B8816" s="29"/>
      <c r="C8816" s="29"/>
      <c r="E8816" s="29"/>
      <c r="F8816" s="29"/>
    </row>
    <row r="8817">
      <c r="A8817" s="28"/>
      <c r="B8817" s="29"/>
      <c r="C8817" s="29"/>
      <c r="E8817" s="29"/>
      <c r="F8817" s="29"/>
    </row>
    <row r="8818">
      <c r="A8818" s="28"/>
      <c r="B8818" s="29"/>
      <c r="C8818" s="29"/>
      <c r="E8818" s="29"/>
      <c r="F8818" s="29"/>
    </row>
    <row r="8819">
      <c r="A8819" s="28"/>
      <c r="B8819" s="29"/>
      <c r="C8819" s="29"/>
      <c r="E8819" s="29"/>
      <c r="F8819" s="29"/>
    </row>
    <row r="8820">
      <c r="A8820" s="28"/>
      <c r="B8820" s="29"/>
      <c r="C8820" s="29"/>
      <c r="E8820" s="29"/>
      <c r="F8820" s="29"/>
    </row>
    <row r="8821">
      <c r="A8821" s="28"/>
      <c r="B8821" s="29"/>
      <c r="C8821" s="29"/>
      <c r="E8821" s="29"/>
      <c r="F8821" s="29"/>
    </row>
    <row r="8822">
      <c r="A8822" s="28"/>
      <c r="B8822" s="29"/>
      <c r="C8822" s="29"/>
      <c r="E8822" s="29"/>
      <c r="F8822" s="29"/>
    </row>
    <row r="8823">
      <c r="A8823" s="28"/>
      <c r="B8823" s="29"/>
      <c r="C8823" s="29"/>
      <c r="E8823" s="29"/>
      <c r="F8823" s="29"/>
    </row>
    <row r="8824">
      <c r="A8824" s="28"/>
      <c r="B8824" s="29"/>
      <c r="C8824" s="29"/>
      <c r="E8824" s="29"/>
      <c r="F8824" s="29"/>
    </row>
    <row r="8825">
      <c r="A8825" s="28"/>
      <c r="B8825" s="29"/>
      <c r="C8825" s="29"/>
      <c r="E8825" s="29"/>
      <c r="F8825" s="29"/>
    </row>
    <row r="8826">
      <c r="A8826" s="28"/>
      <c r="B8826" s="29"/>
      <c r="C8826" s="29"/>
      <c r="E8826" s="29"/>
      <c r="F8826" s="29"/>
    </row>
    <row r="8827">
      <c r="A8827" s="28"/>
      <c r="B8827" s="29"/>
      <c r="C8827" s="29"/>
      <c r="E8827" s="29"/>
      <c r="F8827" s="29"/>
    </row>
    <row r="8828">
      <c r="A8828" s="28"/>
      <c r="B8828" s="29"/>
      <c r="C8828" s="29"/>
      <c r="E8828" s="29"/>
      <c r="F8828" s="29"/>
    </row>
    <row r="8829">
      <c r="A8829" s="28"/>
      <c r="B8829" s="29"/>
      <c r="C8829" s="29"/>
      <c r="E8829" s="29"/>
      <c r="F8829" s="29"/>
    </row>
    <row r="8830">
      <c r="A8830" s="28"/>
      <c r="B8830" s="29"/>
      <c r="C8830" s="29"/>
      <c r="E8830" s="29"/>
      <c r="F8830" s="29"/>
    </row>
    <row r="8831">
      <c r="A8831" s="28"/>
      <c r="B8831" s="29"/>
      <c r="C8831" s="29"/>
      <c r="E8831" s="29"/>
      <c r="F8831" s="29"/>
    </row>
    <row r="8832">
      <c r="A8832" s="28"/>
      <c r="B8832" s="29"/>
      <c r="C8832" s="29"/>
      <c r="E8832" s="29"/>
      <c r="F8832" s="29"/>
    </row>
    <row r="8833">
      <c r="A8833" s="28"/>
      <c r="B8833" s="29"/>
      <c r="C8833" s="29"/>
      <c r="E8833" s="29"/>
      <c r="F8833" s="29"/>
    </row>
    <row r="8834">
      <c r="A8834" s="28"/>
      <c r="B8834" s="29"/>
      <c r="C8834" s="29"/>
      <c r="E8834" s="29"/>
      <c r="F8834" s="29"/>
    </row>
    <row r="8835">
      <c r="A8835" s="28"/>
      <c r="B8835" s="29"/>
      <c r="C8835" s="29"/>
      <c r="E8835" s="29"/>
      <c r="F8835" s="29"/>
    </row>
    <row r="8836">
      <c r="A8836" s="28"/>
      <c r="B8836" s="29"/>
      <c r="C8836" s="29"/>
      <c r="E8836" s="29"/>
      <c r="F8836" s="29"/>
    </row>
    <row r="8837">
      <c r="A8837" s="28"/>
      <c r="B8837" s="29"/>
      <c r="C8837" s="29"/>
      <c r="E8837" s="29"/>
      <c r="F8837" s="29"/>
    </row>
    <row r="8838">
      <c r="A8838" s="28"/>
      <c r="B8838" s="29"/>
      <c r="C8838" s="29"/>
      <c r="E8838" s="29"/>
      <c r="F8838" s="29"/>
    </row>
    <row r="8839">
      <c r="A8839" s="28"/>
      <c r="B8839" s="29"/>
      <c r="C8839" s="29"/>
      <c r="E8839" s="29"/>
      <c r="F8839" s="29"/>
    </row>
    <row r="8840">
      <c r="A8840" s="28"/>
      <c r="B8840" s="29"/>
      <c r="C8840" s="29"/>
      <c r="E8840" s="29"/>
      <c r="F8840" s="29"/>
    </row>
    <row r="8841">
      <c r="A8841" s="28"/>
      <c r="B8841" s="29"/>
      <c r="C8841" s="29"/>
      <c r="E8841" s="29"/>
      <c r="F8841" s="29"/>
    </row>
    <row r="8842">
      <c r="A8842" s="28"/>
      <c r="B8842" s="29"/>
      <c r="C8842" s="29"/>
      <c r="E8842" s="29"/>
      <c r="F8842" s="29"/>
    </row>
    <row r="8843">
      <c r="A8843" s="28"/>
      <c r="B8843" s="29"/>
      <c r="C8843" s="29"/>
      <c r="E8843" s="29"/>
      <c r="F8843" s="29"/>
    </row>
    <row r="8844">
      <c r="A8844" s="28"/>
      <c r="B8844" s="29"/>
      <c r="C8844" s="29"/>
      <c r="E8844" s="29"/>
      <c r="F8844" s="29"/>
    </row>
    <row r="8845">
      <c r="A8845" s="28"/>
      <c r="B8845" s="29"/>
      <c r="C8845" s="29"/>
      <c r="E8845" s="29"/>
      <c r="F8845" s="29"/>
    </row>
    <row r="8846">
      <c r="A8846" s="28"/>
      <c r="B8846" s="29"/>
      <c r="C8846" s="29"/>
      <c r="E8846" s="29"/>
      <c r="F8846" s="29"/>
    </row>
    <row r="8847">
      <c r="A8847" s="28"/>
      <c r="B8847" s="29"/>
      <c r="C8847" s="29"/>
      <c r="E8847" s="29"/>
      <c r="F8847" s="29"/>
    </row>
    <row r="8848">
      <c r="A8848" s="28"/>
      <c r="B8848" s="29"/>
      <c r="C8848" s="29"/>
      <c r="E8848" s="29"/>
      <c r="F8848" s="29"/>
    </row>
    <row r="8849">
      <c r="A8849" s="28"/>
      <c r="B8849" s="29"/>
      <c r="C8849" s="29"/>
      <c r="E8849" s="29"/>
      <c r="F8849" s="29"/>
    </row>
    <row r="8850">
      <c r="A8850" s="28"/>
      <c r="B8850" s="29"/>
      <c r="C8850" s="29"/>
      <c r="E8850" s="29"/>
      <c r="F8850" s="29"/>
    </row>
    <row r="8851">
      <c r="A8851" s="28"/>
      <c r="B8851" s="29"/>
      <c r="C8851" s="29"/>
      <c r="E8851" s="29"/>
      <c r="F8851" s="29"/>
    </row>
    <row r="8852">
      <c r="A8852" s="28"/>
      <c r="B8852" s="29"/>
      <c r="C8852" s="29"/>
      <c r="E8852" s="29"/>
      <c r="F8852" s="29"/>
    </row>
    <row r="8853">
      <c r="A8853" s="28"/>
      <c r="B8853" s="29"/>
      <c r="C8853" s="29"/>
      <c r="E8853" s="29"/>
      <c r="F8853" s="29"/>
    </row>
    <row r="8854">
      <c r="A8854" s="28"/>
      <c r="B8854" s="29"/>
      <c r="C8854" s="29"/>
      <c r="E8854" s="29"/>
      <c r="F8854" s="29"/>
    </row>
    <row r="8855">
      <c r="A8855" s="28"/>
      <c r="B8855" s="29"/>
      <c r="C8855" s="29"/>
      <c r="E8855" s="29"/>
      <c r="F8855" s="29"/>
    </row>
    <row r="8856">
      <c r="A8856" s="28"/>
      <c r="B8856" s="29"/>
      <c r="C8856" s="29"/>
      <c r="E8856" s="29"/>
      <c r="F8856" s="29"/>
    </row>
    <row r="8857">
      <c r="A8857" s="28"/>
      <c r="B8857" s="29"/>
      <c r="C8857" s="29"/>
      <c r="E8857" s="29"/>
      <c r="F8857" s="29"/>
    </row>
    <row r="8858">
      <c r="A8858" s="28"/>
      <c r="B8858" s="29"/>
      <c r="C8858" s="29"/>
      <c r="E8858" s="29"/>
      <c r="F8858" s="29"/>
    </row>
    <row r="8859">
      <c r="A8859" s="28"/>
      <c r="B8859" s="29"/>
      <c r="C8859" s="29"/>
      <c r="E8859" s="29"/>
      <c r="F8859" s="29"/>
    </row>
    <row r="8860">
      <c r="A8860" s="28"/>
      <c r="B8860" s="29"/>
      <c r="C8860" s="29"/>
      <c r="E8860" s="29"/>
      <c r="F8860" s="29"/>
    </row>
    <row r="8861">
      <c r="A8861" s="28"/>
      <c r="B8861" s="29"/>
      <c r="C8861" s="29"/>
      <c r="E8861" s="29"/>
      <c r="F8861" s="29"/>
    </row>
    <row r="8862">
      <c r="A8862" s="28"/>
      <c r="B8862" s="29"/>
      <c r="C8862" s="29"/>
      <c r="E8862" s="29"/>
      <c r="F8862" s="29"/>
    </row>
    <row r="8863">
      <c r="A8863" s="28"/>
      <c r="B8863" s="29"/>
      <c r="C8863" s="29"/>
      <c r="E8863" s="29"/>
      <c r="F8863" s="29"/>
    </row>
    <row r="8864">
      <c r="A8864" s="28"/>
      <c r="B8864" s="29"/>
      <c r="C8864" s="29"/>
      <c r="E8864" s="29"/>
      <c r="F8864" s="29"/>
    </row>
    <row r="8865">
      <c r="A8865" s="28"/>
      <c r="B8865" s="29"/>
      <c r="C8865" s="29"/>
      <c r="E8865" s="29"/>
      <c r="F8865" s="29"/>
    </row>
    <row r="8866">
      <c r="A8866" s="28"/>
      <c r="B8866" s="29"/>
      <c r="C8866" s="29"/>
      <c r="E8866" s="29"/>
      <c r="F8866" s="29"/>
    </row>
    <row r="8867">
      <c r="A8867" s="28"/>
      <c r="B8867" s="29"/>
      <c r="C8867" s="29"/>
      <c r="E8867" s="29"/>
      <c r="F8867" s="29"/>
    </row>
    <row r="8868">
      <c r="A8868" s="28"/>
      <c r="B8868" s="29"/>
      <c r="C8868" s="29"/>
      <c r="E8868" s="29"/>
      <c r="F8868" s="29"/>
    </row>
    <row r="8869">
      <c r="A8869" s="28"/>
      <c r="B8869" s="29"/>
      <c r="C8869" s="29"/>
      <c r="E8869" s="29"/>
      <c r="F8869" s="29"/>
    </row>
    <row r="8870">
      <c r="A8870" s="28"/>
      <c r="B8870" s="29"/>
      <c r="C8870" s="29"/>
      <c r="E8870" s="29"/>
      <c r="F8870" s="29"/>
    </row>
    <row r="8871">
      <c r="A8871" s="28"/>
      <c r="B8871" s="29"/>
      <c r="C8871" s="29"/>
      <c r="E8871" s="29"/>
      <c r="F8871" s="29"/>
    </row>
    <row r="8872">
      <c r="A8872" s="28"/>
      <c r="B8872" s="29"/>
      <c r="C8872" s="29"/>
      <c r="E8872" s="29"/>
      <c r="F8872" s="29"/>
    </row>
    <row r="8873">
      <c r="A8873" s="28"/>
      <c r="B8873" s="29"/>
      <c r="C8873" s="29"/>
      <c r="E8873" s="29"/>
      <c r="F8873" s="29"/>
    </row>
    <row r="8874">
      <c r="A8874" s="28"/>
      <c r="B8874" s="29"/>
      <c r="C8874" s="29"/>
      <c r="E8874" s="29"/>
      <c r="F8874" s="29"/>
    </row>
    <row r="8875">
      <c r="A8875" s="28"/>
      <c r="B8875" s="29"/>
      <c r="C8875" s="29"/>
      <c r="E8875" s="29"/>
      <c r="F8875" s="29"/>
    </row>
    <row r="8876">
      <c r="A8876" s="28"/>
      <c r="B8876" s="29"/>
      <c r="C8876" s="29"/>
      <c r="E8876" s="29"/>
      <c r="F8876" s="29"/>
    </row>
    <row r="8877">
      <c r="A8877" s="28"/>
      <c r="B8877" s="29"/>
      <c r="C8877" s="29"/>
      <c r="E8877" s="29"/>
      <c r="F8877" s="29"/>
    </row>
    <row r="8878">
      <c r="A8878" s="28"/>
      <c r="B8878" s="29"/>
      <c r="C8878" s="29"/>
      <c r="E8878" s="29"/>
      <c r="F8878" s="29"/>
    </row>
    <row r="8879">
      <c r="A8879" s="28"/>
      <c r="B8879" s="29"/>
      <c r="C8879" s="29"/>
      <c r="E8879" s="29"/>
      <c r="F8879" s="29"/>
    </row>
    <row r="8880">
      <c r="A8880" s="28"/>
      <c r="B8880" s="29"/>
      <c r="C8880" s="29"/>
      <c r="E8880" s="29"/>
      <c r="F8880" s="29"/>
    </row>
    <row r="8881">
      <c r="A8881" s="28"/>
      <c r="B8881" s="29"/>
      <c r="C8881" s="29"/>
      <c r="E8881" s="29"/>
      <c r="F8881" s="29"/>
    </row>
    <row r="8882">
      <c r="A8882" s="28"/>
      <c r="B8882" s="29"/>
      <c r="C8882" s="29"/>
      <c r="E8882" s="29"/>
      <c r="F8882" s="29"/>
    </row>
    <row r="8883">
      <c r="A8883" s="28"/>
      <c r="B8883" s="29"/>
      <c r="C8883" s="29"/>
      <c r="E8883" s="29"/>
      <c r="F8883" s="29"/>
    </row>
    <row r="8884">
      <c r="A8884" s="28"/>
      <c r="B8884" s="29"/>
      <c r="C8884" s="29"/>
      <c r="E8884" s="29"/>
      <c r="F8884" s="29"/>
    </row>
    <row r="8885">
      <c r="A8885" s="28"/>
      <c r="B8885" s="29"/>
      <c r="C8885" s="29"/>
      <c r="E8885" s="29"/>
      <c r="F8885" s="29"/>
    </row>
    <row r="8886">
      <c r="A8886" s="28"/>
      <c r="B8886" s="29"/>
      <c r="C8886" s="29"/>
      <c r="E8886" s="29"/>
      <c r="F8886" s="29"/>
    </row>
    <row r="8887">
      <c r="A8887" s="28"/>
      <c r="B8887" s="29"/>
      <c r="C8887" s="29"/>
      <c r="E8887" s="29"/>
      <c r="F8887" s="29"/>
    </row>
    <row r="8888">
      <c r="A8888" s="28"/>
      <c r="B8888" s="29"/>
      <c r="C8888" s="29"/>
      <c r="E8888" s="29"/>
      <c r="F8888" s="29"/>
    </row>
    <row r="8889">
      <c r="A8889" s="28"/>
      <c r="B8889" s="29"/>
      <c r="C8889" s="29"/>
      <c r="E8889" s="29"/>
      <c r="F8889" s="29"/>
    </row>
    <row r="8890">
      <c r="A8890" s="28"/>
      <c r="B8890" s="29"/>
      <c r="C8890" s="29"/>
      <c r="E8890" s="29"/>
      <c r="F8890" s="29"/>
    </row>
    <row r="8891">
      <c r="A8891" s="28"/>
      <c r="B8891" s="29"/>
      <c r="C8891" s="29"/>
      <c r="E8891" s="29"/>
      <c r="F8891" s="29"/>
    </row>
    <row r="8892">
      <c r="A8892" s="28"/>
      <c r="B8892" s="29"/>
      <c r="C8892" s="29"/>
      <c r="E8892" s="29"/>
      <c r="F8892" s="29"/>
    </row>
    <row r="8893">
      <c r="A8893" s="28"/>
      <c r="B8893" s="29"/>
      <c r="C8893" s="29"/>
      <c r="E8893" s="29"/>
      <c r="F8893" s="29"/>
    </row>
    <row r="8894">
      <c r="A8894" s="28"/>
      <c r="B8894" s="29"/>
      <c r="C8894" s="29"/>
      <c r="E8894" s="29"/>
      <c r="F8894" s="29"/>
    </row>
    <row r="8895">
      <c r="A8895" s="28"/>
      <c r="B8895" s="29"/>
      <c r="C8895" s="29"/>
      <c r="E8895" s="29"/>
      <c r="F8895" s="29"/>
    </row>
    <row r="8896">
      <c r="A8896" s="28"/>
      <c r="B8896" s="29"/>
      <c r="C8896" s="29"/>
      <c r="E8896" s="29"/>
      <c r="F8896" s="29"/>
    </row>
    <row r="8897">
      <c r="A8897" s="28"/>
      <c r="B8897" s="29"/>
      <c r="C8897" s="29"/>
      <c r="E8897" s="29"/>
      <c r="F8897" s="29"/>
    </row>
    <row r="8898">
      <c r="A8898" s="28"/>
      <c r="B8898" s="29"/>
      <c r="C8898" s="29"/>
      <c r="E8898" s="29"/>
      <c r="F8898" s="29"/>
    </row>
    <row r="8899">
      <c r="A8899" s="28"/>
      <c r="B8899" s="29"/>
      <c r="C8899" s="29"/>
      <c r="E8899" s="29"/>
      <c r="F8899" s="29"/>
    </row>
    <row r="8900">
      <c r="A8900" s="28"/>
      <c r="B8900" s="29"/>
      <c r="C8900" s="29"/>
      <c r="E8900" s="29"/>
      <c r="F8900" s="29"/>
    </row>
    <row r="8901">
      <c r="A8901" s="28"/>
      <c r="B8901" s="29"/>
      <c r="C8901" s="29"/>
      <c r="E8901" s="29"/>
      <c r="F8901" s="29"/>
    </row>
    <row r="8902">
      <c r="A8902" s="28"/>
      <c r="B8902" s="29"/>
      <c r="C8902" s="29"/>
      <c r="E8902" s="29"/>
      <c r="F8902" s="29"/>
    </row>
    <row r="8903">
      <c r="A8903" s="28"/>
      <c r="B8903" s="29"/>
      <c r="C8903" s="29"/>
      <c r="E8903" s="29"/>
      <c r="F8903" s="29"/>
    </row>
    <row r="8904">
      <c r="A8904" s="28"/>
      <c r="B8904" s="29"/>
      <c r="C8904" s="29"/>
      <c r="E8904" s="29"/>
      <c r="F8904" s="29"/>
    </row>
    <row r="8905">
      <c r="A8905" s="28"/>
      <c r="B8905" s="29"/>
      <c r="C8905" s="29"/>
      <c r="E8905" s="29"/>
      <c r="F8905" s="29"/>
    </row>
    <row r="8906">
      <c r="A8906" s="28"/>
      <c r="B8906" s="29"/>
      <c r="C8906" s="29"/>
      <c r="E8906" s="29"/>
      <c r="F8906" s="29"/>
    </row>
    <row r="8907">
      <c r="A8907" s="28"/>
      <c r="B8907" s="29"/>
      <c r="C8907" s="29"/>
      <c r="E8907" s="29"/>
      <c r="F8907" s="29"/>
    </row>
    <row r="8908">
      <c r="A8908" s="28"/>
      <c r="B8908" s="29"/>
      <c r="C8908" s="29"/>
      <c r="E8908" s="29"/>
      <c r="F8908" s="29"/>
    </row>
    <row r="8909">
      <c r="A8909" s="28"/>
      <c r="B8909" s="29"/>
      <c r="C8909" s="29"/>
      <c r="E8909" s="29"/>
      <c r="F8909" s="29"/>
    </row>
    <row r="8910">
      <c r="A8910" s="28"/>
      <c r="B8910" s="29"/>
      <c r="C8910" s="29"/>
      <c r="E8910" s="29"/>
      <c r="F8910" s="29"/>
    </row>
    <row r="8911">
      <c r="A8911" s="28"/>
      <c r="B8911" s="29"/>
      <c r="C8911" s="29"/>
      <c r="E8911" s="29"/>
      <c r="F8911" s="29"/>
    </row>
    <row r="8912">
      <c r="A8912" s="28"/>
      <c r="B8912" s="29"/>
      <c r="C8912" s="29"/>
      <c r="E8912" s="29"/>
      <c r="F8912" s="29"/>
    </row>
    <row r="8913">
      <c r="A8913" s="28"/>
      <c r="B8913" s="29"/>
      <c r="C8913" s="29"/>
      <c r="E8913" s="29"/>
      <c r="F8913" s="29"/>
    </row>
    <row r="8914">
      <c r="A8914" s="28"/>
      <c r="B8914" s="29"/>
      <c r="C8914" s="29"/>
      <c r="E8914" s="29"/>
      <c r="F8914" s="29"/>
    </row>
    <row r="8915">
      <c r="A8915" s="28"/>
      <c r="B8915" s="29"/>
      <c r="C8915" s="29"/>
      <c r="E8915" s="29"/>
      <c r="F8915" s="29"/>
    </row>
    <row r="8916">
      <c r="A8916" s="28"/>
      <c r="B8916" s="29"/>
      <c r="C8916" s="29"/>
      <c r="E8916" s="29"/>
      <c r="F8916" s="29"/>
    </row>
    <row r="8917">
      <c r="A8917" s="28"/>
      <c r="B8917" s="29"/>
      <c r="C8917" s="29"/>
      <c r="E8917" s="29"/>
      <c r="F8917" s="29"/>
    </row>
    <row r="8918">
      <c r="A8918" s="28"/>
      <c r="B8918" s="29"/>
      <c r="C8918" s="29"/>
      <c r="E8918" s="29"/>
      <c r="F8918" s="29"/>
    </row>
    <row r="8919">
      <c r="A8919" s="28"/>
      <c r="B8919" s="29"/>
      <c r="C8919" s="29"/>
      <c r="E8919" s="29"/>
      <c r="F8919" s="29"/>
    </row>
    <row r="8920">
      <c r="A8920" s="28"/>
      <c r="B8920" s="29"/>
      <c r="C8920" s="29"/>
      <c r="E8920" s="29"/>
      <c r="F8920" s="29"/>
    </row>
    <row r="8921">
      <c r="A8921" s="28"/>
      <c r="B8921" s="29"/>
      <c r="C8921" s="29"/>
      <c r="E8921" s="29"/>
      <c r="F8921" s="29"/>
    </row>
    <row r="8922">
      <c r="A8922" s="28"/>
      <c r="B8922" s="29"/>
      <c r="C8922" s="29"/>
      <c r="E8922" s="29"/>
      <c r="F8922" s="29"/>
    </row>
    <row r="8923">
      <c r="A8923" s="28"/>
      <c r="B8923" s="29"/>
      <c r="C8923" s="29"/>
      <c r="E8923" s="29"/>
      <c r="F8923" s="29"/>
    </row>
    <row r="8924">
      <c r="A8924" s="28"/>
      <c r="B8924" s="29"/>
      <c r="C8924" s="29"/>
      <c r="E8924" s="29"/>
      <c r="F8924" s="29"/>
    </row>
    <row r="8925">
      <c r="A8925" s="28"/>
      <c r="B8925" s="29"/>
      <c r="C8925" s="29"/>
      <c r="E8925" s="29"/>
      <c r="F8925" s="29"/>
    </row>
    <row r="8926">
      <c r="A8926" s="28"/>
      <c r="B8926" s="29"/>
      <c r="C8926" s="29"/>
      <c r="E8926" s="29"/>
      <c r="F8926" s="29"/>
    </row>
    <row r="8927">
      <c r="A8927" s="28"/>
      <c r="B8927" s="29"/>
      <c r="C8927" s="29"/>
      <c r="E8927" s="29"/>
      <c r="F8927" s="29"/>
    </row>
    <row r="8928">
      <c r="A8928" s="28"/>
      <c r="B8928" s="29"/>
      <c r="C8928" s="29"/>
      <c r="E8928" s="29"/>
      <c r="F8928" s="29"/>
    </row>
    <row r="8929">
      <c r="A8929" s="28"/>
      <c r="B8929" s="29"/>
      <c r="C8929" s="29"/>
      <c r="E8929" s="29"/>
      <c r="F8929" s="29"/>
    </row>
    <row r="8930">
      <c r="A8930" s="28"/>
      <c r="B8930" s="29"/>
      <c r="C8930" s="29"/>
      <c r="E8930" s="29"/>
      <c r="F8930" s="29"/>
    </row>
    <row r="8931">
      <c r="A8931" s="28"/>
      <c r="B8931" s="29"/>
      <c r="C8931" s="29"/>
      <c r="E8931" s="29"/>
      <c r="F8931" s="29"/>
    </row>
    <row r="8932">
      <c r="A8932" s="28"/>
      <c r="B8932" s="29"/>
      <c r="C8932" s="29"/>
      <c r="E8932" s="29"/>
      <c r="F8932" s="29"/>
    </row>
    <row r="8933">
      <c r="A8933" s="28"/>
      <c r="B8933" s="29"/>
      <c r="C8933" s="29"/>
      <c r="E8933" s="29"/>
      <c r="F8933" s="29"/>
    </row>
    <row r="8934">
      <c r="A8934" s="28"/>
      <c r="B8934" s="29"/>
      <c r="C8934" s="29"/>
      <c r="E8934" s="29"/>
      <c r="F8934" s="29"/>
    </row>
    <row r="8935">
      <c r="A8935" s="28"/>
      <c r="B8935" s="29"/>
      <c r="C8935" s="29"/>
      <c r="E8935" s="29"/>
      <c r="F8935" s="29"/>
    </row>
    <row r="8936">
      <c r="A8936" s="28"/>
      <c r="B8936" s="29"/>
      <c r="C8936" s="29"/>
      <c r="E8936" s="29"/>
      <c r="F8936" s="29"/>
    </row>
    <row r="8937">
      <c r="A8937" s="28"/>
      <c r="B8937" s="29"/>
      <c r="C8937" s="29"/>
      <c r="E8937" s="29"/>
      <c r="F8937" s="29"/>
    </row>
    <row r="8938">
      <c r="A8938" s="28"/>
      <c r="B8938" s="29"/>
      <c r="C8938" s="29"/>
      <c r="E8938" s="29"/>
      <c r="F8938" s="29"/>
    </row>
    <row r="8939">
      <c r="A8939" s="28"/>
      <c r="B8939" s="29"/>
      <c r="C8939" s="29"/>
      <c r="E8939" s="29"/>
      <c r="F8939" s="29"/>
    </row>
    <row r="8940">
      <c r="A8940" s="28"/>
      <c r="B8940" s="29"/>
      <c r="C8940" s="29"/>
      <c r="E8940" s="29"/>
      <c r="F8940" s="29"/>
    </row>
    <row r="8941">
      <c r="A8941" s="28"/>
      <c r="B8941" s="29"/>
      <c r="C8941" s="29"/>
      <c r="E8941" s="29"/>
      <c r="F8941" s="29"/>
    </row>
    <row r="8942">
      <c r="A8942" s="28"/>
      <c r="B8942" s="29"/>
      <c r="C8942" s="29"/>
      <c r="E8942" s="29"/>
      <c r="F8942" s="29"/>
    </row>
    <row r="8943">
      <c r="A8943" s="28"/>
      <c r="B8943" s="29"/>
      <c r="C8943" s="29"/>
      <c r="E8943" s="29"/>
      <c r="F8943" s="29"/>
    </row>
    <row r="8944">
      <c r="A8944" s="28"/>
      <c r="B8944" s="29"/>
      <c r="C8944" s="29"/>
      <c r="E8944" s="29"/>
      <c r="F8944" s="29"/>
    </row>
    <row r="8945">
      <c r="A8945" s="28"/>
      <c r="B8945" s="29"/>
      <c r="C8945" s="29"/>
      <c r="E8945" s="29"/>
      <c r="F8945" s="29"/>
    </row>
    <row r="8946">
      <c r="A8946" s="28"/>
      <c r="B8946" s="29"/>
      <c r="C8946" s="29"/>
      <c r="E8946" s="29"/>
      <c r="F8946" s="29"/>
    </row>
    <row r="8947">
      <c r="A8947" s="28"/>
      <c r="B8947" s="29"/>
      <c r="C8947" s="29"/>
      <c r="E8947" s="29"/>
      <c r="F8947" s="29"/>
    </row>
    <row r="8948">
      <c r="A8948" s="28"/>
      <c r="B8948" s="29"/>
      <c r="C8948" s="29"/>
      <c r="E8948" s="29"/>
      <c r="F8948" s="29"/>
    </row>
    <row r="8949">
      <c r="A8949" s="28"/>
      <c r="B8949" s="29"/>
      <c r="C8949" s="29"/>
      <c r="E8949" s="29"/>
      <c r="F8949" s="29"/>
    </row>
    <row r="8950">
      <c r="A8950" s="28"/>
      <c r="B8950" s="29"/>
      <c r="C8950" s="29"/>
      <c r="E8950" s="29"/>
      <c r="F8950" s="29"/>
    </row>
    <row r="8951">
      <c r="A8951" s="28"/>
      <c r="B8951" s="29"/>
      <c r="C8951" s="29"/>
      <c r="E8951" s="29"/>
      <c r="F8951" s="29"/>
    </row>
    <row r="8952">
      <c r="A8952" s="28"/>
      <c r="B8952" s="29"/>
      <c r="C8952" s="29"/>
      <c r="E8952" s="29"/>
      <c r="F8952" s="29"/>
    </row>
    <row r="8953">
      <c r="A8953" s="28"/>
      <c r="B8953" s="29"/>
      <c r="C8953" s="29"/>
      <c r="E8953" s="29"/>
      <c r="F8953" s="29"/>
    </row>
    <row r="8954">
      <c r="A8954" s="28"/>
      <c r="B8954" s="29"/>
      <c r="C8954" s="29"/>
      <c r="E8954" s="29"/>
      <c r="F8954" s="29"/>
    </row>
    <row r="8955">
      <c r="A8955" s="28"/>
      <c r="B8955" s="29"/>
      <c r="C8955" s="29"/>
      <c r="E8955" s="29"/>
      <c r="F8955" s="29"/>
    </row>
    <row r="8956">
      <c r="A8956" s="28"/>
      <c r="B8956" s="29"/>
      <c r="C8956" s="29"/>
      <c r="E8956" s="29"/>
      <c r="F8956" s="29"/>
    </row>
    <row r="8957">
      <c r="A8957" s="28"/>
      <c r="B8957" s="29"/>
      <c r="C8957" s="29"/>
      <c r="E8957" s="29"/>
      <c r="F8957" s="29"/>
    </row>
    <row r="8958">
      <c r="A8958" s="28"/>
      <c r="B8958" s="29"/>
      <c r="C8958" s="29"/>
      <c r="E8958" s="29"/>
      <c r="F8958" s="29"/>
    </row>
    <row r="8959">
      <c r="A8959" s="28"/>
      <c r="B8959" s="29"/>
      <c r="C8959" s="29"/>
      <c r="E8959" s="29"/>
      <c r="F8959" s="29"/>
    </row>
    <row r="8960">
      <c r="A8960" s="28"/>
      <c r="B8960" s="29"/>
      <c r="C8960" s="29"/>
      <c r="E8960" s="29"/>
      <c r="F8960" s="29"/>
    </row>
    <row r="8961">
      <c r="A8961" s="28"/>
      <c r="B8961" s="29"/>
      <c r="C8961" s="29"/>
      <c r="E8961" s="29"/>
      <c r="F8961" s="29"/>
    </row>
    <row r="8962">
      <c r="A8962" s="28"/>
      <c r="B8962" s="29"/>
      <c r="C8962" s="29"/>
      <c r="E8962" s="29"/>
      <c r="F8962" s="29"/>
    </row>
    <row r="8963">
      <c r="A8963" s="28"/>
      <c r="B8963" s="29"/>
      <c r="C8963" s="29"/>
      <c r="E8963" s="29"/>
      <c r="F8963" s="29"/>
    </row>
    <row r="8964">
      <c r="A8964" s="28"/>
      <c r="B8964" s="29"/>
      <c r="C8964" s="29"/>
      <c r="E8964" s="29"/>
      <c r="F8964" s="29"/>
    </row>
    <row r="8965">
      <c r="A8965" s="28"/>
      <c r="B8965" s="29"/>
      <c r="C8965" s="29"/>
      <c r="E8965" s="29"/>
      <c r="F8965" s="29"/>
    </row>
    <row r="8966">
      <c r="A8966" s="28"/>
      <c r="B8966" s="29"/>
      <c r="C8966" s="29"/>
      <c r="E8966" s="29"/>
      <c r="F8966" s="29"/>
    </row>
    <row r="8967">
      <c r="A8967" s="28"/>
      <c r="B8967" s="29"/>
      <c r="C8967" s="29"/>
      <c r="E8967" s="29"/>
      <c r="F8967" s="29"/>
    </row>
    <row r="8968">
      <c r="A8968" s="28"/>
      <c r="B8968" s="29"/>
      <c r="C8968" s="29"/>
      <c r="E8968" s="29"/>
      <c r="F8968" s="29"/>
    </row>
    <row r="8969">
      <c r="A8969" s="28"/>
      <c r="B8969" s="29"/>
      <c r="C8969" s="29"/>
      <c r="E8969" s="29"/>
      <c r="F8969" s="29"/>
    </row>
    <row r="8970">
      <c r="A8970" s="28"/>
      <c r="B8970" s="29"/>
      <c r="C8970" s="29"/>
      <c r="E8970" s="29"/>
      <c r="F8970" s="29"/>
    </row>
    <row r="8971">
      <c r="A8971" s="28"/>
      <c r="B8971" s="29"/>
      <c r="C8971" s="29"/>
      <c r="E8971" s="29"/>
      <c r="F8971" s="29"/>
    </row>
    <row r="8972">
      <c r="A8972" s="28"/>
      <c r="B8972" s="29"/>
      <c r="C8972" s="29"/>
      <c r="E8972" s="29"/>
      <c r="F8972" s="29"/>
    </row>
    <row r="8973">
      <c r="A8973" s="28"/>
      <c r="B8973" s="29"/>
      <c r="C8973" s="29"/>
      <c r="E8973" s="29"/>
      <c r="F8973" s="29"/>
    </row>
    <row r="8974">
      <c r="A8974" s="28"/>
      <c r="B8974" s="29"/>
      <c r="C8974" s="29"/>
      <c r="E8974" s="29"/>
      <c r="F8974" s="29"/>
    </row>
    <row r="8975">
      <c r="A8975" s="28"/>
      <c r="B8975" s="29"/>
      <c r="C8975" s="29"/>
      <c r="E8975" s="29"/>
      <c r="F8975" s="29"/>
    </row>
    <row r="8976">
      <c r="A8976" s="28"/>
      <c r="B8976" s="29"/>
      <c r="C8976" s="29"/>
      <c r="E8976" s="29"/>
      <c r="F8976" s="29"/>
    </row>
    <row r="8977">
      <c r="A8977" s="28"/>
      <c r="B8977" s="29"/>
      <c r="C8977" s="29"/>
      <c r="E8977" s="29"/>
      <c r="F8977" s="29"/>
    </row>
    <row r="8978">
      <c r="A8978" s="28"/>
      <c r="B8978" s="29"/>
      <c r="C8978" s="29"/>
      <c r="E8978" s="29"/>
      <c r="F8978" s="29"/>
    </row>
    <row r="8979">
      <c r="A8979" s="28"/>
      <c r="B8979" s="29"/>
      <c r="C8979" s="29"/>
      <c r="E8979" s="29"/>
      <c r="F8979" s="29"/>
    </row>
    <row r="8980">
      <c r="A8980" s="28"/>
      <c r="B8980" s="29"/>
      <c r="C8980" s="29"/>
      <c r="E8980" s="29"/>
      <c r="F8980" s="29"/>
    </row>
    <row r="8981">
      <c r="A8981" s="28"/>
      <c r="B8981" s="29"/>
      <c r="C8981" s="29"/>
      <c r="E8981" s="29"/>
      <c r="F8981" s="29"/>
    </row>
    <row r="8982">
      <c r="A8982" s="28"/>
      <c r="B8982" s="29"/>
      <c r="C8982" s="29"/>
      <c r="E8982" s="29"/>
      <c r="F8982" s="29"/>
    </row>
    <row r="8983">
      <c r="A8983" s="28"/>
      <c r="B8983" s="29"/>
      <c r="C8983" s="29"/>
      <c r="E8983" s="29"/>
      <c r="F8983" s="29"/>
    </row>
    <row r="8984">
      <c r="A8984" s="28"/>
      <c r="B8984" s="29"/>
      <c r="C8984" s="29"/>
      <c r="E8984" s="29"/>
      <c r="F8984" s="29"/>
    </row>
    <row r="8985">
      <c r="A8985" s="28"/>
      <c r="B8985" s="29"/>
      <c r="C8985" s="29"/>
      <c r="E8985" s="29"/>
      <c r="F8985" s="29"/>
    </row>
    <row r="8986">
      <c r="A8986" s="28"/>
      <c r="B8986" s="29"/>
      <c r="C8986" s="29"/>
      <c r="E8986" s="29"/>
      <c r="F8986" s="29"/>
    </row>
    <row r="8987">
      <c r="A8987" s="28"/>
      <c r="B8987" s="29"/>
      <c r="C8987" s="29"/>
      <c r="E8987" s="29"/>
      <c r="F8987" s="29"/>
    </row>
    <row r="8988">
      <c r="A8988" s="28"/>
      <c r="B8988" s="29"/>
      <c r="C8988" s="29"/>
      <c r="E8988" s="29"/>
      <c r="F8988" s="29"/>
    </row>
    <row r="8989">
      <c r="A8989" s="28"/>
      <c r="B8989" s="29"/>
      <c r="C8989" s="29"/>
      <c r="E8989" s="29"/>
      <c r="F8989" s="29"/>
    </row>
    <row r="8990">
      <c r="A8990" s="28"/>
      <c r="B8990" s="29"/>
      <c r="C8990" s="29"/>
      <c r="E8990" s="29"/>
      <c r="F8990" s="29"/>
    </row>
    <row r="8991">
      <c r="A8991" s="28"/>
      <c r="B8991" s="29"/>
      <c r="C8991" s="29"/>
      <c r="E8991" s="29"/>
      <c r="F8991" s="29"/>
    </row>
    <row r="8992">
      <c r="A8992" s="28"/>
      <c r="B8992" s="29"/>
      <c r="C8992" s="29"/>
      <c r="E8992" s="29"/>
      <c r="F8992" s="29"/>
    </row>
    <row r="8993">
      <c r="A8993" s="28"/>
      <c r="B8993" s="29"/>
      <c r="C8993" s="29"/>
      <c r="E8993" s="29"/>
      <c r="F8993" s="29"/>
    </row>
    <row r="8994">
      <c r="A8994" s="28"/>
      <c r="B8994" s="29"/>
      <c r="C8994" s="29"/>
      <c r="E8994" s="29"/>
      <c r="F8994" s="29"/>
    </row>
    <row r="8995">
      <c r="A8995" s="28"/>
      <c r="B8995" s="29"/>
      <c r="C8995" s="29"/>
      <c r="E8995" s="29"/>
      <c r="F8995" s="29"/>
    </row>
    <row r="8996">
      <c r="A8996" s="28"/>
      <c r="B8996" s="29"/>
      <c r="C8996" s="29"/>
      <c r="E8996" s="29"/>
      <c r="F8996" s="29"/>
    </row>
    <row r="8997">
      <c r="A8997" s="28"/>
      <c r="B8997" s="29"/>
      <c r="C8997" s="29"/>
      <c r="E8997" s="29"/>
      <c r="F8997" s="29"/>
    </row>
    <row r="8998">
      <c r="A8998" s="28"/>
      <c r="B8998" s="29"/>
      <c r="C8998" s="29"/>
      <c r="E8998" s="29"/>
      <c r="F8998" s="29"/>
    </row>
    <row r="8999">
      <c r="A8999" s="28"/>
      <c r="B8999" s="29"/>
      <c r="C8999" s="29"/>
      <c r="E8999" s="29"/>
      <c r="F8999" s="29"/>
    </row>
    <row r="9000">
      <c r="A9000" s="28"/>
      <c r="B9000" s="29"/>
      <c r="C9000" s="29"/>
      <c r="E9000" s="29"/>
      <c r="F9000" s="29"/>
    </row>
    <row r="9001">
      <c r="A9001" s="28"/>
      <c r="B9001" s="29"/>
      <c r="C9001" s="29"/>
      <c r="E9001" s="29"/>
      <c r="F9001" s="29"/>
    </row>
    <row r="9002">
      <c r="A9002" s="28"/>
      <c r="B9002" s="29"/>
      <c r="C9002" s="29"/>
      <c r="E9002" s="29"/>
      <c r="F9002" s="29"/>
    </row>
    <row r="9003">
      <c r="A9003" s="28"/>
      <c r="B9003" s="29"/>
      <c r="C9003" s="29"/>
      <c r="E9003" s="29"/>
      <c r="F9003" s="29"/>
    </row>
    <row r="9004">
      <c r="A9004" s="28"/>
      <c r="B9004" s="29"/>
      <c r="C9004" s="29"/>
      <c r="E9004" s="29"/>
      <c r="F9004" s="29"/>
    </row>
    <row r="9005">
      <c r="A9005" s="28"/>
      <c r="B9005" s="29"/>
      <c r="C9005" s="29"/>
      <c r="E9005" s="29"/>
      <c r="F9005" s="29"/>
    </row>
    <row r="9006">
      <c r="A9006" s="28"/>
      <c r="B9006" s="29"/>
      <c r="C9006" s="29"/>
      <c r="E9006" s="29"/>
      <c r="F9006" s="29"/>
    </row>
    <row r="9007">
      <c r="A9007" s="28"/>
      <c r="B9007" s="29"/>
      <c r="C9007" s="29"/>
      <c r="E9007" s="29"/>
      <c r="F9007" s="29"/>
    </row>
    <row r="9008">
      <c r="A9008" s="28"/>
      <c r="B9008" s="29"/>
      <c r="C9008" s="29"/>
      <c r="E9008" s="29"/>
      <c r="F9008" s="29"/>
    </row>
    <row r="9009">
      <c r="A9009" s="28"/>
      <c r="B9009" s="29"/>
      <c r="C9009" s="29"/>
      <c r="E9009" s="29"/>
      <c r="F9009" s="29"/>
    </row>
    <row r="9010">
      <c r="A9010" s="28"/>
      <c r="B9010" s="29"/>
      <c r="C9010" s="29"/>
      <c r="E9010" s="29"/>
      <c r="F9010" s="29"/>
    </row>
    <row r="9011">
      <c r="A9011" s="28"/>
      <c r="B9011" s="29"/>
      <c r="C9011" s="29"/>
      <c r="E9011" s="29"/>
      <c r="F9011" s="29"/>
    </row>
    <row r="9012">
      <c r="A9012" s="28"/>
      <c r="B9012" s="29"/>
      <c r="C9012" s="29"/>
      <c r="E9012" s="29"/>
      <c r="F9012" s="29"/>
    </row>
    <row r="9013">
      <c r="A9013" s="28"/>
      <c r="B9013" s="29"/>
      <c r="C9013" s="29"/>
      <c r="E9013" s="29"/>
      <c r="F9013" s="29"/>
    </row>
    <row r="9014">
      <c r="A9014" s="28"/>
      <c r="B9014" s="29"/>
      <c r="C9014" s="29"/>
      <c r="E9014" s="29"/>
      <c r="F9014" s="29"/>
    </row>
    <row r="9015">
      <c r="A9015" s="28"/>
      <c r="B9015" s="29"/>
      <c r="C9015" s="29"/>
      <c r="E9015" s="29"/>
      <c r="F9015" s="29"/>
    </row>
    <row r="9016">
      <c r="A9016" s="28"/>
      <c r="B9016" s="29"/>
      <c r="C9016" s="29"/>
      <c r="E9016" s="29"/>
      <c r="F9016" s="29"/>
    </row>
    <row r="9017">
      <c r="A9017" s="28"/>
      <c r="B9017" s="29"/>
      <c r="C9017" s="29"/>
      <c r="E9017" s="29"/>
      <c r="F9017" s="29"/>
    </row>
    <row r="9018">
      <c r="A9018" s="28"/>
      <c r="B9018" s="29"/>
      <c r="C9018" s="29"/>
      <c r="E9018" s="29"/>
      <c r="F9018" s="29"/>
    </row>
    <row r="9019">
      <c r="A9019" s="28"/>
      <c r="B9019" s="29"/>
      <c r="C9019" s="29"/>
      <c r="E9019" s="29"/>
      <c r="F9019" s="29"/>
    </row>
    <row r="9020">
      <c r="A9020" s="28"/>
      <c r="B9020" s="29"/>
      <c r="C9020" s="29"/>
      <c r="E9020" s="29"/>
      <c r="F9020" s="29"/>
    </row>
    <row r="9021">
      <c r="A9021" s="28"/>
      <c r="B9021" s="29"/>
      <c r="C9021" s="29"/>
      <c r="E9021" s="29"/>
      <c r="F9021" s="29"/>
    </row>
    <row r="9022">
      <c r="A9022" s="28"/>
      <c r="B9022" s="29"/>
      <c r="C9022" s="29"/>
      <c r="E9022" s="29"/>
      <c r="F9022" s="29"/>
    </row>
    <row r="9023">
      <c r="A9023" s="28"/>
      <c r="B9023" s="29"/>
      <c r="C9023" s="29"/>
      <c r="E9023" s="29"/>
      <c r="F9023" s="29"/>
    </row>
    <row r="9024">
      <c r="A9024" s="28"/>
      <c r="B9024" s="29"/>
      <c r="C9024" s="29"/>
      <c r="E9024" s="29"/>
      <c r="F9024" s="29"/>
    </row>
    <row r="9025">
      <c r="A9025" s="28"/>
      <c r="B9025" s="29"/>
      <c r="C9025" s="29"/>
      <c r="E9025" s="29"/>
      <c r="F9025" s="29"/>
    </row>
    <row r="9026">
      <c r="A9026" s="28"/>
      <c r="B9026" s="29"/>
      <c r="C9026" s="29"/>
      <c r="E9026" s="29"/>
      <c r="F9026" s="29"/>
    </row>
    <row r="9027">
      <c r="A9027" s="28"/>
      <c r="B9027" s="29"/>
      <c r="C9027" s="29"/>
      <c r="E9027" s="29"/>
      <c r="F9027" s="29"/>
    </row>
    <row r="9028">
      <c r="A9028" s="28"/>
      <c r="B9028" s="29"/>
      <c r="C9028" s="29"/>
      <c r="E9028" s="29"/>
      <c r="F9028" s="29"/>
    </row>
    <row r="9029">
      <c r="A9029" s="28"/>
      <c r="B9029" s="29"/>
      <c r="C9029" s="29"/>
      <c r="E9029" s="29"/>
      <c r="F9029" s="29"/>
    </row>
    <row r="9030">
      <c r="A9030" s="28"/>
      <c r="B9030" s="29"/>
      <c r="C9030" s="29"/>
      <c r="E9030" s="29"/>
      <c r="F9030" s="29"/>
    </row>
    <row r="9031">
      <c r="A9031" s="28"/>
      <c r="B9031" s="29"/>
      <c r="C9031" s="29"/>
      <c r="E9031" s="29"/>
      <c r="F9031" s="29"/>
    </row>
    <row r="9032">
      <c r="A9032" s="28"/>
      <c r="B9032" s="29"/>
      <c r="C9032" s="29"/>
      <c r="E9032" s="29"/>
      <c r="F9032" s="29"/>
    </row>
    <row r="9033">
      <c r="A9033" s="28"/>
      <c r="B9033" s="29"/>
      <c r="C9033" s="29"/>
      <c r="E9033" s="29"/>
      <c r="F9033" s="29"/>
    </row>
    <row r="9034">
      <c r="A9034" s="28"/>
      <c r="B9034" s="29"/>
      <c r="C9034" s="29"/>
      <c r="E9034" s="29"/>
      <c r="F9034" s="29"/>
    </row>
    <row r="9035">
      <c r="A9035" s="28"/>
      <c r="B9035" s="29"/>
      <c r="C9035" s="29"/>
      <c r="E9035" s="29"/>
      <c r="F9035" s="29"/>
    </row>
    <row r="9036">
      <c r="A9036" s="28"/>
      <c r="B9036" s="29"/>
      <c r="C9036" s="29"/>
      <c r="E9036" s="29"/>
      <c r="F9036" s="29"/>
    </row>
    <row r="9037">
      <c r="A9037" s="28"/>
      <c r="B9037" s="29"/>
      <c r="C9037" s="29"/>
      <c r="E9037" s="29"/>
      <c r="F9037" s="29"/>
    </row>
    <row r="9038">
      <c r="A9038" s="28"/>
      <c r="B9038" s="29"/>
      <c r="C9038" s="29"/>
      <c r="E9038" s="29"/>
      <c r="F9038" s="29"/>
    </row>
    <row r="9039">
      <c r="A9039" s="28"/>
      <c r="B9039" s="29"/>
      <c r="C9039" s="29"/>
      <c r="E9039" s="29"/>
      <c r="F9039" s="29"/>
    </row>
    <row r="9040">
      <c r="A9040" s="28"/>
      <c r="B9040" s="29"/>
      <c r="C9040" s="29"/>
      <c r="E9040" s="29"/>
      <c r="F9040" s="29"/>
    </row>
    <row r="9041">
      <c r="A9041" s="28"/>
      <c r="B9041" s="29"/>
      <c r="C9041" s="29"/>
      <c r="E9041" s="29"/>
      <c r="F9041" s="29"/>
    </row>
    <row r="9042">
      <c r="A9042" s="28"/>
      <c r="B9042" s="29"/>
      <c r="C9042" s="29"/>
      <c r="E9042" s="29"/>
      <c r="F9042" s="29"/>
    </row>
    <row r="9043">
      <c r="A9043" s="28"/>
      <c r="B9043" s="29"/>
      <c r="C9043" s="29"/>
      <c r="E9043" s="29"/>
      <c r="F9043" s="29"/>
    </row>
    <row r="9044">
      <c r="A9044" s="28"/>
      <c r="B9044" s="29"/>
      <c r="C9044" s="29"/>
      <c r="E9044" s="29"/>
      <c r="F9044" s="29"/>
    </row>
    <row r="9045">
      <c r="A9045" s="28"/>
      <c r="B9045" s="29"/>
      <c r="C9045" s="29"/>
      <c r="E9045" s="29"/>
      <c r="F9045" s="29"/>
    </row>
    <row r="9046">
      <c r="A9046" s="28"/>
      <c r="B9046" s="29"/>
      <c r="C9046" s="29"/>
      <c r="E9046" s="29"/>
      <c r="F9046" s="29"/>
    </row>
    <row r="9047">
      <c r="A9047" s="28"/>
      <c r="B9047" s="29"/>
      <c r="C9047" s="29"/>
      <c r="E9047" s="29"/>
      <c r="F9047" s="29"/>
    </row>
    <row r="9048">
      <c r="A9048" s="28"/>
      <c r="B9048" s="29"/>
      <c r="C9048" s="29"/>
      <c r="E9048" s="29"/>
      <c r="F9048" s="29"/>
    </row>
    <row r="9049">
      <c r="A9049" s="28"/>
      <c r="B9049" s="29"/>
      <c r="C9049" s="29"/>
      <c r="E9049" s="29"/>
      <c r="F9049" s="29"/>
    </row>
    <row r="9050">
      <c r="A9050" s="28"/>
      <c r="B9050" s="29"/>
      <c r="C9050" s="29"/>
      <c r="E9050" s="29"/>
      <c r="F9050" s="29"/>
    </row>
    <row r="9051">
      <c r="A9051" s="28"/>
      <c r="B9051" s="29"/>
      <c r="C9051" s="29"/>
      <c r="E9051" s="29"/>
      <c r="F9051" s="29"/>
    </row>
    <row r="9052">
      <c r="A9052" s="28"/>
      <c r="B9052" s="29"/>
      <c r="C9052" s="29"/>
      <c r="E9052" s="29"/>
      <c r="F9052" s="29"/>
    </row>
    <row r="9053">
      <c r="A9053" s="28"/>
      <c r="B9053" s="29"/>
      <c r="C9053" s="29"/>
      <c r="E9053" s="29"/>
      <c r="F9053" s="29"/>
    </row>
    <row r="9054">
      <c r="A9054" s="28"/>
      <c r="B9054" s="29"/>
      <c r="C9054" s="29"/>
      <c r="E9054" s="29"/>
      <c r="F9054" s="29"/>
    </row>
    <row r="9055">
      <c r="A9055" s="28"/>
      <c r="B9055" s="29"/>
      <c r="C9055" s="29"/>
      <c r="E9055" s="29"/>
      <c r="F9055" s="29"/>
    </row>
    <row r="9056">
      <c r="A9056" s="28"/>
      <c r="B9056" s="29"/>
      <c r="C9056" s="29"/>
      <c r="E9056" s="29"/>
      <c r="F9056" s="29"/>
    </row>
    <row r="9057">
      <c r="A9057" s="28"/>
      <c r="B9057" s="29"/>
      <c r="C9057" s="29"/>
      <c r="E9057" s="29"/>
      <c r="F9057" s="29"/>
    </row>
    <row r="9058">
      <c r="A9058" s="28"/>
      <c r="B9058" s="29"/>
      <c r="C9058" s="29"/>
      <c r="E9058" s="29"/>
      <c r="F9058" s="29"/>
    </row>
    <row r="9059">
      <c r="A9059" s="28"/>
      <c r="B9059" s="29"/>
      <c r="C9059" s="29"/>
      <c r="E9059" s="29"/>
      <c r="F9059" s="29"/>
    </row>
    <row r="9060">
      <c r="A9060" s="28"/>
      <c r="B9060" s="29"/>
      <c r="C9060" s="29"/>
      <c r="E9060" s="29"/>
      <c r="F9060" s="29"/>
    </row>
    <row r="9061">
      <c r="A9061" s="28"/>
      <c r="B9061" s="29"/>
      <c r="C9061" s="29"/>
      <c r="E9061" s="29"/>
      <c r="F9061" s="29"/>
    </row>
    <row r="9062">
      <c r="A9062" s="28"/>
      <c r="B9062" s="29"/>
      <c r="C9062" s="29"/>
      <c r="E9062" s="29"/>
      <c r="F9062" s="29"/>
    </row>
    <row r="9063">
      <c r="A9063" s="28"/>
      <c r="B9063" s="29"/>
      <c r="C9063" s="29"/>
      <c r="E9063" s="29"/>
      <c r="F9063" s="29"/>
    </row>
    <row r="9064">
      <c r="A9064" s="28"/>
      <c r="B9064" s="29"/>
      <c r="C9064" s="29"/>
      <c r="E9064" s="29"/>
      <c r="F9064" s="29"/>
    </row>
    <row r="9065">
      <c r="A9065" s="28"/>
      <c r="B9065" s="29"/>
      <c r="C9065" s="29"/>
      <c r="E9065" s="29"/>
      <c r="F9065" s="29"/>
    </row>
    <row r="9066">
      <c r="A9066" s="28"/>
      <c r="B9066" s="29"/>
      <c r="C9066" s="29"/>
      <c r="E9066" s="29"/>
      <c r="F9066" s="29"/>
    </row>
    <row r="9067">
      <c r="A9067" s="28"/>
      <c r="B9067" s="29"/>
      <c r="C9067" s="29"/>
      <c r="E9067" s="29"/>
      <c r="F9067" s="29"/>
    </row>
    <row r="9068">
      <c r="A9068" s="28"/>
      <c r="B9068" s="29"/>
      <c r="C9068" s="29"/>
      <c r="E9068" s="29"/>
      <c r="F9068" s="29"/>
    </row>
    <row r="9069">
      <c r="A9069" s="28"/>
      <c r="B9069" s="29"/>
      <c r="C9069" s="29"/>
      <c r="E9069" s="29"/>
      <c r="F9069" s="29"/>
    </row>
    <row r="9070">
      <c r="A9070" s="28"/>
      <c r="B9070" s="29"/>
      <c r="C9070" s="29"/>
      <c r="E9070" s="29"/>
      <c r="F9070" s="29"/>
    </row>
    <row r="9071">
      <c r="A9071" s="28"/>
      <c r="B9071" s="29"/>
      <c r="C9071" s="29"/>
      <c r="E9071" s="29"/>
      <c r="F9071" s="29"/>
    </row>
    <row r="9072">
      <c r="A9072" s="28"/>
      <c r="B9072" s="29"/>
      <c r="C9072" s="29"/>
      <c r="E9072" s="29"/>
      <c r="F9072" s="29"/>
    </row>
    <row r="9073">
      <c r="A9073" s="28"/>
      <c r="B9073" s="29"/>
      <c r="C9073" s="29"/>
      <c r="E9073" s="29"/>
      <c r="F9073" s="29"/>
    </row>
    <row r="9074">
      <c r="A9074" s="28"/>
      <c r="B9074" s="29"/>
      <c r="C9074" s="29"/>
      <c r="E9074" s="29"/>
      <c r="F9074" s="29"/>
    </row>
    <row r="9075">
      <c r="A9075" s="28"/>
      <c r="B9075" s="29"/>
      <c r="C9075" s="29"/>
      <c r="E9075" s="29"/>
      <c r="F9075" s="29"/>
    </row>
    <row r="9076">
      <c r="A9076" s="28"/>
      <c r="B9076" s="29"/>
      <c r="C9076" s="29"/>
      <c r="E9076" s="29"/>
      <c r="F9076" s="29"/>
    </row>
    <row r="9077">
      <c r="A9077" s="28"/>
      <c r="B9077" s="29"/>
      <c r="C9077" s="29"/>
      <c r="E9077" s="29"/>
      <c r="F9077" s="29"/>
    </row>
    <row r="9078">
      <c r="A9078" s="28"/>
      <c r="B9078" s="29"/>
      <c r="C9078" s="29"/>
      <c r="E9078" s="29"/>
      <c r="F9078" s="29"/>
    </row>
    <row r="9079">
      <c r="A9079" s="28"/>
      <c r="B9079" s="29"/>
      <c r="C9079" s="29"/>
      <c r="E9079" s="29"/>
      <c r="F9079" s="29"/>
    </row>
    <row r="9080">
      <c r="A9080" s="28"/>
      <c r="B9080" s="29"/>
      <c r="C9080" s="29"/>
      <c r="E9080" s="29"/>
      <c r="F9080" s="29"/>
    </row>
    <row r="9081">
      <c r="A9081" s="28"/>
      <c r="B9081" s="29"/>
      <c r="C9081" s="29"/>
      <c r="E9081" s="29"/>
      <c r="F9081" s="29"/>
    </row>
    <row r="9082">
      <c r="A9082" s="28"/>
      <c r="B9082" s="29"/>
      <c r="C9082" s="29"/>
      <c r="E9082" s="29"/>
      <c r="F9082" s="29"/>
    </row>
    <row r="9083">
      <c r="A9083" s="28"/>
      <c r="B9083" s="29"/>
      <c r="C9083" s="29"/>
      <c r="E9083" s="29"/>
      <c r="F9083" s="29"/>
    </row>
    <row r="9084">
      <c r="A9084" s="28"/>
      <c r="B9084" s="29"/>
      <c r="C9084" s="29"/>
      <c r="E9084" s="29"/>
      <c r="F9084" s="29"/>
    </row>
    <row r="9085">
      <c r="A9085" s="28"/>
      <c r="B9085" s="29"/>
      <c r="C9085" s="29"/>
      <c r="E9085" s="29"/>
      <c r="F9085" s="29"/>
    </row>
    <row r="9086">
      <c r="A9086" s="28"/>
      <c r="B9086" s="29"/>
      <c r="C9086" s="29"/>
      <c r="E9086" s="29"/>
      <c r="F9086" s="29"/>
    </row>
    <row r="9087">
      <c r="A9087" s="28"/>
      <c r="B9087" s="29"/>
      <c r="C9087" s="29"/>
      <c r="E9087" s="29"/>
      <c r="F9087" s="29"/>
    </row>
    <row r="9088">
      <c r="A9088" s="28"/>
      <c r="B9088" s="29"/>
      <c r="C9088" s="29"/>
      <c r="E9088" s="29"/>
      <c r="F9088" s="29"/>
    </row>
    <row r="9089">
      <c r="A9089" s="28"/>
      <c r="B9089" s="29"/>
      <c r="C9089" s="29"/>
      <c r="E9089" s="29"/>
      <c r="F9089" s="29"/>
    </row>
    <row r="9090">
      <c r="A9090" s="28"/>
      <c r="B9090" s="29"/>
      <c r="C9090" s="29"/>
      <c r="E9090" s="29"/>
      <c r="F9090" s="29"/>
    </row>
    <row r="9091">
      <c r="A9091" s="28"/>
      <c r="B9091" s="29"/>
      <c r="C9091" s="29"/>
      <c r="E9091" s="29"/>
      <c r="F9091" s="29"/>
    </row>
    <row r="9092">
      <c r="A9092" s="28"/>
      <c r="B9092" s="29"/>
      <c r="C9092" s="29"/>
      <c r="E9092" s="29"/>
      <c r="F9092" s="29"/>
    </row>
    <row r="9093">
      <c r="A9093" s="28"/>
      <c r="B9093" s="29"/>
      <c r="C9093" s="29"/>
      <c r="E9093" s="29"/>
      <c r="F9093" s="29"/>
    </row>
    <row r="9094">
      <c r="A9094" s="28"/>
      <c r="B9094" s="29"/>
      <c r="C9094" s="29"/>
      <c r="E9094" s="29"/>
      <c r="F9094" s="29"/>
    </row>
    <row r="9095">
      <c r="A9095" s="28"/>
      <c r="B9095" s="29"/>
      <c r="C9095" s="29"/>
      <c r="E9095" s="29"/>
      <c r="F9095" s="29"/>
    </row>
    <row r="9096">
      <c r="A9096" s="28"/>
      <c r="B9096" s="29"/>
      <c r="C9096" s="29"/>
      <c r="E9096" s="29"/>
      <c r="F9096" s="29"/>
    </row>
    <row r="9097">
      <c r="A9097" s="28"/>
      <c r="B9097" s="29"/>
      <c r="C9097" s="29"/>
      <c r="E9097" s="29"/>
      <c r="F9097" s="29"/>
    </row>
    <row r="9098">
      <c r="A9098" s="28"/>
      <c r="B9098" s="29"/>
      <c r="C9098" s="29"/>
      <c r="E9098" s="29"/>
      <c r="F9098" s="29"/>
    </row>
    <row r="9099">
      <c r="A9099" s="28"/>
      <c r="B9099" s="29"/>
      <c r="C9099" s="29"/>
      <c r="E9099" s="29"/>
      <c r="F9099" s="29"/>
    </row>
    <row r="9100">
      <c r="A9100" s="28"/>
      <c r="B9100" s="29"/>
      <c r="C9100" s="29"/>
      <c r="E9100" s="29"/>
      <c r="F9100" s="29"/>
    </row>
    <row r="9101">
      <c r="A9101" s="28"/>
      <c r="B9101" s="29"/>
      <c r="C9101" s="29"/>
      <c r="E9101" s="29"/>
      <c r="F9101" s="29"/>
    </row>
    <row r="9102">
      <c r="A9102" s="28"/>
      <c r="B9102" s="29"/>
      <c r="C9102" s="29"/>
      <c r="E9102" s="29"/>
      <c r="F9102" s="29"/>
    </row>
    <row r="9103">
      <c r="A9103" s="28"/>
      <c r="B9103" s="29"/>
      <c r="C9103" s="29"/>
      <c r="E9103" s="29"/>
      <c r="F9103" s="29"/>
    </row>
    <row r="9104">
      <c r="A9104" s="28"/>
      <c r="B9104" s="29"/>
      <c r="C9104" s="29"/>
      <c r="E9104" s="29"/>
      <c r="F9104" s="29"/>
    </row>
    <row r="9105">
      <c r="A9105" s="28"/>
      <c r="B9105" s="29"/>
      <c r="C9105" s="29"/>
      <c r="E9105" s="29"/>
      <c r="F9105" s="29"/>
    </row>
    <row r="9106">
      <c r="A9106" s="28"/>
      <c r="B9106" s="29"/>
      <c r="C9106" s="29"/>
      <c r="E9106" s="29"/>
      <c r="F9106" s="29"/>
    </row>
    <row r="9107">
      <c r="A9107" s="28"/>
      <c r="B9107" s="29"/>
      <c r="C9107" s="29"/>
      <c r="E9107" s="29"/>
      <c r="F9107" s="29"/>
    </row>
    <row r="9108">
      <c r="A9108" s="28"/>
      <c r="B9108" s="29"/>
      <c r="C9108" s="29"/>
      <c r="E9108" s="29"/>
      <c r="F9108" s="29"/>
    </row>
    <row r="9109">
      <c r="A9109" s="28"/>
      <c r="B9109" s="29"/>
      <c r="C9109" s="29"/>
      <c r="E9109" s="29"/>
      <c r="F9109" s="29"/>
    </row>
    <row r="9110">
      <c r="A9110" s="28"/>
      <c r="B9110" s="29"/>
      <c r="C9110" s="29"/>
      <c r="E9110" s="29"/>
      <c r="F9110" s="29"/>
    </row>
    <row r="9111">
      <c r="A9111" s="28"/>
      <c r="B9111" s="29"/>
      <c r="C9111" s="29"/>
      <c r="E9111" s="29"/>
      <c r="F9111" s="29"/>
    </row>
    <row r="9112">
      <c r="A9112" s="28"/>
      <c r="B9112" s="29"/>
      <c r="C9112" s="29"/>
      <c r="E9112" s="29"/>
      <c r="F9112" s="29"/>
    </row>
    <row r="9113">
      <c r="A9113" s="28"/>
      <c r="B9113" s="29"/>
      <c r="C9113" s="29"/>
      <c r="E9113" s="29"/>
      <c r="F9113" s="29"/>
    </row>
    <row r="9114">
      <c r="A9114" s="28"/>
      <c r="B9114" s="29"/>
      <c r="C9114" s="29"/>
      <c r="E9114" s="29"/>
      <c r="F9114" s="29"/>
    </row>
    <row r="9115">
      <c r="A9115" s="28"/>
      <c r="B9115" s="29"/>
      <c r="C9115" s="29"/>
      <c r="E9115" s="29"/>
      <c r="F9115" s="29"/>
    </row>
    <row r="9116">
      <c r="A9116" s="28"/>
      <c r="B9116" s="29"/>
      <c r="C9116" s="29"/>
      <c r="E9116" s="29"/>
      <c r="F9116" s="29"/>
    </row>
    <row r="9117">
      <c r="A9117" s="28"/>
      <c r="B9117" s="29"/>
      <c r="C9117" s="29"/>
      <c r="E9117" s="29"/>
      <c r="F9117" s="29"/>
    </row>
    <row r="9118">
      <c r="A9118" s="28"/>
      <c r="B9118" s="29"/>
      <c r="C9118" s="29"/>
      <c r="E9118" s="29"/>
      <c r="F9118" s="29"/>
    </row>
    <row r="9119">
      <c r="A9119" s="28"/>
      <c r="B9119" s="29"/>
      <c r="C9119" s="29"/>
      <c r="E9119" s="29"/>
      <c r="F9119" s="29"/>
    </row>
    <row r="9120">
      <c r="A9120" s="28"/>
      <c r="B9120" s="29"/>
      <c r="C9120" s="29"/>
      <c r="E9120" s="29"/>
      <c r="F9120" s="29"/>
    </row>
    <row r="9121">
      <c r="A9121" s="28"/>
      <c r="B9121" s="29"/>
      <c r="C9121" s="29"/>
      <c r="E9121" s="29"/>
      <c r="F9121" s="29"/>
    </row>
    <row r="9122">
      <c r="A9122" s="28"/>
      <c r="B9122" s="29"/>
      <c r="C9122" s="29"/>
      <c r="E9122" s="29"/>
      <c r="F9122" s="29"/>
    </row>
    <row r="9123">
      <c r="A9123" s="28"/>
      <c r="B9123" s="29"/>
      <c r="C9123" s="29"/>
      <c r="E9123" s="29"/>
      <c r="F9123" s="29"/>
    </row>
    <row r="9124">
      <c r="A9124" s="28"/>
      <c r="B9124" s="29"/>
      <c r="C9124" s="29"/>
      <c r="E9124" s="29"/>
      <c r="F9124" s="29"/>
    </row>
    <row r="9125">
      <c r="A9125" s="28"/>
      <c r="B9125" s="29"/>
      <c r="C9125" s="29"/>
      <c r="E9125" s="29"/>
      <c r="F9125" s="29"/>
    </row>
    <row r="9126">
      <c r="A9126" s="28"/>
      <c r="B9126" s="29"/>
      <c r="C9126" s="29"/>
      <c r="E9126" s="29"/>
      <c r="F9126" s="29"/>
    </row>
    <row r="9127">
      <c r="A9127" s="28"/>
      <c r="B9127" s="29"/>
      <c r="C9127" s="29"/>
      <c r="E9127" s="29"/>
      <c r="F9127" s="29"/>
    </row>
    <row r="9128">
      <c r="A9128" s="28"/>
      <c r="B9128" s="29"/>
      <c r="C9128" s="29"/>
      <c r="E9128" s="29"/>
      <c r="F9128" s="29"/>
    </row>
    <row r="9129">
      <c r="A9129" s="28"/>
      <c r="B9129" s="29"/>
      <c r="C9129" s="29"/>
      <c r="E9129" s="29"/>
      <c r="F9129" s="29"/>
    </row>
    <row r="9130">
      <c r="A9130" s="28"/>
      <c r="B9130" s="29"/>
      <c r="C9130" s="29"/>
      <c r="E9130" s="29"/>
      <c r="F9130" s="29"/>
    </row>
    <row r="9131">
      <c r="A9131" s="28"/>
      <c r="B9131" s="29"/>
      <c r="C9131" s="29"/>
      <c r="E9131" s="29"/>
      <c r="F9131" s="29"/>
    </row>
    <row r="9132">
      <c r="A9132" s="28"/>
      <c r="B9132" s="29"/>
      <c r="C9132" s="29"/>
      <c r="E9132" s="29"/>
      <c r="F9132" s="29"/>
    </row>
    <row r="9133">
      <c r="A9133" s="28"/>
      <c r="B9133" s="29"/>
      <c r="C9133" s="29"/>
      <c r="E9133" s="29"/>
      <c r="F9133" s="29"/>
    </row>
    <row r="9134">
      <c r="A9134" s="28"/>
      <c r="B9134" s="29"/>
      <c r="C9134" s="29"/>
      <c r="E9134" s="29"/>
      <c r="F9134" s="29"/>
    </row>
    <row r="9135">
      <c r="A9135" s="28"/>
      <c r="B9135" s="29"/>
      <c r="C9135" s="29"/>
      <c r="E9135" s="29"/>
      <c r="F9135" s="29"/>
    </row>
    <row r="9136">
      <c r="A9136" s="28"/>
      <c r="B9136" s="29"/>
      <c r="C9136" s="29"/>
      <c r="E9136" s="29"/>
      <c r="F9136" s="29"/>
    </row>
    <row r="9137">
      <c r="A9137" s="28"/>
      <c r="B9137" s="29"/>
      <c r="C9137" s="29"/>
      <c r="E9137" s="29"/>
      <c r="F9137" s="29"/>
    </row>
    <row r="9138">
      <c r="A9138" s="28"/>
      <c r="B9138" s="29"/>
      <c r="C9138" s="29"/>
      <c r="E9138" s="29"/>
      <c r="F9138" s="29"/>
    </row>
    <row r="9139">
      <c r="A9139" s="28"/>
      <c r="B9139" s="29"/>
      <c r="C9139" s="29"/>
      <c r="E9139" s="29"/>
      <c r="F9139" s="29"/>
    </row>
    <row r="9140">
      <c r="A9140" s="28"/>
      <c r="B9140" s="29"/>
      <c r="C9140" s="29"/>
      <c r="E9140" s="29"/>
      <c r="F9140" s="29"/>
    </row>
    <row r="9141">
      <c r="A9141" s="28"/>
      <c r="B9141" s="29"/>
      <c r="C9141" s="29"/>
      <c r="E9141" s="29"/>
      <c r="F9141" s="29"/>
    </row>
    <row r="9142">
      <c r="A9142" s="28"/>
      <c r="B9142" s="29"/>
      <c r="C9142" s="29"/>
      <c r="E9142" s="29"/>
      <c r="F9142" s="29"/>
    </row>
    <row r="9143">
      <c r="A9143" s="28"/>
      <c r="B9143" s="29"/>
      <c r="C9143" s="29"/>
      <c r="E9143" s="29"/>
      <c r="F9143" s="29"/>
    </row>
    <row r="9144">
      <c r="A9144" s="28"/>
      <c r="B9144" s="29"/>
      <c r="C9144" s="29"/>
      <c r="E9144" s="29"/>
      <c r="F9144" s="29"/>
    </row>
    <row r="9145">
      <c r="A9145" s="28"/>
      <c r="B9145" s="29"/>
      <c r="C9145" s="29"/>
      <c r="E9145" s="29"/>
      <c r="F9145" s="29"/>
    </row>
    <row r="9146">
      <c r="A9146" s="28"/>
      <c r="B9146" s="29"/>
      <c r="C9146" s="29"/>
      <c r="E9146" s="29"/>
      <c r="F9146" s="29"/>
    </row>
    <row r="9147">
      <c r="A9147" s="28"/>
      <c r="B9147" s="29"/>
      <c r="C9147" s="29"/>
      <c r="E9147" s="29"/>
      <c r="F9147" s="29"/>
    </row>
    <row r="9148">
      <c r="A9148" s="28"/>
      <c r="B9148" s="29"/>
      <c r="C9148" s="29"/>
      <c r="E9148" s="29"/>
      <c r="F9148" s="29"/>
    </row>
    <row r="9149">
      <c r="A9149" s="28"/>
      <c r="B9149" s="29"/>
      <c r="C9149" s="29"/>
      <c r="E9149" s="29"/>
      <c r="F9149" s="29"/>
    </row>
    <row r="9150">
      <c r="A9150" s="28"/>
      <c r="B9150" s="29"/>
      <c r="C9150" s="29"/>
      <c r="E9150" s="29"/>
      <c r="F9150" s="29"/>
    </row>
    <row r="9151">
      <c r="A9151" s="28"/>
      <c r="B9151" s="29"/>
      <c r="C9151" s="29"/>
      <c r="E9151" s="29"/>
      <c r="F9151" s="29"/>
    </row>
    <row r="9152">
      <c r="A9152" s="28"/>
      <c r="B9152" s="29"/>
      <c r="C9152" s="29"/>
      <c r="E9152" s="29"/>
      <c r="F9152" s="29"/>
    </row>
    <row r="9153">
      <c r="A9153" s="28"/>
      <c r="B9153" s="29"/>
      <c r="C9153" s="29"/>
      <c r="E9153" s="29"/>
      <c r="F9153" s="29"/>
    </row>
    <row r="9154">
      <c r="A9154" s="28"/>
      <c r="B9154" s="29"/>
      <c r="C9154" s="29"/>
      <c r="E9154" s="29"/>
      <c r="F9154" s="29"/>
    </row>
    <row r="9155">
      <c r="A9155" s="28"/>
      <c r="B9155" s="29"/>
      <c r="C9155" s="29"/>
      <c r="E9155" s="29"/>
      <c r="F9155" s="29"/>
    </row>
    <row r="9156">
      <c r="A9156" s="28"/>
      <c r="B9156" s="29"/>
      <c r="C9156" s="29"/>
      <c r="E9156" s="29"/>
      <c r="F9156" s="29"/>
    </row>
    <row r="9157">
      <c r="A9157" s="28"/>
      <c r="B9157" s="29"/>
      <c r="C9157" s="29"/>
      <c r="E9157" s="29"/>
      <c r="F9157" s="29"/>
    </row>
    <row r="9158">
      <c r="A9158" s="28"/>
      <c r="B9158" s="29"/>
      <c r="C9158" s="29"/>
      <c r="E9158" s="29"/>
      <c r="F9158" s="29"/>
    </row>
    <row r="9159">
      <c r="A9159" s="28"/>
      <c r="B9159" s="29"/>
      <c r="C9159" s="29"/>
      <c r="E9159" s="29"/>
      <c r="F9159" s="29"/>
    </row>
    <row r="9160">
      <c r="A9160" s="28"/>
      <c r="B9160" s="29"/>
      <c r="C9160" s="29"/>
      <c r="E9160" s="29"/>
      <c r="F9160" s="29"/>
    </row>
    <row r="9161">
      <c r="A9161" s="28"/>
      <c r="B9161" s="29"/>
      <c r="C9161" s="29"/>
      <c r="E9161" s="29"/>
      <c r="F9161" s="29"/>
    </row>
    <row r="9162">
      <c r="A9162" s="28"/>
      <c r="B9162" s="29"/>
      <c r="C9162" s="29"/>
      <c r="E9162" s="29"/>
      <c r="F9162" s="29"/>
    </row>
    <row r="9163">
      <c r="A9163" s="28"/>
      <c r="B9163" s="29"/>
      <c r="C9163" s="29"/>
      <c r="E9163" s="29"/>
      <c r="F9163" s="29"/>
    </row>
    <row r="9164">
      <c r="A9164" s="28"/>
      <c r="B9164" s="29"/>
      <c r="C9164" s="29"/>
      <c r="E9164" s="29"/>
      <c r="F9164" s="29"/>
    </row>
    <row r="9165">
      <c r="A9165" s="28"/>
      <c r="B9165" s="29"/>
      <c r="C9165" s="29"/>
      <c r="E9165" s="29"/>
      <c r="F9165" s="29"/>
    </row>
    <row r="9166">
      <c r="A9166" s="28"/>
      <c r="B9166" s="29"/>
      <c r="C9166" s="29"/>
      <c r="E9166" s="29"/>
      <c r="F9166" s="29"/>
    </row>
    <row r="9167">
      <c r="A9167" s="28"/>
      <c r="B9167" s="29"/>
      <c r="C9167" s="29"/>
      <c r="E9167" s="29"/>
      <c r="F9167" s="29"/>
    </row>
    <row r="9168">
      <c r="A9168" s="28"/>
      <c r="B9168" s="29"/>
      <c r="C9168" s="29"/>
      <c r="E9168" s="29"/>
      <c r="F9168" s="29"/>
    </row>
    <row r="9169">
      <c r="A9169" s="28"/>
      <c r="B9169" s="29"/>
      <c r="C9169" s="29"/>
      <c r="E9169" s="29"/>
      <c r="F9169" s="29"/>
    </row>
    <row r="9170">
      <c r="A9170" s="28"/>
      <c r="B9170" s="29"/>
      <c r="C9170" s="29"/>
      <c r="E9170" s="29"/>
      <c r="F9170" s="29"/>
    </row>
    <row r="9171">
      <c r="A9171" s="28"/>
      <c r="B9171" s="29"/>
      <c r="C9171" s="29"/>
      <c r="E9171" s="29"/>
      <c r="F9171" s="29"/>
    </row>
    <row r="9172">
      <c r="A9172" s="28"/>
      <c r="B9172" s="29"/>
      <c r="C9172" s="29"/>
      <c r="E9172" s="29"/>
      <c r="F9172" s="29"/>
    </row>
    <row r="9173">
      <c r="A9173" s="28"/>
      <c r="B9173" s="29"/>
      <c r="C9173" s="29"/>
      <c r="E9173" s="29"/>
      <c r="F9173" s="29"/>
    </row>
    <row r="9174">
      <c r="A9174" s="28"/>
      <c r="B9174" s="29"/>
      <c r="C9174" s="29"/>
      <c r="E9174" s="29"/>
      <c r="F9174" s="29"/>
    </row>
    <row r="9175">
      <c r="A9175" s="28"/>
      <c r="B9175" s="29"/>
      <c r="C9175" s="29"/>
      <c r="E9175" s="29"/>
      <c r="F9175" s="29"/>
    </row>
    <row r="9176">
      <c r="A9176" s="28"/>
      <c r="B9176" s="29"/>
      <c r="C9176" s="29"/>
      <c r="E9176" s="29"/>
      <c r="F9176" s="29"/>
    </row>
    <row r="9177">
      <c r="A9177" s="28"/>
      <c r="B9177" s="29"/>
      <c r="C9177" s="29"/>
      <c r="E9177" s="29"/>
      <c r="F9177" s="29"/>
    </row>
    <row r="9178">
      <c r="A9178" s="28"/>
      <c r="B9178" s="29"/>
      <c r="C9178" s="29"/>
      <c r="E9178" s="29"/>
      <c r="F9178" s="29"/>
    </row>
    <row r="9179">
      <c r="A9179" s="28"/>
      <c r="B9179" s="29"/>
      <c r="C9179" s="29"/>
      <c r="E9179" s="29"/>
      <c r="F9179" s="29"/>
    </row>
    <row r="9180">
      <c r="A9180" s="28"/>
      <c r="B9180" s="29"/>
      <c r="C9180" s="29"/>
      <c r="E9180" s="29"/>
      <c r="F9180" s="29"/>
    </row>
    <row r="9181">
      <c r="A9181" s="28"/>
      <c r="B9181" s="29"/>
      <c r="C9181" s="29"/>
      <c r="E9181" s="29"/>
      <c r="F9181" s="29"/>
    </row>
    <row r="9182">
      <c r="A9182" s="28"/>
      <c r="B9182" s="29"/>
      <c r="C9182" s="29"/>
      <c r="E9182" s="29"/>
      <c r="F9182" s="29"/>
    </row>
    <row r="9183">
      <c r="A9183" s="28"/>
      <c r="B9183" s="29"/>
      <c r="C9183" s="29"/>
      <c r="E9183" s="29"/>
      <c r="F9183" s="29"/>
    </row>
    <row r="9184">
      <c r="A9184" s="28"/>
      <c r="B9184" s="29"/>
      <c r="C9184" s="29"/>
      <c r="E9184" s="29"/>
      <c r="F9184" s="29"/>
    </row>
    <row r="9185">
      <c r="A9185" s="28"/>
      <c r="B9185" s="29"/>
      <c r="C9185" s="29"/>
      <c r="E9185" s="29"/>
      <c r="F9185" s="29"/>
    </row>
    <row r="9186">
      <c r="A9186" s="28"/>
      <c r="B9186" s="29"/>
      <c r="C9186" s="29"/>
      <c r="E9186" s="29"/>
      <c r="F9186" s="29"/>
    </row>
    <row r="9187">
      <c r="A9187" s="28"/>
      <c r="B9187" s="29"/>
      <c r="C9187" s="29"/>
      <c r="E9187" s="29"/>
      <c r="F9187" s="29"/>
    </row>
    <row r="9188">
      <c r="A9188" s="28"/>
      <c r="B9188" s="29"/>
      <c r="C9188" s="29"/>
      <c r="E9188" s="29"/>
      <c r="F9188" s="29"/>
    </row>
    <row r="9189">
      <c r="A9189" s="28"/>
      <c r="B9189" s="29"/>
      <c r="C9189" s="29"/>
      <c r="E9189" s="29"/>
      <c r="F9189" s="29"/>
    </row>
    <row r="9190">
      <c r="A9190" s="28"/>
      <c r="B9190" s="29"/>
      <c r="C9190" s="29"/>
      <c r="E9190" s="29"/>
      <c r="F9190" s="29"/>
    </row>
    <row r="9191">
      <c r="A9191" s="28"/>
      <c r="B9191" s="29"/>
      <c r="C9191" s="29"/>
      <c r="E9191" s="29"/>
      <c r="F9191" s="29"/>
    </row>
    <row r="9192">
      <c r="A9192" s="28"/>
      <c r="B9192" s="29"/>
      <c r="C9192" s="29"/>
      <c r="E9192" s="29"/>
      <c r="F9192" s="29"/>
    </row>
    <row r="9193">
      <c r="A9193" s="28"/>
      <c r="B9193" s="29"/>
      <c r="C9193" s="29"/>
      <c r="E9193" s="29"/>
      <c r="F9193" s="29"/>
    </row>
    <row r="9194">
      <c r="A9194" s="28"/>
      <c r="B9194" s="29"/>
      <c r="C9194" s="29"/>
      <c r="E9194" s="29"/>
      <c r="F9194" s="29"/>
    </row>
    <row r="9195">
      <c r="A9195" s="28"/>
      <c r="B9195" s="29"/>
      <c r="C9195" s="29"/>
      <c r="E9195" s="29"/>
      <c r="F9195" s="29"/>
    </row>
    <row r="9196">
      <c r="A9196" s="28"/>
      <c r="B9196" s="29"/>
      <c r="C9196" s="29"/>
      <c r="E9196" s="29"/>
      <c r="F9196" s="29"/>
    </row>
    <row r="9197">
      <c r="A9197" s="28"/>
      <c r="B9197" s="29"/>
      <c r="C9197" s="29"/>
      <c r="E9197" s="29"/>
      <c r="F9197" s="29"/>
    </row>
    <row r="9198">
      <c r="A9198" s="28"/>
      <c r="B9198" s="29"/>
      <c r="C9198" s="29"/>
      <c r="E9198" s="29"/>
      <c r="F9198" s="29"/>
    </row>
    <row r="9199">
      <c r="A9199" s="28"/>
      <c r="B9199" s="29"/>
      <c r="C9199" s="29"/>
      <c r="E9199" s="29"/>
      <c r="F9199" s="29"/>
    </row>
    <row r="9200">
      <c r="A9200" s="28"/>
      <c r="B9200" s="29"/>
      <c r="C9200" s="29"/>
      <c r="E9200" s="29"/>
      <c r="F9200" s="29"/>
    </row>
    <row r="9201">
      <c r="A9201" s="28"/>
      <c r="B9201" s="29"/>
      <c r="C9201" s="29"/>
      <c r="E9201" s="29"/>
      <c r="F9201" s="29"/>
    </row>
    <row r="9202">
      <c r="A9202" s="28"/>
      <c r="B9202" s="29"/>
      <c r="C9202" s="29"/>
      <c r="E9202" s="29"/>
      <c r="F9202" s="29"/>
    </row>
    <row r="9203">
      <c r="A9203" s="28"/>
      <c r="B9203" s="29"/>
      <c r="C9203" s="29"/>
      <c r="E9203" s="29"/>
      <c r="F9203" s="29"/>
    </row>
    <row r="9204">
      <c r="A9204" s="28"/>
      <c r="B9204" s="29"/>
      <c r="C9204" s="29"/>
      <c r="E9204" s="29"/>
      <c r="F9204" s="29"/>
    </row>
    <row r="9205">
      <c r="A9205" s="28"/>
      <c r="B9205" s="29"/>
      <c r="C9205" s="29"/>
      <c r="E9205" s="29"/>
      <c r="F9205" s="29"/>
    </row>
    <row r="9206">
      <c r="A9206" s="28"/>
      <c r="B9206" s="29"/>
      <c r="C9206" s="29"/>
      <c r="E9206" s="29"/>
      <c r="F9206" s="29"/>
    </row>
    <row r="9207">
      <c r="A9207" s="28"/>
      <c r="B9207" s="29"/>
      <c r="C9207" s="29"/>
      <c r="E9207" s="29"/>
      <c r="F9207" s="29"/>
    </row>
    <row r="9208">
      <c r="A9208" s="28"/>
      <c r="B9208" s="29"/>
      <c r="C9208" s="29"/>
      <c r="E9208" s="29"/>
      <c r="F9208" s="29"/>
    </row>
    <row r="9209">
      <c r="A9209" s="28"/>
      <c r="B9209" s="29"/>
      <c r="C9209" s="29"/>
      <c r="E9209" s="29"/>
      <c r="F9209" s="29"/>
    </row>
    <row r="9210">
      <c r="A9210" s="28"/>
      <c r="B9210" s="29"/>
      <c r="C9210" s="29"/>
      <c r="E9210" s="29"/>
      <c r="F9210" s="29"/>
    </row>
    <row r="9211">
      <c r="A9211" s="28"/>
      <c r="B9211" s="29"/>
      <c r="C9211" s="29"/>
      <c r="E9211" s="29"/>
      <c r="F9211" s="29"/>
    </row>
    <row r="9212">
      <c r="A9212" s="28"/>
      <c r="B9212" s="29"/>
      <c r="C9212" s="29"/>
      <c r="E9212" s="29"/>
      <c r="F9212" s="29"/>
    </row>
    <row r="9213">
      <c r="A9213" s="28"/>
      <c r="B9213" s="29"/>
      <c r="C9213" s="29"/>
      <c r="E9213" s="29"/>
      <c r="F9213" s="29"/>
    </row>
    <row r="9214">
      <c r="A9214" s="28"/>
      <c r="B9214" s="29"/>
      <c r="C9214" s="29"/>
      <c r="E9214" s="29"/>
      <c r="F9214" s="29"/>
    </row>
    <row r="9215">
      <c r="A9215" s="28"/>
      <c r="B9215" s="29"/>
      <c r="C9215" s="29"/>
      <c r="E9215" s="29"/>
      <c r="F9215" s="29"/>
    </row>
    <row r="9216">
      <c r="A9216" s="28"/>
      <c r="B9216" s="29"/>
      <c r="C9216" s="29"/>
      <c r="E9216" s="29"/>
      <c r="F9216" s="29"/>
    </row>
    <row r="9217">
      <c r="A9217" s="28"/>
      <c r="B9217" s="29"/>
      <c r="C9217" s="29"/>
      <c r="E9217" s="29"/>
      <c r="F9217" s="29"/>
    </row>
    <row r="9218">
      <c r="A9218" s="28"/>
      <c r="B9218" s="29"/>
      <c r="C9218" s="29"/>
      <c r="E9218" s="29"/>
      <c r="F9218" s="29"/>
    </row>
    <row r="9219">
      <c r="A9219" s="28"/>
      <c r="B9219" s="29"/>
      <c r="C9219" s="29"/>
      <c r="E9219" s="29"/>
      <c r="F9219" s="29"/>
    </row>
    <row r="9220">
      <c r="A9220" s="28"/>
      <c r="B9220" s="29"/>
      <c r="C9220" s="29"/>
      <c r="E9220" s="29"/>
      <c r="F9220" s="29"/>
    </row>
    <row r="9221">
      <c r="A9221" s="28"/>
      <c r="B9221" s="29"/>
      <c r="C9221" s="29"/>
      <c r="E9221" s="29"/>
      <c r="F9221" s="29"/>
    </row>
    <row r="9222">
      <c r="A9222" s="28"/>
      <c r="B9222" s="29"/>
      <c r="C9222" s="29"/>
      <c r="E9222" s="29"/>
      <c r="F9222" s="29"/>
    </row>
    <row r="9223">
      <c r="A9223" s="28"/>
      <c r="B9223" s="29"/>
      <c r="C9223" s="29"/>
      <c r="E9223" s="29"/>
      <c r="F9223" s="29"/>
    </row>
    <row r="9224">
      <c r="A9224" s="28"/>
      <c r="B9224" s="29"/>
      <c r="C9224" s="29"/>
      <c r="E9224" s="29"/>
      <c r="F9224" s="29"/>
    </row>
    <row r="9225">
      <c r="A9225" s="28"/>
      <c r="B9225" s="29"/>
      <c r="C9225" s="29"/>
      <c r="E9225" s="29"/>
      <c r="F9225" s="29"/>
    </row>
    <row r="9226">
      <c r="A9226" s="28"/>
      <c r="B9226" s="29"/>
      <c r="C9226" s="29"/>
      <c r="E9226" s="29"/>
      <c r="F9226" s="29"/>
    </row>
    <row r="9227">
      <c r="A9227" s="28"/>
      <c r="B9227" s="29"/>
      <c r="C9227" s="29"/>
      <c r="E9227" s="29"/>
      <c r="F9227" s="29"/>
    </row>
    <row r="9228">
      <c r="A9228" s="28"/>
      <c r="B9228" s="29"/>
      <c r="C9228" s="29"/>
      <c r="E9228" s="29"/>
      <c r="F9228" s="29"/>
    </row>
    <row r="9229">
      <c r="A9229" s="28"/>
      <c r="B9229" s="29"/>
      <c r="C9229" s="29"/>
      <c r="E9229" s="29"/>
      <c r="F9229" s="29"/>
    </row>
    <row r="9230">
      <c r="A9230" s="28"/>
      <c r="B9230" s="29"/>
      <c r="C9230" s="29"/>
      <c r="E9230" s="29"/>
      <c r="F9230" s="29"/>
    </row>
    <row r="9231">
      <c r="A9231" s="28"/>
      <c r="B9231" s="29"/>
      <c r="C9231" s="29"/>
      <c r="E9231" s="29"/>
      <c r="F9231" s="29"/>
    </row>
    <row r="9232">
      <c r="A9232" s="28"/>
      <c r="B9232" s="29"/>
      <c r="C9232" s="29"/>
      <c r="E9232" s="29"/>
      <c r="F9232" s="29"/>
    </row>
    <row r="9233">
      <c r="A9233" s="28"/>
      <c r="B9233" s="29"/>
      <c r="C9233" s="29"/>
      <c r="E9233" s="29"/>
      <c r="F9233" s="29"/>
    </row>
    <row r="9234">
      <c r="A9234" s="28"/>
      <c r="B9234" s="29"/>
      <c r="C9234" s="29"/>
      <c r="E9234" s="29"/>
      <c r="F9234" s="29"/>
    </row>
    <row r="9235">
      <c r="A9235" s="28"/>
      <c r="B9235" s="29"/>
      <c r="C9235" s="29"/>
      <c r="E9235" s="29"/>
      <c r="F9235" s="29"/>
    </row>
    <row r="9236">
      <c r="A9236" s="28"/>
      <c r="B9236" s="29"/>
      <c r="C9236" s="29"/>
      <c r="E9236" s="29"/>
      <c r="F9236" s="29"/>
    </row>
    <row r="9237">
      <c r="A9237" s="28"/>
      <c r="B9237" s="29"/>
      <c r="C9237" s="29"/>
      <c r="E9237" s="29"/>
      <c r="F9237" s="29"/>
    </row>
    <row r="9238">
      <c r="A9238" s="28"/>
      <c r="B9238" s="29"/>
      <c r="C9238" s="29"/>
      <c r="E9238" s="29"/>
      <c r="F9238" s="29"/>
    </row>
    <row r="9239">
      <c r="A9239" s="28"/>
      <c r="B9239" s="29"/>
      <c r="C9239" s="29"/>
      <c r="E9239" s="29"/>
      <c r="F9239" s="29"/>
    </row>
    <row r="9240">
      <c r="A9240" s="28"/>
      <c r="B9240" s="29"/>
      <c r="C9240" s="29"/>
      <c r="E9240" s="29"/>
      <c r="F9240" s="29"/>
    </row>
    <row r="9241">
      <c r="A9241" s="28"/>
      <c r="B9241" s="29"/>
      <c r="C9241" s="29"/>
      <c r="E9241" s="29"/>
      <c r="F9241" s="29"/>
    </row>
    <row r="9242">
      <c r="A9242" s="28"/>
      <c r="B9242" s="29"/>
      <c r="C9242" s="29"/>
      <c r="E9242" s="29"/>
      <c r="F9242" s="29"/>
    </row>
    <row r="9243">
      <c r="A9243" s="28"/>
      <c r="B9243" s="29"/>
      <c r="C9243" s="29"/>
      <c r="E9243" s="29"/>
      <c r="F9243" s="29"/>
    </row>
    <row r="9244">
      <c r="A9244" s="28"/>
      <c r="B9244" s="29"/>
      <c r="C9244" s="29"/>
      <c r="E9244" s="29"/>
      <c r="F9244" s="29"/>
    </row>
    <row r="9245">
      <c r="A9245" s="28"/>
      <c r="B9245" s="29"/>
      <c r="C9245" s="29"/>
      <c r="E9245" s="29"/>
      <c r="F9245" s="29"/>
    </row>
    <row r="9246">
      <c r="A9246" s="28"/>
      <c r="B9246" s="29"/>
      <c r="C9246" s="29"/>
      <c r="E9246" s="29"/>
      <c r="F9246" s="29"/>
    </row>
    <row r="9247">
      <c r="A9247" s="28"/>
      <c r="B9247" s="29"/>
      <c r="C9247" s="29"/>
      <c r="E9247" s="29"/>
      <c r="F9247" s="29"/>
    </row>
    <row r="9248">
      <c r="A9248" s="28"/>
      <c r="B9248" s="29"/>
      <c r="C9248" s="29"/>
      <c r="E9248" s="29"/>
      <c r="F9248" s="29"/>
    </row>
    <row r="9249">
      <c r="A9249" s="28"/>
      <c r="B9249" s="29"/>
      <c r="C9249" s="29"/>
      <c r="E9249" s="29"/>
      <c r="F9249" s="29"/>
    </row>
    <row r="9250">
      <c r="A9250" s="28"/>
      <c r="B9250" s="29"/>
      <c r="C9250" s="29"/>
      <c r="E9250" s="29"/>
      <c r="F9250" s="29"/>
    </row>
    <row r="9251">
      <c r="A9251" s="28"/>
      <c r="B9251" s="29"/>
      <c r="C9251" s="29"/>
      <c r="E9251" s="29"/>
      <c r="F9251" s="29"/>
    </row>
    <row r="9252">
      <c r="A9252" s="28"/>
      <c r="B9252" s="29"/>
      <c r="C9252" s="29"/>
      <c r="E9252" s="29"/>
      <c r="F9252" s="29"/>
    </row>
    <row r="9253">
      <c r="A9253" s="28"/>
      <c r="B9253" s="29"/>
      <c r="C9253" s="29"/>
      <c r="E9253" s="29"/>
      <c r="F9253" s="29"/>
    </row>
    <row r="9254">
      <c r="A9254" s="28"/>
      <c r="B9254" s="29"/>
      <c r="C9254" s="29"/>
      <c r="E9254" s="29"/>
      <c r="F9254" s="29"/>
    </row>
    <row r="9255">
      <c r="A9255" s="28"/>
      <c r="B9255" s="29"/>
      <c r="C9255" s="29"/>
      <c r="E9255" s="29"/>
      <c r="F9255" s="29"/>
    </row>
    <row r="9256">
      <c r="A9256" s="28"/>
      <c r="B9256" s="29"/>
      <c r="C9256" s="29"/>
      <c r="E9256" s="29"/>
      <c r="F9256" s="29"/>
    </row>
    <row r="9257">
      <c r="A9257" s="28"/>
      <c r="B9257" s="29"/>
      <c r="C9257" s="29"/>
      <c r="E9257" s="29"/>
      <c r="F9257" s="29"/>
    </row>
    <row r="9258">
      <c r="A9258" s="28"/>
      <c r="B9258" s="29"/>
      <c r="C9258" s="29"/>
      <c r="E9258" s="29"/>
      <c r="F9258" s="29"/>
    </row>
    <row r="9259">
      <c r="A9259" s="28"/>
      <c r="B9259" s="29"/>
      <c r="C9259" s="29"/>
      <c r="E9259" s="29"/>
      <c r="F9259" s="29"/>
    </row>
    <row r="9260">
      <c r="A9260" s="28"/>
      <c r="B9260" s="29"/>
      <c r="C9260" s="29"/>
      <c r="E9260" s="29"/>
      <c r="F9260" s="29"/>
    </row>
    <row r="9261">
      <c r="A9261" s="28"/>
      <c r="B9261" s="29"/>
      <c r="C9261" s="29"/>
      <c r="E9261" s="29"/>
      <c r="F9261" s="29"/>
    </row>
    <row r="9262">
      <c r="A9262" s="28"/>
      <c r="B9262" s="29"/>
      <c r="C9262" s="29"/>
      <c r="E9262" s="29"/>
      <c r="F9262" s="29"/>
    </row>
    <row r="9263">
      <c r="A9263" s="28"/>
      <c r="B9263" s="29"/>
      <c r="C9263" s="29"/>
      <c r="E9263" s="29"/>
      <c r="F9263" s="29"/>
    </row>
    <row r="9264">
      <c r="A9264" s="28"/>
      <c r="B9264" s="29"/>
      <c r="C9264" s="29"/>
      <c r="E9264" s="29"/>
      <c r="F9264" s="29"/>
    </row>
    <row r="9265">
      <c r="A9265" s="28"/>
      <c r="B9265" s="29"/>
      <c r="C9265" s="29"/>
      <c r="E9265" s="29"/>
      <c r="F9265" s="29"/>
    </row>
    <row r="9266">
      <c r="A9266" s="28"/>
      <c r="B9266" s="29"/>
      <c r="C9266" s="29"/>
      <c r="E9266" s="29"/>
      <c r="F9266" s="29"/>
    </row>
    <row r="9267">
      <c r="A9267" s="28"/>
      <c r="B9267" s="29"/>
      <c r="C9267" s="29"/>
      <c r="E9267" s="29"/>
      <c r="F9267" s="29"/>
    </row>
    <row r="9268">
      <c r="A9268" s="28"/>
      <c r="B9268" s="29"/>
      <c r="C9268" s="29"/>
      <c r="E9268" s="29"/>
      <c r="F9268" s="29"/>
    </row>
    <row r="9269">
      <c r="A9269" s="28"/>
      <c r="B9269" s="29"/>
      <c r="C9269" s="29"/>
      <c r="E9269" s="29"/>
      <c r="F9269" s="29"/>
    </row>
    <row r="9270">
      <c r="A9270" s="28"/>
      <c r="B9270" s="29"/>
      <c r="C9270" s="29"/>
      <c r="E9270" s="29"/>
      <c r="F9270" s="29"/>
    </row>
    <row r="9271">
      <c r="A9271" s="28"/>
      <c r="B9271" s="29"/>
      <c r="C9271" s="29"/>
      <c r="E9271" s="29"/>
      <c r="F9271" s="29"/>
    </row>
    <row r="9272">
      <c r="A9272" s="28"/>
      <c r="B9272" s="29"/>
      <c r="C9272" s="29"/>
      <c r="E9272" s="29"/>
      <c r="F9272" s="29"/>
    </row>
    <row r="9273">
      <c r="A9273" s="28"/>
      <c r="B9273" s="29"/>
      <c r="C9273" s="29"/>
      <c r="E9273" s="29"/>
      <c r="F9273" s="29"/>
    </row>
    <row r="9274">
      <c r="A9274" s="28"/>
      <c r="B9274" s="29"/>
      <c r="C9274" s="29"/>
      <c r="E9274" s="29"/>
      <c r="F9274" s="29"/>
    </row>
    <row r="9275">
      <c r="A9275" s="28"/>
      <c r="B9275" s="29"/>
      <c r="C9275" s="29"/>
      <c r="E9275" s="29"/>
      <c r="F9275" s="29"/>
    </row>
    <row r="9276">
      <c r="A9276" s="28"/>
      <c r="B9276" s="29"/>
      <c r="C9276" s="29"/>
      <c r="E9276" s="29"/>
      <c r="F9276" s="29"/>
    </row>
    <row r="9277">
      <c r="A9277" s="28"/>
      <c r="B9277" s="29"/>
      <c r="C9277" s="29"/>
      <c r="E9277" s="29"/>
      <c r="F9277" s="29"/>
    </row>
    <row r="9278">
      <c r="A9278" s="28"/>
      <c r="B9278" s="29"/>
      <c r="C9278" s="29"/>
      <c r="E9278" s="29"/>
      <c r="F9278" s="29"/>
    </row>
    <row r="9279">
      <c r="A9279" s="28"/>
      <c r="B9279" s="29"/>
      <c r="C9279" s="29"/>
      <c r="E9279" s="29"/>
      <c r="F9279" s="29"/>
    </row>
    <row r="9280">
      <c r="A9280" s="28"/>
      <c r="B9280" s="29"/>
      <c r="C9280" s="29"/>
      <c r="E9280" s="29"/>
      <c r="F9280" s="29"/>
    </row>
    <row r="9281">
      <c r="A9281" s="28"/>
      <c r="B9281" s="29"/>
      <c r="C9281" s="29"/>
      <c r="E9281" s="29"/>
      <c r="F9281" s="29"/>
    </row>
    <row r="9282">
      <c r="A9282" s="28"/>
      <c r="B9282" s="29"/>
      <c r="C9282" s="29"/>
      <c r="E9282" s="29"/>
      <c r="F9282" s="29"/>
    </row>
    <row r="9283">
      <c r="A9283" s="28"/>
      <c r="B9283" s="29"/>
      <c r="C9283" s="29"/>
      <c r="E9283" s="29"/>
      <c r="F9283" s="29"/>
    </row>
    <row r="9284">
      <c r="A9284" s="28"/>
      <c r="B9284" s="29"/>
      <c r="C9284" s="29"/>
      <c r="E9284" s="29"/>
      <c r="F9284" s="29"/>
    </row>
    <row r="9285">
      <c r="A9285" s="28"/>
      <c r="B9285" s="29"/>
      <c r="C9285" s="29"/>
      <c r="E9285" s="29"/>
      <c r="F9285" s="29"/>
    </row>
    <row r="9286">
      <c r="A9286" s="28"/>
      <c r="B9286" s="29"/>
      <c r="C9286" s="29"/>
      <c r="E9286" s="29"/>
      <c r="F9286" s="29"/>
    </row>
    <row r="9287">
      <c r="A9287" s="28"/>
      <c r="B9287" s="29"/>
      <c r="C9287" s="29"/>
      <c r="E9287" s="29"/>
      <c r="F9287" s="29"/>
    </row>
    <row r="9288">
      <c r="A9288" s="28"/>
      <c r="B9288" s="29"/>
      <c r="C9288" s="29"/>
      <c r="E9288" s="29"/>
      <c r="F9288" s="29"/>
    </row>
    <row r="9289">
      <c r="A9289" s="28"/>
      <c r="B9289" s="29"/>
      <c r="C9289" s="29"/>
      <c r="E9289" s="29"/>
      <c r="F9289" s="29"/>
    </row>
    <row r="9290">
      <c r="A9290" s="28"/>
      <c r="B9290" s="29"/>
      <c r="C9290" s="29"/>
      <c r="E9290" s="29"/>
      <c r="F9290" s="29"/>
    </row>
    <row r="9291">
      <c r="A9291" s="28"/>
      <c r="B9291" s="29"/>
      <c r="C9291" s="29"/>
      <c r="E9291" s="29"/>
      <c r="F9291" s="29"/>
    </row>
    <row r="9292">
      <c r="A9292" s="28"/>
      <c r="B9292" s="29"/>
      <c r="C9292" s="29"/>
      <c r="E9292" s="29"/>
      <c r="F9292" s="29"/>
    </row>
    <row r="9293">
      <c r="A9293" s="28"/>
      <c r="B9293" s="29"/>
      <c r="C9293" s="29"/>
      <c r="E9293" s="29"/>
      <c r="F9293" s="29"/>
    </row>
    <row r="9294">
      <c r="A9294" s="28"/>
      <c r="B9294" s="29"/>
      <c r="C9294" s="29"/>
      <c r="E9294" s="29"/>
      <c r="F9294" s="29"/>
    </row>
    <row r="9295">
      <c r="A9295" s="28"/>
      <c r="B9295" s="29"/>
      <c r="C9295" s="29"/>
      <c r="E9295" s="29"/>
      <c r="F9295" s="29"/>
    </row>
    <row r="9296">
      <c r="A9296" s="28"/>
      <c r="B9296" s="29"/>
      <c r="C9296" s="29"/>
      <c r="E9296" s="29"/>
      <c r="F9296" s="29"/>
    </row>
    <row r="9297">
      <c r="A9297" s="28"/>
      <c r="B9297" s="29"/>
      <c r="C9297" s="29"/>
      <c r="E9297" s="29"/>
      <c r="F9297" s="29"/>
    </row>
    <row r="9298">
      <c r="A9298" s="28"/>
      <c r="B9298" s="29"/>
      <c r="C9298" s="29"/>
      <c r="E9298" s="29"/>
      <c r="F9298" s="29"/>
    </row>
    <row r="9299">
      <c r="A9299" s="28"/>
      <c r="B9299" s="29"/>
      <c r="C9299" s="29"/>
      <c r="E9299" s="29"/>
      <c r="F9299" s="29"/>
    </row>
    <row r="9300">
      <c r="A9300" s="28"/>
      <c r="B9300" s="29"/>
      <c r="C9300" s="29"/>
      <c r="E9300" s="29"/>
      <c r="F9300" s="29"/>
    </row>
    <row r="9301">
      <c r="A9301" s="28"/>
      <c r="B9301" s="29"/>
      <c r="C9301" s="29"/>
      <c r="E9301" s="29"/>
      <c r="F9301" s="29"/>
    </row>
    <row r="9302">
      <c r="A9302" s="28"/>
      <c r="B9302" s="29"/>
      <c r="C9302" s="29"/>
      <c r="E9302" s="29"/>
      <c r="F9302" s="29"/>
    </row>
    <row r="9303">
      <c r="A9303" s="28"/>
      <c r="B9303" s="29"/>
      <c r="C9303" s="29"/>
      <c r="E9303" s="29"/>
      <c r="F9303" s="29"/>
    </row>
    <row r="9304">
      <c r="A9304" s="28"/>
      <c r="B9304" s="29"/>
      <c r="C9304" s="29"/>
      <c r="E9304" s="29"/>
      <c r="F9304" s="29"/>
    </row>
    <row r="9305">
      <c r="A9305" s="28"/>
      <c r="B9305" s="29"/>
      <c r="C9305" s="29"/>
      <c r="E9305" s="29"/>
      <c r="F9305" s="29"/>
    </row>
    <row r="9306">
      <c r="A9306" s="28"/>
      <c r="B9306" s="29"/>
      <c r="C9306" s="29"/>
      <c r="E9306" s="29"/>
      <c r="F9306" s="29"/>
    </row>
    <row r="9307">
      <c r="A9307" s="28"/>
      <c r="B9307" s="29"/>
      <c r="C9307" s="29"/>
      <c r="E9307" s="29"/>
      <c r="F9307" s="29"/>
    </row>
    <row r="9308">
      <c r="A9308" s="28"/>
      <c r="B9308" s="29"/>
      <c r="C9308" s="29"/>
      <c r="E9308" s="29"/>
      <c r="F9308" s="29"/>
    </row>
    <row r="9309">
      <c r="A9309" s="28"/>
      <c r="B9309" s="29"/>
      <c r="C9309" s="29"/>
      <c r="E9309" s="29"/>
      <c r="F9309" s="29"/>
    </row>
    <row r="9310">
      <c r="A9310" s="28"/>
      <c r="B9310" s="29"/>
      <c r="C9310" s="29"/>
      <c r="E9310" s="29"/>
      <c r="F9310" s="29"/>
    </row>
    <row r="9311">
      <c r="A9311" s="28"/>
      <c r="B9311" s="29"/>
      <c r="C9311" s="29"/>
      <c r="E9311" s="29"/>
      <c r="F9311" s="29"/>
    </row>
    <row r="9312">
      <c r="A9312" s="28"/>
      <c r="B9312" s="29"/>
      <c r="C9312" s="29"/>
      <c r="E9312" s="29"/>
      <c r="F9312" s="29"/>
    </row>
    <row r="9313">
      <c r="A9313" s="28"/>
      <c r="B9313" s="29"/>
      <c r="C9313" s="29"/>
      <c r="E9313" s="29"/>
      <c r="F9313" s="29"/>
    </row>
    <row r="9314">
      <c r="A9314" s="28"/>
      <c r="B9314" s="29"/>
      <c r="C9314" s="29"/>
      <c r="E9314" s="29"/>
      <c r="F9314" s="29"/>
    </row>
    <row r="9315">
      <c r="A9315" s="28"/>
      <c r="B9315" s="29"/>
      <c r="C9315" s="29"/>
      <c r="E9315" s="29"/>
      <c r="F9315" s="29"/>
    </row>
    <row r="9316">
      <c r="A9316" s="28"/>
      <c r="B9316" s="29"/>
      <c r="C9316" s="29"/>
      <c r="E9316" s="29"/>
      <c r="F9316" s="29"/>
    </row>
    <row r="9317">
      <c r="A9317" s="28"/>
      <c r="B9317" s="29"/>
      <c r="C9317" s="29"/>
      <c r="E9317" s="29"/>
      <c r="F9317" s="29"/>
    </row>
    <row r="9318">
      <c r="A9318" s="28"/>
      <c r="B9318" s="29"/>
      <c r="C9318" s="29"/>
      <c r="E9318" s="29"/>
      <c r="F9318" s="29"/>
    </row>
    <row r="9319">
      <c r="A9319" s="28"/>
      <c r="B9319" s="29"/>
      <c r="C9319" s="29"/>
      <c r="E9319" s="29"/>
      <c r="F9319" s="29"/>
    </row>
    <row r="9320">
      <c r="A9320" s="28"/>
      <c r="B9320" s="29"/>
      <c r="C9320" s="29"/>
      <c r="E9320" s="29"/>
      <c r="F9320" s="29"/>
    </row>
    <row r="9321">
      <c r="A9321" s="28"/>
      <c r="B9321" s="29"/>
      <c r="C9321" s="29"/>
      <c r="E9321" s="29"/>
      <c r="F9321" s="29"/>
    </row>
    <row r="9322">
      <c r="A9322" s="28"/>
      <c r="B9322" s="29"/>
      <c r="C9322" s="29"/>
      <c r="E9322" s="29"/>
      <c r="F9322" s="29"/>
    </row>
    <row r="9323">
      <c r="A9323" s="28"/>
      <c r="B9323" s="29"/>
      <c r="C9323" s="29"/>
      <c r="E9323" s="29"/>
      <c r="F9323" s="29"/>
    </row>
    <row r="9324">
      <c r="A9324" s="28"/>
      <c r="B9324" s="29"/>
      <c r="C9324" s="29"/>
      <c r="E9324" s="29"/>
      <c r="F9324" s="29"/>
    </row>
    <row r="9325">
      <c r="A9325" s="28"/>
      <c r="B9325" s="29"/>
      <c r="C9325" s="29"/>
      <c r="E9325" s="29"/>
      <c r="F9325" s="29"/>
    </row>
    <row r="9326">
      <c r="A9326" s="28"/>
      <c r="B9326" s="29"/>
      <c r="C9326" s="29"/>
      <c r="E9326" s="29"/>
      <c r="F9326" s="29"/>
    </row>
    <row r="9327">
      <c r="A9327" s="28"/>
      <c r="B9327" s="29"/>
      <c r="C9327" s="29"/>
      <c r="E9327" s="29"/>
      <c r="F9327" s="29"/>
    </row>
    <row r="9328">
      <c r="A9328" s="28"/>
      <c r="B9328" s="29"/>
      <c r="C9328" s="29"/>
      <c r="E9328" s="29"/>
      <c r="F9328" s="29"/>
    </row>
    <row r="9329">
      <c r="A9329" s="28"/>
      <c r="B9329" s="29"/>
      <c r="C9329" s="29"/>
      <c r="E9329" s="29"/>
      <c r="F9329" s="29"/>
    </row>
    <row r="9330">
      <c r="A9330" s="28"/>
      <c r="B9330" s="29"/>
      <c r="C9330" s="29"/>
      <c r="E9330" s="29"/>
      <c r="F9330" s="29"/>
    </row>
    <row r="9331">
      <c r="A9331" s="28"/>
      <c r="B9331" s="29"/>
      <c r="C9331" s="29"/>
      <c r="E9331" s="29"/>
      <c r="F9331" s="29"/>
    </row>
    <row r="9332">
      <c r="A9332" s="28"/>
      <c r="B9332" s="29"/>
      <c r="C9332" s="29"/>
      <c r="E9332" s="29"/>
      <c r="F9332" s="29"/>
    </row>
    <row r="9333">
      <c r="A9333" s="28"/>
      <c r="B9333" s="29"/>
      <c r="C9333" s="29"/>
      <c r="E9333" s="29"/>
      <c r="F9333" s="29"/>
    </row>
    <row r="9334">
      <c r="A9334" s="28"/>
      <c r="B9334" s="29"/>
      <c r="C9334" s="29"/>
      <c r="E9334" s="29"/>
      <c r="F9334" s="29"/>
    </row>
    <row r="9335">
      <c r="A9335" s="28"/>
      <c r="B9335" s="29"/>
      <c r="C9335" s="29"/>
      <c r="E9335" s="29"/>
      <c r="F9335" s="29"/>
    </row>
    <row r="9336">
      <c r="A9336" s="28"/>
      <c r="B9336" s="29"/>
      <c r="C9336" s="29"/>
      <c r="E9336" s="29"/>
      <c r="F9336" s="29"/>
    </row>
    <row r="9337">
      <c r="A9337" s="28"/>
      <c r="B9337" s="29"/>
      <c r="C9337" s="29"/>
      <c r="E9337" s="29"/>
      <c r="F9337" s="29"/>
    </row>
    <row r="9338">
      <c r="A9338" s="28"/>
      <c r="B9338" s="29"/>
      <c r="C9338" s="29"/>
      <c r="E9338" s="29"/>
      <c r="F9338" s="29"/>
    </row>
    <row r="9339">
      <c r="A9339" s="28"/>
      <c r="B9339" s="29"/>
      <c r="C9339" s="29"/>
      <c r="E9339" s="29"/>
      <c r="F9339" s="29"/>
    </row>
    <row r="9340">
      <c r="A9340" s="28"/>
      <c r="B9340" s="29"/>
      <c r="C9340" s="29"/>
      <c r="E9340" s="29"/>
      <c r="F9340" s="29"/>
    </row>
    <row r="9341">
      <c r="A9341" s="28"/>
      <c r="B9341" s="29"/>
      <c r="C9341" s="29"/>
      <c r="E9341" s="29"/>
      <c r="F9341" s="29"/>
    </row>
    <row r="9342">
      <c r="A9342" s="28"/>
      <c r="B9342" s="29"/>
      <c r="C9342" s="29"/>
      <c r="E9342" s="29"/>
      <c r="F9342" s="29"/>
    </row>
    <row r="9343">
      <c r="A9343" s="28"/>
      <c r="B9343" s="29"/>
      <c r="C9343" s="29"/>
      <c r="E9343" s="29"/>
      <c r="F9343" s="29"/>
    </row>
    <row r="9344">
      <c r="A9344" s="28"/>
      <c r="B9344" s="29"/>
      <c r="C9344" s="29"/>
      <c r="E9344" s="29"/>
      <c r="F9344" s="29"/>
    </row>
    <row r="9345">
      <c r="A9345" s="28"/>
      <c r="B9345" s="29"/>
      <c r="C9345" s="29"/>
      <c r="E9345" s="29"/>
      <c r="F9345" s="29"/>
    </row>
    <row r="9346">
      <c r="A9346" s="28"/>
      <c r="B9346" s="29"/>
      <c r="C9346" s="29"/>
      <c r="E9346" s="29"/>
      <c r="F9346" s="29"/>
    </row>
    <row r="9347">
      <c r="A9347" s="28"/>
      <c r="B9347" s="29"/>
      <c r="C9347" s="29"/>
      <c r="E9347" s="29"/>
      <c r="F9347" s="29"/>
    </row>
    <row r="9348">
      <c r="A9348" s="28"/>
      <c r="B9348" s="29"/>
      <c r="C9348" s="29"/>
      <c r="E9348" s="29"/>
      <c r="F9348" s="29"/>
    </row>
    <row r="9349">
      <c r="A9349" s="28"/>
      <c r="B9349" s="29"/>
      <c r="C9349" s="29"/>
      <c r="E9349" s="29"/>
      <c r="F9349" s="29"/>
    </row>
    <row r="9350">
      <c r="A9350" s="28"/>
      <c r="B9350" s="29"/>
      <c r="C9350" s="29"/>
      <c r="E9350" s="29"/>
      <c r="F9350" s="29"/>
    </row>
    <row r="9351">
      <c r="A9351" s="28"/>
      <c r="B9351" s="29"/>
      <c r="C9351" s="29"/>
      <c r="E9351" s="29"/>
      <c r="F9351" s="29"/>
    </row>
    <row r="9352">
      <c r="A9352" s="28"/>
      <c r="B9352" s="29"/>
      <c r="C9352" s="29"/>
      <c r="E9352" s="29"/>
      <c r="F9352" s="29"/>
    </row>
    <row r="9353">
      <c r="A9353" s="28"/>
      <c r="B9353" s="29"/>
      <c r="C9353" s="29"/>
      <c r="E9353" s="29"/>
      <c r="F9353" s="29"/>
    </row>
    <row r="9354">
      <c r="A9354" s="28"/>
      <c r="B9354" s="29"/>
      <c r="C9354" s="29"/>
      <c r="E9354" s="29"/>
      <c r="F9354" s="29"/>
    </row>
    <row r="9355">
      <c r="A9355" s="28"/>
      <c r="B9355" s="29"/>
      <c r="C9355" s="29"/>
      <c r="E9355" s="29"/>
      <c r="F9355" s="29"/>
    </row>
    <row r="9356">
      <c r="A9356" s="28"/>
      <c r="B9356" s="29"/>
      <c r="C9356" s="29"/>
      <c r="E9356" s="29"/>
      <c r="F9356" s="29"/>
    </row>
    <row r="9357">
      <c r="A9357" s="28"/>
      <c r="B9357" s="29"/>
      <c r="C9357" s="29"/>
      <c r="E9357" s="29"/>
      <c r="F9357" s="29"/>
    </row>
    <row r="9358">
      <c r="A9358" s="28"/>
      <c r="B9358" s="29"/>
      <c r="C9358" s="29"/>
      <c r="E9358" s="29"/>
      <c r="F9358" s="29"/>
    </row>
    <row r="9359">
      <c r="A9359" s="28"/>
      <c r="B9359" s="29"/>
      <c r="C9359" s="29"/>
      <c r="E9359" s="29"/>
      <c r="F9359" s="29"/>
    </row>
    <row r="9360">
      <c r="A9360" s="28"/>
      <c r="B9360" s="29"/>
      <c r="C9360" s="29"/>
      <c r="E9360" s="29"/>
      <c r="F9360" s="29"/>
    </row>
    <row r="9361">
      <c r="A9361" s="28"/>
      <c r="B9361" s="29"/>
      <c r="C9361" s="29"/>
      <c r="E9361" s="29"/>
      <c r="F9361" s="29"/>
    </row>
    <row r="9362">
      <c r="A9362" s="28"/>
      <c r="B9362" s="29"/>
      <c r="C9362" s="29"/>
      <c r="E9362" s="29"/>
      <c r="F9362" s="29"/>
    </row>
    <row r="9363">
      <c r="A9363" s="28"/>
      <c r="B9363" s="29"/>
      <c r="C9363" s="29"/>
      <c r="E9363" s="29"/>
      <c r="F9363" s="29"/>
    </row>
    <row r="9364">
      <c r="A9364" s="28"/>
      <c r="B9364" s="29"/>
      <c r="C9364" s="29"/>
      <c r="E9364" s="29"/>
      <c r="F9364" s="29"/>
    </row>
    <row r="9365">
      <c r="A9365" s="28"/>
      <c r="B9365" s="29"/>
      <c r="C9365" s="29"/>
      <c r="E9365" s="29"/>
      <c r="F9365" s="29"/>
    </row>
    <row r="9366">
      <c r="A9366" s="28"/>
      <c r="B9366" s="29"/>
      <c r="C9366" s="29"/>
      <c r="E9366" s="29"/>
      <c r="F9366" s="29"/>
    </row>
    <row r="9367">
      <c r="A9367" s="28"/>
      <c r="B9367" s="29"/>
      <c r="C9367" s="29"/>
      <c r="E9367" s="29"/>
      <c r="F9367" s="29"/>
    </row>
    <row r="9368">
      <c r="A9368" s="28"/>
      <c r="B9368" s="29"/>
      <c r="C9368" s="29"/>
      <c r="E9368" s="29"/>
      <c r="F9368" s="29"/>
    </row>
    <row r="9369">
      <c r="A9369" s="28"/>
      <c r="B9369" s="29"/>
      <c r="C9369" s="29"/>
      <c r="E9369" s="29"/>
      <c r="F9369" s="29"/>
    </row>
    <row r="9370">
      <c r="A9370" s="28"/>
      <c r="B9370" s="29"/>
      <c r="C9370" s="29"/>
      <c r="E9370" s="29"/>
      <c r="F9370" s="29"/>
    </row>
    <row r="9371">
      <c r="A9371" s="28"/>
      <c r="B9371" s="29"/>
      <c r="C9371" s="29"/>
      <c r="E9371" s="29"/>
      <c r="F9371" s="29"/>
    </row>
    <row r="9372">
      <c r="A9372" s="28"/>
      <c r="B9372" s="29"/>
      <c r="C9372" s="29"/>
      <c r="E9372" s="29"/>
      <c r="F9372" s="29"/>
    </row>
    <row r="9373">
      <c r="A9373" s="28"/>
      <c r="B9373" s="29"/>
      <c r="C9373" s="29"/>
      <c r="E9373" s="29"/>
      <c r="F9373" s="29"/>
    </row>
    <row r="9374">
      <c r="A9374" s="28"/>
      <c r="B9374" s="29"/>
      <c r="C9374" s="29"/>
      <c r="E9374" s="29"/>
      <c r="F9374" s="29"/>
    </row>
    <row r="9375">
      <c r="A9375" s="28"/>
      <c r="B9375" s="29"/>
      <c r="C9375" s="29"/>
      <c r="E9375" s="29"/>
      <c r="F9375" s="29"/>
    </row>
    <row r="9376">
      <c r="A9376" s="28"/>
      <c r="B9376" s="29"/>
      <c r="C9376" s="29"/>
      <c r="E9376" s="29"/>
      <c r="F9376" s="29"/>
    </row>
    <row r="9377">
      <c r="A9377" s="28"/>
      <c r="B9377" s="29"/>
      <c r="C9377" s="29"/>
      <c r="E9377" s="29"/>
      <c r="F9377" s="29"/>
    </row>
    <row r="9378">
      <c r="A9378" s="28"/>
      <c r="B9378" s="29"/>
      <c r="C9378" s="29"/>
      <c r="E9378" s="29"/>
      <c r="F9378" s="29"/>
    </row>
    <row r="9379">
      <c r="A9379" s="28"/>
      <c r="B9379" s="29"/>
      <c r="C9379" s="29"/>
      <c r="E9379" s="29"/>
      <c r="F9379" s="29"/>
    </row>
    <row r="9380">
      <c r="A9380" s="28"/>
      <c r="B9380" s="29"/>
      <c r="C9380" s="29"/>
      <c r="E9380" s="29"/>
      <c r="F9380" s="29"/>
    </row>
    <row r="9381">
      <c r="A9381" s="28"/>
      <c r="B9381" s="29"/>
      <c r="C9381" s="29"/>
      <c r="E9381" s="29"/>
      <c r="F9381" s="29"/>
    </row>
    <row r="9382">
      <c r="A9382" s="28"/>
      <c r="B9382" s="29"/>
      <c r="C9382" s="29"/>
      <c r="E9382" s="29"/>
      <c r="F9382" s="29"/>
    </row>
    <row r="9383">
      <c r="A9383" s="28"/>
      <c r="B9383" s="29"/>
      <c r="C9383" s="29"/>
      <c r="E9383" s="29"/>
      <c r="F9383" s="29"/>
    </row>
    <row r="9384">
      <c r="A9384" s="28"/>
      <c r="B9384" s="29"/>
      <c r="C9384" s="29"/>
      <c r="E9384" s="29"/>
      <c r="F9384" s="29"/>
    </row>
    <row r="9385">
      <c r="A9385" s="28"/>
      <c r="B9385" s="29"/>
      <c r="C9385" s="29"/>
      <c r="E9385" s="29"/>
      <c r="F9385" s="29"/>
    </row>
    <row r="9386">
      <c r="A9386" s="28"/>
      <c r="B9386" s="29"/>
      <c r="C9386" s="29"/>
      <c r="E9386" s="29"/>
      <c r="F9386" s="29"/>
    </row>
    <row r="9387">
      <c r="A9387" s="28"/>
      <c r="B9387" s="29"/>
      <c r="C9387" s="29"/>
      <c r="E9387" s="29"/>
      <c r="F9387" s="29"/>
    </row>
    <row r="9388">
      <c r="A9388" s="28"/>
      <c r="B9388" s="29"/>
      <c r="C9388" s="29"/>
      <c r="E9388" s="29"/>
      <c r="F9388" s="29"/>
    </row>
    <row r="9389">
      <c r="A9389" s="28"/>
      <c r="B9389" s="29"/>
      <c r="C9389" s="29"/>
      <c r="E9389" s="29"/>
      <c r="F9389" s="29"/>
    </row>
    <row r="9390">
      <c r="A9390" s="28"/>
      <c r="B9390" s="29"/>
      <c r="C9390" s="29"/>
      <c r="E9390" s="29"/>
      <c r="F9390" s="29"/>
    </row>
    <row r="9391">
      <c r="A9391" s="28"/>
      <c r="B9391" s="29"/>
      <c r="C9391" s="29"/>
      <c r="E9391" s="29"/>
      <c r="F9391" s="29"/>
    </row>
    <row r="9392">
      <c r="A9392" s="28"/>
      <c r="B9392" s="29"/>
      <c r="C9392" s="29"/>
      <c r="E9392" s="29"/>
      <c r="F9392" s="29"/>
    </row>
    <row r="9393">
      <c r="A9393" s="28"/>
      <c r="B9393" s="29"/>
      <c r="C9393" s="29"/>
      <c r="E9393" s="29"/>
      <c r="F9393" s="29"/>
    </row>
    <row r="9394">
      <c r="A9394" s="28"/>
      <c r="B9394" s="29"/>
      <c r="C9394" s="29"/>
      <c r="E9394" s="29"/>
      <c r="F9394" s="29"/>
    </row>
    <row r="9395">
      <c r="A9395" s="28"/>
      <c r="B9395" s="29"/>
      <c r="C9395" s="29"/>
      <c r="E9395" s="29"/>
      <c r="F9395" s="29"/>
    </row>
    <row r="9396">
      <c r="A9396" s="28"/>
      <c r="B9396" s="29"/>
      <c r="C9396" s="29"/>
      <c r="E9396" s="29"/>
      <c r="F9396" s="29"/>
    </row>
    <row r="9397">
      <c r="A9397" s="28"/>
      <c r="B9397" s="29"/>
      <c r="C9397" s="29"/>
      <c r="E9397" s="29"/>
      <c r="F9397" s="29"/>
    </row>
    <row r="9398">
      <c r="A9398" s="28"/>
      <c r="B9398" s="29"/>
      <c r="C9398" s="29"/>
      <c r="E9398" s="29"/>
      <c r="F9398" s="29"/>
    </row>
    <row r="9399">
      <c r="A9399" s="28"/>
      <c r="B9399" s="29"/>
      <c r="C9399" s="29"/>
      <c r="E9399" s="29"/>
      <c r="F9399" s="29"/>
    </row>
    <row r="9400">
      <c r="A9400" s="28"/>
      <c r="B9400" s="29"/>
      <c r="C9400" s="29"/>
      <c r="E9400" s="29"/>
      <c r="F9400" s="29"/>
    </row>
    <row r="9401">
      <c r="A9401" s="28"/>
      <c r="B9401" s="29"/>
      <c r="C9401" s="29"/>
      <c r="E9401" s="29"/>
      <c r="F9401" s="29"/>
    </row>
    <row r="9402">
      <c r="A9402" s="28"/>
      <c r="B9402" s="29"/>
      <c r="C9402" s="29"/>
      <c r="E9402" s="29"/>
      <c r="F9402" s="29"/>
    </row>
    <row r="9403">
      <c r="A9403" s="28"/>
      <c r="B9403" s="29"/>
      <c r="C9403" s="29"/>
      <c r="E9403" s="29"/>
      <c r="F9403" s="29"/>
    </row>
    <row r="9404">
      <c r="A9404" s="28"/>
      <c r="B9404" s="29"/>
      <c r="C9404" s="29"/>
      <c r="E9404" s="29"/>
      <c r="F9404" s="29"/>
    </row>
    <row r="9405">
      <c r="A9405" s="28"/>
      <c r="B9405" s="29"/>
      <c r="C9405" s="29"/>
      <c r="E9405" s="29"/>
      <c r="F9405" s="29"/>
    </row>
    <row r="9406">
      <c r="A9406" s="28"/>
      <c r="B9406" s="29"/>
      <c r="C9406" s="29"/>
      <c r="E9406" s="29"/>
      <c r="F9406" s="29"/>
    </row>
    <row r="9407">
      <c r="A9407" s="28"/>
      <c r="B9407" s="29"/>
      <c r="C9407" s="29"/>
      <c r="E9407" s="29"/>
      <c r="F9407" s="29"/>
    </row>
    <row r="9408">
      <c r="A9408" s="28"/>
      <c r="B9408" s="29"/>
      <c r="C9408" s="29"/>
      <c r="E9408" s="29"/>
      <c r="F9408" s="29"/>
    </row>
    <row r="9409">
      <c r="A9409" s="28"/>
      <c r="B9409" s="29"/>
      <c r="C9409" s="29"/>
      <c r="E9409" s="29"/>
      <c r="F9409" s="29"/>
    </row>
    <row r="9410">
      <c r="A9410" s="28"/>
      <c r="B9410" s="29"/>
      <c r="C9410" s="29"/>
      <c r="E9410" s="29"/>
      <c r="F9410" s="29"/>
    </row>
    <row r="9411">
      <c r="A9411" s="28"/>
      <c r="B9411" s="29"/>
      <c r="C9411" s="29"/>
      <c r="E9411" s="29"/>
      <c r="F9411" s="29"/>
    </row>
    <row r="9412">
      <c r="A9412" s="28"/>
      <c r="B9412" s="29"/>
      <c r="C9412" s="29"/>
      <c r="E9412" s="29"/>
      <c r="F9412" s="29"/>
    </row>
    <row r="9413">
      <c r="A9413" s="28"/>
      <c r="B9413" s="29"/>
      <c r="C9413" s="29"/>
      <c r="E9413" s="29"/>
      <c r="F9413" s="29"/>
    </row>
    <row r="9414">
      <c r="A9414" s="28"/>
      <c r="B9414" s="29"/>
      <c r="C9414" s="29"/>
      <c r="E9414" s="29"/>
      <c r="F9414" s="29"/>
    </row>
    <row r="9415">
      <c r="A9415" s="28"/>
      <c r="B9415" s="29"/>
      <c r="C9415" s="29"/>
      <c r="E9415" s="29"/>
      <c r="F9415" s="29"/>
    </row>
    <row r="9416">
      <c r="A9416" s="28"/>
      <c r="B9416" s="29"/>
      <c r="C9416" s="29"/>
      <c r="E9416" s="29"/>
      <c r="F9416" s="29"/>
    </row>
    <row r="9417">
      <c r="A9417" s="28"/>
      <c r="B9417" s="29"/>
      <c r="C9417" s="29"/>
      <c r="E9417" s="29"/>
      <c r="F9417" s="29"/>
    </row>
    <row r="9418">
      <c r="A9418" s="28"/>
      <c r="B9418" s="29"/>
      <c r="C9418" s="29"/>
      <c r="E9418" s="29"/>
      <c r="F9418" s="29"/>
    </row>
    <row r="9419">
      <c r="A9419" s="28"/>
      <c r="B9419" s="29"/>
      <c r="C9419" s="29"/>
      <c r="E9419" s="29"/>
      <c r="F9419" s="29"/>
    </row>
    <row r="9420">
      <c r="A9420" s="28"/>
      <c r="B9420" s="29"/>
      <c r="C9420" s="29"/>
      <c r="E9420" s="29"/>
      <c r="F9420" s="29"/>
    </row>
    <row r="9421">
      <c r="A9421" s="28"/>
      <c r="B9421" s="29"/>
      <c r="C9421" s="29"/>
      <c r="E9421" s="29"/>
      <c r="F9421" s="29"/>
    </row>
    <row r="9422">
      <c r="A9422" s="28"/>
      <c r="B9422" s="29"/>
      <c r="C9422" s="29"/>
      <c r="E9422" s="29"/>
      <c r="F9422" s="29"/>
    </row>
    <row r="9423">
      <c r="A9423" s="28"/>
      <c r="B9423" s="29"/>
      <c r="C9423" s="29"/>
      <c r="E9423" s="29"/>
      <c r="F9423" s="29"/>
    </row>
    <row r="9424">
      <c r="A9424" s="28"/>
      <c r="B9424" s="29"/>
      <c r="C9424" s="29"/>
      <c r="E9424" s="29"/>
      <c r="F9424" s="29"/>
    </row>
    <row r="9425">
      <c r="A9425" s="28"/>
      <c r="B9425" s="29"/>
      <c r="C9425" s="29"/>
      <c r="E9425" s="29"/>
      <c r="F9425" s="29"/>
    </row>
    <row r="9426">
      <c r="A9426" s="28"/>
      <c r="B9426" s="29"/>
      <c r="C9426" s="29"/>
      <c r="E9426" s="29"/>
      <c r="F9426" s="29"/>
    </row>
    <row r="9427">
      <c r="A9427" s="28"/>
      <c r="B9427" s="29"/>
      <c r="C9427" s="29"/>
      <c r="E9427" s="29"/>
      <c r="F9427" s="29"/>
    </row>
    <row r="9428">
      <c r="A9428" s="28"/>
      <c r="B9428" s="29"/>
      <c r="C9428" s="29"/>
      <c r="E9428" s="29"/>
      <c r="F9428" s="29"/>
    </row>
    <row r="9429">
      <c r="A9429" s="28"/>
      <c r="B9429" s="29"/>
      <c r="C9429" s="29"/>
      <c r="E9429" s="29"/>
      <c r="F9429" s="29"/>
    </row>
    <row r="9430">
      <c r="A9430" s="28"/>
      <c r="B9430" s="29"/>
      <c r="C9430" s="29"/>
      <c r="E9430" s="29"/>
      <c r="F9430" s="29"/>
    </row>
    <row r="9431">
      <c r="A9431" s="28"/>
      <c r="B9431" s="29"/>
      <c r="C9431" s="29"/>
      <c r="E9431" s="29"/>
      <c r="F9431" s="29"/>
    </row>
    <row r="9432">
      <c r="A9432" s="28"/>
      <c r="B9432" s="29"/>
      <c r="C9432" s="29"/>
      <c r="E9432" s="29"/>
      <c r="F9432" s="29"/>
    </row>
    <row r="9433">
      <c r="A9433" s="28"/>
      <c r="B9433" s="29"/>
      <c r="C9433" s="29"/>
      <c r="E9433" s="29"/>
      <c r="F9433" s="29"/>
    </row>
    <row r="9434">
      <c r="A9434" s="28"/>
      <c r="B9434" s="29"/>
      <c r="C9434" s="29"/>
      <c r="E9434" s="29"/>
      <c r="F9434" s="29"/>
    </row>
    <row r="9435">
      <c r="A9435" s="28"/>
      <c r="B9435" s="29"/>
      <c r="C9435" s="29"/>
      <c r="E9435" s="29"/>
      <c r="F9435" s="29"/>
    </row>
    <row r="9436">
      <c r="A9436" s="28"/>
      <c r="B9436" s="29"/>
      <c r="C9436" s="29"/>
      <c r="E9436" s="29"/>
      <c r="F9436" s="29"/>
    </row>
    <row r="9437">
      <c r="A9437" s="28"/>
      <c r="B9437" s="29"/>
      <c r="C9437" s="29"/>
      <c r="E9437" s="29"/>
      <c r="F9437" s="29"/>
    </row>
    <row r="9438">
      <c r="A9438" s="28"/>
      <c r="B9438" s="29"/>
      <c r="C9438" s="29"/>
      <c r="E9438" s="29"/>
      <c r="F9438" s="29"/>
    </row>
    <row r="9439">
      <c r="A9439" s="28"/>
      <c r="B9439" s="29"/>
      <c r="C9439" s="29"/>
      <c r="E9439" s="29"/>
      <c r="F9439" s="29"/>
    </row>
    <row r="9440">
      <c r="A9440" s="28"/>
      <c r="B9440" s="29"/>
      <c r="C9440" s="29"/>
      <c r="E9440" s="29"/>
      <c r="F9440" s="29"/>
    </row>
    <row r="9441">
      <c r="A9441" s="28"/>
      <c r="B9441" s="29"/>
      <c r="C9441" s="29"/>
      <c r="E9441" s="29"/>
      <c r="F9441" s="29"/>
    </row>
    <row r="9442">
      <c r="A9442" s="28"/>
      <c r="B9442" s="29"/>
      <c r="C9442" s="29"/>
      <c r="E9442" s="29"/>
      <c r="F9442" s="29"/>
    </row>
    <row r="9443">
      <c r="A9443" s="28"/>
      <c r="B9443" s="29"/>
      <c r="C9443" s="29"/>
      <c r="E9443" s="29"/>
      <c r="F9443" s="29"/>
    </row>
    <row r="9444">
      <c r="A9444" s="28"/>
      <c r="B9444" s="29"/>
      <c r="C9444" s="29"/>
      <c r="E9444" s="29"/>
      <c r="F9444" s="29"/>
    </row>
    <row r="9445">
      <c r="A9445" s="28"/>
      <c r="B9445" s="29"/>
      <c r="C9445" s="29"/>
      <c r="E9445" s="29"/>
      <c r="F9445" s="29"/>
    </row>
    <row r="9446">
      <c r="A9446" s="28"/>
      <c r="B9446" s="29"/>
      <c r="C9446" s="29"/>
      <c r="E9446" s="29"/>
      <c r="F9446" s="29"/>
    </row>
    <row r="9447">
      <c r="A9447" s="28"/>
      <c r="B9447" s="29"/>
      <c r="C9447" s="29"/>
      <c r="E9447" s="29"/>
      <c r="F9447" s="29"/>
    </row>
    <row r="9448">
      <c r="A9448" s="28"/>
      <c r="B9448" s="29"/>
      <c r="C9448" s="29"/>
      <c r="E9448" s="29"/>
      <c r="F9448" s="29"/>
    </row>
    <row r="9449">
      <c r="A9449" s="28"/>
      <c r="B9449" s="29"/>
      <c r="C9449" s="29"/>
      <c r="E9449" s="29"/>
      <c r="F9449" s="29"/>
    </row>
    <row r="9450">
      <c r="A9450" s="28"/>
      <c r="B9450" s="29"/>
      <c r="C9450" s="29"/>
      <c r="E9450" s="29"/>
      <c r="F9450" s="29"/>
    </row>
    <row r="9451">
      <c r="A9451" s="28"/>
      <c r="B9451" s="29"/>
      <c r="C9451" s="29"/>
      <c r="E9451" s="29"/>
      <c r="F9451" s="29"/>
    </row>
    <row r="9452">
      <c r="A9452" s="28"/>
      <c r="B9452" s="29"/>
      <c r="C9452" s="29"/>
      <c r="E9452" s="29"/>
      <c r="F9452" s="29"/>
    </row>
    <row r="9453">
      <c r="A9453" s="28"/>
      <c r="B9453" s="29"/>
      <c r="C9453" s="29"/>
      <c r="E9453" s="29"/>
      <c r="F9453" s="29"/>
    </row>
    <row r="9454">
      <c r="A9454" s="28"/>
      <c r="B9454" s="29"/>
      <c r="C9454" s="29"/>
      <c r="E9454" s="29"/>
      <c r="F9454" s="29"/>
    </row>
    <row r="9455">
      <c r="A9455" s="28"/>
      <c r="B9455" s="29"/>
      <c r="C9455" s="29"/>
      <c r="E9455" s="29"/>
      <c r="F9455" s="29"/>
    </row>
    <row r="9456">
      <c r="A9456" s="28"/>
      <c r="B9456" s="29"/>
      <c r="C9456" s="29"/>
      <c r="E9456" s="29"/>
      <c r="F9456" s="29"/>
    </row>
    <row r="9457">
      <c r="A9457" s="28"/>
      <c r="B9457" s="29"/>
      <c r="C9457" s="29"/>
      <c r="E9457" s="29"/>
      <c r="F9457" s="29"/>
    </row>
    <row r="9458">
      <c r="A9458" s="28"/>
      <c r="B9458" s="29"/>
      <c r="C9458" s="29"/>
      <c r="E9458" s="29"/>
      <c r="F9458" s="29"/>
    </row>
    <row r="9459">
      <c r="A9459" s="28"/>
      <c r="B9459" s="29"/>
      <c r="C9459" s="29"/>
      <c r="E9459" s="29"/>
      <c r="F9459" s="29"/>
    </row>
    <row r="9460">
      <c r="A9460" s="28"/>
      <c r="B9460" s="29"/>
      <c r="C9460" s="29"/>
      <c r="E9460" s="29"/>
      <c r="F9460" s="29"/>
    </row>
    <row r="9461">
      <c r="A9461" s="28"/>
      <c r="B9461" s="29"/>
      <c r="C9461" s="29"/>
      <c r="E9461" s="29"/>
      <c r="F9461" s="29"/>
    </row>
    <row r="9462">
      <c r="A9462" s="28"/>
      <c r="B9462" s="29"/>
      <c r="C9462" s="29"/>
      <c r="E9462" s="29"/>
      <c r="F9462" s="29"/>
    </row>
    <row r="9463">
      <c r="A9463" s="28"/>
      <c r="B9463" s="29"/>
      <c r="C9463" s="29"/>
      <c r="E9463" s="29"/>
      <c r="F9463" s="29"/>
    </row>
    <row r="9464">
      <c r="A9464" s="28"/>
      <c r="B9464" s="29"/>
      <c r="C9464" s="29"/>
      <c r="E9464" s="29"/>
      <c r="F9464" s="29"/>
    </row>
    <row r="9465">
      <c r="A9465" s="28"/>
      <c r="B9465" s="29"/>
      <c r="C9465" s="29"/>
      <c r="E9465" s="29"/>
      <c r="F9465" s="29"/>
    </row>
    <row r="9466">
      <c r="A9466" s="28"/>
      <c r="B9466" s="29"/>
      <c r="C9466" s="29"/>
      <c r="E9466" s="29"/>
      <c r="F9466" s="29"/>
    </row>
    <row r="9467">
      <c r="A9467" s="28"/>
      <c r="B9467" s="29"/>
      <c r="C9467" s="29"/>
      <c r="E9467" s="29"/>
      <c r="F9467" s="29"/>
    </row>
    <row r="9468">
      <c r="A9468" s="28"/>
      <c r="B9468" s="29"/>
      <c r="C9468" s="29"/>
      <c r="E9468" s="29"/>
      <c r="F9468" s="29"/>
    </row>
    <row r="9469">
      <c r="A9469" s="28"/>
      <c r="B9469" s="29"/>
      <c r="C9469" s="29"/>
      <c r="E9469" s="29"/>
      <c r="F9469" s="29"/>
    </row>
    <row r="9470">
      <c r="A9470" s="28"/>
      <c r="B9470" s="29"/>
      <c r="C9470" s="29"/>
      <c r="E9470" s="29"/>
      <c r="F9470" s="29"/>
    </row>
    <row r="9471">
      <c r="A9471" s="28"/>
      <c r="B9471" s="29"/>
      <c r="C9471" s="29"/>
      <c r="E9471" s="29"/>
      <c r="F9471" s="29"/>
    </row>
    <row r="9472">
      <c r="A9472" s="28"/>
      <c r="B9472" s="29"/>
      <c r="C9472" s="29"/>
      <c r="E9472" s="29"/>
      <c r="F9472" s="29"/>
    </row>
    <row r="9473">
      <c r="A9473" s="28"/>
      <c r="B9473" s="29"/>
      <c r="C9473" s="29"/>
      <c r="E9473" s="29"/>
      <c r="F9473" s="29"/>
    </row>
    <row r="9474">
      <c r="A9474" s="28"/>
      <c r="B9474" s="29"/>
      <c r="C9474" s="29"/>
      <c r="E9474" s="29"/>
      <c r="F9474" s="29"/>
    </row>
    <row r="9475">
      <c r="A9475" s="28"/>
      <c r="B9475" s="29"/>
      <c r="C9475" s="29"/>
      <c r="E9475" s="29"/>
      <c r="F9475" s="29"/>
    </row>
    <row r="9476">
      <c r="A9476" s="28"/>
      <c r="B9476" s="29"/>
      <c r="C9476" s="29"/>
      <c r="E9476" s="29"/>
      <c r="F9476" s="29"/>
    </row>
    <row r="9477">
      <c r="A9477" s="28"/>
      <c r="B9477" s="29"/>
      <c r="C9477" s="29"/>
      <c r="E9477" s="29"/>
      <c r="F9477" s="29"/>
    </row>
    <row r="9478">
      <c r="A9478" s="28"/>
      <c r="B9478" s="29"/>
      <c r="C9478" s="29"/>
      <c r="E9478" s="29"/>
      <c r="F9478" s="29"/>
    </row>
    <row r="9479">
      <c r="A9479" s="28"/>
      <c r="B9479" s="29"/>
      <c r="C9479" s="29"/>
      <c r="E9479" s="29"/>
      <c r="F9479" s="29"/>
    </row>
    <row r="9480">
      <c r="A9480" s="28"/>
      <c r="B9480" s="29"/>
      <c r="C9480" s="29"/>
      <c r="E9480" s="29"/>
      <c r="F9480" s="29"/>
    </row>
    <row r="9481">
      <c r="A9481" s="28"/>
      <c r="B9481" s="29"/>
      <c r="C9481" s="29"/>
      <c r="E9481" s="29"/>
      <c r="F9481" s="29"/>
    </row>
    <row r="9482">
      <c r="A9482" s="28"/>
      <c r="B9482" s="29"/>
      <c r="C9482" s="29"/>
      <c r="E9482" s="29"/>
      <c r="F9482" s="29"/>
    </row>
    <row r="9483">
      <c r="A9483" s="28"/>
      <c r="B9483" s="29"/>
      <c r="C9483" s="29"/>
      <c r="E9483" s="29"/>
      <c r="F9483" s="29"/>
    </row>
    <row r="9484">
      <c r="A9484" s="28"/>
      <c r="B9484" s="29"/>
      <c r="C9484" s="29"/>
      <c r="E9484" s="29"/>
      <c r="F9484" s="29"/>
    </row>
    <row r="9485">
      <c r="A9485" s="28"/>
      <c r="B9485" s="29"/>
      <c r="C9485" s="29"/>
      <c r="E9485" s="29"/>
      <c r="F9485" s="29"/>
    </row>
    <row r="9486">
      <c r="A9486" s="28"/>
      <c r="B9486" s="29"/>
      <c r="C9486" s="29"/>
      <c r="E9486" s="29"/>
      <c r="F9486" s="29"/>
    </row>
    <row r="9487">
      <c r="A9487" s="28"/>
      <c r="B9487" s="29"/>
      <c r="C9487" s="29"/>
      <c r="E9487" s="29"/>
      <c r="F9487" s="29"/>
    </row>
    <row r="9488">
      <c r="A9488" s="28"/>
      <c r="B9488" s="29"/>
      <c r="C9488" s="29"/>
      <c r="E9488" s="29"/>
      <c r="F9488" s="29"/>
    </row>
    <row r="9489">
      <c r="A9489" s="28"/>
      <c r="B9489" s="29"/>
      <c r="C9489" s="29"/>
      <c r="E9489" s="29"/>
      <c r="F9489" s="29"/>
    </row>
    <row r="9490">
      <c r="A9490" s="28"/>
      <c r="B9490" s="29"/>
      <c r="C9490" s="29"/>
      <c r="E9490" s="29"/>
      <c r="F9490" s="29"/>
    </row>
    <row r="9491">
      <c r="A9491" s="28"/>
      <c r="B9491" s="29"/>
      <c r="C9491" s="29"/>
      <c r="E9491" s="29"/>
      <c r="F9491" s="29"/>
    </row>
    <row r="9492">
      <c r="A9492" s="28"/>
      <c r="B9492" s="29"/>
      <c r="C9492" s="29"/>
      <c r="E9492" s="29"/>
      <c r="F9492" s="29"/>
    </row>
    <row r="9493">
      <c r="A9493" s="28"/>
      <c r="B9493" s="29"/>
      <c r="C9493" s="29"/>
      <c r="E9493" s="29"/>
      <c r="F9493" s="29"/>
    </row>
    <row r="9494">
      <c r="A9494" s="28"/>
      <c r="B9494" s="29"/>
      <c r="C9494" s="29"/>
      <c r="E9494" s="29"/>
      <c r="F9494" s="29"/>
    </row>
    <row r="9495">
      <c r="A9495" s="28"/>
      <c r="B9495" s="29"/>
      <c r="C9495" s="29"/>
      <c r="E9495" s="29"/>
      <c r="F9495" s="29"/>
    </row>
    <row r="9496">
      <c r="A9496" s="28"/>
      <c r="B9496" s="29"/>
      <c r="C9496" s="29"/>
      <c r="E9496" s="29"/>
      <c r="F9496" s="29"/>
    </row>
    <row r="9497">
      <c r="A9497" s="28"/>
      <c r="B9497" s="29"/>
      <c r="C9497" s="29"/>
      <c r="E9497" s="29"/>
      <c r="F9497" s="29"/>
    </row>
    <row r="9498">
      <c r="A9498" s="28"/>
      <c r="B9498" s="29"/>
      <c r="C9498" s="29"/>
      <c r="E9498" s="29"/>
      <c r="F9498" s="29"/>
    </row>
    <row r="9499">
      <c r="A9499" s="28"/>
      <c r="B9499" s="29"/>
      <c r="C9499" s="29"/>
      <c r="E9499" s="29"/>
      <c r="F9499" s="29"/>
    </row>
    <row r="9500">
      <c r="A9500" s="28"/>
      <c r="B9500" s="29"/>
      <c r="C9500" s="29"/>
      <c r="E9500" s="29"/>
      <c r="F9500" s="29"/>
    </row>
    <row r="9501">
      <c r="A9501" s="28"/>
      <c r="B9501" s="29"/>
      <c r="C9501" s="29"/>
      <c r="E9501" s="29"/>
      <c r="F9501" s="29"/>
    </row>
    <row r="9502">
      <c r="A9502" s="28"/>
      <c r="B9502" s="29"/>
      <c r="C9502" s="29"/>
      <c r="E9502" s="29"/>
      <c r="F9502" s="29"/>
    </row>
    <row r="9503">
      <c r="A9503" s="28"/>
      <c r="B9503" s="29"/>
      <c r="C9503" s="29"/>
      <c r="E9503" s="29"/>
      <c r="F9503" s="29"/>
    </row>
    <row r="9504">
      <c r="A9504" s="28"/>
      <c r="B9504" s="29"/>
      <c r="C9504" s="29"/>
      <c r="E9504" s="29"/>
      <c r="F9504" s="29"/>
    </row>
    <row r="9505">
      <c r="A9505" s="28"/>
      <c r="B9505" s="29"/>
      <c r="C9505" s="29"/>
      <c r="E9505" s="29"/>
      <c r="F9505" s="29"/>
    </row>
    <row r="9506">
      <c r="A9506" s="28"/>
      <c r="B9506" s="29"/>
      <c r="C9506" s="29"/>
      <c r="E9506" s="29"/>
      <c r="F9506" s="29"/>
    </row>
    <row r="9507">
      <c r="A9507" s="28"/>
      <c r="B9507" s="29"/>
      <c r="C9507" s="29"/>
      <c r="E9507" s="29"/>
      <c r="F9507" s="29"/>
    </row>
    <row r="9508">
      <c r="A9508" s="28"/>
      <c r="B9508" s="29"/>
      <c r="C9508" s="29"/>
      <c r="E9508" s="29"/>
      <c r="F9508" s="29"/>
    </row>
    <row r="9509">
      <c r="A9509" s="28"/>
      <c r="B9509" s="29"/>
      <c r="C9509" s="29"/>
      <c r="E9509" s="29"/>
      <c r="F9509" s="29"/>
    </row>
    <row r="9510">
      <c r="A9510" s="28"/>
      <c r="B9510" s="29"/>
      <c r="C9510" s="29"/>
      <c r="E9510" s="29"/>
      <c r="F9510" s="29"/>
    </row>
    <row r="9511">
      <c r="A9511" s="28"/>
      <c r="B9511" s="29"/>
      <c r="C9511" s="29"/>
      <c r="E9511" s="29"/>
      <c r="F9511" s="29"/>
    </row>
    <row r="9512">
      <c r="A9512" s="28"/>
      <c r="B9512" s="29"/>
      <c r="C9512" s="29"/>
      <c r="E9512" s="29"/>
      <c r="F9512" s="29"/>
    </row>
    <row r="9513">
      <c r="A9513" s="28"/>
      <c r="B9513" s="29"/>
      <c r="C9513" s="29"/>
      <c r="E9513" s="29"/>
      <c r="F9513" s="29"/>
    </row>
    <row r="9514">
      <c r="A9514" s="28"/>
      <c r="B9514" s="29"/>
      <c r="C9514" s="29"/>
      <c r="E9514" s="29"/>
      <c r="F9514" s="29"/>
    </row>
    <row r="9515">
      <c r="A9515" s="28"/>
      <c r="B9515" s="29"/>
      <c r="C9515" s="29"/>
      <c r="E9515" s="29"/>
      <c r="F9515" s="29"/>
    </row>
    <row r="9516">
      <c r="A9516" s="28"/>
      <c r="B9516" s="29"/>
      <c r="C9516" s="29"/>
      <c r="E9516" s="29"/>
      <c r="F9516" s="29"/>
    </row>
    <row r="9517">
      <c r="A9517" s="28"/>
      <c r="B9517" s="29"/>
      <c r="C9517" s="29"/>
      <c r="E9517" s="29"/>
      <c r="F9517" s="29"/>
    </row>
    <row r="9518">
      <c r="A9518" s="28"/>
      <c r="B9518" s="29"/>
      <c r="C9518" s="29"/>
      <c r="E9518" s="29"/>
      <c r="F9518" s="29"/>
    </row>
    <row r="9519">
      <c r="A9519" s="28"/>
      <c r="B9519" s="29"/>
      <c r="C9519" s="29"/>
      <c r="E9519" s="29"/>
      <c r="F9519" s="29"/>
    </row>
    <row r="9520">
      <c r="A9520" s="28"/>
      <c r="B9520" s="29"/>
      <c r="C9520" s="29"/>
      <c r="E9520" s="29"/>
      <c r="F9520" s="29"/>
    </row>
    <row r="9521">
      <c r="A9521" s="28"/>
      <c r="B9521" s="29"/>
      <c r="C9521" s="29"/>
      <c r="E9521" s="29"/>
      <c r="F9521" s="29"/>
    </row>
    <row r="9522">
      <c r="A9522" s="28"/>
      <c r="B9522" s="29"/>
      <c r="C9522" s="29"/>
      <c r="E9522" s="29"/>
      <c r="F9522" s="29"/>
    </row>
    <row r="9523">
      <c r="A9523" s="28"/>
      <c r="B9523" s="29"/>
      <c r="C9523" s="29"/>
      <c r="E9523" s="29"/>
      <c r="F9523" s="29"/>
    </row>
    <row r="9524">
      <c r="A9524" s="28"/>
      <c r="B9524" s="29"/>
      <c r="C9524" s="29"/>
      <c r="E9524" s="29"/>
      <c r="F9524" s="29"/>
    </row>
    <row r="9525">
      <c r="A9525" s="28"/>
      <c r="B9525" s="29"/>
      <c r="C9525" s="29"/>
      <c r="E9525" s="29"/>
      <c r="F9525" s="29"/>
    </row>
    <row r="9526">
      <c r="A9526" s="28"/>
      <c r="B9526" s="29"/>
      <c r="C9526" s="29"/>
      <c r="E9526" s="29"/>
      <c r="F9526" s="29"/>
    </row>
    <row r="9527">
      <c r="A9527" s="28"/>
      <c r="B9527" s="29"/>
      <c r="C9527" s="29"/>
      <c r="E9527" s="29"/>
      <c r="F9527" s="29"/>
    </row>
    <row r="9528">
      <c r="A9528" s="28"/>
      <c r="B9528" s="29"/>
      <c r="C9528" s="29"/>
      <c r="E9528" s="29"/>
      <c r="F9528" s="29"/>
    </row>
    <row r="9529">
      <c r="A9529" s="28"/>
      <c r="B9529" s="29"/>
      <c r="C9529" s="29"/>
      <c r="E9529" s="29"/>
      <c r="F9529" s="29"/>
    </row>
    <row r="9530">
      <c r="A9530" s="28"/>
      <c r="B9530" s="29"/>
      <c r="C9530" s="29"/>
      <c r="E9530" s="29"/>
      <c r="F9530" s="29"/>
    </row>
    <row r="9531">
      <c r="A9531" s="28"/>
      <c r="B9531" s="29"/>
      <c r="C9531" s="29"/>
      <c r="E9531" s="29"/>
      <c r="F9531" s="29"/>
    </row>
    <row r="9532">
      <c r="A9532" s="28"/>
      <c r="B9532" s="29"/>
      <c r="C9532" s="29"/>
      <c r="E9532" s="29"/>
      <c r="F9532" s="29"/>
    </row>
    <row r="9533">
      <c r="A9533" s="28"/>
      <c r="B9533" s="29"/>
      <c r="C9533" s="29"/>
      <c r="E9533" s="29"/>
      <c r="F9533" s="29"/>
    </row>
    <row r="9534">
      <c r="A9534" s="28"/>
      <c r="B9534" s="29"/>
      <c r="C9534" s="29"/>
      <c r="E9534" s="29"/>
      <c r="F9534" s="29"/>
    </row>
    <row r="9535">
      <c r="A9535" s="28"/>
      <c r="B9535" s="29"/>
      <c r="C9535" s="29"/>
      <c r="E9535" s="29"/>
      <c r="F9535" s="29"/>
    </row>
    <row r="9536">
      <c r="A9536" s="28"/>
      <c r="B9536" s="29"/>
      <c r="C9536" s="29"/>
      <c r="E9536" s="29"/>
      <c r="F9536" s="29"/>
    </row>
    <row r="9537">
      <c r="A9537" s="28"/>
      <c r="B9537" s="29"/>
      <c r="C9537" s="29"/>
      <c r="E9537" s="29"/>
      <c r="F9537" s="29"/>
    </row>
    <row r="9538">
      <c r="A9538" s="28"/>
      <c r="B9538" s="29"/>
      <c r="C9538" s="29"/>
      <c r="E9538" s="29"/>
      <c r="F9538" s="29"/>
    </row>
    <row r="9539">
      <c r="A9539" s="28"/>
      <c r="B9539" s="29"/>
      <c r="C9539" s="29"/>
      <c r="E9539" s="29"/>
      <c r="F9539" s="29"/>
    </row>
    <row r="9540">
      <c r="A9540" s="28"/>
      <c r="B9540" s="29"/>
      <c r="C9540" s="29"/>
      <c r="E9540" s="29"/>
      <c r="F9540" s="29"/>
    </row>
    <row r="9541">
      <c r="A9541" s="28"/>
      <c r="B9541" s="29"/>
      <c r="C9541" s="29"/>
      <c r="E9541" s="29"/>
      <c r="F9541" s="29"/>
    </row>
    <row r="9542">
      <c r="A9542" s="28"/>
      <c r="B9542" s="29"/>
      <c r="C9542" s="29"/>
      <c r="E9542" s="29"/>
      <c r="F9542" s="29"/>
    </row>
    <row r="9543">
      <c r="A9543" s="28"/>
      <c r="B9543" s="29"/>
      <c r="C9543" s="29"/>
      <c r="E9543" s="29"/>
      <c r="F9543" s="29"/>
    </row>
    <row r="9544">
      <c r="A9544" s="28"/>
      <c r="B9544" s="29"/>
      <c r="C9544" s="29"/>
      <c r="E9544" s="29"/>
      <c r="F9544" s="29"/>
    </row>
    <row r="9545">
      <c r="A9545" s="28"/>
      <c r="B9545" s="29"/>
      <c r="C9545" s="29"/>
      <c r="E9545" s="29"/>
      <c r="F9545" s="29"/>
    </row>
    <row r="9546">
      <c r="A9546" s="28"/>
      <c r="B9546" s="29"/>
      <c r="C9546" s="29"/>
      <c r="E9546" s="29"/>
      <c r="F9546" s="29"/>
    </row>
    <row r="9547">
      <c r="A9547" s="28"/>
      <c r="B9547" s="29"/>
      <c r="C9547" s="29"/>
      <c r="E9547" s="29"/>
      <c r="F9547" s="29"/>
    </row>
    <row r="9548">
      <c r="A9548" s="28"/>
      <c r="B9548" s="29"/>
      <c r="C9548" s="29"/>
      <c r="E9548" s="29"/>
      <c r="F9548" s="29"/>
    </row>
    <row r="9549">
      <c r="A9549" s="28"/>
      <c r="B9549" s="29"/>
      <c r="C9549" s="29"/>
      <c r="E9549" s="29"/>
      <c r="F9549" s="29"/>
    </row>
    <row r="9550">
      <c r="A9550" s="28"/>
      <c r="B9550" s="29"/>
      <c r="C9550" s="29"/>
      <c r="E9550" s="29"/>
      <c r="F9550" s="29"/>
    </row>
    <row r="9551">
      <c r="A9551" s="28"/>
      <c r="B9551" s="29"/>
      <c r="C9551" s="29"/>
      <c r="E9551" s="29"/>
      <c r="F9551" s="29"/>
    </row>
    <row r="9552">
      <c r="A9552" s="28"/>
      <c r="B9552" s="29"/>
      <c r="C9552" s="29"/>
      <c r="E9552" s="29"/>
      <c r="F9552" s="29"/>
    </row>
    <row r="9553">
      <c r="A9553" s="28"/>
      <c r="B9553" s="29"/>
      <c r="C9553" s="29"/>
      <c r="E9553" s="29"/>
      <c r="F9553" s="29"/>
    </row>
    <row r="9554">
      <c r="A9554" s="28"/>
      <c r="B9554" s="29"/>
      <c r="C9554" s="29"/>
      <c r="E9554" s="29"/>
      <c r="F9554" s="29"/>
    </row>
    <row r="9555">
      <c r="A9555" s="28"/>
      <c r="B9555" s="29"/>
      <c r="C9555" s="29"/>
      <c r="E9555" s="29"/>
      <c r="F9555" s="29"/>
    </row>
    <row r="9556">
      <c r="A9556" s="28"/>
      <c r="B9556" s="29"/>
      <c r="C9556" s="29"/>
      <c r="E9556" s="29"/>
      <c r="F9556" s="29"/>
    </row>
    <row r="9557">
      <c r="A9557" s="28"/>
      <c r="B9557" s="29"/>
      <c r="C9557" s="29"/>
      <c r="E9557" s="29"/>
      <c r="F9557" s="29"/>
    </row>
    <row r="9558">
      <c r="A9558" s="28"/>
      <c r="B9558" s="29"/>
      <c r="C9558" s="29"/>
      <c r="E9558" s="29"/>
      <c r="F9558" s="29"/>
    </row>
    <row r="9559">
      <c r="A9559" s="28"/>
      <c r="B9559" s="29"/>
      <c r="C9559" s="29"/>
      <c r="E9559" s="29"/>
      <c r="F9559" s="29"/>
    </row>
    <row r="9560">
      <c r="A9560" s="28"/>
      <c r="B9560" s="29"/>
      <c r="C9560" s="29"/>
      <c r="E9560" s="29"/>
      <c r="F9560" s="29"/>
    </row>
    <row r="9561">
      <c r="A9561" s="28"/>
      <c r="B9561" s="29"/>
      <c r="C9561" s="29"/>
      <c r="E9561" s="29"/>
      <c r="F9561" s="29"/>
    </row>
    <row r="9562">
      <c r="A9562" s="28"/>
      <c r="B9562" s="29"/>
      <c r="C9562" s="29"/>
      <c r="E9562" s="29"/>
      <c r="F9562" s="29"/>
    </row>
    <row r="9563">
      <c r="A9563" s="28"/>
      <c r="B9563" s="29"/>
      <c r="C9563" s="29"/>
      <c r="E9563" s="29"/>
      <c r="F9563" s="29"/>
    </row>
    <row r="9564">
      <c r="A9564" s="28"/>
      <c r="B9564" s="29"/>
      <c r="C9564" s="29"/>
      <c r="E9564" s="29"/>
      <c r="F9564" s="29"/>
    </row>
    <row r="9565">
      <c r="A9565" s="28"/>
      <c r="B9565" s="29"/>
      <c r="C9565" s="29"/>
      <c r="E9565" s="29"/>
      <c r="F9565" s="29"/>
    </row>
    <row r="9566">
      <c r="A9566" s="28"/>
      <c r="B9566" s="29"/>
      <c r="C9566" s="29"/>
      <c r="E9566" s="29"/>
      <c r="F9566" s="29"/>
    </row>
    <row r="9567">
      <c r="A9567" s="28"/>
      <c r="B9567" s="29"/>
      <c r="C9567" s="29"/>
      <c r="E9567" s="29"/>
      <c r="F9567" s="29"/>
    </row>
    <row r="9568">
      <c r="A9568" s="28"/>
      <c r="B9568" s="29"/>
      <c r="C9568" s="29"/>
      <c r="E9568" s="29"/>
      <c r="F9568" s="29"/>
    </row>
    <row r="9569">
      <c r="A9569" s="28"/>
      <c r="B9569" s="29"/>
      <c r="C9569" s="29"/>
      <c r="E9569" s="29"/>
      <c r="F9569" s="29"/>
    </row>
    <row r="9570">
      <c r="A9570" s="28"/>
      <c r="B9570" s="29"/>
      <c r="C9570" s="29"/>
      <c r="E9570" s="29"/>
      <c r="F9570" s="29"/>
    </row>
    <row r="9571">
      <c r="A9571" s="28"/>
      <c r="B9571" s="29"/>
      <c r="C9571" s="29"/>
      <c r="E9571" s="29"/>
      <c r="F9571" s="29"/>
    </row>
    <row r="9572">
      <c r="A9572" s="28"/>
      <c r="B9572" s="29"/>
      <c r="C9572" s="29"/>
      <c r="E9572" s="29"/>
      <c r="F9572" s="29"/>
    </row>
    <row r="9573">
      <c r="A9573" s="28"/>
      <c r="B9573" s="29"/>
      <c r="C9573" s="29"/>
      <c r="E9573" s="29"/>
      <c r="F9573" s="29"/>
    </row>
    <row r="9574">
      <c r="A9574" s="28"/>
      <c r="B9574" s="29"/>
      <c r="C9574" s="29"/>
      <c r="E9574" s="29"/>
      <c r="F9574" s="29"/>
    </row>
    <row r="9575">
      <c r="A9575" s="28"/>
      <c r="B9575" s="29"/>
      <c r="C9575" s="29"/>
      <c r="E9575" s="29"/>
      <c r="F9575" s="29"/>
    </row>
    <row r="9576">
      <c r="A9576" s="28"/>
      <c r="B9576" s="29"/>
      <c r="C9576" s="29"/>
      <c r="E9576" s="29"/>
      <c r="F9576" s="29"/>
    </row>
    <row r="9577">
      <c r="A9577" s="28"/>
      <c r="B9577" s="29"/>
      <c r="C9577" s="29"/>
      <c r="E9577" s="29"/>
      <c r="F9577" s="29"/>
    </row>
    <row r="9578">
      <c r="A9578" s="28"/>
      <c r="B9578" s="29"/>
      <c r="C9578" s="29"/>
      <c r="E9578" s="29"/>
      <c r="F9578" s="29"/>
    </row>
    <row r="9579">
      <c r="A9579" s="28"/>
      <c r="B9579" s="29"/>
      <c r="C9579" s="29"/>
      <c r="E9579" s="29"/>
      <c r="F9579" s="29"/>
    </row>
    <row r="9580">
      <c r="A9580" s="28"/>
      <c r="B9580" s="29"/>
      <c r="C9580" s="29"/>
      <c r="E9580" s="29"/>
      <c r="F9580" s="29"/>
    </row>
    <row r="9581">
      <c r="A9581" s="28"/>
      <c r="B9581" s="29"/>
      <c r="C9581" s="29"/>
      <c r="E9581" s="29"/>
      <c r="F9581" s="29"/>
    </row>
    <row r="9582">
      <c r="A9582" s="28"/>
      <c r="B9582" s="29"/>
      <c r="C9582" s="29"/>
      <c r="E9582" s="29"/>
      <c r="F9582" s="29"/>
    </row>
    <row r="9583">
      <c r="A9583" s="28"/>
      <c r="B9583" s="29"/>
      <c r="C9583" s="29"/>
      <c r="E9583" s="29"/>
      <c r="F9583" s="29"/>
    </row>
    <row r="9584">
      <c r="A9584" s="28"/>
      <c r="B9584" s="29"/>
      <c r="C9584" s="29"/>
      <c r="E9584" s="29"/>
      <c r="F9584" s="29"/>
    </row>
    <row r="9585">
      <c r="A9585" s="28"/>
      <c r="B9585" s="29"/>
      <c r="C9585" s="29"/>
      <c r="E9585" s="29"/>
      <c r="F9585" s="29"/>
    </row>
    <row r="9586">
      <c r="A9586" s="28"/>
      <c r="B9586" s="29"/>
      <c r="C9586" s="29"/>
      <c r="E9586" s="29"/>
      <c r="F9586" s="29"/>
    </row>
    <row r="9587">
      <c r="A9587" s="28"/>
      <c r="B9587" s="29"/>
      <c r="C9587" s="29"/>
      <c r="E9587" s="29"/>
      <c r="F9587" s="29"/>
    </row>
    <row r="9588">
      <c r="A9588" s="28"/>
      <c r="B9588" s="29"/>
      <c r="C9588" s="29"/>
      <c r="E9588" s="29"/>
      <c r="F9588" s="29"/>
    </row>
    <row r="9589">
      <c r="A9589" s="28"/>
      <c r="B9589" s="29"/>
      <c r="C9589" s="29"/>
      <c r="E9589" s="29"/>
      <c r="F9589" s="29"/>
    </row>
    <row r="9590">
      <c r="A9590" s="28"/>
      <c r="B9590" s="29"/>
      <c r="C9590" s="29"/>
      <c r="E9590" s="29"/>
      <c r="F9590" s="29"/>
    </row>
    <row r="9591">
      <c r="A9591" s="28"/>
      <c r="B9591" s="29"/>
      <c r="C9591" s="29"/>
      <c r="E9591" s="29"/>
      <c r="F9591" s="29"/>
    </row>
    <row r="9592">
      <c r="A9592" s="28"/>
      <c r="B9592" s="29"/>
      <c r="C9592" s="29"/>
      <c r="E9592" s="29"/>
      <c r="F9592" s="29"/>
    </row>
    <row r="9593">
      <c r="A9593" s="28"/>
      <c r="B9593" s="29"/>
      <c r="C9593" s="29"/>
      <c r="E9593" s="29"/>
      <c r="F9593" s="29"/>
    </row>
    <row r="9594">
      <c r="A9594" s="28"/>
      <c r="B9594" s="29"/>
      <c r="C9594" s="29"/>
      <c r="E9594" s="29"/>
      <c r="F9594" s="29"/>
    </row>
    <row r="9595">
      <c r="A9595" s="28"/>
      <c r="B9595" s="29"/>
      <c r="C9595" s="29"/>
      <c r="E9595" s="29"/>
      <c r="F9595" s="29"/>
    </row>
    <row r="9596">
      <c r="A9596" s="28"/>
      <c r="B9596" s="29"/>
      <c r="C9596" s="29"/>
      <c r="E9596" s="29"/>
      <c r="F9596" s="29"/>
    </row>
    <row r="9597">
      <c r="A9597" s="28"/>
      <c r="B9597" s="29"/>
      <c r="C9597" s="29"/>
      <c r="E9597" s="29"/>
      <c r="F9597" s="29"/>
    </row>
    <row r="9598">
      <c r="A9598" s="28"/>
      <c r="B9598" s="29"/>
      <c r="C9598" s="29"/>
      <c r="E9598" s="29"/>
      <c r="F9598" s="29"/>
    </row>
    <row r="9599">
      <c r="A9599" s="28"/>
      <c r="B9599" s="29"/>
      <c r="C9599" s="29"/>
      <c r="E9599" s="29"/>
      <c r="F9599" s="29"/>
    </row>
    <row r="9600">
      <c r="A9600" s="28"/>
      <c r="B9600" s="29"/>
      <c r="C9600" s="29"/>
      <c r="E9600" s="29"/>
      <c r="F9600" s="29"/>
    </row>
    <row r="9601">
      <c r="A9601" s="28"/>
      <c r="B9601" s="29"/>
      <c r="C9601" s="29"/>
      <c r="E9601" s="29"/>
      <c r="F9601" s="29"/>
    </row>
    <row r="9602">
      <c r="A9602" s="28"/>
      <c r="B9602" s="29"/>
      <c r="C9602" s="29"/>
      <c r="E9602" s="29"/>
      <c r="F9602" s="29"/>
    </row>
    <row r="9603">
      <c r="A9603" s="28"/>
      <c r="B9603" s="29"/>
      <c r="C9603" s="29"/>
      <c r="E9603" s="29"/>
      <c r="F9603" s="29"/>
    </row>
    <row r="9604">
      <c r="A9604" s="28"/>
      <c r="B9604" s="29"/>
      <c r="C9604" s="29"/>
      <c r="E9604" s="29"/>
      <c r="F9604" s="29"/>
    </row>
    <row r="9605">
      <c r="A9605" s="28"/>
      <c r="B9605" s="29"/>
      <c r="C9605" s="29"/>
      <c r="E9605" s="29"/>
      <c r="F9605" s="29"/>
    </row>
    <row r="9606">
      <c r="A9606" s="28"/>
      <c r="B9606" s="29"/>
      <c r="C9606" s="29"/>
      <c r="E9606" s="29"/>
      <c r="F9606" s="29"/>
    </row>
    <row r="9607">
      <c r="A9607" s="28"/>
      <c r="B9607" s="29"/>
      <c r="C9607" s="29"/>
      <c r="E9607" s="29"/>
      <c r="F9607" s="29"/>
    </row>
    <row r="9608">
      <c r="A9608" s="28"/>
      <c r="B9608" s="29"/>
      <c r="C9608" s="29"/>
      <c r="E9608" s="29"/>
      <c r="F9608" s="29"/>
    </row>
    <row r="9609">
      <c r="A9609" s="28"/>
      <c r="B9609" s="29"/>
      <c r="C9609" s="29"/>
      <c r="E9609" s="29"/>
      <c r="F9609" s="29"/>
    </row>
    <row r="9610">
      <c r="A9610" s="28"/>
      <c r="B9610" s="29"/>
      <c r="C9610" s="29"/>
      <c r="E9610" s="29"/>
      <c r="F9610" s="29"/>
    </row>
    <row r="9611">
      <c r="A9611" s="28"/>
      <c r="B9611" s="29"/>
      <c r="C9611" s="29"/>
      <c r="E9611" s="29"/>
      <c r="F9611" s="29"/>
    </row>
    <row r="9612">
      <c r="A9612" s="28"/>
      <c r="B9612" s="29"/>
      <c r="C9612" s="29"/>
      <c r="E9612" s="29"/>
      <c r="F9612" s="29"/>
    </row>
    <row r="9613">
      <c r="A9613" s="28"/>
      <c r="B9613" s="29"/>
      <c r="C9613" s="29"/>
      <c r="E9613" s="29"/>
      <c r="F9613" s="29"/>
    </row>
    <row r="9614">
      <c r="A9614" s="28"/>
      <c r="B9614" s="29"/>
      <c r="C9614" s="29"/>
      <c r="E9614" s="29"/>
      <c r="F9614" s="29"/>
    </row>
    <row r="9615">
      <c r="A9615" s="28"/>
      <c r="B9615" s="29"/>
      <c r="C9615" s="29"/>
      <c r="E9615" s="29"/>
      <c r="F9615" s="29"/>
    </row>
    <row r="9616">
      <c r="A9616" s="28"/>
      <c r="B9616" s="29"/>
      <c r="C9616" s="29"/>
      <c r="E9616" s="29"/>
      <c r="F9616" s="29"/>
    </row>
    <row r="9617">
      <c r="A9617" s="28"/>
      <c r="B9617" s="29"/>
      <c r="C9617" s="29"/>
      <c r="E9617" s="29"/>
      <c r="F9617" s="29"/>
    </row>
    <row r="9618">
      <c r="A9618" s="28"/>
      <c r="B9618" s="29"/>
      <c r="C9618" s="29"/>
      <c r="E9618" s="29"/>
      <c r="F9618" s="29"/>
    </row>
    <row r="9619">
      <c r="A9619" s="28"/>
      <c r="B9619" s="29"/>
      <c r="C9619" s="29"/>
      <c r="E9619" s="29"/>
      <c r="F9619" s="29"/>
    </row>
    <row r="9620">
      <c r="A9620" s="28"/>
      <c r="B9620" s="29"/>
      <c r="C9620" s="29"/>
      <c r="E9620" s="29"/>
      <c r="F9620" s="29"/>
    </row>
    <row r="9621">
      <c r="A9621" s="28"/>
      <c r="B9621" s="29"/>
      <c r="C9621" s="29"/>
      <c r="E9621" s="29"/>
      <c r="F9621" s="29"/>
    </row>
    <row r="9622">
      <c r="A9622" s="28"/>
      <c r="B9622" s="29"/>
      <c r="C9622" s="29"/>
      <c r="E9622" s="29"/>
      <c r="F9622" s="29"/>
    </row>
    <row r="9623">
      <c r="A9623" s="28"/>
      <c r="B9623" s="29"/>
      <c r="C9623" s="29"/>
      <c r="E9623" s="29"/>
      <c r="F9623" s="29"/>
    </row>
    <row r="9624">
      <c r="A9624" s="28"/>
      <c r="B9624" s="29"/>
      <c r="C9624" s="29"/>
      <c r="E9624" s="29"/>
      <c r="F9624" s="29"/>
    </row>
    <row r="9625">
      <c r="A9625" s="28"/>
      <c r="B9625" s="29"/>
      <c r="C9625" s="29"/>
      <c r="E9625" s="29"/>
      <c r="F9625" s="29"/>
    </row>
    <row r="9626">
      <c r="A9626" s="28"/>
      <c r="B9626" s="29"/>
      <c r="C9626" s="29"/>
      <c r="E9626" s="29"/>
      <c r="F9626" s="29"/>
    </row>
    <row r="9627">
      <c r="A9627" s="28"/>
      <c r="B9627" s="29"/>
      <c r="C9627" s="29"/>
      <c r="E9627" s="29"/>
      <c r="F9627" s="2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38"/>
  </cols>
  <sheetData>
    <row r="1">
      <c r="A1" s="2" t="s">
        <v>67</v>
      </c>
      <c r="B1" s="2" t="s">
        <v>68</v>
      </c>
    </row>
    <row r="2">
      <c r="A2" s="5" t="s">
        <v>69</v>
      </c>
      <c r="B2" s="5" t="s">
        <v>70</v>
      </c>
    </row>
    <row r="3">
      <c r="A3" s="5" t="s">
        <v>71</v>
      </c>
      <c r="B3" s="5" t="s">
        <v>72</v>
      </c>
    </row>
    <row r="4">
      <c r="A4" s="5" t="s">
        <v>73</v>
      </c>
      <c r="B4" s="5" t="s">
        <v>74</v>
      </c>
    </row>
    <row r="5">
      <c r="A5" s="5" t="s">
        <v>75</v>
      </c>
      <c r="B5" s="5" t="s">
        <v>76</v>
      </c>
    </row>
  </sheetData>
  <drawing r:id="rId2"/>
  <legacyDrawing r:id="rId3"/>
</worksheet>
</file>